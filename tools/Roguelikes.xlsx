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8255B9D-7758-402D-858A-EBB2B0A5F3EC}"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4" i="1" l="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V2432" i="47" s="1"/>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V2416" i="47" s="1"/>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V2400" i="47" s="1"/>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V2384" i="47" s="1"/>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V1875" i="47" s="1"/>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V1859" i="47" s="1"/>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V1843" i="47" s="1"/>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V1827" i="47" s="1"/>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V1795" i="47" s="1"/>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I928" i="47"/>
  <c r="A928" i="47"/>
  <c r="U927" i="47"/>
  <c r="T927" i="47"/>
  <c r="P927" i="47"/>
  <c r="O927" i="47"/>
  <c r="N927" i="47"/>
  <c r="M927" i="47"/>
  <c r="L927" i="47"/>
  <c r="K927" i="47"/>
  <c r="J927" i="47"/>
  <c r="I927" i="47"/>
  <c r="H927" i="47"/>
  <c r="G927" i="47"/>
  <c r="F927" i="47"/>
  <c r="E927" i="47"/>
  <c r="D927" i="47"/>
  <c r="A927" i="47"/>
  <c r="C927" i="47" s="1"/>
  <c r="U926" i="47"/>
  <c r="T926" i="47"/>
  <c r="P926" i="47"/>
  <c r="A926" i="47"/>
  <c r="C926" i="47" s="1"/>
  <c r="U925" i="47"/>
  <c r="T925" i="47"/>
  <c r="P925" i="47"/>
  <c r="B925" i="47"/>
  <c r="A925" i="47"/>
  <c r="D925" i="47" s="1"/>
  <c r="O925" i="47" s="1"/>
  <c r="U924" i="47"/>
  <c r="T924" i="47"/>
  <c r="A924" i="47"/>
  <c r="U923" i="47"/>
  <c r="T923" i="47"/>
  <c r="F923" i="47"/>
  <c r="A923" i="47"/>
  <c r="U922" i="47"/>
  <c r="T922" i="47"/>
  <c r="I922" i="47"/>
  <c r="C922" i="47"/>
  <c r="K922" i="47" s="1"/>
  <c r="A922" i="47"/>
  <c r="P922" i="47" s="1"/>
  <c r="U921" i="47"/>
  <c r="T921" i="47"/>
  <c r="A921" i="47"/>
  <c r="U920" i="47"/>
  <c r="T920" i="47"/>
  <c r="B920" i="47"/>
  <c r="A920" i="47"/>
  <c r="C920" i="47" s="1"/>
  <c r="U919" i="47"/>
  <c r="T919" i="47"/>
  <c r="A919" i="47"/>
  <c r="U918" i="47"/>
  <c r="T918" i="47"/>
  <c r="P918" i="47"/>
  <c r="J918" i="47"/>
  <c r="I918" i="47"/>
  <c r="H918" i="47"/>
  <c r="C918" i="47"/>
  <c r="B918" i="47"/>
  <c r="A918" i="47"/>
  <c r="K918" i="47" s="1"/>
  <c r="U917" i="47"/>
  <c r="T917" i="47"/>
  <c r="P917" i="47"/>
  <c r="B917" i="47"/>
  <c r="A917" i="47"/>
  <c r="D917" i="47" s="1"/>
  <c r="O917" i="47" s="1"/>
  <c r="U916" i="47"/>
  <c r="T916" i="47"/>
  <c r="D916" i="47"/>
  <c r="A916" i="47"/>
  <c r="U915" i="47"/>
  <c r="T915" i="47"/>
  <c r="P915" i="47"/>
  <c r="L915" i="47"/>
  <c r="J915" i="47"/>
  <c r="F915" i="47"/>
  <c r="H915" i="47" s="1"/>
  <c r="D915" i="47"/>
  <c r="O915" i="47" s="1"/>
  <c r="A915" i="47"/>
  <c r="C915" i="47" s="1"/>
  <c r="U914" i="47"/>
  <c r="T914" i="47"/>
  <c r="A914" i="47"/>
  <c r="U913" i="47"/>
  <c r="T913" i="47"/>
  <c r="P913" i="47"/>
  <c r="F913" i="47"/>
  <c r="B913" i="47"/>
  <c r="A913" i="47"/>
  <c r="D913" i="47" s="1"/>
  <c r="O913" i="47" s="1"/>
  <c r="U912" i="47"/>
  <c r="T912" i="47"/>
  <c r="A912" i="47"/>
  <c r="U911" i="47"/>
  <c r="T911" i="47"/>
  <c r="P911" i="47"/>
  <c r="F911" i="47"/>
  <c r="E911" i="47"/>
  <c r="D911" i="47"/>
  <c r="O911" i="47" s="1"/>
  <c r="A911" i="47"/>
  <c r="C911" i="47" s="1"/>
  <c r="U910" i="47"/>
  <c r="T910" i="47"/>
  <c r="P910" i="47"/>
  <c r="C910" i="47"/>
  <c r="M910" i="47" s="1"/>
  <c r="A910" i="47"/>
  <c r="U909" i="47"/>
  <c r="T909" i="47"/>
  <c r="B909" i="47"/>
  <c r="A909" i="47"/>
  <c r="U908" i="47"/>
  <c r="T908" i="47"/>
  <c r="A908" i="47"/>
  <c r="U907" i="47"/>
  <c r="T907" i="47"/>
  <c r="A907" i="47"/>
  <c r="U906" i="47"/>
  <c r="T906" i="47"/>
  <c r="C906" i="47"/>
  <c r="M906" i="47" s="1"/>
  <c r="A906" i="47"/>
  <c r="U905" i="47"/>
  <c r="T905" i="47"/>
  <c r="F905" i="47"/>
  <c r="D905" i="47"/>
  <c r="O905" i="47" s="1"/>
  <c r="B905" i="47"/>
  <c r="A905" i="47"/>
  <c r="U904" i="47"/>
  <c r="T904" i="47"/>
  <c r="D904" i="47"/>
  <c r="A904" i="47"/>
  <c r="P904" i="47" s="1"/>
  <c r="Q904" i="47" s="1"/>
  <c r="U903" i="47"/>
  <c r="T903" i="47"/>
  <c r="P903" i="47"/>
  <c r="M903" i="47"/>
  <c r="I903" i="47"/>
  <c r="G903" i="47"/>
  <c r="E903" i="47"/>
  <c r="C903" i="47"/>
  <c r="A903" i="47"/>
  <c r="U902" i="47"/>
  <c r="T902" i="47"/>
  <c r="B902" i="47"/>
  <c r="A902" i="47"/>
  <c r="P902" i="47" s="1"/>
  <c r="U901" i="47"/>
  <c r="T901" i="47"/>
  <c r="F901" i="47"/>
  <c r="C901" i="47"/>
  <c r="N901" i="47" s="1"/>
  <c r="A901" i="47"/>
  <c r="U900" i="47"/>
  <c r="T900" i="47"/>
  <c r="D900" i="47"/>
  <c r="A900" i="47"/>
  <c r="U899" i="47"/>
  <c r="T899" i="47"/>
  <c r="B899" i="47"/>
  <c r="A899" i="47"/>
  <c r="U898" i="47"/>
  <c r="T898" i="47"/>
  <c r="P898" i="47"/>
  <c r="L898" i="47"/>
  <c r="I898" i="47"/>
  <c r="C898" i="47"/>
  <c r="M898" i="47" s="1"/>
  <c r="A898" i="47"/>
  <c r="U897" i="47"/>
  <c r="T897" i="47"/>
  <c r="F897" i="47"/>
  <c r="C897" i="47"/>
  <c r="A897" i="47"/>
  <c r="U896" i="47"/>
  <c r="T896" i="47"/>
  <c r="C896" i="47"/>
  <c r="J896" i="47" s="1"/>
  <c r="A896" i="47"/>
  <c r="U895" i="47"/>
  <c r="T895" i="47"/>
  <c r="P895" i="47"/>
  <c r="M895" i="47"/>
  <c r="K895" i="47"/>
  <c r="J895" i="47"/>
  <c r="F895" i="47"/>
  <c r="H895" i="47" s="1"/>
  <c r="D895" i="47"/>
  <c r="O895" i="47" s="1"/>
  <c r="C895" i="47"/>
  <c r="N895" i="47" s="1"/>
  <c r="B895" i="47"/>
  <c r="I895" i="47" s="1"/>
  <c r="A895" i="47"/>
  <c r="U894" i="47"/>
  <c r="T894" i="47"/>
  <c r="A894" i="47"/>
  <c r="U893" i="47"/>
  <c r="T893" i="47"/>
  <c r="A893" i="47"/>
  <c r="U892" i="47"/>
  <c r="T892" i="47"/>
  <c r="P892" i="47"/>
  <c r="A892" i="47"/>
  <c r="F892" i="47" s="1"/>
  <c r="U891" i="47"/>
  <c r="T891" i="47"/>
  <c r="F891" i="47"/>
  <c r="D891" i="47"/>
  <c r="O891" i="47" s="1"/>
  <c r="B891" i="47"/>
  <c r="A891" i="47"/>
  <c r="P891" i="47" s="1"/>
  <c r="U890" i="47"/>
  <c r="T890" i="47"/>
  <c r="B890" i="47"/>
  <c r="A890" i="47"/>
  <c r="C890" i="47" s="1"/>
  <c r="U889" i="47"/>
  <c r="T889" i="47"/>
  <c r="A889" i="47"/>
  <c r="U888" i="47"/>
  <c r="T888" i="47"/>
  <c r="A888" i="47"/>
  <c r="F888" i="47" s="1"/>
  <c r="U887" i="47"/>
  <c r="T887" i="47"/>
  <c r="F887" i="47"/>
  <c r="D887" i="47"/>
  <c r="O887" i="47" s="1"/>
  <c r="B887" i="47"/>
  <c r="A887" i="47"/>
  <c r="P887" i="47" s="1"/>
  <c r="U886" i="47"/>
  <c r="T886" i="47"/>
  <c r="A886" i="47"/>
  <c r="U885" i="47"/>
  <c r="T885" i="47"/>
  <c r="A885" i="47"/>
  <c r="P885" i="47" s="1"/>
  <c r="U884" i="47"/>
  <c r="T884" i="47"/>
  <c r="A884" i="47"/>
  <c r="U883" i="47"/>
  <c r="T883" i="47"/>
  <c r="P883" i="47"/>
  <c r="M883" i="47"/>
  <c r="K883" i="47"/>
  <c r="F883" i="47"/>
  <c r="E883" i="47"/>
  <c r="C883" i="47"/>
  <c r="A883" i="47"/>
  <c r="U882" i="47"/>
  <c r="T882" i="47"/>
  <c r="C882" i="47"/>
  <c r="A882" i="47"/>
  <c r="U881" i="47"/>
  <c r="T881" i="47"/>
  <c r="C881" i="47"/>
  <c r="A881" i="47"/>
  <c r="U880" i="47"/>
  <c r="T880" i="47"/>
  <c r="D880" i="47"/>
  <c r="A880" i="47"/>
  <c r="U879" i="47"/>
  <c r="T879" i="47"/>
  <c r="P879" i="47"/>
  <c r="N879" i="47"/>
  <c r="G879" i="47"/>
  <c r="D879" i="47"/>
  <c r="O879" i="47" s="1"/>
  <c r="C879" i="47"/>
  <c r="B879" i="47"/>
  <c r="A879" i="47"/>
  <c r="F879" i="47" s="1"/>
  <c r="U878" i="47"/>
  <c r="T878" i="47"/>
  <c r="F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F871" i="47"/>
  <c r="H871" i="47" s="1"/>
  <c r="C871" i="47"/>
  <c r="N871" i="47" s="1"/>
  <c r="A871" i="47"/>
  <c r="U870" i="47"/>
  <c r="T870" i="47"/>
  <c r="A870" i="47"/>
  <c r="C870" i="47" s="1"/>
  <c r="U869" i="47"/>
  <c r="T869" i="47"/>
  <c r="D869" i="47"/>
  <c r="B869" i="47"/>
  <c r="A869" i="47"/>
  <c r="U868" i="47"/>
  <c r="T868" i="47"/>
  <c r="P868" i="47"/>
  <c r="I868" i="47"/>
  <c r="D868" i="47"/>
  <c r="O868" i="47" s="1"/>
  <c r="C868" i="47"/>
  <c r="N868" i="47" s="1"/>
  <c r="B868" i="47"/>
  <c r="A868" i="47"/>
  <c r="F868" i="47" s="1"/>
  <c r="U867" i="47"/>
  <c r="T867" i="47"/>
  <c r="P867" i="47"/>
  <c r="A867" i="47"/>
  <c r="U866" i="47"/>
  <c r="T866" i="47"/>
  <c r="P866" i="47"/>
  <c r="A866" i="47"/>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N859" i="47" s="1"/>
  <c r="A859" i="47"/>
  <c r="U858" i="47"/>
  <c r="T858" i="47"/>
  <c r="M858" i="47"/>
  <c r="H858" i="47"/>
  <c r="F858" i="47"/>
  <c r="L858" i="47" s="1"/>
  <c r="C858" i="47"/>
  <c r="B858" i="47"/>
  <c r="A858" i="47"/>
  <c r="U857" i="47"/>
  <c r="T857" i="47"/>
  <c r="D857" i="47"/>
  <c r="A857" i="47"/>
  <c r="U856" i="47"/>
  <c r="T856" i="47"/>
  <c r="A856" i="47"/>
  <c r="D856" i="47" s="1"/>
  <c r="U855" i="47"/>
  <c r="T855" i="47"/>
  <c r="N855" i="47"/>
  <c r="J855" i="47"/>
  <c r="F855" i="47"/>
  <c r="L855" i="47" s="1"/>
  <c r="C855" i="47"/>
  <c r="A855" i="47"/>
  <c r="U854" i="47"/>
  <c r="T854" i="47"/>
  <c r="M854" i="47"/>
  <c r="J854" i="47"/>
  <c r="C854" i="47"/>
  <c r="A854" i="47"/>
  <c r="U853" i="47"/>
  <c r="T853" i="47"/>
  <c r="A853" i="47"/>
  <c r="U852" i="47"/>
  <c r="T852" i="47"/>
  <c r="A852" i="47"/>
  <c r="U851" i="47"/>
  <c r="T851" i="47"/>
  <c r="A851" i="47"/>
  <c r="U850" i="47"/>
  <c r="T850" i="47"/>
  <c r="P850" i="47"/>
  <c r="F850" i="47"/>
  <c r="D850" i="47"/>
  <c r="B850" i="47"/>
  <c r="A850" i="47"/>
  <c r="U849" i="47"/>
  <c r="T849" i="47"/>
  <c r="F849" i="47"/>
  <c r="B849" i="47"/>
  <c r="A849" i="47"/>
  <c r="D849" i="47" s="1"/>
  <c r="U848" i="47"/>
  <c r="T848" i="47"/>
  <c r="D848" i="47"/>
  <c r="A848" i="47"/>
  <c r="B848" i="47" s="1"/>
  <c r="U847" i="47"/>
  <c r="T847" i="47"/>
  <c r="N847" i="47"/>
  <c r="F847" i="47"/>
  <c r="J847" i="47" s="1"/>
  <c r="C847" i="47"/>
  <c r="A847" i="47"/>
  <c r="U846" i="47"/>
  <c r="T846" i="47"/>
  <c r="D846" i="47"/>
  <c r="B846" i="47"/>
  <c r="A846" i="47"/>
  <c r="P846" i="47" s="1"/>
  <c r="U845" i="47"/>
  <c r="T845" i="47"/>
  <c r="F845" i="47"/>
  <c r="D845" i="47"/>
  <c r="B845" i="47"/>
  <c r="A845" i="47"/>
  <c r="U844" i="47"/>
  <c r="T844" i="47"/>
  <c r="A844" i="47"/>
  <c r="U843" i="47"/>
  <c r="T843" i="47"/>
  <c r="F843" i="47"/>
  <c r="C843" i="47"/>
  <c r="J843" i="47" s="1"/>
  <c r="B843" i="47"/>
  <c r="A843" i="47"/>
  <c r="U842" i="47"/>
  <c r="T842" i="47"/>
  <c r="A842" i="47"/>
  <c r="U841" i="47"/>
  <c r="T841" i="47"/>
  <c r="A841" i="47"/>
  <c r="U840" i="47"/>
  <c r="T840" i="47"/>
  <c r="D840" i="47"/>
  <c r="B840" i="47"/>
  <c r="A840" i="47"/>
  <c r="U839" i="47"/>
  <c r="T839" i="47"/>
  <c r="A839" i="47"/>
  <c r="U838" i="47"/>
  <c r="T838" i="47"/>
  <c r="A838" i="47"/>
  <c r="U837" i="47"/>
  <c r="T837" i="47"/>
  <c r="A837" i="47"/>
  <c r="U836" i="47"/>
  <c r="T836" i="47"/>
  <c r="A836" i="47"/>
  <c r="U835" i="47"/>
  <c r="T835" i="47"/>
  <c r="A835" i="47"/>
  <c r="U834" i="47"/>
  <c r="T834" i="47"/>
  <c r="D834" i="47"/>
  <c r="B834" i="47"/>
  <c r="A834" i="47"/>
  <c r="U833" i="47"/>
  <c r="T833" i="47"/>
  <c r="A833" i="47"/>
  <c r="D833" i="47" s="1"/>
  <c r="U832" i="47"/>
  <c r="T832" i="47"/>
  <c r="D832" i="47"/>
  <c r="A832" i="47"/>
  <c r="B832" i="47" s="1"/>
  <c r="U831" i="47"/>
  <c r="T831" i="47"/>
  <c r="C831" i="47"/>
  <c r="A831" i="47"/>
  <c r="U830" i="47"/>
  <c r="T830" i="47"/>
  <c r="P830" i="47"/>
  <c r="D830" i="47"/>
  <c r="C830" i="47"/>
  <c r="B830" i="47"/>
  <c r="G830" i="47" s="1"/>
  <c r="A830" i="47"/>
  <c r="F830" i="47" s="1"/>
  <c r="H830" i="47" s="1"/>
  <c r="U829" i="47"/>
  <c r="T829" i="47"/>
  <c r="F829" i="47"/>
  <c r="D829" i="47"/>
  <c r="B829" i="47"/>
  <c r="A829" i="47"/>
  <c r="U828" i="47"/>
  <c r="T828" i="47"/>
  <c r="B828" i="47"/>
  <c r="A828" i="47"/>
  <c r="U827" i="47"/>
  <c r="T827" i="47"/>
  <c r="P827" i="47"/>
  <c r="F827" i="47"/>
  <c r="A827" i="47"/>
  <c r="U826" i="47"/>
  <c r="T826" i="47"/>
  <c r="C826" i="47"/>
  <c r="L826" i="47" s="1"/>
  <c r="A826" i="47"/>
  <c r="U825" i="47"/>
  <c r="T825" i="47"/>
  <c r="A825" i="47"/>
  <c r="U824" i="47"/>
  <c r="T824" i="47"/>
  <c r="P824" i="47"/>
  <c r="D824" i="47"/>
  <c r="O824" i="47" s="1"/>
  <c r="A824" i="47"/>
  <c r="U823" i="47"/>
  <c r="T823" i="47"/>
  <c r="A823" i="47"/>
  <c r="U822" i="47"/>
  <c r="T822" i="47"/>
  <c r="F822" i="47"/>
  <c r="C822" i="47"/>
  <c r="I822" i="47" s="1"/>
  <c r="A822" i="47"/>
  <c r="U821" i="47"/>
  <c r="T821" i="47"/>
  <c r="B821" i="47"/>
  <c r="A821" i="47"/>
  <c r="U820" i="47"/>
  <c r="T820" i="47"/>
  <c r="A820" i="47"/>
  <c r="U819" i="47"/>
  <c r="T819" i="47"/>
  <c r="F819" i="47"/>
  <c r="D819" i="47"/>
  <c r="O819" i="47" s="1"/>
  <c r="B819" i="47"/>
  <c r="A819" i="47"/>
  <c r="U818" i="47"/>
  <c r="T818" i="47"/>
  <c r="A818" i="47"/>
  <c r="U817" i="47"/>
  <c r="T817" i="47"/>
  <c r="D817" i="47"/>
  <c r="O817" i="47" s="1"/>
  <c r="A817" i="47"/>
  <c r="P817" i="47" s="1"/>
  <c r="U816" i="47"/>
  <c r="T816" i="47"/>
  <c r="A816" i="47"/>
  <c r="U815" i="47"/>
  <c r="T815" i="47"/>
  <c r="A815" i="47"/>
  <c r="U814" i="47"/>
  <c r="T814" i="47"/>
  <c r="J814" i="47"/>
  <c r="F814" i="47"/>
  <c r="C814" i="47"/>
  <c r="A814" i="47"/>
  <c r="U813" i="47"/>
  <c r="T813" i="47"/>
  <c r="A813" i="47"/>
  <c r="F813" i="47" s="1"/>
  <c r="U812" i="47"/>
  <c r="T812" i="47"/>
  <c r="A812" i="47"/>
  <c r="P812" i="47" s="1"/>
  <c r="U811" i="47"/>
  <c r="T811" i="47"/>
  <c r="A811" i="47"/>
  <c r="U810" i="47"/>
  <c r="T810" i="47"/>
  <c r="F810" i="47"/>
  <c r="D810" i="47"/>
  <c r="O810" i="47" s="1"/>
  <c r="C810" i="47"/>
  <c r="J810" i="47" s="1"/>
  <c r="B810" i="47"/>
  <c r="A810" i="47"/>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D803" i="47"/>
  <c r="B803" i="47"/>
  <c r="A803" i="47"/>
  <c r="U802" i="47"/>
  <c r="T802" i="47"/>
  <c r="A802" i="47"/>
  <c r="U801" i="47"/>
  <c r="T801" i="47"/>
  <c r="A801" i="47"/>
  <c r="F801" i="47" s="1"/>
  <c r="U800" i="47"/>
  <c r="T800" i="47"/>
  <c r="B800" i="47"/>
  <c r="A800" i="47"/>
  <c r="U799" i="47"/>
  <c r="T799" i="47"/>
  <c r="K799" i="47"/>
  <c r="C799" i="47"/>
  <c r="M799" i="47" s="1"/>
  <c r="A799" i="47"/>
  <c r="U798" i="47"/>
  <c r="T798" i="47"/>
  <c r="A798" i="47"/>
  <c r="U797" i="47"/>
  <c r="T797" i="47"/>
  <c r="F797" i="47"/>
  <c r="C797" i="47"/>
  <c r="A797" i="47"/>
  <c r="U796" i="47"/>
  <c r="T796" i="47"/>
  <c r="A796" i="47"/>
  <c r="P796" i="47" s="1"/>
  <c r="U795" i="47"/>
  <c r="T795" i="47"/>
  <c r="C795" i="47"/>
  <c r="A795" i="47"/>
  <c r="U794" i="47"/>
  <c r="T794" i="47"/>
  <c r="C794" i="47"/>
  <c r="A794" i="47"/>
  <c r="U793" i="47"/>
  <c r="T793" i="47"/>
  <c r="C793" i="47"/>
  <c r="B793" i="47"/>
  <c r="A793" i="47"/>
  <c r="U792" i="47"/>
  <c r="T792" i="47"/>
  <c r="B792" i="47"/>
  <c r="A792" i="47"/>
  <c r="U791" i="47"/>
  <c r="T791" i="47"/>
  <c r="F791" i="47"/>
  <c r="C791" i="47"/>
  <c r="A791" i="47"/>
  <c r="E791" i="47" s="1"/>
  <c r="U790" i="47"/>
  <c r="T790" i="47"/>
  <c r="H790" i="47"/>
  <c r="G790" i="47"/>
  <c r="F790" i="47"/>
  <c r="N790" i="47" s="1"/>
  <c r="C790" i="47"/>
  <c r="A790" i="47"/>
  <c r="U789" i="47"/>
  <c r="T789" i="47"/>
  <c r="A789" i="47"/>
  <c r="F789" i="47" s="1"/>
  <c r="U788" i="47"/>
  <c r="T788" i="47"/>
  <c r="K788" i="47"/>
  <c r="J788" i="47"/>
  <c r="F788" i="47"/>
  <c r="N788" i="47" s="1"/>
  <c r="C788" i="47"/>
  <c r="A788" i="47"/>
  <c r="P788" i="47" s="1"/>
  <c r="U787" i="47"/>
  <c r="T787" i="47"/>
  <c r="A787" i="47"/>
  <c r="U786" i="47"/>
  <c r="T786" i="47"/>
  <c r="A786" i="47"/>
  <c r="C786" i="47" s="1"/>
  <c r="U785" i="47"/>
  <c r="T785" i="47"/>
  <c r="A785" i="47"/>
  <c r="U784" i="47"/>
  <c r="T784" i="47"/>
  <c r="P784" i="47"/>
  <c r="B784" i="47"/>
  <c r="A784" i="47"/>
  <c r="U783" i="47"/>
  <c r="T783" i="47"/>
  <c r="P783" i="47"/>
  <c r="F783" i="47"/>
  <c r="C783" i="47"/>
  <c r="B783" i="47"/>
  <c r="A783" i="47"/>
  <c r="U782" i="47"/>
  <c r="T782" i="47"/>
  <c r="F782" i="47"/>
  <c r="C782" i="47"/>
  <c r="B782" i="47"/>
  <c r="A782" i="47"/>
  <c r="U781" i="47"/>
  <c r="T781" i="47"/>
  <c r="A781" i="47"/>
  <c r="U780" i="47"/>
  <c r="T780" i="47"/>
  <c r="A780" i="47"/>
  <c r="U779" i="47"/>
  <c r="T779" i="47"/>
  <c r="P779" i="47"/>
  <c r="F779" i="47"/>
  <c r="D779" i="47"/>
  <c r="O779" i="47" s="1"/>
  <c r="C779" i="47"/>
  <c r="B779" i="47"/>
  <c r="A779" i="47"/>
  <c r="U778" i="47"/>
  <c r="T778" i="47"/>
  <c r="F778" i="47"/>
  <c r="D778" i="47"/>
  <c r="O778" i="47" s="1"/>
  <c r="A778" i="47"/>
  <c r="U777" i="47"/>
  <c r="T777" i="47"/>
  <c r="A777" i="47"/>
  <c r="U776" i="47"/>
  <c r="T776" i="47"/>
  <c r="A776" i="47"/>
  <c r="U775" i="47"/>
  <c r="T775" i="47"/>
  <c r="P775" i="47"/>
  <c r="D775" i="47"/>
  <c r="A775" i="47"/>
  <c r="F775" i="47" s="1"/>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F763" i="47"/>
  <c r="C763" i="47"/>
  <c r="B763" i="47"/>
  <c r="A763" i="47"/>
  <c r="U762" i="47"/>
  <c r="T762" i="47"/>
  <c r="F762" i="47"/>
  <c r="D762" i="47"/>
  <c r="O762" i="47" s="1"/>
  <c r="C762" i="47"/>
  <c r="A762" i="47"/>
  <c r="B762" i="47" s="1"/>
  <c r="U761" i="47"/>
  <c r="T761" i="47"/>
  <c r="J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F752" i="47"/>
  <c r="A752" i="47"/>
  <c r="U751" i="47"/>
  <c r="T751" i="47"/>
  <c r="B751" i="47"/>
  <c r="A751" i="47"/>
  <c r="U750" i="47"/>
  <c r="T750" i="47"/>
  <c r="A750" i="47"/>
  <c r="F750" i="47" s="1"/>
  <c r="U749" i="47"/>
  <c r="T749" i="47"/>
  <c r="A749" i="47"/>
  <c r="U748" i="47"/>
  <c r="T748" i="47"/>
  <c r="F748" i="47"/>
  <c r="A748" i="47"/>
  <c r="U747" i="47"/>
  <c r="T747" i="47"/>
  <c r="C747" i="47"/>
  <c r="J747" i="47" s="1"/>
  <c r="B747" i="47"/>
  <c r="A747" i="47"/>
  <c r="F747" i="47" s="1"/>
  <c r="U746" i="47"/>
  <c r="T746" i="47"/>
  <c r="A746" i="47"/>
  <c r="U745" i="47"/>
  <c r="T745" i="47"/>
  <c r="A745" i="47"/>
  <c r="U744" i="47"/>
  <c r="T744" i="47"/>
  <c r="P744" i="47"/>
  <c r="C744" i="47"/>
  <c r="B744" i="47"/>
  <c r="A744" i="47"/>
  <c r="U743" i="47"/>
  <c r="T743" i="47"/>
  <c r="P743" i="47"/>
  <c r="F743" i="47"/>
  <c r="E743" i="47"/>
  <c r="D743" i="47"/>
  <c r="O743" i="47" s="1"/>
  <c r="C743" i="47"/>
  <c r="N743" i="47" s="1"/>
  <c r="A743" i="47"/>
  <c r="U742" i="47"/>
  <c r="T742" i="47"/>
  <c r="A742" i="47"/>
  <c r="U741" i="47"/>
  <c r="T741" i="47"/>
  <c r="D741" i="47"/>
  <c r="C741" i="47"/>
  <c r="A741" i="47"/>
  <c r="U740" i="47"/>
  <c r="T740" i="47"/>
  <c r="P740" i="47"/>
  <c r="F740" i="47"/>
  <c r="A740" i="47"/>
  <c r="U739" i="47"/>
  <c r="T739" i="47"/>
  <c r="P739" i="47"/>
  <c r="A739" i="47"/>
  <c r="U738" i="47"/>
  <c r="T738" i="47"/>
  <c r="F738" i="47"/>
  <c r="A738" i="47"/>
  <c r="U737" i="47"/>
  <c r="T737" i="47"/>
  <c r="F737" i="47"/>
  <c r="D737" i="47"/>
  <c r="C737" i="47"/>
  <c r="H737" i="47" s="1"/>
  <c r="B737" i="47"/>
  <c r="A737" i="47"/>
  <c r="P737" i="47" s="1"/>
  <c r="U736" i="47"/>
  <c r="T736" i="47"/>
  <c r="A736" i="47"/>
  <c r="B736" i="47" s="1"/>
  <c r="U735" i="47"/>
  <c r="T735" i="47"/>
  <c r="P735" i="47"/>
  <c r="N735" i="47"/>
  <c r="G735" i="47"/>
  <c r="F735" i="47"/>
  <c r="E735" i="47"/>
  <c r="C735" i="47"/>
  <c r="M735" i="47" s="1"/>
  <c r="B735" i="47"/>
  <c r="A735" i="47"/>
  <c r="D735" i="47" s="1"/>
  <c r="O735" i="47" s="1"/>
  <c r="U734" i="47"/>
  <c r="T734" i="47"/>
  <c r="F734" i="47"/>
  <c r="J734" i="47" s="1"/>
  <c r="D734" i="47"/>
  <c r="A734" i="47"/>
  <c r="C734" i="47" s="1"/>
  <c r="U733" i="47"/>
  <c r="T733" i="47"/>
  <c r="F733" i="47"/>
  <c r="A733" i="47"/>
  <c r="P733" i="47" s="1"/>
  <c r="U732" i="47"/>
  <c r="T732" i="47"/>
  <c r="D732" i="47"/>
  <c r="O732" i="47" s="1"/>
  <c r="A732" i="47"/>
  <c r="U731" i="47"/>
  <c r="T731" i="47"/>
  <c r="P731" i="47"/>
  <c r="F731" i="47"/>
  <c r="A731" i="47"/>
  <c r="U730" i="47"/>
  <c r="T730" i="47"/>
  <c r="A730" i="47"/>
  <c r="F730" i="47" s="1"/>
  <c r="U729" i="47"/>
  <c r="T729" i="47"/>
  <c r="P729" i="47"/>
  <c r="F729" i="47"/>
  <c r="A729" i="47"/>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Q721" i="47" s="1"/>
  <c r="U720" i="47"/>
  <c r="T720" i="47"/>
  <c r="C720" i="47"/>
  <c r="I720" i="47" s="1"/>
  <c r="B720" i="47"/>
  <c r="A720" i="47"/>
  <c r="U719" i="47"/>
  <c r="T719" i="47"/>
  <c r="F719" i="47"/>
  <c r="A719" i="47"/>
  <c r="P719" i="47" s="1"/>
  <c r="U718" i="47"/>
  <c r="T718" i="47"/>
  <c r="F718" i="47"/>
  <c r="D718" i="47"/>
  <c r="A718" i="47"/>
  <c r="C718" i="47" s="1"/>
  <c r="U717" i="47"/>
  <c r="T717" i="47"/>
  <c r="A717" i="47"/>
  <c r="U716" i="47"/>
  <c r="T716" i="47"/>
  <c r="D716" i="47"/>
  <c r="C716" i="47"/>
  <c r="E716" i="47" s="1"/>
  <c r="A716" i="47"/>
  <c r="B716" i="47" s="1"/>
  <c r="U715" i="47"/>
  <c r="T715" i="47"/>
  <c r="P715" i="47"/>
  <c r="F715" i="47"/>
  <c r="C715" i="47"/>
  <c r="A715" i="47"/>
  <c r="D715" i="47" s="1"/>
  <c r="O715" i="47" s="1"/>
  <c r="U714" i="47"/>
  <c r="T714" i="47"/>
  <c r="A714" i="47"/>
  <c r="U713" i="47"/>
  <c r="T713" i="47"/>
  <c r="A713" i="47"/>
  <c r="U712" i="47"/>
  <c r="T712" i="47"/>
  <c r="A712" i="47"/>
  <c r="U711" i="47"/>
  <c r="T711" i="47"/>
  <c r="A711" i="47"/>
  <c r="P711" i="47" s="1"/>
  <c r="U710" i="47"/>
  <c r="T710" i="47"/>
  <c r="A710" i="47"/>
  <c r="U709" i="47"/>
  <c r="T709" i="47"/>
  <c r="P709" i="47"/>
  <c r="F709" i="47"/>
  <c r="A709" i="47"/>
  <c r="U708" i="47"/>
  <c r="T708" i="47"/>
  <c r="A708" i="47"/>
  <c r="U707" i="47"/>
  <c r="T707" i="47"/>
  <c r="P707" i="47"/>
  <c r="A707" i="47"/>
  <c r="U706" i="47"/>
  <c r="T706" i="47"/>
  <c r="A706" i="47"/>
  <c r="U705" i="47"/>
  <c r="T705" i="47"/>
  <c r="A705" i="47"/>
  <c r="U704" i="47"/>
  <c r="T704" i="47"/>
  <c r="A704" i="47"/>
  <c r="U703" i="47"/>
  <c r="T703" i="47"/>
  <c r="C703" i="47"/>
  <c r="A703" i="47"/>
  <c r="B703" i="47" s="1"/>
  <c r="U702" i="47"/>
  <c r="T702" i="47"/>
  <c r="A702" i="47"/>
  <c r="U701" i="47"/>
  <c r="T701" i="47"/>
  <c r="F701" i="47"/>
  <c r="A701" i="47"/>
  <c r="U700" i="47"/>
  <c r="T700" i="47"/>
  <c r="D700" i="47"/>
  <c r="O700" i="47" s="1"/>
  <c r="C700" i="47"/>
  <c r="A700" i="47"/>
  <c r="U699" i="47"/>
  <c r="T699" i="47"/>
  <c r="F699" i="47"/>
  <c r="A699" i="47"/>
  <c r="U698" i="47"/>
  <c r="T698" i="47"/>
  <c r="A698" i="47"/>
  <c r="U697" i="47"/>
  <c r="T697" i="47"/>
  <c r="E697" i="47"/>
  <c r="C697" i="47"/>
  <c r="A697" i="47"/>
  <c r="U696" i="47"/>
  <c r="T696" i="47"/>
  <c r="A696" i="47"/>
  <c r="U695" i="47"/>
  <c r="T695" i="47"/>
  <c r="P695" i="47"/>
  <c r="B695" i="47"/>
  <c r="A695" i="47"/>
  <c r="C695" i="47" s="1"/>
  <c r="E695" i="47" s="1"/>
  <c r="U694" i="47"/>
  <c r="T694" i="47"/>
  <c r="A694" i="47"/>
  <c r="U693" i="47"/>
  <c r="T693" i="47"/>
  <c r="B693" i="47"/>
  <c r="A693" i="47"/>
  <c r="U692" i="47"/>
  <c r="T692" i="47"/>
  <c r="D692" i="47"/>
  <c r="C692" i="47"/>
  <c r="M692" i="47" s="1"/>
  <c r="B692" i="47"/>
  <c r="A692" i="47"/>
  <c r="U691" i="47"/>
  <c r="T691" i="47"/>
  <c r="C691" i="47"/>
  <c r="J691" i="47" s="1"/>
  <c r="A691" i="47"/>
  <c r="U690" i="47"/>
  <c r="T690" i="47"/>
  <c r="A690" i="47"/>
  <c r="U689" i="47"/>
  <c r="T689" i="47"/>
  <c r="F689" i="47"/>
  <c r="C689" i="47"/>
  <c r="I689" i="47" s="1"/>
  <c r="A689" i="47"/>
  <c r="U688" i="47"/>
  <c r="T688" i="47"/>
  <c r="A688" i="47"/>
  <c r="U687" i="47"/>
  <c r="T687" i="47"/>
  <c r="P687" i="47"/>
  <c r="C687" i="47"/>
  <c r="B687" i="47"/>
  <c r="A687" i="47"/>
  <c r="U686" i="47"/>
  <c r="T686" i="47"/>
  <c r="D686" i="47"/>
  <c r="A686" i="47"/>
  <c r="U685" i="47"/>
  <c r="T685" i="47"/>
  <c r="P685" i="47"/>
  <c r="K685" i="47"/>
  <c r="J685" i="47"/>
  <c r="F685" i="47"/>
  <c r="C685" i="47"/>
  <c r="N685" i="47" s="1"/>
  <c r="B685" i="47"/>
  <c r="G685" i="47" s="1"/>
  <c r="A685" i="47"/>
  <c r="U684" i="47"/>
  <c r="T684" i="47"/>
  <c r="D684" i="47"/>
  <c r="O684" i="47" s="1"/>
  <c r="B684" i="47"/>
  <c r="A684" i="47"/>
  <c r="U683" i="47"/>
  <c r="T683" i="47"/>
  <c r="A683" i="47"/>
  <c r="P683" i="47" s="1"/>
  <c r="Q683" i="47" s="1"/>
  <c r="U682" i="47"/>
  <c r="T682" i="47"/>
  <c r="C682" i="47"/>
  <c r="A682" i="47"/>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F674" i="47"/>
  <c r="D674" i="47"/>
  <c r="O674" i="47" s="1"/>
  <c r="C674" i="47"/>
  <c r="E674" i="47" s="1"/>
  <c r="A674" i="47"/>
  <c r="U673" i="47"/>
  <c r="T673" i="47"/>
  <c r="P673" i="47"/>
  <c r="N673" i="47"/>
  <c r="M673" i="47"/>
  <c r="I673" i="47"/>
  <c r="H673" i="47"/>
  <c r="E673" i="47"/>
  <c r="C673" i="47"/>
  <c r="J673" i="47" s="1"/>
  <c r="B673" i="47"/>
  <c r="A673" i="47"/>
  <c r="F673" i="47" s="1"/>
  <c r="U672" i="47"/>
  <c r="T672" i="47"/>
  <c r="A672" i="47"/>
  <c r="B672" i="47" s="1"/>
  <c r="U671" i="47"/>
  <c r="T671" i="47"/>
  <c r="P671" i="47"/>
  <c r="I671" i="47"/>
  <c r="H671" i="47"/>
  <c r="B671" i="47"/>
  <c r="A671" i="47"/>
  <c r="C671" i="47" s="1"/>
  <c r="U670" i="47"/>
  <c r="T670" i="47"/>
  <c r="C670" i="47"/>
  <c r="A670" i="47"/>
  <c r="B670" i="47" s="1"/>
  <c r="U669" i="47"/>
  <c r="T669" i="47"/>
  <c r="A669" i="47"/>
  <c r="U668" i="47"/>
  <c r="T668" i="47"/>
  <c r="D668" i="47"/>
  <c r="O668" i="47" s="1"/>
  <c r="C668" i="47"/>
  <c r="I668" i="47" s="1"/>
  <c r="A668" i="47"/>
  <c r="U667" i="47"/>
  <c r="T667" i="47"/>
  <c r="F667" i="47"/>
  <c r="A667" i="47"/>
  <c r="P667" i="47" s="1"/>
  <c r="U666" i="47"/>
  <c r="T666" i="47"/>
  <c r="F666" i="47"/>
  <c r="B666" i="47"/>
  <c r="A666" i="47"/>
  <c r="C666" i="47" s="1"/>
  <c r="U665" i="47"/>
  <c r="T665" i="47"/>
  <c r="C665" i="47"/>
  <c r="A665" i="47"/>
  <c r="U664" i="47"/>
  <c r="T664" i="47"/>
  <c r="A664" i="47"/>
  <c r="U663" i="47"/>
  <c r="T663" i="47"/>
  <c r="P663" i="47"/>
  <c r="C663" i="47"/>
  <c r="B663" i="47"/>
  <c r="A663" i="47"/>
  <c r="U662" i="47"/>
  <c r="T662" i="47"/>
  <c r="A662" i="47"/>
  <c r="F662" i="47" s="1"/>
  <c r="U661" i="47"/>
  <c r="T661" i="47"/>
  <c r="B661" i="47"/>
  <c r="A661" i="47"/>
  <c r="U660" i="47"/>
  <c r="T660" i="47"/>
  <c r="B660" i="47"/>
  <c r="A660" i="47"/>
  <c r="U659" i="47"/>
  <c r="T659" i="47"/>
  <c r="F659" i="47"/>
  <c r="A659" i="47"/>
  <c r="U658" i="47"/>
  <c r="T658" i="47"/>
  <c r="F658" i="47"/>
  <c r="C658" i="47"/>
  <c r="E658" i="47" s="1"/>
  <c r="A658" i="47"/>
  <c r="B658" i="47" s="1"/>
  <c r="U657" i="47"/>
  <c r="T657" i="47"/>
  <c r="P657" i="47"/>
  <c r="F657" i="47"/>
  <c r="C657" i="47"/>
  <c r="A657" i="47"/>
  <c r="U656" i="47"/>
  <c r="T656" i="47"/>
  <c r="A656" i="47"/>
  <c r="U655" i="47"/>
  <c r="T655" i="47"/>
  <c r="P655" i="47"/>
  <c r="C655" i="47"/>
  <c r="B655" i="47"/>
  <c r="A655" i="47"/>
  <c r="U654" i="47"/>
  <c r="T654" i="47"/>
  <c r="A654" i="47"/>
  <c r="U653" i="47"/>
  <c r="T653" i="47"/>
  <c r="A653" i="47"/>
  <c r="P653" i="47" s="1"/>
  <c r="U652" i="47"/>
  <c r="T652" i="47"/>
  <c r="F652" i="47"/>
  <c r="E652" i="47"/>
  <c r="D652" i="47"/>
  <c r="O652" i="47" s="1"/>
  <c r="C652" i="47"/>
  <c r="J652" i="47" s="1"/>
  <c r="B652" i="47"/>
  <c r="A652" i="47"/>
  <c r="U651" i="47"/>
  <c r="T651" i="47"/>
  <c r="A651" i="47"/>
  <c r="U650" i="47"/>
  <c r="T650" i="47"/>
  <c r="A650" i="47"/>
  <c r="F650" i="47" s="1"/>
  <c r="U649" i="47"/>
  <c r="T649" i="47"/>
  <c r="A649" i="47"/>
  <c r="U648" i="47"/>
  <c r="T648" i="47"/>
  <c r="L648" i="47"/>
  <c r="F648" i="47"/>
  <c r="E648" i="47"/>
  <c r="D648" i="47"/>
  <c r="O648" i="47" s="1"/>
  <c r="C648" i="47"/>
  <c r="G648" i="47" s="1"/>
  <c r="A648" i="47"/>
  <c r="J648" i="47" s="1"/>
  <c r="U647" i="47"/>
  <c r="T647" i="47"/>
  <c r="P647" i="47"/>
  <c r="I647" i="47"/>
  <c r="C647" i="47"/>
  <c r="B647" i="47"/>
  <c r="A647" i="47"/>
  <c r="U646" i="47"/>
  <c r="T646" i="47"/>
  <c r="F646" i="47"/>
  <c r="A646" i="47"/>
  <c r="D646" i="47" s="1"/>
  <c r="O646" i="47" s="1"/>
  <c r="U645" i="47"/>
  <c r="T645" i="47"/>
  <c r="K645" i="47"/>
  <c r="C645" i="47"/>
  <c r="B645" i="47"/>
  <c r="A645" i="47"/>
  <c r="U644" i="47"/>
  <c r="T644" i="47"/>
  <c r="P644" i="47"/>
  <c r="D644" i="47"/>
  <c r="O644" i="47" s="1"/>
  <c r="A644" i="47"/>
  <c r="U643" i="47"/>
  <c r="T643" i="47"/>
  <c r="F643" i="47"/>
  <c r="C643" i="47"/>
  <c r="B643" i="47"/>
  <c r="A643" i="47"/>
  <c r="U642" i="47"/>
  <c r="T642" i="47"/>
  <c r="F642" i="47"/>
  <c r="A642" i="47"/>
  <c r="U641" i="47"/>
  <c r="T641" i="47"/>
  <c r="C641" i="47"/>
  <c r="A641" i="47"/>
  <c r="U640" i="47"/>
  <c r="T640" i="47"/>
  <c r="P640" i="47"/>
  <c r="F640" i="47"/>
  <c r="C640" i="47"/>
  <c r="B640" i="47"/>
  <c r="A640" i="47"/>
  <c r="D640" i="47" s="1"/>
  <c r="O640" i="47" s="1"/>
  <c r="U639" i="47"/>
  <c r="T639" i="47"/>
  <c r="C639" i="47"/>
  <c r="A639" i="47"/>
  <c r="U638" i="47"/>
  <c r="T638" i="47"/>
  <c r="F638" i="47"/>
  <c r="D638" i="47"/>
  <c r="O638" i="47" s="1"/>
  <c r="C638" i="47"/>
  <c r="B638" i="47"/>
  <c r="A638" i="47"/>
  <c r="U637" i="47"/>
  <c r="T637" i="47"/>
  <c r="F637" i="47"/>
  <c r="C637" i="47"/>
  <c r="B637" i="47"/>
  <c r="A637" i="47"/>
  <c r="U636" i="47"/>
  <c r="T636" i="47"/>
  <c r="F636" i="47"/>
  <c r="D636" i="47"/>
  <c r="O636" i="47" s="1"/>
  <c r="B636" i="47"/>
  <c r="A636" i="47"/>
  <c r="P636" i="47" s="1"/>
  <c r="U635" i="47"/>
  <c r="T635" i="47"/>
  <c r="F635" i="47"/>
  <c r="A635" i="47"/>
  <c r="B635" i="47" s="1"/>
  <c r="U634" i="47"/>
  <c r="T634" i="47"/>
  <c r="F634" i="47"/>
  <c r="D634" i="47"/>
  <c r="O634" i="47" s="1"/>
  <c r="C634" i="47"/>
  <c r="N634" i="47" s="1"/>
  <c r="B634" i="47"/>
  <c r="A634" i="47"/>
  <c r="U633" i="47"/>
  <c r="T633" i="47"/>
  <c r="F633" i="47"/>
  <c r="H633" i="47" s="1"/>
  <c r="C633" i="47"/>
  <c r="B633" i="47"/>
  <c r="A633" i="47"/>
  <c r="U632" i="47"/>
  <c r="T632" i="47"/>
  <c r="C632" i="47"/>
  <c r="B632" i="47"/>
  <c r="A632" i="47"/>
  <c r="U631" i="47"/>
  <c r="T631" i="47"/>
  <c r="A631" i="47"/>
  <c r="F631" i="47" s="1"/>
  <c r="U630" i="47"/>
  <c r="T630" i="47"/>
  <c r="A630" i="47"/>
  <c r="U629" i="47"/>
  <c r="T629" i="47"/>
  <c r="F629" i="47"/>
  <c r="B629" i="47"/>
  <c r="A629" i="47"/>
  <c r="U628" i="47"/>
  <c r="T628" i="47"/>
  <c r="A628" i="47"/>
  <c r="U627" i="47"/>
  <c r="T627" i="47"/>
  <c r="P627" i="47"/>
  <c r="F627" i="47"/>
  <c r="A627" i="47"/>
  <c r="U626" i="47"/>
  <c r="T626" i="47"/>
  <c r="N626" i="47"/>
  <c r="C626" i="47"/>
  <c r="G626" i="47" s="1"/>
  <c r="B626" i="47"/>
  <c r="A626" i="47"/>
  <c r="U625" i="47"/>
  <c r="T625" i="47"/>
  <c r="F625" i="47"/>
  <c r="A625" i="47"/>
  <c r="U624" i="47"/>
  <c r="T624" i="47"/>
  <c r="P624" i="47"/>
  <c r="F624" i="47"/>
  <c r="D624" i="47"/>
  <c r="O624" i="47" s="1"/>
  <c r="A624" i="47"/>
  <c r="U623" i="47"/>
  <c r="T623" i="47"/>
  <c r="P623" i="47"/>
  <c r="F623" i="47"/>
  <c r="B623" i="47"/>
  <c r="A623" i="47"/>
  <c r="U622" i="47"/>
  <c r="T622" i="47"/>
  <c r="A622" i="47"/>
  <c r="U621" i="47"/>
  <c r="T621" i="47"/>
  <c r="A621" i="47"/>
  <c r="U620" i="47"/>
  <c r="T620" i="47"/>
  <c r="A620" i="47"/>
  <c r="U619" i="47"/>
  <c r="T619" i="47"/>
  <c r="A619" i="47"/>
  <c r="U618" i="47"/>
  <c r="T618" i="47"/>
  <c r="A618" i="47"/>
  <c r="U617" i="47"/>
  <c r="T617" i="47"/>
  <c r="A617" i="47"/>
  <c r="U616" i="47"/>
  <c r="T616" i="47"/>
  <c r="F616" i="47"/>
  <c r="C616" i="47"/>
  <c r="B616" i="47"/>
  <c r="A616" i="47"/>
  <c r="P616" i="47" s="1"/>
  <c r="U615" i="47"/>
  <c r="T615" i="47"/>
  <c r="A615" i="47"/>
  <c r="U614" i="47"/>
  <c r="T614" i="47"/>
  <c r="A614" i="47"/>
  <c r="F614" i="47" s="1"/>
  <c r="U613" i="47"/>
  <c r="T613" i="47"/>
  <c r="F613" i="47"/>
  <c r="C613" i="47"/>
  <c r="A613" i="47"/>
  <c r="U612" i="47"/>
  <c r="T612" i="47"/>
  <c r="F612" i="47"/>
  <c r="A612" i="47"/>
  <c r="U611" i="47"/>
  <c r="T611" i="47"/>
  <c r="P611" i="47"/>
  <c r="F611" i="47"/>
  <c r="C611" i="47"/>
  <c r="G611" i="47" s="1"/>
  <c r="A611" i="47"/>
  <c r="U610" i="47"/>
  <c r="T610" i="47"/>
  <c r="A610" i="47"/>
  <c r="U609" i="47"/>
  <c r="T609" i="47"/>
  <c r="A609" i="47"/>
  <c r="U608" i="47"/>
  <c r="T608" i="47"/>
  <c r="P608" i="47"/>
  <c r="G608" i="47"/>
  <c r="F608" i="47"/>
  <c r="D608" i="47"/>
  <c r="O608" i="47" s="1"/>
  <c r="C608" i="47"/>
  <c r="I608" i="47" s="1"/>
  <c r="B608" i="47"/>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Q601" i="47" s="1"/>
  <c r="U600" i="47"/>
  <c r="T600" i="47"/>
  <c r="A600" i="47"/>
  <c r="U599" i="47"/>
  <c r="T599" i="47"/>
  <c r="A599" i="47"/>
  <c r="U598" i="47"/>
  <c r="T598" i="47"/>
  <c r="F598" i="47"/>
  <c r="D598" i="47"/>
  <c r="O598" i="47" s="1"/>
  <c r="A598" i="47"/>
  <c r="C598" i="47" s="1"/>
  <c r="U597" i="47"/>
  <c r="T597" i="47"/>
  <c r="P597" i="47"/>
  <c r="A597" i="47"/>
  <c r="U596" i="47"/>
  <c r="T596" i="47"/>
  <c r="P596" i="47"/>
  <c r="D596" i="47"/>
  <c r="O596" i="47" s="1"/>
  <c r="C596" i="47"/>
  <c r="J596" i="47" s="1"/>
  <c r="B596" i="47"/>
  <c r="A596" i="47"/>
  <c r="U595" i="47"/>
  <c r="T595" i="47"/>
  <c r="P595" i="47"/>
  <c r="F595" i="47"/>
  <c r="D595" i="47"/>
  <c r="O595" i="47" s="1"/>
  <c r="C595" i="47"/>
  <c r="B595" i="47"/>
  <c r="A595" i="47"/>
  <c r="U594" i="47"/>
  <c r="T594" i="47"/>
  <c r="F594" i="47"/>
  <c r="A594" i="47"/>
  <c r="D594" i="47" s="1"/>
  <c r="O594" i="47" s="1"/>
  <c r="U593" i="47"/>
  <c r="T593" i="47"/>
  <c r="P593" i="47"/>
  <c r="B593" i="47"/>
  <c r="A593" i="47"/>
  <c r="U592" i="47"/>
  <c r="T592" i="47"/>
  <c r="A592" i="47"/>
  <c r="U591" i="47"/>
  <c r="T591" i="47"/>
  <c r="P591" i="47"/>
  <c r="M591" i="47"/>
  <c r="H591" i="47"/>
  <c r="G591" i="47"/>
  <c r="F591" i="47"/>
  <c r="D591" i="47"/>
  <c r="O591" i="47" s="1"/>
  <c r="C591" i="47"/>
  <c r="N591" i="47" s="1"/>
  <c r="B591" i="47"/>
  <c r="A591" i="47"/>
  <c r="U590" i="47"/>
  <c r="T590" i="47"/>
  <c r="F590" i="47"/>
  <c r="C590" i="47"/>
  <c r="A590" i="47"/>
  <c r="B590" i="47" s="1"/>
  <c r="U589" i="47"/>
  <c r="T589" i="47"/>
  <c r="F589" i="47"/>
  <c r="B589" i="47"/>
  <c r="A589" i="47"/>
  <c r="U588" i="47"/>
  <c r="T588" i="47"/>
  <c r="A588" i="47"/>
  <c r="U587" i="47"/>
  <c r="T587" i="47"/>
  <c r="P587" i="47"/>
  <c r="F587" i="47"/>
  <c r="D587" i="47"/>
  <c r="C587" i="47"/>
  <c r="A587" i="47"/>
  <c r="B587" i="47" s="1"/>
  <c r="U586" i="47"/>
  <c r="T586" i="47"/>
  <c r="P586" i="47"/>
  <c r="F586" i="47"/>
  <c r="D586" i="47"/>
  <c r="O586" i="47" s="1"/>
  <c r="C586" i="47"/>
  <c r="A586" i="47"/>
  <c r="U585" i="47"/>
  <c r="T585" i="47"/>
  <c r="A585" i="47"/>
  <c r="U584" i="47"/>
  <c r="T584" i="47"/>
  <c r="A584" i="47"/>
  <c r="U583" i="47"/>
  <c r="T583" i="47"/>
  <c r="D583" i="47"/>
  <c r="B583" i="47"/>
  <c r="A583" i="47"/>
  <c r="U582" i="47"/>
  <c r="T582" i="47"/>
  <c r="A582" i="47"/>
  <c r="U581" i="47"/>
  <c r="T581" i="47"/>
  <c r="B581" i="47"/>
  <c r="A581" i="47"/>
  <c r="U580" i="47"/>
  <c r="T580" i="47"/>
  <c r="A580" i="47"/>
  <c r="B580" i="47" s="1"/>
  <c r="U579" i="47"/>
  <c r="T579" i="47"/>
  <c r="P579" i="47"/>
  <c r="C579" i="47"/>
  <c r="B579" i="47"/>
  <c r="A579" i="47"/>
  <c r="U578" i="47"/>
  <c r="T578" i="47"/>
  <c r="P578" i="47"/>
  <c r="N578" i="47"/>
  <c r="F578" i="47"/>
  <c r="C578" i="47"/>
  <c r="A578" i="47"/>
  <c r="U577" i="47"/>
  <c r="T577" i="47"/>
  <c r="A577" i="47"/>
  <c r="U576" i="47"/>
  <c r="T576" i="47"/>
  <c r="A576" i="47"/>
  <c r="P576" i="47" s="1"/>
  <c r="U575" i="47"/>
  <c r="T575" i="47"/>
  <c r="A575" i="47"/>
  <c r="P575" i="47" s="1"/>
  <c r="U574" i="47"/>
  <c r="T574" i="47"/>
  <c r="D574" i="47"/>
  <c r="C574" i="47"/>
  <c r="A574" i="47"/>
  <c r="U573" i="47"/>
  <c r="T573" i="47"/>
  <c r="A573" i="47"/>
  <c r="U572" i="47"/>
  <c r="T572" i="47"/>
  <c r="K572" i="47"/>
  <c r="G572" i="47"/>
  <c r="F572" i="47"/>
  <c r="C572" i="47"/>
  <c r="E572" i="47" s="1"/>
  <c r="B572" i="47"/>
  <c r="A572" i="47"/>
  <c r="U571" i="47"/>
  <c r="T571" i="47"/>
  <c r="A571" i="47"/>
  <c r="U570" i="47"/>
  <c r="T570" i="47"/>
  <c r="A570" i="47"/>
  <c r="U569" i="47"/>
  <c r="T569" i="47"/>
  <c r="M569" i="47"/>
  <c r="L569" i="47"/>
  <c r="K569" i="47"/>
  <c r="C569" i="47"/>
  <c r="I569" i="47" s="1"/>
  <c r="B569" i="47"/>
  <c r="A569" i="47"/>
  <c r="U568" i="47"/>
  <c r="T568" i="47"/>
  <c r="A568" i="47"/>
  <c r="U567" i="47"/>
  <c r="T567" i="47"/>
  <c r="A567" i="47"/>
  <c r="U566" i="47"/>
  <c r="T566" i="47"/>
  <c r="A566" i="47"/>
  <c r="U565" i="47"/>
  <c r="T565" i="47"/>
  <c r="B565" i="47"/>
  <c r="A565" i="47"/>
  <c r="C565" i="47" s="1"/>
  <c r="U564" i="47"/>
  <c r="T564" i="47"/>
  <c r="A564" i="47"/>
  <c r="U563" i="47"/>
  <c r="T563" i="47"/>
  <c r="D563" i="47"/>
  <c r="O563" i="47" s="1"/>
  <c r="C563" i="47"/>
  <c r="J563" i="47" s="1"/>
  <c r="B563" i="47"/>
  <c r="A563" i="47"/>
  <c r="F563" i="47" s="1"/>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D555" i="47"/>
  <c r="C555" i="47"/>
  <c r="B555" i="47"/>
  <c r="A555" i="47"/>
  <c r="U554" i="47"/>
  <c r="T554" i="47"/>
  <c r="A554" i="47"/>
  <c r="F554" i="47" s="1"/>
  <c r="U553" i="47"/>
  <c r="T553" i="47"/>
  <c r="D553" i="47"/>
  <c r="O553" i="47" s="1"/>
  <c r="A553" i="47"/>
  <c r="U552" i="47"/>
  <c r="T552" i="47"/>
  <c r="P552" i="47"/>
  <c r="F552" i="47"/>
  <c r="B552" i="47"/>
  <c r="A552" i="47"/>
  <c r="U551" i="47"/>
  <c r="T551" i="47"/>
  <c r="P551" i="47"/>
  <c r="F551" i="47"/>
  <c r="B551" i="47"/>
  <c r="A551" i="47"/>
  <c r="U550" i="47"/>
  <c r="T550" i="47"/>
  <c r="A550" i="47"/>
  <c r="U549" i="47"/>
  <c r="T549" i="47"/>
  <c r="D549" i="47"/>
  <c r="O549" i="47" s="1"/>
  <c r="A549" i="47"/>
  <c r="B549" i="47" s="1"/>
  <c r="U548" i="47"/>
  <c r="T548" i="47"/>
  <c r="A548" i="47"/>
  <c r="U547" i="47"/>
  <c r="T547" i="47"/>
  <c r="A547" i="47"/>
  <c r="U546" i="47"/>
  <c r="T546" i="47"/>
  <c r="D546" i="47"/>
  <c r="C546" i="47"/>
  <c r="K546" i="47" s="1"/>
  <c r="B546" i="47"/>
  <c r="A546" i="47"/>
  <c r="U545" i="47"/>
  <c r="T545" i="47"/>
  <c r="A545" i="47"/>
  <c r="U544" i="47"/>
  <c r="T544" i="47"/>
  <c r="P544" i="47"/>
  <c r="Q544" i="47" s="1"/>
  <c r="A544" i="47"/>
  <c r="F544" i="47" s="1"/>
  <c r="U543" i="47"/>
  <c r="T543" i="47"/>
  <c r="Q543" i="47"/>
  <c r="I543" i="47"/>
  <c r="D543" i="47"/>
  <c r="O543" i="47" s="1"/>
  <c r="C543" i="47"/>
  <c r="B543" i="47"/>
  <c r="A543" i="47"/>
  <c r="P543" i="47" s="1"/>
  <c r="U542" i="47"/>
  <c r="T542" i="47"/>
  <c r="A542" i="47"/>
  <c r="U541" i="47"/>
  <c r="T541" i="47"/>
  <c r="B541" i="47"/>
  <c r="A541" i="47"/>
  <c r="C541" i="47" s="1"/>
  <c r="U540" i="47"/>
  <c r="T540" i="47"/>
  <c r="F540" i="47"/>
  <c r="A540" i="47"/>
  <c r="C540" i="47" s="1"/>
  <c r="U539" i="47"/>
  <c r="T539" i="47"/>
  <c r="P539" i="47"/>
  <c r="N539" i="47"/>
  <c r="E539" i="47"/>
  <c r="D539" i="47"/>
  <c r="O539" i="47" s="1"/>
  <c r="C539" i="47"/>
  <c r="A539" i="47"/>
  <c r="F539" i="47" s="1"/>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E534" i="47"/>
  <c r="D534" i="47"/>
  <c r="A534" i="47"/>
  <c r="C534" i="47" s="1"/>
  <c r="M534" i="47" s="1"/>
  <c r="U533" i="47"/>
  <c r="T533" i="47"/>
  <c r="A533" i="47"/>
  <c r="U532" i="47"/>
  <c r="T532" i="47"/>
  <c r="A532" i="47"/>
  <c r="U531" i="47"/>
  <c r="T531" i="47"/>
  <c r="P531" i="47"/>
  <c r="A531" i="47"/>
  <c r="U530" i="47"/>
  <c r="T530" i="47"/>
  <c r="F530" i="47"/>
  <c r="D530" i="47"/>
  <c r="Q530" i="47" s="1"/>
  <c r="B530" i="47"/>
  <c r="A530" i="47"/>
  <c r="P530" i="47" s="1"/>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G523" i="47"/>
  <c r="D523" i="47"/>
  <c r="Q523" i="47" s="1"/>
  <c r="C523" i="47"/>
  <c r="L523" i="47" s="1"/>
  <c r="B523" i="47"/>
  <c r="A523" i="47"/>
  <c r="P523" i="47" s="1"/>
  <c r="U522" i="47"/>
  <c r="T522" i="47"/>
  <c r="F522" i="47"/>
  <c r="B522" i="47"/>
  <c r="A522" i="47"/>
  <c r="P522" i="47" s="1"/>
  <c r="U521" i="47"/>
  <c r="T521" i="47"/>
  <c r="A521" i="47"/>
  <c r="U520" i="47"/>
  <c r="T520" i="47"/>
  <c r="P520" i="47"/>
  <c r="F520" i="47"/>
  <c r="D520" i="47"/>
  <c r="O520" i="47" s="1"/>
  <c r="B520" i="47"/>
  <c r="A520" i="47"/>
  <c r="U519" i="47"/>
  <c r="T519" i="47"/>
  <c r="A519" i="47"/>
  <c r="U518" i="47"/>
  <c r="T518" i="47"/>
  <c r="P518" i="47"/>
  <c r="F518" i="47"/>
  <c r="C518" i="47"/>
  <c r="B518" i="47"/>
  <c r="A518" i="47"/>
  <c r="U517" i="47"/>
  <c r="T517" i="47"/>
  <c r="B517" i="47"/>
  <c r="A517" i="47"/>
  <c r="U516" i="47"/>
  <c r="T516" i="47"/>
  <c r="F516" i="47"/>
  <c r="B516" i="47"/>
  <c r="A516" i="47"/>
  <c r="U515" i="47"/>
  <c r="T515" i="47"/>
  <c r="P515" i="47"/>
  <c r="D515" i="47"/>
  <c r="Q515" i="47" s="1"/>
  <c r="C515" i="47"/>
  <c r="A515" i="47"/>
  <c r="U514" i="47"/>
  <c r="T514" i="47"/>
  <c r="P514" i="47"/>
  <c r="F514" i="47"/>
  <c r="B514" i="47"/>
  <c r="A514" i="47"/>
  <c r="U513" i="47"/>
  <c r="T513" i="47"/>
  <c r="A513" i="47"/>
  <c r="U512" i="47"/>
  <c r="T512" i="47"/>
  <c r="P512" i="47"/>
  <c r="F512" i="47"/>
  <c r="D512" i="47"/>
  <c r="O512" i="47" s="1"/>
  <c r="B512" i="47"/>
  <c r="A512" i="47"/>
  <c r="U511" i="47"/>
  <c r="T511" i="47"/>
  <c r="B511" i="47"/>
  <c r="A511" i="47"/>
  <c r="U510" i="47"/>
  <c r="T510" i="47"/>
  <c r="P510" i="47"/>
  <c r="J510" i="47"/>
  <c r="F510" i="47"/>
  <c r="D510" i="47"/>
  <c r="O510" i="47" s="1"/>
  <c r="C510" i="47"/>
  <c r="B510" i="47"/>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B500" i="47"/>
  <c r="A500" i="47"/>
  <c r="U499" i="47"/>
  <c r="T499" i="47"/>
  <c r="A499" i="47"/>
  <c r="U498" i="47"/>
  <c r="T498" i="47"/>
  <c r="A498" i="47"/>
  <c r="U497" i="47"/>
  <c r="T497" i="47"/>
  <c r="F497" i="47"/>
  <c r="A497" i="47"/>
  <c r="P497" i="47" s="1"/>
  <c r="U496" i="47"/>
  <c r="T496" i="47"/>
  <c r="F496" i="47"/>
  <c r="D496" i="47"/>
  <c r="O496" i="47" s="1"/>
  <c r="A496" i="47"/>
  <c r="P496" i="47" s="1"/>
  <c r="U495" i="47"/>
  <c r="T495" i="47"/>
  <c r="J495" i="47"/>
  <c r="C495" i="47"/>
  <c r="A495" i="47"/>
  <c r="U494" i="47"/>
  <c r="T494" i="47"/>
  <c r="C494" i="47"/>
  <c r="A494" i="47"/>
  <c r="U493" i="47"/>
  <c r="T493" i="47"/>
  <c r="A493" i="47"/>
  <c r="U492" i="47"/>
  <c r="T492" i="47"/>
  <c r="D492" i="47"/>
  <c r="O492" i="47" s="1"/>
  <c r="A492" i="47"/>
  <c r="U491" i="47"/>
  <c r="T491" i="47"/>
  <c r="P491" i="47"/>
  <c r="I491" i="47"/>
  <c r="F491" i="47"/>
  <c r="H491" i="47" s="1"/>
  <c r="D491" i="47"/>
  <c r="O491" i="47" s="1"/>
  <c r="C491" i="47"/>
  <c r="B491" i="47"/>
  <c r="A491" i="47"/>
  <c r="U490" i="47"/>
  <c r="T490" i="47"/>
  <c r="P490" i="47"/>
  <c r="A490" i="47"/>
  <c r="U489" i="47"/>
  <c r="T489" i="47"/>
  <c r="A489" i="47"/>
  <c r="P489" i="47" s="1"/>
  <c r="U488" i="47"/>
  <c r="T488" i="47"/>
  <c r="F488" i="47"/>
  <c r="B488" i="47"/>
  <c r="A488" i="47"/>
  <c r="U487" i="47"/>
  <c r="T487" i="47"/>
  <c r="A487" i="47"/>
  <c r="D487" i="47" s="1"/>
  <c r="O487" i="47" s="1"/>
  <c r="U486" i="47"/>
  <c r="T486" i="47"/>
  <c r="P486" i="47"/>
  <c r="F486" i="47"/>
  <c r="D486" i="47"/>
  <c r="O486" i="47" s="1"/>
  <c r="C486" i="47"/>
  <c r="B486" i="47"/>
  <c r="A486" i="47"/>
  <c r="U485" i="47"/>
  <c r="T485" i="47"/>
  <c r="A485" i="47"/>
  <c r="U484" i="47"/>
  <c r="T484" i="47"/>
  <c r="P484" i="47"/>
  <c r="F484" i="47"/>
  <c r="D484" i="47"/>
  <c r="O484" i="47" s="1"/>
  <c r="A484" i="47"/>
  <c r="B484" i="47" s="1"/>
  <c r="U483" i="47"/>
  <c r="T483" i="47"/>
  <c r="P483" i="47"/>
  <c r="F483" i="47"/>
  <c r="C483" i="47"/>
  <c r="J483" i="47" s="1"/>
  <c r="B483" i="47"/>
  <c r="A483" i="47"/>
  <c r="U482" i="47"/>
  <c r="T482" i="47"/>
  <c r="P482" i="47"/>
  <c r="F482" i="47"/>
  <c r="B482" i="47"/>
  <c r="A482" i="47"/>
  <c r="D482" i="47" s="1"/>
  <c r="O482" i="47" s="1"/>
  <c r="U481" i="47"/>
  <c r="T481" i="47"/>
  <c r="B481" i="47"/>
  <c r="A481" i="47"/>
  <c r="P481" i="47" s="1"/>
  <c r="U480" i="47"/>
  <c r="T480" i="47"/>
  <c r="P480" i="47"/>
  <c r="F480" i="47"/>
  <c r="D480" i="47"/>
  <c r="O480" i="47" s="1"/>
  <c r="B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M474" i="47"/>
  <c r="F474" i="47"/>
  <c r="C474" i="47"/>
  <c r="L474" i="47" s="1"/>
  <c r="B474" i="47"/>
  <c r="A474" i="47"/>
  <c r="U473" i="47"/>
  <c r="T473" i="47"/>
  <c r="A473" i="47"/>
  <c r="U472" i="47"/>
  <c r="T472" i="47"/>
  <c r="P472" i="47"/>
  <c r="F472" i="47"/>
  <c r="C472" i="47"/>
  <c r="B472" i="47"/>
  <c r="A472" i="47"/>
  <c r="U471" i="47"/>
  <c r="T471" i="47"/>
  <c r="A471" i="47"/>
  <c r="C471" i="47" s="1"/>
  <c r="U470" i="47"/>
  <c r="T470" i="47"/>
  <c r="P470" i="47"/>
  <c r="F470" i="47"/>
  <c r="B470" i="47"/>
  <c r="A470" i="47"/>
  <c r="D470" i="47" s="1"/>
  <c r="O470" i="47" s="1"/>
  <c r="U469" i="47"/>
  <c r="T469" i="47"/>
  <c r="A469" i="47"/>
  <c r="U468" i="47"/>
  <c r="T468" i="47"/>
  <c r="A468" i="47"/>
  <c r="P468" i="47" s="1"/>
  <c r="U467" i="47"/>
  <c r="T467" i="47"/>
  <c r="A467" i="47"/>
  <c r="U466" i="47"/>
  <c r="T466" i="47"/>
  <c r="D466" i="47"/>
  <c r="O466" i="47" s="1"/>
  <c r="A466" i="47"/>
  <c r="U465" i="47"/>
  <c r="T465" i="47"/>
  <c r="A465" i="47"/>
  <c r="U464" i="47"/>
  <c r="T464" i="47"/>
  <c r="B464" i="47"/>
  <c r="A464" i="47"/>
  <c r="F464" i="47" s="1"/>
  <c r="U463" i="47"/>
  <c r="T463" i="47"/>
  <c r="P463" i="47"/>
  <c r="D463" i="47"/>
  <c r="A463" i="47"/>
  <c r="B463" i="47" s="1"/>
  <c r="U462" i="47"/>
  <c r="T462" i="47"/>
  <c r="P462" i="47"/>
  <c r="F462" i="47"/>
  <c r="B462" i="47"/>
  <c r="A462" i="47"/>
  <c r="U461" i="47"/>
  <c r="T461" i="47"/>
  <c r="F461" i="47"/>
  <c r="C461" i="47"/>
  <c r="A461" i="47"/>
  <c r="U460" i="47"/>
  <c r="T460" i="47"/>
  <c r="A460" i="47"/>
  <c r="F460" i="47" s="1"/>
  <c r="U459" i="47"/>
  <c r="T459" i="47"/>
  <c r="D459" i="47"/>
  <c r="B459" i="47"/>
  <c r="A459" i="47"/>
  <c r="U458" i="47"/>
  <c r="T458" i="47"/>
  <c r="P458" i="47"/>
  <c r="F458" i="47"/>
  <c r="A458" i="47"/>
  <c r="U457" i="47"/>
  <c r="T457" i="47"/>
  <c r="A457" i="47"/>
  <c r="U456" i="47"/>
  <c r="T456" i="47"/>
  <c r="A456" i="47"/>
  <c r="U455" i="47"/>
  <c r="T455" i="47"/>
  <c r="N455" i="47"/>
  <c r="F455" i="47"/>
  <c r="D455" i="47"/>
  <c r="O455" i="47" s="1"/>
  <c r="C455" i="47"/>
  <c r="K455" i="47" s="1"/>
  <c r="B455" i="47"/>
  <c r="G455" i="47" s="1"/>
  <c r="A455" i="47"/>
  <c r="U454" i="47"/>
  <c r="T454" i="47"/>
  <c r="F454" i="47"/>
  <c r="D454" i="47"/>
  <c r="O454" i="47" s="1"/>
  <c r="C454" i="47"/>
  <c r="G454" i="47" s="1"/>
  <c r="B454" i="47"/>
  <c r="A454" i="47"/>
  <c r="P454" i="47" s="1"/>
  <c r="U453" i="47"/>
  <c r="T453" i="47"/>
  <c r="D453" i="47"/>
  <c r="O453" i="47" s="1"/>
  <c r="C453" i="47"/>
  <c r="A453" i="47"/>
  <c r="U452" i="47"/>
  <c r="T452" i="47"/>
  <c r="F452" i="47"/>
  <c r="A452" i="47"/>
  <c r="P452" i="47" s="1"/>
  <c r="U451" i="47"/>
  <c r="T451" i="47"/>
  <c r="A451" i="47"/>
  <c r="U450" i="47"/>
  <c r="T450" i="47"/>
  <c r="P450" i="47"/>
  <c r="F450" i="47"/>
  <c r="D450" i="47"/>
  <c r="O450" i="47" s="1"/>
  <c r="C450" i="47"/>
  <c r="E450" i="47" s="1"/>
  <c r="A450" i="47"/>
  <c r="B450" i="47" s="1"/>
  <c r="U449" i="47"/>
  <c r="T449" i="47"/>
  <c r="A449" i="47"/>
  <c r="U448" i="47"/>
  <c r="T448" i="47"/>
  <c r="D448" i="47"/>
  <c r="C448" i="47"/>
  <c r="J448" i="47" s="1"/>
  <c r="B448" i="47"/>
  <c r="A448" i="47"/>
  <c r="U447" i="47"/>
  <c r="T447" i="47"/>
  <c r="J447" i="47"/>
  <c r="C447" i="47"/>
  <c r="A447" i="47"/>
  <c r="U446" i="47"/>
  <c r="T446" i="47"/>
  <c r="P446" i="47"/>
  <c r="D446" i="47"/>
  <c r="O446" i="47" s="1"/>
  <c r="A446" i="47"/>
  <c r="U445" i="47"/>
  <c r="T445" i="47"/>
  <c r="D445" i="47"/>
  <c r="O445" i="47" s="1"/>
  <c r="A445" i="47"/>
  <c r="U444" i="47"/>
  <c r="T444" i="47"/>
  <c r="A444" i="47"/>
  <c r="U443" i="47"/>
  <c r="T443" i="47"/>
  <c r="D443" i="47"/>
  <c r="A443" i="47"/>
  <c r="U442" i="47"/>
  <c r="T442" i="47"/>
  <c r="P442" i="47"/>
  <c r="F442" i="47"/>
  <c r="D442" i="47"/>
  <c r="O442" i="47" s="1"/>
  <c r="C442" i="47"/>
  <c r="B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P436" i="47"/>
  <c r="C436" i="47"/>
  <c r="E436" i="47" s="1"/>
  <c r="A436" i="47"/>
  <c r="U435" i="47"/>
  <c r="T435" i="47"/>
  <c r="A435" i="47"/>
  <c r="P435" i="47" s="1"/>
  <c r="U434" i="47"/>
  <c r="T434" i="47"/>
  <c r="P434" i="47"/>
  <c r="C434" i="47"/>
  <c r="A434" i="47"/>
  <c r="U433" i="47"/>
  <c r="T433" i="47"/>
  <c r="P433" i="47"/>
  <c r="F433" i="47"/>
  <c r="B433" i="47"/>
  <c r="A433" i="47"/>
  <c r="U432" i="47"/>
  <c r="T432" i="47"/>
  <c r="P432" i="47"/>
  <c r="D432" i="47"/>
  <c r="A432" i="47"/>
  <c r="U431" i="47"/>
  <c r="T431" i="47"/>
  <c r="A431" i="47"/>
  <c r="U430" i="47"/>
  <c r="T430" i="47"/>
  <c r="P430" i="47"/>
  <c r="A430" i="47"/>
  <c r="U429" i="47"/>
  <c r="T429" i="47"/>
  <c r="F429" i="47"/>
  <c r="A429" i="47"/>
  <c r="U428" i="47"/>
  <c r="T428" i="47"/>
  <c r="P428" i="47"/>
  <c r="N428" i="47"/>
  <c r="M428" i="47"/>
  <c r="J428" i="47"/>
  <c r="F428" i="47"/>
  <c r="D428" i="47"/>
  <c r="C428" i="47"/>
  <c r="B428" i="47"/>
  <c r="A428" i="47"/>
  <c r="U427" i="47"/>
  <c r="T427" i="47"/>
  <c r="F427" i="47"/>
  <c r="A427" i="47"/>
  <c r="U426" i="47"/>
  <c r="T426" i="47"/>
  <c r="A426" i="47"/>
  <c r="U425" i="47"/>
  <c r="T425" i="47"/>
  <c r="B425" i="47"/>
  <c r="A425" i="47"/>
  <c r="P425" i="47" s="1"/>
  <c r="U424" i="47"/>
  <c r="T424" i="47"/>
  <c r="A424" i="47"/>
  <c r="P424" i="47" s="1"/>
  <c r="U423" i="47"/>
  <c r="T423" i="47"/>
  <c r="P423" i="47"/>
  <c r="A423" i="47"/>
  <c r="U422" i="47"/>
  <c r="T422" i="47"/>
  <c r="P422" i="47"/>
  <c r="F422" i="47"/>
  <c r="D422" i="47"/>
  <c r="O422" i="47" s="1"/>
  <c r="C422" i="47"/>
  <c r="E422" i="47" s="1"/>
  <c r="B422" i="47"/>
  <c r="A422" i="47"/>
  <c r="U421" i="47"/>
  <c r="T421" i="47"/>
  <c r="P421" i="47"/>
  <c r="F421" i="47"/>
  <c r="B421" i="47"/>
  <c r="A421" i="47"/>
  <c r="U420" i="47"/>
  <c r="T420" i="47"/>
  <c r="P420" i="47"/>
  <c r="L420" i="47"/>
  <c r="F420" i="47"/>
  <c r="D420" i="47"/>
  <c r="O420" i="47" s="1"/>
  <c r="C420" i="47"/>
  <c r="E420" i="47" s="1"/>
  <c r="B420" i="47"/>
  <c r="A420" i="47"/>
  <c r="U419" i="47"/>
  <c r="T419" i="47"/>
  <c r="P419" i="47"/>
  <c r="F419" i="47"/>
  <c r="A419" i="47"/>
  <c r="U418" i="47"/>
  <c r="T418" i="47"/>
  <c r="A418" i="47"/>
  <c r="U417" i="47"/>
  <c r="T417" i="47"/>
  <c r="P417" i="47"/>
  <c r="F417" i="47"/>
  <c r="B417" i="47"/>
  <c r="A417" i="47"/>
  <c r="U416" i="47"/>
  <c r="T416" i="47"/>
  <c r="P416" i="47"/>
  <c r="F416" i="47"/>
  <c r="D416" i="47"/>
  <c r="O416" i="47" s="1"/>
  <c r="C416" i="47"/>
  <c r="J416" i="47" s="1"/>
  <c r="B416" i="47"/>
  <c r="A416" i="47"/>
  <c r="U415" i="47"/>
  <c r="T415" i="47"/>
  <c r="A415" i="47"/>
  <c r="F415" i="47" s="1"/>
  <c r="U414" i="47"/>
  <c r="T414" i="47"/>
  <c r="P414" i="47"/>
  <c r="A414" i="47"/>
  <c r="U413" i="47"/>
  <c r="T413" i="47"/>
  <c r="A413" i="47"/>
  <c r="U412" i="47"/>
  <c r="T412" i="47"/>
  <c r="A412" i="47"/>
  <c r="U411" i="47"/>
  <c r="T411" i="47"/>
  <c r="F411" i="47"/>
  <c r="A411" i="47"/>
  <c r="U410" i="47"/>
  <c r="T410" i="47"/>
  <c r="N410" i="47"/>
  <c r="J410" i="47"/>
  <c r="H410" i="47"/>
  <c r="F410" i="47"/>
  <c r="D410" i="47"/>
  <c r="O410" i="47" s="1"/>
  <c r="C410" i="47"/>
  <c r="B410" i="47"/>
  <c r="A410" i="47"/>
  <c r="P410" i="47" s="1"/>
  <c r="U409" i="47"/>
  <c r="T409" i="47"/>
  <c r="P409" i="47"/>
  <c r="F409" i="47"/>
  <c r="B409" i="47"/>
  <c r="A409" i="47"/>
  <c r="U408" i="47"/>
  <c r="T408" i="47"/>
  <c r="P408" i="47"/>
  <c r="K408" i="47"/>
  <c r="J408" i="47"/>
  <c r="F408" i="47"/>
  <c r="D408" i="47"/>
  <c r="O408" i="47" s="1"/>
  <c r="C408" i="47"/>
  <c r="B408" i="47"/>
  <c r="A408" i="47"/>
  <c r="U407" i="47"/>
  <c r="T407" i="47"/>
  <c r="P407" i="47"/>
  <c r="Q407" i="47" s="1"/>
  <c r="F407" i="47"/>
  <c r="D407" i="47"/>
  <c r="O407" i="47" s="1"/>
  <c r="B407" i="47"/>
  <c r="A407" i="47"/>
  <c r="U406" i="47"/>
  <c r="T406" i="47"/>
  <c r="P406" i="47"/>
  <c r="F406" i="47"/>
  <c r="D406" i="47"/>
  <c r="O406" i="47" s="1"/>
  <c r="C406" i="47"/>
  <c r="H406" i="47" s="1"/>
  <c r="B406" i="47"/>
  <c r="A406" i="47"/>
  <c r="U405" i="47"/>
  <c r="T405" i="47"/>
  <c r="A405" i="47"/>
  <c r="U404" i="47"/>
  <c r="T404" i="47"/>
  <c r="A404" i="47"/>
  <c r="U403" i="47"/>
  <c r="T403" i="47"/>
  <c r="A403" i="47"/>
  <c r="U402" i="47"/>
  <c r="T402" i="47"/>
  <c r="C402" i="47"/>
  <c r="B402" i="47"/>
  <c r="A402" i="47"/>
  <c r="P402" i="47" s="1"/>
  <c r="U401" i="47"/>
  <c r="T401" i="47"/>
  <c r="A401" i="47"/>
  <c r="U400" i="47"/>
  <c r="T400" i="47"/>
  <c r="P400" i="47"/>
  <c r="N400" i="47"/>
  <c r="K400" i="47"/>
  <c r="F400" i="47"/>
  <c r="C400" i="47"/>
  <c r="E400" i="47" s="1"/>
  <c r="B400" i="47"/>
  <c r="A400" i="47"/>
  <c r="U399" i="47"/>
  <c r="T399" i="47"/>
  <c r="A399" i="47"/>
  <c r="D399" i="47" s="1"/>
  <c r="O399" i="47" s="1"/>
  <c r="U398" i="47"/>
  <c r="T398" i="47"/>
  <c r="P398" i="47"/>
  <c r="F398" i="47"/>
  <c r="D398" i="47"/>
  <c r="O398" i="47" s="1"/>
  <c r="C398" i="47"/>
  <c r="A398" i="47"/>
  <c r="U397" i="47"/>
  <c r="T397" i="47"/>
  <c r="F397" i="47"/>
  <c r="A397" i="47"/>
  <c r="U396" i="47"/>
  <c r="T396" i="47"/>
  <c r="A396" i="47"/>
  <c r="U395" i="47"/>
  <c r="T395" i="47"/>
  <c r="P395" i="47"/>
  <c r="A395" i="47"/>
  <c r="U394" i="47"/>
  <c r="T394" i="47"/>
  <c r="A394" i="47"/>
  <c r="U393" i="47"/>
  <c r="T393" i="47"/>
  <c r="A393" i="47"/>
  <c r="U392" i="47"/>
  <c r="T392" i="47"/>
  <c r="P392" i="47"/>
  <c r="F392" i="47"/>
  <c r="D392" i="47"/>
  <c r="O392" i="47" s="1"/>
  <c r="A392" i="47"/>
  <c r="U391" i="47"/>
  <c r="T391" i="47"/>
  <c r="P391" i="47"/>
  <c r="F391" i="47"/>
  <c r="B391" i="47"/>
  <c r="A391" i="47"/>
  <c r="D391" i="47" s="1"/>
  <c r="O391" i="47" s="1"/>
  <c r="U390" i="47"/>
  <c r="T390" i="47"/>
  <c r="P390" i="47"/>
  <c r="F390" i="47"/>
  <c r="A390" i="47"/>
  <c r="U389" i="47"/>
  <c r="T389" i="47"/>
  <c r="A389" i="47"/>
  <c r="U388" i="47"/>
  <c r="T388" i="47"/>
  <c r="F388" i="47"/>
  <c r="A388" i="47"/>
  <c r="U387" i="47"/>
  <c r="T387" i="47"/>
  <c r="A387" i="47"/>
  <c r="U386" i="47"/>
  <c r="T386" i="47"/>
  <c r="P386" i="47"/>
  <c r="B386" i="47"/>
  <c r="A386" i="47"/>
  <c r="U385" i="47"/>
  <c r="T385" i="47"/>
  <c r="A385" i="47"/>
  <c r="U384" i="47"/>
  <c r="T384" i="47"/>
  <c r="A384" i="47"/>
  <c r="U383" i="47"/>
  <c r="T383" i="47"/>
  <c r="P383" i="47"/>
  <c r="Q383" i="47" s="1"/>
  <c r="A383" i="47"/>
  <c r="D383" i="47" s="1"/>
  <c r="O383" i="47" s="1"/>
  <c r="U382" i="47"/>
  <c r="T382" i="47"/>
  <c r="P382" i="47"/>
  <c r="F382" i="47"/>
  <c r="D382" i="47"/>
  <c r="O382" i="47" s="1"/>
  <c r="B382" i="47"/>
  <c r="A382" i="47"/>
  <c r="U381" i="47"/>
  <c r="T381" i="47"/>
  <c r="P381" i="47"/>
  <c r="A381" i="47"/>
  <c r="F381" i="47" s="1"/>
  <c r="U380" i="47"/>
  <c r="T380" i="47"/>
  <c r="A380" i="47"/>
  <c r="U379" i="47"/>
  <c r="T379" i="47"/>
  <c r="A379" i="47"/>
  <c r="U378" i="47"/>
  <c r="T378" i="47"/>
  <c r="P378" i="47"/>
  <c r="K378" i="47"/>
  <c r="J378" i="47"/>
  <c r="F378" i="47"/>
  <c r="D378" i="47"/>
  <c r="O378" i="47" s="1"/>
  <c r="C378" i="47"/>
  <c r="M378" i="47" s="1"/>
  <c r="B378" i="47"/>
  <c r="A378" i="47"/>
  <c r="U377" i="47"/>
  <c r="T377" i="47"/>
  <c r="A377" i="47"/>
  <c r="U376" i="47"/>
  <c r="T376" i="47"/>
  <c r="P376" i="47"/>
  <c r="F376" i="47"/>
  <c r="D376" i="47"/>
  <c r="O376" i="47" s="1"/>
  <c r="C376" i="47"/>
  <c r="E376" i="47" s="1"/>
  <c r="B376" i="47"/>
  <c r="A376" i="47"/>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L370" i="47"/>
  <c r="H370" i="47"/>
  <c r="F370" i="47"/>
  <c r="D370" i="47"/>
  <c r="O370" i="47" s="1"/>
  <c r="C370" i="47"/>
  <c r="B370" i="47"/>
  <c r="A370" i="47"/>
  <c r="P370" i="47" s="1"/>
  <c r="U369" i="47"/>
  <c r="T369" i="47"/>
  <c r="A369" i="47"/>
  <c r="U368" i="47"/>
  <c r="T368" i="47"/>
  <c r="A368" i="47"/>
  <c r="U367" i="47"/>
  <c r="T367" i="47"/>
  <c r="P367" i="47"/>
  <c r="F367" i="47"/>
  <c r="D367" i="47"/>
  <c r="A367" i="47"/>
  <c r="U366" i="47"/>
  <c r="T366" i="47"/>
  <c r="P366" i="47"/>
  <c r="L366" i="47"/>
  <c r="F366" i="47"/>
  <c r="H366" i="47" s="1"/>
  <c r="C366" i="47"/>
  <c r="B366" i="47"/>
  <c r="A366" i="47"/>
  <c r="U365" i="47"/>
  <c r="T365" i="47"/>
  <c r="A365" i="47"/>
  <c r="P365" i="47" s="1"/>
  <c r="U364" i="47"/>
  <c r="T364" i="47"/>
  <c r="P364" i="47"/>
  <c r="F364" i="47"/>
  <c r="C364" i="47"/>
  <c r="K364" i="47" s="1"/>
  <c r="B364" i="47"/>
  <c r="A364" i="47"/>
  <c r="U363" i="47"/>
  <c r="T363" i="47"/>
  <c r="A363" i="47"/>
  <c r="U362" i="47"/>
  <c r="T362" i="47"/>
  <c r="A362" i="47"/>
  <c r="U361" i="47"/>
  <c r="T361" i="47"/>
  <c r="A361" i="47"/>
  <c r="U360" i="47"/>
  <c r="T360" i="47"/>
  <c r="B360" i="47"/>
  <c r="A360" i="47"/>
  <c r="U359" i="47"/>
  <c r="T359" i="47"/>
  <c r="A359" i="47"/>
  <c r="U358" i="47"/>
  <c r="T358" i="47"/>
  <c r="P358" i="47"/>
  <c r="N358" i="47"/>
  <c r="M358" i="47"/>
  <c r="J358" i="47"/>
  <c r="H358" i="47"/>
  <c r="F358" i="47"/>
  <c r="E358" i="47"/>
  <c r="D358" i="47"/>
  <c r="O358" i="47" s="1"/>
  <c r="C358" i="47"/>
  <c r="B358" i="47"/>
  <c r="K358" i="47" s="1"/>
  <c r="A358" i="47"/>
  <c r="U357" i="47"/>
  <c r="T357" i="47"/>
  <c r="P357" i="47"/>
  <c r="A357" i="47"/>
  <c r="U356" i="47"/>
  <c r="T356" i="47"/>
  <c r="A356" i="47"/>
  <c r="U355" i="47"/>
  <c r="T355" i="47"/>
  <c r="P355" i="47"/>
  <c r="F355" i="47"/>
  <c r="C355" i="47"/>
  <c r="N355" i="47" s="1"/>
  <c r="A355" i="47"/>
  <c r="U354" i="47"/>
  <c r="T354" i="47"/>
  <c r="A354" i="47"/>
  <c r="U353" i="47"/>
  <c r="T353" i="47"/>
  <c r="B353" i="47"/>
  <c r="A353" i="47"/>
  <c r="U352" i="47"/>
  <c r="T352" i="47"/>
  <c r="P352" i="47"/>
  <c r="F352" i="47"/>
  <c r="D352" i="47"/>
  <c r="O352" i="47" s="1"/>
  <c r="C352" i="47"/>
  <c r="B352" i="47"/>
  <c r="A352" i="47"/>
  <c r="U351" i="47"/>
  <c r="T351" i="47"/>
  <c r="A351" i="47"/>
  <c r="U350" i="47"/>
  <c r="T350" i="47"/>
  <c r="P350" i="47"/>
  <c r="N350" i="47"/>
  <c r="F350" i="47"/>
  <c r="D350" i="47"/>
  <c r="O350" i="47" s="1"/>
  <c r="C350" i="47"/>
  <c r="B350" i="47"/>
  <c r="A350" i="47"/>
  <c r="U349" i="47"/>
  <c r="T349" i="47"/>
  <c r="A349" i="47"/>
  <c r="U348" i="47"/>
  <c r="T348" i="47"/>
  <c r="C348" i="47"/>
  <c r="J348" i="47" s="1"/>
  <c r="A348" i="47"/>
  <c r="U347" i="47"/>
  <c r="T347" i="47"/>
  <c r="A347" i="47"/>
  <c r="U346" i="47"/>
  <c r="T346" i="47"/>
  <c r="D346" i="47"/>
  <c r="O346" i="47" s="1"/>
  <c r="A346" i="47"/>
  <c r="U345" i="47"/>
  <c r="T345" i="47"/>
  <c r="A345" i="47"/>
  <c r="P345" i="47" s="1"/>
  <c r="U344" i="47"/>
  <c r="T344" i="47"/>
  <c r="D344" i="47"/>
  <c r="O344" i="47" s="1"/>
  <c r="A344" i="47"/>
  <c r="U343" i="47"/>
  <c r="T343" i="47"/>
  <c r="P343" i="47"/>
  <c r="C343" i="47"/>
  <c r="N343" i="47" s="1"/>
  <c r="B343" i="47"/>
  <c r="A343" i="47"/>
  <c r="U342" i="47"/>
  <c r="T342" i="47"/>
  <c r="D342" i="47"/>
  <c r="O342" i="47" s="1"/>
  <c r="A342" i="47"/>
  <c r="U341" i="47"/>
  <c r="T341" i="47"/>
  <c r="P341" i="47"/>
  <c r="F341" i="47"/>
  <c r="L341" i="47" s="1"/>
  <c r="A341" i="47"/>
  <c r="C341" i="47" s="1"/>
  <c r="U340" i="47"/>
  <c r="T340" i="47"/>
  <c r="P340" i="47"/>
  <c r="F340" i="47"/>
  <c r="D340" i="47"/>
  <c r="O340" i="47" s="1"/>
  <c r="C340" i="47"/>
  <c r="B340" i="47"/>
  <c r="A340" i="47"/>
  <c r="U339" i="47"/>
  <c r="T339" i="47"/>
  <c r="P339" i="47"/>
  <c r="B339" i="47"/>
  <c r="A339" i="47"/>
  <c r="U338" i="47"/>
  <c r="T338" i="47"/>
  <c r="A338" i="47"/>
  <c r="U337" i="47"/>
  <c r="T337" i="47"/>
  <c r="N337" i="47"/>
  <c r="D337" i="47"/>
  <c r="C337" i="47"/>
  <c r="L337" i="47" s="1"/>
  <c r="A337" i="47"/>
  <c r="J337" i="47" s="1"/>
  <c r="U336" i="47"/>
  <c r="T336" i="47"/>
  <c r="P336" i="47"/>
  <c r="A336" i="47"/>
  <c r="U335" i="47"/>
  <c r="T335" i="47"/>
  <c r="F335" i="47"/>
  <c r="A335" i="47"/>
  <c r="U334" i="47"/>
  <c r="T334" i="47"/>
  <c r="P334" i="47"/>
  <c r="B334" i="47"/>
  <c r="A334" i="47"/>
  <c r="U333" i="47"/>
  <c r="T333" i="47"/>
  <c r="P333" i="47"/>
  <c r="F333" i="47"/>
  <c r="E333" i="47"/>
  <c r="C333" i="47"/>
  <c r="B333" i="47"/>
  <c r="A333" i="47"/>
  <c r="M333" i="47" s="1"/>
  <c r="U332" i="47"/>
  <c r="T332" i="47"/>
  <c r="A332" i="47"/>
  <c r="U331" i="47"/>
  <c r="T331" i="47"/>
  <c r="F331" i="47"/>
  <c r="A331" i="47"/>
  <c r="P331" i="47" s="1"/>
  <c r="U330" i="47"/>
  <c r="T330" i="47"/>
  <c r="A330" i="47"/>
  <c r="U329" i="47"/>
  <c r="T329" i="47"/>
  <c r="P329" i="47"/>
  <c r="F329" i="47"/>
  <c r="C329" i="47"/>
  <c r="M329" i="47" s="1"/>
  <c r="A329" i="47"/>
  <c r="I329" i="47" s="1"/>
  <c r="U328" i="47"/>
  <c r="T328" i="47"/>
  <c r="A328" i="47"/>
  <c r="U327" i="47"/>
  <c r="T327" i="47"/>
  <c r="D327" i="47"/>
  <c r="A327" i="47"/>
  <c r="U326" i="47"/>
  <c r="T326" i="47"/>
  <c r="D326" i="47"/>
  <c r="O326" i="47" s="1"/>
  <c r="C326" i="47"/>
  <c r="A326" i="47"/>
  <c r="U325" i="47"/>
  <c r="T325" i="47"/>
  <c r="A325" i="47"/>
  <c r="U324" i="47"/>
  <c r="T324" i="47"/>
  <c r="P324" i="47"/>
  <c r="D324" i="47"/>
  <c r="C324" i="47"/>
  <c r="A324" i="47"/>
  <c r="U323" i="47"/>
  <c r="T323" i="47"/>
  <c r="F323" i="47"/>
  <c r="D323" i="47"/>
  <c r="O323" i="47" s="1"/>
  <c r="A323" i="47"/>
  <c r="P323" i="47" s="1"/>
  <c r="U322" i="47"/>
  <c r="T322" i="47"/>
  <c r="D322" i="47"/>
  <c r="O322" i="47" s="1"/>
  <c r="C322" i="47"/>
  <c r="E322" i="47" s="1"/>
  <c r="B322" i="47"/>
  <c r="A322" i="47"/>
  <c r="U321" i="47"/>
  <c r="T321" i="47"/>
  <c r="P321" i="47"/>
  <c r="C321" i="47"/>
  <c r="B321" i="47"/>
  <c r="G321" i="47" s="1"/>
  <c r="A321" i="47"/>
  <c r="U320" i="47"/>
  <c r="T320" i="47"/>
  <c r="P320" i="47"/>
  <c r="F320" i="47"/>
  <c r="D320" i="47"/>
  <c r="A320" i="47"/>
  <c r="U319" i="47"/>
  <c r="T319" i="47"/>
  <c r="A319" i="47"/>
  <c r="U318" i="47"/>
  <c r="T318" i="47"/>
  <c r="B318" i="47"/>
  <c r="A318" i="47"/>
  <c r="U317" i="47"/>
  <c r="T317" i="47"/>
  <c r="A317" i="47"/>
  <c r="B317" i="47" s="1"/>
  <c r="U316" i="47"/>
  <c r="T316" i="47"/>
  <c r="P316" i="47"/>
  <c r="C316" i="47"/>
  <c r="B316" i="47"/>
  <c r="A316" i="47"/>
  <c r="U315" i="47"/>
  <c r="T315" i="47"/>
  <c r="J315" i="47"/>
  <c r="C315" i="47"/>
  <c r="A315" i="47"/>
  <c r="U314" i="47"/>
  <c r="T314" i="47"/>
  <c r="A314" i="47"/>
  <c r="D314" i="47" s="1"/>
  <c r="O314" i="47" s="1"/>
  <c r="U313" i="47"/>
  <c r="T313" i="47"/>
  <c r="P313" i="47"/>
  <c r="F313" i="47"/>
  <c r="A313" i="47"/>
  <c r="U312" i="47"/>
  <c r="T312" i="47"/>
  <c r="A312" i="47"/>
  <c r="U311" i="47"/>
  <c r="T311" i="47"/>
  <c r="D311" i="47"/>
  <c r="O311" i="47" s="1"/>
  <c r="C311" i="47"/>
  <c r="A311" i="47"/>
  <c r="U310" i="47"/>
  <c r="T310" i="47"/>
  <c r="J310" i="47"/>
  <c r="D310" i="47"/>
  <c r="O310" i="47" s="1"/>
  <c r="C310" i="47"/>
  <c r="K310" i="47" s="1"/>
  <c r="B310" i="47"/>
  <c r="M310" i="47" s="1"/>
  <c r="A310" i="47"/>
  <c r="U309" i="47"/>
  <c r="T309" i="47"/>
  <c r="F309" i="47"/>
  <c r="C309" i="47"/>
  <c r="A309" i="47"/>
  <c r="U308" i="47"/>
  <c r="T308" i="47"/>
  <c r="A308" i="47"/>
  <c r="U307" i="47"/>
  <c r="T307" i="47"/>
  <c r="A307" i="47"/>
  <c r="U306" i="47"/>
  <c r="T306" i="47"/>
  <c r="D306" i="47"/>
  <c r="C306" i="47"/>
  <c r="A306" i="47"/>
  <c r="U305" i="47"/>
  <c r="T305" i="47"/>
  <c r="N305" i="47"/>
  <c r="L305" i="47"/>
  <c r="F305" i="47"/>
  <c r="C305" i="47"/>
  <c r="A305" i="47"/>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E297" i="47"/>
  <c r="C297" i="47"/>
  <c r="A297" i="47"/>
  <c r="U296" i="47"/>
  <c r="T296" i="47"/>
  <c r="F296" i="47"/>
  <c r="D296" i="47"/>
  <c r="O296" i="47" s="1"/>
  <c r="A296" i="47"/>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P289" i="47"/>
  <c r="F289" i="47"/>
  <c r="A289" i="47"/>
  <c r="D289" i="47" s="1"/>
  <c r="U288" i="47"/>
  <c r="T288" i="47"/>
  <c r="G288" i="47"/>
  <c r="D288" i="47"/>
  <c r="O288" i="47" s="1"/>
  <c r="C288" i="47"/>
  <c r="J288" i="47" s="1"/>
  <c r="A288" i="47"/>
  <c r="U287" i="47"/>
  <c r="T287" i="47"/>
  <c r="A287" i="47"/>
  <c r="P287" i="47" s="1"/>
  <c r="U286" i="47"/>
  <c r="T286" i="47"/>
  <c r="N286" i="47"/>
  <c r="J286" i="47"/>
  <c r="F286" i="47"/>
  <c r="E286" i="47"/>
  <c r="C286" i="47"/>
  <c r="M286" i="47" s="1"/>
  <c r="B286" i="47"/>
  <c r="A286" i="47"/>
  <c r="P286" i="47" s="1"/>
  <c r="U285" i="47"/>
  <c r="T285" i="47"/>
  <c r="A285" i="47"/>
  <c r="U284" i="47"/>
  <c r="T284" i="47"/>
  <c r="C284" i="47"/>
  <c r="K284" i="47" s="1"/>
  <c r="B284" i="47"/>
  <c r="A284" i="47"/>
  <c r="U283" i="47"/>
  <c r="T283" i="47"/>
  <c r="A283" i="47"/>
  <c r="U282" i="47"/>
  <c r="T282" i="47"/>
  <c r="F282" i="47"/>
  <c r="A282" i="47"/>
  <c r="P282" i="47" s="1"/>
  <c r="U281" i="47"/>
  <c r="T281" i="47"/>
  <c r="P281" i="47"/>
  <c r="A281" i="47"/>
  <c r="B281" i="47" s="1"/>
  <c r="U280" i="47"/>
  <c r="T280" i="47"/>
  <c r="D280" i="47"/>
  <c r="O280" i="47" s="1"/>
  <c r="B280" i="47"/>
  <c r="A280" i="47"/>
  <c r="U279" i="47"/>
  <c r="T279" i="47"/>
  <c r="A279" i="47"/>
  <c r="U278" i="47"/>
  <c r="T278" i="47"/>
  <c r="K278" i="47"/>
  <c r="D278" i="47"/>
  <c r="C278" i="47"/>
  <c r="B278" i="47"/>
  <c r="A278" i="47"/>
  <c r="P278" i="47" s="1"/>
  <c r="U277" i="47"/>
  <c r="T277" i="47"/>
  <c r="A277" i="47"/>
  <c r="U276" i="47"/>
  <c r="T276" i="47"/>
  <c r="A276" i="47"/>
  <c r="U275" i="47"/>
  <c r="T275" i="47"/>
  <c r="F275" i="47"/>
  <c r="B275" i="47"/>
  <c r="A275" i="47"/>
  <c r="U274" i="47"/>
  <c r="T274" i="47"/>
  <c r="D274" i="47"/>
  <c r="A274" i="47"/>
  <c r="U273" i="47"/>
  <c r="T273" i="47"/>
  <c r="A273" i="47"/>
  <c r="F273" i="47" s="1"/>
  <c r="U272" i="47"/>
  <c r="T272" i="47"/>
  <c r="P272" i="47"/>
  <c r="L272" i="47"/>
  <c r="K272" i="47"/>
  <c r="I272" i="47"/>
  <c r="D272" i="47"/>
  <c r="C272" i="47"/>
  <c r="B272" i="47"/>
  <c r="A272" i="47"/>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B264" i="47"/>
  <c r="A264" i="47"/>
  <c r="U263" i="47"/>
  <c r="T263" i="47"/>
  <c r="P263" i="47"/>
  <c r="F263" i="47"/>
  <c r="D263" i="47"/>
  <c r="O263" i="47" s="1"/>
  <c r="A263" i="47"/>
  <c r="B263" i="47" s="1"/>
  <c r="U262" i="47"/>
  <c r="T262" i="47"/>
  <c r="A262" i="47"/>
  <c r="U261" i="47"/>
  <c r="T261" i="47"/>
  <c r="P261" i="47"/>
  <c r="N261" i="47"/>
  <c r="C261" i="47"/>
  <c r="B261" i="47"/>
  <c r="A261" i="47"/>
  <c r="F261" i="47" s="1"/>
  <c r="H261" i="47" s="1"/>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C254" i="47"/>
  <c r="K254" i="47" s="1"/>
  <c r="B254" i="47"/>
  <c r="I254" i="47" s="1"/>
  <c r="A254" i="47"/>
  <c r="D254" i="47" s="1"/>
  <c r="O254" i="47" s="1"/>
  <c r="U253" i="47"/>
  <c r="T253" i="47"/>
  <c r="P253" i="47"/>
  <c r="B253" i="47"/>
  <c r="A253" i="47"/>
  <c r="U252" i="47"/>
  <c r="T252" i="47"/>
  <c r="P252" i="47"/>
  <c r="A252" i="47"/>
  <c r="U251" i="47"/>
  <c r="T251" i="47"/>
  <c r="P251" i="47"/>
  <c r="F251" i="47"/>
  <c r="D251" i="47"/>
  <c r="O251" i="47" s="1"/>
  <c r="A251" i="47"/>
  <c r="B251" i="47" s="1"/>
  <c r="U250" i="47"/>
  <c r="T250" i="47"/>
  <c r="A250" i="47"/>
  <c r="U249" i="47"/>
  <c r="T249" i="47"/>
  <c r="P249" i="47"/>
  <c r="L249" i="47"/>
  <c r="C249" i="47"/>
  <c r="B249" i="47"/>
  <c r="A249" i="47"/>
  <c r="U248" i="47"/>
  <c r="T248" i="47"/>
  <c r="A248" i="47"/>
  <c r="C248" i="47" s="1"/>
  <c r="U247" i="47"/>
  <c r="T247" i="47"/>
  <c r="P247" i="47"/>
  <c r="F247" i="47"/>
  <c r="A247" i="47"/>
  <c r="U246" i="47"/>
  <c r="T246" i="47"/>
  <c r="D246" i="47"/>
  <c r="O246" i="47" s="1"/>
  <c r="B246" i="47"/>
  <c r="A246" i="47"/>
  <c r="P246" i="47" s="1"/>
  <c r="U245" i="47"/>
  <c r="T245" i="47"/>
  <c r="A245" i="47"/>
  <c r="U244" i="47"/>
  <c r="T244" i="47"/>
  <c r="A244" i="47"/>
  <c r="U243" i="47"/>
  <c r="T243" i="47"/>
  <c r="A243" i="47"/>
  <c r="U242" i="47"/>
  <c r="T242" i="47"/>
  <c r="C242" i="47"/>
  <c r="A242" i="47"/>
  <c r="U241" i="47"/>
  <c r="T241" i="47"/>
  <c r="P241" i="47"/>
  <c r="N241" i="47"/>
  <c r="C241" i="47"/>
  <c r="B241" i="47"/>
  <c r="A241" i="47"/>
  <c r="F241" i="47" s="1"/>
  <c r="U240" i="47"/>
  <c r="T240" i="47"/>
  <c r="A240" i="47"/>
  <c r="B240" i="47" s="1"/>
  <c r="U239" i="47"/>
  <c r="T239" i="47"/>
  <c r="P239" i="47"/>
  <c r="F239" i="47"/>
  <c r="D239" i="47"/>
  <c r="O239" i="47" s="1"/>
  <c r="A239" i="47"/>
  <c r="B239" i="47" s="1"/>
  <c r="U238" i="47"/>
  <c r="T238" i="47"/>
  <c r="B238" i="47"/>
  <c r="A238" i="47"/>
  <c r="D238" i="47" s="1"/>
  <c r="U237" i="47"/>
  <c r="T237" i="47"/>
  <c r="P237" i="47"/>
  <c r="H237" i="47"/>
  <c r="F237" i="47"/>
  <c r="D237" i="47"/>
  <c r="O237" i="47" s="1"/>
  <c r="C237" i="47"/>
  <c r="A237" i="47"/>
  <c r="U236" i="47"/>
  <c r="T236" i="47"/>
  <c r="P236" i="47"/>
  <c r="C236" i="47"/>
  <c r="A236" i="47"/>
  <c r="U235" i="47"/>
  <c r="T235" i="47"/>
  <c r="D235" i="47"/>
  <c r="O235" i="47" s="1"/>
  <c r="A235" i="47"/>
  <c r="U234" i="47"/>
  <c r="T234" i="47"/>
  <c r="Q234" i="47"/>
  <c r="A234" i="47"/>
  <c r="P234" i="47" s="1"/>
  <c r="U233" i="47"/>
  <c r="T233" i="47"/>
  <c r="D233" i="47"/>
  <c r="O233" i="47" s="1"/>
  <c r="C233" i="47"/>
  <c r="L233" i="47" s="1"/>
  <c r="B233" i="47"/>
  <c r="A233" i="47"/>
  <c r="P233" i="47" s="1"/>
  <c r="U232" i="47"/>
  <c r="T232" i="47"/>
  <c r="B232" i="47"/>
  <c r="A232" i="47"/>
  <c r="U231" i="47"/>
  <c r="T231" i="47"/>
  <c r="P231" i="47"/>
  <c r="D231" i="47"/>
  <c r="O231" i="47" s="1"/>
  <c r="A231" i="47"/>
  <c r="U230" i="47"/>
  <c r="T230" i="47"/>
  <c r="A230" i="47"/>
  <c r="P230" i="47" s="1"/>
  <c r="U229" i="47"/>
  <c r="T229" i="47"/>
  <c r="P229" i="47"/>
  <c r="F229" i="47"/>
  <c r="D229" i="47"/>
  <c r="O229" i="47" s="1"/>
  <c r="C229" i="47"/>
  <c r="B229" i="47"/>
  <c r="A229" i="47"/>
  <c r="U228" i="47"/>
  <c r="T228" i="47"/>
  <c r="A228" i="47"/>
  <c r="U227" i="47"/>
  <c r="T227" i="47"/>
  <c r="P227" i="47"/>
  <c r="F227" i="47"/>
  <c r="D227" i="47"/>
  <c r="O227" i="47" s="1"/>
  <c r="A227" i="47"/>
  <c r="B227" i="47" s="1"/>
  <c r="U226" i="47"/>
  <c r="T226" i="47"/>
  <c r="A226" i="47"/>
  <c r="U225" i="47"/>
  <c r="T225" i="47"/>
  <c r="P225" i="47"/>
  <c r="N225" i="47"/>
  <c r="M225" i="47"/>
  <c r="G225" i="47"/>
  <c r="F225" i="47"/>
  <c r="H225" i="47" s="1"/>
  <c r="D225" i="47"/>
  <c r="O225" i="47" s="1"/>
  <c r="C225" i="47"/>
  <c r="B225" i="47"/>
  <c r="A225" i="47"/>
  <c r="U224" i="47"/>
  <c r="T224" i="47"/>
  <c r="A224" i="47"/>
  <c r="P224" i="47" s="1"/>
  <c r="U223" i="47"/>
  <c r="T223" i="47"/>
  <c r="A223" i="47"/>
  <c r="U222" i="47"/>
  <c r="T222" i="47"/>
  <c r="A222" i="47"/>
  <c r="P222" i="47" s="1"/>
  <c r="U221" i="47"/>
  <c r="T221" i="47"/>
  <c r="F221" i="47"/>
  <c r="D221" i="47"/>
  <c r="O221" i="47" s="1"/>
  <c r="C221" i="47"/>
  <c r="B221" i="47"/>
  <c r="A221" i="47"/>
  <c r="U220" i="47"/>
  <c r="T220" i="47"/>
  <c r="P220" i="47"/>
  <c r="C220" i="47"/>
  <c r="A220" i="47"/>
  <c r="D220" i="47" s="1"/>
  <c r="U219" i="47"/>
  <c r="T219" i="47"/>
  <c r="A219" i="47"/>
  <c r="U218" i="47"/>
  <c r="T218" i="47"/>
  <c r="A218" i="47"/>
  <c r="U217" i="47"/>
  <c r="T217" i="47"/>
  <c r="P217" i="47"/>
  <c r="F217" i="47"/>
  <c r="D217" i="47"/>
  <c r="O217" i="47" s="1"/>
  <c r="C217" i="47"/>
  <c r="B217" i="47"/>
  <c r="A217" i="47"/>
  <c r="U216" i="47"/>
  <c r="T216" i="47"/>
  <c r="A216" i="47"/>
  <c r="P216" i="47" s="1"/>
  <c r="U215" i="47"/>
  <c r="T215" i="47"/>
  <c r="P215" i="47"/>
  <c r="F215" i="47"/>
  <c r="D215" i="47"/>
  <c r="O215" i="47" s="1"/>
  <c r="A215" i="47"/>
  <c r="B215" i="47" s="1"/>
  <c r="U214" i="47"/>
  <c r="T214" i="47"/>
  <c r="A214" i="47"/>
  <c r="U213" i="47"/>
  <c r="T213" i="47"/>
  <c r="N213" i="47"/>
  <c r="L213" i="47"/>
  <c r="C213" i="47"/>
  <c r="B213" i="47"/>
  <c r="A213" i="47"/>
  <c r="P213" i="47" s="1"/>
  <c r="U212" i="47"/>
  <c r="T212" i="47"/>
  <c r="A212" i="47"/>
  <c r="D212" i="47" s="1"/>
  <c r="U211" i="47"/>
  <c r="T211" i="47"/>
  <c r="P211" i="47"/>
  <c r="D211" i="47"/>
  <c r="O211" i="47" s="1"/>
  <c r="A211" i="47"/>
  <c r="U210" i="47"/>
  <c r="T210" i="47"/>
  <c r="A210" i="47"/>
  <c r="P210" i="47" s="1"/>
  <c r="U209" i="47"/>
  <c r="T209" i="47"/>
  <c r="P209" i="47"/>
  <c r="C209" i="47"/>
  <c r="A209" i="47"/>
  <c r="F209" i="47" s="1"/>
  <c r="U208" i="47"/>
  <c r="T208" i="47"/>
  <c r="A208" i="47"/>
  <c r="U207" i="47"/>
  <c r="T207" i="47"/>
  <c r="F207" i="47"/>
  <c r="A207" i="47"/>
  <c r="B207" i="47" s="1"/>
  <c r="U206" i="47"/>
  <c r="T206" i="47"/>
  <c r="P206" i="47"/>
  <c r="Q206" i="47" s="1"/>
  <c r="D206" i="47"/>
  <c r="O206" i="47" s="1"/>
  <c r="C206" i="47"/>
  <c r="L206" i="47" s="1"/>
  <c r="B206" i="47"/>
  <c r="A206" i="47"/>
  <c r="U205" i="47"/>
  <c r="T205" i="47"/>
  <c r="P205" i="47"/>
  <c r="D205" i="47"/>
  <c r="O205" i="47" s="1"/>
  <c r="C205" i="47"/>
  <c r="B205" i="47"/>
  <c r="A205" i="47"/>
  <c r="F205" i="47" s="1"/>
  <c r="U204" i="47"/>
  <c r="T204" i="47"/>
  <c r="P204" i="47"/>
  <c r="F204" i="47"/>
  <c r="D204" i="47"/>
  <c r="C204" i="47"/>
  <c r="B204" i="47"/>
  <c r="A204" i="47"/>
  <c r="U203" i="47"/>
  <c r="T203" i="47"/>
  <c r="A203" i="47"/>
  <c r="U202" i="47"/>
  <c r="T202" i="47"/>
  <c r="P202" i="47"/>
  <c r="D202" i="47"/>
  <c r="O202" i="47" s="1"/>
  <c r="A202" i="47"/>
  <c r="B202" i="47" s="1"/>
  <c r="U201" i="47"/>
  <c r="T201" i="47"/>
  <c r="P201" i="47"/>
  <c r="D201" i="47"/>
  <c r="O201" i="47" s="1"/>
  <c r="A201" i="47"/>
  <c r="U200" i="47"/>
  <c r="T200" i="47"/>
  <c r="A200" i="47"/>
  <c r="U199" i="47"/>
  <c r="T199" i="47"/>
  <c r="A199" i="47"/>
  <c r="U198" i="47"/>
  <c r="T198" i="47"/>
  <c r="A198" i="47"/>
  <c r="U197" i="47"/>
  <c r="T197" i="47"/>
  <c r="P197" i="47"/>
  <c r="A197" i="47"/>
  <c r="U196" i="47"/>
  <c r="T196" i="47"/>
  <c r="A196" i="47"/>
  <c r="U195" i="47"/>
  <c r="T195" i="47"/>
  <c r="P195" i="47"/>
  <c r="A195" i="47"/>
  <c r="U194" i="47"/>
  <c r="T194" i="47"/>
  <c r="A194" i="47"/>
  <c r="U193" i="47"/>
  <c r="T193" i="47"/>
  <c r="F193" i="47"/>
  <c r="E193" i="47"/>
  <c r="C193" i="47"/>
  <c r="A193" i="47"/>
  <c r="U192" i="47"/>
  <c r="T192" i="47"/>
  <c r="P192" i="47"/>
  <c r="I192" i="47"/>
  <c r="A192" i="47"/>
  <c r="C192" i="47" s="1"/>
  <c r="U191" i="47"/>
  <c r="T191" i="47"/>
  <c r="A191" i="47"/>
  <c r="U190" i="47"/>
  <c r="T190" i="47"/>
  <c r="P190" i="47"/>
  <c r="C190" i="47"/>
  <c r="J190" i="47" s="1"/>
  <c r="A190" i="47"/>
  <c r="B190" i="47" s="1"/>
  <c r="U189" i="47"/>
  <c r="T189" i="47"/>
  <c r="P189" i="47"/>
  <c r="F189" i="47"/>
  <c r="D189" i="47"/>
  <c r="O189" i="47" s="1"/>
  <c r="C189" i="47"/>
  <c r="N189" i="47" s="1"/>
  <c r="A189" i="47"/>
  <c r="U188" i="47"/>
  <c r="T188" i="47"/>
  <c r="A188" i="47"/>
  <c r="U187" i="47"/>
  <c r="T187" i="47"/>
  <c r="N187" i="47"/>
  <c r="M187" i="47"/>
  <c r="L187" i="47"/>
  <c r="J187" i="47"/>
  <c r="F187" i="47"/>
  <c r="H187" i="47" s="1"/>
  <c r="E187" i="47"/>
  <c r="D187" i="47"/>
  <c r="O187" i="47" s="1"/>
  <c r="C187" i="47"/>
  <c r="A187" i="47"/>
  <c r="P187" i="47" s="1"/>
  <c r="U186" i="47"/>
  <c r="T186" i="47"/>
  <c r="A186" i="47"/>
  <c r="U185" i="47"/>
  <c r="T185" i="47"/>
  <c r="L185" i="47"/>
  <c r="D185" i="47"/>
  <c r="O185" i="47" s="1"/>
  <c r="C185" i="47"/>
  <c r="B185" i="47"/>
  <c r="A185" i="47"/>
  <c r="U184" i="47"/>
  <c r="T184" i="47"/>
  <c r="A184" i="47"/>
  <c r="U183" i="47"/>
  <c r="T183" i="47"/>
  <c r="P183" i="47"/>
  <c r="M183" i="47"/>
  <c r="F183" i="47"/>
  <c r="D183" i="47"/>
  <c r="O183" i="47" s="1"/>
  <c r="C183" i="47"/>
  <c r="A183" i="47"/>
  <c r="U182" i="47"/>
  <c r="T182" i="47"/>
  <c r="A182" i="47"/>
  <c r="U181" i="47"/>
  <c r="T181" i="47"/>
  <c r="P181" i="47"/>
  <c r="N181" i="47"/>
  <c r="L181" i="47"/>
  <c r="F181" i="47"/>
  <c r="E181" i="47"/>
  <c r="D181" i="47"/>
  <c r="O181" i="47" s="1"/>
  <c r="C181" i="47"/>
  <c r="H181" i="47" s="1"/>
  <c r="B181" i="47"/>
  <c r="A181" i="47"/>
  <c r="U180" i="47"/>
  <c r="T180" i="47"/>
  <c r="F180" i="47"/>
  <c r="D180" i="47"/>
  <c r="A180" i="47"/>
  <c r="U179" i="47"/>
  <c r="T179" i="47"/>
  <c r="P179" i="47"/>
  <c r="F179" i="47"/>
  <c r="A179" i="47"/>
  <c r="U178" i="47"/>
  <c r="T178" i="47"/>
  <c r="A178" i="47"/>
  <c r="U177" i="47"/>
  <c r="T177" i="47"/>
  <c r="P177" i="47"/>
  <c r="F177" i="47"/>
  <c r="D177" i="47"/>
  <c r="O177" i="47" s="1"/>
  <c r="C177" i="47"/>
  <c r="B177" i="47"/>
  <c r="A177" i="47"/>
  <c r="U176" i="47"/>
  <c r="T176" i="47"/>
  <c r="A176" i="47"/>
  <c r="U175" i="47"/>
  <c r="T175" i="47"/>
  <c r="P175" i="47"/>
  <c r="M175" i="47"/>
  <c r="L175" i="47"/>
  <c r="D175" i="47"/>
  <c r="O175" i="47" s="1"/>
  <c r="C175" i="47"/>
  <c r="K175" i="47" s="1"/>
  <c r="A175" i="47"/>
  <c r="U174" i="47"/>
  <c r="T174" i="47"/>
  <c r="A174" i="47"/>
  <c r="P174" i="47" s="1"/>
  <c r="U173" i="47"/>
  <c r="T173" i="47"/>
  <c r="P173" i="47"/>
  <c r="B173" i="47"/>
  <c r="A173" i="47"/>
  <c r="U172" i="47"/>
  <c r="T172" i="47"/>
  <c r="P172" i="47"/>
  <c r="C172" i="47"/>
  <c r="L172" i="47" s="1"/>
  <c r="B172" i="47"/>
  <c r="A172" i="47"/>
  <c r="F172" i="47" s="1"/>
  <c r="U171" i="47"/>
  <c r="T171" i="47"/>
  <c r="F171" i="47"/>
  <c r="D171" i="47"/>
  <c r="O171" i="47" s="1"/>
  <c r="A171" i="47"/>
  <c r="P171" i="47" s="1"/>
  <c r="U170" i="47"/>
  <c r="T170" i="47"/>
  <c r="A170" i="47"/>
  <c r="P170" i="47" s="1"/>
  <c r="U169" i="47"/>
  <c r="T169" i="47"/>
  <c r="D169" i="47"/>
  <c r="O169" i="47" s="1"/>
  <c r="B169" i="47"/>
  <c r="A169" i="47"/>
  <c r="U168" i="47"/>
  <c r="T168" i="47"/>
  <c r="A168" i="47"/>
  <c r="U167" i="47"/>
  <c r="T167" i="47"/>
  <c r="P167" i="47"/>
  <c r="F167" i="47"/>
  <c r="D167" i="47"/>
  <c r="O167" i="47" s="1"/>
  <c r="A167" i="47"/>
  <c r="U166" i="47"/>
  <c r="T166" i="47"/>
  <c r="A166" i="47"/>
  <c r="U165" i="47"/>
  <c r="T165" i="47"/>
  <c r="A165" i="47"/>
  <c r="P165" i="47" s="1"/>
  <c r="U164" i="47"/>
  <c r="T164" i="47"/>
  <c r="A164" i="47"/>
  <c r="U163" i="47"/>
  <c r="T163" i="47"/>
  <c r="F163" i="47"/>
  <c r="D163" i="47"/>
  <c r="O163" i="47" s="1"/>
  <c r="A163" i="47"/>
  <c r="U162" i="47"/>
  <c r="T162" i="47"/>
  <c r="P162" i="47"/>
  <c r="L162" i="47"/>
  <c r="D162" i="47"/>
  <c r="O162" i="47" s="1"/>
  <c r="C162" i="47"/>
  <c r="K162" i="47" s="1"/>
  <c r="B162" i="47"/>
  <c r="A162" i="47"/>
  <c r="U161" i="47"/>
  <c r="T161" i="47"/>
  <c r="P161" i="47"/>
  <c r="H161" i="47"/>
  <c r="F161" i="47"/>
  <c r="D161" i="47"/>
  <c r="O161" i="47" s="1"/>
  <c r="C161" i="47"/>
  <c r="M161" i="47" s="1"/>
  <c r="A161" i="47"/>
  <c r="U160" i="47"/>
  <c r="T160" i="47"/>
  <c r="P160" i="47"/>
  <c r="F160" i="47"/>
  <c r="D160" i="47"/>
  <c r="O160" i="47" s="1"/>
  <c r="A160" i="47"/>
  <c r="U159" i="47"/>
  <c r="T159" i="47"/>
  <c r="F159" i="47"/>
  <c r="D159" i="47"/>
  <c r="O159" i="47" s="1"/>
  <c r="A159" i="47"/>
  <c r="U158" i="47"/>
  <c r="T158" i="47"/>
  <c r="A158" i="47"/>
  <c r="U157" i="47"/>
  <c r="T157" i="47"/>
  <c r="N157" i="47"/>
  <c r="L157" i="47"/>
  <c r="H157" i="47"/>
  <c r="G157" i="47"/>
  <c r="F157" i="47"/>
  <c r="D157" i="47"/>
  <c r="O157" i="47" s="1"/>
  <c r="C157" i="47"/>
  <c r="B157" i="47"/>
  <c r="A157" i="47"/>
  <c r="P157" i="47" s="1"/>
  <c r="U156" i="47"/>
  <c r="T156" i="47"/>
  <c r="A156" i="47"/>
  <c r="U155" i="47"/>
  <c r="T155" i="47"/>
  <c r="P155" i="47"/>
  <c r="C155" i="47"/>
  <c r="A155" i="47"/>
  <c r="U154" i="47"/>
  <c r="T154" i="47"/>
  <c r="P154" i="47"/>
  <c r="D154" i="47"/>
  <c r="C154" i="47"/>
  <c r="B154" i="47"/>
  <c r="A154" i="47"/>
  <c r="U153" i="47"/>
  <c r="T153" i="47"/>
  <c r="P153" i="47"/>
  <c r="F153" i="47"/>
  <c r="D153" i="47"/>
  <c r="O153" i="47" s="1"/>
  <c r="A153" i="47"/>
  <c r="U152" i="47"/>
  <c r="T152" i="47"/>
  <c r="P152" i="47"/>
  <c r="F152" i="47"/>
  <c r="D152" i="47"/>
  <c r="O152" i="47" s="1"/>
  <c r="A152" i="47"/>
  <c r="U151" i="47"/>
  <c r="T151" i="47"/>
  <c r="F151" i="47"/>
  <c r="D151" i="47"/>
  <c r="O151" i="47" s="1"/>
  <c r="A151" i="47"/>
  <c r="U150" i="47"/>
  <c r="T150" i="47"/>
  <c r="D150" i="47"/>
  <c r="O150" i="47" s="1"/>
  <c r="A150" i="47"/>
  <c r="U149" i="47"/>
  <c r="T149" i="47"/>
  <c r="B149" i="47"/>
  <c r="A149" i="47"/>
  <c r="U148" i="47"/>
  <c r="T148" i="47"/>
  <c r="B148" i="47"/>
  <c r="A148" i="47"/>
  <c r="U147" i="47"/>
  <c r="T147" i="47"/>
  <c r="A147" i="47"/>
  <c r="U146" i="47"/>
  <c r="T146" i="47"/>
  <c r="P146" i="47"/>
  <c r="D146" i="47"/>
  <c r="O146" i="47" s="1"/>
  <c r="A146" i="47"/>
  <c r="U145" i="47"/>
  <c r="T145" i="47"/>
  <c r="A145" i="47"/>
  <c r="U144" i="47"/>
  <c r="T144" i="47"/>
  <c r="L144" i="47"/>
  <c r="K144" i="47"/>
  <c r="C144" i="47"/>
  <c r="A144" i="47"/>
  <c r="U143" i="47"/>
  <c r="T143" i="47"/>
  <c r="P143" i="47"/>
  <c r="F143" i="47"/>
  <c r="D143" i="47"/>
  <c r="O143" i="47" s="1"/>
  <c r="C143" i="47"/>
  <c r="K143" i="47" s="1"/>
  <c r="A143" i="47"/>
  <c r="B143" i="47" s="1"/>
  <c r="U142" i="47"/>
  <c r="T142" i="47"/>
  <c r="B142" i="47"/>
  <c r="A142" i="47"/>
  <c r="U141" i="47"/>
  <c r="T141" i="47"/>
  <c r="D141" i="47"/>
  <c r="O141" i="47" s="1"/>
  <c r="C141" i="47"/>
  <c r="I141" i="47" s="1"/>
  <c r="A141" i="47"/>
  <c r="U140" i="47"/>
  <c r="T140" i="47"/>
  <c r="A140" i="47"/>
  <c r="P140" i="47" s="1"/>
  <c r="U139" i="47"/>
  <c r="T139" i="47"/>
  <c r="P139" i="47"/>
  <c r="F139" i="47"/>
  <c r="J139" i="47" s="1"/>
  <c r="D139" i="47"/>
  <c r="O139" i="47" s="1"/>
  <c r="C139" i="47"/>
  <c r="G139" i="47" s="1"/>
  <c r="B139" i="47"/>
  <c r="A139" i="47"/>
  <c r="K139" i="47" s="1"/>
  <c r="U138" i="47"/>
  <c r="T138" i="47"/>
  <c r="Q138" i="47"/>
  <c r="P138" i="47"/>
  <c r="F138" i="47"/>
  <c r="A138" i="47"/>
  <c r="U137" i="47"/>
  <c r="T137" i="47"/>
  <c r="P137" i="47"/>
  <c r="N137" i="47"/>
  <c r="L137" i="47"/>
  <c r="D137" i="47"/>
  <c r="O137" i="47" s="1"/>
  <c r="C137" i="47"/>
  <c r="H137" i="47" s="1"/>
  <c r="B137" i="47"/>
  <c r="A137" i="47"/>
  <c r="U136" i="47"/>
  <c r="T136" i="47"/>
  <c r="B136" i="47"/>
  <c r="A136" i="47"/>
  <c r="P136" i="47" s="1"/>
  <c r="U135" i="47"/>
  <c r="T135" i="47"/>
  <c r="A135" i="47"/>
  <c r="U134" i="47"/>
  <c r="T134" i="47"/>
  <c r="C134" i="47"/>
  <c r="B134" i="47"/>
  <c r="A134" i="47"/>
  <c r="U133" i="47"/>
  <c r="T133" i="47"/>
  <c r="F133" i="47"/>
  <c r="D133" i="47"/>
  <c r="O133" i="47" s="1"/>
  <c r="C133" i="47"/>
  <c r="I133" i="47" s="1"/>
  <c r="A133" i="47"/>
  <c r="B133" i="47" s="1"/>
  <c r="U132" i="47"/>
  <c r="T132" i="47"/>
  <c r="P132" i="47"/>
  <c r="Q132" i="47" s="1"/>
  <c r="C132" i="47"/>
  <c r="K132" i="47" s="1"/>
  <c r="B132" i="47"/>
  <c r="A132" i="47"/>
  <c r="U131" i="47"/>
  <c r="T131" i="47"/>
  <c r="P131" i="47"/>
  <c r="F131" i="47"/>
  <c r="E131" i="47"/>
  <c r="D131" i="47"/>
  <c r="O131" i="47" s="1"/>
  <c r="C131" i="47"/>
  <c r="B131" i="47"/>
  <c r="A131" i="47"/>
  <c r="U130" i="47"/>
  <c r="T130" i="47"/>
  <c r="P130" i="47"/>
  <c r="N130" i="47"/>
  <c r="F130" i="47"/>
  <c r="C130" i="47"/>
  <c r="L130" i="47" s="1"/>
  <c r="B130" i="47"/>
  <c r="A130" i="47"/>
  <c r="U129" i="47"/>
  <c r="T129" i="47"/>
  <c r="P129" i="47"/>
  <c r="D129" i="47"/>
  <c r="O129" i="47" s="1"/>
  <c r="A129" i="47"/>
  <c r="U128" i="47"/>
  <c r="T128" i="47"/>
  <c r="P128" i="47"/>
  <c r="K128" i="47"/>
  <c r="J128" i="47"/>
  <c r="C128" i="47"/>
  <c r="H128" i="47" s="1"/>
  <c r="B128" i="47"/>
  <c r="A128" i="47"/>
  <c r="L128" i="47" s="1"/>
  <c r="U127" i="47"/>
  <c r="T127" i="47"/>
  <c r="P127" i="47"/>
  <c r="F127" i="47"/>
  <c r="D127" i="47"/>
  <c r="O127" i="47" s="1"/>
  <c r="C127" i="47"/>
  <c r="B127" i="47"/>
  <c r="A127" i="47"/>
  <c r="U126" i="47"/>
  <c r="T126" i="47"/>
  <c r="P126" i="47"/>
  <c r="D126" i="47"/>
  <c r="O126" i="47" s="1"/>
  <c r="A126" i="47"/>
  <c r="U125" i="47"/>
  <c r="T125" i="47"/>
  <c r="C125" i="47"/>
  <c r="E125" i="47" s="1"/>
  <c r="B125" i="47"/>
  <c r="G125" i="47" s="1"/>
  <c r="A125" i="47"/>
  <c r="U124" i="47"/>
  <c r="T124" i="47"/>
  <c r="A124" i="47"/>
  <c r="U123" i="47"/>
  <c r="T123" i="47"/>
  <c r="D123" i="47"/>
  <c r="O123" i="47" s="1"/>
  <c r="A123" i="47"/>
  <c r="P123" i="47" s="1"/>
  <c r="Q123" i="47" s="1"/>
  <c r="U122" i="47"/>
  <c r="T122" i="47"/>
  <c r="P122" i="47"/>
  <c r="A122" i="47"/>
  <c r="U121" i="47"/>
  <c r="T121" i="47"/>
  <c r="P121" i="47"/>
  <c r="F121" i="47"/>
  <c r="D121" i="47"/>
  <c r="O121" i="47" s="1"/>
  <c r="A121" i="47"/>
  <c r="U120" i="47"/>
  <c r="T120" i="47"/>
  <c r="A120" i="47"/>
  <c r="U119" i="47"/>
  <c r="T119" i="47"/>
  <c r="A119" i="47"/>
  <c r="U118" i="47"/>
  <c r="T118" i="47"/>
  <c r="P118" i="47"/>
  <c r="L118" i="47"/>
  <c r="F118" i="47"/>
  <c r="D118" i="47"/>
  <c r="O118" i="47" s="1"/>
  <c r="C118" i="47"/>
  <c r="A118" i="47"/>
  <c r="U117" i="47"/>
  <c r="T117" i="47"/>
  <c r="P117" i="47"/>
  <c r="K117" i="47"/>
  <c r="I117" i="47"/>
  <c r="F117" i="47"/>
  <c r="N117" i="47" s="1"/>
  <c r="D117" i="47"/>
  <c r="O117" i="47" s="1"/>
  <c r="C117" i="47"/>
  <c r="B117" i="47"/>
  <c r="A117" i="47"/>
  <c r="U116" i="47"/>
  <c r="T116" i="47"/>
  <c r="A116" i="47"/>
  <c r="U115" i="47"/>
  <c r="T115" i="47"/>
  <c r="A115" i="47"/>
  <c r="P115" i="47" s="1"/>
  <c r="U114" i="47"/>
  <c r="T114" i="47"/>
  <c r="C114" i="47"/>
  <c r="B114" i="47"/>
  <c r="A114" i="47"/>
  <c r="P114" i="47" s="1"/>
  <c r="U113" i="47"/>
  <c r="T113" i="47"/>
  <c r="P113" i="47"/>
  <c r="K113" i="47"/>
  <c r="J113" i="47"/>
  <c r="C113" i="47"/>
  <c r="B113" i="47"/>
  <c r="A113" i="47"/>
  <c r="D113" i="47" s="1"/>
  <c r="O113" i="47" s="1"/>
  <c r="U112" i="47"/>
  <c r="T112" i="47"/>
  <c r="A112" i="47"/>
  <c r="P112" i="47" s="1"/>
  <c r="U111" i="47"/>
  <c r="T111" i="47"/>
  <c r="B111" i="47"/>
  <c r="A111" i="47"/>
  <c r="U110" i="47"/>
  <c r="T110" i="47"/>
  <c r="P110" i="47"/>
  <c r="Q110" i="47" s="1"/>
  <c r="D110" i="47"/>
  <c r="O110" i="47" s="1"/>
  <c r="C110" i="47"/>
  <c r="A110" i="47"/>
  <c r="U109" i="47"/>
  <c r="T109" i="47"/>
  <c r="F109" i="47"/>
  <c r="D109" i="47"/>
  <c r="O109" i="47" s="1"/>
  <c r="C109" i="47"/>
  <c r="B109" i="47"/>
  <c r="A109" i="47"/>
  <c r="P109" i="47" s="1"/>
  <c r="U108" i="47"/>
  <c r="T108" i="47"/>
  <c r="F108" i="47"/>
  <c r="A108" i="47"/>
  <c r="B108" i="47" s="1"/>
  <c r="U107" i="47"/>
  <c r="T107" i="47"/>
  <c r="A107" i="47"/>
  <c r="P107" i="47" s="1"/>
  <c r="Q107" i="47" s="1"/>
  <c r="U106" i="47"/>
  <c r="T106" i="47"/>
  <c r="P106" i="47"/>
  <c r="Q106" i="47" s="1"/>
  <c r="A106" i="47"/>
  <c r="U105" i="47"/>
  <c r="T105" i="47"/>
  <c r="P105" i="47"/>
  <c r="C105" i="47"/>
  <c r="B105" i="47"/>
  <c r="A105" i="47"/>
  <c r="D105" i="47" s="1"/>
  <c r="O105" i="47" s="1"/>
  <c r="U104" i="47"/>
  <c r="T104" i="47"/>
  <c r="F104" i="47"/>
  <c r="A104" i="47"/>
  <c r="U103" i="47"/>
  <c r="T103" i="47"/>
  <c r="A103" i="47"/>
  <c r="U102" i="47"/>
  <c r="T102" i="47"/>
  <c r="P102" i="47"/>
  <c r="F102" i="47"/>
  <c r="D102" i="47"/>
  <c r="O102" i="47" s="1"/>
  <c r="A102" i="47"/>
  <c r="C102" i="47" s="1"/>
  <c r="U101" i="47"/>
  <c r="T101" i="47"/>
  <c r="A101" i="47"/>
  <c r="D101" i="47" s="1"/>
  <c r="O101" i="47" s="1"/>
  <c r="U100" i="47"/>
  <c r="T100" i="47"/>
  <c r="K100" i="47"/>
  <c r="B100" i="47"/>
  <c r="A100" i="47"/>
  <c r="C100" i="47" s="1"/>
  <c r="N100" i="47" s="1"/>
  <c r="U99" i="47"/>
  <c r="T99" i="47"/>
  <c r="D99" i="47"/>
  <c r="A99" i="47"/>
  <c r="U98" i="47"/>
  <c r="T98" i="47"/>
  <c r="A98" i="47"/>
  <c r="P98" i="47" s="1"/>
  <c r="U97" i="47"/>
  <c r="T97" i="47"/>
  <c r="P97" i="47"/>
  <c r="L97" i="47"/>
  <c r="J97" i="47"/>
  <c r="G97" i="47"/>
  <c r="B97" i="47"/>
  <c r="A97" i="47"/>
  <c r="C97" i="47" s="1"/>
  <c r="U96" i="47"/>
  <c r="T96" i="47"/>
  <c r="A96" i="47"/>
  <c r="P96" i="47" s="1"/>
  <c r="U95" i="47"/>
  <c r="T95" i="47"/>
  <c r="A95" i="47"/>
  <c r="U94" i="47"/>
  <c r="T94" i="47"/>
  <c r="F94" i="47"/>
  <c r="D94" i="47"/>
  <c r="O94" i="47" s="1"/>
  <c r="A94" i="47"/>
  <c r="U93" i="47"/>
  <c r="T93" i="47"/>
  <c r="F93" i="47"/>
  <c r="D93" i="47"/>
  <c r="O93" i="47" s="1"/>
  <c r="C93" i="47"/>
  <c r="B93" i="47"/>
  <c r="A93" i="47"/>
  <c r="U92" i="47"/>
  <c r="T92" i="47"/>
  <c r="A92" i="47"/>
  <c r="U91" i="47"/>
  <c r="T91" i="47"/>
  <c r="A91" i="47"/>
  <c r="P91" i="47" s="1"/>
  <c r="U90" i="47"/>
  <c r="T90" i="47"/>
  <c r="A90" i="47"/>
  <c r="U89" i="47"/>
  <c r="T89" i="47"/>
  <c r="P89" i="47"/>
  <c r="F89" i="47"/>
  <c r="D89" i="47"/>
  <c r="O89" i="47" s="1"/>
  <c r="C89" i="47"/>
  <c r="B89" i="47"/>
  <c r="A89" i="47"/>
  <c r="U88" i="47"/>
  <c r="T88" i="47"/>
  <c r="A88" i="47"/>
  <c r="F88" i="47" s="1"/>
  <c r="U87" i="47"/>
  <c r="T87" i="47"/>
  <c r="A87" i="47"/>
  <c r="D87" i="47" s="1"/>
  <c r="U86" i="47"/>
  <c r="T86" i="47"/>
  <c r="P86" i="47"/>
  <c r="F86" i="47"/>
  <c r="D86" i="47"/>
  <c r="C86" i="47"/>
  <c r="N86" i="47" s="1"/>
  <c r="A86" i="47"/>
  <c r="U85" i="47"/>
  <c r="T85" i="47"/>
  <c r="F85" i="47"/>
  <c r="D85" i="47"/>
  <c r="O85" i="47" s="1"/>
  <c r="B85" i="47"/>
  <c r="A85" i="47"/>
  <c r="U84" i="47"/>
  <c r="T84" i="47"/>
  <c r="A84" i="47"/>
  <c r="D84" i="47" s="1"/>
  <c r="O84" i="47" s="1"/>
  <c r="U83" i="47"/>
  <c r="T83" i="47"/>
  <c r="A83" i="47"/>
  <c r="U82" i="47"/>
  <c r="T82" i="47"/>
  <c r="P82" i="47"/>
  <c r="F82" i="47"/>
  <c r="A82" i="47"/>
  <c r="U81" i="47"/>
  <c r="T81" i="47"/>
  <c r="P81" i="47"/>
  <c r="K81" i="47"/>
  <c r="J81" i="47"/>
  <c r="F81" i="47"/>
  <c r="D81" i="47"/>
  <c r="O81" i="47" s="1"/>
  <c r="C81" i="47"/>
  <c r="B81" i="47"/>
  <c r="A81" i="47"/>
  <c r="N81" i="47" s="1"/>
  <c r="U80" i="47"/>
  <c r="T80" i="47"/>
  <c r="A80" i="47"/>
  <c r="U79" i="47"/>
  <c r="T79" i="47"/>
  <c r="F79" i="47"/>
  <c r="C79" i="47"/>
  <c r="N79" i="47" s="1"/>
  <c r="B79" i="47"/>
  <c r="A79" i="47"/>
  <c r="U78" i="47"/>
  <c r="T78" i="47"/>
  <c r="D78" i="47"/>
  <c r="O78" i="47" s="1"/>
  <c r="C78" i="47"/>
  <c r="B78" i="47"/>
  <c r="A78" i="47"/>
  <c r="U77" i="47"/>
  <c r="T77" i="47"/>
  <c r="A77" i="47"/>
  <c r="U76" i="47"/>
  <c r="T76" i="47"/>
  <c r="A76" i="47"/>
  <c r="D76" i="47" s="1"/>
  <c r="O76" i="47" s="1"/>
  <c r="U75" i="47"/>
  <c r="T75" i="47"/>
  <c r="P75" i="47"/>
  <c r="C75" i="47"/>
  <c r="B75" i="47"/>
  <c r="A75" i="47"/>
  <c r="U74" i="47"/>
  <c r="T74" i="47"/>
  <c r="F74" i="47"/>
  <c r="D74" i="47"/>
  <c r="O74" i="47" s="1"/>
  <c r="A74" i="47"/>
  <c r="U73" i="47"/>
  <c r="T73" i="47"/>
  <c r="P73" i="47"/>
  <c r="N73" i="47"/>
  <c r="J73" i="47"/>
  <c r="F73" i="47"/>
  <c r="D73" i="47"/>
  <c r="O73" i="47" s="1"/>
  <c r="C73" i="47"/>
  <c r="I73" i="47" s="1"/>
  <c r="B73" i="47"/>
  <c r="A73" i="47"/>
  <c r="U72" i="47"/>
  <c r="T72" i="47"/>
  <c r="F72" i="47"/>
  <c r="D72" i="47"/>
  <c r="O72" i="47" s="1"/>
  <c r="C72" i="47"/>
  <c r="H72" i="47" s="1"/>
  <c r="B72" i="47"/>
  <c r="A72" i="47"/>
  <c r="U71" i="47"/>
  <c r="T71" i="47"/>
  <c r="F71" i="47"/>
  <c r="B71" i="47"/>
  <c r="A71" i="47"/>
  <c r="U70" i="47"/>
  <c r="T70" i="47"/>
  <c r="P70" i="47"/>
  <c r="L70" i="47"/>
  <c r="K70" i="47"/>
  <c r="C70" i="47"/>
  <c r="B70" i="47"/>
  <c r="A70" i="47"/>
  <c r="U69" i="47"/>
  <c r="T69" i="47"/>
  <c r="P69" i="47"/>
  <c r="A69" i="47"/>
  <c r="U68" i="47"/>
  <c r="T68" i="47"/>
  <c r="C68" i="47"/>
  <c r="B68" i="47"/>
  <c r="K68" i="47" s="1"/>
  <c r="A68" i="47"/>
  <c r="U67" i="47"/>
  <c r="T67" i="47"/>
  <c r="F67" i="47"/>
  <c r="A67" i="47"/>
  <c r="U66" i="47"/>
  <c r="T66" i="47"/>
  <c r="P66" i="47"/>
  <c r="L66" i="47"/>
  <c r="K66" i="47"/>
  <c r="F66" i="47"/>
  <c r="J66" i="47" s="1"/>
  <c r="D66" i="47"/>
  <c r="O66" i="47" s="1"/>
  <c r="B66" i="47"/>
  <c r="A66" i="47"/>
  <c r="C66" i="47" s="1"/>
  <c r="U65" i="47"/>
  <c r="T65" i="47"/>
  <c r="C65" i="47"/>
  <c r="B65" i="47"/>
  <c r="A65" i="47"/>
  <c r="U64" i="47"/>
  <c r="T64" i="47"/>
  <c r="B64" i="47"/>
  <c r="A64" i="47"/>
  <c r="D64" i="47" s="1"/>
  <c r="O64" i="47" s="1"/>
  <c r="U63" i="47"/>
  <c r="T63" i="47"/>
  <c r="N63" i="47"/>
  <c r="J63" i="47"/>
  <c r="F63" i="47"/>
  <c r="C63" i="47"/>
  <c r="K63" i="47" s="1"/>
  <c r="B63" i="47"/>
  <c r="A63" i="47"/>
  <c r="P63" i="47" s="1"/>
  <c r="U62" i="47"/>
  <c r="T62" i="47"/>
  <c r="N62" i="47"/>
  <c r="J62" i="47"/>
  <c r="F62" i="47"/>
  <c r="D62" i="47"/>
  <c r="O62" i="47" s="1"/>
  <c r="C62" i="47"/>
  <c r="L62" i="47" s="1"/>
  <c r="B62" i="47"/>
  <c r="A62" i="47"/>
  <c r="P62" i="47" s="1"/>
  <c r="U61" i="47"/>
  <c r="T61" i="47"/>
  <c r="P61" i="47"/>
  <c r="F61" i="47"/>
  <c r="B61" i="47"/>
  <c r="A61" i="47"/>
  <c r="U60" i="47"/>
  <c r="T60" i="47"/>
  <c r="J60" i="47"/>
  <c r="H60" i="47"/>
  <c r="F60" i="47"/>
  <c r="D60" i="47"/>
  <c r="O60" i="47" s="1"/>
  <c r="C60" i="47"/>
  <c r="A60" i="47"/>
  <c r="L60" i="47" s="1"/>
  <c r="U59" i="47"/>
  <c r="T59" i="47"/>
  <c r="P59" i="47"/>
  <c r="H59" i="47"/>
  <c r="G59" i="47"/>
  <c r="C59" i="47"/>
  <c r="K59" i="47" s="1"/>
  <c r="B59" i="47"/>
  <c r="A59" i="47"/>
  <c r="U58" i="47"/>
  <c r="T58" i="47"/>
  <c r="P58" i="47"/>
  <c r="D58" i="47"/>
  <c r="O58" i="47" s="1"/>
  <c r="C58" i="47"/>
  <c r="J58" i="47" s="1"/>
  <c r="A58" i="47"/>
  <c r="U57" i="47"/>
  <c r="T57" i="47"/>
  <c r="P57" i="47"/>
  <c r="J57" i="47"/>
  <c r="H57" i="47"/>
  <c r="F57" i="47"/>
  <c r="D57" i="47"/>
  <c r="O57" i="47" s="1"/>
  <c r="C57" i="47"/>
  <c r="I57" i="47" s="1"/>
  <c r="B57" i="47"/>
  <c r="A57" i="47"/>
  <c r="K57" i="47" s="1"/>
  <c r="U56" i="47"/>
  <c r="T56" i="47"/>
  <c r="F56" i="47"/>
  <c r="L56" i="47" s="1"/>
  <c r="D56" i="47"/>
  <c r="O56" i="47" s="1"/>
  <c r="C56" i="47"/>
  <c r="N56" i="47" s="1"/>
  <c r="B56" i="47"/>
  <c r="A56" i="47"/>
  <c r="U55" i="47"/>
  <c r="T55" i="47"/>
  <c r="P55" i="47"/>
  <c r="N55" i="47"/>
  <c r="F55" i="47"/>
  <c r="C55" i="47"/>
  <c r="K55" i="47" s="1"/>
  <c r="B55" i="47"/>
  <c r="A55" i="47"/>
  <c r="U54" i="47"/>
  <c r="T54" i="47"/>
  <c r="D54" i="47"/>
  <c r="O54" i="47" s="1"/>
  <c r="C54" i="47"/>
  <c r="A54" i="47"/>
  <c r="F54" i="47" s="1"/>
  <c r="U53" i="47"/>
  <c r="T53" i="47"/>
  <c r="F53" i="47"/>
  <c r="C53" i="47"/>
  <c r="A53" i="47"/>
  <c r="D53" i="47" s="1"/>
  <c r="O53" i="47" s="1"/>
  <c r="U52" i="47"/>
  <c r="T52" i="47"/>
  <c r="A52" i="47"/>
  <c r="D52" i="47" s="1"/>
  <c r="O52" i="47" s="1"/>
  <c r="U51" i="47"/>
  <c r="T51" i="47"/>
  <c r="P51" i="47"/>
  <c r="F51" i="47"/>
  <c r="C51" i="47"/>
  <c r="N51" i="47" s="1"/>
  <c r="A51" i="47"/>
  <c r="B51" i="47" s="1"/>
  <c r="U50" i="47"/>
  <c r="T50" i="47"/>
  <c r="A50" i="47"/>
  <c r="U49" i="47"/>
  <c r="T49" i="47"/>
  <c r="F49" i="47"/>
  <c r="A49" i="47"/>
  <c r="U48" i="47"/>
  <c r="T48" i="47"/>
  <c r="G48" i="47"/>
  <c r="F48" i="47"/>
  <c r="C48" i="47"/>
  <c r="N48" i="47" s="1"/>
  <c r="B48" i="47"/>
  <c r="A48" i="47"/>
  <c r="D48" i="47" s="1"/>
  <c r="O48" i="47" s="1"/>
  <c r="U47" i="47"/>
  <c r="T47" i="47"/>
  <c r="P47" i="47"/>
  <c r="A47" i="47"/>
  <c r="U46" i="47"/>
  <c r="T46" i="47"/>
  <c r="G46" i="47"/>
  <c r="F46" i="47"/>
  <c r="D46" i="47"/>
  <c r="O46" i="47" s="1"/>
  <c r="C46" i="47"/>
  <c r="L46" i="47" s="1"/>
  <c r="B46" i="47"/>
  <c r="A46" i="47"/>
  <c r="P46" i="47" s="1"/>
  <c r="U45" i="47"/>
  <c r="T45" i="47"/>
  <c r="P45" i="47"/>
  <c r="K45" i="47"/>
  <c r="J45" i="47"/>
  <c r="F45" i="47"/>
  <c r="H45" i="47" s="1"/>
  <c r="D45" i="47"/>
  <c r="O45" i="47" s="1"/>
  <c r="C45" i="47"/>
  <c r="I45" i="47" s="1"/>
  <c r="A45" i="47"/>
  <c r="U44" i="47"/>
  <c r="T44" i="47"/>
  <c r="F44" i="47"/>
  <c r="D44" i="47"/>
  <c r="O44" i="47" s="1"/>
  <c r="C44" i="47"/>
  <c r="A44" i="47"/>
  <c r="B44" i="47" s="1"/>
  <c r="U43" i="47"/>
  <c r="T43" i="47"/>
  <c r="P43" i="47"/>
  <c r="F43" i="47"/>
  <c r="B43" i="47"/>
  <c r="A43" i="47"/>
  <c r="U42" i="47"/>
  <c r="T42" i="47"/>
  <c r="P42" i="47"/>
  <c r="F42" i="47"/>
  <c r="A42" i="47"/>
  <c r="U41" i="47"/>
  <c r="T41" i="47"/>
  <c r="P41" i="47"/>
  <c r="K41" i="47"/>
  <c r="H41" i="47"/>
  <c r="F41" i="47"/>
  <c r="D41" i="47"/>
  <c r="O41" i="47" s="1"/>
  <c r="C41" i="47"/>
  <c r="I41" i="47" s="1"/>
  <c r="B41" i="47"/>
  <c r="G41" i="47" s="1"/>
  <c r="A41" i="47"/>
  <c r="U40" i="47"/>
  <c r="T40" i="47"/>
  <c r="A40" i="47"/>
  <c r="D40" i="47" s="1"/>
  <c r="O40" i="47" s="1"/>
  <c r="U39" i="47"/>
  <c r="T39" i="47"/>
  <c r="A39" i="47"/>
  <c r="U38" i="47"/>
  <c r="T38" i="47"/>
  <c r="P38" i="47"/>
  <c r="F38" i="47"/>
  <c r="A38" i="47"/>
  <c r="D38" i="47" s="1"/>
  <c r="O38" i="47" s="1"/>
  <c r="U37" i="47"/>
  <c r="T37" i="47"/>
  <c r="P37" i="47"/>
  <c r="I37" i="47"/>
  <c r="H37" i="47"/>
  <c r="F37" i="47"/>
  <c r="D37" i="47"/>
  <c r="O37" i="47" s="1"/>
  <c r="C37" i="47"/>
  <c r="N37" i="47" s="1"/>
  <c r="B37" i="47"/>
  <c r="A37" i="47"/>
  <c r="J37" i="47" s="1"/>
  <c r="U36" i="47"/>
  <c r="T36" i="47"/>
  <c r="A36" i="47"/>
  <c r="F36" i="47" s="1"/>
  <c r="U35" i="47"/>
  <c r="T35" i="47"/>
  <c r="P35" i="47"/>
  <c r="C35" i="47"/>
  <c r="A35" i="47"/>
  <c r="U34" i="47"/>
  <c r="T34" i="47"/>
  <c r="D34" i="47"/>
  <c r="O34" i="47" s="1"/>
  <c r="C34" i="47"/>
  <c r="N34" i="47" s="1"/>
  <c r="A34" i="47"/>
  <c r="B34" i="47" s="1"/>
  <c r="U33" i="47"/>
  <c r="T33" i="47"/>
  <c r="P33" i="47"/>
  <c r="F33" i="47"/>
  <c r="D33" i="47"/>
  <c r="O33" i="47" s="1"/>
  <c r="C33" i="47"/>
  <c r="K33" i="47" s="1"/>
  <c r="B33" i="47"/>
  <c r="A33" i="47"/>
  <c r="U32" i="47"/>
  <c r="T32" i="47"/>
  <c r="N32" i="47"/>
  <c r="C32" i="47"/>
  <c r="E32" i="47" s="1"/>
  <c r="A32" i="47"/>
  <c r="B32" i="47" s="1"/>
  <c r="U31" i="47"/>
  <c r="T31" i="47"/>
  <c r="P31" i="47"/>
  <c r="A31" i="47"/>
  <c r="Q31" i="47" s="1"/>
  <c r="U30" i="47"/>
  <c r="T30" i="47"/>
  <c r="D30" i="47"/>
  <c r="O30" i="47" s="1"/>
  <c r="C30" i="47"/>
  <c r="A30" i="47"/>
  <c r="U29" i="47"/>
  <c r="T29" i="47"/>
  <c r="F29" i="47"/>
  <c r="B29" i="47"/>
  <c r="A29" i="47"/>
  <c r="U28" i="47"/>
  <c r="T28" i="47"/>
  <c r="M28" i="47"/>
  <c r="L28" i="47"/>
  <c r="H28" i="47"/>
  <c r="F28" i="47"/>
  <c r="J28" i="47" s="1"/>
  <c r="D28" i="47"/>
  <c r="O28" i="47" s="1"/>
  <c r="C28" i="47"/>
  <c r="E28" i="47" s="1"/>
  <c r="B28" i="47"/>
  <c r="A28" i="47"/>
  <c r="U27" i="47"/>
  <c r="T27" i="47"/>
  <c r="A27" i="47"/>
  <c r="U26" i="47"/>
  <c r="T26" i="47"/>
  <c r="F26" i="47"/>
  <c r="D26" i="47"/>
  <c r="O26" i="47" s="1"/>
  <c r="C26" i="47"/>
  <c r="B26" i="47"/>
  <c r="A26" i="47"/>
  <c r="P26" i="47" s="1"/>
  <c r="U25" i="47"/>
  <c r="T25" i="47"/>
  <c r="P25" i="47"/>
  <c r="K25" i="47"/>
  <c r="D25" i="47"/>
  <c r="O25" i="47" s="1"/>
  <c r="C25" i="47"/>
  <c r="I25" i="47" s="1"/>
  <c r="B25" i="47"/>
  <c r="A25" i="47"/>
  <c r="U24" i="47"/>
  <c r="T24" i="47"/>
  <c r="F24" i="47"/>
  <c r="A24" i="47"/>
  <c r="C24" i="47" s="1"/>
  <c r="U23" i="47"/>
  <c r="T23" i="47"/>
  <c r="C23" i="47"/>
  <c r="H23" i="47" s="1"/>
  <c r="B23" i="47"/>
  <c r="A23" i="47"/>
  <c r="P23" i="47" s="1"/>
  <c r="U22" i="47"/>
  <c r="T22" i="47"/>
  <c r="P22" i="47"/>
  <c r="F22" i="47"/>
  <c r="A22" i="47"/>
  <c r="C22" i="47" s="1"/>
  <c r="U21" i="47"/>
  <c r="T21" i="47"/>
  <c r="A21" i="47"/>
  <c r="P21" i="47" s="1"/>
  <c r="U20" i="47"/>
  <c r="T20" i="47"/>
  <c r="D20" i="47"/>
  <c r="O20" i="47" s="1"/>
  <c r="C20" i="47"/>
  <c r="E20" i="47" s="1"/>
  <c r="A20" i="47"/>
  <c r="F20" i="47" s="1"/>
  <c r="U19" i="47"/>
  <c r="T19" i="47"/>
  <c r="P19" i="47"/>
  <c r="B19" i="47"/>
  <c r="A19" i="47"/>
  <c r="U18" i="47"/>
  <c r="T18" i="47"/>
  <c r="P18" i="47"/>
  <c r="J18" i="47"/>
  <c r="F18" i="47"/>
  <c r="C18" i="47"/>
  <c r="N18" i="47" s="1"/>
  <c r="B18" i="47"/>
  <c r="A18" i="47"/>
  <c r="D18" i="47" s="1"/>
  <c r="O18" i="47" s="1"/>
  <c r="U17" i="47"/>
  <c r="T17" i="47"/>
  <c r="D17" i="47"/>
  <c r="O17" i="47" s="1"/>
  <c r="C17" i="47"/>
  <c r="A17" i="47"/>
  <c r="U16" i="47"/>
  <c r="T16" i="47"/>
  <c r="J16" i="47"/>
  <c r="C16" i="47"/>
  <c r="E16" i="47" s="1"/>
  <c r="B16" i="47"/>
  <c r="A16" i="47"/>
  <c r="N16" i="47" s="1"/>
  <c r="U15" i="47"/>
  <c r="T15" i="47"/>
  <c r="C15" i="47"/>
  <c r="H15" i="47" s="1"/>
  <c r="A15" i="47"/>
  <c r="U14" i="47"/>
  <c r="T14" i="47"/>
  <c r="F14" i="47"/>
  <c r="B14" i="47"/>
  <c r="A14" i="47"/>
  <c r="P14" i="47" s="1"/>
  <c r="U13" i="47"/>
  <c r="T13" i="47"/>
  <c r="F13" i="47"/>
  <c r="A13" i="47"/>
  <c r="C13" i="47" s="1"/>
  <c r="U12" i="47"/>
  <c r="T12" i="47"/>
  <c r="A12" i="47"/>
  <c r="U11" i="47"/>
  <c r="T11" i="47"/>
  <c r="C11" i="47"/>
  <c r="H11" i="47" s="1"/>
  <c r="B11" i="47"/>
  <c r="A11" i="47"/>
  <c r="P11" i="47" s="1"/>
  <c r="U10" i="47"/>
  <c r="T10" i="47"/>
  <c r="D10" i="47"/>
  <c r="O10" i="47" s="1"/>
  <c r="C10" i="47"/>
  <c r="A10" i="47"/>
  <c r="P10" i="47" s="1"/>
  <c r="U9" i="47"/>
  <c r="T9" i="47"/>
  <c r="K9" i="47"/>
  <c r="G9" i="47"/>
  <c r="C9" i="47"/>
  <c r="B9" i="47"/>
  <c r="A9" i="47"/>
  <c r="P9" i="47" s="1"/>
  <c r="U8" i="47"/>
  <c r="T8" i="47"/>
  <c r="L8" i="47"/>
  <c r="G8" i="47"/>
  <c r="F8" i="47"/>
  <c r="D8" i="47"/>
  <c r="O8" i="47" s="1"/>
  <c r="C8" i="47"/>
  <c r="E8" i="47" s="1"/>
  <c r="B8" i="47"/>
  <c r="A8" i="47"/>
  <c r="U7" i="47"/>
  <c r="T7" i="47"/>
  <c r="A7" i="47"/>
  <c r="P7" i="47" s="1"/>
  <c r="U6" i="47"/>
  <c r="T6" i="47"/>
  <c r="P6" i="47"/>
  <c r="K6" i="47"/>
  <c r="F6" i="47"/>
  <c r="E6" i="47"/>
  <c r="D6" i="47"/>
  <c r="O6" i="47" s="1"/>
  <c r="C6" i="47"/>
  <c r="N6" i="47" s="1"/>
  <c r="B6" i="47"/>
  <c r="A6" i="47"/>
  <c r="L6" i="47" s="1"/>
  <c r="U5" i="47"/>
  <c r="T5" i="47"/>
  <c r="A5" i="47"/>
  <c r="F5" i="47" s="1"/>
  <c r="U4" i="47"/>
  <c r="T4" i="47"/>
  <c r="C4" i="47"/>
  <c r="E4" i="47" s="1"/>
  <c r="B4" i="47"/>
  <c r="A4" i="47"/>
  <c r="G4" i="47" s="1"/>
  <c r="U3" i="47"/>
  <c r="T3" i="47"/>
  <c r="F3" i="47"/>
  <c r="A3" i="47"/>
  <c r="P3" i="47" s="1"/>
  <c r="Q3" i="47" s="1"/>
  <c r="U2" i="47"/>
  <c r="T2" i="47"/>
  <c r="C2" i="47"/>
  <c r="I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E769" i="1"/>
  <c r="D769" i="1"/>
  <c r="E768" i="1"/>
  <c r="D768" i="1"/>
  <c r="E767" i="1"/>
  <c r="D767" i="1"/>
  <c r="E766" i="1"/>
  <c r="D766" i="1"/>
  <c r="E765" i="1"/>
  <c r="D765" i="1"/>
  <c r="E764" i="1"/>
  <c r="E763" i="1"/>
  <c r="D763" i="1"/>
  <c r="E762" i="1"/>
  <c r="E761" i="1"/>
  <c r="D761" i="1"/>
  <c r="E760" i="1"/>
  <c r="D760" i="1"/>
  <c r="E759" i="1"/>
  <c r="D759" i="1"/>
  <c r="E758" i="1"/>
  <c r="D758" i="1"/>
  <c r="E757" i="1"/>
  <c r="D757" i="1"/>
  <c r="E756" i="1"/>
  <c r="D756" i="1"/>
  <c r="E755" i="1"/>
  <c r="D755" i="1"/>
  <c r="E754" i="1"/>
  <c r="E753" i="1"/>
  <c r="D753" i="1"/>
  <c r="E752" i="1"/>
  <c r="D752" i="1"/>
  <c r="E751" i="1"/>
  <c r="D751" i="1"/>
  <c r="E750" i="1"/>
  <c r="D750" i="1"/>
  <c r="E749" i="1"/>
  <c r="D749" i="1"/>
  <c r="E748" i="1"/>
  <c r="D748" i="1"/>
  <c r="E747" i="1"/>
  <c r="D747" i="1"/>
  <c r="E746" i="1"/>
  <c r="D746" i="1"/>
  <c r="E745" i="1"/>
  <c r="D745"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E730" i="1"/>
  <c r="D730" i="1"/>
  <c r="E729" i="1"/>
  <c r="D729" i="1"/>
  <c r="E728" i="1"/>
  <c r="D728" i="1"/>
  <c r="E727" i="1"/>
  <c r="D727" i="1"/>
  <c r="E726" i="1"/>
  <c r="E725" i="1"/>
  <c r="D725" i="1"/>
  <c r="E724" i="1"/>
  <c r="D724" i="1"/>
  <c r="E723" i="1"/>
  <c r="D723" i="1"/>
  <c r="E722" i="1"/>
  <c r="D722" i="1"/>
  <c r="E721" i="1"/>
  <c r="D721" i="1"/>
  <c r="E720" i="1"/>
  <c r="D720" i="1"/>
  <c r="E719" i="1"/>
  <c r="D719" i="1"/>
  <c r="E718" i="1"/>
  <c r="D718" i="1"/>
  <c r="E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E678" i="1"/>
  <c r="D678" i="1"/>
  <c r="E677" i="1"/>
  <c r="E676" i="1"/>
  <c r="D676" i="1"/>
  <c r="E675" i="1"/>
  <c r="D675" i="1"/>
  <c r="E674" i="1"/>
  <c r="D674" i="1"/>
  <c r="E673" i="1"/>
  <c r="D673" i="1"/>
  <c r="E672" i="1"/>
  <c r="D672" i="1"/>
  <c r="E671" i="1"/>
  <c r="D671" i="1"/>
  <c r="E670" i="1"/>
  <c r="D670" i="1"/>
  <c r="E669" i="1"/>
  <c r="D669" i="1"/>
  <c r="E668" i="1"/>
  <c r="D668" i="1"/>
  <c r="E667" i="1"/>
  <c r="E666" i="1"/>
  <c r="D666" i="1"/>
  <c r="E665" i="1"/>
  <c r="D665" i="1"/>
  <c r="E664" i="1"/>
  <c r="D664" i="1"/>
  <c r="E663" i="1"/>
  <c r="D663" i="1"/>
  <c r="E662" i="1"/>
  <c r="D662" i="1"/>
  <c r="E661" i="1"/>
  <c r="D661" i="1"/>
  <c r="E660" i="1"/>
  <c r="D660" i="1"/>
  <c r="E659" i="1"/>
  <c r="D659" i="1"/>
  <c r="E658" i="1"/>
  <c r="E657" i="1"/>
  <c r="E656" i="1"/>
  <c r="D656" i="1"/>
  <c r="E655" i="1"/>
  <c r="D655" i="1"/>
  <c r="E654" i="1"/>
  <c r="D654" i="1"/>
  <c r="E653" i="1"/>
  <c r="D653" i="1"/>
  <c r="E652" i="1"/>
  <c r="D652" i="1"/>
  <c r="E651" i="1"/>
  <c r="D651" i="1"/>
  <c r="E650" i="1"/>
  <c r="D650" i="1"/>
  <c r="E649" i="1"/>
  <c r="D649" i="1"/>
  <c r="E648" i="1"/>
  <c r="D648" i="1"/>
  <c r="E647" i="1"/>
  <c r="D647" i="1"/>
  <c r="E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E615" i="1"/>
  <c r="D615" i="1"/>
  <c r="E614" i="1"/>
  <c r="D614" i="1"/>
  <c r="E613" i="1"/>
  <c r="D613" i="1"/>
  <c r="E612" i="1"/>
  <c r="D612" i="1"/>
  <c r="E611" i="1"/>
  <c r="D611" i="1"/>
  <c r="E610" i="1"/>
  <c r="D610" i="1"/>
  <c r="E609" i="1"/>
  <c r="E608" i="1"/>
  <c r="D608" i="1"/>
  <c r="E607" i="1"/>
  <c r="D607" i="1"/>
  <c r="E606" i="1"/>
  <c r="D606" i="1"/>
  <c r="E605" i="1"/>
  <c r="D605" i="1"/>
  <c r="E604" i="1"/>
  <c r="D604" i="1"/>
  <c r="E603" i="1"/>
  <c r="E602" i="1"/>
  <c r="D602" i="1"/>
  <c r="E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591" i="47" l="1"/>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P218" i="47"/>
  <c r="B218" i="47"/>
  <c r="D277" i="47"/>
  <c r="O277" i="47" s="1"/>
  <c r="N277" i="47"/>
  <c r="F277" i="47"/>
  <c r="C277" i="47"/>
  <c r="E277" i="47" s="1"/>
  <c r="B277" i="47"/>
  <c r="G306" i="47"/>
  <c r="L306" i="47"/>
  <c r="N340" i="47"/>
  <c r="M340" i="47"/>
  <c r="L350" i="47"/>
  <c r="M350" i="47"/>
  <c r="J350" i="47"/>
  <c r="E350" i="47"/>
  <c r="M17" i="47"/>
  <c r="L54" i="47"/>
  <c r="L58" i="47"/>
  <c r="K72" i="47"/>
  <c r="L74" i="47"/>
  <c r="B74" i="47"/>
  <c r="G93" i="47"/>
  <c r="B163" i="47"/>
  <c r="B243" i="47"/>
  <c r="F243" i="47"/>
  <c r="D243" i="47"/>
  <c r="O243" i="47" s="1"/>
  <c r="M257" i="47"/>
  <c r="F257" i="47"/>
  <c r="C257" i="47"/>
  <c r="G257" i="47" s="1"/>
  <c r="E257" i="47"/>
  <c r="N271" i="47"/>
  <c r="F271" i="47"/>
  <c r="P271" i="47"/>
  <c r="D271" i="47"/>
  <c r="O271" i="47" s="1"/>
  <c r="C271" i="47"/>
  <c r="G465" i="47"/>
  <c r="F465" i="47"/>
  <c r="C465" i="47"/>
  <c r="K465" i="47" s="1"/>
  <c r="B465" i="47"/>
  <c r="P465" i="47"/>
  <c r="B908" i="47"/>
  <c r="F908" i="47"/>
  <c r="H2"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N10" i="47"/>
  <c r="G17" i="47"/>
  <c r="B39" i="47"/>
  <c r="P147" i="47"/>
  <c r="D147" i="47"/>
  <c r="O147" i="47" s="1"/>
  <c r="P178" i="47"/>
  <c r="C178" i="47"/>
  <c r="N178" i="47" s="1"/>
  <c r="B199" i="47"/>
  <c r="K199" i="47" s="1"/>
  <c r="P199" i="47"/>
  <c r="L199" i="47"/>
  <c r="E199" i="47"/>
  <c r="C199" i="47"/>
  <c r="M199" i="47" s="1"/>
  <c r="B219" i="47"/>
  <c r="P219" i="47"/>
  <c r="D285" i="47"/>
  <c r="Q285" i="47" s="1"/>
  <c r="P285" i="47"/>
  <c r="F285" i="47"/>
  <c r="N347" i="47"/>
  <c r="I347" i="47"/>
  <c r="C347" i="47"/>
  <c r="K347" i="47" s="1"/>
  <c r="B347" i="47"/>
  <c r="P347" i="47"/>
  <c r="F347" i="47"/>
  <c r="B12" i="47"/>
  <c r="B21" i="47"/>
  <c r="B36" i="47"/>
  <c r="G36" i="47" s="1"/>
  <c r="C39" i="47"/>
  <c r="G39" i="47" s="1"/>
  <c r="B50" i="47"/>
  <c r="I65" i="47"/>
  <c r="B76" i="47"/>
  <c r="E83" i="47"/>
  <c r="B98" i="47"/>
  <c r="F112" i="47"/>
  <c r="B135" i="47"/>
  <c r="B147" i="47"/>
  <c r="H151"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B52" i="47"/>
  <c r="G54" i="47"/>
  <c r="J56" i="47"/>
  <c r="E59" i="47"/>
  <c r="F59" i="47"/>
  <c r="G62" i="47"/>
  <c r="D65" i="47"/>
  <c r="O65" i="47" s="1"/>
  <c r="N66" i="47"/>
  <c r="D68" i="47"/>
  <c r="O68" i="47" s="1"/>
  <c r="H71" i="47"/>
  <c r="M73" i="47"/>
  <c r="G73" i="47"/>
  <c r="G74" i="47"/>
  <c r="C76" i="47"/>
  <c r="H76" i="47" s="1"/>
  <c r="B80" i="47"/>
  <c r="B83" i="47"/>
  <c r="P85" i="47"/>
  <c r="C85" i="47"/>
  <c r="J93" i="47"/>
  <c r="C98" i="47"/>
  <c r="B101" i="47"/>
  <c r="I101" i="47" s="1"/>
  <c r="D114" i="47"/>
  <c r="G117" i="47"/>
  <c r="D125" i="47"/>
  <c r="O125" i="47" s="1"/>
  <c r="M127" i="47"/>
  <c r="C135" i="47"/>
  <c r="K135" i="47" s="1"/>
  <c r="K136" i="47"/>
  <c r="E141" i="47"/>
  <c r="E143" i="47"/>
  <c r="B145" i="47"/>
  <c r="C147" i="47"/>
  <c r="K147" i="47" s="1"/>
  <c r="G151" i="47"/>
  <c r="L163" i="47"/>
  <c r="F169" i="47"/>
  <c r="B174" i="47"/>
  <c r="D178" i="47"/>
  <c r="O178" i="47" s="1"/>
  <c r="E189" i="47"/>
  <c r="M191" i="47"/>
  <c r="G193"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L136" i="47"/>
  <c r="H141" i="47"/>
  <c r="C145" i="47"/>
  <c r="H145" i="47" s="1"/>
  <c r="F147" i="47"/>
  <c r="H147" i="47" s="1"/>
  <c r="P149" i="47"/>
  <c r="C174" i="47"/>
  <c r="N174" i="47" s="1"/>
  <c r="P176" i="47"/>
  <c r="D176" i="47"/>
  <c r="B176" i="47"/>
  <c r="H189" i="47"/>
  <c r="N191" i="47"/>
  <c r="M193" i="47"/>
  <c r="H199" i="47"/>
  <c r="H217" i="47"/>
  <c r="I268" i="47"/>
  <c r="P268" i="47"/>
  <c r="D268" i="47"/>
  <c r="O268" i="47" s="1"/>
  <c r="C268" i="47"/>
  <c r="B268" i="47"/>
  <c r="C558" i="47"/>
  <c r="F2" i="47"/>
  <c r="L10" i="47"/>
  <c r="F12" i="47"/>
  <c r="H12" i="47" s="1"/>
  <c r="I17" i="47"/>
  <c r="F21" i="47"/>
  <c r="J21" i="47" s="1"/>
  <c r="G30" i="47"/>
  <c r="H36" i="47"/>
  <c r="J39" i="47"/>
  <c r="F50" i="47"/>
  <c r="J50" i="47" s="1"/>
  <c r="F52" i="47"/>
  <c r="N54" i="47"/>
  <c r="G65" i="47"/>
  <c r="J68" i="47"/>
  <c r="J70" i="47"/>
  <c r="P71" i="47"/>
  <c r="D80" i="47"/>
  <c r="O80" i="47" s="1"/>
  <c r="F83" i="47"/>
  <c r="J83" i="47" s="1"/>
  <c r="P93" i="47"/>
  <c r="F98" i="47"/>
  <c r="F101" i="47"/>
  <c r="J101" i="47" s="1"/>
  <c r="D107" i="47"/>
  <c r="O107" i="47" s="1"/>
  <c r="B110" i="47"/>
  <c r="G114" i="47"/>
  <c r="M117" i="47"/>
  <c r="N125" i="47"/>
  <c r="M131" i="47"/>
  <c r="N138" i="47"/>
  <c r="B138" i="47"/>
  <c r="J141" i="47"/>
  <c r="H143" i="47"/>
  <c r="D145" i="47"/>
  <c r="O145" i="47" s="1"/>
  <c r="L147" i="47"/>
  <c r="P163" i="47"/>
  <c r="H169" i="47"/>
  <c r="D174" i="47"/>
  <c r="O174" i="47" s="1"/>
  <c r="C176" i="47"/>
  <c r="G185" i="47"/>
  <c r="M185" i="47"/>
  <c r="P191" i="47"/>
  <c r="P193" i="47"/>
  <c r="J199" i="47"/>
  <c r="B223" i="47"/>
  <c r="P223" i="47"/>
  <c r="F223" i="47"/>
  <c r="D223" i="47"/>
  <c r="O223" i="47" s="1"/>
  <c r="N229" i="47"/>
  <c r="M229" i="47"/>
  <c r="E229" i="47"/>
  <c r="F258" i="47"/>
  <c r="D258" i="47"/>
  <c r="O258" i="47" s="1"/>
  <c r="C258" i="47"/>
  <c r="K258" i="47" s="1"/>
  <c r="P258" i="47"/>
  <c r="I360" i="47"/>
  <c r="P360" i="47"/>
  <c r="J360" i="47"/>
  <c r="F360" i="47"/>
  <c r="D360" i="47"/>
  <c r="O360" i="47" s="1"/>
  <c r="M360" i="47"/>
  <c r="L360" i="47"/>
  <c r="C360" i="47"/>
  <c r="E360" i="47" s="1"/>
  <c r="P413" i="47"/>
  <c r="F413" i="47"/>
  <c r="B413" i="47"/>
  <c r="G2" i="47"/>
  <c r="G12" i="47"/>
  <c r="P17" i="47"/>
  <c r="I21" i="47"/>
  <c r="J30" i="47"/>
  <c r="J36" i="47"/>
  <c r="G50" i="47"/>
  <c r="P54" i="47"/>
  <c r="H65" i="47"/>
  <c r="L68" i="47"/>
  <c r="G70" i="47"/>
  <c r="P74" i="47"/>
  <c r="J76" i="47"/>
  <c r="F80" i="47"/>
  <c r="G83" i="47"/>
  <c r="G98" i="47"/>
  <c r="G101" i="47"/>
  <c r="H114" i="47"/>
  <c r="P125" i="47"/>
  <c r="E127" i="47"/>
  <c r="G130" i="47"/>
  <c r="H133" i="47"/>
  <c r="F135" i="47"/>
  <c r="C138" i="47"/>
  <c r="L138" i="47" s="1"/>
  <c r="M141" i="47"/>
  <c r="J143" i="47"/>
  <c r="F145" i="47"/>
  <c r="L145" i="47" s="1"/>
  <c r="M147" i="47"/>
  <c r="B167" i="47"/>
  <c r="J167" i="47"/>
  <c r="H167" i="47"/>
  <c r="C167" i="47"/>
  <c r="E167" i="47" s="1"/>
  <c r="M169" i="47"/>
  <c r="F176" i="47"/>
  <c r="B179" i="47"/>
  <c r="C179" i="47"/>
  <c r="E179" i="47"/>
  <c r="D179" i="47"/>
  <c r="O179" i="47" s="1"/>
  <c r="M181" i="47"/>
  <c r="B183" i="47"/>
  <c r="G183" i="47" s="1"/>
  <c r="J183" i="47"/>
  <c r="N183" i="47"/>
  <c r="L183" i="47"/>
  <c r="N199" i="47"/>
  <c r="B203" i="47"/>
  <c r="F203" i="47"/>
  <c r="M217" i="47"/>
  <c r="L217" i="47"/>
  <c r="P245" i="47"/>
  <c r="F245" i="47"/>
  <c r="C245" i="47"/>
  <c r="E245" i="47" s="1"/>
  <c r="B245" i="47"/>
  <c r="B258" i="47"/>
  <c r="P300" i="47"/>
  <c r="F300" i="47"/>
  <c r="D300" i="47"/>
  <c r="Q300" i="47" s="1"/>
  <c r="C300" i="47"/>
  <c r="E300" i="47" s="1"/>
  <c r="B300" i="47"/>
  <c r="I300" i="47" s="1"/>
  <c r="P373" i="47"/>
  <c r="F373" i="47"/>
  <c r="P525" i="47"/>
  <c r="D525" i="47"/>
  <c r="O525" i="47" s="1"/>
  <c r="Q525" i="47"/>
  <c r="F525" i="47"/>
  <c r="B525" i="47"/>
  <c r="J2" i="47"/>
  <c r="N9" i="47"/>
  <c r="L30" i="47"/>
  <c r="P39" i="47"/>
  <c r="B47" i="47"/>
  <c r="M49" i="47"/>
  <c r="P49" i="47"/>
  <c r="C49" i="47"/>
  <c r="K50" i="47"/>
  <c r="J65" i="47"/>
  <c r="N68" i="47"/>
  <c r="N76" i="47"/>
  <c r="J80" i="47"/>
  <c r="C82" i="47"/>
  <c r="G82" i="47" s="1"/>
  <c r="N83" i="47"/>
  <c r="K101" i="47"/>
  <c r="Q129" i="47"/>
  <c r="J133" i="47"/>
  <c r="P141" i="47"/>
  <c r="Q141" i="47" s="1"/>
  <c r="L143" i="47"/>
  <c r="K145" i="47"/>
  <c r="N147" i="47"/>
  <c r="N169" i="47"/>
  <c r="H179" i="47"/>
  <c r="C203" i="47"/>
  <c r="K203" i="47" s="1"/>
  <c r="G220" i="47"/>
  <c r="P226" i="47"/>
  <c r="D245" i="47"/>
  <c r="O245" i="47" s="1"/>
  <c r="P325" i="47"/>
  <c r="C325" i="47"/>
  <c r="B325" i="47"/>
  <c r="N2" i="47"/>
  <c r="F7" i="47"/>
  <c r="D9" i="47"/>
  <c r="O9" i="47" s="1"/>
  <c r="C14" i="47"/>
  <c r="D16" i="47"/>
  <c r="O16" i="47" s="1"/>
  <c r="K23" i="47"/>
  <c r="F25" i="47"/>
  <c r="C29" i="47"/>
  <c r="H29" i="47" s="1"/>
  <c r="N30" i="47"/>
  <c r="D32" i="47"/>
  <c r="O32" i="47" s="1"/>
  <c r="F34" i="47"/>
  <c r="L36" i="47"/>
  <c r="B38" i="47"/>
  <c r="C47" i="47"/>
  <c r="B49" i="47"/>
  <c r="N50" i="47"/>
  <c r="H56" i="47"/>
  <c r="N58" i="47"/>
  <c r="J59" i="47"/>
  <c r="C61" i="47"/>
  <c r="K61" i="47" s="1"/>
  <c r="K62" i="47"/>
  <c r="C64" i="47"/>
  <c r="N65" i="47"/>
  <c r="B67" i="47"/>
  <c r="D70" i="47"/>
  <c r="O70" i="47" s="1"/>
  <c r="H73" i="47"/>
  <c r="F78" i="47"/>
  <c r="K80" i="47"/>
  <c r="B82" i="47"/>
  <c r="D91" i="47"/>
  <c r="O91" i="47" s="1"/>
  <c r="J94" i="47"/>
  <c r="B94" i="47"/>
  <c r="D97" i="47"/>
  <c r="O97" i="47" s="1"/>
  <c r="N101" i="47"/>
  <c r="F110" i="47"/>
  <c r="L110" i="47" s="1"/>
  <c r="L127" i="47"/>
  <c r="B129" i="47"/>
  <c r="M133" i="47"/>
  <c r="L135" i="47"/>
  <c r="Q137" i="47"/>
  <c r="B140" i="47"/>
  <c r="M143" i="47"/>
  <c r="N145"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D14" i="47"/>
  <c r="O14" i="47" s="1"/>
  <c r="F16" i="47"/>
  <c r="H16" i="47" s="1"/>
  <c r="B20" i="47"/>
  <c r="K20" i="47" s="1"/>
  <c r="J25" i="47"/>
  <c r="D29" i="47"/>
  <c r="O29" i="47" s="1"/>
  <c r="F32" i="47"/>
  <c r="P34" i="47"/>
  <c r="N36" i="47"/>
  <c r="C38" i="47"/>
  <c r="J38" i="47" s="1"/>
  <c r="N45" i="47"/>
  <c r="F47" i="47"/>
  <c r="D49" i="47"/>
  <c r="O49" i="47" s="1"/>
  <c r="P50" i="47"/>
  <c r="B53" i="47"/>
  <c r="B58" i="47"/>
  <c r="N59" i="47"/>
  <c r="D61" i="47"/>
  <c r="O61" i="47" s="1"/>
  <c r="F64" i="47"/>
  <c r="H64" i="47" s="1"/>
  <c r="P65" i="47"/>
  <c r="C67" i="47"/>
  <c r="F70" i="47"/>
  <c r="E75" i="47"/>
  <c r="N75" i="47"/>
  <c r="P78" i="47"/>
  <c r="Q78" i="47" s="1"/>
  <c r="D82" i="47"/>
  <c r="O82" i="47" s="1"/>
  <c r="C94" i="47"/>
  <c r="F97" i="47"/>
  <c r="P101" i="47"/>
  <c r="K110" i="47"/>
  <c r="F113" i="47"/>
  <c r="J117" i="47"/>
  <c r="C126" i="47"/>
  <c r="B126" i="47"/>
  <c r="N127" i="47"/>
  <c r="C129" i="47"/>
  <c r="G132" i="47"/>
  <c r="N133" i="47"/>
  <c r="C140" i="47"/>
  <c r="I140" i="47" s="1"/>
  <c r="P145" i="47"/>
  <c r="C150" i="47"/>
  <c r="I150" i="47" s="1"/>
  <c r="B155" i="47"/>
  <c r="D155" i="47"/>
  <c r="O155" i="47" s="1"/>
  <c r="F155" i="47"/>
  <c r="G167" i="47"/>
  <c r="D172" i="47"/>
  <c r="J179" i="47"/>
  <c r="E183" i="47"/>
  <c r="F185" i="47"/>
  <c r="H185" i="47" s="1"/>
  <c r="D192" i="47"/>
  <c r="Q192" i="47" s="1"/>
  <c r="C197" i="47"/>
  <c r="L197" i="47" s="1"/>
  <c r="H203" i="47"/>
  <c r="B211" i="47"/>
  <c r="F211" i="47"/>
  <c r="F255" i="47"/>
  <c r="B259" i="47"/>
  <c r="F259" i="47"/>
  <c r="D259" i="47"/>
  <c r="O259" i="47" s="1"/>
  <c r="D262" i="47"/>
  <c r="O262" i="47" s="1"/>
  <c r="C269" i="47"/>
  <c r="L269" i="47" s="1"/>
  <c r="C283" i="47"/>
  <c r="B283" i="47"/>
  <c r="N283" i="47"/>
  <c r="M283" i="47"/>
  <c r="J283" i="47"/>
  <c r="F283" i="47"/>
  <c r="E283" i="47"/>
  <c r="D283" i="47"/>
  <c r="O283" i="47" s="1"/>
  <c r="C342" i="47"/>
  <c r="N342" i="47" s="1"/>
  <c r="B342" i="47"/>
  <c r="K342" i="47" s="1"/>
  <c r="P342" i="47"/>
  <c r="F342" i="47"/>
  <c r="L342" i="47" s="1"/>
  <c r="E342" i="47"/>
  <c r="I53" i="47"/>
  <c r="B69" i="47"/>
  <c r="P77" i="47"/>
  <c r="C77" i="47"/>
  <c r="N77" i="47" s="1"/>
  <c r="N135" i="47"/>
  <c r="F142" i="47"/>
  <c r="C142" i="47"/>
  <c r="Q172" i="47"/>
  <c r="D208" i="47"/>
  <c r="C208" i="47"/>
  <c r="B208" i="47"/>
  <c r="N217" i="47"/>
  <c r="P242" i="47"/>
  <c r="I242" i="47"/>
  <c r="H242" i="47"/>
  <c r="K242" i="47"/>
  <c r="D242" i="47"/>
  <c r="O242" i="47" s="1"/>
  <c r="B40" i="47"/>
  <c r="Q42" i="47"/>
  <c r="C69" i="47"/>
  <c r="G69" i="47" s="1"/>
  <c r="L75" i="47"/>
  <c r="B77" i="47"/>
  <c r="G77" i="47" s="1"/>
  <c r="B84" i="47"/>
  <c r="D115" i="47"/>
  <c r="P135" i="47"/>
  <c r="K165" i="47"/>
  <c r="D165" i="47"/>
  <c r="O165" i="47" s="1"/>
  <c r="C165" i="47"/>
  <c r="B195" i="47"/>
  <c r="D195" i="47"/>
  <c r="O195" i="47" s="1"/>
  <c r="C195" i="47"/>
  <c r="F276" i="47"/>
  <c r="D276" i="47"/>
  <c r="P276" i="47"/>
  <c r="P368" i="47"/>
  <c r="J368" i="47"/>
  <c r="F368" i="47"/>
  <c r="D368" i="47"/>
  <c r="O368" i="47" s="1"/>
  <c r="K368" i="47"/>
  <c r="C368" i="47"/>
  <c r="N472" i="47"/>
  <c r="M472" i="47"/>
  <c r="L472" i="47"/>
  <c r="H6" i="47"/>
  <c r="G11" i="47"/>
  <c r="B13" i="47"/>
  <c r="K13" i="47" s="1"/>
  <c r="N14" i="47"/>
  <c r="B22" i="47"/>
  <c r="B24" i="47"/>
  <c r="B31" i="47"/>
  <c r="M37" i="47"/>
  <c r="K37" i="47"/>
  <c r="K38" i="47"/>
  <c r="C40" i="47"/>
  <c r="B42" i="47"/>
  <c r="H49" i="47"/>
  <c r="P53" i="47"/>
  <c r="M57" i="47"/>
  <c r="G57" i="47"/>
  <c r="F58" i="47"/>
  <c r="L64" i="47"/>
  <c r="D69" i="47"/>
  <c r="O69" i="47" s="1"/>
  <c r="N70" i="47"/>
  <c r="N72" i="47"/>
  <c r="F75" i="47"/>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J150" i="47"/>
  <c r="C153" i="47"/>
  <c r="E153" i="47" s="1"/>
  <c r="B153" i="47"/>
  <c r="B165" i="47"/>
  <c r="E175" i="47"/>
  <c r="M179" i="47"/>
  <c r="G181" i="47"/>
  <c r="H183" i="47"/>
  <c r="P185" i="47"/>
  <c r="F195" i="47"/>
  <c r="Q201" i="47"/>
  <c r="F201" i="47"/>
  <c r="N201" i="47"/>
  <c r="C201" i="47"/>
  <c r="B201" i="47"/>
  <c r="P203" i="47"/>
  <c r="L208" i="47"/>
  <c r="G233" i="47"/>
  <c r="J284" i="47"/>
  <c r="B368" i="47"/>
  <c r="H469" i="47"/>
  <c r="G469" i="47"/>
  <c r="J469" i="47"/>
  <c r="I469" i="47"/>
  <c r="F469" i="47"/>
  <c r="C469" i="47"/>
  <c r="M469" i="47" s="1"/>
  <c r="B469" i="47"/>
  <c r="P469" i="47"/>
  <c r="G6" i="47"/>
  <c r="J20" i="47"/>
  <c r="P29" i="47"/>
  <c r="C31" i="47"/>
  <c r="G37" i="47"/>
  <c r="C42" i="47"/>
  <c r="G42" i="47" s="1"/>
  <c r="N46" i="47"/>
  <c r="K49" i="47"/>
  <c r="H55" i="47"/>
  <c r="N60" i="47"/>
  <c r="B60" i="47"/>
  <c r="K60" i="47" s="1"/>
  <c r="E63" i="47"/>
  <c r="H63" i="47"/>
  <c r="N64" i="47"/>
  <c r="P67" i="47"/>
  <c r="F69" i="47"/>
  <c r="H69" i="47" s="1"/>
  <c r="H75" i="47"/>
  <c r="F77" i="47"/>
  <c r="H77" i="47" s="1"/>
  <c r="G81" i="47"/>
  <c r="F84" i="47"/>
  <c r="Q115" i="47"/>
  <c r="G128" i="47"/>
  <c r="I132" i="47"/>
  <c r="Q139" i="47"/>
  <c r="H139" i="47"/>
  <c r="E139" i="47"/>
  <c r="P142" i="47"/>
  <c r="F165" i="47"/>
  <c r="B171" i="47"/>
  <c r="N171" i="47"/>
  <c r="L171" i="47"/>
  <c r="K171" i="47"/>
  <c r="C171" i="47"/>
  <c r="J171" i="47" s="1"/>
  <c r="F173" i="47"/>
  <c r="D173" i="47"/>
  <c r="O173" i="47" s="1"/>
  <c r="C173" i="47"/>
  <c r="N179" i="47"/>
  <c r="K183" i="47"/>
  <c r="G195" i="47"/>
  <c r="P208" i="47"/>
  <c r="H233" i="47"/>
  <c r="D253" i="47"/>
  <c r="O253" i="47" s="1"/>
  <c r="C253" i="47"/>
  <c r="H253" i="47" s="1"/>
  <c r="L253" i="47"/>
  <c r="F253" i="47"/>
  <c r="E306" i="47"/>
  <c r="N469" i="47"/>
  <c r="P451" i="47"/>
  <c r="D451" i="47"/>
  <c r="Q451" i="47" s="1"/>
  <c r="B451" i="47"/>
  <c r="Q615" i="47"/>
  <c r="C615" i="47"/>
  <c r="P615" i="47"/>
  <c r="F615" i="47"/>
  <c r="B615" i="47"/>
  <c r="P260" i="47"/>
  <c r="K260" i="47"/>
  <c r="P363" i="47"/>
  <c r="F363" i="47"/>
  <c r="D363" i="47"/>
  <c r="I366" i="47"/>
  <c r="J366" i="47"/>
  <c r="N366" i="47"/>
  <c r="J506" i="47"/>
  <c r="N506" i="47"/>
  <c r="L506" i="47"/>
  <c r="G506" i="47"/>
  <c r="E506" i="47"/>
  <c r="N233" i="47"/>
  <c r="B260" i="47"/>
  <c r="I313" i="47"/>
  <c r="J316" i="47"/>
  <c r="G316" i="47"/>
  <c r="C363" i="47"/>
  <c r="J374" i="47"/>
  <c r="F374" i="47"/>
  <c r="H374" i="47" s="1"/>
  <c r="C374" i="47"/>
  <c r="B374" i="47"/>
  <c r="G374" i="47" s="1"/>
  <c r="P374" i="47"/>
  <c r="N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H313"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K356" i="47" s="1"/>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M288" i="47"/>
  <c r="I288" i="47"/>
  <c r="F288" i="47"/>
  <c r="E288" i="47"/>
  <c r="B288" i="47"/>
  <c r="E301" i="47"/>
  <c r="C301" i="47"/>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B346" i="47"/>
  <c r="P346" i="47"/>
  <c r="B348" i="47"/>
  <c r="G348" i="47" s="1"/>
  <c r="L374" i="47"/>
  <c r="B426" i="47"/>
  <c r="D330" i="47"/>
  <c r="O330" i="47" s="1"/>
  <c r="C330" i="47"/>
  <c r="L330" i="47" s="1"/>
  <c r="C338" i="47"/>
  <c r="K338" i="47" s="1"/>
  <c r="B338" i="47"/>
  <c r="P338" i="47"/>
  <c r="L338" i="47"/>
  <c r="J338" i="47"/>
  <c r="C354" i="47"/>
  <c r="B354" i="47"/>
  <c r="F356" i="47"/>
  <c r="J380" i="47"/>
  <c r="F380" i="47"/>
  <c r="D380" i="47"/>
  <c r="O380" i="47" s="1"/>
  <c r="C380" i="47"/>
  <c r="L380" i="47" s="1"/>
  <c r="B380" i="47"/>
  <c r="P380" i="47"/>
  <c r="N380" i="47"/>
  <c r="M380" i="47"/>
  <c r="H499" i="47"/>
  <c r="P499" i="47"/>
  <c r="F499" i="47"/>
  <c r="D499" i="47"/>
  <c r="O499" i="47" s="1"/>
  <c r="C499" i="47"/>
  <c r="J499" i="47" s="1"/>
  <c r="B499" i="47"/>
  <c r="K336" i="47"/>
  <c r="F336" i="47"/>
  <c r="D336" i="47"/>
  <c r="O336" i="47" s="1"/>
  <c r="C336" i="47"/>
  <c r="G336" i="47" s="1"/>
  <c r="D338" i="47"/>
  <c r="O338" i="47" s="1"/>
  <c r="J343" i="47"/>
  <c r="F351" i="47"/>
  <c r="B351" i="47"/>
  <c r="D354" i="47"/>
  <c r="O354" i="47" s="1"/>
  <c r="K380" i="47"/>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N778"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Q221" i="47"/>
  <c r="P221" i="47"/>
  <c r="G221" i="47"/>
  <c r="B235" i="47"/>
  <c r="P235" i="47"/>
  <c r="F235" i="47"/>
  <c r="D250" i="47"/>
  <c r="O250" i="47" s="1"/>
  <c r="C250" i="47"/>
  <c r="G261" i="47"/>
  <c r="L264" i="47"/>
  <c r="K264" i="47"/>
  <c r="Q266" i="47"/>
  <c r="P275" i="47"/>
  <c r="D275" i="47"/>
  <c r="C275" i="47"/>
  <c r="M275" i="47" s="1"/>
  <c r="J280" i="47"/>
  <c r="K286" i="47"/>
  <c r="C298" i="47"/>
  <c r="D302" i="47"/>
  <c r="F338" i="47"/>
  <c r="L346" i="47"/>
  <c r="P354" i="47"/>
  <c r="P362" i="47"/>
  <c r="Q362" i="47" s="1"/>
  <c r="L362" i="47"/>
  <c r="F362" i="47"/>
  <c r="D362" i="47"/>
  <c r="O362" i="47" s="1"/>
  <c r="C362" i="47"/>
  <c r="B362" i="47"/>
  <c r="I370" i="47"/>
  <c r="J370" i="47"/>
  <c r="G370" i="47"/>
  <c r="E370" i="47"/>
  <c r="D372" i="47"/>
  <c r="O372" i="47" s="1"/>
  <c r="P375" i="47"/>
  <c r="I375" i="47"/>
  <c r="D375" i="47"/>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I359" i="47"/>
  <c r="C359" i="47"/>
  <c r="I384" i="47"/>
  <c r="F384" i="47"/>
  <c r="E384" i="47"/>
  <c r="D384" i="47"/>
  <c r="O384" i="47" s="1"/>
  <c r="C384" i="47"/>
  <c r="K384" i="47" s="1"/>
  <c r="B384" i="47"/>
  <c r="P384" i="47"/>
  <c r="N384" i="47"/>
  <c r="P388" i="47"/>
  <c r="C388" i="47"/>
  <c r="B388" i="47"/>
  <c r="Q391" i="47"/>
  <c r="P394" i="47"/>
  <c r="L741" i="47"/>
  <c r="N741" i="47"/>
  <c r="M741" i="47"/>
  <c r="I741" i="47"/>
  <c r="E741" i="47"/>
  <c r="Q233" i="47"/>
  <c r="M233" i="47"/>
  <c r="F233" i="47"/>
  <c r="E233" i="47"/>
  <c r="P280" i="47"/>
  <c r="Q289" i="47"/>
  <c r="Q296" i="47"/>
  <c r="C296" i="47"/>
  <c r="E296" i="47" s="1"/>
  <c r="B296" i="47"/>
  <c r="P296" i="47"/>
  <c r="K296" i="47"/>
  <c r="F334" i="47"/>
  <c r="D334" i="47"/>
  <c r="O334" i="47" s="1"/>
  <c r="C334" i="47"/>
  <c r="K352" i="47"/>
  <c r="N359" i="47"/>
  <c r="K372" i="47"/>
  <c r="J384" i="47"/>
  <c r="D388" i="47"/>
  <c r="O388" i="47" s="1"/>
  <c r="M398" i="47"/>
  <c r="E398" i="47"/>
  <c r="P412" i="47"/>
  <c r="F412" i="47"/>
  <c r="J412" i="47"/>
  <c r="D412" i="47"/>
  <c r="O412" i="47" s="1"/>
  <c r="C412" i="47"/>
  <c r="E412" i="47" s="1"/>
  <c r="B412" i="47"/>
  <c r="Q457" i="47"/>
  <c r="P457" i="47"/>
  <c r="B457" i="47"/>
  <c r="E744" i="47"/>
  <c r="K744" i="47"/>
  <c r="K355" i="47"/>
  <c r="M461" i="47"/>
  <c r="N461" i="47"/>
  <c r="L378" i="47"/>
  <c r="F404" i="47"/>
  <c r="D404" i="47"/>
  <c r="O404" i="47" s="1"/>
  <c r="Q430" i="47"/>
  <c r="D430" i="47"/>
  <c r="O430" i="47" s="1"/>
  <c r="F438" i="47"/>
  <c r="D438" i="47"/>
  <c r="B438" i="47"/>
  <c r="L490" i="47"/>
  <c r="F490" i="47"/>
  <c r="C502" i="47"/>
  <c r="P502" i="47"/>
  <c r="D502" i="47"/>
  <c r="O502" i="47" s="1"/>
  <c r="F507" i="47"/>
  <c r="D507" i="47"/>
  <c r="P562" i="47"/>
  <c r="D562" i="47"/>
  <c r="O562" i="47" s="1"/>
  <c r="P599" i="47"/>
  <c r="F599" i="47"/>
  <c r="D599" i="47"/>
  <c r="C599" i="47"/>
  <c r="G599" i="47" s="1"/>
  <c r="P620" i="47"/>
  <c r="F620" i="47"/>
  <c r="D620" i="47"/>
  <c r="O620" i="47" s="1"/>
  <c r="C620" i="47"/>
  <c r="B620" i="47"/>
  <c r="G640" i="47"/>
  <c r="G679" i="47"/>
  <c r="M679" i="47"/>
  <c r="F679" i="47"/>
  <c r="C679" i="47"/>
  <c r="E679" i="47" s="1"/>
  <c r="B679" i="47"/>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Q491" i="47"/>
  <c r="F502" i="47"/>
  <c r="P505" i="47"/>
  <c r="C507" i="47"/>
  <c r="K596" i="47"/>
  <c r="P742" i="47"/>
  <c r="D742" i="47"/>
  <c r="F742" i="47"/>
  <c r="B742" i="47"/>
  <c r="G779" i="47"/>
  <c r="Q229" i="47"/>
  <c r="C289" i="47"/>
  <c r="D295" i="47"/>
  <c r="O295" i="47" s="1"/>
  <c r="B306" i="47"/>
  <c r="M306" i="47" s="1"/>
  <c r="I310" i="47"/>
  <c r="C313" i="47"/>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I507" i="47"/>
  <c r="L559" i="47"/>
  <c r="P559" i="47"/>
  <c r="M559" i="47"/>
  <c r="K559" i="47"/>
  <c r="B559" i="47"/>
  <c r="I559" i="47" s="1"/>
  <c r="E586" i="47"/>
  <c r="L596" i="47"/>
  <c r="D745" i="47"/>
  <c r="O745" i="47" s="1"/>
  <c r="C745" i="47"/>
  <c r="L745" i="47" s="1"/>
  <c r="B745" i="47"/>
  <c r="I779" i="47"/>
  <c r="J779" i="47"/>
  <c r="E779" i="47"/>
  <c r="M779" i="47"/>
  <c r="N779" i="47"/>
  <c r="K779" i="47"/>
  <c r="B839" i="47"/>
  <c r="F839" i="47"/>
  <c r="P839" i="47"/>
  <c r="D839" i="47"/>
  <c r="O839" i="47" s="1"/>
  <c r="C839" i="47"/>
  <c r="L839" i="47" s="1"/>
  <c r="P445" i="47"/>
  <c r="Q445" i="47" s="1"/>
  <c r="F445" i="47"/>
  <c r="P567" i="47"/>
  <c r="Q567" i="47" s="1"/>
  <c r="F567" i="47"/>
  <c r="D567" i="47"/>
  <c r="O567" i="47" s="1"/>
  <c r="P600" i="47"/>
  <c r="M600" i="47"/>
  <c r="F600" i="47"/>
  <c r="D600" i="47"/>
  <c r="O600" i="47" s="1"/>
  <c r="E630" i="47"/>
  <c r="C630" i="47"/>
  <c r="J630" i="47" s="1"/>
  <c r="B630" i="47"/>
  <c r="D820" i="47"/>
  <c r="F820" i="47"/>
  <c r="I309" i="47"/>
  <c r="H355" i="47"/>
  <c r="P411" i="47"/>
  <c r="K436" i="47"/>
  <c r="B445" i="47"/>
  <c r="E447" i="47"/>
  <c r="P453" i="47"/>
  <c r="M453" i="47"/>
  <c r="Q458" i="47"/>
  <c r="C458" i="47"/>
  <c r="B458" i="47"/>
  <c r="H461" i="47"/>
  <c r="G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M722" i="47"/>
  <c r="F722" i="47"/>
  <c r="C722" i="47"/>
  <c r="G722" i="47" s="1"/>
  <c r="B722" i="47"/>
  <c r="B726" i="47"/>
  <c r="D726" i="47"/>
  <c r="M726" i="47"/>
  <c r="C726" i="47"/>
  <c r="D286" i="47"/>
  <c r="O286" i="47" s="1"/>
  <c r="L289" i="47"/>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I476" i="47"/>
  <c r="G476" i="47"/>
  <c r="F476" i="47"/>
  <c r="N476" i="47" s="1"/>
  <c r="D476" i="47"/>
  <c r="O476" i="47" s="1"/>
  <c r="P476" i="47"/>
  <c r="P488" i="47"/>
  <c r="D488" i="47"/>
  <c r="O488" i="47" s="1"/>
  <c r="M490" i="47"/>
  <c r="B492" i="47"/>
  <c r="B495" i="47"/>
  <c r="N510" i="47"/>
  <c r="B515" i="47"/>
  <c r="I515" i="47" s="1"/>
  <c r="P526" i="47"/>
  <c r="M546" i="47"/>
  <c r="F559" i="47"/>
  <c r="J559" i="47" s="1"/>
  <c r="F576" i="47"/>
  <c r="C600" i="47"/>
  <c r="E600" i="47" s="1"/>
  <c r="L630" i="47"/>
  <c r="E633" i="47"/>
  <c r="G687" i="47"/>
  <c r="M687" i="47"/>
  <c r="K687" i="47"/>
  <c r="H687" i="47"/>
  <c r="N767" i="47"/>
  <c r="F767" i="47"/>
  <c r="C767" i="47"/>
  <c r="I767" i="47" s="1"/>
  <c r="B767" i="47"/>
  <c r="G767" i="47" s="1"/>
  <c r="P767" i="47"/>
  <c r="M767" i="47"/>
  <c r="D767" i="47"/>
  <c r="O767" i="47" s="1"/>
  <c r="B521" i="47"/>
  <c r="P521" i="47"/>
  <c r="P550" i="47"/>
  <c r="Q550" i="47" s="1"/>
  <c r="E550" i="47"/>
  <c r="D550" i="47"/>
  <c r="O550" i="47" s="1"/>
  <c r="C550" i="47"/>
  <c r="G550" i="47" s="1"/>
  <c r="E592" i="47"/>
  <c r="L592" i="47"/>
  <c r="D592" i="47"/>
  <c r="C592" i="47"/>
  <c r="H595" i="47"/>
  <c r="M595" i="47"/>
  <c r="K595" i="47"/>
  <c r="J595" i="47"/>
  <c r="J600" i="47"/>
  <c r="F604" i="47"/>
  <c r="D604" i="47"/>
  <c r="O604" i="47" s="1"/>
  <c r="C604" i="47"/>
  <c r="K604" i="47" s="1"/>
  <c r="P604" i="47"/>
  <c r="H831" i="47"/>
  <c r="E831" i="47"/>
  <c r="P508" i="47"/>
  <c r="F508" i="47"/>
  <c r="B508" i="47"/>
  <c r="F521" i="47"/>
  <c r="F550" i="47"/>
  <c r="N550" i="47" s="1"/>
  <c r="F568" i="47"/>
  <c r="M568" i="47"/>
  <c r="L568" i="47"/>
  <c r="K568" i="47"/>
  <c r="E568" i="47"/>
  <c r="P584" i="47"/>
  <c r="F584" i="47"/>
  <c r="J592" i="47"/>
  <c r="B604" i="47"/>
  <c r="G217" i="47"/>
  <c r="G229" i="47"/>
  <c r="D241" i="47"/>
  <c r="O241" i="47" s="1"/>
  <c r="D261" i="47"/>
  <c r="O261" i="47" s="1"/>
  <c r="Q278" i="47"/>
  <c r="G284" i="47"/>
  <c r="H286" i="47"/>
  <c r="I297" i="47"/>
  <c r="G309" i="47"/>
  <c r="G343" i="47"/>
  <c r="K344"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G628" i="47"/>
  <c r="F628" i="47"/>
  <c r="E628" i="47"/>
  <c r="D628" i="47"/>
  <c r="O628" i="47" s="1"/>
  <c r="C628" i="47"/>
  <c r="B628" i="47"/>
  <c r="P628" i="47"/>
  <c r="N628" i="47"/>
  <c r="M628" i="47"/>
  <c r="N664" i="47"/>
  <c r="M664" i="47"/>
  <c r="K664" i="47"/>
  <c r="F664" i="47"/>
  <c r="C664" i="47"/>
  <c r="B664" i="47"/>
  <c r="N668" i="47"/>
  <c r="F751" i="47"/>
  <c r="C751" i="47"/>
  <c r="I751" i="47" s="1"/>
  <c r="P751" i="47"/>
  <c r="I777" i="47"/>
  <c r="C777" i="47"/>
  <c r="B794" i="47"/>
  <c r="D794" i="47"/>
  <c r="O794" i="47" s="1"/>
  <c r="L229" i="47"/>
  <c r="Q272" i="47"/>
  <c r="I286" i="47"/>
  <c r="P309" i="47"/>
  <c r="I343" i="47"/>
  <c r="L344" i="47"/>
  <c r="Q358" i="47"/>
  <c r="E364" i="47"/>
  <c r="E366" i="47"/>
  <c r="Q382" i="47"/>
  <c r="F402" i="47"/>
  <c r="K410" i="47"/>
  <c r="L410" i="47"/>
  <c r="C432" i="47"/>
  <c r="B432" i="47"/>
  <c r="N434" i="47"/>
  <c r="J461" i="47"/>
  <c r="Q466" i="47"/>
  <c r="C466" i="47"/>
  <c r="B466" i="47"/>
  <c r="P466" i="47"/>
  <c r="K466" i="47"/>
  <c r="J511" i="47"/>
  <c r="C553" i="47"/>
  <c r="E553" i="47" s="1"/>
  <c r="P560" i="47"/>
  <c r="B560" i="47"/>
  <c r="C568" i="47"/>
  <c r="N595" i="47"/>
  <c r="M604" i="47"/>
  <c r="D424" i="47"/>
  <c r="C424" i="47"/>
  <c r="Q446" i="47"/>
  <c r="K446" i="47"/>
  <c r="F446" i="47"/>
  <c r="M571" i="47"/>
  <c r="Q571" i="47"/>
  <c r="P571" i="47"/>
  <c r="F571" i="47"/>
  <c r="E585" i="47"/>
  <c r="D585" i="47"/>
  <c r="C696" i="47"/>
  <c r="L696" i="47"/>
  <c r="E696" i="47"/>
  <c r="K696" i="47"/>
  <c r="J696" i="47"/>
  <c r="F696" i="47"/>
  <c r="N696" i="47" s="1"/>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N568" i="47"/>
  <c r="C571" i="47"/>
  <c r="D578" i="47"/>
  <c r="O578" i="47" s="1"/>
  <c r="M578" i="47"/>
  <c r="J578" i="47"/>
  <c r="I578" i="47"/>
  <c r="E578" i="47"/>
  <c r="C585" i="47"/>
  <c r="N585" i="47" s="1"/>
  <c r="G632" i="47"/>
  <c r="P632" i="47"/>
  <c r="M632" i="47"/>
  <c r="K632" i="47"/>
  <c r="J632" i="47"/>
  <c r="F632" i="47"/>
  <c r="E632" i="47"/>
  <c r="D632" i="47"/>
  <c r="O632" i="47" s="1"/>
  <c r="N665" i="47"/>
  <c r="M668" i="47"/>
  <c r="L682" i="47"/>
  <c r="B696" i="47"/>
  <c r="M696" i="47" s="1"/>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N514" i="47"/>
  <c r="C514" i="47"/>
  <c r="P516" i="47"/>
  <c r="D516" i="47"/>
  <c r="O516" i="47" s="1"/>
  <c r="P568" i="47"/>
  <c r="D571" i="47"/>
  <c r="O571" i="47" s="1"/>
  <c r="J645" i="47"/>
  <c r="I645" i="47"/>
  <c r="D837" i="47"/>
  <c r="F837" i="47"/>
  <c r="B837" i="47"/>
  <c r="C690" i="47"/>
  <c r="E690" i="47" s="1"/>
  <c r="F766" i="47"/>
  <c r="D766" i="47"/>
  <c r="O766" i="47" s="1"/>
  <c r="C773" i="47"/>
  <c r="M773" i="47" s="1"/>
  <c r="D811" i="47"/>
  <c r="O811" i="47" s="1"/>
  <c r="B811" i="47"/>
  <c r="F811" i="47"/>
  <c r="L830" i="47"/>
  <c r="J830" i="47"/>
  <c r="H506" i="47"/>
  <c r="N522" i="47"/>
  <c r="I612" i="47"/>
  <c r="K671" i="47"/>
  <c r="C676" i="47"/>
  <c r="K676" i="47" s="1"/>
  <c r="B690" i="47"/>
  <c r="Q707" i="47"/>
  <c r="F707" i="47"/>
  <c r="D755" i="47"/>
  <c r="O755" i="47" s="1"/>
  <c r="B755" i="47"/>
  <c r="F755" i="47"/>
  <c r="B766" i="47"/>
  <c r="F773" i="47"/>
  <c r="K791" i="47"/>
  <c r="N791" i="47"/>
  <c r="M791" i="47"/>
  <c r="C811" i="47"/>
  <c r="B833" i="47"/>
  <c r="H851" i="47"/>
  <c r="D851" i="47"/>
  <c r="O851" i="47" s="1"/>
  <c r="B851" i="47"/>
  <c r="P851" i="47"/>
  <c r="F851" i="47"/>
  <c r="C851" i="47"/>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J815" i="47"/>
  <c r="D815" i="47"/>
  <c r="O815" i="47" s="1"/>
  <c r="B815" i="47"/>
  <c r="L815" i="47"/>
  <c r="G815" i="47"/>
  <c r="F821" i="47"/>
  <c r="C821" i="47"/>
  <c r="D821" i="47"/>
  <c r="M830" i="47"/>
  <c r="F833" i="47"/>
  <c r="J851" i="47"/>
  <c r="N861" i="47"/>
  <c r="D861" i="47"/>
  <c r="O861" i="47" s="1"/>
  <c r="B861" i="47"/>
  <c r="P861" i="47"/>
  <c r="K861" i="47"/>
  <c r="G643" i="47"/>
  <c r="G645" i="47"/>
  <c r="F690" i="47"/>
  <c r="C707" i="47"/>
  <c r="I707" i="47" s="1"/>
  <c r="C748" i="47"/>
  <c r="L748" i="47" s="1"/>
  <c r="B795" i="47"/>
  <c r="P795" i="47"/>
  <c r="Q795" i="47" s="1"/>
  <c r="K795" i="47"/>
  <c r="P799" i="47"/>
  <c r="Q799" i="47" s="1"/>
  <c r="J799" i="47"/>
  <c r="F799" i="47"/>
  <c r="B799" i="47"/>
  <c r="I799" i="47" s="1"/>
  <c r="D799" i="47"/>
  <c r="O799" i="47" s="1"/>
  <c r="C809" i="47"/>
  <c r="F809" i="47"/>
  <c r="C815" i="47"/>
  <c r="E815" i="47" s="1"/>
  <c r="G846" i="47"/>
  <c r="N851" i="47"/>
  <c r="C861" i="47"/>
  <c r="H861" i="47" s="1"/>
  <c r="L894" i="47"/>
  <c r="P894" i="47"/>
  <c r="C894" i="47"/>
  <c r="N894" i="47" s="1"/>
  <c r="B894" i="47"/>
  <c r="P583" i="47"/>
  <c r="Q583" i="47" s="1"/>
  <c r="F583" i="47"/>
  <c r="M634" i="47"/>
  <c r="G634" i="47"/>
  <c r="C636" i="47"/>
  <c r="G636" i="47" s="1"/>
  <c r="H643" i="47"/>
  <c r="I655" i="47"/>
  <c r="M655" i="47"/>
  <c r="D658" i="47"/>
  <c r="O658" i="47" s="1"/>
  <c r="B674" i="47"/>
  <c r="G674" i="47"/>
  <c r="L676" i="47"/>
  <c r="G684" i="47"/>
  <c r="I684" i="47"/>
  <c r="C684" i="47"/>
  <c r="H697" i="47"/>
  <c r="J748" i="47"/>
  <c r="J763" i="47"/>
  <c r="I778" i="47"/>
  <c r="E778" i="47"/>
  <c r="C778" i="47"/>
  <c r="K778" i="47"/>
  <c r="J778" i="47"/>
  <c r="B778" i="47"/>
  <c r="I795" i="47"/>
  <c r="E799" i="47"/>
  <c r="M806" i="47"/>
  <c r="F806" i="47"/>
  <c r="C806" i="47"/>
  <c r="D806" i="47"/>
  <c r="K809" i="47"/>
  <c r="F815" i="47"/>
  <c r="P834" i="47"/>
  <c r="J834" i="47"/>
  <c r="F834" i="47"/>
  <c r="H834" i="47" s="1"/>
  <c r="C834" i="47"/>
  <c r="L834" i="47" s="1"/>
  <c r="M834" i="47"/>
  <c r="G834" i="47"/>
  <c r="H613" i="47"/>
  <c r="M626" i="47"/>
  <c r="C629" i="47"/>
  <c r="I629" i="47" s="1"/>
  <c r="N647" i="47"/>
  <c r="J647" i="47"/>
  <c r="M676" i="47"/>
  <c r="E691" i="47"/>
  <c r="F691" i="47"/>
  <c r="K720" i="47"/>
  <c r="G799"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Q873" i="47" s="1"/>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H778"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G914" i="47"/>
  <c r="B914" i="47"/>
  <c r="N914" i="47"/>
  <c r="P914" i="47"/>
  <c r="I914" i="47"/>
  <c r="C914" i="47"/>
  <c r="M914" i="47" s="1"/>
  <c r="F425" i="47"/>
  <c r="I428" i="47"/>
  <c r="C462" i="47"/>
  <c r="C470" i="47"/>
  <c r="C482" i="47"/>
  <c r="P506" i="47"/>
  <c r="C522" i="47"/>
  <c r="J523" i="47"/>
  <c r="J543" i="47"/>
  <c r="E591" i="47"/>
  <c r="B612" i="47"/>
  <c r="C614" i="47"/>
  <c r="E614" i="47" s="1"/>
  <c r="G624" i="47"/>
  <c r="B625" i="47"/>
  <c r="F626" i="47"/>
  <c r="L626" i="47" s="1"/>
  <c r="J634" i="47"/>
  <c r="D642" i="47"/>
  <c r="O642" i="47" s="1"/>
  <c r="B642" i="47"/>
  <c r="B646" i="47"/>
  <c r="P648" i="47"/>
  <c r="Q648" i="47" s="1"/>
  <c r="N648" i="47"/>
  <c r="K648" i="47"/>
  <c r="B650" i="47"/>
  <c r="B659" i="47"/>
  <c r="M684" i="47"/>
  <c r="B698" i="47"/>
  <c r="E701"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Q633" i="47" s="1"/>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K626" i="47"/>
  <c r="P629" i="47"/>
  <c r="G637" i="47"/>
  <c r="Q657" i="47"/>
  <c r="E659" i="47"/>
  <c r="J668" i="47"/>
  <c r="F668" i="47"/>
  <c r="E708" i="47"/>
  <c r="F772" i="47"/>
  <c r="P807" i="47"/>
  <c r="M810" i="47"/>
  <c r="J827" i="47"/>
  <c r="D827" i="47"/>
  <c r="O827" i="47" s="1"/>
  <c r="C827" i="47"/>
  <c r="B827" i="47"/>
  <c r="Q842" i="47"/>
  <c r="P842" i="47"/>
  <c r="D842" i="47"/>
  <c r="B842" i="47"/>
  <c r="F842" i="47"/>
  <c r="H842" i="47" s="1"/>
  <c r="C842" i="47"/>
  <c r="F864" i="47"/>
  <c r="C864" i="47"/>
  <c r="J700" i="47"/>
  <c r="F700" i="47"/>
  <c r="P741" i="47"/>
  <c r="G741" i="47"/>
  <c r="B741" i="47"/>
  <c r="B743" i="47"/>
  <c r="K743" i="47" s="1"/>
  <c r="I743" i="47"/>
  <c r="P843" i="47"/>
  <c r="L843" i="47"/>
  <c r="H843" i="47"/>
  <c r="D843" i="47"/>
  <c r="O843" i="47" s="1"/>
  <c r="K865" i="47"/>
  <c r="C865" i="47"/>
  <c r="L883" i="47"/>
  <c r="J883" i="47"/>
  <c r="H883" i="47"/>
  <c r="D883" i="47"/>
  <c r="O883" i="47" s="1"/>
  <c r="B883" i="47"/>
  <c r="N883" i="47"/>
  <c r="P901" i="47"/>
  <c r="D901" i="47"/>
  <c r="O901" i="47" s="1"/>
  <c r="B901" i="47"/>
  <c r="C919" i="47"/>
  <c r="D919" i="47"/>
  <c r="O919" i="47" s="1"/>
  <c r="P859" i="47"/>
  <c r="L859" i="47"/>
  <c r="D859" i="47"/>
  <c r="O859" i="47" s="1"/>
  <c r="B859" i="47"/>
  <c r="C880" i="47"/>
  <c r="K880" i="47" s="1"/>
  <c r="G899" i="47"/>
  <c r="E899" i="47"/>
  <c r="C899" i="47"/>
  <c r="M899" i="47" s="1"/>
  <c r="P899" i="47"/>
  <c r="K899" i="47"/>
  <c r="I899" i="47"/>
  <c r="P906" i="47"/>
  <c r="I906" i="47"/>
  <c r="B906" i="47"/>
  <c r="P909" i="47"/>
  <c r="D909" i="47"/>
  <c r="O909" i="47" s="1"/>
  <c r="F919" i="47"/>
  <c r="D728" i="47"/>
  <c r="O728" i="47" s="1"/>
  <c r="B728" i="47"/>
  <c r="D731" i="47"/>
  <c r="O731" i="47" s="1"/>
  <c r="I731" i="47"/>
  <c r="B731" i="47"/>
  <c r="J741" i="47"/>
  <c r="G743" i="47"/>
  <c r="P780" i="47"/>
  <c r="F780" i="47"/>
  <c r="N810" i="47"/>
  <c r="F831" i="47"/>
  <c r="J831" i="47" s="1"/>
  <c r="D831" i="47"/>
  <c r="O831" i="47" s="1"/>
  <c r="P831" i="47"/>
  <c r="H859" i="47"/>
  <c r="P871" i="47"/>
  <c r="G871" i="47"/>
  <c r="D871" i="47"/>
  <c r="O871" i="47" s="1"/>
  <c r="B871" i="47"/>
  <c r="G883" i="47"/>
  <c r="D899" i="47"/>
  <c r="O899" i="47" s="1"/>
  <c r="J906" i="47"/>
  <c r="F909" i="47"/>
  <c r="P919" i="47"/>
  <c r="N586" i="47"/>
  <c r="F647" i="47"/>
  <c r="G647" i="47"/>
  <c r="M685" i="47"/>
  <c r="B715" i="47"/>
  <c r="J720"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H910" i="47"/>
  <c r="B910" i="47"/>
  <c r="K910" i="47" s="1"/>
  <c r="P923" i="47"/>
  <c r="L899" i="47"/>
  <c r="C907" i="47"/>
  <c r="N907" i="47" s="1"/>
  <c r="L907" i="47"/>
  <c r="F907" i="47"/>
  <c r="J907" i="47" s="1"/>
  <c r="D907" i="47"/>
  <c r="O907" i="47" s="1"/>
  <c r="P907" i="47"/>
  <c r="N720" i="47"/>
  <c r="D790" i="47"/>
  <c r="O790" i="47" s="1"/>
  <c r="B790" i="47"/>
  <c r="M790" i="47"/>
  <c r="D814" i="47"/>
  <c r="B814" i="47"/>
  <c r="I814" i="47" s="1"/>
  <c r="P814" i="47"/>
  <c r="F824" i="47"/>
  <c r="B824" i="47"/>
  <c r="L831" i="47"/>
  <c r="K847" i="47"/>
  <c r="B847" i="47"/>
  <c r="P847" i="47"/>
  <c r="L847" i="47"/>
  <c r="H847" i="47"/>
  <c r="D847" i="47"/>
  <c r="O847" i="47" s="1"/>
  <c r="J858" i="47"/>
  <c r="G858" i="47"/>
  <c r="D858" i="47"/>
  <c r="P858" i="47"/>
  <c r="D867" i="47"/>
  <c r="O867" i="47" s="1"/>
  <c r="B867" i="47"/>
  <c r="J867" i="47"/>
  <c r="F867" i="47"/>
  <c r="E875" i="47"/>
  <c r="M881" i="47"/>
  <c r="P890" i="47"/>
  <c r="E907" i="47"/>
  <c r="I910" i="47"/>
  <c r="N831" i="47"/>
  <c r="P855" i="47"/>
  <c r="H855" i="47"/>
  <c r="D855" i="47"/>
  <c r="O855" i="47" s="1"/>
  <c r="B855" i="47"/>
  <c r="K855" i="47" s="1"/>
  <c r="C867" i="47"/>
  <c r="H867" i="47" s="1"/>
  <c r="P872" i="47"/>
  <c r="C872" i="47"/>
  <c r="J872" i="47" s="1"/>
  <c r="H875" i="47"/>
  <c r="Q903" i="47"/>
  <c r="B903" i="47"/>
  <c r="K903" i="47" s="1"/>
  <c r="N903" i="47"/>
  <c r="J903" i="47"/>
  <c r="H903" i="47"/>
  <c r="F903" i="47"/>
  <c r="L903" i="47" s="1"/>
  <c r="D903" i="47"/>
  <c r="O903" i="47" s="1"/>
  <c r="J875" i="47"/>
  <c r="H879" i="47"/>
  <c r="L879" i="47"/>
  <c r="B898" i="47"/>
  <c r="G898" i="47" s="1"/>
  <c r="N898" i="47"/>
  <c r="K898" i="47"/>
  <c r="P921" i="47"/>
  <c r="B921" i="47"/>
  <c r="I882" i="47"/>
  <c r="F900" i="47"/>
  <c r="B900" i="47"/>
  <c r="D921" i="47"/>
  <c r="O921" i="47" s="1"/>
  <c r="Q783" i="47"/>
  <c r="E810" i="47"/>
  <c r="P819" i="47"/>
  <c r="C887" i="47"/>
  <c r="C891" i="47"/>
  <c r="Q895" i="47"/>
  <c r="M922" i="47"/>
  <c r="N922" i="47"/>
  <c r="I810" i="47"/>
  <c r="K868" i="47"/>
  <c r="H735" i="47"/>
  <c r="K810" i="47"/>
  <c r="C846" i="47"/>
  <c r="Q850" i="47"/>
  <c r="G887" i="47"/>
  <c r="E895" i="47"/>
  <c r="I735" i="47"/>
  <c r="C819" i="47"/>
  <c r="F846" i="47"/>
  <c r="H846" i="47" s="1"/>
  <c r="C850" i="47"/>
  <c r="G895" i="47"/>
  <c r="C905" i="47"/>
  <c r="K905" i="47" s="1"/>
  <c r="M887" i="47"/>
  <c r="L895" i="47"/>
  <c r="M90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O363"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Q86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O375" i="47"/>
  <c r="Q320" i="47"/>
  <c r="Q295" i="47"/>
  <c r="O114" i="47"/>
  <c r="Q527" i="47"/>
  <c r="Q275" i="47"/>
  <c r="O331" i="47"/>
  <c r="Q268" i="47"/>
  <c r="Q26" i="47"/>
  <c r="O306" i="47"/>
  <c r="Q394" i="47"/>
  <c r="Q154" i="47"/>
  <c r="O274" i="47"/>
  <c r="Q470" i="47"/>
  <c r="Q162" i="47"/>
  <c r="Q181" i="47"/>
  <c r="Q257" i="47"/>
  <c r="Q868" i="47"/>
  <c r="Q536" i="47"/>
  <c r="Q209" i="47"/>
  <c r="Q91" i="47"/>
  <c r="O98" i="47"/>
  <c r="Q125" i="47"/>
  <c r="Q332" i="47"/>
  <c r="Q304" i="47"/>
  <c r="Q578" i="47"/>
  <c r="Q109" i="47"/>
  <c r="Q126" i="47"/>
  <c r="Q135" i="47"/>
  <c r="Q494" i="47"/>
  <c r="O86" i="47"/>
  <c r="Q811" i="47"/>
  <c r="O300" i="47"/>
  <c r="Q453" i="47"/>
  <c r="Q463" i="47"/>
  <c r="Q620" i="47"/>
  <c r="Q82" i="47"/>
  <c r="Q98" i="47"/>
  <c r="Q204" i="47"/>
  <c r="Q354" i="47"/>
  <c r="Q587" i="47"/>
  <c r="Q899" i="47"/>
  <c r="Q127" i="47"/>
  <c r="Q93" i="47"/>
  <c r="Q131" i="47"/>
  <c r="Q323" i="47"/>
  <c r="Q399" i="47"/>
  <c r="Q562" i="47"/>
  <c r="Q86" i="47"/>
  <c r="O27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I95" i="47"/>
  <c r="P95" i="47"/>
  <c r="K95" i="47"/>
  <c r="G95" i="47"/>
  <c r="F95" i="47"/>
  <c r="L95" i="47" s="1"/>
  <c r="E95" i="47"/>
  <c r="C95" i="47"/>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Q95" i="47" s="1"/>
  <c r="F99" i="47"/>
  <c r="E120" i="47"/>
  <c r="D120" i="47"/>
  <c r="O120" i="47" s="1"/>
  <c r="C120" i="47"/>
  <c r="L120" i="47" s="1"/>
  <c r="B120" i="47"/>
  <c r="G120" i="47" s="1"/>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H120" i="47" s="1"/>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K104" i="47"/>
  <c r="I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G104" i="47" s="1"/>
  <c r="N110" i="47"/>
  <c r="J110" i="47"/>
  <c r="I110" i="47"/>
  <c r="H110" i="47"/>
  <c r="G110" i="47"/>
  <c r="N111" i="47"/>
  <c r="I113" i="47"/>
  <c r="H113" i="47"/>
  <c r="G113" i="47"/>
  <c r="E113" i="47"/>
  <c r="N113" i="47"/>
  <c r="M113" i="47"/>
  <c r="Q118" i="47"/>
  <c r="N120" i="47"/>
  <c r="M122"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G124" i="47"/>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H122" i="47"/>
  <c r="B124" i="47"/>
  <c r="K130" i="47"/>
  <c r="V157" i="47"/>
  <c r="Y37" i="18"/>
  <c r="V2" i="47"/>
  <c r="V7" i="47"/>
  <c r="Q16" i="47"/>
  <c r="Q18" i="47"/>
  <c r="D19" i="47"/>
  <c r="Q19" i="47" s="1"/>
  <c r="I26" i="47"/>
  <c r="H26" i="47"/>
  <c r="M26" i="47"/>
  <c r="C27" i="47"/>
  <c r="N27" i="47" s="1"/>
  <c r="E34" i="47"/>
  <c r="G35" i="47"/>
  <c r="J40" i="47"/>
  <c r="N42" i="47"/>
  <c r="G51" i="47"/>
  <c r="H52" i="47"/>
  <c r="J53" i="47"/>
  <c r="Q58" i="47"/>
  <c r="Q66" i="47"/>
  <c r="N78" i="47"/>
  <c r="M89" i="47"/>
  <c r="L89" i="47"/>
  <c r="I89" i="47"/>
  <c r="H89" i="47"/>
  <c r="G89" i="47"/>
  <c r="E89" i="47"/>
  <c r="K94" i="47"/>
  <c r="I98" i="47"/>
  <c r="E109" i="47"/>
  <c r="M109" i="47"/>
  <c r="L109" i="47"/>
  <c r="K109" i="47"/>
  <c r="J109" i="47"/>
  <c r="I109" i="47"/>
  <c r="C116" i="47"/>
  <c r="J116" i="47" s="1"/>
  <c r="F124" i="47"/>
  <c r="L124" i="47" s="1"/>
  <c r="M156" i="47"/>
  <c r="P156" i="47"/>
  <c r="I156" i="47"/>
  <c r="F156" i="47"/>
  <c r="D156" i="47"/>
  <c r="O156" i="47" s="1"/>
  <c r="C156" i="47"/>
  <c r="B156" i="47"/>
  <c r="K156" i="47" s="1"/>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I119" i="47"/>
  <c r="G119" i="47"/>
  <c r="F119" i="47"/>
  <c r="C119" i="47"/>
  <c r="B119" i="47"/>
  <c r="P119" i="47"/>
  <c r="J124" i="47"/>
  <c r="Y16" i="18"/>
  <c r="Y20" i="18"/>
  <c r="Y27" i="18"/>
  <c r="Y43" i="18"/>
  <c r="B3" i="47"/>
  <c r="M5" i="47"/>
  <c r="L5" i="47"/>
  <c r="E5" i="47"/>
  <c r="M9" i="47"/>
  <c r="H10" i="47"/>
  <c r="E11" i="47"/>
  <c r="D11" i="47"/>
  <c r="O11" i="47" s="1"/>
  <c r="M11" i="47"/>
  <c r="I11" i="47"/>
  <c r="B15" i="47"/>
  <c r="I15" i="47" s="1"/>
  <c r="I18" i="47"/>
  <c r="H18" i="47"/>
  <c r="M18" i="47"/>
  <c r="C19" i="47"/>
  <c r="L19" i="47" s="1"/>
  <c r="F23" i="47"/>
  <c r="L23" i="47" s="1"/>
  <c r="E26" i="47"/>
  <c r="G27"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E106" i="47"/>
  <c r="D106" i="47"/>
  <c r="O106" i="47" s="1"/>
  <c r="C106" i="47"/>
  <c r="L106" i="47" s="1"/>
  <c r="B106" i="47"/>
  <c r="D119" i="47"/>
  <c r="O119" i="47" s="1"/>
  <c r="K124" i="47"/>
  <c r="F198" i="47"/>
  <c r="P198" i="47"/>
  <c r="N198" i="47"/>
  <c r="D198" i="47"/>
  <c r="O198" i="47" s="1"/>
  <c r="C198" i="47"/>
  <c r="L198" i="47" s="1"/>
  <c r="B198" i="47"/>
  <c r="L202" i="47"/>
  <c r="K202" i="47"/>
  <c r="I202" i="47"/>
  <c r="H202" i="47"/>
  <c r="Y38" i="18"/>
  <c r="Y49" i="18"/>
  <c r="C3" i="47"/>
  <c r="E3" i="47" s="1"/>
  <c r="E7" i="47"/>
  <c r="D7" i="47"/>
  <c r="Q7" i="47" s="1"/>
  <c r="I14" i="47"/>
  <c r="M14" i="47"/>
  <c r="F19" i="47"/>
  <c r="E22" i="47"/>
  <c r="G23" i="47"/>
  <c r="G24" i="47"/>
  <c r="G25" i="47"/>
  <c r="H27" i="47"/>
  <c r="J32" i="47"/>
  <c r="I33" i="47"/>
  <c r="J34" i="47"/>
  <c r="K35" i="47"/>
  <c r="N40" i="47"/>
  <c r="K51" i="47"/>
  <c r="L52" i="47"/>
  <c r="I74" i="47"/>
  <c r="H74" i="47"/>
  <c r="E74" i="47"/>
  <c r="M74" i="47"/>
  <c r="K86" i="47"/>
  <c r="J89" i="47"/>
  <c r="F92" i="47"/>
  <c r="G96" i="47"/>
  <c r="F103" i="47"/>
  <c r="C103" i="47"/>
  <c r="B103" i="47"/>
  <c r="P103" i="47"/>
  <c r="Q103" i="47" s="1"/>
  <c r="G106" i="47"/>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E88" i="47"/>
  <c r="D88" i="47"/>
  <c r="O88" i="47" s="1"/>
  <c r="C88" i="47"/>
  <c r="M88" i="47" s="1"/>
  <c r="Q88" i="47"/>
  <c r="P88" i="47"/>
  <c r="K89" i="47"/>
  <c r="J96" i="47"/>
  <c r="D103" i="47"/>
  <c r="O103" i="47" s="1"/>
  <c r="H109" i="47"/>
  <c r="J119" i="47"/>
  <c r="Q174" i="47"/>
  <c r="N200" i="47"/>
  <c r="M200" i="47"/>
  <c r="P200" i="47"/>
  <c r="L200" i="47"/>
  <c r="G200" i="47"/>
  <c r="F200" i="47"/>
  <c r="D200" i="47"/>
  <c r="Q200" i="47" s="1"/>
  <c r="C200" i="47"/>
  <c r="J200" i="47" s="1"/>
  <c r="B200" i="47"/>
  <c r="Y28" i="18"/>
  <c r="Y44" i="18"/>
  <c r="G3" i="47"/>
  <c r="D5" i="47"/>
  <c r="I6" i="47"/>
  <c r="M6" i="47"/>
  <c r="C7" i="47"/>
  <c r="H7" i="47" s="1"/>
  <c r="F11" i="47"/>
  <c r="L11" i="47" s="1"/>
  <c r="E14" i="47"/>
  <c r="G15" i="47"/>
  <c r="G16" i="47"/>
  <c r="H20" i="47"/>
  <c r="G22" i="47"/>
  <c r="J23" i="47"/>
  <c r="J24" i="47"/>
  <c r="J26" i="47"/>
  <c r="K27"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K96"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E236" i="47"/>
  <c r="D236" i="47"/>
  <c r="O236" i="47" s="1"/>
  <c r="K236" i="47"/>
  <c r="J236" i="47"/>
  <c r="I236" i="47"/>
  <c r="B236" i="47"/>
  <c r="G236" i="47" s="1"/>
  <c r="F256" i="47"/>
  <c r="D256" i="47"/>
  <c r="O256" i="47" s="1"/>
  <c r="P256" i="47"/>
  <c r="I256" i="47"/>
  <c r="C256" i="47"/>
  <c r="B256" i="47"/>
  <c r="N302" i="47"/>
  <c r="L302" i="47"/>
  <c r="K302" i="47"/>
  <c r="I302" i="47"/>
  <c r="H302" i="47"/>
  <c r="G302" i="47"/>
  <c r="E173" i="47"/>
  <c r="E177" i="47"/>
  <c r="J201" i="47"/>
  <c r="I201" i="47"/>
  <c r="K201" i="47"/>
  <c r="G201" i="47"/>
  <c r="E205" i="47"/>
  <c r="H206" i="47"/>
  <c r="V218" i="47"/>
  <c r="E221" i="47"/>
  <c r="V234" i="47"/>
  <c r="H236" i="47"/>
  <c r="V256" i="47"/>
  <c r="M302" i="47"/>
  <c r="Q9" i="47"/>
  <c r="Q13" i="47"/>
  <c r="Q17" i="47"/>
  <c r="Q21" i="47"/>
  <c r="Q25" i="47"/>
  <c r="Q29" i="47"/>
  <c r="Q33" i="47"/>
  <c r="Q37" i="47"/>
  <c r="I39" i="47"/>
  <c r="Q41" i="47"/>
  <c r="I43" i="47"/>
  <c r="Q45" i="47"/>
  <c r="I47" i="47"/>
  <c r="Q49"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J20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N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Q193" i="47"/>
  <c r="B194" i="47"/>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Q97" i="47"/>
  <c r="E101" i="47"/>
  <c r="B102" i="47"/>
  <c r="I102" i="47" s="1"/>
  <c r="C107" i="47"/>
  <c r="K107" i="47" s="1"/>
  <c r="D112" i="47"/>
  <c r="O112" i="47" s="1"/>
  <c r="Q113" i="47"/>
  <c r="E117" i="47"/>
  <c r="B118" i="47"/>
  <c r="G118" i="47" s="1"/>
  <c r="C123" i="47"/>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L353" i="47" s="1"/>
  <c r="M153" i="47"/>
  <c r="J161" i="47"/>
  <c r="I161" i="47"/>
  <c r="N173" i="47"/>
  <c r="N177" i="47"/>
  <c r="Q189" i="47"/>
  <c r="G196" i="47"/>
  <c r="G197" i="47"/>
  <c r="M201" i="47"/>
  <c r="N205" i="47"/>
  <c r="Q213" i="47"/>
  <c r="H214" i="47"/>
  <c r="F218" i="47"/>
  <c r="N218" i="47"/>
  <c r="C218" i="47"/>
  <c r="J220" i="47"/>
  <c r="N221" i="47"/>
  <c r="F240" i="47"/>
  <c r="D240" i="47"/>
  <c r="O240" i="47" s="1"/>
  <c r="L240" i="47"/>
  <c r="L241" i="47"/>
  <c r="V244" i="47"/>
  <c r="N248" i="47"/>
  <c r="M248" i="47"/>
  <c r="F248" i="47"/>
  <c r="H248" i="47" s="1"/>
  <c r="E248" i="47"/>
  <c r="D248" i="47"/>
  <c r="O248" i="47" s="1"/>
  <c r="P248" i="47"/>
  <c r="Q248" i="47" s="1"/>
  <c r="L248" i="47"/>
  <c r="K248" i="47"/>
  <c r="J248" i="47"/>
  <c r="B248" i="47"/>
  <c r="G248" i="47" s="1"/>
  <c r="V326" i="47"/>
  <c r="N153" i="47"/>
  <c r="N164" i="47"/>
  <c r="M164" i="47"/>
  <c r="E164"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J196" i="47"/>
  <c r="M197" i="47"/>
  <c r="N208" i="47"/>
  <c r="M208" i="47"/>
  <c r="F208" i="47"/>
  <c r="J208" i="47" s="1"/>
  <c r="E208" i="47"/>
  <c r="O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E184" i="47"/>
  <c r="C186" i="47"/>
  <c r="E186" i="47" s="1"/>
  <c r="C188" i="47"/>
  <c r="H188" i="47" s="1"/>
  <c r="H190" i="47"/>
  <c r="K194" i="47"/>
  <c r="K196" i="47"/>
  <c r="N197" i="47"/>
  <c r="E209" i="47"/>
  <c r="V232" i="47"/>
  <c r="F234" i="47"/>
  <c r="N234" i="47"/>
  <c r="D234" i="47"/>
  <c r="O234" i="47" s="1"/>
  <c r="C234" i="47"/>
  <c r="B234" i="47"/>
  <c r="G138" i="47"/>
  <c r="G147" i="47"/>
  <c r="F148" i="47"/>
  <c r="G161" i="47"/>
  <c r="H162" i="47"/>
  <c r="D164" i="47"/>
  <c r="O164" i="47" s="1"/>
  <c r="J165" i="47"/>
  <c r="I165" i="47"/>
  <c r="B166" i="47"/>
  <c r="N168" i="47"/>
  <c r="E168" i="47"/>
  <c r="B168" i="47"/>
  <c r="F170" i="47"/>
  <c r="B182" i="47"/>
  <c r="B184" i="47"/>
  <c r="J185" i="47"/>
  <c r="I185" i="47"/>
  <c r="K185" i="47"/>
  <c r="N185" i="47"/>
  <c r="D186" i="47"/>
  <c r="O186" i="47" s="1"/>
  <c r="D188" i="47"/>
  <c r="O188" i="47" s="1"/>
  <c r="I190" i="47"/>
  <c r="P214" i="47"/>
  <c r="F230" i="47"/>
  <c r="Q230" i="47"/>
  <c r="C230" i="47"/>
  <c r="P270" i="47"/>
  <c r="L270" i="47"/>
  <c r="K270" i="47"/>
  <c r="G270" i="47"/>
  <c r="F270" i="47"/>
  <c r="H270" i="47" s="1"/>
  <c r="E270" i="47"/>
  <c r="D270" i="47"/>
  <c r="O270" i="47" s="1"/>
  <c r="C270" i="47"/>
  <c r="N270" i="47" s="1"/>
  <c r="B270" i="47"/>
  <c r="M270" i="47"/>
  <c r="I270" i="47"/>
  <c r="Q133" i="47"/>
  <c r="H138" i="47"/>
  <c r="N152" i="47"/>
  <c r="E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I234" i="47"/>
  <c r="P4" i="47"/>
  <c r="Q4" i="47" s="1"/>
  <c r="P8" i="47"/>
  <c r="Q8" i="47" s="1"/>
  <c r="L9" i="47"/>
  <c r="P12" i="47"/>
  <c r="Q12" i="47" s="1"/>
  <c r="L13" i="47"/>
  <c r="P16" i="47"/>
  <c r="L17" i="47"/>
  <c r="P20" i="47"/>
  <c r="Q20" i="47" s="1"/>
  <c r="L21" i="47"/>
  <c r="P24" i="47"/>
  <c r="Q24" i="47" s="1"/>
  <c r="L25" i="47"/>
  <c r="P28" i="47"/>
  <c r="Q28" i="47" s="1"/>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K91" i="47"/>
  <c r="M94" i="47"/>
  <c r="E98" i="47"/>
  <c r="L101" i="47"/>
  <c r="M110" i="47"/>
  <c r="E114" i="47"/>
  <c r="B115" i="47"/>
  <c r="L117" i="47"/>
  <c r="I118" i="47"/>
  <c r="K123"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N193" i="47"/>
  <c r="P194" i="47"/>
  <c r="Q205" i="47"/>
  <c r="F206" i="47"/>
  <c r="E206" i="47"/>
  <c r="N206" i="47"/>
  <c r="M206" i="47"/>
  <c r="G206" i="47"/>
  <c r="I206" i="47"/>
  <c r="G208" i="47"/>
  <c r="M209" i="47"/>
  <c r="B212" i="47"/>
  <c r="C216" i="47"/>
  <c r="K216" i="47" s="1"/>
  <c r="C222" i="47"/>
  <c r="E222" i="47" s="1"/>
  <c r="V224" i="47"/>
  <c r="B226" i="47"/>
  <c r="D230" i="47"/>
  <c r="O230" i="47" s="1"/>
  <c r="P240" i="47"/>
  <c r="L379" i="47"/>
  <c r="E379" i="47"/>
  <c r="C379" i="47"/>
  <c r="M379" i="47" s="1"/>
  <c r="G379" i="47"/>
  <c r="F379" i="47"/>
  <c r="B379" i="47"/>
  <c r="P379" i="47"/>
  <c r="N379" i="47"/>
  <c r="J379" i="47"/>
  <c r="D379" i="47"/>
  <c r="O379" i="47" s="1"/>
  <c r="I379" i="47"/>
  <c r="J86" i="47"/>
  <c r="Q89" i="47"/>
  <c r="L91" i="47"/>
  <c r="Q105" i="47"/>
  <c r="L107" i="47"/>
  <c r="C115" i="47"/>
  <c r="L123" i="47"/>
  <c r="F132" i="47"/>
  <c r="L132" i="47" s="1"/>
  <c r="E134" i="47"/>
  <c r="M134" i="47"/>
  <c r="F140" i="47"/>
  <c r="L140" i="47" s="1"/>
  <c r="E142" i="47"/>
  <c r="M142" i="47"/>
  <c r="P144" i="47"/>
  <c r="Q144" i="47" s="1"/>
  <c r="G149" i="47"/>
  <c r="C152" i="47"/>
  <c r="F154" i="47"/>
  <c r="H154" i="47" s="1"/>
  <c r="E154" i="47"/>
  <c r="M154" i="47"/>
  <c r="P158" i="47"/>
  <c r="L161" i="47"/>
  <c r="F168" i="47"/>
  <c r="D170" i="47"/>
  <c r="O170" i="47" s="1"/>
  <c r="N176" i="47"/>
  <c r="M176" i="47"/>
  <c r="E176" i="47"/>
  <c r="O176" i="47"/>
  <c r="Q176" i="47"/>
  <c r="C180" i="47"/>
  <c r="F184" i="47"/>
  <c r="L190" i="47"/>
  <c r="L192" i="47"/>
  <c r="F202" i="47"/>
  <c r="N202" i="47" s="1"/>
  <c r="E202" i="47"/>
  <c r="M202" i="47"/>
  <c r="G202" i="47"/>
  <c r="J202" i="47"/>
  <c r="N204" i="47"/>
  <c r="M204" i="47"/>
  <c r="E204" i="47"/>
  <c r="O204" i="47"/>
  <c r="G204" i="47"/>
  <c r="N209" i="47"/>
  <c r="C212" i="47"/>
  <c r="N212" i="47" s="1"/>
  <c r="D216" i="47"/>
  <c r="O216" i="47" s="1"/>
  <c r="D222" i="47"/>
  <c r="O222" i="47" s="1"/>
  <c r="D226" i="47"/>
  <c r="O226" i="47" s="1"/>
  <c r="K234" i="47"/>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J293" i="47"/>
  <c r="D293" i="47"/>
  <c r="O293" i="47" s="1"/>
  <c r="K293" i="47"/>
  <c r="I293" i="47"/>
  <c r="G293" i="47"/>
  <c r="F293" i="47"/>
  <c r="H293" i="47" s="1"/>
  <c r="E293" i="47"/>
  <c r="C293" i="47"/>
  <c r="M293" i="47" s="1"/>
  <c r="P293" i="47"/>
  <c r="C327" i="47"/>
  <c r="M327" i="47" s="1"/>
  <c r="B327" i="47"/>
  <c r="P327" i="47"/>
  <c r="Q327" i="47" s="1"/>
  <c r="O327" i="47"/>
  <c r="K327" i="47"/>
  <c r="J327" i="47"/>
  <c r="I327" i="47"/>
  <c r="G327" i="47"/>
  <c r="F327" i="47"/>
  <c r="D345" i="47"/>
  <c r="O345" i="47" s="1"/>
  <c r="C345" i="47"/>
  <c r="K345" i="47" s="1"/>
  <c r="B345" i="47"/>
  <c r="F345" i="47"/>
  <c r="V351" i="47"/>
  <c r="N363" i="47"/>
  <c r="J363" i="47"/>
  <c r="I363" i="47"/>
  <c r="D389" i="47"/>
  <c r="C389" i="47"/>
  <c r="M389" i="47" s="1"/>
  <c r="L389" i="47"/>
  <c r="J389" i="47"/>
  <c r="I389" i="47"/>
  <c r="P389" i="47"/>
  <c r="N389" i="47"/>
  <c r="F389" i="47"/>
  <c r="B389" i="47"/>
  <c r="D397" i="47"/>
  <c r="C397" i="47"/>
  <c r="M397" i="47" s="1"/>
  <c r="I397" i="47"/>
  <c r="G397" i="47"/>
  <c r="B397" i="47"/>
  <c r="L397" i="47"/>
  <c r="P397" i="47"/>
  <c r="K311" i="47"/>
  <c r="J311" i="47"/>
  <c r="I311" i="47"/>
  <c r="H311" i="47"/>
  <c r="G311" i="47"/>
  <c r="E311" i="47"/>
  <c r="L387" i="47"/>
  <c r="C387" i="47"/>
  <c r="J387" i="47" s="1"/>
  <c r="P387" i="47"/>
  <c r="F387" i="47"/>
  <c r="N387" i="47"/>
  <c r="B387" i="47"/>
  <c r="G387" i="47" s="1"/>
  <c r="C319" i="47"/>
  <c r="N319" i="47" s="1"/>
  <c r="B319" i="47"/>
  <c r="D319" i="47"/>
  <c r="O319" i="47" s="1"/>
  <c r="P319" i="47"/>
  <c r="F319" i="47"/>
  <c r="N321" i="47"/>
  <c r="M321" i="47"/>
  <c r="L321" i="47"/>
  <c r="H321" i="47"/>
  <c r="E321" i="47"/>
  <c r="N327"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N246" i="47"/>
  <c r="M246" i="47"/>
  <c r="L246" i="47"/>
  <c r="G246" i="47"/>
  <c r="V252" i="47"/>
  <c r="Q261" i="47"/>
  <c r="N268" i="47"/>
  <c r="M268" i="47"/>
  <c r="L268" i="47"/>
  <c r="K268" i="47"/>
  <c r="J268" i="47"/>
  <c r="G268" i="47"/>
  <c r="D273" i="47"/>
  <c r="O273" i="47" s="1"/>
  <c r="C273" i="47"/>
  <c r="J273" i="47" s="1"/>
  <c r="B273" i="47"/>
  <c r="G273" i="47" s="1"/>
  <c r="P273" i="47"/>
  <c r="N273" i="47"/>
  <c r="L273" i="47"/>
  <c r="K273" i="47"/>
  <c r="E273" i="47"/>
  <c r="B303" i="47"/>
  <c r="L303" i="47"/>
  <c r="F303" i="47"/>
  <c r="E303" i="47"/>
  <c r="D303" i="47"/>
  <c r="O303" i="47" s="1"/>
  <c r="C303" i="47"/>
  <c r="K303" i="47" s="1"/>
  <c r="N308" i="47"/>
  <c r="C308" i="47"/>
  <c r="E308" i="47" s="1"/>
  <c r="B308" i="47"/>
  <c r="G308" i="47" s="1"/>
  <c r="P308" i="47"/>
  <c r="Q308" i="47" s="1"/>
  <c r="M308" i="47"/>
  <c r="L308" i="47"/>
  <c r="K308" i="47"/>
  <c r="F308" i="47"/>
  <c r="H308" i="47" s="1"/>
  <c r="D308" i="47"/>
  <c r="O308" i="47" s="1"/>
  <c r="I354" i="47"/>
  <c r="L354" i="47"/>
  <c r="K354" i="47"/>
  <c r="N354" i="47"/>
  <c r="M354" i="47"/>
  <c r="J354" i="47"/>
  <c r="H354" i="47"/>
  <c r="G354" i="47"/>
  <c r="H363" i="47"/>
  <c r="N371" i="47"/>
  <c r="J371" i="47"/>
  <c r="I371" i="47"/>
  <c r="H371" i="47"/>
  <c r="J385" i="47"/>
  <c r="B299" i="47"/>
  <c r="D299" i="47"/>
  <c r="Q299" i="47" s="1"/>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N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K301" i="47"/>
  <c r="I301" i="47"/>
  <c r="H301" i="47"/>
  <c r="G301" i="47"/>
  <c r="F301" i="47"/>
  <c r="L301" i="47" s="1"/>
  <c r="B301" i="47"/>
  <c r="P303" i="47"/>
  <c r="E354" i="47"/>
  <c r="V366" i="47"/>
  <c r="D405" i="47"/>
  <c r="O405" i="47" s="1"/>
  <c r="C405" i="47"/>
  <c r="K405" i="47"/>
  <c r="P405" i="47"/>
  <c r="L405" i="47"/>
  <c r="J405" i="47"/>
  <c r="I405" i="47"/>
  <c r="B405" i="47"/>
  <c r="F405" i="47"/>
  <c r="D427" i="47"/>
  <c r="C427" i="47"/>
  <c r="G427" i="47" s="1"/>
  <c r="P427" i="47"/>
  <c r="B427" i="47"/>
  <c r="Q291" i="47"/>
  <c r="F294" i="47"/>
  <c r="H294" i="47" s="1"/>
  <c r="P294" i="47"/>
  <c r="I294" i="47"/>
  <c r="D294" i="47"/>
  <c r="O294" i="47" s="1"/>
  <c r="C294" i="47"/>
  <c r="K294" i="47" s="1"/>
  <c r="B294" i="47"/>
  <c r="N294" i="47"/>
  <c r="I308"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E267" i="47"/>
  <c r="L287" i="47"/>
  <c r="H287" i="47"/>
  <c r="G28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M279" i="47" s="1"/>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K315"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H276" i="47"/>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39"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K276" i="47" s="1"/>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M339" i="47"/>
  <c r="E339" i="47"/>
  <c r="D339" i="47"/>
  <c r="O339" i="47" s="1"/>
  <c r="P351" i="47"/>
  <c r="G351" i="47"/>
  <c r="V361" i="47"/>
  <c r="H364" i="47"/>
  <c r="G364" i="47"/>
  <c r="N364" i="47"/>
  <c r="M364" i="47"/>
  <c r="L364" i="47"/>
  <c r="H378" i="47"/>
  <c r="D381" i="47"/>
  <c r="C381" i="47"/>
  <c r="J381" i="47"/>
  <c r="I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16" i="47"/>
  <c r="H329" i="47"/>
  <c r="I330" i="47"/>
  <c r="B335" i="47"/>
  <c r="G335" i="47" s="1"/>
  <c r="B337" i="47"/>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H449" i="47"/>
  <c r="B449" i="47"/>
  <c r="N535" i="47"/>
  <c r="L535" i="47"/>
  <c r="P535" i="47"/>
  <c r="F535" i="47"/>
  <c r="D535" i="47"/>
  <c r="O535" i="47" s="1"/>
  <c r="C535" i="47"/>
  <c r="E535" i="47" s="1"/>
  <c r="B535" i="47"/>
  <c r="G535" i="47" s="1"/>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Q259"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L276"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M331" i="47"/>
  <c r="I333" i="47"/>
  <c r="I334" i="47"/>
  <c r="G337"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G395" i="47"/>
  <c r="F395" i="47"/>
  <c r="D395" i="47"/>
  <c r="O395" i="47" s="1"/>
  <c r="B395" i="47"/>
  <c r="H395" i="47"/>
  <c r="H392" i="47"/>
  <c r="G392" i="47"/>
  <c r="L440" i="47"/>
  <c r="L445" i="47"/>
  <c r="V457" i="47"/>
  <c r="P459" i="47"/>
  <c r="Q459" i="47" s="1"/>
  <c r="O459" i="47"/>
  <c r="G459" i="47"/>
  <c r="F459" i="47"/>
  <c r="E459" i="47"/>
  <c r="M471" i="47"/>
  <c r="L471" i="47"/>
  <c r="E471" i="47"/>
  <c r="I471" i="47"/>
  <c r="G471" i="47"/>
  <c r="F471" i="47"/>
  <c r="H471" i="47" s="1"/>
  <c r="D471" i="47"/>
  <c r="O471" i="47" s="1"/>
  <c r="B471" i="47"/>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L431" i="47"/>
  <c r="K431" i="47"/>
  <c r="E431" i="47"/>
  <c r="D431" i="47"/>
  <c r="O431" i="47" s="1"/>
  <c r="C431" i="47"/>
  <c r="N442" i="47"/>
  <c r="J442" i="47"/>
  <c r="I442" i="47"/>
  <c r="H442" i="47"/>
  <c r="I470" i="47"/>
  <c r="K470" i="47"/>
  <c r="J470" i="47"/>
  <c r="H470" i="47"/>
  <c r="G470" i="47"/>
  <c r="D501" i="47"/>
  <c r="O501" i="47" s="1"/>
  <c r="C501" i="47"/>
  <c r="P501" i="47"/>
  <c r="H501" i="47"/>
  <c r="F501" i="47"/>
  <c r="P519" i="47"/>
  <c r="Q519" i="47" s="1"/>
  <c r="F519" i="47"/>
  <c r="B519" i="47"/>
  <c r="N548" i="47"/>
  <c r="D556" i="47"/>
  <c r="O556" i="47" s="1"/>
  <c r="H556" i="47"/>
  <c r="G556" i="47"/>
  <c r="C556" i="47"/>
  <c r="P556" i="47"/>
  <c r="B556" i="47"/>
  <c r="L392" i="47"/>
  <c r="L408" i="47"/>
  <c r="B431" i="47"/>
  <c r="I431" i="47" s="1"/>
  <c r="H443" i="47"/>
  <c r="N453" i="47"/>
  <c r="L453" i="47"/>
  <c r="J453" i="47"/>
  <c r="I453" i="47"/>
  <c r="H453" i="47"/>
  <c r="I454" i="47"/>
  <c r="P471" i="47"/>
  <c r="B501" i="47"/>
  <c r="C519" i="47"/>
  <c r="N519" i="47" s="1"/>
  <c r="P529" i="47"/>
  <c r="F529" i="47"/>
  <c r="K529" i="47"/>
  <c r="E529" i="47"/>
  <c r="B529" i="47"/>
  <c r="F556" i="47"/>
  <c r="N638" i="47"/>
  <c r="M638" i="47"/>
  <c r="L638" i="47"/>
  <c r="K638" i="47"/>
  <c r="J638" i="47"/>
  <c r="G638" i="47"/>
  <c r="C383" i="47"/>
  <c r="M392" i="47"/>
  <c r="P393" i="47"/>
  <c r="M399" i="47"/>
  <c r="C399" i="47"/>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G473" i="47"/>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K419" i="47"/>
  <c r="D419" i="47"/>
  <c r="O419" i="47" s="1"/>
  <c r="C419" i="47"/>
  <c r="I424" i="47"/>
  <c r="J426" i="47"/>
  <c r="M430" i="47"/>
  <c r="I430" i="47"/>
  <c r="H430" i="47"/>
  <c r="G430" i="47"/>
  <c r="H431"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I419" i="47" s="1"/>
  <c r="J420" i="47"/>
  <c r="K426" i="47"/>
  <c r="B435" i="47"/>
  <c r="J436" i="47"/>
  <c r="K442" i="47"/>
  <c r="D452" i="47"/>
  <c r="O452" i="47" s="1"/>
  <c r="C452" i="47"/>
  <c r="M452" i="47" s="1"/>
  <c r="B452" i="47"/>
  <c r="K453" i="47"/>
  <c r="I460" i="47"/>
  <c r="H460" i="47"/>
  <c r="N460" i="47"/>
  <c r="M460" i="47"/>
  <c r="D460" i="47"/>
  <c r="Q460" i="47" s="1"/>
  <c r="C460" i="47"/>
  <c r="J460" i="47" s="1"/>
  <c r="M470" i="47"/>
  <c r="B582" i="47"/>
  <c r="F582" i="47"/>
  <c r="D582" i="47"/>
  <c r="O582" i="47" s="1"/>
  <c r="C582" i="47"/>
  <c r="N582" i="47" s="1"/>
  <c r="P582" i="47"/>
  <c r="L426" i="47"/>
  <c r="E429"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P485" i="47"/>
  <c r="Q485" i="47" s="1"/>
  <c r="G485" i="47"/>
  <c r="F485" i="47"/>
  <c r="M532" i="47"/>
  <c r="D393" i="47"/>
  <c r="O393" i="47" s="1"/>
  <c r="C393" i="47"/>
  <c r="I394" i="47"/>
  <c r="G394" i="47"/>
  <c r="K412" i="47"/>
  <c r="M420" i="47"/>
  <c r="M423" i="47"/>
  <c r="I423" i="47"/>
  <c r="E423" i="47"/>
  <c r="D423" i="47"/>
  <c r="C423" i="47"/>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M487" i="47"/>
  <c r="Q487" i="47"/>
  <c r="P487" i="47"/>
  <c r="F487" i="47"/>
  <c r="G356" i="47"/>
  <c r="M363" i="47"/>
  <c r="L363" i="47"/>
  <c r="K363" i="47"/>
  <c r="E363" i="47"/>
  <c r="I364" i="47"/>
  <c r="D365" i="47"/>
  <c r="C365" i="47"/>
  <c r="E365" i="47" s="1"/>
  <c r="M365" i="47"/>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J419"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K391" i="47"/>
  <c r="C391" i="47"/>
  <c r="E391" i="47" s="1"/>
  <c r="F393" i="47"/>
  <c r="E394" i="47"/>
  <c r="N399" i="47"/>
  <c r="M400" i="47"/>
  <c r="L407" i="47"/>
  <c r="C407" i="47"/>
  <c r="K407" i="47" s="1"/>
  <c r="M412" i="47"/>
  <c r="I416" i="47"/>
  <c r="Q422" i="47"/>
  <c r="F423" i="47"/>
  <c r="L423" i="47" s="1"/>
  <c r="K424" i="47"/>
  <c r="L430" i="47"/>
  <c r="E434" i="47"/>
  <c r="N435" i="47"/>
  <c r="Q438" i="47"/>
  <c r="F439" i="47"/>
  <c r="K440" i="47"/>
  <c r="J446" i="47"/>
  <c r="J468" i="47"/>
  <c r="Q483" i="47"/>
  <c r="C487" i="47"/>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L574" i="47"/>
  <c r="P574" i="47"/>
  <c r="Q574" i="47" s="1"/>
  <c r="O574" i="47"/>
  <c r="N574" i="47"/>
  <c r="M574" i="47"/>
  <c r="J574" i="47"/>
  <c r="I574" i="47"/>
  <c r="F574" i="47"/>
  <c r="H574" i="47" s="1"/>
  <c r="E574" i="47"/>
  <c r="D589" i="47"/>
  <c r="O589" i="47" s="1"/>
  <c r="P589" i="47"/>
  <c r="C589" i="47"/>
  <c r="E589" i="47" s="1"/>
  <c r="O424" i="47"/>
  <c r="O428" i="47"/>
  <c r="K429" i="47"/>
  <c r="O432" i="47"/>
  <c r="O436" i="47"/>
  <c r="O440" i="47"/>
  <c r="M455" i="47"/>
  <c r="E461" i="47"/>
  <c r="D461" i="47"/>
  <c r="O463" i="47"/>
  <c r="E469" i="47"/>
  <c r="D469" i="47"/>
  <c r="Q482" i="47"/>
  <c r="M483" i="47"/>
  <c r="L483" i="47"/>
  <c r="K483" i="47"/>
  <c r="G483" i="47"/>
  <c r="E483" i="47"/>
  <c r="P493" i="47"/>
  <c r="Q493" i="47" s="1"/>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E481" i="47"/>
  <c r="D481" i="47"/>
  <c r="Q481" i="47" s="1"/>
  <c r="C481" i="47"/>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B540" i="47"/>
  <c r="I540" i="47" s="1"/>
  <c r="I541" i="47"/>
  <c r="N543" i="47"/>
  <c r="L546" i="47"/>
  <c r="P546" i="47"/>
  <c r="Q546" i="47" s="1"/>
  <c r="O546" i="47"/>
  <c r="N546" i="47"/>
  <c r="I546" i="47"/>
  <c r="G546" i="47"/>
  <c r="F546" i="47"/>
  <c r="I553" i="47"/>
  <c r="N555" i="47"/>
  <c r="H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K573" i="47" s="1"/>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I464" i="47"/>
  <c r="K474" i="47"/>
  <c r="I474" i="47"/>
  <c r="E477" i="47"/>
  <c r="D477" i="47"/>
  <c r="O477" i="47" s="1"/>
  <c r="C477" i="47"/>
  <c r="M477" i="47"/>
  <c r="K478" i="47"/>
  <c r="I478" i="47"/>
  <c r="D493" i="47"/>
  <c r="O493" i="47" s="1"/>
  <c r="C493" i="47"/>
  <c r="M493" i="47" s="1"/>
  <c r="K494" i="47"/>
  <c r="I494" i="47"/>
  <c r="D509" i="47"/>
  <c r="O509" i="47" s="1"/>
  <c r="C509" i="47"/>
  <c r="M509" i="47" s="1"/>
  <c r="K510" i="47"/>
  <c r="I510" i="47"/>
  <c r="B532" i="47"/>
  <c r="G532" i="47" s="1"/>
  <c r="E546" i="47"/>
  <c r="G555" i="47"/>
  <c r="D557" i="47"/>
  <c r="O557" i="47" s="1"/>
  <c r="Q559" i="47"/>
  <c r="B564" i="47"/>
  <c r="B566" i="47"/>
  <c r="L566" i="47"/>
  <c r="F566" i="47"/>
  <c r="D566" i="47"/>
  <c r="O566" i="47" s="1"/>
  <c r="C566" i="47"/>
  <c r="N566" i="47" s="1"/>
  <c r="D573" i="47"/>
  <c r="O573" i="47" s="1"/>
  <c r="L575" i="47"/>
  <c r="J575" i="47"/>
  <c r="F575" i="47"/>
  <c r="C575" i="47"/>
  <c r="E575" i="47" s="1"/>
  <c r="B575" i="47"/>
  <c r="D588" i="47"/>
  <c r="Q588" i="47" s="1"/>
  <c r="C588" i="47"/>
  <c r="H588" i="47" s="1"/>
  <c r="P588" i="47"/>
  <c r="M588" i="47"/>
  <c r="L588" i="47"/>
  <c r="K588" i="47"/>
  <c r="E588" i="47"/>
  <c r="K590" i="47"/>
  <c r="J590" i="47"/>
  <c r="I590" i="47"/>
  <c r="N598" i="47"/>
  <c r="J598" i="47"/>
  <c r="H598" i="47"/>
  <c r="G598" i="47"/>
  <c r="E598" i="47"/>
  <c r="P602" i="47"/>
  <c r="Q602" i="47" s="1"/>
  <c r="H602" i="47"/>
  <c r="E602" i="47"/>
  <c r="D602" i="47"/>
  <c r="O602" i="47" s="1"/>
  <c r="C602" i="47"/>
  <c r="L602" i="47" s="1"/>
  <c r="N602" i="47"/>
  <c r="M602" i="47"/>
  <c r="J602" i="47"/>
  <c r="F602" i="47"/>
  <c r="B602" i="47"/>
  <c r="P712" i="47"/>
  <c r="H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N538" i="47"/>
  <c r="M538" i="47"/>
  <c r="K540" i="47"/>
  <c r="E545" i="47"/>
  <c r="H546" i="47"/>
  <c r="B554" i="47"/>
  <c r="P554" i="47"/>
  <c r="K554" i="47"/>
  <c r="C564" i="47"/>
  <c r="J564" i="47" s="1"/>
  <c r="E566" i="47"/>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O438" i="47"/>
  <c r="G440" i="47"/>
  <c r="C441" i="47"/>
  <c r="E441" i="47" s="1"/>
  <c r="H445" i="47"/>
  <c r="M447" i="47"/>
  <c r="I455" i="47"/>
  <c r="C457" i="47"/>
  <c r="K461" i="47"/>
  <c r="C464" i="47"/>
  <c r="E464" i="47" s="1"/>
  <c r="E465" i="47"/>
  <c r="D465" i="47"/>
  <c r="K469" i="47"/>
  <c r="E472" i="47"/>
  <c r="E474" i="47"/>
  <c r="F477" i="47"/>
  <c r="E478" i="47"/>
  <c r="F479" i="47"/>
  <c r="N479" i="47" s="1"/>
  <c r="J481" i="47"/>
  <c r="J482" i="47"/>
  <c r="N483" i="47"/>
  <c r="Q490"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I534" i="47"/>
  <c r="B538" i="47"/>
  <c r="L540" i="47"/>
  <c r="D544" i="47"/>
  <c r="O544" i="47" s="1"/>
  <c r="C544" i="47"/>
  <c r="E544" i="47" s="1"/>
  <c r="B544" i="47"/>
  <c r="J546" i="47"/>
  <c r="C554" i="47"/>
  <c r="M554" i="47" s="1"/>
  <c r="Q555" i="47"/>
  <c r="I573"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G477"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N622" i="47"/>
  <c r="L622" i="47"/>
  <c r="J622" i="47"/>
  <c r="F622" i="47"/>
  <c r="H622" i="47" s="1"/>
  <c r="D622" i="47"/>
  <c r="O622" i="47" s="1"/>
  <c r="C622" i="47"/>
  <c r="M622" i="47" s="1"/>
  <c r="B622" i="47"/>
  <c r="F441" i="47"/>
  <c r="J445" i="47"/>
  <c r="G451" i="47"/>
  <c r="E453" i="47"/>
  <c r="F457" i="47"/>
  <c r="G474" i="47"/>
  <c r="H477" i="47"/>
  <c r="G478" i="47"/>
  <c r="I479" i="47"/>
  <c r="L481" i="47"/>
  <c r="M482" i="47"/>
  <c r="E489" i="47"/>
  <c r="D489" i="47"/>
  <c r="Q489" i="47" s="1"/>
  <c r="C489" i="47"/>
  <c r="M489" i="47" s="1"/>
  <c r="K490" i="47"/>
  <c r="I490" i="47"/>
  <c r="G494" i="47"/>
  <c r="I495" i="47"/>
  <c r="M498" i="47"/>
  <c r="D505" i="47"/>
  <c r="C505" i="47"/>
  <c r="E505" i="47" s="1"/>
  <c r="K506" i="47"/>
  <c r="I506" i="47"/>
  <c r="G510" i="47"/>
  <c r="I511" i="47"/>
  <c r="L513" i="47"/>
  <c r="M514" i="47"/>
  <c r="E521"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4" i="47"/>
  <c r="Q508" i="47"/>
  <c r="Q512" i="47"/>
  <c r="Q516" i="47"/>
  <c r="Q520" i="47"/>
  <c r="B536" i="47"/>
  <c r="B542" i="47"/>
  <c r="B548" i="47"/>
  <c r="M548" i="47" s="1"/>
  <c r="F549" i="47"/>
  <c r="P549" i="47"/>
  <c r="Q549" i="47" s="1"/>
  <c r="B558" i="47"/>
  <c r="L558" i="47"/>
  <c r="I563" i="47"/>
  <c r="I572" i="47"/>
  <c r="D576" i="47"/>
  <c r="O576" i="47" s="1"/>
  <c r="P580" i="47"/>
  <c r="N581" i="47"/>
  <c r="J586" i="47"/>
  <c r="J587" i="47"/>
  <c r="D597" i="47"/>
  <c r="Q597" i="47" s="1"/>
  <c r="C597" i="47"/>
  <c r="H597" i="47" s="1"/>
  <c r="M599" i="47"/>
  <c r="J607" i="47"/>
  <c r="K608" i="47"/>
  <c r="P610" i="47"/>
  <c r="C610" i="47"/>
  <c r="J610" i="47" s="1"/>
  <c r="B610" i="47"/>
  <c r="I611" i="47"/>
  <c r="P678" i="47"/>
  <c r="C678" i="47"/>
  <c r="H678" i="47" s="1"/>
  <c r="B678" i="47"/>
  <c r="F678" i="47"/>
  <c r="F577" i="47"/>
  <c r="P577" i="47"/>
  <c r="O583"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B577" i="47"/>
  <c r="G577" i="47" s="1"/>
  <c r="B578" i="47"/>
  <c r="G578" i="47" s="1"/>
  <c r="L578" i="47"/>
  <c r="K578" i="47"/>
  <c r="L587" i="47"/>
  <c r="V593" i="47"/>
  <c r="M607" i="47"/>
  <c r="M608" i="47"/>
  <c r="K611" i="47"/>
  <c r="M613" i="47"/>
  <c r="L613" i="47"/>
  <c r="D613" i="47"/>
  <c r="O613" i="47" s="1"/>
  <c r="B613" i="47"/>
  <c r="G613" i="47" s="1"/>
  <c r="P613" i="47"/>
  <c r="Q613" i="47" s="1"/>
  <c r="N613" i="47"/>
  <c r="K613" i="47"/>
  <c r="J613" i="47"/>
  <c r="I613" i="47"/>
  <c r="J657" i="47"/>
  <c r="N700" i="47"/>
  <c r="L700" i="47"/>
  <c r="K700" i="47"/>
  <c r="I700" i="47"/>
  <c r="G700" i="47"/>
  <c r="E700" i="47"/>
  <c r="C714" i="47"/>
  <c r="K714" i="47" s="1"/>
  <c r="E773" i="47"/>
  <c r="L773" i="47"/>
  <c r="V560" i="47"/>
  <c r="L563" i="47"/>
  <c r="F569" i="47"/>
  <c r="J569" i="47" s="1"/>
  <c r="P569" i="47"/>
  <c r="M572" i="47"/>
  <c r="C577" i="47"/>
  <c r="H577" i="47" s="1"/>
  <c r="N579" i="47"/>
  <c r="H579" i="47"/>
  <c r="G579" i="47"/>
  <c r="M587" i="47"/>
  <c r="F597" i="47"/>
  <c r="M601" i="47"/>
  <c r="D601" i="47"/>
  <c r="O601" i="47" s="1"/>
  <c r="N601" i="47"/>
  <c r="J601" i="47"/>
  <c r="F601" i="47"/>
  <c r="L601" i="47" s="1"/>
  <c r="E601" i="47"/>
  <c r="D605" i="47"/>
  <c r="O605" i="47" s="1"/>
  <c r="F605" i="47"/>
  <c r="C605" i="47"/>
  <c r="H605" i="47" s="1"/>
  <c r="B605" i="47"/>
  <c r="Q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E613" i="47"/>
  <c r="P753" i="47"/>
  <c r="Q753" i="47" s="1"/>
  <c r="C753" i="47"/>
  <c r="O753" i="47"/>
  <c r="B753" i="47"/>
  <c r="F753" i="47"/>
  <c r="D619" i="47"/>
  <c r="O619" i="47" s="1"/>
  <c r="F619" i="47"/>
  <c r="G484" i="47"/>
  <c r="G488" i="47"/>
  <c r="G492" i="47"/>
  <c r="G525" i="47"/>
  <c r="I536" i="47"/>
  <c r="H542" i="47"/>
  <c r="Q545" i="47"/>
  <c r="I548" i="47"/>
  <c r="H549" i="47"/>
  <c r="C551" i="47"/>
  <c r="J552" i="47"/>
  <c r="D552" i="47"/>
  <c r="Q552" i="47" s="1"/>
  <c r="H558" i="47"/>
  <c r="E559" i="47"/>
  <c r="C560" i="47"/>
  <c r="J560" i="47" s="1"/>
  <c r="P563" i="47"/>
  <c r="Q563" i="47" s="1"/>
  <c r="D569" i="47"/>
  <c r="O569" i="47" s="1"/>
  <c r="P572" i="47"/>
  <c r="D579" i="47"/>
  <c r="O579" i="47" s="1"/>
  <c r="C581" i="47"/>
  <c r="E581" i="47" s="1"/>
  <c r="V589" i="47"/>
  <c r="D593" i="47"/>
  <c r="F593" i="47"/>
  <c r="C593" i="47"/>
  <c r="L593" i="47" s="1"/>
  <c r="Q600" i="47"/>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480" i="47"/>
  <c r="H492" i="47"/>
  <c r="H504" i="47"/>
  <c r="H512" i="47"/>
  <c r="H525" i="47"/>
  <c r="J536" i="47"/>
  <c r="H539" i="47"/>
  <c r="I542" i="47"/>
  <c r="K548" i="47"/>
  <c r="I549" i="47"/>
  <c r="D551" i="47"/>
  <c r="Q551" i="47" s="1"/>
  <c r="F553" i="47"/>
  <c r="N553" i="47" s="1"/>
  <c r="P553" i="47"/>
  <c r="Q553" i="47" s="1"/>
  <c r="E560" i="47"/>
  <c r="B562" i="47"/>
  <c r="E569" i="47"/>
  <c r="N571" i="47"/>
  <c r="H571" i="47"/>
  <c r="I576" i="47"/>
  <c r="E579" i="47"/>
  <c r="F580" i="47"/>
  <c r="D581" i="47"/>
  <c r="O581" i="47" s="1"/>
  <c r="D584" i="47"/>
  <c r="Q584" i="47" s="1"/>
  <c r="C584" i="47"/>
  <c r="F585" i="47"/>
  <c r="P585" i="47"/>
  <c r="Q585" i="47" s="1"/>
  <c r="O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B553" i="47"/>
  <c r="M553" i="47" s="1"/>
  <c r="J558" i="47"/>
  <c r="G559" i="47"/>
  <c r="F560" i="47"/>
  <c r="C562" i="47"/>
  <c r="N562" i="47" s="1"/>
  <c r="H568" i="47"/>
  <c r="G569" i="47"/>
  <c r="B571" i="47"/>
  <c r="G571" i="47" s="1"/>
  <c r="V572" i="47"/>
  <c r="I577"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L662" i="47"/>
  <c r="K662" i="47"/>
  <c r="D662" i="47"/>
  <c r="O662" i="47" s="1"/>
  <c r="C662" i="47"/>
  <c r="B662" i="47"/>
  <c r="H663" i="47"/>
  <c r="L664" i="47"/>
  <c r="V665" i="47"/>
  <c r="B682" i="47"/>
  <c r="G682" i="47" s="1"/>
  <c r="H686" i="47"/>
  <c r="P686" i="47"/>
  <c r="F686" i="47"/>
  <c r="C686" i="47"/>
  <c r="B686" i="47"/>
  <c r="M686" i="47" s="1"/>
  <c r="Q686" i="47"/>
  <c r="O686" i="47"/>
  <c r="I687" i="47"/>
  <c r="V707" i="47"/>
  <c r="P716" i="47"/>
  <c r="Q716" i="47" s="1"/>
  <c r="M716" i="47"/>
  <c r="H716" i="47"/>
  <c r="G716" i="47"/>
  <c r="F716" i="47"/>
  <c r="L716" i="47" s="1"/>
  <c r="O716" i="47"/>
  <c r="N716" i="47"/>
  <c r="K716" i="47"/>
  <c r="J716" i="47"/>
  <c r="I716" i="47"/>
  <c r="K718"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J693" i="47"/>
  <c r="I697" i="47"/>
  <c r="H703" i="47"/>
  <c r="V722" i="47"/>
  <c r="B594" i="47"/>
  <c r="L598" i="47"/>
  <c r="B603" i="47"/>
  <c r="Q604" i="47"/>
  <c r="N611" i="47"/>
  <c r="J615" i="47"/>
  <c r="L634" i="47"/>
  <c r="J636" i="47"/>
  <c r="I637" i="47"/>
  <c r="J639" i="47"/>
  <c r="K640" i="47"/>
  <c r="J641" i="47"/>
  <c r="K642" i="47"/>
  <c r="L644" i="47"/>
  <c r="L646" i="47"/>
  <c r="G652" i="47"/>
  <c r="M653" i="47"/>
  <c r="P656" i="47"/>
  <c r="Q656" i="47" s="1"/>
  <c r="H656" i="47"/>
  <c r="D656" i="47"/>
  <c r="O656" i="47" s="1"/>
  <c r="C656" i="47"/>
  <c r="E656" i="47" s="1"/>
  <c r="N656" i="47"/>
  <c r="M656" i="47"/>
  <c r="L656" i="47"/>
  <c r="G658" i="47"/>
  <c r="D669" i="47"/>
  <c r="O669" i="47" s="1"/>
  <c r="N669" i="47"/>
  <c r="J669" i="47"/>
  <c r="I669" i="47"/>
  <c r="E670" i="47"/>
  <c r="B681" i="47"/>
  <c r="E689" i="47"/>
  <c r="G690" i="47"/>
  <c r="K693"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I656" i="47" s="1"/>
  <c r="L658" i="47"/>
  <c r="V659" i="47"/>
  <c r="L665" i="47"/>
  <c r="D665" i="47"/>
  <c r="G665" i="47"/>
  <c r="F665" i="47"/>
  <c r="B665" i="47"/>
  <c r="I665" i="47" s="1"/>
  <c r="P665" i="47"/>
  <c r="B669" i="47"/>
  <c r="G669" i="47" s="1"/>
  <c r="J670" i="47"/>
  <c r="V671" i="47"/>
  <c r="C681" i="47"/>
  <c r="G681" i="47" s="1"/>
  <c r="L690" i="47"/>
  <c r="P692" i="47"/>
  <c r="Q692" i="47" s="1"/>
  <c r="H692" i="47"/>
  <c r="O692" i="47"/>
  <c r="K692" i="47"/>
  <c r="J692" i="47"/>
  <c r="G692" i="47"/>
  <c r="F692" i="47"/>
  <c r="N692" i="47" s="1"/>
  <c r="E692" i="47"/>
  <c r="K697" i="47"/>
  <c r="P703" i="47"/>
  <c r="H710" i="47"/>
  <c r="P710" i="47"/>
  <c r="J710" i="47"/>
  <c r="F710" i="47"/>
  <c r="E710" i="47"/>
  <c r="D710" i="47"/>
  <c r="O710" i="47" s="1"/>
  <c r="C710" i="47"/>
  <c r="N710" i="47" s="1"/>
  <c r="B710" i="47"/>
  <c r="L725" i="47"/>
  <c r="I725" i="47"/>
  <c r="D725" i="47"/>
  <c r="Q725" i="47" s="1"/>
  <c r="C725" i="47"/>
  <c r="K725" i="47" s="1"/>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N677" i="47"/>
  <c r="P688" i="47"/>
  <c r="D688" i="47"/>
  <c r="O688" i="47" s="1"/>
  <c r="C688" i="47"/>
  <c r="H688" i="47" s="1"/>
  <c r="N688" i="47"/>
  <c r="P693" i="47"/>
  <c r="M697" i="47"/>
  <c r="P702" i="47"/>
  <c r="F702" i="47"/>
  <c r="D717" i="47"/>
  <c r="C717" i="47"/>
  <c r="L717" i="47" s="1"/>
  <c r="B717" i="47"/>
  <c r="P717" i="47"/>
  <c r="D736" i="47"/>
  <c r="O736" i="47" s="1"/>
  <c r="N736" i="47"/>
  <c r="I736" i="47"/>
  <c r="P736" i="47"/>
  <c r="K736" i="47"/>
  <c r="F736" i="47"/>
  <c r="E736" i="47"/>
  <c r="C736" i="47"/>
  <c r="O741" i="47"/>
  <c r="Q741" i="47"/>
  <c r="E607" i="47"/>
  <c r="D607" i="47"/>
  <c r="O607" i="47" s="1"/>
  <c r="L607" i="47"/>
  <c r="Q608" i="47"/>
  <c r="V609" i="47"/>
  <c r="N615" i="47"/>
  <c r="B627" i="47"/>
  <c r="M636" i="47"/>
  <c r="N637" i="47"/>
  <c r="N640" i="47"/>
  <c r="M652" i="47"/>
  <c r="F656" i="47"/>
  <c r="P660" i="47"/>
  <c r="Q660" i="47" s="1"/>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D683" i="47"/>
  <c r="O683" i="47" s="1"/>
  <c r="K683" i="47"/>
  <c r="G683" i="47"/>
  <c r="E683" i="47"/>
  <c r="C683" i="47"/>
  <c r="L683" i="47" s="1"/>
  <c r="B683" i="47"/>
  <c r="V693" i="47"/>
  <c r="H695" i="47"/>
  <c r="C702" i="47"/>
  <c r="N702" i="47" s="1"/>
  <c r="M715" i="47"/>
  <c r="I715" i="47"/>
  <c r="H715" i="47"/>
  <c r="G715" i="47"/>
  <c r="E715" i="47"/>
  <c r="F717" i="47"/>
  <c r="V755" i="47"/>
  <c r="L759" i="47"/>
  <c r="E759" i="47"/>
  <c r="D759" i="47"/>
  <c r="O759" i="47" s="1"/>
  <c r="B759" i="47"/>
  <c r="K759" i="47"/>
  <c r="G759" i="47"/>
  <c r="P759" i="47"/>
  <c r="J759" i="47"/>
  <c r="F759" i="47"/>
  <c r="C759" i="47"/>
  <c r="I759" i="47" s="1"/>
  <c r="D631" i="47"/>
  <c r="O631" i="47" s="1"/>
  <c r="P637" i="47"/>
  <c r="D649" i="47"/>
  <c r="O649" i="47" s="1"/>
  <c r="P649" i="47"/>
  <c r="Q649" i="47" s="1"/>
  <c r="F649" i="47"/>
  <c r="C660" i="47"/>
  <c r="H660" i="47" s="1"/>
  <c r="L668" i="47"/>
  <c r="F672" i="47"/>
  <c r="M674" i="47"/>
  <c r="C680" i="47"/>
  <c r="K680" i="47" s="1"/>
  <c r="N681" i="47"/>
  <c r="F683" i="47"/>
  <c r="F688" i="47"/>
  <c r="N689" i="47"/>
  <c r="I692" i="47"/>
  <c r="K695" i="47"/>
  <c r="D702" i="47"/>
  <c r="O702" i="47" s="1"/>
  <c r="P704" i="47"/>
  <c r="M704" i="47"/>
  <c r="D704" i="47"/>
  <c r="O704" i="47" s="1"/>
  <c r="C704" i="47"/>
  <c r="H704" i="47" s="1"/>
  <c r="D713" i="47"/>
  <c r="O713" i="47" s="1"/>
  <c r="C713" i="47"/>
  <c r="E713" i="47" s="1"/>
  <c r="B713" i="47"/>
  <c r="P713" i="47"/>
  <c r="F713" i="47"/>
  <c r="H713" i="47" s="1"/>
  <c r="P598" i="47"/>
  <c r="Q598" i="47" s="1"/>
  <c r="E611" i="47"/>
  <c r="D611" i="47"/>
  <c r="Q611" i="47" s="1"/>
  <c r="L611" i="47"/>
  <c r="G625" i="47"/>
  <c r="B631" i="47"/>
  <c r="B649" i="47"/>
  <c r="G649" i="47" s="1"/>
  <c r="I650" i="47"/>
  <c r="P654" i="47"/>
  <c r="F654" i="47"/>
  <c r="C654" i="47"/>
  <c r="I654" i="47" s="1"/>
  <c r="G655" i="47"/>
  <c r="J656" i="47"/>
  <c r="D660" i="47"/>
  <c r="O660" i="47" s="1"/>
  <c r="P661" i="47"/>
  <c r="Q661" i="47" s="1"/>
  <c r="E664" i="47"/>
  <c r="J665" i="47"/>
  <c r="K669" i="47"/>
  <c r="N674" i="47"/>
  <c r="D680" i="47"/>
  <c r="O680" i="47" s="1"/>
  <c r="I683" i="47"/>
  <c r="G688" i="47"/>
  <c r="L692" i="47"/>
  <c r="H694" i="47"/>
  <c r="P694" i="47"/>
  <c r="K694" i="47"/>
  <c r="F694" i="47"/>
  <c r="D694" i="47"/>
  <c r="O694" i="47" s="1"/>
  <c r="C694" i="47"/>
  <c r="L694" i="47" s="1"/>
  <c r="B694" i="47"/>
  <c r="M695" i="47"/>
  <c r="N698" i="47"/>
  <c r="B704" i="47"/>
  <c r="I704" i="47" s="1"/>
  <c r="P706" i="47"/>
  <c r="Q706" i="47" s="1"/>
  <c r="J706" i="47"/>
  <c r="F706" i="47"/>
  <c r="D706" i="47"/>
  <c r="O706" i="47" s="1"/>
  <c r="C706" i="47"/>
  <c r="H706" i="47" s="1"/>
  <c r="B706" i="47"/>
  <c r="N715" i="47"/>
  <c r="H726" i="47"/>
  <c r="E726" i="47"/>
  <c r="P726" i="47"/>
  <c r="Q726" i="47" s="1"/>
  <c r="O726" i="47"/>
  <c r="N726" i="47"/>
  <c r="K726" i="47"/>
  <c r="J726" i="47"/>
  <c r="I726" i="47"/>
  <c r="G726" i="47"/>
  <c r="F726" i="47"/>
  <c r="L726" i="47" s="1"/>
  <c r="P798" i="47"/>
  <c r="Q798" i="47" s="1"/>
  <c r="E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I677" i="47"/>
  <c r="J683" i="47"/>
  <c r="D691" i="47"/>
  <c r="O691" i="47" s="1"/>
  <c r="L691" i="47"/>
  <c r="P691" i="47"/>
  <c r="Q691" i="47" s="1"/>
  <c r="M691" i="47"/>
  <c r="K691" i="47"/>
  <c r="I691" i="47"/>
  <c r="H691" i="47"/>
  <c r="G691" i="47"/>
  <c r="F704" i="47"/>
  <c r="M713" i="47"/>
  <c r="E635"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Q667" i="47"/>
  <c r="K677" i="47"/>
  <c r="N679" i="47"/>
  <c r="K679" i="47"/>
  <c r="J679" i="47"/>
  <c r="I679" i="47"/>
  <c r="P682" i="47"/>
  <c r="N682" i="47"/>
  <c r="M682" i="47"/>
  <c r="J682" i="47"/>
  <c r="I682" i="47"/>
  <c r="F682" i="47"/>
  <c r="H682" i="47" s="1"/>
  <c r="E682" i="47"/>
  <c r="D682" i="47"/>
  <c r="O682" i="47" s="1"/>
  <c r="K688" i="47"/>
  <c r="Q737" i="47"/>
  <c r="O737" i="47"/>
  <c r="C750" i="47"/>
  <c r="P757" i="47"/>
  <c r="I757" i="47"/>
  <c r="E757" i="47"/>
  <c r="Q757" i="47"/>
  <c r="H757" i="47"/>
  <c r="C757" i="47"/>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P646" i="47"/>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M752" i="47"/>
  <c r="B756" i="47"/>
  <c r="D776" i="47"/>
  <c r="O776" i="47" s="1"/>
  <c r="F776" i="47"/>
  <c r="H776" i="47" s="1"/>
  <c r="C776" i="47"/>
  <c r="L776" i="47" s="1"/>
  <c r="K776" i="47"/>
  <c r="B776" i="47"/>
  <c r="P776" i="47"/>
  <c r="D787" i="47"/>
  <c r="O787" i="47" s="1"/>
  <c r="Q642" i="47"/>
  <c r="Q646" i="47"/>
  <c r="V653" i="47"/>
  <c r="D663" i="47"/>
  <c r="L663" i="47"/>
  <c r="H674" i="47"/>
  <c r="P674" i="47"/>
  <c r="Q674" i="47" s="1"/>
  <c r="O676" i="47"/>
  <c r="V685" i="47"/>
  <c r="D695" i="47"/>
  <c r="O695" i="47" s="1"/>
  <c r="L695" i="47"/>
  <c r="P697" i="47"/>
  <c r="V731" i="47"/>
  <c r="B734" i="47"/>
  <c r="J737" i="47"/>
  <c r="P745" i="47"/>
  <c r="Q745" i="47" s="1"/>
  <c r="K745" i="47"/>
  <c r="F745" i="47"/>
  <c r="H745" i="47" s="1"/>
  <c r="I745" i="47"/>
  <c r="E745" i="47"/>
  <c r="M745" i="47"/>
  <c r="D749" i="47"/>
  <c r="O749" i="47" s="1"/>
  <c r="C752" i="47"/>
  <c r="H752" i="47" s="1"/>
  <c r="D764" i="47"/>
  <c r="O764" i="47" s="1"/>
  <c r="N764" i="47"/>
  <c r="F764" i="47"/>
  <c r="H764" i="47" s="1"/>
  <c r="B764" i="47"/>
  <c r="P764" i="47"/>
  <c r="Q764" i="47" s="1"/>
  <c r="K764" i="47"/>
  <c r="F787" i="47"/>
  <c r="D792" i="47"/>
  <c r="O792" i="47" s="1"/>
  <c r="P792" i="47"/>
  <c r="F792" i="47"/>
  <c r="C792" i="47"/>
  <c r="H792" i="47" s="1"/>
  <c r="P664" i="47"/>
  <c r="H664" i="47"/>
  <c r="V675" i="47"/>
  <c r="L685" i="47"/>
  <c r="D685" i="47"/>
  <c r="P696" i="47"/>
  <c r="H696" i="47"/>
  <c r="H722" i="47"/>
  <c r="E722" i="47"/>
  <c r="P722" i="47"/>
  <c r="N722" i="47"/>
  <c r="L733"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L721" i="47"/>
  <c r="I721" i="47"/>
  <c r="D721" i="47"/>
  <c r="O721" i="47" s="1"/>
  <c r="C721" i="47"/>
  <c r="G721" i="47" s="1"/>
  <c r="B721" i="47"/>
  <c r="E723" i="47"/>
  <c r="B732" i="47"/>
  <c r="G732" i="47" s="1"/>
  <c r="F739" i="47"/>
  <c r="D739" i="47"/>
  <c r="Q739" i="47" s="1"/>
  <c r="C739" i="47"/>
  <c r="K739" i="47" s="1"/>
  <c r="B739" i="47"/>
  <c r="P758" i="47"/>
  <c r="F758" i="47"/>
  <c r="B758" i="47"/>
  <c r="K758" i="47"/>
  <c r="J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H698" i="47"/>
  <c r="P698" i="47"/>
  <c r="G707" i="47"/>
  <c r="I708" i="47"/>
  <c r="P720" i="47"/>
  <c r="M720" i="47"/>
  <c r="G720" i="47"/>
  <c r="F720" i="47"/>
  <c r="L720" i="47" s="1"/>
  <c r="D722" i="47"/>
  <c r="O722" i="47" s="1"/>
  <c r="C732" i="47"/>
  <c r="H732" i="47" s="1"/>
  <c r="G734" i="47"/>
  <c r="D744" i="47"/>
  <c r="O744" i="47" s="1"/>
  <c r="N744" i="47"/>
  <c r="I744" i="47"/>
  <c r="J744" i="47"/>
  <c r="F744" i="47"/>
  <c r="H744" i="47" s="1"/>
  <c r="M744" i="47"/>
  <c r="G745" i="47"/>
  <c r="D748" i="47"/>
  <c r="O748" i="47" s="1"/>
  <c r="B748" i="47"/>
  <c r="K748" i="47" s="1"/>
  <c r="N748" i="47"/>
  <c r="H748" i="47"/>
  <c r="E748" i="47"/>
  <c r="P748" i="47"/>
  <c r="K752" i="47"/>
  <c r="J755" i="47"/>
  <c r="I755" i="47"/>
  <c r="G755" i="47"/>
  <c r="C758" i="47"/>
  <c r="G761" i="47"/>
  <c r="P769" i="47"/>
  <c r="D769" i="47"/>
  <c r="O769" i="47" s="1"/>
  <c r="C769" i="47"/>
  <c r="J769" i="47"/>
  <c r="G769" i="47"/>
  <c r="B769" i="47"/>
  <c r="I769" i="47" s="1"/>
  <c r="P797" i="47"/>
  <c r="Q797" i="47" s="1"/>
  <c r="D797" i="47"/>
  <c r="O797" i="47" s="1"/>
  <c r="G797" i="47"/>
  <c r="E797" i="47"/>
  <c r="N797" i="47"/>
  <c r="J797" i="47"/>
  <c r="M797" i="47"/>
  <c r="L797" i="47"/>
  <c r="K797" i="47"/>
  <c r="I797" i="47"/>
  <c r="H797" i="47"/>
  <c r="B797" i="47"/>
  <c r="D699" i="47"/>
  <c r="O699" i="47" s="1"/>
  <c r="H723" i="47"/>
  <c r="E732" i="47"/>
  <c r="L754" i="47"/>
  <c r="B754" i="47"/>
  <c r="C754" i="47"/>
  <c r="M754" i="47" s="1"/>
  <c r="I754" i="47"/>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H760" i="47"/>
  <c r="C760" i="47"/>
  <c r="E760" i="47" s="1"/>
  <c r="B760" i="47"/>
  <c r="P760" i="47"/>
  <c r="I760" i="47"/>
  <c r="K761" i="47"/>
  <c r="M769"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1" i="47"/>
  <c r="J722" i="47"/>
  <c r="P728" i="47"/>
  <c r="Q728" i="47" s="1"/>
  <c r="M728" i="47"/>
  <c r="H728" i="47"/>
  <c r="G728" i="47"/>
  <c r="F728" i="47"/>
  <c r="N728" i="47" s="1"/>
  <c r="J732" i="47"/>
  <c r="L734" i="47"/>
  <c r="B738" i="47"/>
  <c r="V740" i="47"/>
  <c r="G744" i="47"/>
  <c r="N745" i="47"/>
  <c r="H747" i="47"/>
  <c r="E747" i="47"/>
  <c r="I747" i="47"/>
  <c r="D747" i="47"/>
  <c r="P747" i="47"/>
  <c r="L747" i="47"/>
  <c r="I748" i="47"/>
  <c r="G751" i="47"/>
  <c r="L755" i="47"/>
  <c r="F760" i="47"/>
  <c r="H775" i="47"/>
  <c r="C775" i="47"/>
  <c r="N775" i="47" s="1"/>
  <c r="Q775" i="47"/>
  <c r="O775" i="47"/>
  <c r="B775" i="47"/>
  <c r="V781" i="47"/>
  <c r="L786" i="47"/>
  <c r="P786" i="47"/>
  <c r="G786" i="47"/>
  <c r="E786" i="47"/>
  <c r="H786" i="47"/>
  <c r="Q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c r="L801" i="47"/>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G780" i="47"/>
  <c r="B780" i="47"/>
  <c r="M780" i="47" s="1"/>
  <c r="C785" i="47"/>
  <c r="I785" i="47" s="1"/>
  <c r="B791" i="47"/>
  <c r="I791" i="47" s="1"/>
  <c r="C796" i="47"/>
  <c r="H796" i="47" s="1"/>
  <c r="B801" i="47"/>
  <c r="D804" i="47"/>
  <c r="O804" i="47" s="1"/>
  <c r="C804" i="47"/>
  <c r="M804" i="47" s="1"/>
  <c r="P804" i="47"/>
  <c r="Q804" i="47" s="1"/>
  <c r="M811" i="47"/>
  <c r="P773" i="47"/>
  <c r="D773" i="47"/>
  <c r="O773" i="47" s="1"/>
  <c r="K773" i="47"/>
  <c r="I773" i="47"/>
  <c r="H773" i="47"/>
  <c r="B773" i="47"/>
  <c r="G773" i="47" s="1"/>
  <c r="V776" i="47"/>
  <c r="Q779" i="47"/>
  <c r="Q790" i="47"/>
  <c r="L795" i="47"/>
  <c r="J795" i="47"/>
  <c r="G795" i="47"/>
  <c r="N795" i="47"/>
  <c r="F795" i="47"/>
  <c r="H795" i="47" s="1"/>
  <c r="N805" i="47"/>
  <c r="N811" i="47"/>
  <c r="D784" i="47"/>
  <c r="O784" i="47" s="1"/>
  <c r="V793" i="47"/>
  <c r="V760" i="47"/>
  <c r="P777" i="47"/>
  <c r="Q777" i="47" s="1"/>
  <c r="D777" i="47"/>
  <c r="O777" i="47" s="1"/>
  <c r="E777" i="47"/>
  <c r="B777" i="47"/>
  <c r="M777" i="47" s="1"/>
  <c r="L777" i="47"/>
  <c r="K777" i="47"/>
  <c r="G777" i="47"/>
  <c r="J790" i="47"/>
  <c r="I790" i="47"/>
  <c r="E790" i="47"/>
  <c r="I852" i="47"/>
  <c r="C852" i="47"/>
  <c r="G852" i="47" s="1"/>
  <c r="M852" i="47"/>
  <c r="P852" i="47"/>
  <c r="Q852" i="47" s="1"/>
  <c r="F852" i="47"/>
  <c r="D852" i="47"/>
  <c r="O852" i="47" s="1"/>
  <c r="B852" i="47"/>
  <c r="N852" i="47"/>
  <c r="L852" i="47"/>
  <c r="C784" i="47"/>
  <c r="I784" i="47" s="1"/>
  <c r="P789" i="47"/>
  <c r="D789" i="47"/>
  <c r="O789" i="47" s="1"/>
  <c r="B789" i="47"/>
  <c r="G791" i="47"/>
  <c r="L794" i="47"/>
  <c r="P794" i="47"/>
  <c r="Q794" i="47" s="1"/>
  <c r="K794" i="47"/>
  <c r="I794" i="47"/>
  <c r="N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G809" i="47"/>
  <c r="O814" i="47"/>
  <c r="I815" i="47"/>
  <c r="M815" i="47"/>
  <c r="N815" i="47"/>
  <c r="K815" i="47"/>
  <c r="C840" i="47"/>
  <c r="E840" i="47" s="1"/>
  <c r="P840" i="47"/>
  <c r="Q840" i="47" s="1"/>
  <c r="O840" i="47"/>
  <c r="F840" i="47"/>
  <c r="P825" i="47"/>
  <c r="Q825" i="47" s="1"/>
  <c r="B825" i="47"/>
  <c r="C836" i="47"/>
  <c r="E836" i="47" s="1"/>
  <c r="P836" i="47"/>
  <c r="F836" i="47"/>
  <c r="N836" i="47" s="1"/>
  <c r="D836" i="47"/>
  <c r="O836" i="47" s="1"/>
  <c r="B836" i="47"/>
  <c r="G836" i="47" s="1"/>
  <c r="D862" i="47"/>
  <c r="O862" i="47" s="1"/>
  <c r="B862" i="47"/>
  <c r="M862" i="47"/>
  <c r="P862" i="47"/>
  <c r="Q862" i="47" s="1"/>
  <c r="F862" i="47"/>
  <c r="C862" i="47"/>
  <c r="H862" i="47" s="1"/>
  <c r="J890" i="47"/>
  <c r="I890" i="47"/>
  <c r="N890" i="47"/>
  <c r="L890" i="47"/>
  <c r="M890" i="47"/>
  <c r="P761" i="47"/>
  <c r="D761" i="47"/>
  <c r="O761" i="47" s="1"/>
  <c r="L800" i="47"/>
  <c r="H807" i="47"/>
  <c r="L807" i="47"/>
  <c r="N807" i="47"/>
  <c r="M807" i="47"/>
  <c r="E807" i="47"/>
  <c r="N809" i="47"/>
  <c r="P813" i="47"/>
  <c r="D813" i="47"/>
  <c r="O813" i="47" s="1"/>
  <c r="G813" i="47"/>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Q820" i="47"/>
  <c r="B820" i="47"/>
  <c r="P820" i="47"/>
  <c r="O820" i="47"/>
  <c r="D825" i="47"/>
  <c r="O825" i="47" s="1"/>
  <c r="C832" i="47"/>
  <c r="M832" i="47" s="1"/>
  <c r="P832" i="47"/>
  <c r="Q832" i="47" s="1"/>
  <c r="O832" i="47"/>
  <c r="F832" i="47"/>
  <c r="L836"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G848" i="47"/>
  <c r="C848" i="47"/>
  <c r="N848" i="47" s="1"/>
  <c r="M848" i="47"/>
  <c r="K848" i="47"/>
  <c r="P848" i="47"/>
  <c r="Q848" i="47" s="1"/>
  <c r="O848" i="47"/>
  <c r="H848" i="47"/>
  <c r="F848" i="47"/>
  <c r="I876" i="47"/>
  <c r="K818" i="47"/>
  <c r="I818" i="47"/>
  <c r="K863" i="47"/>
  <c r="E863" i="47"/>
  <c r="L863" i="47"/>
  <c r="N863" i="47"/>
  <c r="M863" i="47"/>
  <c r="J863" i="47"/>
  <c r="I863" i="47"/>
  <c r="H863" i="47"/>
  <c r="G863" i="47"/>
  <c r="F884" i="47"/>
  <c r="D884" i="47"/>
  <c r="O884" i="47" s="1"/>
  <c r="P884" i="47"/>
  <c r="I884" i="47"/>
  <c r="C884" i="47"/>
  <c r="H884" i="47" s="1"/>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K856" i="47"/>
  <c r="P856" i="47"/>
  <c r="Q856" i="47" s="1"/>
  <c r="O856" i="47"/>
  <c r="N856" i="47"/>
  <c r="L856" i="47"/>
  <c r="F856" i="47"/>
  <c r="H856" i="47" s="1"/>
  <c r="P809" i="47"/>
  <c r="Q809" i="47" s="1"/>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E886" i="47"/>
  <c r="D886" i="47"/>
  <c r="O886" i="47" s="1"/>
  <c r="H886" i="47"/>
  <c r="N886" i="47"/>
  <c r="P886" i="47"/>
  <c r="Q886" i="47" s="1"/>
  <c r="L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O837" i="47"/>
  <c r="P837" i="47"/>
  <c r="Q837" i="47" s="1"/>
  <c r="I838" i="47"/>
  <c r="N838" i="47"/>
  <c r="E839" i="47"/>
  <c r="C845" i="47"/>
  <c r="K845" i="47" s="1"/>
  <c r="O845" i="47"/>
  <c r="I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J860" i="47"/>
  <c r="D860" i="47"/>
  <c r="O860" i="47" s="1"/>
  <c r="Q860" i="47"/>
  <c r="P864" i="47"/>
  <c r="L902" i="47"/>
  <c r="P912" i="47"/>
  <c r="F912" i="47"/>
  <c r="C912" i="47"/>
  <c r="J912" i="47" s="1"/>
  <c r="B912" i="47"/>
  <c r="D912" i="47"/>
  <c r="O912" i="47" s="1"/>
  <c r="B860" i="47"/>
  <c r="Q864" i="47"/>
  <c r="B866" i="47"/>
  <c r="Q866" i="47"/>
  <c r="M882" i="47"/>
  <c r="E814" i="47"/>
  <c r="M814" i="47"/>
  <c r="Q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J876" i="47"/>
  <c r="D876" i="47"/>
  <c r="O876" i="47" s="1"/>
  <c r="C876" i="47"/>
  <c r="M876" i="47" s="1"/>
  <c r="E892" i="47"/>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J885" i="47"/>
  <c r="F885" i="47"/>
  <c r="E885" i="47"/>
  <c r="D885" i="47"/>
  <c r="O885" i="47" s="1"/>
  <c r="C885" i="47"/>
  <c r="M885" i="47" s="1"/>
  <c r="G860" i="47"/>
  <c r="I865" i="47"/>
  <c r="L865" i="47"/>
  <c r="J865" i="47"/>
  <c r="E865" i="47"/>
  <c r="P865" i="47"/>
  <c r="Q865" i="47" s="1"/>
  <c r="O865" i="47"/>
  <c r="F865" i="47"/>
  <c r="N865" i="47" s="1"/>
  <c r="G868" i="47"/>
  <c r="E872" i="47"/>
  <c r="B885" i="47"/>
  <c r="G885" i="47" s="1"/>
  <c r="G892" i="47"/>
  <c r="Q822" i="47"/>
  <c r="Q823" i="47"/>
  <c r="C824" i="47"/>
  <c r="M824" i="47" s="1"/>
  <c r="Q824" i="47"/>
  <c r="I826" i="47"/>
  <c r="N826" i="47"/>
  <c r="E827" i="47"/>
  <c r="C833" i="47"/>
  <c r="I833" i="47" s="1"/>
  <c r="O833" i="47"/>
  <c r="K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I911" i="47"/>
  <c r="H911" i="47"/>
  <c r="G911" i="47"/>
  <c r="O916" i="47"/>
  <c r="M916" i="47"/>
  <c r="P916" i="47"/>
  <c r="Q916" i="47" s="1"/>
  <c r="F916" i="47"/>
  <c r="C916" i="47"/>
  <c r="H916" i="47" s="1"/>
  <c r="B916" i="47"/>
  <c r="D924" i="47"/>
  <c r="O924" i="47" s="1"/>
  <c r="C924" i="47"/>
  <c r="H924" i="47" s="1"/>
  <c r="P924" i="47"/>
  <c r="F924" i="47"/>
  <c r="P908" i="47"/>
  <c r="D908" i="47"/>
  <c r="O908" i="47" s="1"/>
  <c r="C908" i="47"/>
  <c r="G908" i="47" s="1"/>
  <c r="B924" i="47"/>
  <c r="I873" i="47"/>
  <c r="F873" i="47"/>
  <c r="L873" i="47" s="1"/>
  <c r="E873" i="47"/>
  <c r="D873" i="47"/>
  <c r="O873" i="47" s="1"/>
  <c r="O880" i="47"/>
  <c r="N880" i="47"/>
  <c r="M880" i="47"/>
  <c r="L880" i="47"/>
  <c r="H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J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N920" i="47"/>
  <c r="M920" i="47"/>
  <c r="L920" i="47"/>
  <c r="K920" i="47"/>
  <c r="J920" i="47"/>
  <c r="I920" i="47"/>
  <c r="G920" i="47"/>
  <c r="E920" i="47"/>
  <c r="N923" i="47"/>
  <c r="M923" i="47"/>
  <c r="K923" i="47"/>
  <c r="I923" i="47"/>
  <c r="H923" i="47"/>
  <c r="G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H920" i="47"/>
  <c r="J923" i="47"/>
  <c r="N915" i="47"/>
  <c r="M915" i="47"/>
  <c r="K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E928" i="47"/>
  <c r="P928" i="47"/>
  <c r="O928" i="47"/>
  <c r="N928" i="47"/>
  <c r="M928" i="47"/>
  <c r="L928" i="47"/>
  <c r="K928" i="47"/>
  <c r="J928" i="47"/>
  <c r="H928" i="47"/>
  <c r="G928" i="47"/>
  <c r="F928" i="47"/>
  <c r="D928" i="47"/>
  <c r="C928" i="47"/>
  <c r="B928" i="47"/>
  <c r="Q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09" i="47"/>
  <c r="Q913" i="47"/>
  <c r="Q917" i="47"/>
  <c r="Q921"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Q898"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Q923"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B907" i="47"/>
  <c r="F910" i="47"/>
  <c r="L910" i="47" s="1"/>
  <c r="B911" i="47"/>
  <c r="K911" i="47" s="1"/>
  <c r="J913" i="47"/>
  <c r="F914" i="47"/>
  <c r="B915" i="47"/>
  <c r="G915" i="47" s="1"/>
  <c r="F918" i="47"/>
  <c r="B919" i="47"/>
  <c r="G919" i="47" s="1"/>
  <c r="J921" i="47"/>
  <c r="F922" i="47"/>
  <c r="B923" i="47"/>
  <c r="J925" i="47"/>
  <c r="F926" i="47"/>
  <c r="B927" i="47"/>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Q226" i="47" l="1"/>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<sst xmlns="http://schemas.openxmlformats.org/spreadsheetml/2006/main" count="37973" uniqueCount="14119">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</sst>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121</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2</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23</c:v>
                </c:pt>
                <c:pt idx="29">
                  <c:v>4</c:v>
                </c:pt>
                <c:pt idx="30">
                  <c:v>48</c:v>
                </c:pt>
                <c:pt idx="31">
                  <c:v>10</c:v>
                </c:pt>
                <c:pt idx="32">
                  <c:v>21</c:v>
                </c:pt>
                <c:pt idx="33">
                  <c:v>85</c:v>
                </c:pt>
                <c:pt idx="34">
                  <c:v>49</c:v>
                </c:pt>
                <c:pt idx="35">
                  <c:v>40</c:v>
                </c:pt>
                <c:pt idx="36">
                  <c:v>19</c:v>
                </c:pt>
                <c:pt idx="37">
                  <c:v>83</c:v>
                </c:pt>
                <c:pt idx="38">
                  <c:v>42</c:v>
                </c:pt>
                <c:pt idx="39">
                  <c:v>172</c:v>
                </c:pt>
                <c:pt idx="40">
                  <c:v>83</c:v>
                </c:pt>
                <c:pt idx="41">
                  <c:v>113</c:v>
                </c:pt>
                <c:pt idx="42">
                  <c:v>72</c:v>
                </c:pt>
                <c:pt idx="43">
                  <c:v>189</c:v>
                </c:pt>
                <c:pt idx="44">
                  <c:v>85</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136</c:v>
                </c:pt>
                <c:pt idx="4">
                  <c:v>58</c:v>
                </c:pt>
                <c:pt idx="5">
                  <c:v>35</c:v>
                </c:pt>
                <c:pt idx="6">
                  <c:v>43</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125</c:v>
                </c:pt>
                <c:pt idx="3">
                  <c:v>91</c:v>
                </c:pt>
                <c:pt idx="4">
                  <c:v>36</c:v>
                </c:pt>
                <c:pt idx="5">
                  <c:v>20</c:v>
                </c:pt>
                <c:pt idx="6">
                  <c:v>33</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406</c:v>
                </c:pt>
                <c:pt idx="1">
                  <c:v>163</c:v>
                </c:pt>
                <c:pt idx="2">
                  <c:v>189</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161</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161</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171</c:v>
                </c:pt>
                <c:pt idx="5">
                  <c:v>157</c:v>
                </c:pt>
                <c:pt idx="6">
                  <c:v>121</c:v>
                </c:pt>
                <c:pt idx="7">
                  <c:v>102</c:v>
                </c:pt>
                <c:pt idx="8">
                  <c:v>84</c:v>
                </c:pt>
                <c:pt idx="9">
                  <c:v>72</c:v>
                </c:pt>
                <c:pt idx="10">
                  <c:v>36</c:v>
                </c:pt>
                <c:pt idx="11">
                  <c:v>168</c:v>
                </c:pt>
                <c:pt idx="12">
                  <c:v>115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#N/A</c:v>
                </c:pt>
                <c:pt idx="598">
                  <c:v>#N/A</c:v>
                </c:pt>
                <c:pt idx="599">
                  <c:v>#N/A</c:v>
                </c:pt>
                <c:pt idx="600">
                  <c:v>2024</c:v>
                </c:pt>
                <c:pt idx="601">
                  <c:v>2026</c:v>
                </c:pt>
                <c:pt idx="602">
                  <c:v>#N/A</c:v>
                </c:pt>
                <c:pt idx="603">
                  <c:v>2022</c:v>
                </c:pt>
                <c:pt idx="604">
                  <c:v>#N/A</c:v>
                </c:pt>
                <c:pt idx="605">
                  <c:v>#N/A</c:v>
                </c:pt>
                <c:pt idx="606">
                  <c:v>#N/A</c:v>
                </c:pt>
                <c:pt idx="607">
                  <c:v>2024</c:v>
                </c:pt>
                <c:pt idx="608">
                  <c:v>#N/A</c:v>
                </c:pt>
                <c:pt idx="609">
                  <c:v>#N/A</c:v>
                </c:pt>
                <c:pt idx="610">
                  <c:v>#N/A</c:v>
                </c:pt>
                <c:pt idx="611">
                  <c:v>2024</c:v>
                </c:pt>
                <c:pt idx="612">
                  <c:v>2015</c:v>
                </c:pt>
                <c:pt idx="613">
                  <c:v>#N/A</c:v>
                </c:pt>
                <c:pt idx="614">
                  <c:v>2025</c:v>
                </c:pt>
                <c:pt idx="615">
                  <c:v>#N/A</c:v>
                </c:pt>
                <c:pt idx="616">
                  <c:v>2023</c:v>
                </c:pt>
                <c:pt idx="617">
                  <c:v>2025</c:v>
                </c:pt>
                <c:pt idx="618">
                  <c:v>2024</c:v>
                </c:pt>
                <c:pt idx="619">
                  <c:v>2010</c:v>
                </c:pt>
                <c:pt idx="620">
                  <c:v>2012</c:v>
                </c:pt>
                <c:pt idx="621">
                  <c:v>2025</c:v>
                </c:pt>
                <c:pt idx="622">
                  <c:v>#N/A</c:v>
                </c:pt>
                <c:pt idx="623">
                  <c:v>2022</c:v>
                </c:pt>
                <c:pt idx="624">
                  <c:v>#N/A</c:v>
                </c:pt>
                <c:pt idx="625">
                  <c:v>2023</c:v>
                </c:pt>
                <c:pt idx="626">
                  <c:v>2023</c:v>
                </c:pt>
                <c:pt idx="627">
                  <c:v>2021</c:v>
                </c:pt>
                <c:pt idx="628">
                  <c:v>2025</c:v>
                </c:pt>
                <c:pt idx="629">
                  <c:v>#N/A</c:v>
                </c:pt>
                <c:pt idx="630">
                  <c:v>#N/A</c:v>
                </c:pt>
                <c:pt idx="631">
                  <c:v>#N/A</c:v>
                </c:pt>
                <c:pt idx="632">
                  <c:v>2026</c:v>
                </c:pt>
                <c:pt idx="633">
                  <c:v>#N/A</c:v>
                </c:pt>
                <c:pt idx="634">
                  <c:v>#N/A</c:v>
                </c:pt>
                <c:pt idx="635">
                  <c:v>#N/A</c:v>
                </c:pt>
                <c:pt idx="636">
                  <c:v>2017</c:v>
                </c:pt>
                <c:pt idx="637">
                  <c:v>2013</c:v>
                </c:pt>
                <c:pt idx="638">
                  <c:v>2020</c:v>
                </c:pt>
                <c:pt idx="639">
                  <c:v>2023</c:v>
                </c:pt>
                <c:pt idx="640">
                  <c:v>#N/A</c:v>
                </c:pt>
                <c:pt idx="641">
                  <c:v>2020</c:v>
                </c:pt>
                <c:pt idx="642">
                  <c:v>2024</c:v>
                </c:pt>
                <c:pt idx="643">
                  <c:v>#N/A</c:v>
                </c:pt>
                <c:pt idx="644">
                  <c:v>2026</c:v>
                </c:pt>
                <c:pt idx="645">
                  <c:v>#N/A</c:v>
                </c:pt>
                <c:pt idx="646">
                  <c:v>#N/A</c:v>
                </c:pt>
                <c:pt idx="647">
                  <c:v>2026</c:v>
                </c:pt>
                <c:pt idx="648">
                  <c:v>2024</c:v>
                </c:pt>
                <c:pt idx="649">
                  <c:v>#N/A</c:v>
                </c:pt>
                <c:pt idx="650">
                  <c:v>2021</c:v>
                </c:pt>
                <c:pt idx="651">
                  <c:v>2013</c:v>
                </c:pt>
                <c:pt idx="652">
                  <c:v>2020</c:v>
                </c:pt>
                <c:pt idx="653">
                  <c:v>#N/A</c:v>
                </c:pt>
                <c:pt idx="654">
                  <c:v>#N/A</c:v>
                </c:pt>
                <c:pt idx="655">
                  <c:v>#N/A</c:v>
                </c:pt>
                <c:pt idx="656">
                  <c:v>#N/A</c:v>
                </c:pt>
                <c:pt idx="657">
                  <c:v>2022</c:v>
                </c:pt>
                <c:pt idx="658">
                  <c:v>#N/A</c:v>
                </c:pt>
                <c:pt idx="659">
                  <c:v>#N/A</c:v>
                </c:pt>
                <c:pt idx="660">
                  <c:v>#N/A</c:v>
                </c:pt>
                <c:pt idx="661">
                  <c:v>#N/A</c:v>
                </c:pt>
                <c:pt idx="662">
                  <c:v>#N/A</c:v>
                </c:pt>
                <c:pt idx="663">
                  <c:v>#N/A</c:v>
                </c:pt>
                <c:pt idx="664">
                  <c:v>#N/A</c:v>
                </c:pt>
                <c:pt idx="665">
                  <c:v>#N/A</c:v>
                </c:pt>
                <c:pt idx="666">
                  <c:v>#N/A</c:v>
                </c:pt>
                <c:pt idx="667">
                  <c:v>2021</c:v>
                </c:pt>
                <c:pt idx="668">
                  <c:v>#N/A</c:v>
                </c:pt>
                <c:pt idx="669">
                  <c:v>#N/A</c:v>
                </c:pt>
                <c:pt idx="670">
                  <c:v>#N/A</c:v>
                </c:pt>
                <c:pt idx="671">
                  <c:v>#N/A</c:v>
                </c:pt>
                <c:pt idx="672">
                  <c:v>2022</c:v>
                </c:pt>
                <c:pt idx="673">
                  <c:v>#N/A</c:v>
                </c:pt>
                <c:pt idx="674">
                  <c:v>2024</c:v>
                </c:pt>
                <c:pt idx="675">
                  <c:v>2026</c:v>
                </c:pt>
                <c:pt idx="676">
                  <c:v>2022</c:v>
                </c:pt>
                <c:pt idx="677">
                  <c:v>2023</c:v>
                </c:pt>
                <c:pt idx="678">
                  <c:v>2020</c:v>
                </c:pt>
                <c:pt idx="679">
                  <c:v>2023</c:v>
                </c:pt>
                <c:pt idx="680">
                  <c:v>2023</c:v>
                </c:pt>
                <c:pt idx="681">
                  <c:v>#N/A</c:v>
                </c:pt>
                <c:pt idx="682">
                  <c:v>2025</c:v>
                </c:pt>
                <c:pt idx="683">
                  <c:v>2022</c:v>
                </c:pt>
                <c:pt idx="684">
                  <c:v>2026</c:v>
                </c:pt>
                <c:pt idx="685">
                  <c:v>#N/A</c:v>
                </c:pt>
                <c:pt idx="686">
                  <c:v>#N/A</c:v>
                </c:pt>
                <c:pt idx="687">
                  <c:v>2025</c:v>
                </c:pt>
                <c:pt idx="688">
                  <c:v>2023</c:v>
                </c:pt>
                <c:pt idx="689">
                  <c:v>2025</c:v>
                </c:pt>
                <c:pt idx="690">
                  <c:v>#N/A</c:v>
                </c:pt>
                <c:pt idx="691">
                  <c:v>2022</c:v>
                </c:pt>
                <c:pt idx="692">
                  <c:v>#N/A</c:v>
                </c:pt>
                <c:pt idx="693">
                  <c:v>#N/A</c:v>
                </c:pt>
                <c:pt idx="694">
                  <c:v>#N/A</c:v>
                </c:pt>
                <c:pt idx="695">
                  <c:v>#N/A</c:v>
                </c:pt>
                <c:pt idx="696">
                  <c:v>#N/A</c:v>
                </c:pt>
                <c:pt idx="697">
                  <c:v>#N/A</c:v>
                </c:pt>
                <c:pt idx="698">
                  <c:v>#N/A</c:v>
                </c:pt>
                <c:pt idx="699">
                  <c:v>#N/A</c:v>
                </c:pt>
                <c:pt idx="700">
                  <c:v>#N/A</c:v>
                </c:pt>
                <c:pt idx="701">
                  <c:v>2010</c:v>
                </c:pt>
                <c:pt idx="702">
                  <c:v>#N/A</c:v>
                </c:pt>
                <c:pt idx="703">
                  <c:v>2022</c:v>
                </c:pt>
                <c:pt idx="704">
                  <c:v>#N/A</c:v>
                </c:pt>
                <c:pt idx="705">
                  <c:v>#N/A</c:v>
                </c:pt>
                <c:pt idx="706">
                  <c:v>#N/A</c:v>
                </c:pt>
                <c:pt idx="707">
                  <c:v>2020</c:v>
                </c:pt>
                <c:pt idx="708">
                  <c:v>2026</c:v>
                </c:pt>
                <c:pt idx="709">
                  <c:v>2014</c:v>
                </c:pt>
                <c:pt idx="710">
                  <c:v>#N/A</c:v>
                </c:pt>
                <c:pt idx="711">
                  <c:v>#N/A</c:v>
                </c:pt>
                <c:pt idx="712">
                  <c:v>2018</c:v>
                </c:pt>
                <c:pt idx="713">
                  <c:v>#N/A</c:v>
                </c:pt>
                <c:pt idx="714">
                  <c:v>#N/A</c:v>
                </c:pt>
                <c:pt idx="715">
                  <c:v>2026</c:v>
                </c:pt>
                <c:pt idx="716">
                  <c:v>#N/A</c:v>
                </c:pt>
                <c:pt idx="717">
                  <c:v>2024</c:v>
                </c:pt>
                <c:pt idx="718">
                  <c:v>2023</c:v>
                </c:pt>
                <c:pt idx="719">
                  <c:v>#N/A</c:v>
                </c:pt>
                <c:pt idx="720">
                  <c:v>#N/A</c:v>
                </c:pt>
                <c:pt idx="721">
                  <c:v>#N/A</c:v>
                </c:pt>
                <c:pt idx="722">
                  <c:v>2021</c:v>
                </c:pt>
                <c:pt idx="723">
                  <c:v>2025</c:v>
                </c:pt>
                <c:pt idx="724">
                  <c:v>#N/A</c:v>
                </c:pt>
                <c:pt idx="725">
                  <c:v>#N/A</c:v>
                </c:pt>
                <c:pt idx="726">
                  <c:v>#N/A</c:v>
                </c:pt>
                <c:pt idx="727">
                  <c:v>#N/A</c:v>
                </c:pt>
                <c:pt idx="728">
                  <c:v>2022</c:v>
                </c:pt>
                <c:pt idx="729">
                  <c:v>2021</c:v>
                </c:pt>
                <c:pt idx="730">
                  <c:v>2015</c:v>
                </c:pt>
                <c:pt idx="731">
                  <c:v>2019</c:v>
                </c:pt>
                <c:pt idx="732">
                  <c:v>#N/A</c:v>
                </c:pt>
                <c:pt idx="733">
                  <c:v>#N/A</c:v>
                </c:pt>
                <c:pt idx="734">
                  <c:v>2019</c:v>
                </c:pt>
                <c:pt idx="735">
                  <c:v>2022</c:v>
                </c:pt>
                <c:pt idx="736">
                  <c:v>#N/A</c:v>
                </c:pt>
                <c:pt idx="737">
                  <c:v>#N/A</c:v>
                </c:pt>
                <c:pt idx="738">
                  <c:v>2012</c:v>
                </c:pt>
                <c:pt idx="739">
                  <c:v>2020</c:v>
                </c:pt>
                <c:pt idx="740">
                  <c:v>2008</c:v>
                </c:pt>
                <c:pt idx="741">
                  <c:v>#N/A</c:v>
                </c:pt>
                <c:pt idx="742">
                  <c:v>#N/A</c:v>
                </c:pt>
                <c:pt idx="743">
                  <c:v>2022</c:v>
                </c:pt>
                <c:pt idx="744">
                  <c:v>2023</c:v>
                </c:pt>
                <c:pt idx="745">
                  <c:v>2019</c:v>
                </c:pt>
                <c:pt idx="746">
                  <c:v>#N/A</c:v>
                </c:pt>
                <c:pt idx="747">
                  <c:v>2024</c:v>
                </c:pt>
                <c:pt idx="748">
                  <c:v>#N/A</c:v>
                </c:pt>
                <c:pt idx="749">
                  <c:v>2017</c:v>
                </c:pt>
                <c:pt idx="750">
                  <c:v>#N/A</c:v>
                </c:pt>
                <c:pt idx="751">
                  <c:v>2023</c:v>
                </c:pt>
                <c:pt idx="752">
                  <c:v>2026</c:v>
                </c:pt>
                <c:pt idx="753">
                  <c:v>2025</c:v>
                </c:pt>
                <c:pt idx="754">
                  <c:v>#N/A</c:v>
                </c:pt>
                <c:pt idx="755">
                  <c:v>#N/A</c:v>
                </c:pt>
                <c:pt idx="756">
                  <c:v>2025</c:v>
                </c:pt>
                <c:pt idx="757">
                  <c:v>2026</c:v>
                </c:pt>
                <c:pt idx="758">
                  <c:v>#N/A</c:v>
                </c:pt>
                <c:pt idx="759">
                  <c:v>#N/A</c:v>
                </c:pt>
                <c:pt idx="760">
                  <c:v>2017</c:v>
                </c:pt>
                <c:pt idx="761">
                  <c:v>#N/A</c:v>
                </c:pt>
                <c:pt idx="762">
                  <c:v>#N/A</c:v>
                </c:pt>
                <c:pt idx="763">
                  <c:v>2019</c:v>
                </c:pt>
                <c:pt idx="764">
                  <c:v>2024</c:v>
                </c:pt>
                <c:pt idx="765">
                  <c:v>2017</c:v>
                </c:pt>
                <c:pt idx="766">
                  <c:v>#N/A</c:v>
                </c:pt>
                <c:pt idx="767">
                  <c:v>#N/A</c:v>
                </c:pt>
                <c:pt idx="768">
                  <c:v>#N/A</c:v>
                </c:pt>
                <c:pt idx="769">
                  <c:v>#N/A</c:v>
                </c:pt>
                <c:pt idx="770">
                  <c:v>2013</c:v>
                </c:pt>
                <c:pt idx="771">
                  <c:v>#N/A</c:v>
                </c:pt>
                <c:pt idx="772">
                  <c:v>2025</c:v>
                </c:pt>
                <c:pt idx="773">
                  <c:v>2023</c:v>
                </c:pt>
                <c:pt idx="774">
                  <c:v>2016</c:v>
                </c:pt>
                <c:pt idx="775">
                  <c:v>#N/A</c:v>
                </c:pt>
                <c:pt idx="776">
                  <c:v>2021</c:v>
                </c:pt>
                <c:pt idx="777">
                  <c:v>2025</c:v>
                </c:pt>
                <c:pt idx="778">
                  <c:v>#N/A</c:v>
                </c:pt>
                <c:pt idx="779">
                  <c:v>2022</c:v>
                </c:pt>
                <c:pt idx="780">
                  <c:v>2025</c:v>
                </c:pt>
                <c:pt idx="781">
                  <c:v>2021</c:v>
                </c:pt>
                <c:pt idx="782">
                  <c:v>2018</c:v>
                </c:pt>
                <c:pt idx="783">
                  <c:v>#N/A</c:v>
                </c:pt>
                <c:pt idx="784">
                  <c:v>#N/A</c:v>
                </c:pt>
                <c:pt idx="785">
                  <c:v>2023</c:v>
                </c:pt>
                <c:pt idx="786">
                  <c:v>#N/A</c:v>
                </c:pt>
                <c:pt idx="787">
                  <c:v>#N/A</c:v>
                </c:pt>
                <c:pt idx="788">
                  <c:v>#N/A</c:v>
                </c:pt>
                <c:pt idx="789">
                  <c:v>#N/A</c:v>
                </c:pt>
                <c:pt idx="790">
                  <c:v>#N/A</c:v>
                </c:pt>
                <c:pt idx="791">
                  <c:v>2023</c:v>
                </c:pt>
                <c:pt idx="792">
                  <c:v>#N/A</c:v>
                </c:pt>
                <c:pt idx="793">
                  <c:v>2026</c:v>
                </c:pt>
                <c:pt idx="794">
                  <c:v>2024</c:v>
                </c:pt>
                <c:pt idx="795">
                  <c:v>2024</c:v>
                </c:pt>
                <c:pt idx="796">
                  <c:v>#N/A</c:v>
                </c:pt>
                <c:pt idx="797">
                  <c:v>2026</c:v>
                </c:pt>
                <c:pt idx="798">
                  <c:v>2024</c:v>
                </c:pt>
                <c:pt idx="799">
                  <c:v>#N/A</c:v>
                </c:pt>
                <c:pt idx="800">
                  <c:v>2011</c:v>
                </c:pt>
                <c:pt idx="801">
                  <c:v>2014</c:v>
                </c:pt>
                <c:pt idx="802">
                  <c:v>#N/A</c:v>
                </c:pt>
                <c:pt idx="803">
                  <c:v>#N/A</c:v>
                </c:pt>
                <c:pt idx="804">
                  <c:v>#N/A</c:v>
                </c:pt>
                <c:pt idx="805">
                  <c:v>2016</c:v>
                </c:pt>
                <c:pt idx="806">
                  <c:v>#N/A</c:v>
                </c:pt>
                <c:pt idx="807">
                  <c:v>#N/A</c:v>
                </c:pt>
                <c:pt idx="808">
                  <c:v>#N/A</c:v>
                </c:pt>
                <c:pt idx="809">
                  <c:v>#N/A</c:v>
                </c:pt>
                <c:pt idx="810">
                  <c:v>2023</c:v>
                </c:pt>
                <c:pt idx="811">
                  <c:v>#N/A</c:v>
                </c:pt>
                <c:pt idx="812">
                  <c:v>#N/A</c:v>
                </c:pt>
                <c:pt idx="813">
                  <c:v>#N/A</c:v>
                </c:pt>
                <c:pt idx="814">
                  <c:v>2026</c:v>
                </c:pt>
                <c:pt idx="815">
                  <c:v>#N/A</c:v>
                </c:pt>
                <c:pt idx="816">
                  <c:v>#N/A</c:v>
                </c:pt>
                <c:pt idx="817">
                  <c:v>2024</c:v>
                </c:pt>
                <c:pt idx="818">
                  <c:v>#N/A</c:v>
                </c:pt>
                <c:pt idx="819">
                  <c:v>2024</c:v>
                </c:pt>
                <c:pt idx="820">
                  <c:v>#N/A</c:v>
                </c:pt>
                <c:pt idx="821">
                  <c:v>2022</c:v>
                </c:pt>
                <c:pt idx="822">
                  <c:v>2018</c:v>
                </c:pt>
                <c:pt idx="823">
                  <c:v>#N/A</c:v>
                </c:pt>
                <c:pt idx="824">
                  <c:v>#N/A</c:v>
                </c:pt>
                <c:pt idx="825">
                  <c:v>#N/A</c:v>
                </c:pt>
                <c:pt idx="826">
                  <c:v>2023</c:v>
                </c:pt>
                <c:pt idx="827">
                  <c:v>2023</c:v>
                </c:pt>
                <c:pt idx="828">
                  <c:v>#N/A</c:v>
                </c:pt>
                <c:pt idx="829">
                  <c:v>#N/A</c:v>
                </c:pt>
                <c:pt idx="830">
                  <c:v>2022</c:v>
                </c:pt>
                <c:pt idx="831">
                  <c:v>#N/A</c:v>
                </c:pt>
                <c:pt idx="832">
                  <c:v>1991</c:v>
                </c:pt>
                <c:pt idx="833">
                  <c:v>2019</c:v>
                </c:pt>
                <c:pt idx="834">
                  <c:v>2022</c:v>
                </c:pt>
                <c:pt idx="835">
                  <c:v>#N/A</c:v>
                </c:pt>
                <c:pt idx="836">
                  <c:v>#N/A</c:v>
                </c:pt>
                <c:pt idx="837">
                  <c:v>#N/A</c:v>
                </c:pt>
                <c:pt idx="838">
                  <c:v>#N/A</c:v>
                </c:pt>
                <c:pt idx="839">
                  <c:v>#N/A</c:v>
                </c:pt>
                <c:pt idx="840">
                  <c:v>#N/A</c:v>
                </c:pt>
                <c:pt idx="841">
                  <c:v>#N/A</c:v>
                </c:pt>
                <c:pt idx="842">
                  <c:v>2024</c:v>
                </c:pt>
                <c:pt idx="843">
                  <c:v>#N/A</c:v>
                </c:pt>
                <c:pt idx="844">
                  <c:v>#N/A</c:v>
                </c:pt>
                <c:pt idx="845">
                  <c:v>#N/A</c:v>
                </c:pt>
                <c:pt idx="846">
                  <c:v>2017</c:v>
                </c:pt>
                <c:pt idx="847">
                  <c:v>2014</c:v>
                </c:pt>
                <c:pt idx="848">
                  <c:v>#N/A</c:v>
                </c:pt>
                <c:pt idx="849">
                  <c:v>#N/A</c:v>
                </c:pt>
                <c:pt idx="850">
                  <c:v>#N/A</c:v>
                </c:pt>
                <c:pt idx="851">
                  <c:v>#N/A</c:v>
                </c:pt>
                <c:pt idx="852">
                  <c:v>2017</c:v>
                </c:pt>
                <c:pt idx="853">
                  <c:v>#N/A</c:v>
                </c:pt>
                <c:pt idx="854">
                  <c:v>2025</c:v>
                </c:pt>
                <c:pt idx="855">
                  <c:v>#N/A</c:v>
                </c:pt>
                <c:pt idx="856">
                  <c:v>#N/A</c:v>
                </c:pt>
                <c:pt idx="857">
                  <c:v>2025</c:v>
                </c:pt>
                <c:pt idx="858">
                  <c:v>#N/A</c:v>
                </c:pt>
                <c:pt idx="859">
                  <c:v>#N/A</c:v>
                </c:pt>
                <c:pt idx="860">
                  <c:v>2024</c:v>
                </c:pt>
                <c:pt idx="861">
                  <c:v>2019</c:v>
                </c:pt>
                <c:pt idx="862">
                  <c:v>2025</c:v>
                </c:pt>
                <c:pt idx="863">
                  <c:v>2017</c:v>
                </c:pt>
                <c:pt idx="864">
                  <c:v>2022</c:v>
                </c:pt>
                <c:pt idx="865">
                  <c:v>#N/A</c:v>
                </c:pt>
                <c:pt idx="866">
                  <c:v>2018</c:v>
                </c:pt>
                <c:pt idx="867">
                  <c:v>#N/A</c:v>
                </c:pt>
                <c:pt idx="868">
                  <c:v>2023</c:v>
                </c:pt>
                <c:pt idx="869">
                  <c:v>2021</c:v>
                </c:pt>
                <c:pt idx="870">
                  <c:v>#N/A</c:v>
                </c:pt>
                <c:pt idx="871">
                  <c:v>2024</c:v>
                </c:pt>
                <c:pt idx="872">
                  <c:v>2026</c:v>
                </c:pt>
                <c:pt idx="873">
                  <c:v>#N/A</c:v>
                </c:pt>
                <c:pt idx="874">
                  <c:v>#N/A</c:v>
                </c:pt>
                <c:pt idx="875">
                  <c:v>#N/A</c:v>
                </c:pt>
                <c:pt idx="876">
                  <c:v>2019</c:v>
                </c:pt>
                <c:pt idx="877">
                  <c:v>2022</c:v>
                </c:pt>
                <c:pt idx="878">
                  <c:v>#N/A</c:v>
                </c:pt>
                <c:pt idx="879">
                  <c:v>2023</c:v>
                </c:pt>
                <c:pt idx="880">
                  <c:v>2024</c:v>
                </c:pt>
                <c:pt idx="881">
                  <c:v>2024</c:v>
                </c:pt>
                <c:pt idx="882">
                  <c:v>#N/A</c:v>
                </c:pt>
                <c:pt idx="883">
                  <c:v>#N/A</c:v>
                </c:pt>
                <c:pt idx="884">
                  <c:v>#N/A</c:v>
                </c:pt>
                <c:pt idx="885">
                  <c:v>2026</c:v>
                </c:pt>
                <c:pt idx="886">
                  <c:v>2026</c:v>
                </c:pt>
                <c:pt idx="887">
                  <c:v>#N/A</c:v>
                </c:pt>
                <c:pt idx="888">
                  <c:v>2025</c:v>
                </c:pt>
                <c:pt idx="889">
                  <c:v>#N/A</c:v>
                </c:pt>
                <c:pt idx="890">
                  <c:v>#N/A</c:v>
                </c:pt>
                <c:pt idx="891">
                  <c:v>#N/A</c:v>
                </c:pt>
                <c:pt idx="892">
                  <c:v>2017</c:v>
                </c:pt>
                <c:pt idx="893">
                  <c:v>#N/A</c:v>
                </c:pt>
                <c:pt idx="894">
                  <c:v>2020</c:v>
                </c:pt>
                <c:pt idx="895">
                  <c:v>2025</c:v>
                </c:pt>
                <c:pt idx="896">
                  <c:v>2025</c:v>
                </c:pt>
                <c:pt idx="897">
                  <c:v>2024</c:v>
                </c:pt>
                <c:pt idx="898">
                  <c:v>#N/A</c:v>
                </c:pt>
                <c:pt idx="899">
                  <c:v>#N/A</c:v>
                </c:pt>
                <c:pt idx="900">
                  <c:v>2024</c:v>
                </c:pt>
                <c:pt idx="901">
                  <c:v>#N/A</c:v>
                </c:pt>
                <c:pt idx="902">
                  <c:v>#N/A</c:v>
                </c:pt>
                <c:pt idx="903">
                  <c:v>2023</c:v>
                </c:pt>
                <c:pt idx="904">
                  <c:v>#N/A</c:v>
                </c:pt>
                <c:pt idx="905">
                  <c:v>2018</c:v>
                </c:pt>
                <c:pt idx="906">
                  <c:v>2024</c:v>
                </c:pt>
                <c:pt idx="907">
                  <c:v>#N/A</c:v>
                </c:pt>
                <c:pt idx="908">
                  <c:v>#N/A</c:v>
                </c:pt>
                <c:pt idx="909">
                  <c:v>#N/A</c:v>
                </c:pt>
                <c:pt idx="910">
                  <c:v>#N/A</c:v>
                </c:pt>
                <c:pt idx="911">
                  <c:v>#N/A</c:v>
                </c:pt>
                <c:pt idx="912">
                  <c:v>2025</c:v>
                </c:pt>
                <c:pt idx="913">
                  <c:v>2023</c:v>
                </c:pt>
                <c:pt idx="914">
                  <c:v>#N/A</c:v>
                </c:pt>
                <c:pt idx="915">
                  <c:v>#N/A</c:v>
                </c:pt>
                <c:pt idx="916">
                  <c:v>#N/A</c:v>
                </c:pt>
                <c:pt idx="917">
                  <c:v>#N/A</c:v>
                </c:pt>
                <c:pt idx="918">
                  <c:v>#N/A</c:v>
                </c:pt>
                <c:pt idx="919">
                  <c:v>2014</c:v>
                </c:pt>
                <c:pt idx="920">
                  <c:v>2020</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#N/A</c:v>
                </c:pt>
                <c:pt idx="599">
                  <c:v>#N/A</c:v>
                </c:pt>
                <c:pt idx="600">
                  <c:v>#N/A</c:v>
                </c:pt>
                <c:pt idx="601">
                  <c:v>1.552</c:v>
                </c:pt>
                <c:pt idx="602">
                  <c:v>1.575</c:v>
                </c:pt>
                <c:pt idx="603">
                  <c:v>#N/A</c:v>
                </c:pt>
                <c:pt idx="604">
                  <c:v>1.621</c:v>
                </c:pt>
                <c:pt idx="605">
                  <c:v>#N/A</c:v>
                </c:pt>
                <c:pt idx="606">
                  <c:v>#N/A</c:v>
                </c:pt>
                <c:pt idx="607">
                  <c:v>#N/A</c:v>
                </c:pt>
                <c:pt idx="608">
                  <c:v>1.7130000000000001</c:v>
                </c:pt>
                <c:pt idx="609">
                  <c:v>#N/A</c:v>
                </c:pt>
                <c:pt idx="610">
                  <c:v>#N/A</c:v>
                </c:pt>
                <c:pt idx="611">
                  <c:v>#N/A</c:v>
                </c:pt>
                <c:pt idx="612">
                  <c:v>1.0229999999999999</c:v>
                </c:pt>
                <c:pt idx="613">
                  <c:v>1.046</c:v>
                </c:pt>
                <c:pt idx="614">
                  <c:v>#N/A</c:v>
                </c:pt>
                <c:pt idx="615">
                  <c:v>1.0920000000000001</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#N/A</c:v>
                </c:pt>
                <c:pt idx="626">
                  <c:v>1.345</c:v>
                </c:pt>
                <c:pt idx="627">
                  <c:v>1.3679999999999999</c:v>
                </c:pt>
                <c:pt idx="628">
                  <c:v>1.391</c:v>
                </c:pt>
                <c:pt idx="629">
                  <c:v>1.4139999999999999</c:v>
                </c:pt>
                <c:pt idx="630">
                  <c:v>#N/A</c:v>
                </c:pt>
                <c:pt idx="631">
                  <c:v>#N/A</c:v>
                </c:pt>
                <c:pt idx="632">
                  <c:v>#N/A</c:v>
                </c:pt>
                <c:pt idx="633">
                  <c:v>1.506</c:v>
                </c:pt>
                <c:pt idx="634">
                  <c:v>#N/A</c:v>
                </c:pt>
                <c:pt idx="635">
                  <c:v>#N/A</c:v>
                </c:pt>
                <c:pt idx="636">
                  <c:v>#N/A</c:v>
                </c:pt>
                <c:pt idx="637">
                  <c:v>1.5979999999999999</c:v>
                </c:pt>
                <c:pt idx="638">
                  <c:v>1.621</c:v>
                </c:pt>
                <c:pt idx="639">
                  <c:v>1.6440000000000001</c:v>
                </c:pt>
                <c:pt idx="640">
                  <c:v>1.667</c:v>
                </c:pt>
                <c:pt idx="641">
                  <c:v>#N/A</c:v>
                </c:pt>
                <c:pt idx="642">
                  <c:v>1.7130000000000001</c:v>
                </c:pt>
                <c:pt idx="643">
                  <c:v>1.736</c:v>
                </c:pt>
                <c:pt idx="644">
                  <c:v>#N/A</c:v>
                </c:pt>
                <c:pt idx="645">
                  <c:v>1</c:v>
                </c:pt>
                <c:pt idx="646">
                  <c:v>#N/A</c:v>
                </c:pt>
                <c:pt idx="647">
                  <c:v>#N/A</c:v>
                </c:pt>
                <c:pt idx="648">
                  <c:v>1.069</c:v>
                </c:pt>
                <c:pt idx="649">
                  <c:v>1.0920000000000001</c:v>
                </c:pt>
                <c:pt idx="650">
                  <c:v>#N/A</c:v>
                </c:pt>
                <c:pt idx="651">
                  <c:v>1.1379999999999999</c:v>
                </c:pt>
                <c:pt idx="652">
                  <c:v>1.161</c:v>
                </c:pt>
                <c:pt idx="653">
                  <c:v>1.1839999999999999</c:v>
                </c:pt>
                <c:pt idx="654">
                  <c:v>#N/A</c:v>
                </c:pt>
                <c:pt idx="655">
                  <c:v>#N/A</c:v>
                </c:pt>
                <c:pt idx="656">
                  <c:v>#N/A</c:v>
                </c:pt>
                <c:pt idx="657">
                  <c:v>#N/A</c:v>
                </c:pt>
                <c:pt idx="658">
                  <c:v>1.2989999999999999</c:v>
                </c:pt>
                <c:pt idx="659">
                  <c:v>#N/A</c:v>
                </c:pt>
                <c:pt idx="660">
                  <c:v>#N/A</c:v>
                </c:pt>
                <c:pt idx="661">
                  <c:v>#N/A</c:v>
                </c:pt>
                <c:pt idx="662">
                  <c:v>#N/A</c:v>
                </c:pt>
                <c:pt idx="663">
                  <c:v>#N/A</c:v>
                </c:pt>
                <c:pt idx="664">
                  <c:v>#N/A</c:v>
                </c:pt>
                <c:pt idx="665">
                  <c:v>#N/A</c:v>
                </c:pt>
                <c:pt idx="666">
                  <c:v>#N/A</c:v>
                </c:pt>
                <c:pt idx="667">
                  <c:v>#N/A</c:v>
                </c:pt>
                <c:pt idx="668">
                  <c:v>1.5289999999999999</c:v>
                </c:pt>
                <c:pt idx="669">
                  <c:v>#N/A</c:v>
                </c:pt>
                <c:pt idx="670">
                  <c:v>#N/A</c:v>
                </c:pt>
                <c:pt idx="671">
                  <c:v>#N/A</c:v>
                </c:pt>
                <c:pt idx="672">
                  <c:v>#N/A</c:v>
                </c:pt>
                <c:pt idx="673">
                  <c:v>1.6440000000000001</c:v>
                </c:pt>
                <c:pt idx="674">
                  <c:v>#N/A</c:v>
                </c:pt>
                <c:pt idx="675">
                  <c:v>1.69</c:v>
                </c:pt>
                <c:pt idx="676">
                  <c:v>1.7130000000000001</c:v>
                </c:pt>
                <c:pt idx="677">
                  <c:v>1.736</c:v>
                </c:pt>
                <c:pt idx="678">
                  <c:v>1.7589999999999999</c:v>
                </c:pt>
                <c:pt idx="679">
                  <c:v>1</c:v>
                </c:pt>
                <c:pt idx="680">
                  <c:v>1.0229999999999999</c:v>
                </c:pt>
                <c:pt idx="681">
                  <c:v>1.046</c:v>
                </c:pt>
                <c:pt idx="682">
                  <c:v>#N/A</c:v>
                </c:pt>
                <c:pt idx="683">
                  <c:v>1.0920000000000001</c:v>
                </c:pt>
                <c:pt idx="684">
                  <c:v>1.115</c:v>
                </c:pt>
                <c:pt idx="685">
                  <c:v>1.1379999999999999</c:v>
                </c:pt>
                <c:pt idx="686">
                  <c:v>#N/A</c:v>
                </c:pt>
                <c:pt idx="687">
                  <c:v>#N/A</c:v>
                </c:pt>
                <c:pt idx="688">
                  <c:v>1.2070000000000001</c:v>
                </c:pt>
                <c:pt idx="689">
                  <c:v>1.23</c:v>
                </c:pt>
                <c:pt idx="690">
                  <c:v>1.2530000000000001</c:v>
                </c:pt>
                <c:pt idx="691">
                  <c:v>#N/A</c:v>
                </c:pt>
                <c:pt idx="692">
                  <c:v>1.2989999999999999</c:v>
                </c:pt>
                <c:pt idx="693">
                  <c:v>#N/A</c:v>
                </c:pt>
                <c:pt idx="694">
                  <c:v>#N/A</c:v>
                </c:pt>
                <c:pt idx="695">
                  <c:v>#N/A</c:v>
                </c:pt>
                <c:pt idx="696">
                  <c:v>#N/A</c:v>
                </c:pt>
                <c:pt idx="697">
                  <c:v>#N/A</c:v>
                </c:pt>
                <c:pt idx="698">
                  <c:v>#N/A</c:v>
                </c:pt>
                <c:pt idx="699">
                  <c:v>#N/A</c:v>
                </c:pt>
                <c:pt idx="700">
                  <c:v>#N/A</c:v>
                </c:pt>
                <c:pt idx="701">
                  <c:v>#N/A</c:v>
                </c:pt>
                <c:pt idx="702">
                  <c:v>1.5289999999999999</c:v>
                </c:pt>
                <c:pt idx="703">
                  <c:v>#N/A</c:v>
                </c:pt>
                <c:pt idx="704">
                  <c:v>1.575</c:v>
                </c:pt>
                <c:pt idx="705">
                  <c:v>#N/A</c:v>
                </c:pt>
                <c:pt idx="706">
                  <c:v>#N/A</c:v>
                </c:pt>
                <c:pt idx="707">
                  <c:v>#N/A</c:v>
                </c:pt>
                <c:pt idx="708">
                  <c:v>1.667</c:v>
                </c:pt>
                <c:pt idx="709">
                  <c:v>1.69</c:v>
                </c:pt>
                <c:pt idx="710">
                  <c:v>1.7130000000000001</c:v>
                </c:pt>
                <c:pt idx="711">
                  <c:v>#N/A</c:v>
                </c:pt>
                <c:pt idx="712">
                  <c:v>#N/A</c:v>
                </c:pt>
                <c:pt idx="713">
                  <c:v>1</c:v>
                </c:pt>
                <c:pt idx="714">
                  <c:v>#N/A</c:v>
                </c:pt>
                <c:pt idx="715">
                  <c:v>#N/A</c:v>
                </c:pt>
                <c:pt idx="716">
                  <c:v>1.069</c:v>
                </c:pt>
                <c:pt idx="717">
                  <c:v>#N/A</c:v>
                </c:pt>
                <c:pt idx="718">
                  <c:v>1.115</c:v>
                </c:pt>
                <c:pt idx="719">
                  <c:v>1.1379999999999999</c:v>
                </c:pt>
                <c:pt idx="720">
                  <c:v>#N/A</c:v>
                </c:pt>
                <c:pt idx="721">
                  <c:v>#N/A</c:v>
                </c:pt>
                <c:pt idx="722">
                  <c:v>#N/A</c:v>
                </c:pt>
                <c:pt idx="723">
                  <c:v>1.23</c:v>
                </c:pt>
                <c:pt idx="724">
                  <c:v>1.2530000000000001</c:v>
                </c:pt>
                <c:pt idx="725">
                  <c:v>#N/A</c:v>
                </c:pt>
                <c:pt idx="726">
                  <c:v>#N/A</c:v>
                </c:pt>
                <c:pt idx="727">
                  <c:v>#N/A</c:v>
                </c:pt>
                <c:pt idx="728">
                  <c:v>#N/A</c:v>
                </c:pt>
                <c:pt idx="729">
                  <c:v>1.3679999999999999</c:v>
                </c:pt>
                <c:pt idx="730">
                  <c:v>1.391</c:v>
                </c:pt>
                <c:pt idx="731">
                  <c:v>1.4139999999999999</c:v>
                </c:pt>
                <c:pt idx="732">
                  <c:v>1.4370000000000001</c:v>
                </c:pt>
                <c:pt idx="733">
                  <c:v>#N/A</c:v>
                </c:pt>
                <c:pt idx="734">
                  <c:v>#N/A</c:v>
                </c:pt>
                <c:pt idx="735">
                  <c:v>1.506</c:v>
                </c:pt>
                <c:pt idx="736">
                  <c:v>1.5289999999999999</c:v>
                </c:pt>
                <c:pt idx="737">
                  <c:v>#N/A</c:v>
                </c:pt>
                <c:pt idx="738">
                  <c:v>#N/A</c:v>
                </c:pt>
                <c:pt idx="739">
                  <c:v>1.5979999999999999</c:v>
                </c:pt>
                <c:pt idx="740">
                  <c:v>1.621</c:v>
                </c:pt>
                <c:pt idx="741">
                  <c:v>1.6440000000000001</c:v>
                </c:pt>
                <c:pt idx="742">
                  <c:v>#N/A</c:v>
                </c:pt>
                <c:pt idx="743">
                  <c:v>#N/A</c:v>
                </c:pt>
                <c:pt idx="744">
                  <c:v>1.7130000000000001</c:v>
                </c:pt>
                <c:pt idx="745">
                  <c:v>1.736</c:v>
                </c:pt>
                <c:pt idx="746">
                  <c:v>1.7589999999999999</c:v>
                </c:pt>
                <c:pt idx="747">
                  <c:v>#N/A</c:v>
                </c:pt>
                <c:pt idx="748">
                  <c:v>1.0229999999999999</c:v>
                </c:pt>
                <c:pt idx="749">
                  <c:v>#N/A</c:v>
                </c:pt>
                <c:pt idx="750">
                  <c:v>1.069</c:v>
                </c:pt>
                <c:pt idx="751">
                  <c:v>#N/A</c:v>
                </c:pt>
                <c:pt idx="752">
                  <c:v>1.115</c:v>
                </c:pt>
                <c:pt idx="753">
                  <c:v>1.1379999999999999</c:v>
                </c:pt>
                <c:pt idx="754">
                  <c:v>1.161</c:v>
                </c:pt>
                <c:pt idx="755">
                  <c:v>#N/A</c:v>
                </c:pt>
                <c:pt idx="756">
                  <c:v>#N/A</c:v>
                </c:pt>
                <c:pt idx="757">
                  <c:v>1.23</c:v>
                </c:pt>
                <c:pt idx="758">
                  <c:v>1.2530000000000001</c:v>
                </c:pt>
                <c:pt idx="759">
                  <c:v>#N/A</c:v>
                </c:pt>
                <c:pt idx="760">
                  <c:v>#N/A</c:v>
                </c:pt>
                <c:pt idx="761">
                  <c:v>1.3220000000000001</c:v>
                </c:pt>
                <c:pt idx="762">
                  <c:v>#N/A</c:v>
                </c:pt>
                <c:pt idx="763">
                  <c:v>#N/A</c:v>
                </c:pt>
                <c:pt idx="764">
                  <c:v>1.391</c:v>
                </c:pt>
                <c:pt idx="765">
                  <c:v>1.4139999999999999</c:v>
                </c:pt>
                <c:pt idx="766">
                  <c:v>1.4370000000000001</c:v>
                </c:pt>
                <c:pt idx="767">
                  <c:v>#N/A</c:v>
                </c:pt>
                <c:pt idx="768">
                  <c:v>#N/A</c:v>
                </c:pt>
                <c:pt idx="769">
                  <c:v>#N/A</c:v>
                </c:pt>
                <c:pt idx="770">
                  <c:v>#N/A</c:v>
                </c:pt>
                <c:pt idx="771">
                  <c:v>1.552</c:v>
                </c:pt>
                <c:pt idx="772">
                  <c:v>#N/A</c:v>
                </c:pt>
                <c:pt idx="773">
                  <c:v>1.5979999999999999</c:v>
                </c:pt>
                <c:pt idx="774">
                  <c:v>1.621</c:v>
                </c:pt>
                <c:pt idx="775">
                  <c:v>1.6440000000000001</c:v>
                </c:pt>
                <c:pt idx="776">
                  <c:v>#N/A</c:v>
                </c:pt>
                <c:pt idx="777">
                  <c:v>1.69</c:v>
                </c:pt>
                <c:pt idx="778">
                  <c:v>1.7130000000000001</c:v>
                </c:pt>
                <c:pt idx="779">
                  <c:v>#N/A</c:v>
                </c:pt>
                <c:pt idx="780">
                  <c:v>1.7589999999999999</c:v>
                </c:pt>
                <c:pt idx="781">
                  <c:v>1</c:v>
                </c:pt>
                <c:pt idx="782">
                  <c:v>1.0229999999999999</c:v>
                </c:pt>
                <c:pt idx="783">
                  <c:v>1.046</c:v>
                </c:pt>
                <c:pt idx="784">
                  <c:v>#N/A</c:v>
                </c:pt>
                <c:pt idx="785">
                  <c:v>#N/A</c:v>
                </c:pt>
                <c:pt idx="786">
                  <c:v>1.115</c:v>
                </c:pt>
                <c:pt idx="787">
                  <c:v>#N/A</c:v>
                </c:pt>
                <c:pt idx="788">
                  <c:v>#N/A</c:v>
                </c:pt>
                <c:pt idx="789">
                  <c:v>#N/A</c:v>
                </c:pt>
                <c:pt idx="790">
                  <c:v>#N/A</c:v>
                </c:pt>
                <c:pt idx="791">
                  <c:v>#N/A</c:v>
                </c:pt>
                <c:pt idx="792">
                  <c:v>1.2530000000000001</c:v>
                </c:pt>
                <c:pt idx="793">
                  <c:v>#N/A</c:v>
                </c:pt>
                <c:pt idx="794">
                  <c:v>1.2989999999999999</c:v>
                </c:pt>
                <c:pt idx="795">
                  <c:v>1.3220000000000001</c:v>
                </c:pt>
                <c:pt idx="796">
                  <c:v>1.345</c:v>
                </c:pt>
                <c:pt idx="797">
                  <c:v>#N/A</c:v>
                </c:pt>
                <c:pt idx="798">
                  <c:v>1.391</c:v>
                </c:pt>
                <c:pt idx="799">
                  <c:v>1.4139999999999999</c:v>
                </c:pt>
                <c:pt idx="800">
                  <c:v>#N/A</c:v>
                </c:pt>
                <c:pt idx="801">
                  <c:v>1.46</c:v>
                </c:pt>
                <c:pt idx="802">
                  <c:v>1.4830000000000001</c:v>
                </c:pt>
                <c:pt idx="803">
                  <c:v>#N/A</c:v>
                </c:pt>
                <c:pt idx="804">
                  <c:v>#N/A</c:v>
                </c:pt>
                <c:pt idx="805">
                  <c:v>#N/A</c:v>
                </c:pt>
                <c:pt idx="806">
                  <c:v>1.575</c:v>
                </c:pt>
                <c:pt idx="807">
                  <c:v>#N/A</c:v>
                </c:pt>
                <c:pt idx="808">
                  <c:v>#N/A</c:v>
                </c:pt>
                <c:pt idx="809">
                  <c:v>#N/A</c:v>
                </c:pt>
                <c:pt idx="810">
                  <c:v>#N/A</c:v>
                </c:pt>
                <c:pt idx="811">
                  <c:v>1.69</c:v>
                </c:pt>
                <c:pt idx="812">
                  <c:v>#N/A</c:v>
                </c:pt>
                <c:pt idx="813">
                  <c:v>#N/A</c:v>
                </c:pt>
                <c:pt idx="814">
                  <c:v>#N/A</c:v>
                </c:pt>
                <c:pt idx="815">
                  <c:v>1</c:v>
                </c:pt>
                <c:pt idx="816">
                  <c:v>#N/A</c:v>
                </c:pt>
                <c:pt idx="817">
                  <c:v>#N/A</c:v>
                </c:pt>
                <c:pt idx="818">
                  <c:v>1.069</c:v>
                </c:pt>
                <c:pt idx="819">
                  <c:v>#N/A</c:v>
                </c:pt>
                <c:pt idx="820">
                  <c:v>1.115</c:v>
                </c:pt>
                <c:pt idx="821">
                  <c:v>#N/A</c:v>
                </c:pt>
                <c:pt idx="822">
                  <c:v>1.161</c:v>
                </c:pt>
                <c:pt idx="823">
                  <c:v>1.1839999999999999</c:v>
                </c:pt>
                <c:pt idx="824">
                  <c:v>#N/A</c:v>
                </c:pt>
                <c:pt idx="825">
                  <c:v>#N/A</c:v>
                </c:pt>
                <c:pt idx="826">
                  <c:v>#N/A</c:v>
                </c:pt>
                <c:pt idx="827">
                  <c:v>1.276</c:v>
                </c:pt>
                <c:pt idx="828">
                  <c:v>1.2989999999999999</c:v>
                </c:pt>
                <c:pt idx="829">
                  <c:v>#N/A</c:v>
                </c:pt>
                <c:pt idx="830">
                  <c:v>#N/A</c:v>
                </c:pt>
                <c:pt idx="831">
                  <c:v>1.3679999999999999</c:v>
                </c:pt>
                <c:pt idx="832">
                  <c:v>#N/A</c:v>
                </c:pt>
                <c:pt idx="833">
                  <c:v>1.4139999999999999</c:v>
                </c:pt>
                <c:pt idx="834">
                  <c:v>1.4370000000000001</c:v>
                </c:pt>
                <c:pt idx="835">
                  <c:v>1.46</c:v>
                </c:pt>
                <c:pt idx="836">
                  <c:v>#N/A</c:v>
                </c:pt>
                <c:pt idx="837">
                  <c:v>#N/A</c:v>
                </c:pt>
                <c:pt idx="838">
                  <c:v>#N/A</c:v>
                </c:pt>
                <c:pt idx="839">
                  <c:v>#N/A</c:v>
                </c:pt>
                <c:pt idx="840">
                  <c:v>#N/A</c:v>
                </c:pt>
                <c:pt idx="841">
                  <c:v>#N/A</c:v>
                </c:pt>
                <c:pt idx="842">
                  <c:v>#N/A</c:v>
                </c:pt>
                <c:pt idx="843">
                  <c:v>1.6440000000000001</c:v>
                </c:pt>
                <c:pt idx="844">
                  <c:v>#N/A</c:v>
                </c:pt>
                <c:pt idx="845">
                  <c:v>#N/A</c:v>
                </c:pt>
                <c:pt idx="846">
                  <c:v>#N/A</c:v>
                </c:pt>
                <c:pt idx="847">
                  <c:v>1.736</c:v>
                </c:pt>
                <c:pt idx="848">
                  <c:v>1.7589999999999999</c:v>
                </c:pt>
                <c:pt idx="849">
                  <c:v>#N/A</c:v>
                </c:pt>
                <c:pt idx="850">
                  <c:v>#N/A</c:v>
                </c:pt>
                <c:pt idx="851">
                  <c:v>#N/A</c:v>
                </c:pt>
                <c:pt idx="852">
                  <c:v>#N/A</c:v>
                </c:pt>
                <c:pt idx="853">
                  <c:v>1.0920000000000001</c:v>
                </c:pt>
                <c:pt idx="854">
                  <c:v>#N/A</c:v>
                </c:pt>
                <c:pt idx="855">
                  <c:v>1.1379999999999999</c:v>
                </c:pt>
                <c:pt idx="856">
                  <c:v>#N/A</c:v>
                </c:pt>
                <c:pt idx="857">
                  <c:v>#N/A</c:v>
                </c:pt>
                <c:pt idx="858">
                  <c:v>1.2070000000000001</c:v>
                </c:pt>
                <c:pt idx="859">
                  <c:v>#N/A</c:v>
                </c:pt>
                <c:pt idx="860">
                  <c:v>#N/A</c:v>
                </c:pt>
                <c:pt idx="861">
                  <c:v>1.276</c:v>
                </c:pt>
                <c:pt idx="862">
                  <c:v>1.2989999999999999</c:v>
                </c:pt>
                <c:pt idx="863">
                  <c:v>1.3220000000000001</c:v>
                </c:pt>
                <c:pt idx="864">
                  <c:v>1.345</c:v>
                </c:pt>
                <c:pt idx="865">
                  <c:v>1.3679999999999999</c:v>
                </c:pt>
                <c:pt idx="866">
                  <c:v>#N/A</c:v>
                </c:pt>
                <c:pt idx="867">
                  <c:v>1.4139999999999999</c:v>
                </c:pt>
                <c:pt idx="868">
                  <c:v>#N/A</c:v>
                </c:pt>
                <c:pt idx="869">
                  <c:v>1.46</c:v>
                </c:pt>
                <c:pt idx="870">
                  <c:v>1.4830000000000001</c:v>
                </c:pt>
                <c:pt idx="871">
                  <c:v>#N/A</c:v>
                </c:pt>
                <c:pt idx="872">
                  <c:v>1.5289999999999999</c:v>
                </c:pt>
                <c:pt idx="873">
                  <c:v>1.552</c:v>
                </c:pt>
                <c:pt idx="874">
                  <c:v>#N/A</c:v>
                </c:pt>
                <c:pt idx="875">
                  <c:v>#N/A</c:v>
                </c:pt>
                <c:pt idx="876">
                  <c:v>#N/A</c:v>
                </c:pt>
                <c:pt idx="877">
                  <c:v>1.6440000000000001</c:v>
                </c:pt>
                <c:pt idx="878">
                  <c:v>1.667</c:v>
                </c:pt>
                <c:pt idx="879">
                  <c:v>#N/A</c:v>
                </c:pt>
                <c:pt idx="880">
                  <c:v>1.7130000000000001</c:v>
                </c:pt>
                <c:pt idx="881">
                  <c:v>1.736</c:v>
                </c:pt>
                <c:pt idx="882">
                  <c:v>1.7589999999999999</c:v>
                </c:pt>
                <c:pt idx="883">
                  <c:v>#N/A</c:v>
                </c:pt>
                <c:pt idx="884">
                  <c:v>#N/A</c:v>
                </c:pt>
                <c:pt idx="885">
                  <c:v>#N/A</c:v>
                </c:pt>
                <c:pt idx="886">
                  <c:v>1.069</c:v>
                </c:pt>
                <c:pt idx="887">
                  <c:v>1.0920000000000001</c:v>
                </c:pt>
                <c:pt idx="888">
                  <c:v>#N/A</c:v>
                </c:pt>
                <c:pt idx="889">
                  <c:v>1.1379999999999999</c:v>
                </c:pt>
                <c:pt idx="890">
                  <c:v>#N/A</c:v>
                </c:pt>
                <c:pt idx="891">
                  <c:v>#N/A</c:v>
                </c:pt>
                <c:pt idx="892">
                  <c:v>#N/A</c:v>
                </c:pt>
                <c:pt idx="893">
                  <c:v>1.23</c:v>
                </c:pt>
                <c:pt idx="894">
                  <c:v>#N/A</c:v>
                </c:pt>
                <c:pt idx="895">
                  <c:v>1.276</c:v>
                </c:pt>
                <c:pt idx="896">
                  <c:v>1.2989999999999999</c:v>
                </c:pt>
                <c:pt idx="897">
                  <c:v>1.3220000000000001</c:v>
                </c:pt>
                <c:pt idx="898">
                  <c:v>1.345</c:v>
                </c:pt>
                <c:pt idx="899">
                  <c:v>#N/A</c:v>
                </c:pt>
                <c:pt idx="900">
                  <c:v>#N/A</c:v>
                </c:pt>
                <c:pt idx="901">
                  <c:v>1.4139999999999999</c:v>
                </c:pt>
                <c:pt idx="902">
                  <c:v>#N/A</c:v>
                </c:pt>
                <c:pt idx="903">
                  <c:v>#N/A</c:v>
                </c:pt>
                <c:pt idx="904">
                  <c:v>1.4830000000000001</c:v>
                </c:pt>
                <c:pt idx="905">
                  <c:v>#N/A</c:v>
                </c:pt>
                <c:pt idx="906">
                  <c:v>1.5289999999999999</c:v>
                </c:pt>
                <c:pt idx="907">
                  <c:v>1.552</c:v>
                </c:pt>
                <c:pt idx="908">
                  <c:v>#N/A</c:v>
                </c:pt>
                <c:pt idx="909">
                  <c:v>#N/A</c:v>
                </c:pt>
                <c:pt idx="910">
                  <c:v>#N/A</c:v>
                </c:pt>
                <c:pt idx="911">
                  <c:v>#N/A</c:v>
                </c:pt>
                <c:pt idx="912">
                  <c:v>#N/A</c:v>
                </c:pt>
                <c:pt idx="913">
                  <c:v>1.69</c:v>
                </c:pt>
                <c:pt idx="914">
                  <c:v>1.7130000000000001</c:v>
                </c:pt>
                <c:pt idx="915">
                  <c:v>#N/A</c:v>
                </c:pt>
                <c:pt idx="916">
                  <c:v>#N/A</c:v>
                </c:pt>
                <c:pt idx="917">
                  <c:v>#N/A</c:v>
                </c:pt>
                <c:pt idx="918">
                  <c:v>#N/A</c:v>
                </c:pt>
                <c:pt idx="919">
                  <c:v>#N/A</c:v>
                </c:pt>
                <c:pt idx="920">
                  <c:v>1.069</c:v>
                </c:pt>
                <c:pt idx="921">
                  <c:v>1.0920000000000001</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2020</c:v>
                </c:pt>
                <c:pt idx="598">
                  <c:v>#N/A</c:v>
                </c:pt>
                <c:pt idx="599">
                  <c:v>#N/A</c:v>
                </c:pt>
                <c:pt idx="600">
                  <c:v>#N/A</c:v>
                </c:pt>
                <c:pt idx="601">
                  <c:v>#N/A</c:v>
                </c:pt>
                <c:pt idx="602">
                  <c:v>2026</c:v>
                </c:pt>
                <c:pt idx="603">
                  <c:v>#N/A</c:v>
                </c:pt>
                <c:pt idx="604">
                  <c:v>#N/A</c:v>
                </c:pt>
                <c:pt idx="605">
                  <c:v>#N/A</c:v>
                </c:pt>
                <c:pt idx="606">
                  <c:v>#N/A</c:v>
                </c:pt>
                <c:pt idx="607">
                  <c:v>#N/A</c:v>
                </c:pt>
                <c:pt idx="608">
                  <c:v>#N/A</c:v>
                </c:pt>
                <c:pt idx="609">
                  <c:v>2024</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2015</c:v>
                </c:pt>
                <c:pt idx="623">
                  <c:v>#N/A</c:v>
                </c:pt>
                <c:pt idx="624">
                  <c:v>#N/A</c:v>
                </c:pt>
                <c:pt idx="625">
                  <c:v>#N/A</c:v>
                </c:pt>
                <c:pt idx="626">
                  <c:v>#N/A</c:v>
                </c:pt>
                <c:pt idx="627">
                  <c:v>#N/A</c:v>
                </c:pt>
                <c:pt idx="628">
                  <c:v>#N/A</c:v>
                </c:pt>
                <c:pt idx="629">
                  <c:v>#N/A</c:v>
                </c:pt>
                <c:pt idx="630">
                  <c:v>#N/A</c:v>
                </c:pt>
                <c:pt idx="631">
                  <c:v>#N/A</c:v>
                </c:pt>
                <c:pt idx="632">
                  <c:v>#N/A</c:v>
                </c:pt>
                <c:pt idx="633">
                  <c:v>#N/A</c:v>
                </c:pt>
                <c:pt idx="634">
                  <c:v>2020</c:v>
                </c:pt>
                <c:pt idx="635">
                  <c:v>#N/A</c:v>
                </c:pt>
                <c:pt idx="636">
                  <c:v>#N/A</c:v>
                </c:pt>
                <c:pt idx="637">
                  <c:v>#N/A</c:v>
                </c:pt>
                <c:pt idx="638">
                  <c:v>#N/A</c:v>
                </c:pt>
                <c:pt idx="639">
                  <c:v>#N/A</c:v>
                </c:pt>
                <c:pt idx="640">
                  <c:v>2014</c:v>
                </c:pt>
                <c:pt idx="641">
                  <c:v>#N/A</c:v>
                </c:pt>
                <c:pt idx="642">
                  <c:v>#N/A</c:v>
                </c:pt>
                <c:pt idx="643">
                  <c:v>#N/A</c:v>
                </c:pt>
                <c:pt idx="644">
                  <c:v>#N/A</c:v>
                </c:pt>
                <c:pt idx="645">
                  <c:v>2024</c:v>
                </c:pt>
                <c:pt idx="646">
                  <c:v>#N/A</c:v>
                </c:pt>
                <c:pt idx="647">
                  <c:v>#N/A</c:v>
                </c:pt>
                <c:pt idx="648">
                  <c:v>#N/A</c:v>
                </c:pt>
                <c:pt idx="649">
                  <c:v>#N/A</c:v>
                </c:pt>
                <c:pt idx="650">
                  <c:v>#N/A</c:v>
                </c:pt>
                <c:pt idx="651">
                  <c:v>#N/A</c:v>
                </c:pt>
                <c:pt idx="652">
                  <c:v>#N/A</c:v>
                </c:pt>
                <c:pt idx="653">
                  <c:v>2021</c:v>
                </c:pt>
                <c:pt idx="654">
                  <c:v>2022</c:v>
                </c:pt>
                <c:pt idx="655">
                  <c:v>#N/A</c:v>
                </c:pt>
                <c:pt idx="656">
                  <c:v>2016</c:v>
                </c:pt>
                <c:pt idx="657">
                  <c:v>#N/A</c:v>
                </c:pt>
                <c:pt idx="658">
                  <c:v>#N/A</c:v>
                </c:pt>
                <c:pt idx="659">
                  <c:v>#N/A</c:v>
                </c:pt>
                <c:pt idx="660">
                  <c:v>#N/A</c:v>
                </c:pt>
                <c:pt idx="661">
                  <c:v>#N/A</c:v>
                </c:pt>
                <c:pt idx="662">
                  <c:v>2022</c:v>
                </c:pt>
                <c:pt idx="663">
                  <c:v>2021</c:v>
                </c:pt>
                <c:pt idx="664">
                  <c:v>2024</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2025</c:v>
                </c:pt>
                <c:pt idx="682">
                  <c:v>#N/A</c:v>
                </c:pt>
                <c:pt idx="683">
                  <c:v>#N/A</c:v>
                </c:pt>
                <c:pt idx="684">
                  <c:v>#N/A</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2022</c:v>
                </c:pt>
                <c:pt idx="703">
                  <c:v>#N/A</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2018</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2024</c:v>
                </c:pt>
                <c:pt idx="734">
                  <c:v>#N/A</c:v>
                </c:pt>
                <c:pt idx="735">
                  <c:v>#N/A</c:v>
                </c:pt>
                <c:pt idx="736">
                  <c:v>2023</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2020</c:v>
                </c:pt>
                <c:pt idx="751">
                  <c:v>#N/A</c:v>
                </c:pt>
                <c:pt idx="752">
                  <c:v>#N/A</c:v>
                </c:pt>
                <c:pt idx="753">
                  <c:v>#N/A</c:v>
                </c:pt>
                <c:pt idx="754">
                  <c:v>#N/A</c:v>
                </c:pt>
                <c:pt idx="755">
                  <c:v>#N/A</c:v>
                </c:pt>
                <c:pt idx="756">
                  <c:v>#N/A</c:v>
                </c:pt>
                <c:pt idx="757">
                  <c:v>#N/A</c:v>
                </c:pt>
                <c:pt idx="758">
                  <c:v>#N/A</c:v>
                </c:pt>
                <c:pt idx="759">
                  <c:v>2023</c:v>
                </c:pt>
                <c:pt idx="760">
                  <c:v>#N/A</c:v>
                </c:pt>
                <c:pt idx="761">
                  <c:v>2002</c:v>
                </c:pt>
                <c:pt idx="762">
                  <c:v>2025</c:v>
                </c:pt>
                <c:pt idx="763">
                  <c:v>#N/A</c:v>
                </c:pt>
                <c:pt idx="764">
                  <c:v>#N/A</c:v>
                </c:pt>
                <c:pt idx="765">
                  <c:v>#N/A</c:v>
                </c:pt>
                <c:pt idx="766">
                  <c:v>2015</c:v>
                </c:pt>
                <c:pt idx="767">
                  <c:v>2021</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2026</c:v>
                </c:pt>
                <c:pt idx="784">
                  <c:v>#N/A</c:v>
                </c:pt>
                <c:pt idx="785">
                  <c:v>#N/A</c:v>
                </c:pt>
                <c:pt idx="786">
                  <c:v>#N/A</c:v>
                </c:pt>
                <c:pt idx="787">
                  <c:v>#N/A</c:v>
                </c:pt>
                <c:pt idx="788">
                  <c:v>#N/A</c:v>
                </c:pt>
                <c:pt idx="789">
                  <c:v>2026</c:v>
                </c:pt>
                <c:pt idx="790">
                  <c:v>#N/A</c:v>
                </c:pt>
                <c:pt idx="791">
                  <c:v>#N/A</c:v>
                </c:pt>
                <c:pt idx="792">
                  <c:v>2019</c:v>
                </c:pt>
                <c:pt idx="793">
                  <c:v>#N/A</c:v>
                </c:pt>
                <c:pt idx="794">
                  <c:v>#N/A</c:v>
                </c:pt>
                <c:pt idx="795">
                  <c:v>#N/A</c:v>
                </c:pt>
                <c:pt idx="796">
                  <c:v>2022</c:v>
                </c:pt>
                <c:pt idx="797">
                  <c:v>#N/A</c:v>
                </c:pt>
                <c:pt idx="798">
                  <c:v>#N/A</c:v>
                </c:pt>
                <c:pt idx="799">
                  <c:v>2025</c:v>
                </c:pt>
                <c:pt idx="800">
                  <c:v>#N/A</c:v>
                </c:pt>
                <c:pt idx="801">
                  <c:v>#N/A</c:v>
                </c:pt>
                <c:pt idx="802">
                  <c:v>#N/A</c:v>
                </c:pt>
                <c:pt idx="803">
                  <c:v>#N/A</c:v>
                </c:pt>
                <c:pt idx="804">
                  <c:v>#N/A</c:v>
                </c:pt>
                <c:pt idx="805">
                  <c:v>#N/A</c:v>
                </c:pt>
                <c:pt idx="806">
                  <c:v>#N/A</c:v>
                </c:pt>
                <c:pt idx="807">
                  <c:v>#N/A</c:v>
                </c:pt>
                <c:pt idx="808">
                  <c:v>2025</c:v>
                </c:pt>
                <c:pt idx="809">
                  <c:v>2024</c:v>
                </c:pt>
                <c:pt idx="810">
                  <c:v>#N/A</c:v>
                </c:pt>
                <c:pt idx="811">
                  <c:v>2021</c:v>
                </c:pt>
                <c:pt idx="812">
                  <c:v>2019</c:v>
                </c:pt>
                <c:pt idx="813">
                  <c:v>#N/A</c:v>
                </c:pt>
                <c:pt idx="814">
                  <c:v>#N/A</c:v>
                </c:pt>
                <c:pt idx="815">
                  <c:v>#N/A</c:v>
                </c:pt>
                <c:pt idx="816">
                  <c:v>2023</c:v>
                </c:pt>
                <c:pt idx="817">
                  <c:v>#N/A</c:v>
                </c:pt>
                <c:pt idx="818">
                  <c:v>#N/A</c:v>
                </c:pt>
                <c:pt idx="819">
                  <c:v>#N/A</c:v>
                </c:pt>
                <c:pt idx="820">
                  <c:v>#N/A</c:v>
                </c:pt>
                <c:pt idx="821">
                  <c:v>#N/A</c:v>
                </c:pt>
                <c:pt idx="822">
                  <c:v>#N/A</c:v>
                </c:pt>
                <c:pt idx="823">
                  <c:v>#N/A</c:v>
                </c:pt>
                <c:pt idx="824">
                  <c:v>2025</c:v>
                </c:pt>
                <c:pt idx="825">
                  <c:v>#N/A</c:v>
                </c:pt>
                <c:pt idx="826">
                  <c:v>#N/A</c:v>
                </c:pt>
                <c:pt idx="827">
                  <c:v>#N/A</c:v>
                </c:pt>
                <c:pt idx="828">
                  <c:v>#N/A</c:v>
                </c:pt>
                <c:pt idx="829">
                  <c:v>#N/A</c:v>
                </c:pt>
                <c:pt idx="830">
                  <c:v>#N/A</c:v>
                </c:pt>
                <c:pt idx="831">
                  <c:v>2022</c:v>
                </c:pt>
                <c:pt idx="832">
                  <c:v>#N/A</c:v>
                </c:pt>
                <c:pt idx="833">
                  <c:v>#N/A</c:v>
                </c:pt>
                <c:pt idx="834">
                  <c:v>#N/A</c:v>
                </c:pt>
                <c:pt idx="835">
                  <c:v>#N/A</c:v>
                </c:pt>
                <c:pt idx="836">
                  <c:v>#N/A</c:v>
                </c:pt>
                <c:pt idx="837">
                  <c:v>#N/A</c:v>
                </c:pt>
                <c:pt idx="838">
                  <c:v>#N/A</c:v>
                </c:pt>
                <c:pt idx="839">
                  <c:v>#N/A</c:v>
                </c:pt>
                <c:pt idx="840">
                  <c:v>#N/A</c:v>
                </c:pt>
                <c:pt idx="841">
                  <c:v>#N/A</c:v>
                </c:pt>
                <c:pt idx="842">
                  <c:v>#N/A</c:v>
                </c:pt>
                <c:pt idx="843">
                  <c:v>2025</c:v>
                </c:pt>
                <c:pt idx="844">
                  <c:v>#N/A</c:v>
                </c:pt>
                <c:pt idx="845">
                  <c:v>2024</c:v>
                </c:pt>
                <c:pt idx="846">
                  <c:v>#N/A</c:v>
                </c:pt>
                <c:pt idx="847">
                  <c:v>#N/A</c:v>
                </c:pt>
                <c:pt idx="848">
                  <c:v>#N/A</c:v>
                </c:pt>
                <c:pt idx="849">
                  <c:v>#N/A</c:v>
                </c:pt>
                <c:pt idx="850">
                  <c:v>2024</c:v>
                </c:pt>
                <c:pt idx="851">
                  <c:v>#N/A</c:v>
                </c:pt>
                <c:pt idx="852">
                  <c:v>#N/A</c:v>
                </c:pt>
                <c:pt idx="853">
                  <c:v>#N/A</c:v>
                </c:pt>
                <c:pt idx="854">
                  <c:v>#N/A</c:v>
                </c:pt>
                <c:pt idx="855">
                  <c:v>#N/A</c:v>
                </c:pt>
                <c:pt idx="856">
                  <c:v>#N/A</c:v>
                </c:pt>
                <c:pt idx="857">
                  <c:v>#N/A</c:v>
                </c:pt>
                <c:pt idx="858">
                  <c:v>#N/A</c:v>
                </c:pt>
                <c:pt idx="859">
                  <c:v>2021</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2024</c:v>
                </c:pt>
                <c:pt idx="879">
                  <c:v>#N/A</c:v>
                </c:pt>
                <c:pt idx="880">
                  <c:v>#N/A</c:v>
                </c:pt>
                <c:pt idx="881">
                  <c:v>#N/A</c:v>
                </c:pt>
                <c:pt idx="882">
                  <c:v>#N/A</c:v>
                </c:pt>
                <c:pt idx="883">
                  <c:v>2023</c:v>
                </c:pt>
                <c:pt idx="884">
                  <c:v>2025</c:v>
                </c:pt>
                <c:pt idx="885">
                  <c:v>#N/A</c:v>
                </c:pt>
                <c:pt idx="886">
                  <c:v>#N/A</c:v>
                </c:pt>
                <c:pt idx="887">
                  <c:v>#N/A</c:v>
                </c:pt>
                <c:pt idx="888">
                  <c:v>#N/A</c:v>
                </c:pt>
                <c:pt idx="889">
                  <c:v>2017</c:v>
                </c:pt>
                <c:pt idx="890">
                  <c:v>#N/A</c:v>
                </c:pt>
                <c:pt idx="891">
                  <c:v>2012</c:v>
                </c:pt>
                <c:pt idx="892">
                  <c:v>#N/A</c:v>
                </c:pt>
                <c:pt idx="893">
                  <c:v>2005</c:v>
                </c:pt>
                <c:pt idx="894">
                  <c:v>#N/A</c:v>
                </c:pt>
                <c:pt idx="895">
                  <c:v>#N/A</c:v>
                </c:pt>
                <c:pt idx="896">
                  <c:v>#N/A</c:v>
                </c:pt>
                <c:pt idx="897">
                  <c:v>#N/A</c:v>
                </c:pt>
                <c:pt idx="898">
                  <c:v>2019</c:v>
                </c:pt>
                <c:pt idx="899">
                  <c:v>#N/A</c:v>
                </c:pt>
                <c:pt idx="900">
                  <c:v>#N/A</c:v>
                </c:pt>
                <c:pt idx="901">
                  <c:v>#N/A</c:v>
                </c:pt>
                <c:pt idx="902">
                  <c:v>2026</c:v>
                </c:pt>
                <c:pt idx="903">
                  <c:v>#N/A</c:v>
                </c:pt>
                <c:pt idx="904">
                  <c:v>#N/A</c:v>
                </c:pt>
                <c:pt idx="905">
                  <c:v>#N/A</c:v>
                </c:pt>
                <c:pt idx="906">
                  <c:v>#N/A</c:v>
                </c:pt>
                <c:pt idx="907">
                  <c:v>2021</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2.5979999999999999</c:v>
                </c:pt>
                <c:pt idx="604">
                  <c:v>#N/A</c:v>
                </c:pt>
                <c:pt idx="605">
                  <c:v>#N/A</c:v>
                </c:pt>
                <c:pt idx="606">
                  <c:v>#N/A</c:v>
                </c:pt>
                <c:pt idx="607">
                  <c:v>#N/A</c:v>
                </c:pt>
                <c:pt idx="608">
                  <c:v>#N/A</c:v>
                </c:pt>
                <c:pt idx="609">
                  <c:v>#N/A</c:v>
                </c:pt>
                <c:pt idx="610">
                  <c:v>2.7589999999999999</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#N/A</c:v>
                </c:pt>
                <c:pt idx="629">
                  <c:v>#N/A</c:v>
                </c:pt>
                <c:pt idx="630">
                  <c:v>#N/A</c:v>
                </c:pt>
                <c:pt idx="631">
                  <c:v>#N/A</c:v>
                </c:pt>
                <c:pt idx="632">
                  <c:v>#N/A</c:v>
                </c:pt>
                <c:pt idx="633">
                  <c:v>#N/A</c:v>
                </c:pt>
                <c:pt idx="634">
                  <c:v>#N/A</c:v>
                </c:pt>
                <c:pt idx="635">
                  <c:v>2.552</c:v>
                </c:pt>
                <c:pt idx="636">
                  <c:v>#N/A</c:v>
                </c:pt>
                <c:pt idx="637">
                  <c:v>#N/A</c:v>
                </c:pt>
                <c:pt idx="638">
                  <c:v>#N/A</c:v>
                </c:pt>
                <c:pt idx="639">
                  <c:v>#N/A</c:v>
                </c:pt>
                <c:pt idx="640">
                  <c:v>#N/A</c:v>
                </c:pt>
                <c:pt idx="641">
                  <c:v>2.69</c:v>
                </c:pt>
                <c:pt idx="642">
                  <c:v>#N/A</c:v>
                </c:pt>
                <c:pt idx="643">
                  <c:v>#N/A</c:v>
                </c:pt>
                <c:pt idx="644">
                  <c:v>#N/A</c:v>
                </c:pt>
                <c:pt idx="645">
                  <c:v>#N/A</c:v>
                </c:pt>
                <c:pt idx="646">
                  <c:v>2.0230000000000001</c:v>
                </c:pt>
                <c:pt idx="647">
                  <c:v>#N/A</c:v>
                </c:pt>
                <c:pt idx="648">
                  <c:v>#N/A</c:v>
                </c:pt>
                <c:pt idx="649">
                  <c:v>#N/A</c:v>
                </c:pt>
                <c:pt idx="650">
                  <c:v>#N/A</c:v>
                </c:pt>
                <c:pt idx="651">
                  <c:v>#N/A</c:v>
                </c:pt>
                <c:pt idx="652">
                  <c:v>#N/A</c:v>
                </c:pt>
                <c:pt idx="653">
                  <c:v>#N/A</c:v>
                </c:pt>
                <c:pt idx="654">
                  <c:v>2.2069999999999999</c:v>
                </c:pt>
                <c:pt idx="655">
                  <c:v>2.23</c:v>
                </c:pt>
                <c:pt idx="656">
                  <c:v>#N/A</c:v>
                </c:pt>
                <c:pt idx="657">
                  <c:v>2.2759999999999998</c:v>
                </c:pt>
                <c:pt idx="658">
                  <c:v>#N/A</c:v>
                </c:pt>
                <c:pt idx="659">
                  <c:v>#N/A</c:v>
                </c:pt>
                <c:pt idx="660">
                  <c:v>#N/A</c:v>
                </c:pt>
                <c:pt idx="661">
                  <c:v>#N/A</c:v>
                </c:pt>
                <c:pt idx="662">
                  <c:v>#N/A</c:v>
                </c:pt>
                <c:pt idx="663">
                  <c:v>2.4140000000000001</c:v>
                </c:pt>
                <c:pt idx="664">
                  <c:v>2.4369999999999998</c:v>
                </c:pt>
                <c:pt idx="665">
                  <c:v>2.46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2.1840000000000002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#N/A</c:v>
                </c:pt>
                <c:pt idx="709">
                  <c:v>#N/A</c:v>
                </c:pt>
                <c:pt idx="710">
                  <c:v>#N/A</c:v>
                </c:pt>
                <c:pt idx="711">
                  <c:v>#N/A</c:v>
                </c:pt>
                <c:pt idx="712">
                  <c:v>#N/A</c:v>
                </c:pt>
                <c:pt idx="713">
                  <c:v>#N/A</c:v>
                </c:pt>
                <c:pt idx="714">
                  <c:v>#N/A</c:v>
                </c:pt>
                <c:pt idx="715">
                  <c:v>#N/A</c:v>
                </c:pt>
                <c:pt idx="716">
                  <c:v>#N/A</c:v>
                </c:pt>
                <c:pt idx="717">
                  <c:v>2.0920000000000001</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2.3679999999999999</c:v>
                </c:pt>
                <c:pt idx="764">
                  <c:v>#N/A</c:v>
                </c:pt>
                <c:pt idx="765">
                  <c:v>#N/A</c:v>
                </c:pt>
                <c:pt idx="766">
                  <c:v>#N/A</c:v>
                </c:pt>
                <c:pt idx="767">
                  <c:v>2.46</c:v>
                </c:pt>
                <c:pt idx="768">
                  <c:v>2.4830000000000001</c:v>
                </c:pt>
                <c:pt idx="769">
                  <c:v>#N/A</c:v>
                </c:pt>
                <c:pt idx="770">
                  <c:v>2.5289999999999999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2.2069999999999999</c:v>
                </c:pt>
                <c:pt idx="791">
                  <c:v>#N/A</c:v>
                </c:pt>
                <c:pt idx="792">
                  <c:v>#N/A</c:v>
                </c:pt>
                <c:pt idx="793">
                  <c:v>2.2759999999999998</c:v>
                </c:pt>
                <c:pt idx="794">
                  <c:v>#N/A</c:v>
                </c:pt>
                <c:pt idx="795">
                  <c:v>#N/A</c:v>
                </c:pt>
                <c:pt idx="796">
                  <c:v>#N/A</c:v>
                </c:pt>
                <c:pt idx="797">
                  <c:v>2.3679999999999999</c:v>
                </c:pt>
                <c:pt idx="798">
                  <c:v>#N/A</c:v>
                </c:pt>
                <c:pt idx="799">
                  <c:v>#N/A</c:v>
                </c:pt>
                <c:pt idx="800">
                  <c:v>2.4369999999999998</c:v>
                </c:pt>
                <c:pt idx="801">
                  <c:v>#N/A</c:v>
                </c:pt>
                <c:pt idx="802">
                  <c:v>#N/A</c:v>
                </c:pt>
                <c:pt idx="803">
                  <c:v>#N/A</c:v>
                </c:pt>
                <c:pt idx="804">
                  <c:v>#N/A</c:v>
                </c:pt>
                <c:pt idx="805">
                  <c:v>#N/A</c:v>
                </c:pt>
                <c:pt idx="806">
                  <c:v>#N/A</c:v>
                </c:pt>
                <c:pt idx="807">
                  <c:v>#N/A</c:v>
                </c:pt>
                <c:pt idx="808">
                  <c:v>#N/A</c:v>
                </c:pt>
                <c:pt idx="809">
                  <c:v>2.6440000000000001</c:v>
                </c:pt>
                <c:pt idx="810">
                  <c:v>2.6669999999999998</c:v>
                </c:pt>
                <c:pt idx="811">
                  <c:v>#N/A</c:v>
                </c:pt>
                <c:pt idx="812">
                  <c:v>2.7130000000000001</c:v>
                </c:pt>
                <c:pt idx="813">
                  <c:v>2.7359999999999998</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2.391</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2.7130000000000001</c:v>
                </c:pt>
                <c:pt idx="847">
                  <c:v>#N/A</c:v>
                </c:pt>
                <c:pt idx="848">
                  <c:v>#N/A</c:v>
                </c:pt>
                <c:pt idx="849">
                  <c:v>#N/A</c:v>
                </c:pt>
                <c:pt idx="850">
                  <c:v>#N/A</c:v>
                </c:pt>
                <c:pt idx="851">
                  <c:v>2.0459999999999998</c:v>
                </c:pt>
                <c:pt idx="852">
                  <c:v>#N/A</c:v>
                </c:pt>
                <c:pt idx="853">
                  <c:v>#N/A</c:v>
                </c:pt>
                <c:pt idx="854">
                  <c:v>#N/A</c:v>
                </c:pt>
                <c:pt idx="855">
                  <c:v>#N/A</c:v>
                </c:pt>
                <c:pt idx="856">
                  <c:v>#N/A</c:v>
                </c:pt>
                <c:pt idx="857">
                  <c:v>#N/A</c:v>
                </c:pt>
                <c:pt idx="858">
                  <c:v>#N/A</c:v>
                </c:pt>
                <c:pt idx="859">
                  <c:v>#N/A</c:v>
                </c:pt>
                <c:pt idx="860">
                  <c:v>2.2530000000000001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2.69</c:v>
                </c:pt>
                <c:pt idx="880">
                  <c:v>#N/A</c:v>
                </c:pt>
                <c:pt idx="881">
                  <c:v>#N/A</c:v>
                </c:pt>
                <c:pt idx="882">
                  <c:v>#N/A</c:v>
                </c:pt>
                <c:pt idx="883">
                  <c:v>#N/A</c:v>
                </c:pt>
                <c:pt idx="884">
                  <c:v>2.0230000000000001</c:v>
                </c:pt>
                <c:pt idx="885">
                  <c:v>2.0459999999999998</c:v>
                </c:pt>
                <c:pt idx="886">
                  <c:v>#N/A</c:v>
                </c:pt>
                <c:pt idx="887">
                  <c:v>#N/A</c:v>
                </c:pt>
                <c:pt idx="888">
                  <c:v>#N/A</c:v>
                </c:pt>
                <c:pt idx="889">
                  <c:v>#N/A</c:v>
                </c:pt>
                <c:pt idx="890">
                  <c:v>2.161</c:v>
                </c:pt>
                <c:pt idx="891">
                  <c:v>#N/A</c:v>
                </c:pt>
                <c:pt idx="892">
                  <c:v>2.2069999999999999</c:v>
                </c:pt>
                <c:pt idx="893">
                  <c:v>#N/A</c:v>
                </c:pt>
                <c:pt idx="894">
                  <c:v>2.2530000000000001</c:v>
                </c:pt>
                <c:pt idx="895">
                  <c:v>#N/A</c:v>
                </c:pt>
                <c:pt idx="896">
                  <c:v>#N/A</c:v>
                </c:pt>
                <c:pt idx="897">
                  <c:v>#N/A</c:v>
                </c:pt>
                <c:pt idx="898">
                  <c:v>#N/A</c:v>
                </c:pt>
                <c:pt idx="899">
                  <c:v>2.3679999999999999</c:v>
                </c:pt>
                <c:pt idx="900">
                  <c:v>#N/A</c:v>
                </c:pt>
                <c:pt idx="901">
                  <c:v>#N/A</c:v>
                </c:pt>
                <c:pt idx="902">
                  <c:v>#N/A</c:v>
                </c:pt>
                <c:pt idx="903">
                  <c:v>2.46</c:v>
                </c:pt>
                <c:pt idx="904">
                  <c:v>#N/A</c:v>
                </c:pt>
                <c:pt idx="905">
                  <c:v>#N/A</c:v>
                </c:pt>
                <c:pt idx="906">
                  <c:v>#N/A</c:v>
                </c:pt>
                <c:pt idx="907">
                  <c:v>#N/A</c:v>
                </c:pt>
                <c:pt idx="908">
                  <c:v>2.5750000000000002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2026</c:v>
                </c:pt>
                <c:pt idx="600">
                  <c:v>#N/A</c:v>
                </c:pt>
                <c:pt idx="601">
                  <c:v>#N/A</c:v>
                </c:pt>
                <c:pt idx="602">
                  <c:v>#N/A</c:v>
                </c:pt>
                <c:pt idx="603">
                  <c:v>#N/A</c:v>
                </c:pt>
                <c:pt idx="604">
                  <c:v>2024</c:v>
                </c:pt>
                <c:pt idx="605">
                  <c:v>#N/A</c:v>
                </c:pt>
                <c:pt idx="606">
                  <c:v>#N/A</c:v>
                </c:pt>
                <c:pt idx="607">
                  <c:v>#N/A</c:v>
                </c:pt>
                <c:pt idx="608">
                  <c:v>2026</c:v>
                </c:pt>
                <c:pt idx="609">
                  <c:v>#N/A</c:v>
                </c:pt>
                <c:pt idx="610">
                  <c:v>#N/A</c:v>
                </c:pt>
                <c:pt idx="611">
                  <c:v>#N/A</c:v>
                </c:pt>
                <c:pt idx="612">
                  <c:v>#N/A</c:v>
                </c:pt>
                <c:pt idx="613">
                  <c:v>#N/A</c:v>
                </c:pt>
                <c:pt idx="614">
                  <c:v>#N/A</c:v>
                </c:pt>
                <c:pt idx="615">
                  <c:v>2019</c:v>
                </c:pt>
                <c:pt idx="616">
                  <c:v>#N/A</c:v>
                </c:pt>
                <c:pt idx="617">
                  <c:v>#N/A</c:v>
                </c:pt>
                <c:pt idx="618">
                  <c:v>#N/A</c:v>
                </c:pt>
                <c:pt idx="619">
                  <c:v>#N/A</c:v>
                </c:pt>
                <c:pt idx="620">
                  <c:v>#N/A</c:v>
                </c:pt>
                <c:pt idx="621">
                  <c:v>#N/A</c:v>
                </c:pt>
                <c:pt idx="622">
                  <c:v>#N/A</c:v>
                </c:pt>
                <c:pt idx="623">
                  <c:v>#N/A</c:v>
                </c:pt>
                <c:pt idx="624">
                  <c:v>2025</c:v>
                </c:pt>
                <c:pt idx="625">
                  <c:v>#N/A</c:v>
                </c:pt>
                <c:pt idx="626">
                  <c:v>#N/A</c:v>
                </c:pt>
                <c:pt idx="627">
                  <c:v>#N/A</c:v>
                </c:pt>
                <c:pt idx="628">
                  <c:v>#N/A</c:v>
                </c:pt>
                <c:pt idx="629">
                  <c:v>#N/A</c:v>
                </c:pt>
                <c:pt idx="630">
                  <c:v>#N/A</c:v>
                </c:pt>
                <c:pt idx="631">
                  <c:v>#N/A</c:v>
                </c:pt>
                <c:pt idx="632">
                  <c:v>#N/A</c:v>
                </c:pt>
                <c:pt idx="633">
                  <c:v>2022</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2024</c:v>
                </c:pt>
                <c:pt idx="656">
                  <c:v>#N/A</c:v>
                </c:pt>
                <c:pt idx="657">
                  <c:v>#N/A</c:v>
                </c:pt>
                <c:pt idx="658">
                  <c:v>2021</c:v>
                </c:pt>
                <c:pt idx="659">
                  <c:v>#N/A</c:v>
                </c:pt>
                <c:pt idx="660">
                  <c:v>2026</c:v>
                </c:pt>
                <c:pt idx="661">
                  <c:v>#N/A</c:v>
                </c:pt>
                <c:pt idx="662">
                  <c:v>#N/A</c:v>
                </c:pt>
                <c:pt idx="663">
                  <c:v>#N/A</c:v>
                </c:pt>
                <c:pt idx="664">
                  <c:v>#N/A</c:v>
                </c:pt>
                <c:pt idx="665">
                  <c:v>2026</c:v>
                </c:pt>
                <c:pt idx="666">
                  <c:v>2025</c:v>
                </c:pt>
                <c:pt idx="667">
                  <c:v>#N/A</c:v>
                </c:pt>
                <c:pt idx="668">
                  <c:v>2026</c:v>
                </c:pt>
                <c:pt idx="669">
                  <c:v>2025</c:v>
                </c:pt>
                <c:pt idx="670">
                  <c:v>2026</c:v>
                </c:pt>
                <c:pt idx="671">
                  <c:v>2023</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2024</c:v>
                </c:pt>
                <c:pt idx="711">
                  <c:v>#N/A</c:v>
                </c:pt>
                <c:pt idx="712">
                  <c:v>#N/A</c:v>
                </c:pt>
                <c:pt idx="713">
                  <c:v>2017</c:v>
                </c:pt>
                <c:pt idx="714">
                  <c:v>2026</c:v>
                </c:pt>
                <c:pt idx="715">
                  <c:v>#N/A</c:v>
                </c:pt>
                <c:pt idx="716">
                  <c:v>#N/A</c:v>
                </c:pt>
                <c:pt idx="717">
                  <c:v>#N/A</c:v>
                </c:pt>
                <c:pt idx="718">
                  <c:v>#N/A</c:v>
                </c:pt>
                <c:pt idx="719">
                  <c:v>2025</c:v>
                </c:pt>
                <c:pt idx="720">
                  <c:v>2026</c:v>
                </c:pt>
                <c:pt idx="721">
                  <c:v>2025</c:v>
                </c:pt>
                <c:pt idx="722">
                  <c:v>#N/A</c:v>
                </c:pt>
                <c:pt idx="723">
                  <c:v>#N/A</c:v>
                </c:pt>
                <c:pt idx="724">
                  <c:v>#N/A</c:v>
                </c:pt>
                <c:pt idx="725">
                  <c:v>2016</c:v>
                </c:pt>
                <c:pt idx="726">
                  <c:v>#N/A</c:v>
                </c:pt>
                <c:pt idx="727">
                  <c:v>#N/A</c:v>
                </c:pt>
                <c:pt idx="728">
                  <c:v>#N/A</c:v>
                </c:pt>
                <c:pt idx="729">
                  <c:v>#N/A</c:v>
                </c:pt>
                <c:pt idx="730">
                  <c:v>#N/A</c:v>
                </c:pt>
                <c:pt idx="731">
                  <c:v>#N/A</c:v>
                </c:pt>
                <c:pt idx="732">
                  <c:v>#N/A</c:v>
                </c:pt>
                <c:pt idx="733">
                  <c:v>#N/A</c:v>
                </c:pt>
                <c:pt idx="734">
                  <c:v>#N/A</c:v>
                </c:pt>
                <c:pt idx="735">
                  <c:v>#N/A</c:v>
                </c:pt>
                <c:pt idx="736">
                  <c:v>#N/A</c:v>
                </c:pt>
                <c:pt idx="737">
                  <c:v>2024</c:v>
                </c:pt>
                <c:pt idx="738">
                  <c:v>#N/A</c:v>
                </c:pt>
                <c:pt idx="739">
                  <c:v>#N/A</c:v>
                </c:pt>
                <c:pt idx="740">
                  <c:v>#N/A</c:v>
                </c:pt>
                <c:pt idx="741">
                  <c:v>2024</c:v>
                </c:pt>
                <c:pt idx="742">
                  <c:v>2026</c:v>
                </c:pt>
                <c:pt idx="743">
                  <c:v>#N/A</c:v>
                </c:pt>
                <c:pt idx="744">
                  <c:v>#N/A</c:v>
                </c:pt>
                <c:pt idx="745">
                  <c:v>#N/A</c:v>
                </c:pt>
                <c:pt idx="746">
                  <c:v>#N/A</c:v>
                </c:pt>
                <c:pt idx="747">
                  <c:v>#N/A</c:v>
                </c:pt>
                <c:pt idx="748">
                  <c:v>2025</c:v>
                </c:pt>
                <c:pt idx="749">
                  <c:v>#N/A</c:v>
                </c:pt>
                <c:pt idx="750">
                  <c:v>#N/A</c:v>
                </c:pt>
                <c:pt idx="751">
                  <c:v>#N/A</c:v>
                </c:pt>
                <c:pt idx="752">
                  <c:v>#N/A</c:v>
                </c:pt>
                <c:pt idx="753">
                  <c:v>#N/A</c:v>
                </c:pt>
                <c:pt idx="754">
                  <c:v>2025</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2020</c:v>
                </c:pt>
                <c:pt idx="785">
                  <c:v>#N/A</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2025</c:v>
                </c:pt>
                <c:pt idx="805">
                  <c:v>#N/A</c:v>
                </c:pt>
                <c:pt idx="806">
                  <c:v>#N/A</c:v>
                </c:pt>
                <c:pt idx="807">
                  <c:v>#N/A</c:v>
                </c:pt>
                <c:pt idx="808">
                  <c:v>#N/A</c:v>
                </c:pt>
                <c:pt idx="809">
                  <c:v>#N/A</c:v>
                </c:pt>
                <c:pt idx="810">
                  <c:v>#N/A</c:v>
                </c:pt>
                <c:pt idx="811">
                  <c:v>#N/A</c:v>
                </c:pt>
                <c:pt idx="812">
                  <c:v>#N/A</c:v>
                </c:pt>
                <c:pt idx="813">
                  <c:v>2026</c:v>
                </c:pt>
                <c:pt idx="814">
                  <c:v>#N/A</c:v>
                </c:pt>
                <c:pt idx="815">
                  <c:v>#N/A</c:v>
                </c:pt>
                <c:pt idx="816">
                  <c:v>#N/A</c:v>
                </c:pt>
                <c:pt idx="817">
                  <c:v>#N/A</c:v>
                </c:pt>
                <c:pt idx="818">
                  <c:v>2025</c:v>
                </c:pt>
                <c:pt idx="819">
                  <c:v>#N/A</c:v>
                </c:pt>
                <c:pt idx="820">
                  <c:v>2026</c:v>
                </c:pt>
                <c:pt idx="821">
                  <c:v>#N/A</c:v>
                </c:pt>
                <c:pt idx="822">
                  <c:v>#N/A</c:v>
                </c:pt>
                <c:pt idx="823">
                  <c:v>#N/A</c:v>
                </c:pt>
                <c:pt idx="824">
                  <c:v>#N/A</c:v>
                </c:pt>
                <c:pt idx="825">
                  <c:v>2025</c:v>
                </c:pt>
                <c:pt idx="826">
                  <c:v>#N/A</c:v>
                </c:pt>
                <c:pt idx="827">
                  <c:v>#N/A</c:v>
                </c:pt>
                <c:pt idx="828">
                  <c:v>2026</c:v>
                </c:pt>
                <c:pt idx="829">
                  <c:v>2025</c:v>
                </c:pt>
                <c:pt idx="830">
                  <c:v>#N/A</c:v>
                </c:pt>
                <c:pt idx="831">
                  <c:v>#N/A</c:v>
                </c:pt>
                <c:pt idx="832">
                  <c:v>#N/A</c:v>
                </c:pt>
                <c:pt idx="833">
                  <c:v>#N/A</c:v>
                </c:pt>
                <c:pt idx="834">
                  <c:v>#N/A</c:v>
                </c:pt>
                <c:pt idx="835">
                  <c:v>#N/A</c:v>
                </c:pt>
                <c:pt idx="836">
                  <c:v>#N/A</c:v>
                </c:pt>
                <c:pt idx="837">
                  <c:v>#N/A</c:v>
                </c:pt>
                <c:pt idx="838">
                  <c:v>#N/A</c:v>
                </c:pt>
                <c:pt idx="839">
                  <c:v>#N/A</c:v>
                </c:pt>
                <c:pt idx="840">
                  <c:v>#N/A</c:v>
                </c:pt>
                <c:pt idx="841">
                  <c:v>2022</c:v>
                </c:pt>
                <c:pt idx="842">
                  <c:v>#N/A</c:v>
                </c:pt>
                <c:pt idx="843">
                  <c:v>#N/A</c:v>
                </c:pt>
                <c:pt idx="844">
                  <c:v>2023</c:v>
                </c:pt>
                <c:pt idx="845">
                  <c:v>#N/A</c:v>
                </c:pt>
                <c:pt idx="846">
                  <c:v>#N/A</c:v>
                </c:pt>
                <c:pt idx="847">
                  <c:v>#N/A</c:v>
                </c:pt>
                <c:pt idx="848">
                  <c:v>2021</c:v>
                </c:pt>
                <c:pt idx="849">
                  <c:v>2025</c:v>
                </c:pt>
                <c:pt idx="850">
                  <c:v>#N/A</c:v>
                </c:pt>
                <c:pt idx="851">
                  <c:v>2019</c:v>
                </c:pt>
                <c:pt idx="852">
                  <c:v>#N/A</c:v>
                </c:pt>
                <c:pt idx="853">
                  <c:v>2026</c:v>
                </c:pt>
                <c:pt idx="854">
                  <c:v>#N/A</c:v>
                </c:pt>
                <c:pt idx="855">
                  <c:v>#N/A</c:v>
                </c:pt>
                <c:pt idx="856">
                  <c:v>#N/A</c:v>
                </c:pt>
                <c:pt idx="857">
                  <c:v>#N/A</c:v>
                </c:pt>
                <c:pt idx="858">
                  <c:v>2026</c:v>
                </c:pt>
                <c:pt idx="859">
                  <c:v>#N/A</c:v>
                </c:pt>
                <c:pt idx="860">
                  <c:v>#N/A</c:v>
                </c:pt>
                <c:pt idx="861">
                  <c:v>#N/A</c:v>
                </c:pt>
                <c:pt idx="862">
                  <c:v>#N/A</c:v>
                </c:pt>
                <c:pt idx="863">
                  <c:v>#N/A</c:v>
                </c:pt>
                <c:pt idx="864">
                  <c:v>#N/A</c:v>
                </c:pt>
                <c:pt idx="865">
                  <c:v>#N/A</c:v>
                </c:pt>
                <c:pt idx="866">
                  <c:v>#N/A</c:v>
                </c:pt>
                <c:pt idx="867">
                  <c:v>2026</c:v>
                </c:pt>
                <c:pt idx="868">
                  <c:v>#N/A</c:v>
                </c:pt>
                <c:pt idx="869">
                  <c:v>#N/A</c:v>
                </c:pt>
                <c:pt idx="870">
                  <c:v>2020</c:v>
                </c:pt>
                <c:pt idx="871">
                  <c:v>#N/A</c:v>
                </c:pt>
                <c:pt idx="872">
                  <c:v>#N/A</c:v>
                </c:pt>
                <c:pt idx="873">
                  <c:v>2021</c:v>
                </c:pt>
                <c:pt idx="874">
                  <c:v>2025</c:v>
                </c:pt>
                <c:pt idx="875">
                  <c:v>2026</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2023</c:v>
                </c:pt>
                <c:pt idx="900">
                  <c:v>#N/A</c:v>
                </c:pt>
                <c:pt idx="901">
                  <c:v>2026</c:v>
                </c:pt>
                <c:pt idx="902">
                  <c:v>#N/A</c:v>
                </c:pt>
                <c:pt idx="903">
                  <c:v>#N/A</c:v>
                </c:pt>
                <c:pt idx="904">
                  <c:v>2026</c:v>
                </c:pt>
                <c:pt idx="905">
                  <c:v>#N/A</c:v>
                </c:pt>
                <c:pt idx="906">
                  <c:v>#N/A</c:v>
                </c:pt>
                <c:pt idx="907">
                  <c:v>#N/A</c:v>
                </c:pt>
                <c:pt idx="908">
                  <c:v>2025</c:v>
                </c:pt>
                <c:pt idx="909">
                  <c:v>2025</c:v>
                </c:pt>
                <c:pt idx="910">
                  <c:v>2022</c:v>
                </c:pt>
                <c:pt idx="911">
                  <c:v>2026</c:v>
                </c:pt>
                <c:pt idx="912">
                  <c:v>#N/A</c:v>
                </c:pt>
                <c:pt idx="913">
                  <c:v>#N/A</c:v>
                </c:pt>
                <c:pt idx="914">
                  <c:v>2024</c:v>
                </c:pt>
                <c:pt idx="915">
                  <c:v>#N/A</c:v>
                </c:pt>
                <c:pt idx="916">
                  <c:v>#N/A</c:v>
                </c:pt>
                <c:pt idx="917">
                  <c:v>#N/A</c:v>
                </c:pt>
                <c:pt idx="918">
                  <c:v>2024</c:v>
                </c:pt>
                <c:pt idx="919">
                  <c:v>#N/A</c:v>
                </c:pt>
                <c:pt idx="920">
                  <c:v>#N/A</c:v>
                </c:pt>
                <c:pt idx="921">
                  <c:v>#N/A</c:v>
                </c:pt>
                <c:pt idx="922">
                  <c:v>2023</c:v>
                </c:pt>
                <c:pt idx="923">
                  <c:v>2026</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3.5289999999999999</c:v>
                </c:pt>
                <c:pt idx="601">
                  <c:v>#N/A</c:v>
                </c:pt>
                <c:pt idx="602">
                  <c:v>#N/A</c:v>
                </c:pt>
                <c:pt idx="603">
                  <c:v>#N/A</c:v>
                </c:pt>
                <c:pt idx="604">
                  <c:v>#N/A</c:v>
                </c:pt>
                <c:pt idx="605">
                  <c:v>3.6440000000000001</c:v>
                </c:pt>
                <c:pt idx="606">
                  <c:v>#N/A</c:v>
                </c:pt>
                <c:pt idx="607">
                  <c:v>#N/A</c:v>
                </c:pt>
                <c:pt idx="608">
                  <c:v>#N/A</c:v>
                </c:pt>
                <c:pt idx="609">
                  <c:v>3.7359999999999998</c:v>
                </c:pt>
                <c:pt idx="610">
                  <c:v>#N/A</c:v>
                </c:pt>
                <c:pt idx="611">
                  <c:v>#N/A</c:v>
                </c:pt>
                <c:pt idx="612">
                  <c:v>#N/A</c:v>
                </c:pt>
                <c:pt idx="613">
                  <c:v>#N/A</c:v>
                </c:pt>
                <c:pt idx="614">
                  <c:v>#N/A</c:v>
                </c:pt>
                <c:pt idx="615">
                  <c:v>#N/A</c:v>
                </c:pt>
                <c:pt idx="616">
                  <c:v>3.1150000000000002</c:v>
                </c:pt>
                <c:pt idx="617">
                  <c:v>#N/A</c:v>
                </c:pt>
                <c:pt idx="618">
                  <c:v>#N/A</c:v>
                </c:pt>
                <c:pt idx="619">
                  <c:v>#N/A</c:v>
                </c:pt>
                <c:pt idx="620">
                  <c:v>#N/A</c:v>
                </c:pt>
                <c:pt idx="621">
                  <c:v>#N/A</c:v>
                </c:pt>
                <c:pt idx="622">
                  <c:v>#N/A</c:v>
                </c:pt>
                <c:pt idx="623">
                  <c:v>#N/A</c:v>
                </c:pt>
                <c:pt idx="624">
                  <c:v>#N/A</c:v>
                </c:pt>
                <c:pt idx="625">
                  <c:v>3.3220000000000001</c:v>
                </c:pt>
                <c:pt idx="626">
                  <c:v>#N/A</c:v>
                </c:pt>
                <c:pt idx="627">
                  <c:v>#N/A</c:v>
                </c:pt>
                <c:pt idx="628">
                  <c:v>#N/A</c:v>
                </c:pt>
                <c:pt idx="629">
                  <c:v>#N/A</c:v>
                </c:pt>
                <c:pt idx="630">
                  <c:v>#N/A</c:v>
                </c:pt>
                <c:pt idx="631">
                  <c:v>#N/A</c:v>
                </c:pt>
                <c:pt idx="632">
                  <c:v>#N/A</c:v>
                </c:pt>
                <c:pt idx="633">
                  <c:v>#N/A</c:v>
                </c:pt>
                <c:pt idx="634">
                  <c:v>3.5289999999999999</c:v>
                </c:pt>
                <c:pt idx="635">
                  <c:v>#N/A</c:v>
                </c:pt>
                <c:pt idx="636">
                  <c:v>3.5750000000000002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3.2530000000000001</c:v>
                </c:pt>
                <c:pt idx="657">
                  <c:v>#N/A</c:v>
                </c:pt>
                <c:pt idx="658">
                  <c:v>#N/A</c:v>
                </c:pt>
                <c:pt idx="659">
                  <c:v>3.3220000000000001</c:v>
                </c:pt>
                <c:pt idx="660">
                  <c:v>#N/A</c:v>
                </c:pt>
                <c:pt idx="661">
                  <c:v>3.3679999999999999</c:v>
                </c:pt>
                <c:pt idx="662">
                  <c:v>#N/A</c:v>
                </c:pt>
                <c:pt idx="663">
                  <c:v>#N/A</c:v>
                </c:pt>
                <c:pt idx="664">
                  <c:v>#N/A</c:v>
                </c:pt>
                <c:pt idx="665">
                  <c:v>#N/A</c:v>
                </c:pt>
                <c:pt idx="666">
                  <c:v>3.4830000000000001</c:v>
                </c:pt>
                <c:pt idx="667">
                  <c:v>3.5060000000000002</c:v>
                </c:pt>
                <c:pt idx="668">
                  <c:v>#N/A</c:v>
                </c:pt>
                <c:pt idx="669">
                  <c:v>3.552</c:v>
                </c:pt>
                <c:pt idx="670">
                  <c:v>3.5750000000000002</c:v>
                </c:pt>
                <c:pt idx="671">
                  <c:v>3.5979999999999999</c:v>
                </c:pt>
                <c:pt idx="672">
                  <c:v>3.621</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3.5979999999999999</c:v>
                </c:pt>
                <c:pt idx="706">
                  <c:v>#N/A</c:v>
                </c:pt>
                <c:pt idx="707">
                  <c:v>#N/A</c:v>
                </c:pt>
                <c:pt idx="708">
                  <c:v>#N/A</c:v>
                </c:pt>
                <c:pt idx="709">
                  <c:v>#N/A</c:v>
                </c:pt>
                <c:pt idx="710">
                  <c:v>#N/A</c:v>
                </c:pt>
                <c:pt idx="711">
                  <c:v>3.7359999999999998</c:v>
                </c:pt>
                <c:pt idx="712">
                  <c:v>#N/A</c:v>
                </c:pt>
                <c:pt idx="713">
                  <c:v>#N/A</c:v>
                </c:pt>
                <c:pt idx="714">
                  <c:v>3.0230000000000001</c:v>
                </c:pt>
                <c:pt idx="715">
                  <c:v>3.0459999999999998</c:v>
                </c:pt>
                <c:pt idx="716">
                  <c:v>#N/A</c:v>
                </c:pt>
                <c:pt idx="717">
                  <c:v>#N/A</c:v>
                </c:pt>
                <c:pt idx="718">
                  <c:v>#N/A</c:v>
                </c:pt>
                <c:pt idx="719">
                  <c:v>#N/A</c:v>
                </c:pt>
                <c:pt idx="720">
                  <c:v>3.161</c:v>
                </c:pt>
                <c:pt idx="721">
                  <c:v>3.1840000000000002</c:v>
                </c:pt>
                <c:pt idx="722">
                  <c:v>3.2069999999999999</c:v>
                </c:pt>
                <c:pt idx="723">
                  <c:v>#N/A</c:v>
                </c:pt>
                <c:pt idx="724">
                  <c:v>#N/A</c:v>
                </c:pt>
                <c:pt idx="725">
                  <c:v>#N/A</c:v>
                </c:pt>
                <c:pt idx="726">
                  <c:v>3.2989999999999999</c:v>
                </c:pt>
                <c:pt idx="727">
                  <c:v>#N/A</c:v>
                </c:pt>
                <c:pt idx="728">
                  <c:v>#N/A</c:v>
                </c:pt>
                <c:pt idx="729">
                  <c:v>#N/A</c:v>
                </c:pt>
                <c:pt idx="730">
                  <c:v>#N/A</c:v>
                </c:pt>
                <c:pt idx="731">
                  <c:v>#N/A</c:v>
                </c:pt>
                <c:pt idx="732">
                  <c:v>#N/A</c:v>
                </c:pt>
                <c:pt idx="733">
                  <c:v>#N/A</c:v>
                </c:pt>
                <c:pt idx="734">
                  <c:v>#N/A</c:v>
                </c:pt>
                <c:pt idx="735">
                  <c:v>#N/A</c:v>
                </c:pt>
                <c:pt idx="736">
                  <c:v>#N/A</c:v>
                </c:pt>
                <c:pt idx="737">
                  <c:v>#N/A</c:v>
                </c:pt>
                <c:pt idx="738">
                  <c:v>3.5750000000000002</c:v>
                </c:pt>
                <c:pt idx="739">
                  <c:v>#N/A</c:v>
                </c:pt>
                <c:pt idx="740">
                  <c:v>#N/A</c:v>
                </c:pt>
                <c:pt idx="741">
                  <c:v>#N/A</c:v>
                </c:pt>
                <c:pt idx="742">
                  <c:v>3.6669999999999998</c:v>
                </c:pt>
                <c:pt idx="743">
                  <c:v>3.69</c:v>
                </c:pt>
                <c:pt idx="744">
                  <c:v>#N/A</c:v>
                </c:pt>
                <c:pt idx="745">
                  <c:v>#N/A</c:v>
                </c:pt>
                <c:pt idx="746">
                  <c:v>#N/A</c:v>
                </c:pt>
                <c:pt idx="747">
                  <c:v>#N/A</c:v>
                </c:pt>
                <c:pt idx="748">
                  <c:v>#N/A</c:v>
                </c:pt>
                <c:pt idx="749">
                  <c:v>3.0459999999999998</c:v>
                </c:pt>
                <c:pt idx="750">
                  <c:v>#N/A</c:v>
                </c:pt>
                <c:pt idx="751">
                  <c:v>#N/A</c:v>
                </c:pt>
                <c:pt idx="752">
                  <c:v>#N/A</c:v>
                </c:pt>
                <c:pt idx="753">
                  <c:v>#N/A</c:v>
                </c:pt>
                <c:pt idx="754">
                  <c:v>#N/A</c:v>
                </c:pt>
                <c:pt idx="755">
                  <c:v>3.1840000000000002</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3.5060000000000002</c:v>
                </c:pt>
                <c:pt idx="770">
                  <c:v>#N/A</c:v>
                </c:pt>
                <c:pt idx="771">
                  <c:v>#N/A</c:v>
                </c:pt>
                <c:pt idx="772">
                  <c:v>3.5750000000000002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3.552</c:v>
                </c:pt>
                <c:pt idx="806">
                  <c:v>#N/A</c:v>
                </c:pt>
                <c:pt idx="807">
                  <c:v>#N/A</c:v>
                </c:pt>
                <c:pt idx="808">
                  <c:v>#N/A</c:v>
                </c:pt>
                <c:pt idx="809">
                  <c:v>#N/A</c:v>
                </c:pt>
                <c:pt idx="810">
                  <c:v>#N/A</c:v>
                </c:pt>
                <c:pt idx="811">
                  <c:v>#N/A</c:v>
                </c:pt>
                <c:pt idx="812">
                  <c:v>#N/A</c:v>
                </c:pt>
                <c:pt idx="813">
                  <c:v>#N/A</c:v>
                </c:pt>
                <c:pt idx="814">
                  <c:v>3.7589999999999999</c:v>
                </c:pt>
                <c:pt idx="815">
                  <c:v>#N/A</c:v>
                </c:pt>
                <c:pt idx="816">
                  <c:v>#N/A</c:v>
                </c:pt>
                <c:pt idx="817">
                  <c:v>#N/A</c:v>
                </c:pt>
                <c:pt idx="818">
                  <c:v>#N/A</c:v>
                </c:pt>
                <c:pt idx="819">
                  <c:v>3.0920000000000001</c:v>
                </c:pt>
                <c:pt idx="820">
                  <c:v>#N/A</c:v>
                </c:pt>
                <c:pt idx="821">
                  <c:v>3.1379999999999999</c:v>
                </c:pt>
                <c:pt idx="822">
                  <c:v>#N/A</c:v>
                </c:pt>
                <c:pt idx="823">
                  <c:v>#N/A</c:v>
                </c:pt>
                <c:pt idx="824">
                  <c:v>#N/A</c:v>
                </c:pt>
                <c:pt idx="825">
                  <c:v>#N/A</c:v>
                </c:pt>
                <c:pt idx="826">
                  <c:v>3.2530000000000001</c:v>
                </c:pt>
                <c:pt idx="827">
                  <c:v>#N/A</c:v>
                </c:pt>
                <c:pt idx="828">
                  <c:v>#N/A</c:v>
                </c:pt>
                <c:pt idx="829">
                  <c:v>3.3220000000000001</c:v>
                </c:pt>
                <c:pt idx="830">
                  <c:v>3.3449999999999998</c:v>
                </c:pt>
                <c:pt idx="831">
                  <c:v>#N/A</c:v>
                </c:pt>
                <c:pt idx="832">
                  <c:v>#N/A</c:v>
                </c:pt>
                <c:pt idx="833">
                  <c:v>#N/A</c:v>
                </c:pt>
                <c:pt idx="834">
                  <c:v>#N/A</c:v>
                </c:pt>
                <c:pt idx="835">
                  <c:v>#N/A</c:v>
                </c:pt>
                <c:pt idx="836">
                  <c:v>#N/A</c:v>
                </c:pt>
                <c:pt idx="837">
                  <c:v>#N/A</c:v>
                </c:pt>
                <c:pt idx="838">
                  <c:v>#N/A</c:v>
                </c:pt>
                <c:pt idx="839">
                  <c:v>#N/A</c:v>
                </c:pt>
                <c:pt idx="840">
                  <c:v>#N/A</c:v>
                </c:pt>
                <c:pt idx="841">
                  <c:v>#N/A</c:v>
                </c:pt>
                <c:pt idx="842">
                  <c:v>3.621</c:v>
                </c:pt>
                <c:pt idx="843">
                  <c:v>#N/A</c:v>
                </c:pt>
                <c:pt idx="844">
                  <c:v>#N/A</c:v>
                </c:pt>
                <c:pt idx="845">
                  <c:v>3.69</c:v>
                </c:pt>
                <c:pt idx="846">
                  <c:v>#N/A</c:v>
                </c:pt>
                <c:pt idx="847">
                  <c:v>#N/A</c:v>
                </c:pt>
                <c:pt idx="848">
                  <c:v>#N/A</c:v>
                </c:pt>
                <c:pt idx="849">
                  <c:v>3</c:v>
                </c:pt>
                <c:pt idx="850">
                  <c:v>3.0230000000000001</c:v>
                </c:pt>
                <c:pt idx="851">
                  <c:v>#N/A</c:v>
                </c:pt>
                <c:pt idx="852">
                  <c:v>3.069</c:v>
                </c:pt>
                <c:pt idx="853">
                  <c:v>#N/A</c:v>
                </c:pt>
                <c:pt idx="854">
                  <c:v>3.1150000000000002</c:v>
                </c:pt>
                <c:pt idx="855">
                  <c:v>#N/A</c:v>
                </c:pt>
                <c:pt idx="856">
                  <c:v>#N/A</c:v>
                </c:pt>
                <c:pt idx="857">
                  <c:v>#N/A</c:v>
                </c:pt>
                <c:pt idx="858">
                  <c:v>#N/A</c:v>
                </c:pt>
                <c:pt idx="859">
                  <c:v>3.23</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3.5750000000000002</c:v>
                </c:pt>
                <c:pt idx="875">
                  <c:v>3.5979999999999999</c:v>
                </c:pt>
                <c:pt idx="876">
                  <c:v>3.621</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3.391</c:v>
                </c:pt>
                <c:pt idx="901">
                  <c:v>#N/A</c:v>
                </c:pt>
                <c:pt idx="902">
                  <c:v>3.4369999999999998</c:v>
                </c:pt>
                <c:pt idx="903">
                  <c:v>#N/A</c:v>
                </c:pt>
                <c:pt idx="904">
                  <c:v>#N/A</c:v>
                </c:pt>
                <c:pt idx="905">
                  <c:v>3.5060000000000002</c:v>
                </c:pt>
                <c:pt idx="906">
                  <c:v>#N/A</c:v>
                </c:pt>
                <c:pt idx="907">
                  <c:v>#N/A</c:v>
                </c:pt>
                <c:pt idx="908">
                  <c:v>#N/A</c:v>
                </c:pt>
                <c:pt idx="909">
                  <c:v>3.5979999999999999</c:v>
                </c:pt>
                <c:pt idx="910">
                  <c:v>3.621</c:v>
                </c:pt>
                <c:pt idx="911">
                  <c:v>3.6440000000000001</c:v>
                </c:pt>
                <c:pt idx="912">
                  <c:v>3.6669999999999998</c:v>
                </c:pt>
                <c:pt idx="913">
                  <c:v>#N/A</c:v>
                </c:pt>
                <c:pt idx="914">
                  <c:v>#N/A</c:v>
                </c:pt>
                <c:pt idx="915">
                  <c:v>3.7359999999999998</c:v>
                </c:pt>
                <c:pt idx="916">
                  <c:v>#N/A</c:v>
                </c:pt>
                <c:pt idx="917">
                  <c:v>#N/A</c:v>
                </c:pt>
                <c:pt idx="918">
                  <c:v>#N/A</c:v>
                </c:pt>
                <c:pt idx="919">
                  <c:v>3.0459999999999998</c:v>
                </c:pt>
                <c:pt idx="920">
                  <c:v>#N/A</c:v>
                </c:pt>
                <c:pt idx="921">
                  <c:v>#N/A</c:v>
                </c:pt>
                <c:pt idx="922">
                  <c:v>#N/A</c:v>
                </c:pt>
                <c:pt idx="923">
                  <c:v>3.1379999999999999</c:v>
                </c:pt>
                <c:pt idx="924">
                  <c:v>3.161</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2003</c:v>
                </c:pt>
                <c:pt idx="599">
                  <c:v>#N/A</c:v>
                </c:pt>
                <c:pt idx="600">
                  <c:v>#N/A</c:v>
                </c:pt>
                <c:pt idx="601">
                  <c:v>#N/A</c:v>
                </c:pt>
                <c:pt idx="602">
                  <c:v>#N/A</c:v>
                </c:pt>
                <c:pt idx="603">
                  <c:v>#N/A</c:v>
                </c:pt>
                <c:pt idx="604">
                  <c:v>#N/A</c:v>
                </c:pt>
                <c:pt idx="605">
                  <c:v>2023</c:v>
                </c:pt>
                <c:pt idx="606">
                  <c:v>2014</c:v>
                </c:pt>
                <c:pt idx="607">
                  <c:v>#N/A</c:v>
                </c:pt>
                <c:pt idx="608">
                  <c:v>#N/A</c:v>
                </c:pt>
                <c:pt idx="609">
                  <c:v>#N/A</c:v>
                </c:pt>
                <c:pt idx="610">
                  <c:v>1992</c:v>
                </c:pt>
                <c:pt idx="611">
                  <c:v>#N/A</c:v>
                </c:pt>
                <c:pt idx="612">
                  <c:v>#N/A</c:v>
                </c:pt>
                <c:pt idx="613">
                  <c:v>2026</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2020</c:v>
                </c:pt>
                <c:pt idx="630">
                  <c:v>2024</c:v>
                </c:pt>
                <c:pt idx="631">
                  <c:v>2026</c:v>
                </c:pt>
                <c:pt idx="632">
                  <c:v>#N/A</c:v>
                </c:pt>
                <c:pt idx="633">
                  <c:v>#N/A</c:v>
                </c:pt>
                <c:pt idx="634">
                  <c:v>#N/A</c:v>
                </c:pt>
                <c:pt idx="635">
                  <c:v>#N/A</c:v>
                </c:pt>
                <c:pt idx="636">
                  <c:v>#N/A</c:v>
                </c:pt>
                <c:pt idx="637">
                  <c:v>#N/A</c:v>
                </c:pt>
                <c:pt idx="638">
                  <c:v>#N/A</c:v>
                </c:pt>
                <c:pt idx="639">
                  <c:v>#N/A</c:v>
                </c:pt>
                <c:pt idx="640">
                  <c:v>#N/A</c:v>
                </c:pt>
                <c:pt idx="641">
                  <c:v>#N/A</c:v>
                </c:pt>
                <c:pt idx="642">
                  <c:v>#N/A</c:v>
                </c:pt>
                <c:pt idx="643">
                  <c:v>1980</c:v>
                </c:pt>
                <c:pt idx="644">
                  <c:v>#N/A</c:v>
                </c:pt>
                <c:pt idx="645">
                  <c:v>#N/A</c:v>
                </c:pt>
                <c:pt idx="646">
                  <c:v>2019</c:v>
                </c:pt>
                <c:pt idx="647">
                  <c:v>#N/A</c:v>
                </c:pt>
                <c:pt idx="648">
                  <c:v>#N/A</c:v>
                </c:pt>
                <c:pt idx="649">
                  <c:v>2007</c:v>
                </c:pt>
                <c:pt idx="650">
                  <c:v>#N/A</c:v>
                </c:pt>
                <c:pt idx="651">
                  <c:v>#N/A</c:v>
                </c:pt>
                <c:pt idx="652">
                  <c:v>#N/A</c:v>
                </c:pt>
                <c:pt idx="653">
                  <c:v>#N/A</c:v>
                </c:pt>
                <c:pt idx="654">
                  <c:v>#N/A</c:v>
                </c:pt>
                <c:pt idx="655">
                  <c:v>#N/A</c:v>
                </c:pt>
                <c:pt idx="656">
                  <c:v>#N/A</c:v>
                </c:pt>
                <c:pt idx="657">
                  <c:v>#N/A</c:v>
                </c:pt>
                <c:pt idx="658">
                  <c:v>#N/A</c:v>
                </c:pt>
                <c:pt idx="659">
                  <c:v>2023</c:v>
                </c:pt>
                <c:pt idx="660">
                  <c:v>#N/A</c:v>
                </c:pt>
                <c:pt idx="661">
                  <c:v>2014</c:v>
                </c:pt>
                <c:pt idx="662">
                  <c:v>#N/A</c:v>
                </c:pt>
                <c:pt idx="663">
                  <c:v>#N/A</c:v>
                </c:pt>
                <c:pt idx="664">
                  <c:v>#N/A</c:v>
                </c:pt>
                <c:pt idx="665">
                  <c:v>#N/A</c:v>
                </c:pt>
                <c:pt idx="666">
                  <c:v>#N/A</c:v>
                </c:pt>
                <c:pt idx="667">
                  <c:v>#N/A</c:v>
                </c:pt>
                <c:pt idx="668">
                  <c:v>#N/A</c:v>
                </c:pt>
                <c:pt idx="669">
                  <c:v>#N/A</c:v>
                </c:pt>
                <c:pt idx="670">
                  <c:v>#N/A</c:v>
                </c:pt>
                <c:pt idx="671">
                  <c:v>#N/A</c:v>
                </c:pt>
                <c:pt idx="672">
                  <c:v>#N/A</c:v>
                </c:pt>
                <c:pt idx="673">
                  <c:v>2010</c:v>
                </c:pt>
                <c:pt idx="674">
                  <c:v>#N/A</c:v>
                </c:pt>
                <c:pt idx="675">
                  <c:v>#N/A</c:v>
                </c:pt>
                <c:pt idx="676">
                  <c:v>#N/A</c:v>
                </c:pt>
                <c:pt idx="677">
                  <c:v>#N/A</c:v>
                </c:pt>
                <c:pt idx="678">
                  <c:v>#N/A</c:v>
                </c:pt>
                <c:pt idx="679">
                  <c:v>#N/A</c:v>
                </c:pt>
                <c:pt idx="680">
                  <c:v>#N/A</c:v>
                </c:pt>
                <c:pt idx="681">
                  <c:v>#N/A</c:v>
                </c:pt>
                <c:pt idx="682">
                  <c:v>#N/A</c:v>
                </c:pt>
                <c:pt idx="683">
                  <c:v>#N/A</c:v>
                </c:pt>
                <c:pt idx="684">
                  <c:v>#N/A</c:v>
                </c:pt>
                <c:pt idx="685">
                  <c:v>2015</c:v>
                </c:pt>
                <c:pt idx="686">
                  <c:v>#N/A</c:v>
                </c:pt>
                <c:pt idx="687">
                  <c:v>#N/A</c:v>
                </c:pt>
                <c:pt idx="688">
                  <c:v>#N/A</c:v>
                </c:pt>
                <c:pt idx="689">
                  <c:v>#N/A</c:v>
                </c:pt>
                <c:pt idx="690">
                  <c:v>2014</c:v>
                </c:pt>
                <c:pt idx="691">
                  <c:v>#N/A</c:v>
                </c:pt>
                <c:pt idx="692">
                  <c:v>2008</c:v>
                </c:pt>
                <c:pt idx="693">
                  <c:v>2000</c:v>
                </c:pt>
                <c:pt idx="694">
                  <c:v>2010</c:v>
                </c:pt>
                <c:pt idx="695">
                  <c:v>2002</c:v>
                </c:pt>
                <c:pt idx="696">
                  <c:v>1996</c:v>
                </c:pt>
                <c:pt idx="697">
                  <c:v>2001</c:v>
                </c:pt>
                <c:pt idx="698">
                  <c:v>2024</c:v>
                </c:pt>
                <c:pt idx="699">
                  <c:v>2010</c:v>
                </c:pt>
                <c:pt idx="700">
                  <c:v>#N/A</c:v>
                </c:pt>
                <c:pt idx="701">
                  <c:v>#N/A</c:v>
                </c:pt>
                <c:pt idx="702">
                  <c:v>#N/A</c:v>
                </c:pt>
                <c:pt idx="703">
                  <c:v>#N/A</c:v>
                </c:pt>
                <c:pt idx="704">
                  <c:v>#N/A</c:v>
                </c:pt>
                <c:pt idx="705">
                  <c:v>2012</c:v>
                </c:pt>
                <c:pt idx="706">
                  <c:v>#N/A</c:v>
                </c:pt>
                <c:pt idx="707">
                  <c:v>#N/A</c:v>
                </c:pt>
                <c:pt idx="708">
                  <c:v>#N/A</c:v>
                </c:pt>
                <c:pt idx="709">
                  <c:v>#N/A</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2022</c:v>
                </c:pt>
                <c:pt idx="727">
                  <c:v>2023</c:v>
                </c:pt>
                <c:pt idx="728">
                  <c:v>#N/A</c:v>
                </c:pt>
                <c:pt idx="729">
                  <c:v>#N/A</c:v>
                </c:pt>
                <c:pt idx="730">
                  <c:v>#N/A</c:v>
                </c:pt>
                <c:pt idx="731">
                  <c:v>#N/A</c:v>
                </c:pt>
                <c:pt idx="732">
                  <c:v>2016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2014</c:v>
                </c:pt>
                <c:pt idx="747">
                  <c:v>#N/A</c:v>
                </c:pt>
                <c:pt idx="748">
                  <c:v>#N/A</c:v>
                </c:pt>
                <c:pt idx="749">
                  <c:v>#N/A</c:v>
                </c:pt>
                <c:pt idx="750">
                  <c:v>#N/A</c:v>
                </c:pt>
                <c:pt idx="751">
                  <c:v>#N/A</c:v>
                </c:pt>
                <c:pt idx="752">
                  <c:v>#N/A</c:v>
                </c:pt>
                <c:pt idx="753">
                  <c:v>#N/A</c:v>
                </c:pt>
                <c:pt idx="754">
                  <c:v>#N/A</c:v>
                </c:pt>
                <c:pt idx="755">
                  <c:v>#N/A</c:v>
                </c:pt>
                <c:pt idx="756">
                  <c:v>#N/A</c:v>
                </c:pt>
                <c:pt idx="757">
                  <c:v>#N/A</c:v>
                </c:pt>
                <c:pt idx="758">
                  <c:v>2020</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1982</c:v>
                </c:pt>
                <c:pt idx="776">
                  <c:v>#N/A</c:v>
                </c:pt>
                <c:pt idx="777">
                  <c:v>#N/A</c:v>
                </c:pt>
                <c:pt idx="778">
                  <c:v>2013</c:v>
                </c:pt>
                <c:pt idx="779">
                  <c:v>#N/A</c:v>
                </c:pt>
                <c:pt idx="780">
                  <c:v>#N/A</c:v>
                </c:pt>
                <c:pt idx="781">
                  <c:v>#N/A</c:v>
                </c:pt>
                <c:pt idx="782">
                  <c:v>#N/A</c:v>
                </c:pt>
                <c:pt idx="783">
                  <c:v>#N/A</c:v>
                </c:pt>
                <c:pt idx="784">
                  <c:v>#N/A</c:v>
                </c:pt>
                <c:pt idx="785">
                  <c:v>#N/A</c:v>
                </c:pt>
                <c:pt idx="786">
                  <c:v>1998</c:v>
                </c:pt>
                <c:pt idx="787">
                  <c:v>#N/A</c:v>
                </c:pt>
                <c:pt idx="788">
                  <c:v>2017</c:v>
                </c:pt>
                <c:pt idx="789">
                  <c:v>#N/A</c:v>
                </c:pt>
                <c:pt idx="790">
                  <c:v>2006</c:v>
                </c:pt>
                <c:pt idx="791">
                  <c:v>#N/A</c:v>
                </c:pt>
                <c:pt idx="792">
                  <c:v>#N/A</c:v>
                </c:pt>
                <c:pt idx="793">
                  <c:v>#N/A</c:v>
                </c:pt>
                <c:pt idx="794">
                  <c:v>#N/A</c:v>
                </c:pt>
                <c:pt idx="795">
                  <c:v>#N/A</c:v>
                </c:pt>
                <c:pt idx="796">
                  <c:v>#N/A</c:v>
                </c:pt>
                <c:pt idx="797">
                  <c:v>#N/A</c:v>
                </c:pt>
                <c:pt idx="798">
                  <c:v>#N/A</c:v>
                </c:pt>
                <c:pt idx="799">
                  <c:v>#N/A</c:v>
                </c:pt>
                <c:pt idx="800">
                  <c:v>#N/A</c:v>
                </c:pt>
                <c:pt idx="801">
                  <c:v>#N/A</c:v>
                </c:pt>
                <c:pt idx="802">
                  <c:v>2021</c:v>
                </c:pt>
                <c:pt idx="803">
                  <c:v>2000</c:v>
                </c:pt>
                <c:pt idx="804">
                  <c:v>#N/A</c:v>
                </c:pt>
                <c:pt idx="805">
                  <c:v>#N/A</c:v>
                </c:pt>
                <c:pt idx="806">
                  <c:v>2014</c:v>
                </c:pt>
                <c:pt idx="807">
                  <c:v>2013</c:v>
                </c:pt>
                <c:pt idx="808">
                  <c:v>#N/A</c:v>
                </c:pt>
                <c:pt idx="809">
                  <c:v>#N/A</c:v>
                </c:pt>
                <c:pt idx="810">
                  <c:v>#N/A</c:v>
                </c:pt>
                <c:pt idx="811">
                  <c:v>#N/A</c:v>
                </c:pt>
                <c:pt idx="812">
                  <c:v>#N/A</c:v>
                </c:pt>
                <c:pt idx="813">
                  <c:v>#N/A</c:v>
                </c:pt>
                <c:pt idx="814">
                  <c:v>#N/A</c:v>
                </c:pt>
                <c:pt idx="815">
                  <c:v>2004</c:v>
                </c:pt>
                <c:pt idx="816">
                  <c:v>#N/A</c:v>
                </c:pt>
                <c:pt idx="817">
                  <c:v>#N/A</c:v>
                </c:pt>
                <c:pt idx="818">
                  <c:v>#N/A</c:v>
                </c:pt>
                <c:pt idx="819">
                  <c:v>#N/A</c:v>
                </c:pt>
                <c:pt idx="820">
                  <c:v>#N/A</c:v>
                </c:pt>
                <c:pt idx="821">
                  <c:v>#N/A</c:v>
                </c:pt>
                <c:pt idx="822">
                  <c:v>#N/A</c:v>
                </c:pt>
                <c:pt idx="823">
                  <c:v>2014</c:v>
                </c:pt>
                <c:pt idx="824">
                  <c:v>#N/A</c:v>
                </c:pt>
                <c:pt idx="825">
                  <c:v>#N/A</c:v>
                </c:pt>
                <c:pt idx="826">
                  <c:v>#N/A</c:v>
                </c:pt>
                <c:pt idx="827">
                  <c:v>#N/A</c:v>
                </c:pt>
                <c:pt idx="828">
                  <c:v>#N/A</c:v>
                </c:pt>
                <c:pt idx="829">
                  <c:v>#N/A</c:v>
                </c:pt>
                <c:pt idx="830">
                  <c:v>#N/A</c:v>
                </c:pt>
                <c:pt idx="831">
                  <c:v>#N/A</c:v>
                </c:pt>
                <c:pt idx="832">
                  <c:v>#N/A</c:v>
                </c:pt>
                <c:pt idx="833">
                  <c:v>#N/A</c:v>
                </c:pt>
                <c:pt idx="834">
                  <c:v>#N/A</c:v>
                </c:pt>
                <c:pt idx="835">
                  <c:v>1999</c:v>
                </c:pt>
                <c:pt idx="836">
                  <c:v>2002</c:v>
                </c:pt>
                <c:pt idx="837">
                  <c:v>1993</c:v>
                </c:pt>
                <c:pt idx="838">
                  <c:v>2025</c:v>
                </c:pt>
                <c:pt idx="839">
                  <c:v>2024</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2012</c:v>
                </c:pt>
                <c:pt idx="856">
                  <c:v>2021</c:v>
                </c:pt>
                <c:pt idx="857">
                  <c:v>#N/A</c:v>
                </c:pt>
                <c:pt idx="858">
                  <c:v>#N/A</c:v>
                </c:pt>
                <c:pt idx="859">
                  <c:v>#N/A</c:v>
                </c:pt>
                <c:pt idx="860">
                  <c:v>#N/A</c:v>
                </c:pt>
                <c:pt idx="861">
                  <c:v>#N/A</c:v>
                </c:pt>
                <c:pt idx="862">
                  <c:v>#N/A</c:v>
                </c:pt>
                <c:pt idx="863">
                  <c:v>#N/A</c:v>
                </c:pt>
                <c:pt idx="864">
                  <c:v>#N/A</c:v>
                </c:pt>
                <c:pt idx="865">
                  <c:v>1992</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1998</c:v>
                </c:pt>
                <c:pt idx="883">
                  <c:v>#N/A</c:v>
                </c:pt>
                <c:pt idx="884">
                  <c:v>#N/A</c:v>
                </c:pt>
                <c:pt idx="885">
                  <c:v>#N/A</c:v>
                </c:pt>
                <c:pt idx="886">
                  <c:v>#N/A</c:v>
                </c:pt>
                <c:pt idx="887">
                  <c:v>2023</c:v>
                </c:pt>
                <c:pt idx="888">
                  <c:v>#N/A</c:v>
                </c:pt>
                <c:pt idx="889">
                  <c:v>#N/A</c:v>
                </c:pt>
                <c:pt idx="890">
                  <c:v>2011</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2017</c:v>
                </c:pt>
                <c:pt idx="916">
                  <c:v>2010</c:v>
                </c:pt>
                <c:pt idx="917">
                  <c:v>1994</c:v>
                </c:pt>
                <c:pt idx="918">
                  <c:v>#N/A</c:v>
                </c:pt>
                <c:pt idx="919">
                  <c:v>#N/A</c:v>
                </c:pt>
                <c:pt idx="920">
                  <c:v>#N/A</c:v>
                </c:pt>
                <c:pt idx="921">
                  <c:v>2025</c:v>
                </c:pt>
                <c:pt idx="922">
                  <c:v>#N/A</c:v>
                </c:pt>
                <c:pt idx="923">
                  <c:v>#N/A</c:v>
                </c:pt>
                <c:pt idx="924">
                  <c:v>2022</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4.5060000000000002</c:v>
                </c:pt>
                <c:pt idx="600">
                  <c:v>#N/A</c:v>
                </c:pt>
                <c:pt idx="601">
                  <c:v>#N/A</c:v>
                </c:pt>
                <c:pt idx="602">
                  <c:v>#N/A</c:v>
                </c:pt>
                <c:pt idx="603">
                  <c:v>#N/A</c:v>
                </c:pt>
                <c:pt idx="604">
                  <c:v>#N/A</c:v>
                </c:pt>
                <c:pt idx="605">
                  <c:v>#N/A</c:v>
                </c:pt>
                <c:pt idx="606">
                  <c:v>4.6669999999999998</c:v>
                </c:pt>
                <c:pt idx="607">
                  <c:v>4.6899999999999995</c:v>
                </c:pt>
                <c:pt idx="608">
                  <c:v>#N/A</c:v>
                </c:pt>
                <c:pt idx="609">
                  <c:v>#N/A</c:v>
                </c:pt>
                <c:pt idx="610">
                  <c:v>#N/A</c:v>
                </c:pt>
                <c:pt idx="611">
                  <c:v>4</c:v>
                </c:pt>
                <c:pt idx="612">
                  <c:v>#N/A</c:v>
                </c:pt>
                <c:pt idx="613">
                  <c:v>#N/A</c:v>
                </c:pt>
                <c:pt idx="614">
                  <c:v>4.069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4.4370000000000003</c:v>
                </c:pt>
                <c:pt idx="631">
                  <c:v>4.46</c:v>
                </c:pt>
                <c:pt idx="632">
                  <c:v>4.4829999999999997</c:v>
                </c:pt>
                <c:pt idx="633">
                  <c:v>#N/A</c:v>
                </c:pt>
                <c:pt idx="634">
                  <c:v>#N/A</c:v>
                </c:pt>
                <c:pt idx="635">
                  <c:v>#N/A</c:v>
                </c:pt>
                <c:pt idx="636">
                  <c:v>#N/A</c:v>
                </c:pt>
                <c:pt idx="637">
                  <c:v>#N/A</c:v>
                </c:pt>
                <c:pt idx="638">
                  <c:v>#N/A</c:v>
                </c:pt>
                <c:pt idx="639">
                  <c:v>#N/A</c:v>
                </c:pt>
                <c:pt idx="640">
                  <c:v>#N/A</c:v>
                </c:pt>
                <c:pt idx="641">
                  <c:v>#N/A</c:v>
                </c:pt>
                <c:pt idx="642">
                  <c:v>#N/A</c:v>
                </c:pt>
                <c:pt idx="643">
                  <c:v>#N/A</c:v>
                </c:pt>
                <c:pt idx="644">
                  <c:v>4.7590000000000003</c:v>
                </c:pt>
                <c:pt idx="645">
                  <c:v>#N/A</c:v>
                </c:pt>
                <c:pt idx="646">
                  <c:v>#N/A</c:v>
                </c:pt>
                <c:pt idx="647">
                  <c:v>4.0460000000000003</c:v>
                </c:pt>
                <c:pt idx="648">
                  <c:v>#N/A</c:v>
                </c:pt>
                <c:pt idx="649">
                  <c:v>#N/A</c:v>
                </c:pt>
                <c:pt idx="650">
                  <c:v>4.1150000000000002</c:v>
                </c:pt>
                <c:pt idx="651">
                  <c:v>#N/A</c:v>
                </c:pt>
                <c:pt idx="652">
                  <c:v>#N/A</c:v>
                </c:pt>
                <c:pt idx="653">
                  <c:v>#N/A</c:v>
                </c:pt>
                <c:pt idx="654">
                  <c:v>#N/A</c:v>
                </c:pt>
                <c:pt idx="655">
                  <c:v>#N/A</c:v>
                </c:pt>
                <c:pt idx="656">
                  <c:v>#N/A</c:v>
                </c:pt>
                <c:pt idx="657">
                  <c:v>#N/A</c:v>
                </c:pt>
                <c:pt idx="658">
                  <c:v>#N/A</c:v>
                </c:pt>
                <c:pt idx="659">
                  <c:v>#N/A</c:v>
                </c:pt>
                <c:pt idx="660">
                  <c:v>4.3449999999999998</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#N/A</c:v>
                </c:pt>
                <c:pt idx="676">
                  <c:v>#N/A</c:v>
                </c:pt>
                <c:pt idx="677">
                  <c:v>#N/A</c:v>
                </c:pt>
                <c:pt idx="678">
                  <c:v>#N/A</c:v>
                </c:pt>
                <c:pt idx="679">
                  <c:v>#N/A</c:v>
                </c:pt>
                <c:pt idx="680">
                  <c:v>#N/A</c:v>
                </c:pt>
                <c:pt idx="681">
                  <c:v>#N/A</c:v>
                </c:pt>
                <c:pt idx="682">
                  <c:v>#N/A</c:v>
                </c:pt>
                <c:pt idx="683">
                  <c:v>#N/A</c:v>
                </c:pt>
                <c:pt idx="684">
                  <c:v>#N/A</c:v>
                </c:pt>
                <c:pt idx="685">
                  <c:v>#N/A</c:v>
                </c:pt>
                <c:pt idx="686">
                  <c:v>4.1609999999999996</c:v>
                </c:pt>
                <c:pt idx="687">
                  <c:v>#N/A</c:v>
                </c:pt>
                <c:pt idx="688">
                  <c:v>#N/A</c:v>
                </c:pt>
                <c:pt idx="689">
                  <c:v>#N/A</c:v>
                </c:pt>
                <c:pt idx="690">
                  <c:v>#N/A</c:v>
                </c:pt>
                <c:pt idx="691">
                  <c:v>4.2759999999999998</c:v>
                </c:pt>
                <c:pt idx="692">
                  <c:v>#N/A</c:v>
                </c:pt>
                <c:pt idx="693">
                  <c:v>4.3220000000000001</c:v>
                </c:pt>
                <c:pt idx="694">
                  <c:v>4.3449999999999998</c:v>
                </c:pt>
                <c:pt idx="695">
                  <c:v>4.3680000000000003</c:v>
                </c:pt>
                <c:pt idx="696">
                  <c:v>4.391</c:v>
                </c:pt>
                <c:pt idx="697">
                  <c:v>4.4139999999999997</c:v>
                </c:pt>
                <c:pt idx="698">
                  <c:v>4.4370000000000003</c:v>
                </c:pt>
                <c:pt idx="699">
                  <c:v>4.46</c:v>
                </c:pt>
                <c:pt idx="700">
                  <c:v>4.4829999999999997</c:v>
                </c:pt>
                <c:pt idx="701">
                  <c:v>#N/A</c:v>
                </c:pt>
                <c:pt idx="702">
                  <c:v>#N/A</c:v>
                </c:pt>
                <c:pt idx="703">
                  <c:v>#N/A</c:v>
                </c:pt>
                <c:pt idx="704">
                  <c:v>#N/A</c:v>
                </c:pt>
                <c:pt idx="705">
                  <c:v>#N/A</c:v>
                </c:pt>
                <c:pt idx="706">
                  <c:v>4.6210000000000004</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4.3220000000000001</c:v>
                </c:pt>
                <c:pt idx="728">
                  <c:v>4.3449999999999998</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4</c:v>
                </c:pt>
                <c:pt idx="748">
                  <c:v>#N/A</c:v>
                </c:pt>
                <c:pt idx="749">
                  <c:v>#N/A</c:v>
                </c:pt>
                <c:pt idx="750">
                  <c:v>#N/A</c:v>
                </c:pt>
                <c:pt idx="751">
                  <c:v>#N/A</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4.6669999999999998</c:v>
                </c:pt>
                <c:pt idx="777">
                  <c:v>#N/A</c:v>
                </c:pt>
                <c:pt idx="778">
                  <c:v>#N/A</c:v>
                </c:pt>
                <c:pt idx="779">
                  <c:v>4.7359999999999998</c:v>
                </c:pt>
                <c:pt idx="780">
                  <c:v>#N/A</c:v>
                </c:pt>
                <c:pt idx="781">
                  <c:v>#N/A</c:v>
                </c:pt>
                <c:pt idx="782">
                  <c:v>#N/A</c:v>
                </c:pt>
                <c:pt idx="783">
                  <c:v>#N/A</c:v>
                </c:pt>
                <c:pt idx="784">
                  <c:v>#N/A</c:v>
                </c:pt>
                <c:pt idx="785">
                  <c:v>#N/A</c:v>
                </c:pt>
                <c:pt idx="786">
                  <c:v>#N/A</c:v>
                </c:pt>
                <c:pt idx="787">
                  <c:v>4.1379999999999999</c:v>
                </c:pt>
                <c:pt idx="788">
                  <c:v>#N/A</c:v>
                </c:pt>
                <c:pt idx="789">
                  <c:v>4.1840000000000002</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#N/A</c:v>
                </c:pt>
                <c:pt idx="806">
                  <c:v>#N/A</c:v>
                </c:pt>
                <c:pt idx="807">
                  <c:v>4.5979999999999999</c:v>
                </c:pt>
                <c:pt idx="808">
                  <c:v>4.6210000000000004</c:v>
                </c:pt>
                <c:pt idx="809">
                  <c:v>#N/A</c:v>
                </c:pt>
                <c:pt idx="810">
                  <c:v>#N/A</c:v>
                </c:pt>
                <c:pt idx="811">
                  <c:v>#N/A</c:v>
                </c:pt>
                <c:pt idx="812">
                  <c:v>#N/A</c:v>
                </c:pt>
                <c:pt idx="813">
                  <c:v>#N/A</c:v>
                </c:pt>
                <c:pt idx="814">
                  <c:v>#N/A</c:v>
                </c:pt>
                <c:pt idx="815">
                  <c:v>#N/A</c:v>
                </c:pt>
                <c:pt idx="816">
                  <c:v>4.0229999999999997</c:v>
                </c:pt>
                <c:pt idx="817">
                  <c:v>#N/A</c:v>
                </c:pt>
                <c:pt idx="818">
                  <c:v>#N/A</c:v>
                </c:pt>
                <c:pt idx="819">
                  <c:v>#N/A</c:v>
                </c:pt>
                <c:pt idx="820">
                  <c:v>#N/A</c:v>
                </c:pt>
                <c:pt idx="821">
                  <c:v>#N/A</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4.4829999999999997</c:v>
                </c:pt>
                <c:pt idx="837">
                  <c:v>4.5060000000000002</c:v>
                </c:pt>
                <c:pt idx="838">
                  <c:v>4.5289999999999999</c:v>
                </c:pt>
                <c:pt idx="839">
                  <c:v>4.5519999999999996</c:v>
                </c:pt>
                <c:pt idx="840">
                  <c:v>4.5750000000000002</c:v>
                </c:pt>
                <c:pt idx="841">
                  <c:v>4.5979999999999999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#N/A</c:v>
                </c:pt>
                <c:pt idx="859">
                  <c:v>#N/A</c:v>
                </c:pt>
                <c:pt idx="860">
                  <c:v>#N/A</c:v>
                </c:pt>
                <c:pt idx="861">
                  <c:v>#N/A</c:v>
                </c:pt>
                <c:pt idx="862">
                  <c:v>#N/A</c:v>
                </c:pt>
                <c:pt idx="863">
                  <c:v>#N/A</c:v>
                </c:pt>
                <c:pt idx="864">
                  <c:v>#N/A</c:v>
                </c:pt>
                <c:pt idx="865">
                  <c:v>#N/A</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#N/A</c:v>
                </c:pt>
                <c:pt idx="885">
                  <c:v>#N/A</c:v>
                </c:pt>
                <c:pt idx="886">
                  <c:v>#N/A</c:v>
                </c:pt>
                <c:pt idx="887">
                  <c:v>#N/A</c:v>
                </c:pt>
                <c:pt idx="888">
                  <c:v>4.1150000000000002</c:v>
                </c:pt>
                <c:pt idx="889">
                  <c:v>#N/A</c:v>
                </c:pt>
                <c:pt idx="890">
                  <c:v>#N/A</c:v>
                </c:pt>
                <c:pt idx="891">
                  <c:v>4.1840000000000002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4.7590000000000003</c:v>
                </c:pt>
                <c:pt idx="917">
                  <c:v>4</c:v>
                </c:pt>
                <c:pt idx="918">
                  <c:v>4.0229999999999997</c:v>
                </c:pt>
                <c:pt idx="919">
                  <c:v>#N/A</c:v>
                </c:pt>
                <c:pt idx="920">
                  <c:v>#N/A</c:v>
                </c:pt>
                <c:pt idx="921">
                  <c:v>#N/A</c:v>
                </c:pt>
                <c:pt idx="922">
                  <c:v>4.1150000000000002</c:v>
                </c:pt>
                <c:pt idx="923">
                  <c:v>#N/A</c:v>
                </c:pt>
                <c:pt idx="924">
                  <c:v>#N/A</c:v>
                </c:pt>
                <c:pt idx="925">
                  <c:v>4.1840000000000002</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6" totalsRowShown="0">
  <autoFilter ref="A1:J926" xr:uid="{00000000-0009-0000-0100-000001000000}"/>
  <sortState xmlns:xlrd2="http://schemas.microsoft.com/office/spreadsheetml/2017/richdata2" ref="A2:J926">
    <sortCondition ref="A915:A92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3" totalsRowShown="0">
  <autoFilter ref="A1:G1533" xr:uid="{00000000-0009-0000-0100-000002000000}"/>
  <sortState xmlns:xlrd2="http://schemas.microsoft.com/office/spreadsheetml/2017/richdata2" ref="A2:G1533">
    <sortCondition ref="B1524:B153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6" totalsRowShown="0">
  <autoFilter ref="A1:J76" xr:uid="{00000000-0009-0000-0100-000004000000}"/>
  <sortState xmlns:xlrd2="http://schemas.microsoft.com/office/spreadsheetml/2017/richdata2" ref="A2:J76">
    <sortCondition ref="A61:A7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0" totalsRowShown="0">
  <autoFilter ref="A1:J150"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table" Target="../tables/table1.xm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www.dualshockers.com/touhou-genso-wanderer-interview-director-jyunya-talks-about-the-best-rouge-like-game-in-japan/" TargetMode="External"/><Relationship Id="rId803" Type="http://schemas.openxmlformats.org/officeDocument/2006/relationships/hyperlink" Target="https://steamcommunity.com/games/2067920/announcements/detail/3908626109457877555"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table" Target="../tables/table2.xm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6"/>
  <sheetViews>
    <sheetView topLeftCell="A879" zoomScaleNormal="100" workbookViewId="0">
      <selection activeCell="A928" sqref="A92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8339</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7901</v>
      </c>
      <c r="B18">
        <v>2025</v>
      </c>
      <c r="C18" t="s">
        <v>176</v>
      </c>
      <c r="D18" t="b">
        <f>TRUE()</f>
        <v>1</v>
      </c>
      <c r="E18" t="b">
        <f>COUNTIF(connections!A:A, A18) &gt; 0</f>
        <v>0</v>
      </c>
      <c r="G18" t="s">
        <v>7902</v>
      </c>
      <c r="H18" t="s">
        <v>187</v>
      </c>
      <c r="I18" t="s">
        <v>7908</v>
      </c>
      <c r="J18" s="10" t="s">
        <v>7903</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8103</v>
      </c>
      <c r="B27">
        <v>2024</v>
      </c>
      <c r="C27" t="s">
        <v>222</v>
      </c>
      <c r="D27" t="b">
        <f>TRUE()</f>
        <v>1</v>
      </c>
      <c r="E27" t="b">
        <f>COUNTIF(connections!A:A, A27) &gt; 0</f>
        <v>0</v>
      </c>
      <c r="G27" t="s">
        <v>8104</v>
      </c>
      <c r="J27" s="10" t="s">
        <v>8105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8312</v>
      </c>
      <c r="J38" s="10" t="s">
        <v>8313</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8129</v>
      </c>
      <c r="J53" s="10" t="s">
        <v>8130</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7939</v>
      </c>
      <c r="B65">
        <v>2026</v>
      </c>
      <c r="C65" t="s">
        <v>222</v>
      </c>
      <c r="D65" t="b">
        <f>TRUE()</f>
        <v>1</v>
      </c>
      <c r="E65" t="b">
        <f>COUNTIF(connections!A:A, A65) &gt; 0</f>
        <v>0</v>
      </c>
      <c r="G65" t="s">
        <v>7940</v>
      </c>
      <c r="H65" t="s">
        <v>187</v>
      </c>
      <c r="I65" t="s">
        <v>8128</v>
      </c>
      <c r="J65" s="10" t="s">
        <v>7941</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9865</v>
      </c>
      <c r="B79">
        <v>2021</v>
      </c>
      <c r="C79" t="s">
        <v>176</v>
      </c>
      <c r="D79" t="b">
        <v>0</v>
      </c>
      <c r="E79" t="b">
        <f>COUNTIF(connections!A:A, A79) &gt; 0</f>
        <v>0</v>
      </c>
      <c r="F79" t="s">
        <v>9869</v>
      </c>
      <c r="G79" t="s">
        <v>9866</v>
      </c>
      <c r="H79" t="s">
        <v>187</v>
      </c>
      <c r="I79" t="s">
        <v>9868</v>
      </c>
      <c r="J79" s="10" t="s">
        <v>9867</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9925</v>
      </c>
      <c r="B84">
        <v>2026</v>
      </c>
      <c r="C84" t="s">
        <v>176</v>
      </c>
      <c r="D84" t="b">
        <v>1</v>
      </c>
      <c r="E84" t="b">
        <f>COUNTIF(connections!A:A, A84) &gt; 0</f>
        <v>0</v>
      </c>
      <c r="G84" t="s">
        <v>9926</v>
      </c>
      <c r="H84" t="s">
        <v>187</v>
      </c>
      <c r="I84" t="s">
        <v>9923</v>
      </c>
      <c r="J84" s="10" t="s">
        <v>9924</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7817</v>
      </c>
      <c r="B103">
        <v>2019</v>
      </c>
      <c r="C103" t="s">
        <v>179</v>
      </c>
      <c r="D103" t="b">
        <f>TRUE()</f>
        <v>1</v>
      </c>
      <c r="E103" t="b">
        <f>COUNTIF(connections!A:A, A103) &gt; 0</f>
        <v>0</v>
      </c>
      <c r="G103" t="s">
        <v>7818</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7470</v>
      </c>
    </row>
    <row r="113" spans="1:10" ht="15" customHeight="1" x14ac:dyDescent="0.25">
      <c r="A113" t="s">
        <v>536</v>
      </c>
      <c r="B113">
        <v>2013</v>
      </c>
      <c r="C113" t="s">
        <v>179</v>
      </c>
      <c r="D113" t="b">
        <f>TRUE()</f>
        <v>1</v>
      </c>
      <c r="E113" t="b">
        <f>COUNTIF(connections!A:A, A113) &gt; 0</f>
        <v>1</v>
      </c>
      <c r="F113" t="s">
        <v>458</v>
      </c>
      <c r="G113" t="s">
        <v>537</v>
      </c>
      <c r="H113" t="s">
        <v>187</v>
      </c>
      <c r="I113" t="s">
        <v>7471</v>
      </c>
    </row>
    <row r="114" spans="1:10" ht="15" customHeight="1" x14ac:dyDescent="0.25">
      <c r="A114" t="s">
        <v>538</v>
      </c>
      <c r="B114">
        <v>2025</v>
      </c>
      <c r="C114" t="s">
        <v>179</v>
      </c>
      <c r="D114" t="b">
        <f>TRUE()</f>
        <v>1</v>
      </c>
      <c r="E114" t="b">
        <f>COUNTIF(connections!A:A, A114) &gt; 0</f>
        <v>0</v>
      </c>
      <c r="F114" t="s">
        <v>458</v>
      </c>
      <c r="G114" t="s">
        <v>539</v>
      </c>
      <c r="H114" t="s">
        <v>187</v>
      </c>
      <c r="I114" t="s">
        <v>7472</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8336</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9940</v>
      </c>
      <c r="B123">
        <v>2020</v>
      </c>
      <c r="C123" t="s">
        <v>222</v>
      </c>
      <c r="D123" t="b">
        <v>0</v>
      </c>
      <c r="E123" t="b">
        <f>COUNTIF(connections!A:A, A123) &gt; 0</f>
        <v>0</v>
      </c>
      <c r="G123" t="s">
        <v>9941</v>
      </c>
      <c r="J123" s="10" t="s">
        <v>9942</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8314</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8119</v>
      </c>
      <c r="J135" s="10" t="s">
        <v>8120</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7640</v>
      </c>
      <c r="B144">
        <v>2026</v>
      </c>
      <c r="C144" t="s">
        <v>222</v>
      </c>
      <c r="D144" t="b">
        <f>TRUE()</f>
        <v>1</v>
      </c>
      <c r="E144" t="b">
        <f>COUNTIF(connections!A:A, A144) &gt; 0</f>
        <v>0</v>
      </c>
      <c r="G144" t="s">
        <v>7639</v>
      </c>
      <c r="J144" s="10" t="s">
        <v>7638</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9870</v>
      </c>
      <c r="B147">
        <v>2025</v>
      </c>
      <c r="C147" t="s">
        <v>176</v>
      </c>
      <c r="D147" t="b">
        <v>1</v>
      </c>
      <c r="E147" t="b">
        <f>COUNTIF(connections!A:A, A147) &gt; 0</f>
        <v>0</v>
      </c>
      <c r="G147" t="s">
        <v>9871</v>
      </c>
      <c r="H147" t="s">
        <v>187</v>
      </c>
      <c r="I147" t="s">
        <v>9873</v>
      </c>
      <c r="J147" s="10" t="s">
        <v>9872</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14108</v>
      </c>
      <c r="B150">
        <v>2026</v>
      </c>
      <c r="C150" t="s">
        <v>176</v>
      </c>
      <c r="D150" t="b">
        <v>1</v>
      </c>
      <c r="E150" t="b">
        <f>COUNTIF(connections!A:A, A150) &gt; 0</f>
        <v>0</v>
      </c>
      <c r="G150" t="s">
        <v>14112</v>
      </c>
      <c r="J150" s="10" t="s">
        <v>14113</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9446</v>
      </c>
      <c r="G152" t="s">
        <v>653</v>
      </c>
      <c r="H152" t="s">
        <v>187</v>
      </c>
      <c r="I152" t="s">
        <v>654</v>
      </c>
      <c r="J152" s="1" t="s">
        <v>655</v>
      </c>
    </row>
    <row r="153" spans="1:10" ht="15" customHeight="1" x14ac:dyDescent="0.25">
      <c r="A153" t="s">
        <v>9900</v>
      </c>
      <c r="B153">
        <v>2024</v>
      </c>
      <c r="C153" t="s">
        <v>222</v>
      </c>
      <c r="D153" t="b">
        <v>1</v>
      </c>
      <c r="E153" t="b">
        <f>COUNTIF(connections!A:A, A153) &gt; 0</f>
        <v>0</v>
      </c>
      <c r="F153" t="s">
        <v>9902</v>
      </c>
      <c r="G153" t="s">
        <v>9901</v>
      </c>
      <c r="H153" t="s">
        <v>187</v>
      </c>
      <c r="I153" t="s">
        <v>9906</v>
      </c>
      <c r="J153" s="10" t="s">
        <v>9903</v>
      </c>
    </row>
    <row r="154" spans="1:10" ht="15" customHeight="1" x14ac:dyDescent="0.25">
      <c r="A154" t="s">
        <v>656</v>
      </c>
      <c r="B154">
        <v>2025</v>
      </c>
      <c r="C154" t="s">
        <v>179</v>
      </c>
      <c r="D154" t="b">
        <f>TRUE()</f>
        <v>1</v>
      </c>
      <c r="E154" t="b">
        <f>COUNTIF(connections!A:A, A154) &gt; 0</f>
        <v>0</v>
      </c>
      <c r="F154" t="s">
        <v>6949</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7821</v>
      </c>
      <c r="B174">
        <v>2026</v>
      </c>
      <c r="C174" t="s">
        <v>176</v>
      </c>
      <c r="D174" t="b">
        <f>TRUE()</f>
        <v>1</v>
      </c>
      <c r="E174" t="b">
        <f>COUNTIF(connections!A:A, A174) &gt; 0</f>
        <v>0</v>
      </c>
      <c r="G174" t="s">
        <v>7822</v>
      </c>
      <c r="J174" s="10" t="s">
        <v>7823</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7942</v>
      </c>
      <c r="B198">
        <v>2026</v>
      </c>
      <c r="C198" t="s">
        <v>176</v>
      </c>
      <c r="D198" t="b">
        <f>TRUE()</f>
        <v>1</v>
      </c>
      <c r="E198" t="b">
        <f>COUNTIF(connections!A:A, A198) &gt; 0</f>
        <v>0</v>
      </c>
      <c r="F198" t="s">
        <v>617</v>
      </c>
      <c r="G198" t="s">
        <v>7943</v>
      </c>
      <c r="J198" s="10" t="s">
        <v>7944</v>
      </c>
    </row>
    <row r="199" spans="1:10" ht="15" customHeight="1" x14ac:dyDescent="0.25">
      <c r="A199" t="s">
        <v>811</v>
      </c>
      <c r="B199">
        <v>2024</v>
      </c>
      <c r="C199" t="s">
        <v>176</v>
      </c>
      <c r="D199" t="b">
        <f>TRUE()</f>
        <v>1</v>
      </c>
      <c r="E199" t="b">
        <f>COUNTIF(connections!A:A, A199) &gt; 0</f>
        <v>1</v>
      </c>
      <c r="F199" t="s">
        <v>617</v>
      </c>
      <c r="G199" t="s">
        <v>812</v>
      </c>
      <c r="H199" t="s">
        <v>187</v>
      </c>
      <c r="I199" t="s">
        <v>9852</v>
      </c>
      <c r="J199" s="10" t="s">
        <v>9853</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8385</v>
      </c>
      <c r="B209">
        <v>2018</v>
      </c>
      <c r="C209" t="s">
        <v>222</v>
      </c>
      <c r="D209" t="b">
        <v>1</v>
      </c>
      <c r="E209" t="b">
        <f>COUNTIF(connections!A:A, A209) &gt; 0</f>
        <v>1</v>
      </c>
      <c r="G209" t="s">
        <v>8387</v>
      </c>
      <c r="J209" s="10" t="s">
        <v>8386</v>
      </c>
    </row>
    <row r="210" spans="1:10" ht="15" customHeight="1" x14ac:dyDescent="0.25">
      <c r="A210" t="s">
        <v>8384</v>
      </c>
      <c r="B210">
        <v>2021</v>
      </c>
      <c r="C210" t="s">
        <v>176</v>
      </c>
      <c r="D210" t="b">
        <f>TRUE()</f>
        <v>1</v>
      </c>
      <c r="E210" t="b">
        <f>COUNTIF(connections!A:A, A210) &gt; 0</f>
        <v>1</v>
      </c>
      <c r="G210" t="s">
        <v>842</v>
      </c>
      <c r="H210" t="s">
        <v>187</v>
      </c>
      <c r="I210" t="s">
        <v>843</v>
      </c>
      <c r="J210" s="1" t="s">
        <v>844</v>
      </c>
    </row>
    <row r="211" spans="1:10" ht="15" customHeight="1" x14ac:dyDescent="0.25">
      <c r="A211" t="s">
        <v>9956</v>
      </c>
      <c r="B211">
        <v>2026</v>
      </c>
      <c r="C211" t="s">
        <v>176</v>
      </c>
      <c r="D211" t="b">
        <v>1</v>
      </c>
      <c r="E211" t="b">
        <f>COUNTIF(connections!A:A, A211) &gt; 0</f>
        <v>0</v>
      </c>
      <c r="G211" t="s">
        <v>9957</v>
      </c>
      <c r="J211" s="10" t="s">
        <v>9958</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9879</v>
      </c>
      <c r="B213">
        <v>2022</v>
      </c>
      <c r="C213" t="s">
        <v>176</v>
      </c>
      <c r="D213" t="b">
        <v>1</v>
      </c>
      <c r="E213" t="b">
        <f>COUNTIF(connections!A:A, A213) &gt; 0</f>
        <v>0</v>
      </c>
      <c r="G213" t="s">
        <v>9880</v>
      </c>
      <c r="H213" t="s">
        <v>187</v>
      </c>
      <c r="I213" t="s">
        <v>9882</v>
      </c>
      <c r="J213" s="10" t="s">
        <v>9881</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8303</v>
      </c>
      <c r="B222">
        <v>2026</v>
      </c>
      <c r="C222" t="s">
        <v>182</v>
      </c>
      <c r="D222" t="b">
        <f>TRUE()</f>
        <v>1</v>
      </c>
      <c r="E222" t="b">
        <f>COUNTIF(connections!A:A, A222) &gt; 0</f>
        <v>0</v>
      </c>
      <c r="F222" t="s">
        <v>315</v>
      </c>
      <c r="G222" t="s">
        <v>8304</v>
      </c>
      <c r="J222" s="10" t="s">
        <v>8305</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7836</v>
      </c>
      <c r="B243">
        <v>2026</v>
      </c>
      <c r="C243" t="s">
        <v>179</v>
      </c>
      <c r="D243" t="b">
        <f>TRUE()</f>
        <v>1</v>
      </c>
      <c r="E243" t="b">
        <f>COUNTIF(connections!A:A, A243) &gt; 0</f>
        <v>0</v>
      </c>
      <c r="G243" t="s">
        <v>7850</v>
      </c>
      <c r="J243" s="10" t="s">
        <v>7837</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7978</v>
      </c>
      <c r="B250">
        <v>2026</v>
      </c>
      <c r="C250" t="s">
        <v>176</v>
      </c>
      <c r="D250" t="b">
        <f>TRUE()</f>
        <v>1</v>
      </c>
      <c r="E250" t="b">
        <f>COUNTIF(connections!A:A, A250) &gt; 0</f>
        <v>0</v>
      </c>
      <c r="G250" t="s">
        <v>7979</v>
      </c>
      <c r="J250" s="10" t="s">
        <v>7980</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7861</v>
      </c>
      <c r="J262" s="10" t="s">
        <v>7862</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8315</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6949</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8316</v>
      </c>
      <c r="J295" s="10" t="s">
        <v>8317</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9937</v>
      </c>
      <c r="B308">
        <v>2025</v>
      </c>
      <c r="C308" t="s">
        <v>176</v>
      </c>
      <c r="D308" t="b">
        <v>0</v>
      </c>
      <c r="E308" t="b">
        <f>COUNTIF(connections!A:A, A308) &gt; 0</f>
        <v>0</v>
      </c>
      <c r="G308" t="s">
        <v>9938</v>
      </c>
      <c r="J308" s="10" t="s">
        <v>9939</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9846</v>
      </c>
      <c r="B313">
        <v>2018</v>
      </c>
      <c r="C313" t="s">
        <v>179</v>
      </c>
      <c r="D313" t="b">
        <v>1</v>
      </c>
      <c r="E313" t="b">
        <f>COUNTIF(connections!A:A, A313) &gt; 0</f>
        <v>0</v>
      </c>
      <c r="G313" t="s">
        <v>9845</v>
      </c>
      <c r="H313" t="s">
        <v>187</v>
      </c>
      <c r="I313" t="s">
        <v>9851</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7694</v>
      </c>
      <c r="B350">
        <v>2025</v>
      </c>
      <c r="C350" t="s">
        <v>176</v>
      </c>
      <c r="D350" t="b">
        <f>TRUE()</f>
        <v>1</v>
      </c>
      <c r="E350" t="b">
        <f>COUNTIF(connections!A:A, A350) &gt; 0</f>
        <v>0</v>
      </c>
      <c r="G350" t="s">
        <v>7695</v>
      </c>
      <c r="H350" t="s">
        <v>187</v>
      </c>
      <c r="I350" t="s">
        <v>7698</v>
      </c>
      <c r="J350" s="10" t="s">
        <v>7696</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8125</v>
      </c>
      <c r="J358" s="10" t="s">
        <v>8126</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7847</v>
      </c>
      <c r="B360">
        <v>2026</v>
      </c>
      <c r="C360" t="s">
        <v>182</v>
      </c>
      <c r="D360" t="b">
        <f>TRUE()</f>
        <v>1</v>
      </c>
      <c r="E360" t="b">
        <f>COUNTIF(connections!A:A, A360) &gt; 0</f>
        <v>0</v>
      </c>
      <c r="G360" t="s">
        <v>7848</v>
      </c>
      <c r="J360" s="10" t="s">
        <v>7849</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8410</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7982</v>
      </c>
      <c r="B399">
        <v>2026</v>
      </c>
      <c r="C399" t="s">
        <v>182</v>
      </c>
      <c r="D399" t="b">
        <f>TRUE()</f>
        <v>1</v>
      </c>
      <c r="E399" t="b">
        <f>COUNTIF(connections!A:A, A399) &gt; 0</f>
        <v>0</v>
      </c>
      <c r="G399" t="s">
        <v>7983</v>
      </c>
      <c r="J399" s="10" t="s">
        <v>7984</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9934</v>
      </c>
      <c r="B413">
        <v>2026</v>
      </c>
      <c r="C413" t="s">
        <v>222</v>
      </c>
      <c r="D413" t="b">
        <v>0</v>
      </c>
      <c r="E413" t="b">
        <f>COUNTIF(connections!A:A, A413) &gt; 0</f>
        <v>0</v>
      </c>
      <c r="G413" t="s">
        <v>9935</v>
      </c>
      <c r="J413" s="10" t="s">
        <v>9936</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7973</v>
      </c>
      <c r="B416">
        <v>2026</v>
      </c>
      <c r="C416" t="s">
        <v>176</v>
      </c>
      <c r="D416" t="b">
        <f>TRUE()</f>
        <v>1</v>
      </c>
      <c r="E416" t="b">
        <f>COUNTIF(connections!A:A, A416) &gt; 0</f>
        <v>0</v>
      </c>
      <c r="G416" t="s">
        <v>7974</v>
      </c>
      <c r="J416" s="10" t="s">
        <v>7975</v>
      </c>
    </row>
    <row r="417" spans="1:10" ht="15" customHeight="1" x14ac:dyDescent="0.25">
      <c r="A417" t="s">
        <v>1490</v>
      </c>
      <c r="B417">
        <v>2025</v>
      </c>
      <c r="C417" t="s">
        <v>222</v>
      </c>
      <c r="D417" t="b">
        <v>1</v>
      </c>
      <c r="E417" t="b">
        <f>COUNTIF(connections!A:A, A417) &gt; 0</f>
        <v>0</v>
      </c>
      <c r="G417" t="s">
        <v>1491</v>
      </c>
      <c r="H417" t="s">
        <v>187</v>
      </c>
      <c r="I417" t="s">
        <v>12679</v>
      </c>
      <c r="J417" s="10" t="s">
        <v>12680</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9914</v>
      </c>
      <c r="B420">
        <v>2017</v>
      </c>
      <c r="C420" t="s">
        <v>222</v>
      </c>
      <c r="D420" t="b">
        <v>0</v>
      </c>
      <c r="E420" t="b">
        <f>COUNTIF(connections!A:A, A420) &gt; 0</f>
        <v>0</v>
      </c>
      <c r="G420" t="s">
        <v>9915</v>
      </c>
      <c r="H420" t="s">
        <v>187</v>
      </c>
      <c r="I420" t="s">
        <v>9917</v>
      </c>
      <c r="J420" s="10" t="s">
        <v>9916</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8091</v>
      </c>
      <c r="B429">
        <v>2013</v>
      </c>
      <c r="C429" t="s">
        <v>176</v>
      </c>
      <c r="D429" t="b">
        <f>TRUE()</f>
        <v>1</v>
      </c>
      <c r="E429" t="b">
        <f>COUNTIF(connections!A:A, A429) &gt; 0</f>
        <v>0</v>
      </c>
      <c r="G429" t="s">
        <v>8092</v>
      </c>
      <c r="J429" s="10" t="s">
        <v>8093</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7948</v>
      </c>
      <c r="B431">
        <v>2026</v>
      </c>
      <c r="C431" t="s">
        <v>222</v>
      </c>
      <c r="D431" t="b">
        <f>TRUE()</f>
        <v>1</v>
      </c>
      <c r="E431" t="b">
        <f>COUNTIF(connections!A:A, A431) &gt; 0</f>
        <v>0</v>
      </c>
      <c r="G431" t="s">
        <v>7949</v>
      </c>
      <c r="J431" s="10" t="s">
        <v>7950</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7986</v>
      </c>
      <c r="B435">
        <v>2026</v>
      </c>
      <c r="C435" t="s">
        <v>182</v>
      </c>
      <c r="D435" t="b">
        <f>TRUE()</f>
        <v>1</v>
      </c>
      <c r="E435" t="b">
        <f>COUNTIF(connections!A:A, A435) &gt; 0</f>
        <v>0</v>
      </c>
      <c r="G435" t="s">
        <v>7987</v>
      </c>
      <c r="J435" s="10" t="s">
        <v>7988</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9855</v>
      </c>
      <c r="J442" s="10" t="s">
        <v>9856</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9819</v>
      </c>
      <c r="B444">
        <v>2024</v>
      </c>
      <c r="C444" t="s">
        <v>222</v>
      </c>
      <c r="D444" t="b">
        <v>1</v>
      </c>
      <c r="E444" t="b">
        <f>COUNTIF(connections!A:A, A444) &gt; 0</f>
        <v>0</v>
      </c>
      <c r="G444" t="s">
        <v>9820</v>
      </c>
      <c r="J444" s="10" t="s">
        <v>9821</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7859</v>
      </c>
      <c r="J448" s="10" t="s">
        <v>7860</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9885</v>
      </c>
      <c r="B454">
        <v>2022</v>
      </c>
      <c r="C454" t="s">
        <v>176</v>
      </c>
      <c r="D454" t="b">
        <v>1</v>
      </c>
      <c r="E454" t="b">
        <f>COUNTIF(connections!A:A, A454) &gt; 0</f>
        <v>0</v>
      </c>
      <c r="G454" t="s">
        <v>9886</v>
      </c>
      <c r="H454" t="s">
        <v>187</v>
      </c>
      <c r="I454" t="s">
        <v>9890</v>
      </c>
      <c r="J454" s="10" t="s">
        <v>9887</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9979</v>
      </c>
      <c r="B498">
        <v>2026</v>
      </c>
      <c r="C498" t="s">
        <v>182</v>
      </c>
      <c r="D498" t="b">
        <v>0</v>
      </c>
      <c r="E498" t="b">
        <f>COUNTIF(connections!A:A, A498) &gt; 0</f>
        <v>0</v>
      </c>
      <c r="G498" t="s">
        <v>9980</v>
      </c>
      <c r="J498" s="10" t="s">
        <v>9981</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7810</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9876</v>
      </c>
      <c r="B555">
        <v>2021</v>
      </c>
      <c r="C555" t="s">
        <v>176</v>
      </c>
      <c r="D555" t="b">
        <v>0</v>
      </c>
      <c r="E555" t="b">
        <f>COUNTIF(connections!A:A, A555) &gt; 0</f>
        <v>0</v>
      </c>
      <c r="G555" t="s">
        <v>9877</v>
      </c>
      <c r="H555" t="s">
        <v>187</v>
      </c>
      <c r="I555" t="s">
        <v>9878</v>
      </c>
      <c r="J555" s="10" t="s">
        <v>9875</v>
      </c>
    </row>
    <row r="556" spans="1:10" ht="15" customHeight="1" x14ac:dyDescent="0.25">
      <c r="A556" t="s">
        <v>7824</v>
      </c>
      <c r="B556">
        <v>2026</v>
      </c>
      <c r="C556" t="s">
        <v>182</v>
      </c>
      <c r="D556" t="b">
        <f>TRUE()</f>
        <v>1</v>
      </c>
      <c r="E556" t="b">
        <f>COUNTIF(connections!A:A, A556) &gt; 0</f>
        <v>0</v>
      </c>
      <c r="G556" t="s">
        <v>7807</v>
      </c>
      <c r="J556" s="10" t="s">
        <v>7808</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7911</v>
      </c>
      <c r="B564">
        <v>2026</v>
      </c>
      <c r="C564" t="s">
        <v>176</v>
      </c>
      <c r="D564" t="b">
        <f>TRUE()</f>
        <v>1</v>
      </c>
      <c r="E564" t="b">
        <f>COUNTIF(connections!A:A, A564) &gt; 0</f>
        <v>0</v>
      </c>
      <c r="G564" t="s">
        <v>7912</v>
      </c>
      <c r="J564" s="10" t="s">
        <v>7913</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12685</v>
      </c>
      <c r="B571">
        <v>2026</v>
      </c>
      <c r="C571" t="s">
        <v>176</v>
      </c>
      <c r="D571" t="b">
        <v>1</v>
      </c>
      <c r="E571" t="b">
        <f>COUNTIF(connections!A:A, A571) &gt; 0</f>
        <v>0</v>
      </c>
      <c r="G571" t="s">
        <v>12686</v>
      </c>
      <c r="J571" s="10" t="s">
        <v>12687</v>
      </c>
    </row>
    <row r="572" spans="1:10" ht="15" customHeight="1" x14ac:dyDescent="0.25">
      <c r="A572" t="s">
        <v>8109</v>
      </c>
      <c r="B572">
        <v>2026</v>
      </c>
      <c r="C572" t="s">
        <v>176</v>
      </c>
      <c r="D572" t="b">
        <f>TRUE()</f>
        <v>1</v>
      </c>
      <c r="E572" t="b">
        <f>COUNTIF(connections!A:A, A572) &gt; 0</f>
        <v>0</v>
      </c>
      <c r="F572" t="s">
        <v>1030</v>
      </c>
      <c r="G572" t="s">
        <v>8110</v>
      </c>
      <c r="J572" s="10" t="s">
        <v>8111</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7641</v>
      </c>
      <c r="B575">
        <v>2026</v>
      </c>
      <c r="C575" t="s">
        <v>176</v>
      </c>
      <c r="D575" t="b">
        <f>TRUE()</f>
        <v>1</v>
      </c>
      <c r="E575" t="b">
        <f>COUNTIF(connections!A:A, A575) &gt; 0</f>
        <v>0</v>
      </c>
      <c r="G575" t="s">
        <v>7642</v>
      </c>
      <c r="J575" s="10" t="s">
        <v>7643</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9918</v>
      </c>
      <c r="B578">
        <v>2025</v>
      </c>
      <c r="C578" t="s">
        <v>176</v>
      </c>
      <c r="D578" t="b">
        <v>1</v>
      </c>
      <c r="E578" t="b">
        <f>COUNTIF(connections!A:A, A578) &gt; 0</f>
        <v>0</v>
      </c>
      <c r="G578" t="s">
        <v>9920</v>
      </c>
      <c r="H578" t="s">
        <v>187</v>
      </c>
      <c r="I578" t="s">
        <v>9922</v>
      </c>
      <c r="J578" s="10" t="s">
        <v>9919</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8318</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8319</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7930</v>
      </c>
      <c r="B596">
        <v>2026</v>
      </c>
      <c r="C596" t="s">
        <v>176</v>
      </c>
      <c r="D596" t="b">
        <f>TRUE()</f>
        <v>1</v>
      </c>
      <c r="E596" t="b">
        <f>COUNTIF(connections!A:A, A596) &gt; 0</f>
        <v>0</v>
      </c>
      <c r="F596" t="s">
        <v>1985</v>
      </c>
      <c r="G596" t="s">
        <v>7931</v>
      </c>
      <c r="H596" t="s">
        <v>187</v>
      </c>
      <c r="I596" t="s">
        <v>7932</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2021</v>
      </c>
      <c r="B599">
        <v>2020</v>
      </c>
      <c r="C599" t="s">
        <v>222</v>
      </c>
      <c r="D599" t="b">
        <f>TRUE()</f>
        <v>1</v>
      </c>
      <c r="E599" t="b">
        <f>COUNTIF(connections!A:A, A599) &gt; 0</f>
        <v>1</v>
      </c>
      <c r="G599" t="s">
        <v>2022</v>
      </c>
    </row>
    <row r="600" spans="1:10" ht="15" customHeight="1" x14ac:dyDescent="0.25">
      <c r="A600" t="s">
        <v>2023</v>
      </c>
      <c r="B600">
        <v>2003</v>
      </c>
      <c r="C600" t="s">
        <v>179</v>
      </c>
      <c r="D600" t="b">
        <f>TRUE()</f>
        <v>1</v>
      </c>
      <c r="E600" t="b">
        <f>COUNTIF(connections!A:A, A600) &gt; 0</f>
        <v>1</v>
      </c>
      <c r="G600" t="s">
        <v>2024</v>
      </c>
      <c r="H600" t="s">
        <v>187</v>
      </c>
      <c r="I600" t="s">
        <v>2025</v>
      </c>
    </row>
    <row r="601" spans="1:10" ht="15" customHeight="1" x14ac:dyDescent="0.25">
      <c r="A601" t="s">
        <v>9946</v>
      </c>
      <c r="B601">
        <v>2026</v>
      </c>
      <c r="C601" t="s">
        <v>182</v>
      </c>
      <c r="D601" t="b">
        <v>0</v>
      </c>
      <c r="E601" t="b">
        <f>COUNTIF(connections!A:A, A601) &gt; 0</f>
        <v>0</v>
      </c>
      <c r="G601" t="s">
        <v>9947</v>
      </c>
      <c r="J601" s="10" t="s">
        <v>9948</v>
      </c>
    </row>
    <row r="602" spans="1:10" ht="15" customHeight="1" x14ac:dyDescent="0.25">
      <c r="A602" t="s">
        <v>2026</v>
      </c>
      <c r="B602">
        <v>2024</v>
      </c>
      <c r="C602" t="s">
        <v>176</v>
      </c>
      <c r="D602" t="b">
        <f>TRUE()</f>
        <v>1</v>
      </c>
      <c r="E602" t="b">
        <f>COUNTIF(connections!A:A, A602) &gt; 0</f>
        <v>0</v>
      </c>
      <c r="G602" t="s">
        <v>2027</v>
      </c>
    </row>
    <row r="603" spans="1:10" ht="15" customHeight="1" x14ac:dyDescent="0.25">
      <c r="A603" t="s">
        <v>9949</v>
      </c>
      <c r="B603">
        <v>2026</v>
      </c>
      <c r="C603" t="s">
        <v>176</v>
      </c>
      <c r="D603" t="b">
        <v>0</v>
      </c>
      <c r="E603" t="b">
        <f>COUNTIF(connections!A:A, A603) &gt; 0</f>
        <v>0</v>
      </c>
      <c r="G603" t="s">
        <v>9951</v>
      </c>
      <c r="J603" s="10" t="s">
        <v>9950</v>
      </c>
    </row>
    <row r="604" spans="1:10" ht="15" customHeight="1" x14ac:dyDescent="0.25">
      <c r="A604" t="s">
        <v>2028</v>
      </c>
      <c r="B604">
        <v>2026</v>
      </c>
      <c r="C604" t="s">
        <v>222</v>
      </c>
      <c r="D604" t="b">
        <f>TRUE()</f>
        <v>1</v>
      </c>
      <c r="E604" t="b">
        <f>COUNTIF(connections!A:A, A604) &gt; 0</f>
        <v>0</v>
      </c>
      <c r="F604" t="s">
        <v>731</v>
      </c>
      <c r="G604" t="s">
        <v>2029</v>
      </c>
      <c r="J604" s="1" t="s">
        <v>2030</v>
      </c>
    </row>
    <row r="605" spans="1:10" ht="15" customHeight="1" x14ac:dyDescent="0.25">
      <c r="A605" t="s">
        <v>2031</v>
      </c>
      <c r="B605">
        <v>2022</v>
      </c>
      <c r="C605" t="s">
        <v>176</v>
      </c>
      <c r="D605" t="b">
        <f>TRUE()</f>
        <v>1</v>
      </c>
      <c r="E605" t="b">
        <f>COUNTIF(connections!A:A, A605) &gt; 0</f>
        <v>0</v>
      </c>
      <c r="G605" t="s">
        <v>2032</v>
      </c>
      <c r="H605" t="s">
        <v>187</v>
      </c>
      <c r="I605" t="s">
        <v>2033</v>
      </c>
      <c r="J605" s="1" t="s">
        <v>2034</v>
      </c>
    </row>
    <row r="606" spans="1:10" ht="15" customHeight="1" x14ac:dyDescent="0.25">
      <c r="A606" t="s">
        <v>8097</v>
      </c>
      <c r="B606">
        <v>2024</v>
      </c>
      <c r="C606" t="s">
        <v>182</v>
      </c>
      <c r="D606" t="b">
        <f>TRUE()</f>
        <v>1</v>
      </c>
      <c r="E606" t="b">
        <f>COUNTIF(connections!A:A, A606) &gt; 0</f>
        <v>0</v>
      </c>
      <c r="G606" t="s">
        <v>8098</v>
      </c>
      <c r="J606" s="10" t="s">
        <v>8099</v>
      </c>
    </row>
    <row r="607" spans="1:10" ht="15" customHeight="1" x14ac:dyDescent="0.25">
      <c r="A607" t="s">
        <v>2035</v>
      </c>
      <c r="B607">
        <v>2023</v>
      </c>
      <c r="C607" t="s">
        <v>179</v>
      </c>
      <c r="D607" t="b">
        <f>TRUE()</f>
        <v>1</v>
      </c>
      <c r="E607" t="b">
        <f>COUNTIF(connections!A:A, A607) &gt; 0</f>
        <v>0</v>
      </c>
      <c r="G607" t="s">
        <v>2036</v>
      </c>
      <c r="H607" t="s">
        <v>187</v>
      </c>
      <c r="I607" t="s">
        <v>2037</v>
      </c>
      <c r="J607" s="1" t="s">
        <v>2038</v>
      </c>
    </row>
    <row r="608" spans="1:10" ht="15" customHeight="1" x14ac:dyDescent="0.25">
      <c r="A608" t="s">
        <v>2039</v>
      </c>
      <c r="B608">
        <v>2014</v>
      </c>
      <c r="C608" t="s">
        <v>179</v>
      </c>
      <c r="D608" t="b">
        <f>TRUE()</f>
        <v>1</v>
      </c>
      <c r="E608" t="b">
        <f>COUNTIF(connections!A:A, A608) &gt; 0</f>
        <v>0</v>
      </c>
      <c r="G608" t="s">
        <v>2040</v>
      </c>
      <c r="H608" t="s">
        <v>187</v>
      </c>
      <c r="I608" t="s">
        <v>2041</v>
      </c>
      <c r="J608" s="1" t="s">
        <v>2042</v>
      </c>
    </row>
    <row r="609" spans="1:10" ht="15" customHeight="1" x14ac:dyDescent="0.25">
      <c r="A609" t="s">
        <v>2043</v>
      </c>
      <c r="B609">
        <v>2024</v>
      </c>
      <c r="C609" t="s">
        <v>176</v>
      </c>
      <c r="D609" t="b">
        <v>1</v>
      </c>
      <c r="E609" t="b">
        <f>COUNTIF(connections!A:A, A609) &gt; 0</f>
        <v>0</v>
      </c>
      <c r="G609" t="s">
        <v>2044</v>
      </c>
      <c r="H609" t="s">
        <v>187</v>
      </c>
      <c r="I609" t="s">
        <v>7863</v>
      </c>
      <c r="J609" s="10" t="s">
        <v>7864</v>
      </c>
    </row>
    <row r="610" spans="1:10" ht="15" customHeight="1" x14ac:dyDescent="0.25">
      <c r="A610" t="s">
        <v>2045</v>
      </c>
      <c r="B610">
        <v>2026</v>
      </c>
      <c r="C610" t="s">
        <v>182</v>
      </c>
      <c r="D610" t="b">
        <f>TRUE()</f>
        <v>1</v>
      </c>
      <c r="E610" t="b">
        <f>COUNTIF(connections!A:A, A610) &gt; 0</f>
        <v>0</v>
      </c>
      <c r="F610" t="s">
        <v>354</v>
      </c>
      <c r="G610" t="s">
        <v>2046</v>
      </c>
      <c r="H610" t="s">
        <v>187</v>
      </c>
      <c r="I610" t="s">
        <v>2047</v>
      </c>
      <c r="J610" s="1" t="s">
        <v>2048</v>
      </c>
    </row>
    <row r="611" spans="1:10" ht="15" customHeight="1" x14ac:dyDescent="0.25">
      <c r="A611" t="s">
        <v>2049</v>
      </c>
      <c r="B611">
        <v>2024</v>
      </c>
      <c r="C611" t="s">
        <v>222</v>
      </c>
      <c r="D611" t="b">
        <f>TRUE()</f>
        <v>1</v>
      </c>
      <c r="E611" t="b">
        <f>COUNTIF(connections!A:A, A611) &gt; 0</f>
        <v>0</v>
      </c>
      <c r="G611" t="s">
        <v>2050</v>
      </c>
      <c r="H611" t="s">
        <v>187</v>
      </c>
      <c r="I611" t="s">
        <v>2051</v>
      </c>
      <c r="J611" s="1" t="s">
        <v>2052</v>
      </c>
    </row>
    <row r="612" spans="1:10" ht="15" customHeight="1" x14ac:dyDescent="0.25">
      <c r="A612" t="s">
        <v>2053</v>
      </c>
      <c r="B612">
        <v>1992</v>
      </c>
      <c r="C612" t="s">
        <v>179</v>
      </c>
      <c r="D612" t="b">
        <f>TRUE()</f>
        <v>1</v>
      </c>
      <c r="E612" t="b">
        <f>COUNTIF(connections!A:A, A612) &gt; 0</f>
        <v>1</v>
      </c>
      <c r="G612" t="s">
        <v>2054</v>
      </c>
      <c r="H612" t="s">
        <v>187</v>
      </c>
      <c r="I612" t="s">
        <v>2055</v>
      </c>
    </row>
    <row r="613" spans="1:10" ht="15" customHeight="1" x14ac:dyDescent="0.25">
      <c r="A613" t="s">
        <v>2056</v>
      </c>
      <c r="B613">
        <v>2024</v>
      </c>
      <c r="C613" t="s">
        <v>176</v>
      </c>
      <c r="D613" t="b">
        <f>TRUE()</f>
        <v>1</v>
      </c>
      <c r="E613" t="b">
        <f>COUNTIF(connections!A:A, A613) &gt; 0</f>
        <v>0</v>
      </c>
      <c r="G613" t="s">
        <v>2057</v>
      </c>
    </row>
    <row r="614" spans="1:10" ht="15" customHeight="1" x14ac:dyDescent="0.25">
      <c r="A614" t="s">
        <v>2058</v>
      </c>
      <c r="B614">
        <v>2015</v>
      </c>
      <c r="C614" t="s">
        <v>176</v>
      </c>
      <c r="D614" t="b">
        <f>TRUE()</f>
        <v>1</v>
      </c>
      <c r="E614" t="b">
        <f>COUNTIF(connections!A:A, A614) &gt; 0</f>
        <v>0</v>
      </c>
      <c r="G614" t="s">
        <v>2059</v>
      </c>
      <c r="J614" s="10" t="s">
        <v>2060</v>
      </c>
    </row>
    <row r="615" spans="1:10" ht="15" customHeight="1" x14ac:dyDescent="0.25">
      <c r="A615" t="s">
        <v>7915</v>
      </c>
      <c r="B615">
        <v>2026</v>
      </c>
      <c r="C615" t="s">
        <v>179</v>
      </c>
      <c r="D615" t="b">
        <f>TRUE()</f>
        <v>1</v>
      </c>
      <c r="E615" t="b">
        <f>COUNTIF(connections!A:A, A615) &gt; 0</f>
        <v>0</v>
      </c>
      <c r="G615" t="s">
        <v>7917</v>
      </c>
      <c r="J615" s="10" t="s">
        <v>7918</v>
      </c>
    </row>
    <row r="616" spans="1:10" ht="15" customHeight="1" x14ac:dyDescent="0.25">
      <c r="A616" t="s">
        <v>9943</v>
      </c>
      <c r="B616">
        <v>2025</v>
      </c>
      <c r="C616" t="s">
        <v>176</v>
      </c>
      <c r="D616" t="b">
        <v>0</v>
      </c>
      <c r="E616" t="b">
        <f>COUNTIF(connections!A:A, A616) &gt; 0</f>
        <v>0</v>
      </c>
      <c r="G616" t="s">
        <v>9944</v>
      </c>
      <c r="J616" s="10" t="s">
        <v>9945</v>
      </c>
    </row>
    <row r="617" spans="1:10" ht="15" customHeight="1" x14ac:dyDescent="0.25">
      <c r="A617" t="s">
        <v>2061</v>
      </c>
      <c r="B617">
        <v>2019</v>
      </c>
      <c r="C617" t="s">
        <v>182</v>
      </c>
      <c r="D617" t="b">
        <f>TRUE()</f>
        <v>1</v>
      </c>
      <c r="E617" t="b">
        <f>COUNTIF(connections!A:A, A617) &gt; 0</f>
        <v>0</v>
      </c>
      <c r="G617" t="s">
        <v>2062</v>
      </c>
      <c r="H617" t="s">
        <v>187</v>
      </c>
      <c r="I617" t="s">
        <v>2063</v>
      </c>
      <c r="J617" s="1" t="s">
        <v>2064</v>
      </c>
    </row>
    <row r="618" spans="1:10" ht="15" customHeight="1" x14ac:dyDescent="0.25">
      <c r="A618" t="s">
        <v>2065</v>
      </c>
      <c r="B618">
        <v>2023</v>
      </c>
      <c r="C618" t="s">
        <v>176</v>
      </c>
      <c r="D618" t="b">
        <f>TRUE()</f>
        <v>1</v>
      </c>
      <c r="E618" t="b">
        <f>COUNTIF(connections!A:A, A618) &gt; 0</f>
        <v>1</v>
      </c>
      <c r="G618" t="s">
        <v>2066</v>
      </c>
      <c r="H618" t="s">
        <v>187</v>
      </c>
      <c r="I618" t="s">
        <v>2067</v>
      </c>
      <c r="J618" s="1" t="s">
        <v>2068</v>
      </c>
    </row>
    <row r="619" spans="1:10" ht="15" customHeight="1" x14ac:dyDescent="0.25">
      <c r="A619" t="s">
        <v>2069</v>
      </c>
      <c r="B619">
        <v>2025</v>
      </c>
      <c r="C619" t="s">
        <v>176</v>
      </c>
      <c r="D619" t="b">
        <f>TRUE()</f>
        <v>1</v>
      </c>
      <c r="E619" t="b">
        <f>COUNTIF(connections!A:A, A619) &gt; 0</f>
        <v>0</v>
      </c>
      <c r="F619" t="s">
        <v>274</v>
      </c>
      <c r="G619" t="s">
        <v>2070</v>
      </c>
    </row>
    <row r="620" spans="1:10" ht="15" customHeight="1" x14ac:dyDescent="0.25">
      <c r="A620" t="s">
        <v>2071</v>
      </c>
      <c r="B620">
        <v>2024</v>
      </c>
      <c r="C620" t="s">
        <v>176</v>
      </c>
      <c r="D620" t="b">
        <f>TRUE()</f>
        <v>1</v>
      </c>
      <c r="E620" t="b">
        <f>COUNTIF(connections!A:A, A620) &gt; 0</f>
        <v>0</v>
      </c>
      <c r="G620" t="s">
        <v>2072</v>
      </c>
    </row>
    <row r="621" spans="1:10" ht="15" customHeight="1" x14ac:dyDescent="0.25">
      <c r="A621" t="s">
        <v>2073</v>
      </c>
      <c r="B621">
        <v>2010</v>
      </c>
      <c r="C621" t="s">
        <v>176</v>
      </c>
      <c r="D621" t="b">
        <f>TRUE()</f>
        <v>1</v>
      </c>
      <c r="E621" t="b">
        <f>COUNTIF(connections!A:A, A621) &gt; 0</f>
        <v>1</v>
      </c>
      <c r="G621" t="s">
        <v>2074</v>
      </c>
      <c r="H621" t="s">
        <v>187</v>
      </c>
      <c r="I621" t="s">
        <v>2075</v>
      </c>
      <c r="J621" s="1" t="s">
        <v>2076</v>
      </c>
    </row>
    <row r="622" spans="1:10" ht="15" customHeight="1" x14ac:dyDescent="0.25">
      <c r="A622" t="s">
        <v>2077</v>
      </c>
      <c r="B622">
        <v>2012</v>
      </c>
      <c r="C622" t="s">
        <v>176</v>
      </c>
      <c r="D622" t="b">
        <f>TRUE()</f>
        <v>1</v>
      </c>
      <c r="E622" t="b">
        <f>COUNTIF(connections!A:A, A622) &gt; 0</f>
        <v>0</v>
      </c>
      <c r="G622" t="s">
        <v>2078</v>
      </c>
      <c r="H622" t="s">
        <v>187</v>
      </c>
      <c r="I622" t="s">
        <v>2079</v>
      </c>
    </row>
    <row r="623" spans="1:10" ht="15" customHeight="1" x14ac:dyDescent="0.25">
      <c r="A623" t="s">
        <v>7905</v>
      </c>
      <c r="B623">
        <v>2025</v>
      </c>
      <c r="C623" t="s">
        <v>176</v>
      </c>
      <c r="D623" t="b">
        <f>TRUE()</f>
        <v>1</v>
      </c>
      <c r="E623" t="b">
        <f>COUNTIF(connections!A:A, A623) &gt; 0</f>
        <v>0</v>
      </c>
      <c r="G623" t="s">
        <v>7906</v>
      </c>
      <c r="H623" t="s">
        <v>187</v>
      </c>
      <c r="I623" t="s">
        <v>7909</v>
      </c>
      <c r="J623" s="10" t="s">
        <v>7907</v>
      </c>
    </row>
    <row r="624" spans="1:10" ht="15" customHeight="1" x14ac:dyDescent="0.25">
      <c r="A624" t="s">
        <v>2080</v>
      </c>
      <c r="B624">
        <v>2015</v>
      </c>
      <c r="C624" t="s">
        <v>222</v>
      </c>
      <c r="D624" t="b">
        <f>TRUE()</f>
        <v>1</v>
      </c>
      <c r="E624" t="b">
        <f>COUNTIF(connections!A:A, A624) &gt; 0</f>
        <v>1</v>
      </c>
      <c r="G624" t="s">
        <v>2081</v>
      </c>
      <c r="H624" t="s">
        <v>187</v>
      </c>
      <c r="I624" t="s">
        <v>2082</v>
      </c>
      <c r="J624" s="10" t="s">
        <v>2083</v>
      </c>
    </row>
    <row r="625" spans="1:10" ht="15" customHeight="1" x14ac:dyDescent="0.25">
      <c r="A625" t="s">
        <v>2084</v>
      </c>
      <c r="B625">
        <v>2022</v>
      </c>
      <c r="C625" t="s">
        <v>176</v>
      </c>
      <c r="D625" t="b">
        <f>TRUE()</f>
        <v>1</v>
      </c>
      <c r="E625" t="b">
        <f>COUNTIF(connections!A:A, A625) &gt; 0</f>
        <v>0</v>
      </c>
      <c r="G625" t="s">
        <v>2085</v>
      </c>
      <c r="H625" t="s">
        <v>187</v>
      </c>
      <c r="I625" t="s">
        <v>2086</v>
      </c>
      <c r="J625" s="1" t="s">
        <v>2087</v>
      </c>
    </row>
    <row r="626" spans="1:10" ht="15" customHeight="1" x14ac:dyDescent="0.25">
      <c r="A626" t="s">
        <v>2088</v>
      </c>
      <c r="B626">
        <v>2025</v>
      </c>
      <c r="C626" t="s">
        <v>182</v>
      </c>
      <c r="D626" t="b">
        <f>TRUE()</f>
        <v>1</v>
      </c>
      <c r="E626" t="b">
        <f>COUNTIF(connections!A:A, A626) &gt; 0</f>
        <v>0</v>
      </c>
      <c r="G626" t="s">
        <v>2089</v>
      </c>
      <c r="J626" s="10" t="s">
        <v>2090</v>
      </c>
    </row>
    <row r="627" spans="1:10" ht="15" customHeight="1" x14ac:dyDescent="0.25">
      <c r="A627" t="s">
        <v>2091</v>
      </c>
      <c r="B627">
        <v>2023</v>
      </c>
      <c r="C627" t="s">
        <v>176</v>
      </c>
      <c r="D627" t="b">
        <f>TRUE()</f>
        <v>1</v>
      </c>
      <c r="E627" t="b">
        <f>COUNTIF(connections!A:A, A627) &gt; 0</f>
        <v>0</v>
      </c>
      <c r="G627" t="s">
        <v>2092</v>
      </c>
      <c r="H627" t="s">
        <v>187</v>
      </c>
      <c r="I627" t="s">
        <v>2093</v>
      </c>
      <c r="J627" s="1" t="s">
        <v>2094</v>
      </c>
    </row>
    <row r="628" spans="1:10" ht="15" customHeight="1" x14ac:dyDescent="0.25">
      <c r="A628" t="s">
        <v>2095</v>
      </c>
      <c r="B628">
        <v>2023</v>
      </c>
      <c r="C628" t="s">
        <v>176</v>
      </c>
      <c r="D628" t="b">
        <f>TRUE()</f>
        <v>1</v>
      </c>
      <c r="E628" t="b">
        <f>COUNTIF(connections!A:A, A628) &gt; 0</f>
        <v>1</v>
      </c>
      <c r="G628" t="s">
        <v>2096</v>
      </c>
      <c r="H628" t="s">
        <v>187</v>
      </c>
      <c r="I628" t="s">
        <v>2097</v>
      </c>
      <c r="J628" s="1" t="s">
        <v>2098</v>
      </c>
    </row>
    <row r="629" spans="1:10" ht="15" customHeight="1" x14ac:dyDescent="0.25">
      <c r="A629" t="s">
        <v>2099</v>
      </c>
      <c r="B629">
        <v>2021</v>
      </c>
      <c r="C629" t="s">
        <v>176</v>
      </c>
      <c r="D629" t="b">
        <f>TRUE()</f>
        <v>1</v>
      </c>
      <c r="E629" t="b">
        <f>COUNTIF(connections!A:A, A629) &gt; 0</f>
        <v>1</v>
      </c>
      <c r="G629" t="s">
        <v>2100</v>
      </c>
      <c r="H629" t="s">
        <v>187</v>
      </c>
      <c r="I629" t="s">
        <v>2101</v>
      </c>
      <c r="J629" s="1" t="s">
        <v>2102</v>
      </c>
    </row>
    <row r="630" spans="1:10" ht="15" customHeight="1" x14ac:dyDescent="0.25">
      <c r="A630" t="s">
        <v>2103</v>
      </c>
      <c r="B630">
        <v>2025</v>
      </c>
      <c r="C630" t="s">
        <v>176</v>
      </c>
      <c r="D630" t="b">
        <f>TRUE()</f>
        <v>1</v>
      </c>
      <c r="E630" t="b">
        <f>COUNTIF(connections!A:A, A630) &gt; 0</f>
        <v>0</v>
      </c>
      <c r="F630" t="s">
        <v>399</v>
      </c>
      <c r="G630" t="s">
        <v>2104</v>
      </c>
      <c r="H630" t="s">
        <v>187</v>
      </c>
      <c r="I630" t="s">
        <v>2105</v>
      </c>
      <c r="J630" s="1" t="s">
        <v>2106</v>
      </c>
    </row>
    <row r="631" spans="1:10" ht="15" customHeight="1" x14ac:dyDescent="0.25">
      <c r="A631" t="s">
        <v>2107</v>
      </c>
      <c r="B631">
        <v>2020</v>
      </c>
      <c r="C631" t="s">
        <v>179</v>
      </c>
      <c r="D631" t="b">
        <f>TRUE()</f>
        <v>1</v>
      </c>
      <c r="E631" t="b">
        <f>COUNTIF(connections!A:A, A631) &gt; 0</f>
        <v>1</v>
      </c>
      <c r="G631" t="s">
        <v>2108</v>
      </c>
      <c r="H631" t="s">
        <v>187</v>
      </c>
      <c r="I631" t="s">
        <v>2109</v>
      </c>
      <c r="J631" s="1" t="s">
        <v>2110</v>
      </c>
    </row>
    <row r="632" spans="1:10" ht="15" customHeight="1" x14ac:dyDescent="0.25">
      <c r="A632" t="s">
        <v>2111</v>
      </c>
      <c r="B632">
        <v>2024</v>
      </c>
      <c r="C632" t="s">
        <v>179</v>
      </c>
      <c r="D632" t="b">
        <f>TRUE()</f>
        <v>1</v>
      </c>
      <c r="E632" t="b">
        <f>COUNTIF(connections!A:A, A632) &gt; 0</f>
        <v>1</v>
      </c>
      <c r="G632" t="s">
        <v>2112</v>
      </c>
      <c r="H632" t="s">
        <v>187</v>
      </c>
      <c r="I632" t="s">
        <v>2113</v>
      </c>
      <c r="J632" s="1" t="s">
        <v>2114</v>
      </c>
    </row>
    <row r="633" spans="1:10" ht="15" customHeight="1" x14ac:dyDescent="0.25">
      <c r="A633" t="s">
        <v>2115</v>
      </c>
      <c r="B633">
        <v>2026</v>
      </c>
      <c r="C633" t="s">
        <v>179</v>
      </c>
      <c r="D633" t="b">
        <f>TRUE()</f>
        <v>1</v>
      </c>
      <c r="E633" t="b">
        <f>COUNTIF(connections!A:A, A633) &gt; 0</f>
        <v>0</v>
      </c>
      <c r="G633" t="s">
        <v>2116</v>
      </c>
      <c r="J633" s="1" t="s">
        <v>2117</v>
      </c>
    </row>
    <row r="634" spans="1:10" ht="15" customHeight="1" x14ac:dyDescent="0.25">
      <c r="A634" t="s">
        <v>7920</v>
      </c>
      <c r="B634">
        <v>2026</v>
      </c>
      <c r="C634" t="s">
        <v>176</v>
      </c>
      <c r="D634" t="b">
        <f>TRUE()</f>
        <v>1</v>
      </c>
      <c r="E634" t="b">
        <f>COUNTIF(connections!A:A, A634) &gt; 0</f>
        <v>0</v>
      </c>
      <c r="G634" t="s">
        <v>7921</v>
      </c>
      <c r="J634" s="10" t="s">
        <v>7922</v>
      </c>
    </row>
    <row r="635" spans="1:10" ht="15" customHeight="1" x14ac:dyDescent="0.25">
      <c r="A635" t="s">
        <v>2118</v>
      </c>
      <c r="B635">
        <v>2022</v>
      </c>
      <c r="C635" t="s">
        <v>182</v>
      </c>
      <c r="D635" t="b">
        <f>TRUE()</f>
        <v>1</v>
      </c>
      <c r="E635" t="b">
        <f>COUNTIF(connections!A:A, A635) &gt; 0</f>
        <v>0</v>
      </c>
      <c r="G635" t="s">
        <v>2119</v>
      </c>
      <c r="H635" t="s">
        <v>187</v>
      </c>
      <c r="I635" t="s">
        <v>2120</v>
      </c>
      <c r="J635" s="1" t="s">
        <v>2121</v>
      </c>
    </row>
    <row r="636" spans="1:10" ht="15" customHeight="1" x14ac:dyDescent="0.25">
      <c r="A636" t="s">
        <v>2122</v>
      </c>
      <c r="B636">
        <v>2020</v>
      </c>
      <c r="C636" t="s">
        <v>222</v>
      </c>
      <c r="D636" t="b">
        <f>TRUE()</f>
        <v>1</v>
      </c>
      <c r="E636" t="b">
        <f>COUNTIF(connections!A:A, A636) &gt; 0</f>
        <v>1</v>
      </c>
      <c r="G636" t="s">
        <v>2123</v>
      </c>
      <c r="H636" t="s">
        <v>187</v>
      </c>
      <c r="I636" t="s">
        <v>2124</v>
      </c>
      <c r="J636" s="1" t="s">
        <v>2125</v>
      </c>
    </row>
    <row r="637" spans="1:10" ht="15" customHeight="1" x14ac:dyDescent="0.25">
      <c r="A637" t="s">
        <v>2126</v>
      </c>
      <c r="B637">
        <v>2025</v>
      </c>
      <c r="C637" t="s">
        <v>182</v>
      </c>
      <c r="D637" t="b">
        <f>FALSE()</f>
        <v>0</v>
      </c>
      <c r="E637" t="b">
        <f>COUNTIF(connections!A:A, A637) &gt; 0</f>
        <v>0</v>
      </c>
      <c r="G637" t="s">
        <v>2127</v>
      </c>
      <c r="H637" t="s">
        <v>187</v>
      </c>
      <c r="I637" t="s">
        <v>2128</v>
      </c>
      <c r="J637" s="1" t="s">
        <v>2129</v>
      </c>
    </row>
    <row r="638" spans="1:10" ht="15" customHeight="1" x14ac:dyDescent="0.25">
      <c r="A638" t="s">
        <v>2130</v>
      </c>
      <c r="B638">
        <v>2017</v>
      </c>
      <c r="C638" t="s">
        <v>176</v>
      </c>
      <c r="D638" t="b">
        <f>TRUE()</f>
        <v>1</v>
      </c>
      <c r="E638" t="b">
        <f>COUNTIF(connections!A:A, A638) &gt; 0</f>
        <v>1</v>
      </c>
      <c r="G638" t="s">
        <v>2131</v>
      </c>
    </row>
    <row r="639" spans="1:10" ht="15" customHeight="1" x14ac:dyDescent="0.25">
      <c r="A639" t="s">
        <v>2132</v>
      </c>
      <c r="B639">
        <v>2013</v>
      </c>
      <c r="C639" t="s">
        <v>176</v>
      </c>
      <c r="D639" t="b">
        <f>TRUE()</f>
        <v>1</v>
      </c>
      <c r="E639" t="b">
        <f>COUNTIF(connections!A:A, A639) &gt; 0</f>
        <v>1</v>
      </c>
      <c r="F639" t="s">
        <v>274</v>
      </c>
      <c r="G639" t="s">
        <v>2133</v>
      </c>
      <c r="H639" t="s">
        <v>187</v>
      </c>
      <c r="I639" t="s">
        <v>2134</v>
      </c>
      <c r="J639" s="1" t="s">
        <v>2135</v>
      </c>
    </row>
    <row r="640" spans="1:10" ht="15" customHeight="1" x14ac:dyDescent="0.25">
      <c r="A640" t="s">
        <v>2136</v>
      </c>
      <c r="B640">
        <v>2020</v>
      </c>
      <c r="C640" t="s">
        <v>176</v>
      </c>
      <c r="D640" t="b">
        <f>TRUE()</f>
        <v>1</v>
      </c>
      <c r="E640" t="b">
        <f>COUNTIF(connections!A:A, A640) &gt; 0</f>
        <v>1</v>
      </c>
      <c r="F640" t="s">
        <v>274</v>
      </c>
      <c r="G640" t="s">
        <v>2137</v>
      </c>
      <c r="H640" t="s">
        <v>187</v>
      </c>
      <c r="I640" t="s">
        <v>2138</v>
      </c>
      <c r="J640" s="1" t="s">
        <v>2139</v>
      </c>
    </row>
    <row r="641" spans="1:10" ht="15" customHeight="1" x14ac:dyDescent="0.25">
      <c r="A641" t="s">
        <v>2140</v>
      </c>
      <c r="B641">
        <v>2023</v>
      </c>
      <c r="C641" t="s">
        <v>176</v>
      </c>
      <c r="D641" t="b">
        <f>TRUE()</f>
        <v>1</v>
      </c>
      <c r="E641" t="b">
        <f>COUNTIF(connections!A:A, A641) &gt; 0</f>
        <v>0</v>
      </c>
      <c r="F641" t="s">
        <v>274</v>
      </c>
      <c r="G641" t="s">
        <v>2141</v>
      </c>
      <c r="H641" t="s">
        <v>187</v>
      </c>
      <c r="I641" t="s">
        <v>2142</v>
      </c>
      <c r="J641" s="1" t="s">
        <v>2143</v>
      </c>
    </row>
    <row r="642" spans="1:10" ht="15" customHeight="1" x14ac:dyDescent="0.25">
      <c r="A642" t="s">
        <v>2144</v>
      </c>
      <c r="B642">
        <v>2014</v>
      </c>
      <c r="C642" t="s">
        <v>222</v>
      </c>
      <c r="D642" t="b">
        <f>TRUE()</f>
        <v>1</v>
      </c>
      <c r="E642" t="b">
        <f>COUNTIF(connections!A:A, A642) &gt; 0</f>
        <v>0</v>
      </c>
      <c r="G642" t="s">
        <v>2145</v>
      </c>
    </row>
    <row r="643" spans="1:10" ht="15" customHeight="1" x14ac:dyDescent="0.25">
      <c r="A643" t="s">
        <v>2146</v>
      </c>
      <c r="B643">
        <v>2020</v>
      </c>
      <c r="C643" t="s">
        <v>176</v>
      </c>
      <c r="D643" t="b">
        <f>TRUE()</f>
        <v>1</v>
      </c>
      <c r="E643" t="b">
        <f>COUNTIF(connections!A:A, A643) &gt; 0</f>
        <v>1</v>
      </c>
      <c r="G643" t="s">
        <v>2147</v>
      </c>
      <c r="H643" t="s">
        <v>187</v>
      </c>
      <c r="I643" t="s">
        <v>2148</v>
      </c>
      <c r="J643" s="1" t="s">
        <v>2149</v>
      </c>
    </row>
    <row r="644" spans="1:10" ht="15" customHeight="1" x14ac:dyDescent="0.25">
      <c r="A644" t="s">
        <v>2150</v>
      </c>
      <c r="B644">
        <v>2024</v>
      </c>
      <c r="C644" t="s">
        <v>176</v>
      </c>
      <c r="D644" t="b">
        <f>TRUE()</f>
        <v>1</v>
      </c>
      <c r="E644" t="b">
        <f>COUNTIF(connections!A:A, A644) &gt; 0</f>
        <v>0</v>
      </c>
      <c r="F644" t="s">
        <v>274</v>
      </c>
      <c r="G644" t="s">
        <v>2151</v>
      </c>
      <c r="H644" t="s">
        <v>187</v>
      </c>
      <c r="I644" t="s">
        <v>2152</v>
      </c>
      <c r="J644" s="1" t="s">
        <v>2153</v>
      </c>
    </row>
    <row r="645" spans="1:10" ht="15" customHeight="1" x14ac:dyDescent="0.25">
      <c r="A645" t="s">
        <v>2154</v>
      </c>
      <c r="B645">
        <v>1980</v>
      </c>
      <c r="C645" t="s">
        <v>179</v>
      </c>
      <c r="D645" t="b">
        <f>TRUE()</f>
        <v>1</v>
      </c>
      <c r="E645" t="b">
        <f>COUNTIF(connections!A:A, A645) &gt; 0</f>
        <v>1</v>
      </c>
      <c r="G645" t="s">
        <v>2155</v>
      </c>
      <c r="H645" t="s">
        <v>187</v>
      </c>
      <c r="I645" t="s">
        <v>2156</v>
      </c>
      <c r="J645" s="1" t="s">
        <v>2157</v>
      </c>
    </row>
    <row r="646" spans="1:10" ht="15" customHeight="1" x14ac:dyDescent="0.25">
      <c r="A646" t="s">
        <v>9825</v>
      </c>
      <c r="B646">
        <v>2026</v>
      </c>
      <c r="C646" t="s">
        <v>176</v>
      </c>
      <c r="D646" t="b">
        <v>1</v>
      </c>
      <c r="E646" t="b">
        <f>COUNTIF(connections!A:A, A646) &gt; 0</f>
        <v>0</v>
      </c>
      <c r="G646" t="s">
        <v>9826</v>
      </c>
      <c r="J646" s="10" t="s">
        <v>9827</v>
      </c>
    </row>
    <row r="647" spans="1:10" ht="15" customHeight="1" x14ac:dyDescent="0.25">
      <c r="A647" t="s">
        <v>2158</v>
      </c>
      <c r="B647">
        <v>2024</v>
      </c>
      <c r="C647" t="s">
        <v>222</v>
      </c>
      <c r="D647" t="b">
        <f>TRUE()</f>
        <v>1</v>
      </c>
      <c r="E647" t="b">
        <f>COUNTIF(connections!A:A, A647) &gt; 0</f>
        <v>0</v>
      </c>
      <c r="G647" t="s">
        <v>2159</v>
      </c>
    </row>
    <row r="648" spans="1:10" ht="15" customHeight="1" x14ac:dyDescent="0.25">
      <c r="A648" t="s">
        <v>2160</v>
      </c>
      <c r="B648">
        <v>2019</v>
      </c>
      <c r="C648" t="s">
        <v>179</v>
      </c>
      <c r="D648" t="b">
        <f>TRUE()</f>
        <v>1</v>
      </c>
      <c r="E648" t="b">
        <f>COUNTIF(connections!A:A, A648) &gt; 0</f>
        <v>0</v>
      </c>
      <c r="G648" t="s">
        <v>2161</v>
      </c>
    </row>
    <row r="649" spans="1:10" ht="15" customHeight="1" x14ac:dyDescent="0.25">
      <c r="A649" t="s">
        <v>2162</v>
      </c>
      <c r="B649">
        <v>2026</v>
      </c>
      <c r="C649" t="s">
        <v>176</v>
      </c>
      <c r="D649" t="b">
        <f>TRUE()</f>
        <v>1</v>
      </c>
      <c r="E649" t="b">
        <f>COUNTIF(connections!A:A, A649) &gt; 0</f>
        <v>0</v>
      </c>
      <c r="G649" t="s">
        <v>2163</v>
      </c>
    </row>
    <row r="650" spans="1:10" ht="15" customHeight="1" x14ac:dyDescent="0.25">
      <c r="A650" t="s">
        <v>2164</v>
      </c>
      <c r="B650">
        <v>2024</v>
      </c>
      <c r="C650" t="s">
        <v>176</v>
      </c>
      <c r="D650" t="b">
        <f>FALSE()</f>
        <v>0</v>
      </c>
      <c r="E650" t="b">
        <f>COUNTIF(connections!A:A, A650) &gt; 0</f>
        <v>0</v>
      </c>
      <c r="F650" t="s">
        <v>274</v>
      </c>
      <c r="G650" t="s">
        <v>2165</v>
      </c>
    </row>
    <row r="651" spans="1:10" ht="15" customHeight="1" x14ac:dyDescent="0.25">
      <c r="A651" t="s">
        <v>2166</v>
      </c>
      <c r="B651">
        <v>2007</v>
      </c>
      <c r="C651" t="s">
        <v>179</v>
      </c>
      <c r="D651" t="b">
        <f>TRUE()</f>
        <v>1</v>
      </c>
      <c r="E651" t="b">
        <f>COUNTIF(connections!A:A, A651) &gt; 0</f>
        <v>0</v>
      </c>
      <c r="G651" t="s">
        <v>2167</v>
      </c>
      <c r="H651" t="s">
        <v>187</v>
      </c>
      <c r="I651" t="s">
        <v>2168</v>
      </c>
    </row>
    <row r="652" spans="1:10" ht="15" customHeight="1" x14ac:dyDescent="0.25">
      <c r="A652" t="s">
        <v>2169</v>
      </c>
      <c r="B652">
        <v>2021</v>
      </c>
      <c r="C652" t="s">
        <v>176</v>
      </c>
      <c r="D652" t="b">
        <f>TRUE()</f>
        <v>1</v>
      </c>
      <c r="E652" t="b">
        <f>COUNTIF(connections!A:A, A652) &gt; 0</f>
        <v>0</v>
      </c>
      <c r="G652" t="s">
        <v>2170</v>
      </c>
      <c r="H652" t="s">
        <v>187</v>
      </c>
      <c r="I652" t="s">
        <v>2171</v>
      </c>
      <c r="J652" s="1" t="s">
        <v>2172</v>
      </c>
    </row>
    <row r="653" spans="1:10" ht="15" customHeight="1" x14ac:dyDescent="0.25">
      <c r="A653" t="s">
        <v>2173</v>
      </c>
      <c r="B653">
        <v>2013</v>
      </c>
      <c r="C653" t="s">
        <v>176</v>
      </c>
      <c r="D653" t="b">
        <f>TRUE()</f>
        <v>1</v>
      </c>
      <c r="E653" t="b">
        <f>COUNTIF(connections!A:A, A653) &gt; 0</f>
        <v>1</v>
      </c>
      <c r="G653" t="s">
        <v>2174</v>
      </c>
      <c r="H653" t="s">
        <v>187</v>
      </c>
      <c r="I653" t="s">
        <v>2175</v>
      </c>
      <c r="J653" s="1" t="s">
        <v>2176</v>
      </c>
    </row>
    <row r="654" spans="1:10" ht="15" customHeight="1" x14ac:dyDescent="0.25">
      <c r="A654" t="s">
        <v>2177</v>
      </c>
      <c r="B654">
        <v>2020</v>
      </c>
      <c r="C654" t="s">
        <v>176</v>
      </c>
      <c r="D654" t="b">
        <f>TRUE()</f>
        <v>1</v>
      </c>
      <c r="E654" t="b">
        <f>COUNTIF(connections!A:A, A654) &gt; 0</f>
        <v>0</v>
      </c>
      <c r="G654" t="s">
        <v>2178</v>
      </c>
      <c r="H654" t="s">
        <v>187</v>
      </c>
      <c r="I654" t="s">
        <v>2179</v>
      </c>
      <c r="J654" s="1" t="s">
        <v>2180</v>
      </c>
    </row>
    <row r="655" spans="1:10" ht="15" customHeight="1" x14ac:dyDescent="0.25">
      <c r="A655" t="s">
        <v>2181</v>
      </c>
      <c r="B655">
        <v>2021</v>
      </c>
      <c r="C655" t="s">
        <v>222</v>
      </c>
      <c r="D655" t="b">
        <f>TRUE()</f>
        <v>1</v>
      </c>
      <c r="E655" t="b">
        <f>COUNTIF(connections!A:A, A655) &gt; 0</f>
        <v>0</v>
      </c>
      <c r="F655" t="s">
        <v>1805</v>
      </c>
      <c r="G655" t="s">
        <v>2182</v>
      </c>
      <c r="H655" t="s">
        <v>187</v>
      </c>
      <c r="I655" t="s">
        <v>2183</v>
      </c>
      <c r="J655" s="1" t="s">
        <v>2184</v>
      </c>
    </row>
    <row r="656" spans="1:10" ht="15" customHeight="1" x14ac:dyDescent="0.25">
      <c r="A656" t="s">
        <v>2185</v>
      </c>
      <c r="B656">
        <v>2022</v>
      </c>
      <c r="C656" t="s">
        <v>222</v>
      </c>
      <c r="D656" t="b">
        <f>TRUE()</f>
        <v>1</v>
      </c>
      <c r="E656" t="b">
        <f>COUNTIF(connections!A:A, A656) &gt; 0</f>
        <v>1</v>
      </c>
      <c r="F656" t="s">
        <v>404</v>
      </c>
      <c r="G656" t="s">
        <v>2186</v>
      </c>
    </row>
    <row r="657" spans="1:10" ht="15" customHeight="1" x14ac:dyDescent="0.25">
      <c r="A657" t="s">
        <v>2187</v>
      </c>
      <c r="B657">
        <v>2024</v>
      </c>
      <c r="C657" t="s">
        <v>182</v>
      </c>
      <c r="D657" t="b">
        <v>1</v>
      </c>
      <c r="E657" t="b">
        <f>COUNTIF(connections!A:A, A657) &gt; 0</f>
        <v>0</v>
      </c>
      <c r="G657" t="s">
        <v>2188</v>
      </c>
      <c r="J657" s="10" t="s">
        <v>2189</v>
      </c>
    </row>
    <row r="658" spans="1:10" ht="15" customHeight="1" x14ac:dyDescent="0.25">
      <c r="A658" t="s">
        <v>2190</v>
      </c>
      <c r="B658">
        <v>2016</v>
      </c>
      <c r="C658" t="s">
        <v>222</v>
      </c>
      <c r="D658" t="b">
        <v>1</v>
      </c>
      <c r="E658" t="b">
        <f>COUNTIF(connections!A:A, A658) &gt; 0</f>
        <v>0</v>
      </c>
      <c r="G658" t="s">
        <v>2191</v>
      </c>
    </row>
    <row r="659" spans="1:10" ht="15" customHeight="1" x14ac:dyDescent="0.25">
      <c r="A659" t="s">
        <v>2192</v>
      </c>
      <c r="B659">
        <v>2022</v>
      </c>
      <c r="C659" t="s">
        <v>176</v>
      </c>
      <c r="D659" t="b">
        <f>TRUE()</f>
        <v>1</v>
      </c>
      <c r="E659" t="b">
        <f>COUNTIF(connections!A:A, A659) &gt; 0</f>
        <v>1</v>
      </c>
      <c r="G659" t="s">
        <v>2193</v>
      </c>
      <c r="H659" t="s">
        <v>187</v>
      </c>
      <c r="I659" t="s">
        <v>2194</v>
      </c>
      <c r="J659" s="1" t="s">
        <v>2195</v>
      </c>
    </row>
    <row r="660" spans="1:10" ht="15" customHeight="1" x14ac:dyDescent="0.25">
      <c r="A660" t="s">
        <v>2196</v>
      </c>
      <c r="B660">
        <v>2021</v>
      </c>
      <c r="C660" t="s">
        <v>182</v>
      </c>
      <c r="D660" t="b">
        <f>TRUE()</f>
        <v>1</v>
      </c>
      <c r="E660" t="b">
        <f>COUNTIF(connections!A:A, A660) &gt; 0</f>
        <v>1</v>
      </c>
      <c r="G660" t="s">
        <v>2197</v>
      </c>
      <c r="H660" t="s">
        <v>187</v>
      </c>
      <c r="I660" t="s">
        <v>2198</v>
      </c>
      <c r="J660" s="1" t="s">
        <v>2199</v>
      </c>
    </row>
    <row r="661" spans="1:10" ht="15" customHeight="1" x14ac:dyDescent="0.25">
      <c r="A661" t="s">
        <v>2200</v>
      </c>
      <c r="B661">
        <v>2023</v>
      </c>
      <c r="C661" t="s">
        <v>179</v>
      </c>
      <c r="D661" t="b">
        <f>TRUE()</f>
        <v>1</v>
      </c>
      <c r="E661" t="b">
        <f>COUNTIF(connections!A:A, A661) &gt; 0</f>
        <v>0</v>
      </c>
      <c r="G661" t="s">
        <v>2201</v>
      </c>
    </row>
    <row r="662" spans="1:10" ht="15" customHeight="1" x14ac:dyDescent="0.25">
      <c r="A662" t="s">
        <v>2202</v>
      </c>
      <c r="B662">
        <v>2026</v>
      </c>
      <c r="C662" t="s">
        <v>182</v>
      </c>
      <c r="D662" t="b">
        <f>TRUE()</f>
        <v>1</v>
      </c>
      <c r="E662" t="b">
        <f>COUNTIF(connections!A:A, A662) &gt; 0</f>
        <v>0</v>
      </c>
      <c r="F662" t="s">
        <v>354</v>
      </c>
      <c r="G662" t="s">
        <v>2203</v>
      </c>
    </row>
    <row r="663" spans="1:10" ht="15" customHeight="1" x14ac:dyDescent="0.25">
      <c r="A663" t="s">
        <v>2204</v>
      </c>
      <c r="B663">
        <v>2014</v>
      </c>
      <c r="C663" t="s">
        <v>179</v>
      </c>
      <c r="D663" t="b">
        <f>TRUE()</f>
        <v>1</v>
      </c>
      <c r="E663" t="b">
        <f>COUNTIF(connections!A:A, A663) &gt; 0</f>
        <v>0</v>
      </c>
      <c r="G663" t="s">
        <v>2205</v>
      </c>
      <c r="J663" s="1" t="s">
        <v>2206</v>
      </c>
    </row>
    <row r="664" spans="1:10" ht="15" customHeight="1" x14ac:dyDescent="0.25">
      <c r="A664" t="s">
        <v>2207</v>
      </c>
      <c r="B664">
        <v>2022</v>
      </c>
      <c r="C664" t="s">
        <v>222</v>
      </c>
      <c r="D664" t="b">
        <f>FALSE()</f>
        <v>0</v>
      </c>
      <c r="E664" t="b">
        <f>COUNTIF(connections!A:A, A664) &gt; 0</f>
        <v>0</v>
      </c>
      <c r="G664" t="s">
        <v>2208</v>
      </c>
      <c r="H664" t="s">
        <v>187</v>
      </c>
      <c r="I664" t="s">
        <v>2209</v>
      </c>
      <c r="J664" s="1" t="s">
        <v>2210</v>
      </c>
    </row>
    <row r="665" spans="1:10" ht="15" customHeight="1" x14ac:dyDescent="0.25">
      <c r="A665" t="s">
        <v>2211</v>
      </c>
      <c r="B665">
        <v>2021</v>
      </c>
      <c r="C665" t="s">
        <v>222</v>
      </c>
      <c r="D665" t="b">
        <f>TRUE()</f>
        <v>1</v>
      </c>
      <c r="E665" t="b">
        <f>COUNTIF(connections!A:A, A665) &gt; 0</f>
        <v>1</v>
      </c>
      <c r="F665" t="s">
        <v>315</v>
      </c>
      <c r="G665" t="s">
        <v>2212</v>
      </c>
      <c r="H665" t="s">
        <v>187</v>
      </c>
      <c r="I665" t="s">
        <v>2213</v>
      </c>
      <c r="J665" s="1" t="s">
        <v>2214</v>
      </c>
    </row>
    <row r="666" spans="1:10" ht="15" customHeight="1" x14ac:dyDescent="0.25">
      <c r="A666" t="s">
        <v>2215</v>
      </c>
      <c r="B666">
        <v>2024</v>
      </c>
      <c r="C666" t="s">
        <v>222</v>
      </c>
      <c r="D666" t="b">
        <f>TRUE()</f>
        <v>1</v>
      </c>
      <c r="E666" t="b">
        <f>COUNTIF(connections!A:A, A666) &gt; 0</f>
        <v>0</v>
      </c>
      <c r="F666" t="s">
        <v>315</v>
      </c>
      <c r="G666" t="s">
        <v>2216</v>
      </c>
      <c r="H666" t="s">
        <v>187</v>
      </c>
      <c r="I666" t="s">
        <v>2217</v>
      </c>
      <c r="J666" s="1" t="s">
        <v>2218</v>
      </c>
    </row>
    <row r="667" spans="1:10" ht="15" customHeight="1" x14ac:dyDescent="0.25">
      <c r="A667" t="s">
        <v>2219</v>
      </c>
      <c r="B667">
        <v>2026</v>
      </c>
      <c r="C667" t="s">
        <v>182</v>
      </c>
      <c r="D667" t="b">
        <v>1</v>
      </c>
      <c r="E667" t="b">
        <f>COUNTIF(connections!A:A, A667) &gt; 0</f>
        <v>0</v>
      </c>
      <c r="G667" t="s">
        <v>2220</v>
      </c>
      <c r="J667" s="10" t="s">
        <v>2221</v>
      </c>
    </row>
    <row r="668" spans="1:10" ht="15" customHeight="1" x14ac:dyDescent="0.25">
      <c r="A668" t="s">
        <v>2222</v>
      </c>
      <c r="B668">
        <v>2025</v>
      </c>
      <c r="C668" t="s">
        <v>182</v>
      </c>
      <c r="D668" t="b">
        <f>TRUE()</f>
        <v>1</v>
      </c>
      <c r="E668" t="b">
        <f>COUNTIF(connections!A:A, A668) &gt; 0</f>
        <v>0</v>
      </c>
      <c r="F668" t="s">
        <v>354</v>
      </c>
      <c r="G668" t="s">
        <v>2223</v>
      </c>
      <c r="J668" s="10" t="s">
        <v>2224</v>
      </c>
    </row>
    <row r="669" spans="1:10" ht="15" customHeight="1" x14ac:dyDescent="0.25">
      <c r="A669" t="s">
        <v>2225</v>
      </c>
      <c r="B669">
        <v>2021</v>
      </c>
      <c r="C669" t="s">
        <v>176</v>
      </c>
      <c r="D669" t="b">
        <f>FALSE()</f>
        <v>0</v>
      </c>
      <c r="E669" t="b">
        <f>COUNTIF(connections!A:A, A669) &gt; 0</f>
        <v>1</v>
      </c>
      <c r="G669" t="s">
        <v>2226</v>
      </c>
      <c r="H669" t="s">
        <v>187</v>
      </c>
      <c r="I669" t="s">
        <v>2227</v>
      </c>
      <c r="J669" s="1" t="s">
        <v>2228</v>
      </c>
    </row>
    <row r="670" spans="1:10" ht="15" customHeight="1" x14ac:dyDescent="0.25">
      <c r="A670" t="s">
        <v>2229</v>
      </c>
      <c r="B670">
        <v>2026</v>
      </c>
      <c r="C670" t="s">
        <v>182</v>
      </c>
      <c r="D670" t="b">
        <f>TRUE()</f>
        <v>1</v>
      </c>
      <c r="E670" t="b">
        <f>COUNTIF(connections!A:A, A670) &gt; 0</f>
        <v>0</v>
      </c>
      <c r="F670" t="s">
        <v>315</v>
      </c>
      <c r="G670" t="s">
        <v>2230</v>
      </c>
      <c r="J670" s="10" t="s">
        <v>2231</v>
      </c>
    </row>
    <row r="671" spans="1:10" ht="15" customHeight="1" x14ac:dyDescent="0.25">
      <c r="A671" t="s">
        <v>2232</v>
      </c>
      <c r="B671">
        <v>2025</v>
      </c>
      <c r="C671" t="s">
        <v>182</v>
      </c>
      <c r="D671" t="b">
        <f>TRUE()</f>
        <v>1</v>
      </c>
      <c r="E671" t="b">
        <f>COUNTIF(connections!A:A, A671) &gt; 0</f>
        <v>0</v>
      </c>
      <c r="G671" t="s">
        <v>2233</v>
      </c>
      <c r="H671" t="s">
        <v>187</v>
      </c>
      <c r="I671" t="s">
        <v>2234</v>
      </c>
      <c r="J671" s="1" t="s">
        <v>2235</v>
      </c>
    </row>
    <row r="672" spans="1:10" ht="15" customHeight="1" x14ac:dyDescent="0.25">
      <c r="A672" t="s">
        <v>2236</v>
      </c>
      <c r="B672">
        <v>2026</v>
      </c>
      <c r="C672" t="s">
        <v>182</v>
      </c>
      <c r="D672" t="b">
        <f>TRUE()</f>
        <v>1</v>
      </c>
      <c r="E672" t="b">
        <f>COUNTIF(connections!A:A, A672) &gt; 0</f>
        <v>0</v>
      </c>
      <c r="G672" t="s">
        <v>2237</v>
      </c>
      <c r="J672" s="10" t="s">
        <v>2238</v>
      </c>
    </row>
    <row r="673" spans="1:10" ht="15" customHeight="1" x14ac:dyDescent="0.25">
      <c r="A673" t="s">
        <v>2239</v>
      </c>
      <c r="B673">
        <v>2023</v>
      </c>
      <c r="C673" t="s">
        <v>182</v>
      </c>
      <c r="D673" t="b">
        <f>TRUE()</f>
        <v>1</v>
      </c>
      <c r="E673" t="b">
        <f>COUNTIF(connections!A:A, A673) &gt; 0</f>
        <v>0</v>
      </c>
      <c r="G673" t="s">
        <v>2240</v>
      </c>
      <c r="J673" s="10" t="s">
        <v>2241</v>
      </c>
    </row>
    <row r="674" spans="1:10" ht="15" customHeight="1" x14ac:dyDescent="0.25">
      <c r="A674" t="s">
        <v>8366</v>
      </c>
      <c r="B674">
        <v>2022</v>
      </c>
      <c r="C674" t="s">
        <v>176</v>
      </c>
      <c r="D674" t="b">
        <f>TRUE()</f>
        <v>1</v>
      </c>
      <c r="E674" t="b">
        <f>COUNTIF(connections!A:A, A674) &gt; 0</f>
        <v>1</v>
      </c>
      <c r="G674" t="s">
        <v>8367</v>
      </c>
      <c r="H674" t="s">
        <v>187</v>
      </c>
      <c r="I674" t="s">
        <v>8409</v>
      </c>
      <c r="J674" s="10" t="s">
        <v>8368</v>
      </c>
    </row>
    <row r="675" spans="1:10" ht="15" customHeight="1" x14ac:dyDescent="0.25">
      <c r="A675" t="s">
        <v>2242</v>
      </c>
      <c r="B675">
        <v>2010</v>
      </c>
      <c r="C675" t="s">
        <v>179</v>
      </c>
      <c r="D675" t="b">
        <f>TRUE()</f>
        <v>1</v>
      </c>
      <c r="E675" t="b">
        <f>COUNTIF(connections!A:A, A675) &gt; 0</f>
        <v>0</v>
      </c>
      <c r="F675" t="s">
        <v>328</v>
      </c>
      <c r="G675" t="s">
        <v>2243</v>
      </c>
    </row>
    <row r="676" spans="1:10" ht="15" customHeight="1" x14ac:dyDescent="0.25">
      <c r="A676" t="s">
        <v>2244</v>
      </c>
      <c r="B676">
        <v>2024</v>
      </c>
      <c r="C676" t="s">
        <v>176</v>
      </c>
      <c r="D676" t="b">
        <f>TRUE()</f>
        <v>1</v>
      </c>
      <c r="E676" t="b">
        <f>COUNTIF(connections!A:A, A676) &gt; 0</f>
        <v>0</v>
      </c>
      <c r="G676" t="s">
        <v>2245</v>
      </c>
      <c r="H676" t="s">
        <v>187</v>
      </c>
      <c r="I676" t="s">
        <v>8127</v>
      </c>
      <c r="J676" s="10" t="s">
        <v>2246</v>
      </c>
    </row>
    <row r="677" spans="1:10" ht="15" customHeight="1" x14ac:dyDescent="0.25">
      <c r="A677" t="s">
        <v>9897</v>
      </c>
      <c r="B677">
        <v>2026</v>
      </c>
      <c r="C677" t="s">
        <v>176</v>
      </c>
      <c r="D677" t="b">
        <v>0</v>
      </c>
      <c r="E677" t="b">
        <f>COUNTIF(connections!A:A, A677) &gt; 0</f>
        <v>0</v>
      </c>
      <c r="G677" t="s">
        <v>9898</v>
      </c>
      <c r="J677" s="10" t="s">
        <v>9899</v>
      </c>
    </row>
    <row r="678" spans="1:10" ht="15" customHeight="1" x14ac:dyDescent="0.25">
      <c r="A678" t="s">
        <v>2247</v>
      </c>
      <c r="B678">
        <v>2022</v>
      </c>
      <c r="C678" t="s">
        <v>176</v>
      </c>
      <c r="D678" t="b">
        <f>TRUE()</f>
        <v>1</v>
      </c>
      <c r="E678" t="b">
        <f>COUNTIF(connections!A:A, A678) &gt; 0</f>
        <v>0</v>
      </c>
      <c r="G678" t="s">
        <v>2248</v>
      </c>
      <c r="H678" t="s">
        <v>187</v>
      </c>
      <c r="I678" t="s">
        <v>2249</v>
      </c>
      <c r="J678" s="1" t="s">
        <v>2250</v>
      </c>
    </row>
    <row r="679" spans="1:10" ht="15" customHeight="1" x14ac:dyDescent="0.25">
      <c r="A679" t="s">
        <v>2251</v>
      </c>
      <c r="B679">
        <v>2023</v>
      </c>
      <c r="C679" t="s">
        <v>176</v>
      </c>
      <c r="D679" t="b">
        <v>1</v>
      </c>
      <c r="E679" t="b">
        <f>COUNTIF(connections!A:A, A679) &gt; 0</f>
        <v>0</v>
      </c>
      <c r="G679" t="s">
        <v>2252</v>
      </c>
      <c r="J679" s="10" t="s">
        <v>2253</v>
      </c>
    </row>
    <row r="680" spans="1:10" ht="15" customHeight="1" x14ac:dyDescent="0.25">
      <c r="A680" t="s">
        <v>2254</v>
      </c>
      <c r="B680">
        <v>2020</v>
      </c>
      <c r="C680" t="s">
        <v>176</v>
      </c>
      <c r="D680" t="b">
        <f>TRUE()</f>
        <v>1</v>
      </c>
      <c r="E680" t="b">
        <f>COUNTIF(connections!A:A, A680) &gt; 0</f>
        <v>1</v>
      </c>
      <c r="G680" t="s">
        <v>2255</v>
      </c>
      <c r="H680" t="s">
        <v>187</v>
      </c>
      <c r="I680" t="s">
        <v>2256</v>
      </c>
      <c r="J680" s="1" t="s">
        <v>2257</v>
      </c>
    </row>
    <row r="681" spans="1:10" ht="15" customHeight="1" x14ac:dyDescent="0.25">
      <c r="A681" t="s">
        <v>2258</v>
      </c>
      <c r="B681">
        <v>2023</v>
      </c>
      <c r="C681" t="s">
        <v>176</v>
      </c>
      <c r="D681" t="b">
        <f>TRUE()</f>
        <v>1</v>
      </c>
      <c r="E681" t="b">
        <f>COUNTIF(connections!A:A, A681) &gt; 0</f>
        <v>0</v>
      </c>
      <c r="F681" t="s">
        <v>652</v>
      </c>
      <c r="G681" t="s">
        <v>2259</v>
      </c>
    </row>
    <row r="682" spans="1:10" ht="15" customHeight="1" x14ac:dyDescent="0.25">
      <c r="A682" t="s">
        <v>2260</v>
      </c>
      <c r="B682">
        <v>2023</v>
      </c>
      <c r="C682" t="s">
        <v>176</v>
      </c>
      <c r="D682" t="b">
        <f>FALSE()</f>
        <v>0</v>
      </c>
      <c r="E682" t="b">
        <f>COUNTIF(connections!A:A, A682) &gt; 0</f>
        <v>0</v>
      </c>
      <c r="G682" t="s">
        <v>2261</v>
      </c>
      <c r="H682" t="s">
        <v>187</v>
      </c>
      <c r="I682" t="s">
        <v>2262</v>
      </c>
      <c r="J682" s="1" t="s">
        <v>2263</v>
      </c>
    </row>
    <row r="683" spans="1:10" ht="15" customHeight="1" x14ac:dyDescent="0.25">
      <c r="A683" t="s">
        <v>2264</v>
      </c>
      <c r="B683">
        <v>2025</v>
      </c>
      <c r="C683" t="s">
        <v>222</v>
      </c>
      <c r="D683" t="b">
        <f>TRUE()</f>
        <v>1</v>
      </c>
      <c r="E683" t="b">
        <f>COUNTIF(connections!A:A, A683) &gt; 0</f>
        <v>0</v>
      </c>
      <c r="G683" t="s">
        <v>2265</v>
      </c>
      <c r="J683" s="1" t="s">
        <v>2266</v>
      </c>
    </row>
    <row r="684" spans="1:10" ht="15" customHeight="1" x14ac:dyDescent="0.25">
      <c r="A684" t="s">
        <v>2267</v>
      </c>
      <c r="B684">
        <v>2025</v>
      </c>
      <c r="C684" t="s">
        <v>176</v>
      </c>
      <c r="D684" t="b">
        <f>TRUE()</f>
        <v>1</v>
      </c>
      <c r="E684" t="b">
        <f>COUNTIF(connections!A:A, A684) &gt; 0</f>
        <v>0</v>
      </c>
      <c r="G684" t="s">
        <v>2268</v>
      </c>
    </row>
    <row r="685" spans="1:10" ht="15" customHeight="1" x14ac:dyDescent="0.25">
      <c r="A685" t="s">
        <v>2269</v>
      </c>
      <c r="B685">
        <v>2022</v>
      </c>
      <c r="C685" t="s">
        <v>176</v>
      </c>
      <c r="D685" t="b">
        <f>TRUE()</f>
        <v>1</v>
      </c>
      <c r="E685" t="b">
        <f>COUNTIF(connections!A:A, A685) &gt; 0</f>
        <v>1</v>
      </c>
      <c r="G685" t="s">
        <v>2270</v>
      </c>
      <c r="H685" t="s">
        <v>187</v>
      </c>
      <c r="I685" t="s">
        <v>2271</v>
      </c>
      <c r="J685" s="1" t="s">
        <v>2272</v>
      </c>
    </row>
    <row r="686" spans="1:10" ht="15" customHeight="1" x14ac:dyDescent="0.25">
      <c r="A686" t="s">
        <v>2273</v>
      </c>
      <c r="B686">
        <v>2026</v>
      </c>
      <c r="C686" t="s">
        <v>176</v>
      </c>
      <c r="D686" t="b">
        <f>TRUE()</f>
        <v>1</v>
      </c>
      <c r="E686" t="b">
        <f>COUNTIF(connections!A:A, A686) &gt; 0</f>
        <v>0</v>
      </c>
      <c r="G686" t="s">
        <v>2274</v>
      </c>
      <c r="J686" s="10" t="s">
        <v>2275</v>
      </c>
    </row>
    <row r="687" spans="1:10" ht="15" customHeight="1" x14ac:dyDescent="0.25">
      <c r="A687" t="s">
        <v>2276</v>
      </c>
      <c r="B687">
        <v>2015</v>
      </c>
      <c r="C687" t="s">
        <v>179</v>
      </c>
      <c r="D687" t="b">
        <f>TRUE()</f>
        <v>1</v>
      </c>
      <c r="E687" t="b">
        <f>COUNTIF(connections!A:A, A687) &gt; 0</f>
        <v>0</v>
      </c>
      <c r="G687" t="s">
        <v>2277</v>
      </c>
      <c r="H687" t="s">
        <v>187</v>
      </c>
      <c r="I687" t="s">
        <v>2278</v>
      </c>
    </row>
    <row r="688" spans="1:10" ht="15" customHeight="1" x14ac:dyDescent="0.25">
      <c r="A688" t="s">
        <v>2279</v>
      </c>
      <c r="B688">
        <v>2025</v>
      </c>
      <c r="C688" t="s">
        <v>222</v>
      </c>
      <c r="D688" t="b">
        <f>TRUE()</f>
        <v>1</v>
      </c>
      <c r="E688" t="b">
        <f>COUNTIF(connections!A:A, A688) &gt; 0</f>
        <v>0</v>
      </c>
      <c r="G688" t="s">
        <v>2280</v>
      </c>
    </row>
    <row r="689" spans="1:10" ht="15" customHeight="1" x14ac:dyDescent="0.25">
      <c r="A689" t="s">
        <v>2281</v>
      </c>
      <c r="B689">
        <v>2025</v>
      </c>
      <c r="C689" t="s">
        <v>176</v>
      </c>
      <c r="D689" t="b">
        <f>TRUE()</f>
        <v>1</v>
      </c>
      <c r="E689" t="b">
        <f>COUNTIF(connections!A:A, A689) &gt; 0</f>
        <v>0</v>
      </c>
      <c r="G689" t="s">
        <v>2282</v>
      </c>
      <c r="H689" t="s">
        <v>187</v>
      </c>
      <c r="I689" t="s">
        <v>8337</v>
      </c>
      <c r="J689" s="10" t="s">
        <v>8338</v>
      </c>
    </row>
    <row r="690" spans="1:10" ht="15" customHeight="1" x14ac:dyDescent="0.25">
      <c r="A690" t="s">
        <v>2283</v>
      </c>
      <c r="B690">
        <v>2023</v>
      </c>
      <c r="C690" t="s">
        <v>176</v>
      </c>
      <c r="D690" t="b">
        <f>TRUE()</f>
        <v>1</v>
      </c>
      <c r="E690" t="b">
        <f>COUNTIF(connections!A:A, A690) &gt; 0</f>
        <v>0</v>
      </c>
      <c r="G690" t="s">
        <v>2284</v>
      </c>
      <c r="J690" s="10" t="s">
        <v>2285</v>
      </c>
    </row>
    <row r="691" spans="1:10" ht="15" customHeight="1" x14ac:dyDescent="0.25">
      <c r="A691" t="s">
        <v>7928</v>
      </c>
      <c r="B691">
        <v>2025</v>
      </c>
      <c r="C691" t="s">
        <v>176</v>
      </c>
      <c r="D691" t="b">
        <f>TRUE()</f>
        <v>1</v>
      </c>
      <c r="E691" t="b">
        <f>COUNTIF(connections!A:A, A691) &gt; 0</f>
        <v>0</v>
      </c>
      <c r="G691" t="s">
        <v>7929</v>
      </c>
      <c r="J691" s="10" t="s">
        <v>7927</v>
      </c>
    </row>
    <row r="692" spans="1:10" ht="15" customHeight="1" x14ac:dyDescent="0.25">
      <c r="A692" t="s">
        <v>2286</v>
      </c>
      <c r="B692">
        <v>2014</v>
      </c>
      <c r="C692" t="s">
        <v>179</v>
      </c>
      <c r="D692" t="b">
        <f>TRUE()</f>
        <v>1</v>
      </c>
      <c r="E692" t="b">
        <f>COUNTIF(connections!A:A, A692) &gt; 0</f>
        <v>1</v>
      </c>
      <c r="G692" t="s">
        <v>2287</v>
      </c>
    </row>
    <row r="693" spans="1:10" ht="15" customHeight="1" x14ac:dyDescent="0.25">
      <c r="A693" t="s">
        <v>2288</v>
      </c>
      <c r="B693">
        <v>2022</v>
      </c>
      <c r="C693" t="s">
        <v>176</v>
      </c>
      <c r="D693" t="b">
        <f>TRUE()</f>
        <v>1</v>
      </c>
      <c r="E693" t="b">
        <f>COUNTIF(connections!A:A, A693) &gt; 0</f>
        <v>0</v>
      </c>
      <c r="F693" t="s">
        <v>652</v>
      </c>
      <c r="G693" t="s">
        <v>2289</v>
      </c>
      <c r="H693" t="s">
        <v>187</v>
      </c>
      <c r="I693" t="s">
        <v>2290</v>
      </c>
      <c r="J693" s="1" t="s">
        <v>2291</v>
      </c>
    </row>
    <row r="694" spans="1:10" ht="15" customHeight="1" x14ac:dyDescent="0.25">
      <c r="A694" t="s">
        <v>2292</v>
      </c>
      <c r="B694">
        <v>2008</v>
      </c>
      <c r="C694" t="s">
        <v>179</v>
      </c>
      <c r="D694" t="b">
        <f>TRUE()</f>
        <v>1</v>
      </c>
      <c r="E694" t="b">
        <f>COUNTIF(connections!A:A, A694) &gt; 0</f>
        <v>1</v>
      </c>
      <c r="G694" t="s">
        <v>2293</v>
      </c>
      <c r="H694" t="s">
        <v>187</v>
      </c>
      <c r="I694" t="s">
        <v>2294</v>
      </c>
    </row>
    <row r="695" spans="1:10" ht="15" customHeight="1" x14ac:dyDescent="0.25">
      <c r="A695" t="s">
        <v>2295</v>
      </c>
      <c r="B695">
        <v>2000</v>
      </c>
      <c r="C695" t="s">
        <v>179</v>
      </c>
      <c r="D695" t="b">
        <f>TRUE()</f>
        <v>1</v>
      </c>
      <c r="E695" t="b">
        <f>COUNTIF(connections!A:A, A695) &gt; 0</f>
        <v>1</v>
      </c>
      <c r="G695" t="s">
        <v>2296</v>
      </c>
      <c r="H695" t="s">
        <v>187</v>
      </c>
      <c r="I695" t="s">
        <v>2297</v>
      </c>
    </row>
    <row r="696" spans="1:10" ht="15" customHeight="1" x14ac:dyDescent="0.25">
      <c r="A696" t="s">
        <v>2298</v>
      </c>
      <c r="B696">
        <v>2010</v>
      </c>
      <c r="C696" t="s">
        <v>179</v>
      </c>
      <c r="D696" t="b">
        <f>TRUE()</f>
        <v>1</v>
      </c>
      <c r="E696" t="b">
        <f>COUNTIF(connections!A:A, A696) &gt; 0</f>
        <v>1</v>
      </c>
      <c r="G696" t="s">
        <v>2299</v>
      </c>
      <c r="H696" t="s">
        <v>187</v>
      </c>
      <c r="I696" t="s">
        <v>2300</v>
      </c>
    </row>
    <row r="697" spans="1:10" ht="15" customHeight="1" x14ac:dyDescent="0.25">
      <c r="A697" t="s">
        <v>2301</v>
      </c>
      <c r="B697">
        <v>2002</v>
      </c>
      <c r="C697" t="s">
        <v>179</v>
      </c>
      <c r="D697" t="b">
        <f>TRUE()</f>
        <v>1</v>
      </c>
      <c r="E697" t="b">
        <f>COUNTIF(connections!A:A, A697) &gt; 0</f>
        <v>0</v>
      </c>
      <c r="G697" t="s">
        <v>2302</v>
      </c>
      <c r="H697" t="s">
        <v>187</v>
      </c>
      <c r="I697" t="s">
        <v>2303</v>
      </c>
    </row>
    <row r="698" spans="1:10" ht="15" customHeight="1" x14ac:dyDescent="0.25">
      <c r="A698" t="s">
        <v>2304</v>
      </c>
      <c r="B698">
        <v>1996</v>
      </c>
      <c r="C698" t="s">
        <v>179</v>
      </c>
      <c r="D698" t="b">
        <f>TRUE()</f>
        <v>1</v>
      </c>
      <c r="E698" t="b">
        <f>COUNTIF(connections!A:A, A698) &gt; 0</f>
        <v>1</v>
      </c>
      <c r="G698" t="s">
        <v>2305</v>
      </c>
      <c r="H698" t="s">
        <v>187</v>
      </c>
      <c r="I698" t="s">
        <v>2306</v>
      </c>
    </row>
    <row r="699" spans="1:10" ht="15" customHeight="1" x14ac:dyDescent="0.25">
      <c r="A699" t="s">
        <v>2307</v>
      </c>
      <c r="B699">
        <v>2001</v>
      </c>
      <c r="C699" t="s">
        <v>179</v>
      </c>
      <c r="D699" t="b">
        <f>TRUE()</f>
        <v>1</v>
      </c>
      <c r="E699" t="b">
        <f>COUNTIF(connections!A:A, A699) &gt; 0</f>
        <v>0</v>
      </c>
      <c r="G699" t="s">
        <v>2308</v>
      </c>
      <c r="H699" t="s">
        <v>187</v>
      </c>
      <c r="I699" t="s">
        <v>2309</v>
      </c>
    </row>
    <row r="700" spans="1:10" ht="15" customHeight="1" x14ac:dyDescent="0.25">
      <c r="A700" t="s">
        <v>2310</v>
      </c>
      <c r="B700">
        <v>2024</v>
      </c>
      <c r="C700" t="s">
        <v>179</v>
      </c>
      <c r="D700" t="b">
        <f>TRUE()</f>
        <v>1</v>
      </c>
      <c r="E700" t="b">
        <f>COUNTIF(connections!A:A, A700) &gt; 0</f>
        <v>0</v>
      </c>
      <c r="G700" t="s">
        <v>2311</v>
      </c>
      <c r="H700" t="s">
        <v>187</v>
      </c>
      <c r="I700" t="s">
        <v>2312</v>
      </c>
      <c r="J700" s="1" t="s">
        <v>2313</v>
      </c>
    </row>
    <row r="701" spans="1:10" ht="15" customHeight="1" x14ac:dyDescent="0.25">
      <c r="A701" t="s">
        <v>2314</v>
      </c>
      <c r="B701">
        <v>2010</v>
      </c>
      <c r="C701" t="s">
        <v>179</v>
      </c>
      <c r="D701" t="b">
        <f>TRUE()</f>
        <v>1</v>
      </c>
      <c r="E701" t="b">
        <f>COUNTIF(connections!A:A, A701) &gt; 0</f>
        <v>1</v>
      </c>
      <c r="G701" t="s">
        <v>2315</v>
      </c>
      <c r="H701" t="s">
        <v>187</v>
      </c>
      <c r="I701" t="s">
        <v>2316</v>
      </c>
      <c r="J701" s="1" t="s">
        <v>2317</v>
      </c>
    </row>
    <row r="702" spans="1:10" ht="15" customHeight="1" x14ac:dyDescent="0.25">
      <c r="A702" t="s">
        <v>2318</v>
      </c>
      <c r="B702">
        <v>2023</v>
      </c>
      <c r="C702" t="s">
        <v>222</v>
      </c>
      <c r="D702" t="b">
        <f>TRUE()</f>
        <v>1</v>
      </c>
      <c r="E702" t="b">
        <f>COUNTIF(connections!A:A, A702) &gt; 0</f>
        <v>1</v>
      </c>
      <c r="G702" t="s">
        <v>2319</v>
      </c>
      <c r="H702" t="s">
        <v>187</v>
      </c>
      <c r="I702" t="s">
        <v>2320</v>
      </c>
      <c r="J702" s="1" t="s">
        <v>2321</v>
      </c>
    </row>
    <row r="703" spans="1:10" ht="15" customHeight="1" x14ac:dyDescent="0.25">
      <c r="A703" t="s">
        <v>2322</v>
      </c>
      <c r="B703">
        <v>2010</v>
      </c>
      <c r="C703" t="s">
        <v>176</v>
      </c>
      <c r="D703" t="b">
        <f>TRUE()</f>
        <v>1</v>
      </c>
      <c r="E703" t="b">
        <f>COUNTIF(connections!A:A, A703) &gt; 0</f>
        <v>1</v>
      </c>
      <c r="G703" t="s">
        <v>2323</v>
      </c>
    </row>
    <row r="704" spans="1:10" ht="15" customHeight="1" x14ac:dyDescent="0.25">
      <c r="A704" t="s">
        <v>2324</v>
      </c>
      <c r="B704">
        <v>2022</v>
      </c>
      <c r="C704" t="s">
        <v>222</v>
      </c>
      <c r="D704" t="b">
        <f>TRUE()</f>
        <v>1</v>
      </c>
      <c r="E704" t="b">
        <f>COUNTIF(connections!A:A, A704) &gt; 0</f>
        <v>1</v>
      </c>
      <c r="F704" t="s">
        <v>1164</v>
      </c>
      <c r="G704" t="s">
        <v>2325</v>
      </c>
      <c r="H704" t="s">
        <v>187</v>
      </c>
      <c r="I704" t="s">
        <v>2326</v>
      </c>
      <c r="J704" s="1" t="s">
        <v>2327</v>
      </c>
    </row>
    <row r="705" spans="1:10" ht="15" customHeight="1" x14ac:dyDescent="0.25">
      <c r="A705" t="s">
        <v>2328</v>
      </c>
      <c r="B705">
        <v>2022</v>
      </c>
      <c r="C705" t="s">
        <v>176</v>
      </c>
      <c r="D705" t="b">
        <f>TRUE()</f>
        <v>1</v>
      </c>
      <c r="E705" t="b">
        <f>COUNTIF(connections!A:A, A705) &gt; 0</f>
        <v>0</v>
      </c>
      <c r="F705" t="s">
        <v>1030</v>
      </c>
      <c r="G705" t="s">
        <v>2329</v>
      </c>
    </row>
    <row r="706" spans="1:10" ht="15" customHeight="1" x14ac:dyDescent="0.25">
      <c r="A706" t="s">
        <v>7935</v>
      </c>
      <c r="B706">
        <v>2026</v>
      </c>
      <c r="C706" t="s">
        <v>182</v>
      </c>
      <c r="D706" t="b">
        <f>TRUE()</f>
        <v>1</v>
      </c>
      <c r="E706" t="b">
        <f>COUNTIF(connections!A:A, A706) &gt; 0</f>
        <v>0</v>
      </c>
      <c r="G706" t="s">
        <v>7936</v>
      </c>
      <c r="J706" s="10" t="s">
        <v>7937</v>
      </c>
    </row>
    <row r="707" spans="1:10" ht="15" customHeight="1" x14ac:dyDescent="0.25">
      <c r="A707" t="s">
        <v>2330</v>
      </c>
      <c r="B707">
        <v>2012</v>
      </c>
      <c r="C707" t="s">
        <v>179</v>
      </c>
      <c r="D707" t="b">
        <f>TRUE()</f>
        <v>1</v>
      </c>
      <c r="E707" t="b">
        <f>COUNTIF(connections!A:A, A707) &gt; 0</f>
        <v>0</v>
      </c>
      <c r="G707" t="s">
        <v>2331</v>
      </c>
    </row>
    <row r="708" spans="1:10" ht="15" customHeight="1" x14ac:dyDescent="0.25">
      <c r="A708" t="s">
        <v>2332</v>
      </c>
      <c r="B708">
        <v>2026</v>
      </c>
      <c r="C708" t="s">
        <v>222</v>
      </c>
      <c r="D708" t="b">
        <f>TRUE()</f>
        <v>1</v>
      </c>
      <c r="E708" t="b">
        <f>COUNTIF(connections!A:A, A708) &gt; 0</f>
        <v>0</v>
      </c>
      <c r="G708" t="s">
        <v>2333</v>
      </c>
      <c r="J708" s="10" t="s">
        <v>2334</v>
      </c>
    </row>
    <row r="709" spans="1:10" ht="15" customHeight="1" x14ac:dyDescent="0.25">
      <c r="A709" t="s">
        <v>2335</v>
      </c>
      <c r="B709">
        <v>2020</v>
      </c>
      <c r="C709" t="s">
        <v>176</v>
      </c>
      <c r="D709" t="b">
        <f>TRUE()</f>
        <v>1</v>
      </c>
      <c r="E709" t="b">
        <f>COUNTIF(connections!A:A, A709) &gt; 0</f>
        <v>1</v>
      </c>
      <c r="G709" t="s">
        <v>2336</v>
      </c>
      <c r="H709" t="s">
        <v>187</v>
      </c>
      <c r="I709" t="s">
        <v>2337</v>
      </c>
      <c r="J709" s="1" t="s">
        <v>2338</v>
      </c>
    </row>
    <row r="710" spans="1:10" ht="15" customHeight="1" x14ac:dyDescent="0.25">
      <c r="A710" t="s">
        <v>2339</v>
      </c>
      <c r="B710">
        <v>2026</v>
      </c>
      <c r="C710" t="s">
        <v>176</v>
      </c>
      <c r="D710" t="b">
        <f>TRUE()</f>
        <v>1</v>
      </c>
      <c r="E710" t="b">
        <f>COUNTIF(connections!A:A, A710) &gt; 0</f>
        <v>0</v>
      </c>
      <c r="G710" t="s">
        <v>2340</v>
      </c>
      <c r="H710" t="s">
        <v>187</v>
      </c>
      <c r="I710" t="s">
        <v>8334</v>
      </c>
      <c r="J710" s="10" t="s">
        <v>8335</v>
      </c>
    </row>
    <row r="711" spans="1:10" ht="15" customHeight="1" x14ac:dyDescent="0.25">
      <c r="A711" t="s">
        <v>2341</v>
      </c>
      <c r="B711">
        <v>2014</v>
      </c>
      <c r="C711" t="s">
        <v>176</v>
      </c>
      <c r="D711" t="b">
        <f>TRUE()</f>
        <v>1</v>
      </c>
      <c r="E711" t="b">
        <f>COUNTIF(connections!A:A, A711) &gt; 0</f>
        <v>0</v>
      </c>
      <c r="G711" t="s">
        <v>2342</v>
      </c>
      <c r="H711" t="s">
        <v>187</v>
      </c>
      <c r="I711" t="s">
        <v>8320</v>
      </c>
      <c r="J711" s="10" t="s">
        <v>2343</v>
      </c>
    </row>
    <row r="712" spans="1:10" ht="15" customHeight="1" x14ac:dyDescent="0.25">
      <c r="A712" t="s">
        <v>2344</v>
      </c>
      <c r="B712">
        <v>2024</v>
      </c>
      <c r="C712" t="s">
        <v>182</v>
      </c>
      <c r="D712" t="b">
        <f>TRUE()</f>
        <v>1</v>
      </c>
      <c r="E712" t="b">
        <f>COUNTIF(connections!A:A, A712) &gt; 0</f>
        <v>0</v>
      </c>
      <c r="F712" t="s">
        <v>271</v>
      </c>
      <c r="G712" t="s">
        <v>2345</v>
      </c>
      <c r="H712" t="s">
        <v>187</v>
      </c>
      <c r="I712" t="s">
        <v>2346</v>
      </c>
      <c r="J712" s="1" t="s">
        <v>2347</v>
      </c>
    </row>
    <row r="713" spans="1:10" ht="15" customHeight="1" x14ac:dyDescent="0.25">
      <c r="A713" t="s">
        <v>2348</v>
      </c>
      <c r="B713">
        <v>2006</v>
      </c>
      <c r="C713" t="s">
        <v>179</v>
      </c>
      <c r="D713" t="b">
        <f>TRUE()</f>
        <v>1</v>
      </c>
      <c r="E713" t="b">
        <f>COUNTIF(connections!A:A, A713) &gt; 0</f>
        <v>1</v>
      </c>
      <c r="G713" t="s">
        <v>2349</v>
      </c>
      <c r="H713" t="s">
        <v>187</v>
      </c>
      <c r="I713" t="s">
        <v>2350</v>
      </c>
    </row>
    <row r="714" spans="1:10" ht="15" customHeight="1" x14ac:dyDescent="0.25">
      <c r="A714" t="s">
        <v>2351</v>
      </c>
      <c r="B714">
        <v>2018</v>
      </c>
      <c r="C714" t="s">
        <v>176</v>
      </c>
      <c r="D714" t="b">
        <f>FALSE()</f>
        <v>0</v>
      </c>
      <c r="E714" t="b">
        <f>COUNTIF(connections!A:A, A714) &gt; 0</f>
        <v>0</v>
      </c>
      <c r="G714" t="s">
        <v>2352</v>
      </c>
      <c r="H714" t="s">
        <v>187</v>
      </c>
      <c r="I714" t="s">
        <v>2353</v>
      </c>
      <c r="J714" s="1" t="s">
        <v>2354</v>
      </c>
    </row>
    <row r="715" spans="1:10" ht="15" customHeight="1" x14ac:dyDescent="0.25">
      <c r="A715" t="s">
        <v>90</v>
      </c>
      <c r="B715">
        <v>2017</v>
      </c>
      <c r="C715" t="s">
        <v>182</v>
      </c>
      <c r="D715" t="b">
        <f>TRUE()</f>
        <v>1</v>
      </c>
      <c r="E715" t="b">
        <f>COUNTIF(connections!A:A, A715) &gt; 0</f>
        <v>1</v>
      </c>
      <c r="G715" t="s">
        <v>2355</v>
      </c>
      <c r="H715" t="s">
        <v>187</v>
      </c>
      <c r="I715" t="s">
        <v>2356</v>
      </c>
      <c r="J715" s="1" t="s">
        <v>2357</v>
      </c>
    </row>
    <row r="716" spans="1:10" ht="15" customHeight="1" x14ac:dyDescent="0.25">
      <c r="A716" t="s">
        <v>38</v>
      </c>
      <c r="B716">
        <v>2026</v>
      </c>
      <c r="C716" t="s">
        <v>182</v>
      </c>
      <c r="D716" t="b">
        <f>TRUE()</f>
        <v>1</v>
      </c>
      <c r="E716" t="b">
        <f>COUNTIF(connections!A:A, A716) &gt; 0</f>
        <v>0</v>
      </c>
      <c r="G716" t="s">
        <v>2358</v>
      </c>
      <c r="H716" t="s">
        <v>187</v>
      </c>
      <c r="I716" t="s">
        <v>2359</v>
      </c>
      <c r="J716" s="1" t="s">
        <v>2360</v>
      </c>
    </row>
    <row r="717" spans="1:10" ht="15" customHeight="1" x14ac:dyDescent="0.25">
      <c r="A717" t="s">
        <v>9859</v>
      </c>
      <c r="B717">
        <v>2026</v>
      </c>
      <c r="C717" t="s">
        <v>176</v>
      </c>
      <c r="D717" t="b">
        <v>0</v>
      </c>
      <c r="E717" t="b">
        <f>COUNTIF(connections!A:A, A717) &gt; 0</f>
        <v>0</v>
      </c>
      <c r="G717" t="s">
        <v>9860</v>
      </c>
      <c r="H717" t="s">
        <v>187</v>
      </c>
      <c r="I717" t="s">
        <v>9861</v>
      </c>
      <c r="J717" s="10" t="s">
        <v>9862</v>
      </c>
    </row>
    <row r="718" spans="1:10" ht="15" customHeight="1" x14ac:dyDescent="0.25">
      <c r="A718" t="s">
        <v>2361</v>
      </c>
      <c r="B718">
        <v>2018</v>
      </c>
      <c r="C718" t="s">
        <v>222</v>
      </c>
      <c r="D718" t="b">
        <f>TRUE()</f>
        <v>1</v>
      </c>
      <c r="E718" t="b">
        <f>COUNTIF(connections!A:A, A718) &gt; 0</f>
        <v>1</v>
      </c>
      <c r="F718" t="s">
        <v>315</v>
      </c>
      <c r="G718" t="s">
        <v>2362</v>
      </c>
      <c r="H718" t="s">
        <v>187</v>
      </c>
      <c r="I718" t="s">
        <v>2363</v>
      </c>
      <c r="J718" s="1" t="s">
        <v>2364</v>
      </c>
    </row>
    <row r="719" spans="1:10" ht="15" customHeight="1" x14ac:dyDescent="0.25">
      <c r="A719" t="s">
        <v>8371</v>
      </c>
      <c r="B719">
        <v>2024</v>
      </c>
      <c r="C719" t="s">
        <v>176</v>
      </c>
      <c r="D719" t="b">
        <f>TRUE()</f>
        <v>1</v>
      </c>
      <c r="E719" t="b">
        <f>COUNTIF(connections!A:A, A719) &gt; 0</f>
        <v>0</v>
      </c>
      <c r="G719" t="s">
        <v>8372</v>
      </c>
      <c r="H719" t="s">
        <v>187</v>
      </c>
      <c r="I719" t="s">
        <v>8373</v>
      </c>
    </row>
    <row r="720" spans="1:10" ht="15" customHeight="1" x14ac:dyDescent="0.25">
      <c r="A720" t="s">
        <v>2365</v>
      </c>
      <c r="B720">
        <v>2023</v>
      </c>
      <c r="C720" t="s">
        <v>176</v>
      </c>
      <c r="D720" t="b">
        <f>TRUE()</f>
        <v>1</v>
      </c>
      <c r="E720" t="b">
        <f>COUNTIF(connections!A:A, A720) &gt; 0</f>
        <v>1</v>
      </c>
      <c r="G720" t="s">
        <v>2366</v>
      </c>
      <c r="H720" t="s">
        <v>187</v>
      </c>
      <c r="I720" t="s">
        <v>2367</v>
      </c>
      <c r="J720" s="1" t="s">
        <v>2368</v>
      </c>
    </row>
    <row r="721" spans="1:10" ht="15" customHeight="1" x14ac:dyDescent="0.25">
      <c r="A721" t="s">
        <v>2369</v>
      </c>
      <c r="B721">
        <v>2025</v>
      </c>
      <c r="C721" t="s">
        <v>182</v>
      </c>
      <c r="D721" t="b">
        <f>TRUE()</f>
        <v>1</v>
      </c>
      <c r="E721" t="b">
        <f>COUNTIF(connections!A:A, A721) &gt; 0</f>
        <v>0</v>
      </c>
      <c r="F721" t="s">
        <v>354</v>
      </c>
      <c r="G721" t="s">
        <v>2370</v>
      </c>
    </row>
    <row r="722" spans="1:10" ht="15" customHeight="1" x14ac:dyDescent="0.25">
      <c r="A722" t="s">
        <v>2371</v>
      </c>
      <c r="B722">
        <v>2026</v>
      </c>
      <c r="C722" t="s">
        <v>182</v>
      </c>
      <c r="D722" t="b">
        <f>TRUE()</f>
        <v>1</v>
      </c>
      <c r="E722" t="b">
        <f>COUNTIF(connections!A:A, A722) &gt; 0</f>
        <v>0</v>
      </c>
      <c r="F722" t="s">
        <v>354</v>
      </c>
      <c r="G722" t="s">
        <v>2372</v>
      </c>
    </row>
    <row r="723" spans="1:10" ht="15" customHeight="1" x14ac:dyDescent="0.25">
      <c r="A723" t="s">
        <v>2373</v>
      </c>
      <c r="B723">
        <v>2025</v>
      </c>
      <c r="C723" t="s">
        <v>182</v>
      </c>
      <c r="D723" t="b">
        <f>FALSE()</f>
        <v>0</v>
      </c>
      <c r="E723" t="b">
        <f>COUNTIF(connections!A:A, A723) &gt; 0</f>
        <v>0</v>
      </c>
      <c r="F723" t="s">
        <v>354</v>
      </c>
      <c r="G723" t="s">
        <v>2374</v>
      </c>
      <c r="H723" t="s">
        <v>187</v>
      </c>
      <c r="I723" t="s">
        <v>2375</v>
      </c>
      <c r="J723" s="1" t="s">
        <v>2376</v>
      </c>
    </row>
    <row r="724" spans="1:10" ht="15" customHeight="1" x14ac:dyDescent="0.25">
      <c r="A724" t="s">
        <v>2377</v>
      </c>
      <c r="B724">
        <v>2021</v>
      </c>
      <c r="C724" t="s">
        <v>176</v>
      </c>
      <c r="D724" t="b">
        <f>TRUE()</f>
        <v>1</v>
      </c>
      <c r="E724" t="b">
        <f>COUNTIF(connections!A:A, A724) &gt; 0</f>
        <v>1</v>
      </c>
      <c r="G724" t="s">
        <v>2378</v>
      </c>
      <c r="H724" t="s">
        <v>187</v>
      </c>
      <c r="I724" t="s">
        <v>2379</v>
      </c>
      <c r="J724" s="1" t="s">
        <v>2380</v>
      </c>
    </row>
    <row r="725" spans="1:10" ht="15" customHeight="1" x14ac:dyDescent="0.25">
      <c r="A725" t="s">
        <v>2381</v>
      </c>
      <c r="B725">
        <v>2025</v>
      </c>
      <c r="C725" t="s">
        <v>176</v>
      </c>
      <c r="D725" t="b">
        <f>TRUE()</f>
        <v>1</v>
      </c>
      <c r="E725" t="b">
        <f>COUNTIF(connections!A:A, A725) &gt; 0</f>
        <v>0</v>
      </c>
      <c r="G725" t="s">
        <v>2382</v>
      </c>
      <c r="H725" t="s">
        <v>187</v>
      </c>
      <c r="I725" t="s">
        <v>2383</v>
      </c>
      <c r="J725" s="1" t="s">
        <v>2384</v>
      </c>
    </row>
    <row r="726" spans="1:10" ht="15" customHeight="1" x14ac:dyDescent="0.25">
      <c r="A726" t="s">
        <v>2385</v>
      </c>
      <c r="B726">
        <v>2025</v>
      </c>
      <c r="C726" t="s">
        <v>222</v>
      </c>
      <c r="D726" t="b">
        <v>1</v>
      </c>
      <c r="E726" t="b">
        <f>COUNTIF(connections!A:A, A726) &gt; 0</f>
        <v>0</v>
      </c>
      <c r="G726" t="s">
        <v>2386</v>
      </c>
      <c r="H726" t="s">
        <v>187</v>
      </c>
      <c r="I726" t="s">
        <v>2387</v>
      </c>
      <c r="J726" s="1" t="s">
        <v>2388</v>
      </c>
    </row>
    <row r="727" spans="1:10" ht="15" customHeight="1" x14ac:dyDescent="0.25">
      <c r="A727" t="s">
        <v>2389</v>
      </c>
      <c r="B727">
        <v>2016</v>
      </c>
      <c r="C727" t="s">
        <v>182</v>
      </c>
      <c r="D727" t="b">
        <f>FALSE()</f>
        <v>0</v>
      </c>
      <c r="E727" t="b">
        <f>COUNTIF(connections!A:A, A727) &gt; 0</f>
        <v>0</v>
      </c>
      <c r="G727" t="s">
        <v>2390</v>
      </c>
      <c r="H727" t="s">
        <v>187</v>
      </c>
      <c r="I727" t="s">
        <v>2391</v>
      </c>
      <c r="J727" s="1" t="s">
        <v>2392</v>
      </c>
    </row>
    <row r="728" spans="1:10" ht="15" customHeight="1" x14ac:dyDescent="0.25">
      <c r="A728" t="s">
        <v>2393</v>
      </c>
      <c r="B728">
        <v>2022</v>
      </c>
      <c r="C728" t="s">
        <v>179</v>
      </c>
      <c r="D728" t="b">
        <f>TRUE()</f>
        <v>1</v>
      </c>
      <c r="E728" t="b">
        <f>COUNTIF(connections!A:A, A728) &gt; 0</f>
        <v>1</v>
      </c>
      <c r="G728" t="s">
        <v>2394</v>
      </c>
    </row>
    <row r="729" spans="1:10" ht="15" customHeight="1" x14ac:dyDescent="0.25">
      <c r="A729" t="s">
        <v>2395</v>
      </c>
      <c r="B729">
        <v>2023</v>
      </c>
      <c r="C729" t="s">
        <v>179</v>
      </c>
      <c r="D729" t="b">
        <f>TRUE()</f>
        <v>1</v>
      </c>
      <c r="E729" t="b">
        <f>COUNTIF(connections!A:A, A729) &gt; 0</f>
        <v>0</v>
      </c>
      <c r="G729" t="s">
        <v>2396</v>
      </c>
    </row>
    <row r="730" spans="1:10" ht="14.25" customHeight="1" x14ac:dyDescent="0.25">
      <c r="A730" t="s">
        <v>2397</v>
      </c>
      <c r="B730">
        <v>2022</v>
      </c>
      <c r="C730" t="s">
        <v>176</v>
      </c>
      <c r="D730" t="b">
        <f>TRUE()</f>
        <v>1</v>
      </c>
      <c r="E730" t="b">
        <f>COUNTIF(connections!A:A, A730) &gt; 0</f>
        <v>1</v>
      </c>
      <c r="G730" t="s">
        <v>2398</v>
      </c>
      <c r="H730" t="s">
        <v>187</v>
      </c>
      <c r="I730" t="s">
        <v>2399</v>
      </c>
      <c r="J730" s="1" t="s">
        <v>2400</v>
      </c>
    </row>
    <row r="731" spans="1:10" ht="15" customHeight="1" x14ac:dyDescent="0.25">
      <c r="A731" t="s">
        <v>9892</v>
      </c>
      <c r="B731">
        <v>2021</v>
      </c>
      <c r="C731" t="s">
        <v>176</v>
      </c>
      <c r="D731" t="b">
        <v>1</v>
      </c>
      <c r="E731" t="b">
        <f>COUNTIF(connections!A:A, A731) &gt; 0</f>
        <v>0</v>
      </c>
      <c r="G731" t="s">
        <v>9893</v>
      </c>
      <c r="H731" t="s">
        <v>187</v>
      </c>
      <c r="I731" t="s">
        <v>9896</v>
      </c>
      <c r="J731" s="10" t="s">
        <v>9894</v>
      </c>
    </row>
    <row r="732" spans="1:10" x14ac:dyDescent="0.25">
      <c r="A732" t="s">
        <v>2401</v>
      </c>
      <c r="B732">
        <v>2015</v>
      </c>
      <c r="C732" t="s">
        <v>176</v>
      </c>
      <c r="D732" t="b">
        <f>FALSE()</f>
        <v>0</v>
      </c>
      <c r="E732" t="b">
        <f>COUNTIF(connections!A:A, A732) &gt; 0</f>
        <v>0</v>
      </c>
      <c r="F732" t="s">
        <v>274</v>
      </c>
      <c r="G732" t="s">
        <v>2402</v>
      </c>
    </row>
    <row r="733" spans="1:10" x14ac:dyDescent="0.25">
      <c r="A733" t="s">
        <v>2403</v>
      </c>
      <c r="B733">
        <v>2019</v>
      </c>
      <c r="C733" t="s">
        <v>176</v>
      </c>
      <c r="D733" t="b">
        <f>TRUE()</f>
        <v>1</v>
      </c>
      <c r="E733" t="b">
        <f>COUNTIF(connections!A:A, A733) &gt; 0</f>
        <v>1</v>
      </c>
      <c r="G733" t="s">
        <v>2404</v>
      </c>
      <c r="J733" s="1" t="s">
        <v>2405</v>
      </c>
    </row>
    <row r="734" spans="1:10" x14ac:dyDescent="0.25">
      <c r="A734" t="s">
        <v>2406</v>
      </c>
      <c r="B734">
        <v>2016</v>
      </c>
      <c r="C734" t="s">
        <v>179</v>
      </c>
      <c r="D734" t="b">
        <f>TRUE()</f>
        <v>1</v>
      </c>
      <c r="E734" t="b">
        <f>COUNTIF(connections!A:A, A734) &gt; 0</f>
        <v>0</v>
      </c>
      <c r="G734" t="s">
        <v>2407</v>
      </c>
      <c r="H734" t="s">
        <v>187</v>
      </c>
      <c r="I734" t="s">
        <v>2408</v>
      </c>
      <c r="J734" s="10" t="s">
        <v>2409</v>
      </c>
    </row>
    <row r="735" spans="1:10" x14ac:dyDescent="0.25">
      <c r="A735" t="s">
        <v>8100</v>
      </c>
      <c r="B735">
        <v>2024</v>
      </c>
      <c r="C735" t="s">
        <v>222</v>
      </c>
      <c r="D735" t="b">
        <f>TRUE()</f>
        <v>1</v>
      </c>
      <c r="E735" t="b">
        <f>COUNTIF(connections!A:A, A735) &gt; 0</f>
        <v>0</v>
      </c>
      <c r="F735" t="s">
        <v>274</v>
      </c>
      <c r="G735" t="s">
        <v>8101</v>
      </c>
      <c r="H735" t="s">
        <v>187</v>
      </c>
      <c r="I735" t="s">
        <v>8321</v>
      </c>
      <c r="J735" s="10" t="s">
        <v>8102</v>
      </c>
    </row>
    <row r="736" spans="1:10" x14ac:dyDescent="0.25">
      <c r="A736" t="s">
        <v>7843</v>
      </c>
      <c r="B736">
        <v>2019</v>
      </c>
      <c r="C736" t="s">
        <v>176</v>
      </c>
      <c r="D736" t="b">
        <f>TRUE()</f>
        <v>1</v>
      </c>
      <c r="E736" t="b">
        <f>COUNTIF(connections!A:A, A736) &gt; 0</f>
        <v>0</v>
      </c>
      <c r="G736" t="s">
        <v>7844</v>
      </c>
      <c r="H736" t="s">
        <v>187</v>
      </c>
      <c r="I736" t="s">
        <v>8322</v>
      </c>
      <c r="J736" s="10" t="s">
        <v>7845</v>
      </c>
    </row>
    <row r="737" spans="1:10" x14ac:dyDescent="0.25">
      <c r="A737" t="s">
        <v>2410</v>
      </c>
      <c r="B737">
        <v>2022</v>
      </c>
      <c r="C737" t="s">
        <v>176</v>
      </c>
      <c r="D737" t="b">
        <f>TRUE()</f>
        <v>1</v>
      </c>
      <c r="E737" t="b">
        <f>COUNTIF(connections!A:A, A737) &gt; 0</f>
        <v>1</v>
      </c>
      <c r="G737" t="s">
        <v>2411</v>
      </c>
      <c r="H737" t="s">
        <v>187</v>
      </c>
      <c r="I737" t="s">
        <v>2412</v>
      </c>
      <c r="J737" s="1" t="s">
        <v>2413</v>
      </c>
    </row>
    <row r="738" spans="1:10" x14ac:dyDescent="0.25">
      <c r="A738" t="s">
        <v>2414</v>
      </c>
      <c r="B738">
        <v>2023</v>
      </c>
      <c r="C738" t="s">
        <v>222</v>
      </c>
      <c r="D738" t="b">
        <f>TRUE()</f>
        <v>1</v>
      </c>
      <c r="E738" t="b">
        <f>COUNTIF(connections!A:A, A738) &gt; 0</f>
        <v>0</v>
      </c>
      <c r="G738" t="s">
        <v>2415</v>
      </c>
      <c r="H738" t="s">
        <v>187</v>
      </c>
      <c r="I738" t="s">
        <v>7857</v>
      </c>
      <c r="J738" s="10" t="s">
        <v>7858</v>
      </c>
    </row>
    <row r="739" spans="1:10" x14ac:dyDescent="0.25">
      <c r="A739" t="s">
        <v>2416</v>
      </c>
      <c r="B739">
        <v>2024</v>
      </c>
      <c r="C739" t="s">
        <v>182</v>
      </c>
      <c r="D739" t="b">
        <f>TRUE()</f>
        <v>1</v>
      </c>
      <c r="E739" t="b">
        <f>COUNTIF(connections!A:A, A739) &gt; 0</f>
        <v>0</v>
      </c>
      <c r="G739" t="s">
        <v>2417</v>
      </c>
      <c r="H739" t="s">
        <v>187</v>
      </c>
      <c r="I739" t="s">
        <v>2418</v>
      </c>
      <c r="J739" s="1" t="s">
        <v>2419</v>
      </c>
    </row>
    <row r="740" spans="1:10" x14ac:dyDescent="0.25">
      <c r="A740" t="s">
        <v>2420</v>
      </c>
      <c r="B740">
        <v>2012</v>
      </c>
      <c r="C740" t="s">
        <v>176</v>
      </c>
      <c r="D740" t="b">
        <f>TRUE()</f>
        <v>1</v>
      </c>
      <c r="E740" t="b">
        <f>COUNTIF(connections!A:A, A740) &gt; 0</f>
        <v>1</v>
      </c>
      <c r="G740" t="s">
        <v>2421</v>
      </c>
      <c r="H740" t="s">
        <v>187</v>
      </c>
      <c r="I740" t="s">
        <v>2422</v>
      </c>
      <c r="J740" s="1" t="s">
        <v>2423</v>
      </c>
    </row>
    <row r="741" spans="1:10" x14ac:dyDescent="0.25">
      <c r="A741" t="s">
        <v>2424</v>
      </c>
      <c r="B741">
        <v>2020</v>
      </c>
      <c r="C741" t="s">
        <v>176</v>
      </c>
      <c r="D741" t="b">
        <f>TRUE()</f>
        <v>1</v>
      </c>
      <c r="E741" t="b">
        <f>COUNTIF(connections!A:A, A741) &gt; 0</f>
        <v>0</v>
      </c>
      <c r="G741" t="s">
        <v>2425</v>
      </c>
      <c r="H741" t="s">
        <v>187</v>
      </c>
      <c r="I741" t="s">
        <v>2426</v>
      </c>
      <c r="J741" s="1" t="s">
        <v>2427</v>
      </c>
    </row>
    <row r="742" spans="1:10" x14ac:dyDescent="0.25">
      <c r="A742" t="s">
        <v>2428</v>
      </c>
      <c r="B742">
        <v>2008</v>
      </c>
      <c r="C742" t="s">
        <v>176</v>
      </c>
      <c r="D742" t="b">
        <f>TRUE()</f>
        <v>1</v>
      </c>
      <c r="E742" t="b">
        <f>COUNTIF(connections!A:A, A742) &gt; 0</f>
        <v>1</v>
      </c>
      <c r="G742" t="s">
        <v>2429</v>
      </c>
      <c r="H742" t="s">
        <v>187</v>
      </c>
      <c r="I742" t="s">
        <v>2430</v>
      </c>
    </row>
    <row r="743" spans="1:10" x14ac:dyDescent="0.25">
      <c r="A743" t="s">
        <v>2431</v>
      </c>
      <c r="B743">
        <v>2024</v>
      </c>
      <c r="C743" t="s">
        <v>182</v>
      </c>
      <c r="D743" t="b">
        <f>TRUE()</f>
        <v>1</v>
      </c>
      <c r="E743" t="b">
        <f>COUNTIF(connections!A:A, A743) &gt; 0</f>
        <v>0</v>
      </c>
      <c r="F743" t="s">
        <v>354</v>
      </c>
      <c r="G743" t="s">
        <v>2432</v>
      </c>
      <c r="H743" t="s">
        <v>187</v>
      </c>
      <c r="I743" t="s">
        <v>2433</v>
      </c>
      <c r="J743" s="1" t="s">
        <v>2434</v>
      </c>
    </row>
    <row r="744" spans="1:10" x14ac:dyDescent="0.25">
      <c r="A744" t="s">
        <v>14115</v>
      </c>
      <c r="B744">
        <v>2026</v>
      </c>
      <c r="C744" t="s">
        <v>182</v>
      </c>
      <c r="D744" t="b">
        <v>1</v>
      </c>
      <c r="E744" t="b">
        <f>COUNTIF(connections!A:A, A744) &gt; 0</f>
        <v>0</v>
      </c>
      <c r="G744" t="s">
        <v>14117</v>
      </c>
      <c r="J744" s="10" t="s">
        <v>14118</v>
      </c>
    </row>
    <row r="745" spans="1:10" x14ac:dyDescent="0.25">
      <c r="A745" t="s">
        <v>2435</v>
      </c>
      <c r="B745">
        <v>2022</v>
      </c>
      <c r="C745" t="s">
        <v>176</v>
      </c>
      <c r="D745" t="b">
        <f>TRUE()</f>
        <v>1</v>
      </c>
      <c r="E745" t="b">
        <f>COUNTIF(connections!A:A, A745) &gt; 0</f>
        <v>0</v>
      </c>
      <c r="G745" t="s">
        <v>2436</v>
      </c>
      <c r="H745" t="s">
        <v>187</v>
      </c>
      <c r="I745" t="s">
        <v>2437</v>
      </c>
      <c r="J745" s="1" t="s">
        <v>2438</v>
      </c>
    </row>
    <row r="746" spans="1:10" x14ac:dyDescent="0.25">
      <c r="A746" t="s">
        <v>2439</v>
      </c>
      <c r="B746">
        <v>2023</v>
      </c>
      <c r="C746" t="s">
        <v>176</v>
      </c>
      <c r="D746" t="b">
        <f>TRUE()</f>
        <v>1</v>
      </c>
      <c r="E746" t="b">
        <f>COUNTIF(connections!A:A, A746) &gt; 0</f>
        <v>0</v>
      </c>
      <c r="G746" t="s">
        <v>2440</v>
      </c>
      <c r="H746" t="s">
        <v>187</v>
      </c>
      <c r="I746" t="s">
        <v>2441</v>
      </c>
      <c r="J746" s="1" t="s">
        <v>2442</v>
      </c>
    </row>
    <row r="747" spans="1:10" x14ac:dyDescent="0.25">
      <c r="A747" t="s">
        <v>2443</v>
      </c>
      <c r="B747">
        <v>2019</v>
      </c>
      <c r="C747" t="s">
        <v>176</v>
      </c>
      <c r="D747" t="b">
        <f>TRUE()</f>
        <v>1</v>
      </c>
      <c r="E747" t="b">
        <f>COUNTIF(connections!A:A, A747) &gt; 0</f>
        <v>1</v>
      </c>
      <c r="G747" t="s">
        <v>2444</v>
      </c>
      <c r="H747" t="s">
        <v>187</v>
      </c>
      <c r="I747" t="s">
        <v>2445</v>
      </c>
      <c r="J747" s="1" t="s">
        <v>2446</v>
      </c>
    </row>
    <row r="748" spans="1:10" x14ac:dyDescent="0.25">
      <c r="A748" t="s">
        <v>2447</v>
      </c>
      <c r="B748">
        <v>2014</v>
      </c>
      <c r="C748" t="s">
        <v>179</v>
      </c>
      <c r="D748" t="b">
        <f>TRUE()</f>
        <v>1</v>
      </c>
      <c r="E748" t="b">
        <f>COUNTIF(connections!A:A, A748) &gt; 0</f>
        <v>1</v>
      </c>
      <c r="G748" t="s">
        <v>2448</v>
      </c>
      <c r="H748" t="s">
        <v>187</v>
      </c>
      <c r="I748" t="s">
        <v>2449</v>
      </c>
      <c r="J748" s="1" t="s">
        <v>2450</v>
      </c>
    </row>
    <row r="749" spans="1:10" x14ac:dyDescent="0.25">
      <c r="A749" t="s">
        <v>2451</v>
      </c>
      <c r="B749">
        <v>2024</v>
      </c>
      <c r="C749" t="s">
        <v>176</v>
      </c>
      <c r="D749" t="b">
        <f>FALSE()</f>
        <v>0</v>
      </c>
      <c r="E749" t="b">
        <f>COUNTIF(connections!A:A, A749) &gt; 0</f>
        <v>0</v>
      </c>
      <c r="G749" t="s">
        <v>2452</v>
      </c>
      <c r="H749" t="s">
        <v>187</v>
      </c>
      <c r="I749" t="s">
        <v>2453</v>
      </c>
      <c r="J749" s="1" t="s">
        <v>2454</v>
      </c>
    </row>
    <row r="750" spans="1:10" x14ac:dyDescent="0.25">
      <c r="A750" t="s">
        <v>2455</v>
      </c>
      <c r="B750">
        <v>2025</v>
      </c>
      <c r="C750" t="s">
        <v>182</v>
      </c>
      <c r="D750" t="b">
        <f>TRUE()</f>
        <v>1</v>
      </c>
      <c r="E750" t="b">
        <f>COUNTIF(connections!A:A, A750) &gt; 0</f>
        <v>0</v>
      </c>
      <c r="G750" t="s">
        <v>2456</v>
      </c>
      <c r="H750" t="s">
        <v>187</v>
      </c>
      <c r="I750" t="s">
        <v>2457</v>
      </c>
      <c r="J750" s="1" t="s">
        <v>2458</v>
      </c>
    </row>
    <row r="751" spans="1:10" x14ac:dyDescent="0.25">
      <c r="A751" t="s">
        <v>2459</v>
      </c>
      <c r="B751">
        <v>2017</v>
      </c>
      <c r="C751" t="s">
        <v>176</v>
      </c>
      <c r="D751" t="b">
        <f>TRUE()</f>
        <v>1</v>
      </c>
      <c r="E751" t="b">
        <f>COUNTIF(connections!A:A, A751) &gt; 0</f>
        <v>1</v>
      </c>
      <c r="G751" t="s">
        <v>2460</v>
      </c>
      <c r="H751" t="s">
        <v>187</v>
      </c>
      <c r="I751" t="s">
        <v>2461</v>
      </c>
      <c r="J751" s="1" t="s">
        <v>2462</v>
      </c>
    </row>
    <row r="752" spans="1:10" x14ac:dyDescent="0.25">
      <c r="A752" t="s">
        <v>8323</v>
      </c>
      <c r="B752">
        <v>2020</v>
      </c>
      <c r="C752" t="s">
        <v>222</v>
      </c>
      <c r="D752" t="b">
        <f>TRUE()</f>
        <v>1</v>
      </c>
      <c r="E752" t="b">
        <f>COUNTIF(connections!A:A, A752) &gt; 0</f>
        <v>0</v>
      </c>
      <c r="G752" t="s">
        <v>8324</v>
      </c>
      <c r="H752" t="s">
        <v>187</v>
      </c>
      <c r="I752" t="s">
        <v>8325</v>
      </c>
      <c r="J752" s="10" t="s">
        <v>8326</v>
      </c>
    </row>
    <row r="753" spans="1:10" x14ac:dyDescent="0.25">
      <c r="A753" t="s">
        <v>2463</v>
      </c>
      <c r="B753">
        <v>2023</v>
      </c>
      <c r="C753" t="s">
        <v>176</v>
      </c>
      <c r="D753" t="b">
        <f>TRUE()</f>
        <v>1</v>
      </c>
      <c r="E753" t="b">
        <f>COUNTIF(connections!A:A, A753) &gt; 0</f>
        <v>0</v>
      </c>
      <c r="F753" t="s">
        <v>274</v>
      </c>
      <c r="G753" t="s">
        <v>2464</v>
      </c>
      <c r="H753" t="s">
        <v>187</v>
      </c>
      <c r="I753" t="s">
        <v>2465</v>
      </c>
      <c r="J753" s="1" t="s">
        <v>2466</v>
      </c>
    </row>
    <row r="754" spans="1:10" x14ac:dyDescent="0.25">
      <c r="A754" t="s">
        <v>9970</v>
      </c>
      <c r="B754">
        <v>2026</v>
      </c>
      <c r="C754" t="s">
        <v>176</v>
      </c>
      <c r="D754" t="b">
        <v>1</v>
      </c>
      <c r="E754" t="b">
        <f>COUNTIF(connections!A:A, A754) &gt; 0</f>
        <v>0</v>
      </c>
      <c r="F754" t="s">
        <v>787</v>
      </c>
      <c r="G754" t="s">
        <v>9971</v>
      </c>
      <c r="J754" s="10" t="s">
        <v>9972</v>
      </c>
    </row>
    <row r="755" spans="1:10" x14ac:dyDescent="0.25">
      <c r="A755" t="s">
        <v>2467</v>
      </c>
      <c r="B755">
        <v>2025</v>
      </c>
      <c r="C755" t="s">
        <v>176</v>
      </c>
      <c r="D755" t="b">
        <f>TRUE()</f>
        <v>1</v>
      </c>
      <c r="E755" t="b">
        <f>COUNTIF(connections!A:A, A755) &gt; 0</f>
        <v>0</v>
      </c>
      <c r="G755" t="s">
        <v>2468</v>
      </c>
      <c r="H755" t="s">
        <v>187</v>
      </c>
      <c r="I755" t="s">
        <v>2469</v>
      </c>
      <c r="J755" s="1" t="s">
        <v>2470</v>
      </c>
    </row>
    <row r="756" spans="1:10" x14ac:dyDescent="0.25">
      <c r="A756" t="s">
        <v>2471</v>
      </c>
      <c r="B756">
        <v>2025</v>
      </c>
      <c r="C756" t="s">
        <v>182</v>
      </c>
      <c r="D756" t="b">
        <f>TRUE()</f>
        <v>1</v>
      </c>
      <c r="E756" t="b">
        <f>COUNTIF(connections!A:A, A756) &gt; 0</f>
        <v>1</v>
      </c>
      <c r="F756" t="s">
        <v>277</v>
      </c>
      <c r="G756" t="s">
        <v>2472</v>
      </c>
      <c r="H756" t="s">
        <v>187</v>
      </c>
      <c r="I756" t="s">
        <v>2473</v>
      </c>
      <c r="J756" s="1" t="s">
        <v>2474</v>
      </c>
    </row>
    <row r="757" spans="1:10" x14ac:dyDescent="0.25">
      <c r="A757" t="s">
        <v>2475</v>
      </c>
      <c r="B757">
        <v>2025</v>
      </c>
      <c r="C757" t="s">
        <v>182</v>
      </c>
      <c r="D757" t="b">
        <f>TRUE()</f>
        <v>1</v>
      </c>
      <c r="E757" t="b">
        <f>COUNTIF(connections!A:A, A757) &gt; 0</f>
        <v>0</v>
      </c>
      <c r="G757" t="s">
        <v>2476</v>
      </c>
    </row>
    <row r="758" spans="1:10" x14ac:dyDescent="0.25">
      <c r="A758" t="s">
        <v>2477</v>
      </c>
      <c r="B758">
        <v>2025</v>
      </c>
      <c r="C758" t="s">
        <v>176</v>
      </c>
      <c r="D758" t="b">
        <f>FALSE()</f>
        <v>0</v>
      </c>
      <c r="E758" t="b">
        <f>COUNTIF(connections!A:A, A758) &gt; 0</f>
        <v>0</v>
      </c>
      <c r="G758" t="s">
        <v>2478</v>
      </c>
      <c r="H758" t="s">
        <v>187</v>
      </c>
      <c r="I758" t="s">
        <v>2479</v>
      </c>
      <c r="J758" s="1" t="s">
        <v>2480</v>
      </c>
    </row>
    <row r="759" spans="1:10" x14ac:dyDescent="0.25">
      <c r="A759" t="s">
        <v>8094</v>
      </c>
      <c r="B759">
        <v>2026</v>
      </c>
      <c r="C759" t="s">
        <v>176</v>
      </c>
      <c r="D759" t="b">
        <f>TRUE()</f>
        <v>1</v>
      </c>
      <c r="E759" t="b">
        <f>COUNTIF(connections!A:A, A759) &gt; 0</f>
        <v>0</v>
      </c>
      <c r="G759" t="s">
        <v>8095</v>
      </c>
      <c r="J759" s="10" t="s">
        <v>8096</v>
      </c>
    </row>
    <row r="760" spans="1:10" x14ac:dyDescent="0.25">
      <c r="A760" t="s">
        <v>2481</v>
      </c>
      <c r="B760">
        <v>2020</v>
      </c>
      <c r="C760" t="s">
        <v>179</v>
      </c>
      <c r="D760" t="b">
        <f>TRUE()</f>
        <v>1</v>
      </c>
      <c r="E760" t="b">
        <f>COUNTIF(connections!A:A, A760) &gt; 0</f>
        <v>1</v>
      </c>
      <c r="G760" t="s">
        <v>2482</v>
      </c>
    </row>
    <row r="761" spans="1:10" x14ac:dyDescent="0.25">
      <c r="A761" t="s">
        <v>2483</v>
      </c>
      <c r="B761">
        <v>2023</v>
      </c>
      <c r="C761" t="s">
        <v>222</v>
      </c>
      <c r="D761" t="b">
        <f>FALSE()</f>
        <v>0</v>
      </c>
      <c r="E761" t="b">
        <f>COUNTIF(connections!A:A, A761) &gt; 0</f>
        <v>0</v>
      </c>
      <c r="F761" t="s">
        <v>458</v>
      </c>
      <c r="G761" t="s">
        <v>2484</v>
      </c>
      <c r="H761" t="s">
        <v>187</v>
      </c>
      <c r="I761" t="s">
        <v>8327</v>
      </c>
      <c r="J761" s="10" t="s">
        <v>8328</v>
      </c>
    </row>
    <row r="762" spans="1:10" x14ac:dyDescent="0.25">
      <c r="A762" t="s">
        <v>2485</v>
      </c>
      <c r="B762">
        <v>2017</v>
      </c>
      <c r="C762" t="s">
        <v>176</v>
      </c>
      <c r="D762" t="b">
        <v>1</v>
      </c>
      <c r="E762" t="b">
        <f>COUNTIF(connections!A:A, A762) &gt; 0</f>
        <v>0</v>
      </c>
      <c r="G762" t="s">
        <v>2486</v>
      </c>
      <c r="H762" t="s">
        <v>187</v>
      </c>
      <c r="I762" t="s">
        <v>2487</v>
      </c>
      <c r="J762" s="10" t="s">
        <v>2488</v>
      </c>
    </row>
    <row r="763" spans="1:10" x14ac:dyDescent="0.25">
      <c r="A763" t="s">
        <v>2489</v>
      </c>
      <c r="B763">
        <v>2002</v>
      </c>
      <c r="C763" t="s">
        <v>222</v>
      </c>
      <c r="D763" t="b">
        <f>TRUE()</f>
        <v>1</v>
      </c>
      <c r="E763" t="b">
        <f>COUNTIF(connections!A:A, A763) &gt; 0</f>
        <v>1</v>
      </c>
      <c r="F763" t="s">
        <v>274</v>
      </c>
      <c r="G763" t="s">
        <v>2490</v>
      </c>
      <c r="H763" t="s">
        <v>187</v>
      </c>
      <c r="I763" t="s">
        <v>2491</v>
      </c>
    </row>
    <row r="764" spans="1:10" x14ac:dyDescent="0.25">
      <c r="A764" t="s">
        <v>9908</v>
      </c>
      <c r="B764">
        <v>2025</v>
      </c>
      <c r="C764" t="s">
        <v>222</v>
      </c>
      <c r="D764" t="b">
        <v>1</v>
      </c>
      <c r="E764" t="b">
        <f>COUNTIF(connections!A:A, A764) &gt; 0</f>
        <v>0</v>
      </c>
      <c r="G764" t="s">
        <v>9909</v>
      </c>
      <c r="H764" t="s">
        <v>187</v>
      </c>
      <c r="I764" t="s">
        <v>9911</v>
      </c>
      <c r="J764" s="10" t="s">
        <v>9910</v>
      </c>
    </row>
    <row r="765" spans="1:10" x14ac:dyDescent="0.25">
      <c r="A765" t="s">
        <v>2492</v>
      </c>
      <c r="B765">
        <v>2019</v>
      </c>
      <c r="C765" t="s">
        <v>176</v>
      </c>
      <c r="D765" t="b">
        <f>TRUE()</f>
        <v>1</v>
      </c>
      <c r="E765" t="b">
        <f>COUNTIF(connections!A:A, A765) &gt; 0</f>
        <v>0</v>
      </c>
      <c r="G765" t="s">
        <v>2493</v>
      </c>
      <c r="H765" t="s">
        <v>187</v>
      </c>
      <c r="I765" t="s">
        <v>2494</v>
      </c>
      <c r="J765" s="1" t="s">
        <v>2495</v>
      </c>
    </row>
    <row r="766" spans="1:10" x14ac:dyDescent="0.25">
      <c r="A766" t="s">
        <v>2496</v>
      </c>
      <c r="B766">
        <v>2024</v>
      </c>
      <c r="C766" t="s">
        <v>176</v>
      </c>
      <c r="D766" t="b">
        <f>TRUE()</f>
        <v>1</v>
      </c>
      <c r="E766" t="b">
        <f>COUNTIF(connections!A:A, A766) &gt; 0</f>
        <v>0</v>
      </c>
      <c r="G766" t="s">
        <v>2497</v>
      </c>
    </row>
    <row r="767" spans="1:10" x14ac:dyDescent="0.25">
      <c r="A767" t="s">
        <v>2498</v>
      </c>
      <c r="B767">
        <v>2017</v>
      </c>
      <c r="C767" t="s">
        <v>176</v>
      </c>
      <c r="D767" t="b">
        <f>TRUE()</f>
        <v>1</v>
      </c>
      <c r="E767" t="b">
        <f>COUNTIF(connections!A:A, A767) &gt; 0</f>
        <v>1</v>
      </c>
      <c r="G767" t="s">
        <v>2499</v>
      </c>
      <c r="H767" t="s">
        <v>187</v>
      </c>
      <c r="I767" t="s">
        <v>2500</v>
      </c>
      <c r="J767" s="1" t="s">
        <v>2501</v>
      </c>
    </row>
    <row r="768" spans="1:10" x14ac:dyDescent="0.25">
      <c r="A768" t="s">
        <v>2502</v>
      </c>
      <c r="B768">
        <v>2015</v>
      </c>
      <c r="C768" t="s">
        <v>222</v>
      </c>
      <c r="D768" t="b">
        <f>TRUE()</f>
        <v>1</v>
      </c>
      <c r="E768" t="b">
        <f>COUNTIF(connections!A:A, A768) &gt; 0</f>
        <v>1</v>
      </c>
      <c r="F768" t="s">
        <v>652</v>
      </c>
      <c r="G768" t="s">
        <v>2503</v>
      </c>
      <c r="H768" t="s">
        <v>187</v>
      </c>
      <c r="I768" t="s">
        <v>2504</v>
      </c>
      <c r="J768" s="1" t="s">
        <v>2505</v>
      </c>
    </row>
    <row r="769" spans="1:10" x14ac:dyDescent="0.25">
      <c r="A769" t="s">
        <v>2506</v>
      </c>
      <c r="B769">
        <v>2021</v>
      </c>
      <c r="C769" t="s">
        <v>222</v>
      </c>
      <c r="D769" t="b">
        <f>TRUE()</f>
        <v>1</v>
      </c>
      <c r="E769" t="b">
        <f>COUNTIF(connections!A:A, A769) &gt; 0</f>
        <v>1</v>
      </c>
      <c r="G769" t="s">
        <v>2507</v>
      </c>
      <c r="H769" t="s">
        <v>187</v>
      </c>
      <c r="I769" t="s">
        <v>2508</v>
      </c>
      <c r="J769" s="1" t="s">
        <v>2509</v>
      </c>
    </row>
    <row r="770" spans="1:10" x14ac:dyDescent="0.25">
      <c r="A770" t="s">
        <v>2510</v>
      </c>
      <c r="B770">
        <v>2022</v>
      </c>
      <c r="C770" t="s">
        <v>182</v>
      </c>
      <c r="D770" t="b">
        <v>1</v>
      </c>
      <c r="E770" t="b">
        <f>COUNTIF(connections!A:A, A770) &gt; 0</f>
        <v>0</v>
      </c>
      <c r="G770" t="s">
        <v>2511</v>
      </c>
      <c r="H770" t="s">
        <v>187</v>
      </c>
      <c r="I770" t="s">
        <v>2512</v>
      </c>
      <c r="J770" s="1" t="s">
        <v>2513</v>
      </c>
    </row>
    <row r="771" spans="1:10" x14ac:dyDescent="0.25">
      <c r="A771" t="s">
        <v>2514</v>
      </c>
      <c r="B771">
        <v>2025</v>
      </c>
      <c r="C771" t="s">
        <v>222</v>
      </c>
      <c r="D771" t="b">
        <f>TRUE()</f>
        <v>1</v>
      </c>
      <c r="E771" t="b">
        <f>COUNTIF(connections!A:A, A771) &gt; 0</f>
        <v>0</v>
      </c>
      <c r="G771" t="s">
        <v>2515</v>
      </c>
      <c r="H771" t="s">
        <v>187</v>
      </c>
      <c r="I771" t="s">
        <v>2516</v>
      </c>
      <c r="J771" s="1" t="s">
        <v>2517</v>
      </c>
    </row>
    <row r="772" spans="1:10" x14ac:dyDescent="0.25">
      <c r="A772" t="s">
        <v>2518</v>
      </c>
      <c r="B772">
        <v>2013</v>
      </c>
      <c r="C772" t="s">
        <v>176</v>
      </c>
      <c r="D772" t="b">
        <f>TRUE()</f>
        <v>1</v>
      </c>
      <c r="E772" t="b">
        <f>COUNTIF(connections!A:A, A772) &gt; 0</f>
        <v>1</v>
      </c>
      <c r="G772" t="s">
        <v>2519</v>
      </c>
      <c r="H772" t="s">
        <v>187</v>
      </c>
      <c r="I772" t="s">
        <v>2520</v>
      </c>
      <c r="J772" s="1" t="s">
        <v>2521</v>
      </c>
    </row>
    <row r="773" spans="1:10" x14ac:dyDescent="0.25">
      <c r="A773" t="s">
        <v>2522</v>
      </c>
      <c r="B773">
        <v>2025</v>
      </c>
      <c r="C773" t="s">
        <v>182</v>
      </c>
      <c r="D773" t="b">
        <f>TRUE()</f>
        <v>1</v>
      </c>
      <c r="E773" t="b">
        <f>COUNTIF(connections!A:A, A773) &gt; 0</f>
        <v>1</v>
      </c>
      <c r="G773" t="s">
        <v>2523</v>
      </c>
      <c r="H773" t="s">
        <v>187</v>
      </c>
      <c r="I773" t="s">
        <v>8121</v>
      </c>
      <c r="J773" s="10" t="s">
        <v>8122</v>
      </c>
    </row>
    <row r="774" spans="1:10" x14ac:dyDescent="0.25">
      <c r="A774" t="s">
        <v>2524</v>
      </c>
      <c r="B774">
        <v>2025</v>
      </c>
      <c r="C774" t="s">
        <v>176</v>
      </c>
      <c r="D774" t="b">
        <f>TRUE()</f>
        <v>1</v>
      </c>
      <c r="E774" t="b">
        <f>COUNTIF(connections!A:A, A774) &gt; 0</f>
        <v>0</v>
      </c>
      <c r="G774" t="s">
        <v>2525</v>
      </c>
    </row>
    <row r="775" spans="1:10" x14ac:dyDescent="0.25">
      <c r="A775" t="s">
        <v>2526</v>
      </c>
      <c r="B775">
        <v>2023</v>
      </c>
      <c r="C775" t="s">
        <v>176</v>
      </c>
      <c r="D775" t="b">
        <f>TRUE()</f>
        <v>1</v>
      </c>
      <c r="E775" t="b">
        <f>COUNTIF(connections!A:A, A775) &gt; 0</f>
        <v>0</v>
      </c>
      <c r="F775" t="s">
        <v>277</v>
      </c>
      <c r="G775" t="s">
        <v>2527</v>
      </c>
      <c r="H775" t="s">
        <v>187</v>
      </c>
      <c r="I775" t="s">
        <v>2528</v>
      </c>
      <c r="J775" s="1" t="s">
        <v>2529</v>
      </c>
    </row>
    <row r="776" spans="1:10" x14ac:dyDescent="0.25">
      <c r="A776" t="s">
        <v>2530</v>
      </c>
      <c r="B776">
        <v>2016</v>
      </c>
      <c r="C776" t="s">
        <v>176</v>
      </c>
      <c r="D776" t="b">
        <f>TRUE()</f>
        <v>1</v>
      </c>
      <c r="E776" t="b">
        <f>COUNTIF(connections!A:A, A776) &gt; 0</f>
        <v>0</v>
      </c>
      <c r="F776" t="s">
        <v>787</v>
      </c>
      <c r="G776" t="s">
        <v>2531</v>
      </c>
      <c r="H776" t="s">
        <v>187</v>
      </c>
      <c r="I776" t="s">
        <v>2532</v>
      </c>
      <c r="J776" s="1" t="s">
        <v>2533</v>
      </c>
    </row>
    <row r="777" spans="1:10" x14ac:dyDescent="0.25">
      <c r="A777" t="s">
        <v>2534</v>
      </c>
      <c r="B777">
        <v>1982</v>
      </c>
      <c r="C777" t="s">
        <v>179</v>
      </c>
      <c r="D777" t="b">
        <f>TRUE()</f>
        <v>1</v>
      </c>
      <c r="E777" t="b">
        <f>COUNTIF(connections!A:A, A777) &gt; 0</f>
        <v>1</v>
      </c>
      <c r="G777" t="s">
        <v>2535</v>
      </c>
      <c r="J777" s="10" t="s">
        <v>2536</v>
      </c>
    </row>
    <row r="778" spans="1:10" x14ac:dyDescent="0.25">
      <c r="A778" t="s">
        <v>2537</v>
      </c>
      <c r="B778">
        <v>2021</v>
      </c>
      <c r="C778" t="s">
        <v>176</v>
      </c>
      <c r="D778" t="b">
        <f>TRUE()</f>
        <v>1</v>
      </c>
      <c r="E778" t="b">
        <f>COUNTIF(connections!A:A, A778) &gt; 0</f>
        <v>1</v>
      </c>
      <c r="G778" t="s">
        <v>2538</v>
      </c>
      <c r="H778" t="s">
        <v>187</v>
      </c>
      <c r="I778" t="s">
        <v>8329</v>
      </c>
      <c r="J778" s="10" t="s">
        <v>2539</v>
      </c>
    </row>
    <row r="779" spans="1:10" x14ac:dyDescent="0.25">
      <c r="A779" t="s">
        <v>2540</v>
      </c>
      <c r="B779">
        <v>2025</v>
      </c>
      <c r="C779" t="s">
        <v>176</v>
      </c>
      <c r="D779" t="b">
        <f>TRUE()</f>
        <v>1</v>
      </c>
      <c r="E779" t="b">
        <f>COUNTIF(connections!A:A, A779) &gt; 0</f>
        <v>0</v>
      </c>
      <c r="G779" t="s">
        <v>2541</v>
      </c>
      <c r="J779" s="10" t="s">
        <v>2542</v>
      </c>
    </row>
    <row r="780" spans="1:10" x14ac:dyDescent="0.25">
      <c r="A780" t="s">
        <v>2543</v>
      </c>
      <c r="B780">
        <v>2013</v>
      </c>
      <c r="C780" t="s">
        <v>179</v>
      </c>
      <c r="D780" t="b">
        <f>TRUE()</f>
        <v>1</v>
      </c>
      <c r="E780" t="b">
        <f>COUNTIF(connections!A:A, A780) &gt; 0</f>
        <v>0</v>
      </c>
      <c r="G780" t="s">
        <v>2544</v>
      </c>
      <c r="J780" s="1" t="s">
        <v>2545</v>
      </c>
    </row>
    <row r="781" spans="1:10" x14ac:dyDescent="0.25">
      <c r="A781" t="s">
        <v>2546</v>
      </c>
      <c r="B781">
        <v>2022</v>
      </c>
      <c r="C781" t="s">
        <v>176</v>
      </c>
      <c r="D781" t="b">
        <f>TRUE()</f>
        <v>1</v>
      </c>
      <c r="E781" t="b">
        <f>COUNTIF(connections!A:A, A781) &gt; 0</f>
        <v>0</v>
      </c>
      <c r="G781" t="s">
        <v>2547</v>
      </c>
      <c r="H781" t="s">
        <v>187</v>
      </c>
      <c r="I781" t="s">
        <v>2548</v>
      </c>
      <c r="J781" s="1" t="s">
        <v>2549</v>
      </c>
    </row>
    <row r="782" spans="1:10" x14ac:dyDescent="0.25">
      <c r="A782" t="s">
        <v>2550</v>
      </c>
      <c r="B782">
        <v>2025</v>
      </c>
      <c r="C782" t="s">
        <v>176</v>
      </c>
      <c r="D782" t="b">
        <f>TRUE()</f>
        <v>1</v>
      </c>
      <c r="E782" t="b">
        <f>COUNTIF(connections!A:A, A782) &gt; 0</f>
        <v>0</v>
      </c>
      <c r="G782" t="s">
        <v>2551</v>
      </c>
      <c r="H782" t="s">
        <v>187</v>
      </c>
      <c r="I782" t="s">
        <v>2552</v>
      </c>
      <c r="J782" s="1" t="s">
        <v>2553</v>
      </c>
    </row>
    <row r="783" spans="1:10" x14ac:dyDescent="0.25">
      <c r="A783" t="s">
        <v>2554</v>
      </c>
      <c r="B783">
        <v>2021</v>
      </c>
      <c r="C783" t="s">
        <v>176</v>
      </c>
      <c r="D783" t="b">
        <f>TRUE()</f>
        <v>1</v>
      </c>
      <c r="E783" t="b">
        <f>COUNTIF(connections!A:A, A783) &gt; 0</f>
        <v>0</v>
      </c>
      <c r="G783" t="s">
        <v>2555</v>
      </c>
    </row>
    <row r="784" spans="1:10" x14ac:dyDescent="0.25">
      <c r="A784" t="s">
        <v>2556</v>
      </c>
      <c r="B784">
        <v>2018</v>
      </c>
      <c r="C784" t="s">
        <v>176</v>
      </c>
      <c r="D784" t="b">
        <f>TRUE()</f>
        <v>1</v>
      </c>
      <c r="E784" t="b">
        <f>COUNTIF(connections!A:A, A784) &gt; 0</f>
        <v>1</v>
      </c>
      <c r="G784" t="s">
        <v>2557</v>
      </c>
      <c r="H784" t="s">
        <v>187</v>
      </c>
      <c r="I784" t="s">
        <v>2558</v>
      </c>
      <c r="J784" s="1" t="s">
        <v>2559</v>
      </c>
    </row>
    <row r="785" spans="1:10" x14ac:dyDescent="0.25">
      <c r="A785" t="s">
        <v>2560</v>
      </c>
      <c r="B785">
        <v>2026</v>
      </c>
      <c r="C785" t="s">
        <v>222</v>
      </c>
      <c r="D785" t="b">
        <f>TRUE()</f>
        <v>1</v>
      </c>
      <c r="E785" t="b">
        <f>COUNTIF(connections!A:A, A785) &gt; 0</f>
        <v>0</v>
      </c>
      <c r="G785" t="s">
        <v>2561</v>
      </c>
      <c r="J785" s="1" t="s">
        <v>2562</v>
      </c>
    </row>
    <row r="786" spans="1:10" x14ac:dyDescent="0.25">
      <c r="A786" t="s">
        <v>2563</v>
      </c>
      <c r="B786">
        <v>2020</v>
      </c>
      <c r="C786" t="s">
        <v>182</v>
      </c>
      <c r="D786" t="b">
        <f>TRUE()</f>
        <v>1</v>
      </c>
      <c r="E786" t="b">
        <f>COUNTIF(connections!A:A, A786) &gt; 0</f>
        <v>0</v>
      </c>
      <c r="G786" t="s">
        <v>2564</v>
      </c>
      <c r="H786" t="s">
        <v>187</v>
      </c>
      <c r="I786" t="s">
        <v>2565</v>
      </c>
      <c r="J786" s="1" t="s">
        <v>2566</v>
      </c>
    </row>
    <row r="787" spans="1:10" x14ac:dyDescent="0.25">
      <c r="A787" t="s">
        <v>2567</v>
      </c>
      <c r="B787">
        <v>2023</v>
      </c>
      <c r="C787" t="s">
        <v>176</v>
      </c>
      <c r="D787" t="b">
        <f>TRUE()</f>
        <v>1</v>
      </c>
      <c r="E787" t="b">
        <f>COUNTIF(connections!A:A, A787) &gt; 0</f>
        <v>0</v>
      </c>
      <c r="G787" t="s">
        <v>2568</v>
      </c>
      <c r="H787" t="s">
        <v>187</v>
      </c>
      <c r="I787" t="s">
        <v>2569</v>
      </c>
      <c r="J787" s="1" t="s">
        <v>2570</v>
      </c>
    </row>
    <row r="788" spans="1:10" x14ac:dyDescent="0.25">
      <c r="A788" t="s">
        <v>2571</v>
      </c>
      <c r="B788">
        <v>1998</v>
      </c>
      <c r="C788" t="s">
        <v>179</v>
      </c>
      <c r="D788" t="b">
        <f>TRUE()</f>
        <v>1</v>
      </c>
      <c r="E788" t="b">
        <f>COUNTIF(connections!A:A, A788) &gt; 0</f>
        <v>1</v>
      </c>
      <c r="G788" t="s">
        <v>2572</v>
      </c>
      <c r="H788" t="s">
        <v>187</v>
      </c>
      <c r="I788" t="s">
        <v>2573</v>
      </c>
      <c r="J788" s="1" t="s">
        <v>2574</v>
      </c>
    </row>
    <row r="789" spans="1:10" x14ac:dyDescent="0.25">
      <c r="A789" t="s">
        <v>2575</v>
      </c>
      <c r="B789">
        <v>2026</v>
      </c>
      <c r="C789" t="s">
        <v>182</v>
      </c>
      <c r="D789" t="b">
        <f>TRUE()</f>
        <v>1</v>
      </c>
      <c r="E789" t="b">
        <f>COUNTIF(connections!A:A, A789) &gt; 0</f>
        <v>0</v>
      </c>
      <c r="G789" t="s">
        <v>2576</v>
      </c>
      <c r="J789" s="10" t="s">
        <v>2577</v>
      </c>
    </row>
    <row r="790" spans="1:10" x14ac:dyDescent="0.25">
      <c r="A790" t="s">
        <v>2578</v>
      </c>
      <c r="B790">
        <v>2017</v>
      </c>
      <c r="C790" t="s">
        <v>179</v>
      </c>
      <c r="D790" t="b">
        <f>TRUE()</f>
        <v>1</v>
      </c>
      <c r="E790" t="b">
        <f>COUNTIF(connections!A:A, A790) &gt; 0</f>
        <v>1</v>
      </c>
      <c r="G790" t="s">
        <v>2579</v>
      </c>
      <c r="H790" t="s">
        <v>187</v>
      </c>
      <c r="I790" t="s">
        <v>2580</v>
      </c>
      <c r="J790" s="1" t="s">
        <v>2581</v>
      </c>
    </row>
    <row r="791" spans="1:10" x14ac:dyDescent="0.25">
      <c r="A791" t="s">
        <v>2582</v>
      </c>
      <c r="B791">
        <v>2026</v>
      </c>
      <c r="C791" t="s">
        <v>222</v>
      </c>
      <c r="D791" t="b">
        <f>FALSE()</f>
        <v>0</v>
      </c>
      <c r="E791" t="b">
        <f>COUNTIF(connections!A:A, A791) &gt; 0</f>
        <v>0</v>
      </c>
      <c r="F791" t="s">
        <v>2583</v>
      </c>
      <c r="G791" t="s">
        <v>2584</v>
      </c>
      <c r="H791" t="s">
        <v>187</v>
      </c>
      <c r="I791" t="s">
        <v>2585</v>
      </c>
      <c r="J791" s="1" t="s">
        <v>2586</v>
      </c>
    </row>
    <row r="792" spans="1:10" x14ac:dyDescent="0.25">
      <c r="A792" t="s">
        <v>2587</v>
      </c>
      <c r="B792">
        <v>2006</v>
      </c>
      <c r="C792" t="s">
        <v>179</v>
      </c>
      <c r="D792" t="b">
        <f>TRUE()</f>
        <v>1</v>
      </c>
      <c r="E792" t="b">
        <f>COUNTIF(connections!A:A, A792) &gt; 0</f>
        <v>0</v>
      </c>
      <c r="G792" t="s">
        <v>2588</v>
      </c>
      <c r="H792" t="s">
        <v>187</v>
      </c>
      <c r="I792" t="s">
        <v>2589</v>
      </c>
    </row>
    <row r="793" spans="1:10" x14ac:dyDescent="0.25">
      <c r="A793" t="s">
        <v>2590</v>
      </c>
      <c r="B793">
        <v>2023</v>
      </c>
      <c r="C793" t="s">
        <v>176</v>
      </c>
      <c r="D793" t="b">
        <f>TRUE()</f>
        <v>1</v>
      </c>
      <c r="E793" t="b">
        <f>COUNTIF(connections!A:A, A793) &gt; 0</f>
        <v>0</v>
      </c>
      <c r="F793" t="s">
        <v>614</v>
      </c>
      <c r="G793" t="s">
        <v>2591</v>
      </c>
      <c r="H793" t="s">
        <v>187</v>
      </c>
      <c r="I793" t="s">
        <v>2592</v>
      </c>
      <c r="J793" s="1" t="s">
        <v>2593</v>
      </c>
    </row>
    <row r="794" spans="1:10" x14ac:dyDescent="0.25">
      <c r="A794" t="s">
        <v>2594</v>
      </c>
      <c r="B794">
        <v>2019</v>
      </c>
      <c r="C794" t="s">
        <v>222</v>
      </c>
      <c r="D794" t="b">
        <f>TRUE()</f>
        <v>1</v>
      </c>
      <c r="E794" t="b">
        <f>COUNTIF(connections!A:A, A794) &gt; 0</f>
        <v>1</v>
      </c>
      <c r="G794" t="s">
        <v>2595</v>
      </c>
    </row>
    <row r="795" spans="1:10" x14ac:dyDescent="0.25">
      <c r="A795" t="s">
        <v>2596</v>
      </c>
      <c r="B795">
        <v>2026</v>
      </c>
      <c r="C795" t="s">
        <v>176</v>
      </c>
      <c r="D795" t="b">
        <v>1</v>
      </c>
      <c r="E795" t="b">
        <f>COUNTIF(connections!A:A, A795) &gt; 0</f>
        <v>0</v>
      </c>
      <c r="G795" t="s">
        <v>2597</v>
      </c>
      <c r="J795" s="10" t="s">
        <v>2598</v>
      </c>
    </row>
    <row r="796" spans="1:10" x14ac:dyDescent="0.25">
      <c r="A796" t="s">
        <v>2599</v>
      </c>
      <c r="B796">
        <v>2024</v>
      </c>
      <c r="C796" t="s">
        <v>176</v>
      </c>
      <c r="D796" t="b">
        <f>TRUE()</f>
        <v>1</v>
      </c>
      <c r="E796" t="b">
        <f>COUNTIF(connections!A:A, A796) &gt; 0</f>
        <v>0</v>
      </c>
      <c r="G796" t="s">
        <v>2600</v>
      </c>
      <c r="H796" t="s">
        <v>187</v>
      </c>
      <c r="I796" t="s">
        <v>2601</v>
      </c>
      <c r="J796" s="1" t="s">
        <v>2602</v>
      </c>
    </row>
    <row r="797" spans="1:10" x14ac:dyDescent="0.25">
      <c r="A797" t="s">
        <v>2603</v>
      </c>
      <c r="B797">
        <v>2024</v>
      </c>
      <c r="C797" t="s">
        <v>176</v>
      </c>
      <c r="D797" t="b">
        <f>TRUE()</f>
        <v>1</v>
      </c>
      <c r="E797" t="b">
        <f>COUNTIF(connections!A:A, A797) &gt; 0</f>
        <v>0</v>
      </c>
      <c r="G797" t="s">
        <v>2604</v>
      </c>
    </row>
    <row r="798" spans="1:10" x14ac:dyDescent="0.25">
      <c r="A798" t="s">
        <v>2605</v>
      </c>
      <c r="B798">
        <v>2022</v>
      </c>
      <c r="C798" t="s">
        <v>222</v>
      </c>
      <c r="D798" t="b">
        <f>TRUE()</f>
        <v>1</v>
      </c>
      <c r="E798" t="b">
        <f>COUNTIF(connections!A:A, A798) &gt; 0</f>
        <v>0</v>
      </c>
      <c r="G798" t="s">
        <v>2606</v>
      </c>
      <c r="H798" t="s">
        <v>187</v>
      </c>
      <c r="I798" t="s">
        <v>2607</v>
      </c>
      <c r="J798" s="1" t="s">
        <v>2608</v>
      </c>
    </row>
    <row r="799" spans="1:10" x14ac:dyDescent="0.25">
      <c r="A799" t="s">
        <v>2609</v>
      </c>
      <c r="B799">
        <v>2026</v>
      </c>
      <c r="C799" t="s">
        <v>176</v>
      </c>
      <c r="D799" t="b">
        <f>TRUE()</f>
        <v>1</v>
      </c>
      <c r="E799" t="b">
        <f>COUNTIF(connections!A:A, A799) &gt; 0</f>
        <v>0</v>
      </c>
      <c r="G799" t="s">
        <v>2610</v>
      </c>
      <c r="J799" s="10" t="s">
        <v>2611</v>
      </c>
    </row>
    <row r="800" spans="1:10" x14ac:dyDescent="0.25">
      <c r="A800" t="s">
        <v>2612</v>
      </c>
      <c r="B800">
        <v>2024</v>
      </c>
      <c r="C800" t="s">
        <v>176</v>
      </c>
      <c r="D800" t="b">
        <f>TRUE()</f>
        <v>1</v>
      </c>
      <c r="E800" t="b">
        <f>COUNTIF(connections!A:A, A800) &gt; 0</f>
        <v>0</v>
      </c>
      <c r="G800" t="s">
        <v>2613</v>
      </c>
    </row>
    <row r="801" spans="1:10" x14ac:dyDescent="0.25">
      <c r="A801" t="s">
        <v>2614</v>
      </c>
      <c r="B801">
        <v>2025</v>
      </c>
      <c r="C801" t="s">
        <v>222</v>
      </c>
      <c r="D801" t="b">
        <f>TRUE()</f>
        <v>1</v>
      </c>
      <c r="E801" t="b">
        <f>COUNTIF(connections!A:A, A801) &gt; 0</f>
        <v>1</v>
      </c>
      <c r="G801" t="s">
        <v>2615</v>
      </c>
    </row>
    <row r="802" spans="1:10" x14ac:dyDescent="0.25">
      <c r="A802" t="s">
        <v>160</v>
      </c>
      <c r="B802">
        <v>2011</v>
      </c>
      <c r="C802" t="s">
        <v>176</v>
      </c>
      <c r="D802" t="b">
        <f>TRUE()</f>
        <v>1</v>
      </c>
      <c r="E802" t="b">
        <f>COUNTIF(connections!A:A, A802) &gt; 0</f>
        <v>1</v>
      </c>
      <c r="G802" t="s">
        <v>2616</v>
      </c>
      <c r="H802" t="s">
        <v>187</v>
      </c>
      <c r="I802" t="s">
        <v>2617</v>
      </c>
      <c r="J802" s="1" t="s">
        <v>2618</v>
      </c>
    </row>
    <row r="803" spans="1:10" x14ac:dyDescent="0.25">
      <c r="A803" t="s">
        <v>2619</v>
      </c>
      <c r="B803">
        <v>2014</v>
      </c>
      <c r="C803" t="s">
        <v>176</v>
      </c>
      <c r="D803" t="b">
        <f>TRUE()</f>
        <v>1</v>
      </c>
      <c r="E803" t="b">
        <f>COUNTIF(connections!A:A, A803) &gt; 0</f>
        <v>0</v>
      </c>
      <c r="G803" t="s">
        <v>2620</v>
      </c>
      <c r="H803" t="s">
        <v>187</v>
      </c>
      <c r="I803" t="s">
        <v>2621</v>
      </c>
      <c r="J803" s="1" t="s">
        <v>2622</v>
      </c>
    </row>
    <row r="804" spans="1:10" x14ac:dyDescent="0.25">
      <c r="A804" t="s">
        <v>2623</v>
      </c>
      <c r="B804">
        <v>2021</v>
      </c>
      <c r="C804" t="s">
        <v>179</v>
      </c>
      <c r="D804" t="b">
        <f>TRUE()</f>
        <v>1</v>
      </c>
      <c r="E804" t="b">
        <f>COUNTIF(connections!A:A, A804) &gt; 0</f>
        <v>0</v>
      </c>
      <c r="G804" t="s">
        <v>2624</v>
      </c>
    </row>
    <row r="805" spans="1:10" x14ac:dyDescent="0.25">
      <c r="A805" t="s">
        <v>2625</v>
      </c>
      <c r="B805">
        <v>2000</v>
      </c>
      <c r="C805" t="s">
        <v>179</v>
      </c>
      <c r="D805" t="b">
        <f>TRUE()</f>
        <v>1</v>
      </c>
      <c r="E805" t="b">
        <f>COUNTIF(connections!A:A, A805) &gt; 0</f>
        <v>1</v>
      </c>
      <c r="G805" t="s">
        <v>2626</v>
      </c>
      <c r="H805" t="s">
        <v>187</v>
      </c>
      <c r="I805" t="s">
        <v>2627</v>
      </c>
    </row>
    <row r="806" spans="1:10" x14ac:dyDescent="0.25">
      <c r="A806" t="s">
        <v>2628</v>
      </c>
      <c r="B806">
        <v>2025</v>
      </c>
      <c r="C806" t="s">
        <v>182</v>
      </c>
      <c r="D806" t="b">
        <f>FALSE()</f>
        <v>0</v>
      </c>
      <c r="E806" t="b">
        <f>COUNTIF(connections!A:A, A806) &gt; 0</f>
        <v>0</v>
      </c>
      <c r="F806" t="s">
        <v>1076</v>
      </c>
      <c r="G806" t="s">
        <v>2629</v>
      </c>
    </row>
    <row r="807" spans="1:10" x14ac:dyDescent="0.25">
      <c r="A807" t="s">
        <v>2630</v>
      </c>
      <c r="B807">
        <v>2016</v>
      </c>
      <c r="C807" t="s">
        <v>176</v>
      </c>
      <c r="D807" t="b">
        <f>TRUE()</f>
        <v>1</v>
      </c>
      <c r="E807" t="b">
        <f>COUNTIF(connections!A:A, A807) &gt; 0</f>
        <v>0</v>
      </c>
      <c r="G807" t="s">
        <v>2631</v>
      </c>
      <c r="H807" t="s">
        <v>187</v>
      </c>
      <c r="I807" t="s">
        <v>2632</v>
      </c>
      <c r="J807" s="1" t="s">
        <v>2633</v>
      </c>
    </row>
    <row r="808" spans="1:10" x14ac:dyDescent="0.25">
      <c r="A808" t="s">
        <v>2634</v>
      </c>
      <c r="B808">
        <v>2014</v>
      </c>
      <c r="C808" t="s">
        <v>179</v>
      </c>
      <c r="D808" t="b">
        <f>TRUE()</f>
        <v>1</v>
      </c>
      <c r="E808" t="b">
        <f>COUNTIF(connections!A:A, A808) &gt; 0</f>
        <v>1</v>
      </c>
      <c r="G808" t="s">
        <v>2635</v>
      </c>
      <c r="H808" t="s">
        <v>187</v>
      </c>
      <c r="I808" t="s">
        <v>2636</v>
      </c>
    </row>
    <row r="809" spans="1:10" x14ac:dyDescent="0.25">
      <c r="A809" t="s">
        <v>2637</v>
      </c>
      <c r="B809">
        <v>2013</v>
      </c>
      <c r="C809" t="s">
        <v>179</v>
      </c>
      <c r="D809" t="b">
        <f>TRUE()</f>
        <v>1</v>
      </c>
      <c r="E809" t="b">
        <f>COUNTIF(connections!A:A, A809) &gt; 0</f>
        <v>0</v>
      </c>
      <c r="G809" t="s">
        <v>2638</v>
      </c>
    </row>
    <row r="810" spans="1:10" x14ac:dyDescent="0.25">
      <c r="A810" t="s">
        <v>2639</v>
      </c>
      <c r="B810">
        <v>2025</v>
      </c>
      <c r="C810" t="s">
        <v>222</v>
      </c>
      <c r="D810" t="b">
        <f>FALSE()</f>
        <v>0</v>
      </c>
      <c r="E810" t="b">
        <f>COUNTIF(connections!A:A, A810) &gt; 0</f>
        <v>0</v>
      </c>
      <c r="G810" t="s">
        <v>2640</v>
      </c>
      <c r="H810" t="s">
        <v>187</v>
      </c>
      <c r="I810" t="s">
        <v>2641</v>
      </c>
      <c r="J810" s="1" t="s">
        <v>2642</v>
      </c>
    </row>
    <row r="811" spans="1:10" x14ac:dyDescent="0.25">
      <c r="A811" t="s">
        <v>2643</v>
      </c>
      <c r="B811">
        <v>2024</v>
      </c>
      <c r="C811" t="s">
        <v>222</v>
      </c>
      <c r="D811" t="b">
        <f>TRUE()</f>
        <v>1</v>
      </c>
      <c r="E811" t="b">
        <f>COUNTIF(connections!A:A, A811) &gt; 0</f>
        <v>0</v>
      </c>
      <c r="G811" t="s">
        <v>2644</v>
      </c>
    </row>
    <row r="812" spans="1:10" x14ac:dyDescent="0.25">
      <c r="A812" t="s">
        <v>2645</v>
      </c>
      <c r="B812">
        <v>2023</v>
      </c>
      <c r="C812" t="s">
        <v>176</v>
      </c>
      <c r="D812" t="b">
        <f>TRUE()</f>
        <v>1</v>
      </c>
      <c r="E812" t="b">
        <f>COUNTIF(connections!A:A, A812) &gt; 0</f>
        <v>0</v>
      </c>
      <c r="G812" t="s">
        <v>2646</v>
      </c>
      <c r="H812" t="s">
        <v>187</v>
      </c>
      <c r="I812" t="s">
        <v>8330</v>
      </c>
      <c r="J812" s="10" t="s">
        <v>2647</v>
      </c>
    </row>
    <row r="813" spans="1:10" x14ac:dyDescent="0.25">
      <c r="A813" t="s">
        <v>2648</v>
      </c>
      <c r="B813">
        <v>2021</v>
      </c>
      <c r="C813" t="s">
        <v>222</v>
      </c>
      <c r="D813" t="b">
        <f>TRUE()</f>
        <v>1</v>
      </c>
      <c r="E813" t="b">
        <f>COUNTIF(connections!A:A, A813) &gt; 0</f>
        <v>0</v>
      </c>
      <c r="G813" t="s">
        <v>2649</v>
      </c>
      <c r="H813" t="s">
        <v>187</v>
      </c>
      <c r="I813" t="s">
        <v>2650</v>
      </c>
      <c r="J813" s="1" t="s">
        <v>2651</v>
      </c>
    </row>
    <row r="814" spans="1:10" x14ac:dyDescent="0.25">
      <c r="A814" t="s">
        <v>2652</v>
      </c>
      <c r="B814">
        <v>2019</v>
      </c>
      <c r="C814" t="s">
        <v>222</v>
      </c>
      <c r="D814" t="b">
        <f>TRUE()</f>
        <v>1</v>
      </c>
      <c r="E814" t="b">
        <f>COUNTIF(connections!A:A, A814) &gt; 0</f>
        <v>1</v>
      </c>
      <c r="G814" t="s">
        <v>2653</v>
      </c>
      <c r="H814" t="s">
        <v>187</v>
      </c>
      <c r="I814" t="s">
        <v>2654</v>
      </c>
      <c r="J814" s="1" t="s">
        <v>2655</v>
      </c>
    </row>
    <row r="815" spans="1:10" x14ac:dyDescent="0.25">
      <c r="A815" t="s">
        <v>7923</v>
      </c>
      <c r="B815">
        <v>2026</v>
      </c>
      <c r="C815" t="s">
        <v>182</v>
      </c>
      <c r="D815" t="b">
        <f>TRUE()</f>
        <v>1</v>
      </c>
      <c r="E815" t="b">
        <f>COUNTIF(connections!A:A, A815) &gt; 0</f>
        <v>0</v>
      </c>
      <c r="G815" t="s">
        <v>7924</v>
      </c>
      <c r="J815" s="10" t="s">
        <v>7925</v>
      </c>
    </row>
    <row r="816" spans="1:10" x14ac:dyDescent="0.25">
      <c r="A816" t="s">
        <v>8131</v>
      </c>
      <c r="B816">
        <v>2026</v>
      </c>
      <c r="C816" t="s">
        <v>176</v>
      </c>
      <c r="D816" t="b">
        <f>TRUE()</f>
        <v>1</v>
      </c>
      <c r="E816" t="b">
        <f>COUNTIF(connections!A:A, A816) &gt; 0</f>
        <v>0</v>
      </c>
      <c r="G816" t="s">
        <v>8133</v>
      </c>
      <c r="J816" s="10" t="s">
        <v>8132</v>
      </c>
    </row>
    <row r="817" spans="1:10" x14ac:dyDescent="0.25">
      <c r="A817" t="s">
        <v>2656</v>
      </c>
      <c r="B817">
        <v>2004</v>
      </c>
      <c r="C817" t="s">
        <v>179</v>
      </c>
      <c r="D817" t="b">
        <f>TRUE()</f>
        <v>1</v>
      </c>
      <c r="E817" t="b">
        <f>COUNTIF(connections!A:A, A817) &gt; 0</f>
        <v>0</v>
      </c>
      <c r="G817" t="s">
        <v>2657</v>
      </c>
      <c r="H817" t="s">
        <v>187</v>
      </c>
      <c r="I817" t="s">
        <v>2658</v>
      </c>
    </row>
    <row r="818" spans="1:10" x14ac:dyDescent="0.25">
      <c r="A818" t="s">
        <v>2659</v>
      </c>
      <c r="B818">
        <v>2023</v>
      </c>
      <c r="C818" t="s">
        <v>222</v>
      </c>
      <c r="D818" t="b">
        <f>TRUE()</f>
        <v>1</v>
      </c>
      <c r="E818" t="b">
        <f>COUNTIF(connections!A:A, A818) &gt; 0</f>
        <v>0</v>
      </c>
      <c r="F818" t="s">
        <v>1164</v>
      </c>
      <c r="G818" t="s">
        <v>2660</v>
      </c>
      <c r="H818" t="s">
        <v>187</v>
      </c>
      <c r="I818" t="s">
        <v>2661</v>
      </c>
      <c r="J818" s="1" t="s">
        <v>2662</v>
      </c>
    </row>
    <row r="819" spans="1:10" x14ac:dyDescent="0.25">
      <c r="A819" t="s">
        <v>2663</v>
      </c>
      <c r="B819">
        <v>2024</v>
      </c>
      <c r="C819" t="s">
        <v>176</v>
      </c>
      <c r="D819" t="b">
        <f>TRUE()</f>
        <v>1</v>
      </c>
      <c r="E819" t="b">
        <f>COUNTIF(connections!A:A, A819) &gt; 0</f>
        <v>0</v>
      </c>
      <c r="G819" t="s">
        <v>2664</v>
      </c>
      <c r="H819" t="s">
        <v>187</v>
      </c>
      <c r="I819" t="s">
        <v>2665</v>
      </c>
      <c r="J819" s="1" t="s">
        <v>2666</v>
      </c>
    </row>
    <row r="820" spans="1:10" x14ac:dyDescent="0.25">
      <c r="A820" t="s">
        <v>2667</v>
      </c>
      <c r="B820">
        <v>2025</v>
      </c>
      <c r="C820" t="s">
        <v>182</v>
      </c>
      <c r="D820" t="b">
        <f>TRUE()</f>
        <v>1</v>
      </c>
      <c r="E820" t="b">
        <f>COUNTIF(connections!A:A, A820) &gt; 0</f>
        <v>0</v>
      </c>
      <c r="G820" t="s">
        <v>2668</v>
      </c>
      <c r="H820" t="s">
        <v>187</v>
      </c>
      <c r="I820" t="s">
        <v>8123</v>
      </c>
      <c r="J820" s="10" t="s">
        <v>2985</v>
      </c>
    </row>
    <row r="821" spans="1:10" x14ac:dyDescent="0.25">
      <c r="A821" t="s">
        <v>2669</v>
      </c>
      <c r="B821">
        <v>2024</v>
      </c>
      <c r="C821" t="s">
        <v>176</v>
      </c>
      <c r="D821" t="b">
        <f>TRUE()</f>
        <v>1</v>
      </c>
      <c r="E821" t="b">
        <f>COUNTIF(connections!A:A, A821) &gt; 0</f>
        <v>0</v>
      </c>
      <c r="G821" t="s">
        <v>2670</v>
      </c>
    </row>
    <row r="822" spans="1:10" x14ac:dyDescent="0.25">
      <c r="A822" t="s">
        <v>2671</v>
      </c>
      <c r="B822">
        <v>2026</v>
      </c>
      <c r="C822" t="s">
        <v>182</v>
      </c>
      <c r="D822" t="b">
        <f>TRUE()</f>
        <v>1</v>
      </c>
      <c r="E822" t="b">
        <f>COUNTIF(connections!A:A, A822) &gt; 0</f>
        <v>0</v>
      </c>
      <c r="F822" t="s">
        <v>506</v>
      </c>
      <c r="G822" t="s">
        <v>2672</v>
      </c>
      <c r="H822" t="s">
        <v>187</v>
      </c>
      <c r="I822" t="s">
        <v>2673</v>
      </c>
      <c r="J822" s="1" t="s">
        <v>2674</v>
      </c>
    </row>
    <row r="823" spans="1:10" x14ac:dyDescent="0.25">
      <c r="A823" t="s">
        <v>2675</v>
      </c>
      <c r="B823">
        <v>2022</v>
      </c>
      <c r="C823" t="s">
        <v>176</v>
      </c>
      <c r="D823" t="b">
        <f>TRUE()</f>
        <v>1</v>
      </c>
      <c r="E823" t="b">
        <f>COUNTIF(connections!A:A, A823) &gt; 0</f>
        <v>1</v>
      </c>
      <c r="G823" t="s">
        <v>2676</v>
      </c>
      <c r="H823" t="s">
        <v>187</v>
      </c>
      <c r="I823" t="s">
        <v>2677</v>
      </c>
      <c r="J823" s="1" t="s">
        <v>2678</v>
      </c>
    </row>
    <row r="824" spans="1:10" x14ac:dyDescent="0.25">
      <c r="A824" t="s">
        <v>2679</v>
      </c>
      <c r="B824">
        <v>2018</v>
      </c>
      <c r="C824" t="s">
        <v>176</v>
      </c>
      <c r="D824" t="b">
        <f>TRUE()</f>
        <v>1</v>
      </c>
      <c r="E824" t="b">
        <f>COUNTIF(connections!A:A, A824) &gt; 0</f>
        <v>0</v>
      </c>
      <c r="G824" t="s">
        <v>2680</v>
      </c>
    </row>
    <row r="825" spans="1:10" x14ac:dyDescent="0.25">
      <c r="A825" t="s">
        <v>2681</v>
      </c>
      <c r="B825">
        <v>2014</v>
      </c>
      <c r="C825" t="s">
        <v>179</v>
      </c>
      <c r="D825" t="b">
        <f>TRUE()</f>
        <v>1</v>
      </c>
      <c r="E825" t="b">
        <f>COUNTIF(connections!A:A, A825) &gt; 0</f>
        <v>0</v>
      </c>
      <c r="G825" t="s">
        <v>2682</v>
      </c>
      <c r="J825" s="10" t="s">
        <v>2683</v>
      </c>
    </row>
    <row r="826" spans="1:10" x14ac:dyDescent="0.25">
      <c r="A826" t="s">
        <v>2684</v>
      </c>
      <c r="B826">
        <v>2025</v>
      </c>
      <c r="C826" t="s">
        <v>222</v>
      </c>
      <c r="D826" t="b">
        <f>FALSE()</f>
        <v>0</v>
      </c>
      <c r="E826" t="b">
        <f>COUNTIF(connections!A:A, A826) &gt; 0</f>
        <v>0</v>
      </c>
      <c r="F826" t="s">
        <v>404</v>
      </c>
      <c r="G826" t="s">
        <v>2685</v>
      </c>
    </row>
    <row r="827" spans="1:10" x14ac:dyDescent="0.25">
      <c r="A827" t="s">
        <v>2686</v>
      </c>
      <c r="B827">
        <v>2025</v>
      </c>
      <c r="C827" t="s">
        <v>182</v>
      </c>
      <c r="D827" t="b">
        <f>TRUE()</f>
        <v>1</v>
      </c>
      <c r="E827" t="b">
        <f>COUNTIF(connections!A:A, A827) &gt; 0</f>
        <v>0</v>
      </c>
      <c r="G827" t="s">
        <v>2687</v>
      </c>
    </row>
    <row r="828" spans="1:10" x14ac:dyDescent="0.25">
      <c r="A828" t="s">
        <v>2688</v>
      </c>
      <c r="B828">
        <v>2023</v>
      </c>
      <c r="C828" t="s">
        <v>176</v>
      </c>
      <c r="D828" t="b">
        <f>TRUE()</f>
        <v>1</v>
      </c>
      <c r="E828" t="b">
        <f>COUNTIF(connections!A:A, A828) &gt; 0</f>
        <v>0</v>
      </c>
      <c r="G828" t="s">
        <v>2689</v>
      </c>
      <c r="H828" t="s">
        <v>187</v>
      </c>
      <c r="I828" t="s">
        <v>9854</v>
      </c>
      <c r="J828" s="10" t="s">
        <v>2690</v>
      </c>
    </row>
    <row r="829" spans="1:10" x14ac:dyDescent="0.25">
      <c r="A829" t="s">
        <v>2691</v>
      </c>
      <c r="B829">
        <v>2023</v>
      </c>
      <c r="C829" t="s">
        <v>176</v>
      </c>
      <c r="D829" t="b">
        <f>TRUE()</f>
        <v>1</v>
      </c>
      <c r="E829" t="b">
        <f>COUNTIF(connections!A:A, A829) &gt; 0</f>
        <v>0</v>
      </c>
      <c r="G829" t="s">
        <v>2692</v>
      </c>
      <c r="H829" t="s">
        <v>187</v>
      </c>
      <c r="I829" t="s">
        <v>2693</v>
      </c>
      <c r="J829" s="1" t="s">
        <v>2694</v>
      </c>
    </row>
    <row r="830" spans="1:10" x14ac:dyDescent="0.25">
      <c r="A830" t="s">
        <v>7952</v>
      </c>
      <c r="B830">
        <v>2026</v>
      </c>
      <c r="C830" t="s">
        <v>182</v>
      </c>
      <c r="D830" t="b">
        <f>TRUE()</f>
        <v>1</v>
      </c>
      <c r="E830" t="b">
        <f>COUNTIF(connections!A:A, A830) &gt; 0</f>
        <v>0</v>
      </c>
      <c r="G830" t="s">
        <v>7953</v>
      </c>
      <c r="J830" s="10" t="s">
        <v>7954</v>
      </c>
    </row>
    <row r="831" spans="1:10" x14ac:dyDescent="0.25">
      <c r="A831" t="s">
        <v>2695</v>
      </c>
      <c r="B831">
        <v>2025</v>
      </c>
      <c r="C831" t="s">
        <v>182</v>
      </c>
      <c r="D831" t="b">
        <f>TRUE()</f>
        <v>1</v>
      </c>
      <c r="E831" t="b">
        <f>COUNTIF(connections!A:A, A831) &gt; 0</f>
        <v>1</v>
      </c>
      <c r="F831" t="s">
        <v>1030</v>
      </c>
      <c r="G831" t="s">
        <v>2696</v>
      </c>
      <c r="J831" s="10" t="s">
        <v>2697</v>
      </c>
    </row>
    <row r="832" spans="1:10" x14ac:dyDescent="0.25">
      <c r="A832" t="s">
        <v>2698</v>
      </c>
      <c r="B832">
        <v>2022</v>
      </c>
      <c r="C832" t="s">
        <v>176</v>
      </c>
      <c r="D832" t="b">
        <f>TRUE()</f>
        <v>1</v>
      </c>
      <c r="E832" t="b">
        <f>COUNTIF(connections!A:A, A832) &gt; 0</f>
        <v>1</v>
      </c>
      <c r="G832" t="s">
        <v>2699</v>
      </c>
      <c r="H832" t="s">
        <v>187</v>
      </c>
      <c r="I832" t="s">
        <v>2700</v>
      </c>
      <c r="J832" s="1" t="s">
        <v>2701</v>
      </c>
    </row>
    <row r="833" spans="1:10" x14ac:dyDescent="0.25">
      <c r="A833" t="s">
        <v>2702</v>
      </c>
      <c r="B833">
        <v>2022</v>
      </c>
      <c r="C833" t="s">
        <v>222</v>
      </c>
      <c r="D833" t="b">
        <f>TRUE()</f>
        <v>1</v>
      </c>
      <c r="E833" t="b">
        <f>COUNTIF(connections!A:A, A833) &gt; 0</f>
        <v>0</v>
      </c>
      <c r="G833" t="s">
        <v>2703</v>
      </c>
      <c r="H833" t="s">
        <v>187</v>
      </c>
      <c r="I833" t="s">
        <v>2704</v>
      </c>
      <c r="J833" s="1" t="s">
        <v>2705</v>
      </c>
    </row>
    <row r="834" spans="1:10" x14ac:dyDescent="0.25">
      <c r="A834" t="s">
        <v>2706</v>
      </c>
      <c r="B834">
        <v>1991</v>
      </c>
      <c r="C834" t="s">
        <v>176</v>
      </c>
      <c r="D834" t="b">
        <f>TRUE()</f>
        <v>1</v>
      </c>
      <c r="E834" t="b">
        <f>COUNTIF(connections!A:A, A834) &gt; 0</f>
        <v>1</v>
      </c>
      <c r="G834" t="s">
        <v>2707</v>
      </c>
      <c r="H834" t="s">
        <v>187</v>
      </c>
      <c r="I834" t="s">
        <v>2708</v>
      </c>
    </row>
    <row r="835" spans="1:10" x14ac:dyDescent="0.25">
      <c r="A835" t="s">
        <v>2709</v>
      </c>
      <c r="B835">
        <v>2019</v>
      </c>
      <c r="C835" t="s">
        <v>176</v>
      </c>
      <c r="D835" t="b">
        <f>TRUE()</f>
        <v>1</v>
      </c>
      <c r="E835" t="b">
        <f>COUNTIF(connections!A:A, A835) &gt; 0</f>
        <v>0</v>
      </c>
      <c r="G835" t="s">
        <v>2710</v>
      </c>
    </row>
    <row r="836" spans="1:10" x14ac:dyDescent="0.25">
      <c r="A836" t="s">
        <v>2711</v>
      </c>
      <c r="B836">
        <v>2022</v>
      </c>
      <c r="C836" t="s">
        <v>176</v>
      </c>
      <c r="D836" t="b">
        <f>TRUE()</f>
        <v>1</v>
      </c>
      <c r="E836" t="b">
        <f>COUNTIF(connections!A:A, A836) &gt; 0</f>
        <v>0</v>
      </c>
      <c r="G836" t="s">
        <v>2712</v>
      </c>
      <c r="H836" t="s">
        <v>187</v>
      </c>
      <c r="I836" t="s">
        <v>2713</v>
      </c>
      <c r="J836" s="1" t="s">
        <v>2714</v>
      </c>
    </row>
    <row r="837" spans="1:10" x14ac:dyDescent="0.25">
      <c r="A837" t="s">
        <v>2715</v>
      </c>
      <c r="B837">
        <v>1999</v>
      </c>
      <c r="C837" t="s">
        <v>179</v>
      </c>
      <c r="D837" t="b">
        <f>TRUE()</f>
        <v>1</v>
      </c>
      <c r="E837" t="b">
        <f>COUNTIF(connections!A:A, A837) &gt; 0</f>
        <v>1</v>
      </c>
      <c r="G837" t="s">
        <v>2716</v>
      </c>
      <c r="H837" t="s">
        <v>187</v>
      </c>
      <c r="I837" t="s">
        <v>2717</v>
      </c>
    </row>
    <row r="838" spans="1:10" x14ac:dyDescent="0.25">
      <c r="A838" t="s">
        <v>2718</v>
      </c>
      <c r="B838">
        <v>2002</v>
      </c>
      <c r="C838" t="s">
        <v>179</v>
      </c>
      <c r="D838" t="b">
        <f>TRUE()</f>
        <v>1</v>
      </c>
      <c r="E838" t="b">
        <f>COUNTIF(connections!A:A, A838) &gt; 0</f>
        <v>0</v>
      </c>
      <c r="G838" t="s">
        <v>2719</v>
      </c>
      <c r="H838" t="s">
        <v>187</v>
      </c>
      <c r="I838" t="s">
        <v>2720</v>
      </c>
    </row>
    <row r="839" spans="1:10" x14ac:dyDescent="0.25">
      <c r="A839" t="s">
        <v>2721</v>
      </c>
      <c r="B839">
        <v>1993</v>
      </c>
      <c r="C839" t="s">
        <v>179</v>
      </c>
      <c r="D839" t="b">
        <f>TRUE()</f>
        <v>1</v>
      </c>
      <c r="E839" t="b">
        <f>COUNTIF(connections!A:A, A839) &gt; 0</f>
        <v>1</v>
      </c>
      <c r="G839" t="s">
        <v>2722</v>
      </c>
      <c r="H839" t="s">
        <v>187</v>
      </c>
      <c r="I839" t="s">
        <v>2723</v>
      </c>
    </row>
    <row r="840" spans="1:10" x14ac:dyDescent="0.25">
      <c r="A840" t="s">
        <v>2724</v>
      </c>
      <c r="B840">
        <v>2025</v>
      </c>
      <c r="C840" t="s">
        <v>179</v>
      </c>
      <c r="D840" t="b">
        <f>TRUE()</f>
        <v>1</v>
      </c>
      <c r="E840" t="b">
        <f>COUNTIF(connections!A:A, A840) &gt; 0</f>
        <v>0</v>
      </c>
      <c r="F840" t="s">
        <v>328</v>
      </c>
      <c r="G840" t="s">
        <v>2725</v>
      </c>
      <c r="H840" t="s">
        <v>187</v>
      </c>
      <c r="I840" t="s">
        <v>2726</v>
      </c>
      <c r="J840" s="1" t="s">
        <v>2727</v>
      </c>
    </row>
    <row r="841" spans="1:10" x14ac:dyDescent="0.25">
      <c r="A841" t="s">
        <v>2728</v>
      </c>
      <c r="B841">
        <v>2024</v>
      </c>
      <c r="C841" t="s">
        <v>179</v>
      </c>
      <c r="D841" t="b">
        <f>TRUE()</f>
        <v>1</v>
      </c>
      <c r="E841" t="b">
        <f>COUNTIF(connections!A:A, A841) &gt; 0</f>
        <v>0</v>
      </c>
      <c r="F841" t="s">
        <v>328</v>
      </c>
      <c r="G841" t="s">
        <v>2729</v>
      </c>
      <c r="J841" s="10" t="s">
        <v>2730</v>
      </c>
    </row>
    <row r="842" spans="1:10" x14ac:dyDescent="0.25">
      <c r="A842" t="s">
        <v>2731</v>
      </c>
      <c r="B842">
        <v>2021</v>
      </c>
      <c r="C842" t="s">
        <v>179</v>
      </c>
      <c r="D842" t="b">
        <f>TRUE()</f>
        <v>1</v>
      </c>
      <c r="E842" t="b">
        <f>COUNTIF(connections!A:A, A842) &gt; 0</f>
        <v>0</v>
      </c>
      <c r="F842" t="s">
        <v>328</v>
      </c>
      <c r="G842" t="s">
        <v>2732</v>
      </c>
      <c r="J842" s="10" t="s">
        <v>2733</v>
      </c>
    </row>
    <row r="843" spans="1:10" x14ac:dyDescent="0.25">
      <c r="A843" t="s">
        <v>2734</v>
      </c>
      <c r="B843">
        <v>2022</v>
      </c>
      <c r="C843" t="s">
        <v>182</v>
      </c>
      <c r="D843" t="b">
        <f>TRUE()</f>
        <v>1</v>
      </c>
      <c r="E843" t="b">
        <f>COUNTIF(connections!A:A, A843) &gt; 0</f>
        <v>0</v>
      </c>
      <c r="F843" t="s">
        <v>328</v>
      </c>
      <c r="G843" t="s">
        <v>2735</v>
      </c>
    </row>
    <row r="844" spans="1:10" x14ac:dyDescent="0.25">
      <c r="A844" t="s">
        <v>9976</v>
      </c>
      <c r="B844">
        <v>2024</v>
      </c>
      <c r="C844" t="s">
        <v>176</v>
      </c>
      <c r="D844" t="b">
        <v>0</v>
      </c>
      <c r="E844" t="b">
        <f>COUNTIF(connections!A:A, A844) &gt; 0</f>
        <v>0</v>
      </c>
      <c r="F844" t="s">
        <v>328</v>
      </c>
      <c r="G844" t="s">
        <v>9977</v>
      </c>
      <c r="J844" s="10" t="s">
        <v>9978</v>
      </c>
    </row>
    <row r="845" spans="1:10" x14ac:dyDescent="0.25">
      <c r="A845" t="s">
        <v>2736</v>
      </c>
      <c r="B845">
        <v>2025</v>
      </c>
      <c r="C845" t="s">
        <v>222</v>
      </c>
      <c r="D845" t="b">
        <f>TRUE()</f>
        <v>1</v>
      </c>
      <c r="E845" t="b">
        <f>COUNTIF(connections!A:A, A845) &gt; 0</f>
        <v>0</v>
      </c>
      <c r="G845" t="s">
        <v>2737</v>
      </c>
    </row>
    <row r="846" spans="1:10" x14ac:dyDescent="0.25">
      <c r="A846" t="s">
        <v>2738</v>
      </c>
      <c r="B846">
        <v>2023</v>
      </c>
      <c r="C846" t="s">
        <v>182</v>
      </c>
      <c r="D846" t="b">
        <f>TRUE()</f>
        <v>1</v>
      </c>
      <c r="E846" t="b">
        <f>COUNTIF(connections!A:A, A846) &gt; 0</f>
        <v>0</v>
      </c>
      <c r="F846" t="s">
        <v>404</v>
      </c>
      <c r="G846" t="s">
        <v>2739</v>
      </c>
      <c r="H846" t="s">
        <v>187</v>
      </c>
      <c r="I846" t="s">
        <v>2740</v>
      </c>
      <c r="J846" s="1" t="s">
        <v>2741</v>
      </c>
    </row>
    <row r="847" spans="1:10" x14ac:dyDescent="0.25">
      <c r="A847" t="s">
        <v>2742</v>
      </c>
      <c r="B847">
        <v>2024</v>
      </c>
      <c r="C847" t="s">
        <v>222</v>
      </c>
      <c r="D847" t="b">
        <f>TRUE()</f>
        <v>1</v>
      </c>
      <c r="E847" t="b">
        <f>COUNTIF(connections!A:A, A847) &gt; 0</f>
        <v>0</v>
      </c>
      <c r="F847" t="s">
        <v>404</v>
      </c>
      <c r="G847" t="s">
        <v>2743</v>
      </c>
    </row>
    <row r="848" spans="1:10" x14ac:dyDescent="0.25">
      <c r="A848" t="s">
        <v>2744</v>
      </c>
      <c r="B848">
        <v>2017</v>
      </c>
      <c r="C848" t="s">
        <v>176</v>
      </c>
      <c r="D848" t="b">
        <f>TRUE()</f>
        <v>1</v>
      </c>
      <c r="E848" t="b">
        <f>COUNTIF(connections!A:A, A848) &gt; 0</f>
        <v>0</v>
      </c>
      <c r="G848" t="s">
        <v>2745</v>
      </c>
      <c r="H848" t="s">
        <v>187</v>
      </c>
      <c r="I848" t="s">
        <v>8331</v>
      </c>
      <c r="J848" s="10" t="s">
        <v>2746</v>
      </c>
    </row>
    <row r="849" spans="1:10" x14ac:dyDescent="0.25">
      <c r="A849" t="s">
        <v>2747</v>
      </c>
      <c r="B849">
        <v>2014</v>
      </c>
      <c r="C849" t="s">
        <v>176</v>
      </c>
      <c r="D849" t="b">
        <f>TRUE()</f>
        <v>1</v>
      </c>
      <c r="E849" t="b">
        <f>COUNTIF(connections!A:A, A849) &gt; 0</f>
        <v>1</v>
      </c>
      <c r="G849" t="s">
        <v>2748</v>
      </c>
      <c r="H849" t="s">
        <v>187</v>
      </c>
      <c r="I849" t="s">
        <v>2749</v>
      </c>
      <c r="J849" s="1" t="s">
        <v>2750</v>
      </c>
    </row>
    <row r="850" spans="1:10" x14ac:dyDescent="0.25">
      <c r="A850" t="s">
        <v>2751</v>
      </c>
      <c r="B850">
        <v>2021</v>
      </c>
      <c r="C850" t="s">
        <v>182</v>
      </c>
      <c r="D850" t="b">
        <f>TRUE()</f>
        <v>1</v>
      </c>
      <c r="E850" t="b">
        <f>COUNTIF(connections!A:A, A850) &gt; 0</f>
        <v>1</v>
      </c>
      <c r="F850" t="s">
        <v>404</v>
      </c>
      <c r="G850" t="s">
        <v>2752</v>
      </c>
      <c r="H850" t="s">
        <v>187</v>
      </c>
      <c r="I850" t="s">
        <v>2753</v>
      </c>
      <c r="J850" s="1" t="s">
        <v>2754</v>
      </c>
    </row>
    <row r="851" spans="1:10" x14ac:dyDescent="0.25">
      <c r="A851" t="s">
        <v>2755</v>
      </c>
      <c r="B851">
        <v>2025</v>
      </c>
      <c r="C851" t="s">
        <v>182</v>
      </c>
      <c r="D851" t="b">
        <f>TRUE()</f>
        <v>1</v>
      </c>
      <c r="E851" t="b">
        <f>COUNTIF(connections!A:A, A851) &gt; 0</f>
        <v>0</v>
      </c>
      <c r="G851" t="s">
        <v>2756</v>
      </c>
    </row>
    <row r="852" spans="1:10" x14ac:dyDescent="0.25">
      <c r="A852" t="s">
        <v>8106</v>
      </c>
      <c r="B852">
        <v>2024</v>
      </c>
      <c r="C852" t="s">
        <v>222</v>
      </c>
      <c r="D852" t="b">
        <f>TRUE()</f>
        <v>1</v>
      </c>
      <c r="E852" t="b">
        <f>COUNTIF(connections!A:A, A852) &gt; 0</f>
        <v>0</v>
      </c>
      <c r="G852" t="s">
        <v>8107</v>
      </c>
      <c r="J852" s="10" t="s">
        <v>8108</v>
      </c>
    </row>
    <row r="853" spans="1:10" x14ac:dyDescent="0.25">
      <c r="A853" t="s">
        <v>2757</v>
      </c>
      <c r="B853">
        <v>2019</v>
      </c>
      <c r="C853" t="s">
        <v>182</v>
      </c>
      <c r="D853" t="b">
        <f>TRUE()</f>
        <v>1</v>
      </c>
      <c r="E853" t="b">
        <f>COUNTIF(connections!A:A, A853) &gt; 0</f>
        <v>0</v>
      </c>
      <c r="G853" t="s">
        <v>2758</v>
      </c>
      <c r="H853" t="s">
        <v>187</v>
      </c>
      <c r="I853" t="s">
        <v>8332</v>
      </c>
      <c r="J853" s="1" t="s">
        <v>2759</v>
      </c>
    </row>
    <row r="854" spans="1:10" x14ac:dyDescent="0.25">
      <c r="A854" t="s">
        <v>2760</v>
      </c>
      <c r="B854">
        <v>2017</v>
      </c>
      <c r="C854" t="s">
        <v>176</v>
      </c>
      <c r="D854" t="b">
        <f>TRUE()</f>
        <v>1</v>
      </c>
      <c r="E854" t="b">
        <f>COUNTIF(connections!A:A, A854) &gt; 0</f>
        <v>0</v>
      </c>
      <c r="G854" t="s">
        <v>2761</v>
      </c>
      <c r="J854" s="10" t="s">
        <v>2762</v>
      </c>
    </row>
    <row r="855" spans="1:10" x14ac:dyDescent="0.25">
      <c r="A855" t="s">
        <v>2763</v>
      </c>
      <c r="B855">
        <v>2026</v>
      </c>
      <c r="C855" t="s">
        <v>182</v>
      </c>
      <c r="D855" t="b">
        <f>TRUE()</f>
        <v>1</v>
      </c>
      <c r="E855" t="b">
        <f>COUNTIF(connections!A:A, A855) &gt; 0</f>
        <v>0</v>
      </c>
      <c r="G855" t="s">
        <v>2764</v>
      </c>
      <c r="H855" t="s">
        <v>187</v>
      </c>
      <c r="I855" t="s">
        <v>8124</v>
      </c>
      <c r="J855" s="1" t="s">
        <v>2765</v>
      </c>
    </row>
    <row r="856" spans="1:10" x14ac:dyDescent="0.25">
      <c r="A856" t="s">
        <v>2766</v>
      </c>
      <c r="B856">
        <v>2025</v>
      </c>
      <c r="C856" t="s">
        <v>176</v>
      </c>
      <c r="D856" t="b">
        <f>TRUE()</f>
        <v>1</v>
      </c>
      <c r="E856" t="b">
        <f>COUNTIF(connections!A:A, A856) &gt; 0</f>
        <v>0</v>
      </c>
      <c r="G856" t="s">
        <v>2767</v>
      </c>
      <c r="H856" t="s">
        <v>187</v>
      </c>
      <c r="I856" t="s">
        <v>8118</v>
      </c>
      <c r="J856" s="1" t="s">
        <v>2768</v>
      </c>
    </row>
    <row r="857" spans="1:10" x14ac:dyDescent="0.25">
      <c r="A857" t="s">
        <v>2769</v>
      </c>
      <c r="B857">
        <v>2012</v>
      </c>
      <c r="C857" t="s">
        <v>179</v>
      </c>
      <c r="D857" t="b">
        <f>TRUE()</f>
        <v>1</v>
      </c>
      <c r="E857" t="b">
        <f>COUNTIF(connections!A:A, A857) &gt; 0</f>
        <v>1</v>
      </c>
      <c r="G857" t="s">
        <v>2770</v>
      </c>
    </row>
    <row r="858" spans="1:10" x14ac:dyDescent="0.25">
      <c r="A858" t="s">
        <v>2771</v>
      </c>
      <c r="B858">
        <v>2021</v>
      </c>
      <c r="C858" t="s">
        <v>179</v>
      </c>
      <c r="D858" t="b">
        <f>TRUE()</f>
        <v>1</v>
      </c>
      <c r="E858" t="b">
        <f>COUNTIF(connections!A:A, A858) &gt; 0</f>
        <v>0</v>
      </c>
      <c r="G858" t="s">
        <v>2772</v>
      </c>
      <c r="H858" t="s">
        <v>187</v>
      </c>
      <c r="I858" t="s">
        <v>2773</v>
      </c>
      <c r="J858" s="1" t="s">
        <v>2774</v>
      </c>
    </row>
    <row r="859" spans="1:10" x14ac:dyDescent="0.25">
      <c r="A859" t="s">
        <v>12689</v>
      </c>
      <c r="B859">
        <v>2025</v>
      </c>
      <c r="C859" t="s">
        <v>176</v>
      </c>
      <c r="D859" t="b">
        <v>1</v>
      </c>
      <c r="E859" t="b">
        <f>COUNTIF(connections!A:A, A859) &gt; 0</f>
        <v>0</v>
      </c>
      <c r="F859" t="s">
        <v>529</v>
      </c>
      <c r="G859" t="s">
        <v>12690</v>
      </c>
      <c r="J859" s="10" t="s">
        <v>12691</v>
      </c>
    </row>
    <row r="860" spans="1:10" x14ac:dyDescent="0.25">
      <c r="A860" t="s">
        <v>7692</v>
      </c>
      <c r="B860">
        <v>2026</v>
      </c>
      <c r="C860" t="s">
        <v>182</v>
      </c>
      <c r="D860" t="b">
        <f>TRUE()</f>
        <v>1</v>
      </c>
      <c r="E860" t="b">
        <f>COUNTIF(connections!A:A, A860) &gt; 0</f>
        <v>0</v>
      </c>
      <c r="G860" t="s">
        <v>7693</v>
      </c>
      <c r="J860" s="10" t="s">
        <v>7691</v>
      </c>
    </row>
    <row r="861" spans="1:10" x14ac:dyDescent="0.25">
      <c r="A861" t="s">
        <v>2775</v>
      </c>
      <c r="B861">
        <v>2021</v>
      </c>
      <c r="C861" t="s">
        <v>222</v>
      </c>
      <c r="D861" t="b">
        <f>FALSE()</f>
        <v>0</v>
      </c>
      <c r="E861" t="b">
        <f>COUNTIF(connections!A:A, A861) &gt; 0</f>
        <v>1</v>
      </c>
      <c r="F861" t="s">
        <v>2776</v>
      </c>
      <c r="G861" t="s">
        <v>2777</v>
      </c>
      <c r="H861" t="s">
        <v>187</v>
      </c>
      <c r="I861" t="s">
        <v>2778</v>
      </c>
      <c r="J861" s="1" t="s">
        <v>2779</v>
      </c>
    </row>
    <row r="862" spans="1:10" x14ac:dyDescent="0.25">
      <c r="A862" t="s">
        <v>2780</v>
      </c>
      <c r="B862">
        <v>2024</v>
      </c>
      <c r="C862" t="s">
        <v>176</v>
      </c>
      <c r="D862" t="b">
        <f>FALSE()</f>
        <v>0</v>
      </c>
      <c r="E862" t="b">
        <f>COUNTIF(connections!A:A, A862) &gt; 0</f>
        <v>0</v>
      </c>
      <c r="F862" t="s">
        <v>277</v>
      </c>
      <c r="G862" t="s">
        <v>2781</v>
      </c>
    </row>
    <row r="863" spans="1:10" x14ac:dyDescent="0.25">
      <c r="A863" t="s">
        <v>2782</v>
      </c>
      <c r="B863">
        <v>2019</v>
      </c>
      <c r="C863" t="s">
        <v>176</v>
      </c>
      <c r="D863" t="b">
        <f>TRUE()</f>
        <v>1</v>
      </c>
      <c r="E863" t="b">
        <f>COUNTIF(connections!A:A, A863) &gt; 0</f>
        <v>1</v>
      </c>
      <c r="F863" t="s">
        <v>617</v>
      </c>
      <c r="G863" t="s">
        <v>2783</v>
      </c>
      <c r="H863" t="s">
        <v>187</v>
      </c>
      <c r="I863" t="s">
        <v>2784</v>
      </c>
      <c r="J863" s="1" t="s">
        <v>2785</v>
      </c>
    </row>
    <row r="864" spans="1:10" x14ac:dyDescent="0.25">
      <c r="A864" t="s">
        <v>2786</v>
      </c>
      <c r="B864">
        <v>2025</v>
      </c>
      <c r="C864" t="s">
        <v>176</v>
      </c>
      <c r="D864" t="b">
        <f>TRUE()</f>
        <v>1</v>
      </c>
      <c r="E864" t="b">
        <f>COUNTIF(connections!A:A, A864) &gt; 0</f>
        <v>0</v>
      </c>
      <c r="F864" t="s">
        <v>617</v>
      </c>
      <c r="G864" t="s">
        <v>2787</v>
      </c>
    </row>
    <row r="865" spans="1:10" x14ac:dyDescent="0.25">
      <c r="A865" t="s">
        <v>2788</v>
      </c>
      <c r="B865">
        <v>2017</v>
      </c>
      <c r="C865" t="s">
        <v>176</v>
      </c>
      <c r="D865" t="b">
        <f>TRUE()</f>
        <v>1</v>
      </c>
      <c r="E865" t="b">
        <f>COUNTIF(connections!A:A, A865) &gt; 0</f>
        <v>1</v>
      </c>
      <c r="G865" t="s">
        <v>2789</v>
      </c>
      <c r="H865" t="s">
        <v>187</v>
      </c>
      <c r="I865" t="s">
        <v>12681</v>
      </c>
      <c r="J865" s="10" t="s">
        <v>12682</v>
      </c>
    </row>
    <row r="866" spans="1:10" x14ac:dyDescent="0.25">
      <c r="A866" t="s">
        <v>2790</v>
      </c>
      <c r="B866">
        <v>2022</v>
      </c>
      <c r="C866" t="s">
        <v>176</v>
      </c>
      <c r="D866" t="b">
        <f>TRUE()</f>
        <v>1</v>
      </c>
      <c r="E866" t="b">
        <f>COUNTIF(connections!A:A, A866) &gt; 0</f>
        <v>0</v>
      </c>
      <c r="G866" t="s">
        <v>2791</v>
      </c>
    </row>
    <row r="867" spans="1:10" x14ac:dyDescent="0.25">
      <c r="A867" t="s">
        <v>2792</v>
      </c>
      <c r="B867">
        <v>1992</v>
      </c>
      <c r="C867" t="s">
        <v>179</v>
      </c>
      <c r="D867" t="b">
        <f>TRUE()</f>
        <v>1</v>
      </c>
      <c r="E867" t="b">
        <f>COUNTIF(connections!A:A, A867) &gt; 0</f>
        <v>1</v>
      </c>
      <c r="G867" t="s">
        <v>2793</v>
      </c>
      <c r="H867" t="s">
        <v>187</v>
      </c>
      <c r="I867" t="s">
        <v>2794</v>
      </c>
      <c r="J867" s="1" t="s">
        <v>2795</v>
      </c>
    </row>
    <row r="868" spans="1:10" x14ac:dyDescent="0.25">
      <c r="A868" t="s">
        <v>2796</v>
      </c>
      <c r="B868">
        <v>2018</v>
      </c>
      <c r="C868" t="s">
        <v>176</v>
      </c>
      <c r="D868" t="b">
        <f>TRUE()</f>
        <v>1</v>
      </c>
      <c r="E868" t="b">
        <f>COUNTIF(connections!A:A, A868) &gt; 0</f>
        <v>0</v>
      </c>
      <c r="G868" t="s">
        <v>2797</v>
      </c>
    </row>
    <row r="869" spans="1:10" x14ac:dyDescent="0.25">
      <c r="A869" t="s">
        <v>2798</v>
      </c>
      <c r="B869">
        <v>2026</v>
      </c>
      <c r="C869" t="s">
        <v>182</v>
      </c>
      <c r="D869" t="b">
        <f>TRUE()</f>
        <v>1</v>
      </c>
      <c r="E869" t="b">
        <f>COUNTIF(connections!A:A, A869) &gt; 0</f>
        <v>0</v>
      </c>
      <c r="F869" t="s">
        <v>1805</v>
      </c>
      <c r="G869" t="s">
        <v>2799</v>
      </c>
    </row>
    <row r="870" spans="1:10" x14ac:dyDescent="0.25">
      <c r="A870" t="s">
        <v>2800</v>
      </c>
      <c r="B870">
        <v>2023</v>
      </c>
      <c r="C870" t="s">
        <v>176</v>
      </c>
      <c r="D870" t="b">
        <f>TRUE()</f>
        <v>1</v>
      </c>
      <c r="E870" t="b">
        <f>COUNTIF(connections!A:A, A870) &gt; 0</f>
        <v>0</v>
      </c>
      <c r="F870" t="s">
        <v>1805</v>
      </c>
      <c r="G870" t="s">
        <v>2801</v>
      </c>
      <c r="H870" t="s">
        <v>187</v>
      </c>
      <c r="I870" t="s">
        <v>2802</v>
      </c>
      <c r="J870" s="1" t="s">
        <v>2803</v>
      </c>
    </row>
    <row r="871" spans="1:10" x14ac:dyDescent="0.25">
      <c r="A871" t="s">
        <v>2804</v>
      </c>
      <c r="B871">
        <v>2021</v>
      </c>
      <c r="C871" t="s">
        <v>176</v>
      </c>
      <c r="D871" t="b">
        <f>TRUE()</f>
        <v>1</v>
      </c>
      <c r="E871" t="b">
        <f>COUNTIF(connections!A:A, A871) &gt; 0</f>
        <v>1</v>
      </c>
      <c r="F871" t="s">
        <v>1805</v>
      </c>
      <c r="G871" t="s">
        <v>2805</v>
      </c>
      <c r="H871" t="s">
        <v>187</v>
      </c>
      <c r="I871" t="s">
        <v>2806</v>
      </c>
      <c r="J871" s="1" t="s">
        <v>2807</v>
      </c>
    </row>
    <row r="872" spans="1:10" x14ac:dyDescent="0.25">
      <c r="A872" t="s">
        <v>2808</v>
      </c>
      <c r="B872">
        <v>2020</v>
      </c>
      <c r="C872" t="s">
        <v>182</v>
      </c>
      <c r="D872" t="b">
        <f>TRUE()</f>
        <v>1</v>
      </c>
      <c r="E872" t="b">
        <f>COUNTIF(connections!A:A, A872) &gt; 0</f>
        <v>0</v>
      </c>
      <c r="G872" t="s">
        <v>2809</v>
      </c>
      <c r="H872" t="s">
        <v>187</v>
      </c>
      <c r="I872" t="s">
        <v>2810</v>
      </c>
      <c r="J872" s="1" t="s">
        <v>2811</v>
      </c>
    </row>
    <row r="873" spans="1:10" x14ac:dyDescent="0.25">
      <c r="A873" t="s">
        <v>2812</v>
      </c>
      <c r="B873">
        <v>2024</v>
      </c>
      <c r="C873" t="s">
        <v>176</v>
      </c>
      <c r="D873" t="b">
        <f>TRUE()</f>
        <v>1</v>
      </c>
      <c r="E873" t="b">
        <f>COUNTIF(connections!A:A, A873) &gt; 0</f>
        <v>0</v>
      </c>
      <c r="G873" t="s">
        <v>2813</v>
      </c>
    </row>
    <row r="874" spans="1:10" x14ac:dyDescent="0.25">
      <c r="A874" t="s">
        <v>2814</v>
      </c>
      <c r="B874">
        <v>2026</v>
      </c>
      <c r="C874" t="s">
        <v>176</v>
      </c>
      <c r="D874" t="b">
        <f>TRUE()</f>
        <v>1</v>
      </c>
      <c r="E874" t="b">
        <f>COUNTIF(connections!A:A, A874) &gt; 0</f>
        <v>0</v>
      </c>
      <c r="F874" t="s">
        <v>277</v>
      </c>
      <c r="G874" t="s">
        <v>2815</v>
      </c>
      <c r="H874" t="s">
        <v>187</v>
      </c>
      <c r="I874" t="s">
        <v>2816</v>
      </c>
      <c r="J874" s="1" t="s">
        <v>2817</v>
      </c>
    </row>
    <row r="875" spans="1:10" x14ac:dyDescent="0.25">
      <c r="A875" t="s">
        <v>2818</v>
      </c>
      <c r="B875">
        <v>2021</v>
      </c>
      <c r="C875" t="s">
        <v>182</v>
      </c>
      <c r="D875" t="b">
        <f>TRUE()</f>
        <v>1</v>
      </c>
      <c r="E875" t="b">
        <f>COUNTIF(connections!A:A, A875) &gt; 0</f>
        <v>1</v>
      </c>
      <c r="F875" t="s">
        <v>1030</v>
      </c>
      <c r="G875" t="s">
        <v>2819</v>
      </c>
    </row>
    <row r="876" spans="1:10" x14ac:dyDescent="0.25">
      <c r="A876" t="s">
        <v>2820</v>
      </c>
      <c r="B876">
        <v>2025</v>
      </c>
      <c r="C876" t="s">
        <v>182</v>
      </c>
      <c r="D876" t="b">
        <f>TRUE()</f>
        <v>1</v>
      </c>
      <c r="E876" t="b">
        <f>COUNTIF(connections!A:A, A876) &gt; 0</f>
        <v>0</v>
      </c>
      <c r="G876" t="s">
        <v>2821</v>
      </c>
    </row>
    <row r="877" spans="1:10" x14ac:dyDescent="0.25">
      <c r="A877" t="s">
        <v>2822</v>
      </c>
      <c r="B877">
        <v>2026</v>
      </c>
      <c r="C877" t="s">
        <v>182</v>
      </c>
      <c r="D877" t="b">
        <f>TRUE()</f>
        <v>1</v>
      </c>
      <c r="E877" t="b">
        <f>COUNTIF(connections!A:A, A877) &gt; 0</f>
        <v>0</v>
      </c>
      <c r="G877" t="s">
        <v>2823</v>
      </c>
    </row>
    <row r="878" spans="1:10" x14ac:dyDescent="0.25">
      <c r="A878" t="s">
        <v>2824</v>
      </c>
      <c r="B878">
        <v>2019</v>
      </c>
      <c r="C878" t="s">
        <v>176</v>
      </c>
      <c r="D878" t="b">
        <f>TRUE()</f>
        <v>1</v>
      </c>
      <c r="E878" t="b">
        <f>COUNTIF(connections!A:A, A878) &gt; 0</f>
        <v>1</v>
      </c>
      <c r="F878" t="s">
        <v>274</v>
      </c>
      <c r="G878" t="s">
        <v>2825</v>
      </c>
      <c r="H878" t="s">
        <v>187</v>
      </c>
      <c r="I878" t="s">
        <v>2826</v>
      </c>
      <c r="J878" s="1" t="s">
        <v>2827</v>
      </c>
    </row>
    <row r="879" spans="1:10" x14ac:dyDescent="0.25">
      <c r="A879" t="s">
        <v>2828</v>
      </c>
      <c r="B879">
        <v>2022</v>
      </c>
      <c r="C879" t="s">
        <v>176</v>
      </c>
      <c r="D879" t="b">
        <f>TRUE()</f>
        <v>1</v>
      </c>
      <c r="E879" t="b">
        <f>COUNTIF(connections!A:A, A879) &gt; 0</f>
        <v>1</v>
      </c>
      <c r="G879" t="s">
        <v>2829</v>
      </c>
      <c r="H879" t="s">
        <v>187</v>
      </c>
      <c r="I879" t="s">
        <v>2830</v>
      </c>
      <c r="J879" s="10" t="s">
        <v>2831</v>
      </c>
    </row>
    <row r="880" spans="1:10" x14ac:dyDescent="0.25">
      <c r="A880" t="s">
        <v>2832</v>
      </c>
      <c r="B880">
        <v>2024</v>
      </c>
      <c r="C880" t="s">
        <v>222</v>
      </c>
      <c r="D880" t="b">
        <f>TRUE()</f>
        <v>1</v>
      </c>
      <c r="E880" t="b">
        <f>COUNTIF(connections!A:A, A880) &gt; 0</f>
        <v>0</v>
      </c>
      <c r="F880" t="s">
        <v>274</v>
      </c>
      <c r="G880" t="s">
        <v>2833</v>
      </c>
    </row>
    <row r="881" spans="1:10" x14ac:dyDescent="0.25">
      <c r="A881" t="s">
        <v>2834</v>
      </c>
      <c r="B881">
        <v>2023</v>
      </c>
      <c r="C881" t="s">
        <v>176</v>
      </c>
      <c r="D881" t="b">
        <f>TRUE()</f>
        <v>1</v>
      </c>
      <c r="E881" t="b">
        <f>COUNTIF(connections!A:A, A881) &gt; 0</f>
        <v>0</v>
      </c>
      <c r="G881" t="s">
        <v>2835</v>
      </c>
      <c r="H881" t="s">
        <v>187</v>
      </c>
      <c r="I881" t="s">
        <v>2836</v>
      </c>
      <c r="J881" s="1" t="s">
        <v>2837</v>
      </c>
    </row>
    <row r="882" spans="1:10" x14ac:dyDescent="0.25">
      <c r="A882" t="s">
        <v>2838</v>
      </c>
      <c r="B882">
        <v>2024</v>
      </c>
      <c r="C882" t="s">
        <v>176</v>
      </c>
      <c r="D882" t="b">
        <f>TRUE()</f>
        <v>1</v>
      </c>
      <c r="E882" t="b">
        <f>COUNTIF(connections!A:A, A882) &gt; 0</f>
        <v>0</v>
      </c>
      <c r="G882" t="s">
        <v>2839</v>
      </c>
    </row>
    <row r="883" spans="1:10" x14ac:dyDescent="0.25">
      <c r="A883" t="s">
        <v>2840</v>
      </c>
      <c r="B883">
        <v>2024</v>
      </c>
      <c r="C883" t="s">
        <v>176</v>
      </c>
      <c r="D883" t="b">
        <v>1</v>
      </c>
      <c r="E883" t="b">
        <f>COUNTIF(connections!A:A, A883) &gt; 0</f>
        <v>0</v>
      </c>
      <c r="G883" t="s">
        <v>2841</v>
      </c>
      <c r="J883" s="1" t="s">
        <v>2842</v>
      </c>
    </row>
    <row r="884" spans="1:10" x14ac:dyDescent="0.25">
      <c r="A884" t="s">
        <v>2843</v>
      </c>
      <c r="B884">
        <v>1998</v>
      </c>
      <c r="C884" t="s">
        <v>179</v>
      </c>
      <c r="D884" t="b">
        <f>TRUE()</f>
        <v>1</v>
      </c>
      <c r="E884" t="b">
        <f>COUNTIF(connections!A:A, A884) &gt; 0</f>
        <v>0</v>
      </c>
      <c r="G884" t="s">
        <v>2844</v>
      </c>
      <c r="H884" t="s">
        <v>187</v>
      </c>
      <c r="I884" t="s">
        <v>2845</v>
      </c>
    </row>
    <row r="885" spans="1:10" x14ac:dyDescent="0.25">
      <c r="A885" t="s">
        <v>2846</v>
      </c>
      <c r="B885">
        <v>2023</v>
      </c>
      <c r="C885" t="s">
        <v>222</v>
      </c>
      <c r="D885" t="b">
        <f>TRUE()</f>
        <v>1</v>
      </c>
      <c r="E885" t="b">
        <f>COUNTIF(connections!A:A, A885) &gt; 0</f>
        <v>1</v>
      </c>
      <c r="F885" t="s">
        <v>617</v>
      </c>
      <c r="G885" t="s">
        <v>2847</v>
      </c>
      <c r="H885" t="s">
        <v>187</v>
      </c>
      <c r="I885" t="s">
        <v>2848</v>
      </c>
      <c r="J885" s="1" t="s">
        <v>2849</v>
      </c>
    </row>
    <row r="886" spans="1:10" x14ac:dyDescent="0.25">
      <c r="A886" t="s">
        <v>2850</v>
      </c>
      <c r="B886">
        <v>2025</v>
      </c>
      <c r="C886" t="s">
        <v>222</v>
      </c>
      <c r="D886" t="b">
        <f>TRUE()</f>
        <v>1</v>
      </c>
      <c r="E886" t="b">
        <f>COUNTIF(connections!A:A, A886) &gt; 0</f>
        <v>0</v>
      </c>
      <c r="F886" t="s">
        <v>617</v>
      </c>
      <c r="G886" t="s">
        <v>2851</v>
      </c>
    </row>
    <row r="887" spans="1:10" x14ac:dyDescent="0.25">
      <c r="A887" t="s">
        <v>7838</v>
      </c>
      <c r="B887">
        <v>2026</v>
      </c>
      <c r="C887" t="s">
        <v>176</v>
      </c>
      <c r="D887" t="b">
        <f>TRUE()</f>
        <v>1</v>
      </c>
      <c r="E887" t="b">
        <f>COUNTIF(connections!A:A, A887) &gt; 0</f>
        <v>0</v>
      </c>
      <c r="G887" t="s">
        <v>7839</v>
      </c>
      <c r="J887" s="10" t="s">
        <v>7840</v>
      </c>
    </row>
    <row r="888" spans="1:10" x14ac:dyDescent="0.25">
      <c r="A888" t="s">
        <v>2852</v>
      </c>
      <c r="B888">
        <v>2026</v>
      </c>
      <c r="C888" t="s">
        <v>176</v>
      </c>
      <c r="D888" t="b">
        <f>TRUE()</f>
        <v>1</v>
      </c>
      <c r="E888" t="b">
        <f>COUNTIF(connections!A:A, A888) &gt; 0</f>
        <v>0</v>
      </c>
      <c r="G888" t="s">
        <v>2853</v>
      </c>
    </row>
    <row r="889" spans="1:10" x14ac:dyDescent="0.25">
      <c r="A889" t="s">
        <v>2854</v>
      </c>
      <c r="B889">
        <v>2023</v>
      </c>
      <c r="C889" t="s">
        <v>179</v>
      </c>
      <c r="D889" t="b">
        <f>TRUE()</f>
        <v>1</v>
      </c>
      <c r="E889" t="b">
        <f>COUNTIF(connections!A:A, A889) &gt; 0</f>
        <v>0</v>
      </c>
      <c r="F889" t="s">
        <v>274</v>
      </c>
      <c r="G889" t="s">
        <v>2855</v>
      </c>
      <c r="H889" t="s">
        <v>187</v>
      </c>
      <c r="I889" t="s">
        <v>12677</v>
      </c>
      <c r="J889" s="10" t="s">
        <v>12678</v>
      </c>
    </row>
    <row r="890" spans="1:10" x14ac:dyDescent="0.25">
      <c r="A890" t="s">
        <v>2856</v>
      </c>
      <c r="B890">
        <v>2025</v>
      </c>
      <c r="C890" t="s">
        <v>176</v>
      </c>
      <c r="D890" t="b">
        <f>TRUE()</f>
        <v>1</v>
      </c>
      <c r="E890" t="b">
        <f>COUNTIF(connections!A:A, A890) &gt; 0</f>
        <v>0</v>
      </c>
      <c r="G890" t="s">
        <v>2857</v>
      </c>
      <c r="H890" t="s">
        <v>187</v>
      </c>
      <c r="I890" t="s">
        <v>2858</v>
      </c>
      <c r="J890" s="1" t="s">
        <v>2859</v>
      </c>
    </row>
    <row r="891" spans="1:10" x14ac:dyDescent="0.25">
      <c r="A891" t="s">
        <v>2860</v>
      </c>
      <c r="B891">
        <v>2017</v>
      </c>
      <c r="C891" t="s">
        <v>222</v>
      </c>
      <c r="D891" t="b">
        <f>TRUE()</f>
        <v>1</v>
      </c>
      <c r="E891" t="b">
        <f>COUNTIF(connections!A:A, A891) &gt; 0</f>
        <v>0</v>
      </c>
      <c r="G891" t="s">
        <v>2861</v>
      </c>
      <c r="H891" t="s">
        <v>187</v>
      </c>
      <c r="I891" t="s">
        <v>2862</v>
      </c>
      <c r="J891" s="1" t="s">
        <v>2863</v>
      </c>
    </row>
    <row r="892" spans="1:10" x14ac:dyDescent="0.25">
      <c r="A892" t="s">
        <v>2864</v>
      </c>
      <c r="B892">
        <v>2011</v>
      </c>
      <c r="C892" t="s">
        <v>179</v>
      </c>
      <c r="D892" t="b">
        <f>TRUE()</f>
        <v>1</v>
      </c>
      <c r="E892" t="b">
        <f>COUNTIF(connections!A:A, A892) &gt; 0</f>
        <v>0</v>
      </c>
      <c r="G892" t="s">
        <v>2865</v>
      </c>
    </row>
    <row r="893" spans="1:10" x14ac:dyDescent="0.25">
      <c r="A893" t="s">
        <v>2866</v>
      </c>
      <c r="B893">
        <v>2012</v>
      </c>
      <c r="C893" t="s">
        <v>222</v>
      </c>
      <c r="D893" t="b">
        <f>TRUE()</f>
        <v>1</v>
      </c>
      <c r="E893" t="b">
        <f>COUNTIF(connections!A:A, A893) &gt; 0</f>
        <v>0</v>
      </c>
      <c r="G893" t="s">
        <v>2867</v>
      </c>
      <c r="H893" t="s">
        <v>187</v>
      </c>
      <c r="I893" t="s">
        <v>2868</v>
      </c>
      <c r="J893" s="1" t="s">
        <v>2869</v>
      </c>
    </row>
    <row r="894" spans="1:10" x14ac:dyDescent="0.25">
      <c r="A894" t="s">
        <v>2870</v>
      </c>
      <c r="B894">
        <v>2017</v>
      </c>
      <c r="C894" t="s">
        <v>176</v>
      </c>
      <c r="D894" t="b">
        <f>FALSE()</f>
        <v>0</v>
      </c>
      <c r="E894" t="b">
        <f>COUNTIF(connections!A:A, A894) &gt; 0</f>
        <v>0</v>
      </c>
      <c r="F894" t="s">
        <v>652</v>
      </c>
      <c r="G894" t="s">
        <v>2871</v>
      </c>
      <c r="H894" t="s">
        <v>187</v>
      </c>
      <c r="I894" t="s">
        <v>2872</v>
      </c>
      <c r="J894" s="1" t="s">
        <v>2873</v>
      </c>
    </row>
    <row r="895" spans="1:10" x14ac:dyDescent="0.25">
      <c r="A895" t="s">
        <v>2874</v>
      </c>
      <c r="B895">
        <v>2005</v>
      </c>
      <c r="C895" t="s">
        <v>222</v>
      </c>
      <c r="D895" t="b">
        <f>TRUE()</f>
        <v>1</v>
      </c>
      <c r="E895" t="b">
        <f>COUNTIF(connections!A:A, A895) &gt; 0</f>
        <v>1</v>
      </c>
      <c r="F895" t="s">
        <v>274</v>
      </c>
      <c r="G895" t="s">
        <v>2875</v>
      </c>
      <c r="H895" t="s">
        <v>187</v>
      </c>
      <c r="I895" t="s">
        <v>2876</v>
      </c>
      <c r="J895" s="1" t="s">
        <v>2877</v>
      </c>
    </row>
    <row r="896" spans="1:10" x14ac:dyDescent="0.25">
      <c r="A896" t="s">
        <v>2878</v>
      </c>
      <c r="B896">
        <v>2020</v>
      </c>
      <c r="C896" t="s">
        <v>176</v>
      </c>
      <c r="D896" t="b">
        <f>FALSE()</f>
        <v>0</v>
      </c>
      <c r="E896" t="b">
        <f>COUNTIF(connections!A:A, A896) &gt; 0</f>
        <v>1</v>
      </c>
      <c r="G896" t="s">
        <v>2879</v>
      </c>
      <c r="H896" t="s">
        <v>187</v>
      </c>
      <c r="I896" t="s">
        <v>2880</v>
      </c>
      <c r="J896" s="10" t="s">
        <v>2881</v>
      </c>
    </row>
    <row r="897" spans="1:10" x14ac:dyDescent="0.25">
      <c r="A897" t="s">
        <v>2882</v>
      </c>
      <c r="B897">
        <v>2025</v>
      </c>
      <c r="C897" t="s">
        <v>176</v>
      </c>
      <c r="D897" t="b">
        <f>TRUE()</f>
        <v>1</v>
      </c>
      <c r="E897" t="b">
        <f>COUNTIF(connections!A:A, A897) &gt; 0</f>
        <v>0</v>
      </c>
      <c r="G897" t="s">
        <v>2883</v>
      </c>
    </row>
    <row r="898" spans="1:10" x14ac:dyDescent="0.25">
      <c r="A898" t="s">
        <v>2884</v>
      </c>
      <c r="B898">
        <v>2025</v>
      </c>
      <c r="C898" t="s">
        <v>176</v>
      </c>
      <c r="D898" t="b">
        <f>FALSE()</f>
        <v>0</v>
      </c>
      <c r="E898" t="b">
        <f>COUNTIF(connections!A:A, A898) &gt; 0</f>
        <v>0</v>
      </c>
      <c r="G898" t="s">
        <v>2885</v>
      </c>
    </row>
    <row r="899" spans="1:10" x14ac:dyDescent="0.25">
      <c r="A899" t="s">
        <v>2886</v>
      </c>
      <c r="B899">
        <v>2024</v>
      </c>
      <c r="C899" t="s">
        <v>176</v>
      </c>
      <c r="D899" t="b">
        <f>TRUE()</f>
        <v>1</v>
      </c>
      <c r="E899" t="b">
        <f>COUNTIF(connections!A:A, A899) &gt; 0</f>
        <v>0</v>
      </c>
      <c r="G899" t="s">
        <v>2887</v>
      </c>
    </row>
    <row r="900" spans="1:10" x14ac:dyDescent="0.25">
      <c r="A900" t="s">
        <v>2888</v>
      </c>
      <c r="B900">
        <v>2019</v>
      </c>
      <c r="C900" t="s">
        <v>222</v>
      </c>
      <c r="D900" t="b">
        <f>FALSE()</f>
        <v>0</v>
      </c>
      <c r="E900" t="b">
        <f>COUNTIF(connections!A:A, A900) &gt; 0</f>
        <v>0</v>
      </c>
      <c r="G900" t="s">
        <v>2889</v>
      </c>
    </row>
    <row r="901" spans="1:10" x14ac:dyDescent="0.25">
      <c r="A901" t="s">
        <v>2890</v>
      </c>
      <c r="B901">
        <v>2023</v>
      </c>
      <c r="C901" t="s">
        <v>182</v>
      </c>
      <c r="D901" t="b">
        <f>TRUE()</f>
        <v>1</v>
      </c>
      <c r="E901" t="b">
        <f>COUNTIF(connections!A:A, A901) &gt; 0</f>
        <v>1</v>
      </c>
      <c r="G901" t="s">
        <v>2891</v>
      </c>
      <c r="H901" t="s">
        <v>187</v>
      </c>
      <c r="I901" t="s">
        <v>2892</v>
      </c>
      <c r="J901" s="1" t="s">
        <v>2893</v>
      </c>
    </row>
    <row r="902" spans="1:10" x14ac:dyDescent="0.25">
      <c r="A902" t="s">
        <v>2894</v>
      </c>
      <c r="B902">
        <v>2024</v>
      </c>
      <c r="C902" t="s">
        <v>176</v>
      </c>
      <c r="D902" t="b">
        <f>TRUE()</f>
        <v>1</v>
      </c>
      <c r="E902" t="b">
        <f>COUNTIF(connections!A:A, A902) &gt; 0</f>
        <v>0</v>
      </c>
      <c r="G902" t="s">
        <v>2895</v>
      </c>
    </row>
    <row r="903" spans="1:10" x14ac:dyDescent="0.25">
      <c r="A903" t="s">
        <v>2896</v>
      </c>
      <c r="B903">
        <v>2026</v>
      </c>
      <c r="C903" t="s">
        <v>182</v>
      </c>
      <c r="D903" t="b">
        <f>TRUE()</f>
        <v>1</v>
      </c>
      <c r="E903" t="b">
        <f>COUNTIF(connections!A:A, A903) &gt; 0</f>
        <v>0</v>
      </c>
      <c r="G903" t="s">
        <v>2897</v>
      </c>
    </row>
    <row r="904" spans="1:10" x14ac:dyDescent="0.25">
      <c r="A904" t="s">
        <v>2898</v>
      </c>
      <c r="B904">
        <v>2026</v>
      </c>
      <c r="C904" t="s">
        <v>222</v>
      </c>
      <c r="D904" t="b">
        <f>FALSE()</f>
        <v>0</v>
      </c>
      <c r="E904" t="b">
        <f>COUNTIF(connections!A:A, A904) &gt; 0</f>
        <v>0</v>
      </c>
      <c r="F904" t="s">
        <v>404</v>
      </c>
      <c r="G904" t="s">
        <v>2899</v>
      </c>
      <c r="J904" s="1" t="s">
        <v>2900</v>
      </c>
    </row>
    <row r="905" spans="1:10" x14ac:dyDescent="0.25">
      <c r="A905" t="s">
        <v>2901</v>
      </c>
      <c r="B905">
        <v>2023</v>
      </c>
      <c r="C905" t="s">
        <v>176</v>
      </c>
      <c r="D905" t="b">
        <v>1</v>
      </c>
      <c r="E905" t="b">
        <f>COUNTIF(connections!A:A, A905) &gt; 0</f>
        <v>1</v>
      </c>
      <c r="G905" t="s">
        <v>2902</v>
      </c>
      <c r="J905" s="1" t="s">
        <v>2903</v>
      </c>
    </row>
    <row r="906" spans="1:10" x14ac:dyDescent="0.25">
      <c r="A906" t="s">
        <v>2904</v>
      </c>
      <c r="B906">
        <v>2026</v>
      </c>
      <c r="C906" t="s">
        <v>182</v>
      </c>
      <c r="D906" t="b">
        <f>TRUE()</f>
        <v>1</v>
      </c>
      <c r="E906" t="b">
        <f>COUNTIF(connections!A:A, A906) &gt; 0</f>
        <v>0</v>
      </c>
      <c r="G906" t="s">
        <v>2905</v>
      </c>
    </row>
    <row r="907" spans="1:10" x14ac:dyDescent="0.25">
      <c r="A907" t="s">
        <v>2906</v>
      </c>
      <c r="B907">
        <v>2018</v>
      </c>
      <c r="C907" t="s">
        <v>176</v>
      </c>
      <c r="D907" t="b">
        <f>TRUE()</f>
        <v>1</v>
      </c>
      <c r="E907" t="b">
        <f>COUNTIF(connections!A:A, A907) &gt; 0</f>
        <v>1</v>
      </c>
      <c r="G907" t="s">
        <v>2907</v>
      </c>
      <c r="H907" t="s">
        <v>187</v>
      </c>
      <c r="I907" t="s">
        <v>2908</v>
      </c>
      <c r="J907" s="1" t="s">
        <v>2909</v>
      </c>
    </row>
    <row r="908" spans="1:10" x14ac:dyDescent="0.25">
      <c r="A908" t="s">
        <v>2910</v>
      </c>
      <c r="B908">
        <v>2024</v>
      </c>
      <c r="C908" t="s">
        <v>176</v>
      </c>
      <c r="D908" t="b">
        <f>TRUE()</f>
        <v>1</v>
      </c>
      <c r="E908" t="b">
        <f>COUNTIF(connections!A:A, A908) &gt; 0</f>
        <v>0</v>
      </c>
      <c r="G908" t="s">
        <v>2911</v>
      </c>
      <c r="H908" t="s">
        <v>187</v>
      </c>
      <c r="I908" t="s">
        <v>2912</v>
      </c>
      <c r="J908" s="1" t="s">
        <v>2913</v>
      </c>
    </row>
    <row r="909" spans="1:10" x14ac:dyDescent="0.25">
      <c r="A909" t="s">
        <v>2914</v>
      </c>
      <c r="B909">
        <v>2021</v>
      </c>
      <c r="C909" t="s">
        <v>222</v>
      </c>
      <c r="D909" t="b">
        <f>TRUE()</f>
        <v>1</v>
      </c>
      <c r="E909" t="b">
        <f>COUNTIF(connections!A:A, A909) &gt; 0</f>
        <v>0</v>
      </c>
      <c r="F909" t="s">
        <v>1164</v>
      </c>
      <c r="G909" t="s">
        <v>2915</v>
      </c>
      <c r="H909" t="s">
        <v>187</v>
      </c>
      <c r="I909" t="s">
        <v>2916</v>
      </c>
      <c r="J909" s="1" t="s">
        <v>2917</v>
      </c>
    </row>
    <row r="910" spans="1:10" x14ac:dyDescent="0.25">
      <c r="A910" t="s">
        <v>2918</v>
      </c>
      <c r="B910">
        <v>2025</v>
      </c>
      <c r="C910" t="s">
        <v>182</v>
      </c>
      <c r="D910" t="b">
        <f>TRUE()</f>
        <v>1</v>
      </c>
      <c r="E910" t="b">
        <f>COUNTIF(connections!A:A, A910) &gt; 0</f>
        <v>0</v>
      </c>
      <c r="F910" t="s">
        <v>731</v>
      </c>
      <c r="G910" t="s">
        <v>2919</v>
      </c>
      <c r="H910" t="s">
        <v>187</v>
      </c>
      <c r="I910" t="s">
        <v>9857</v>
      </c>
      <c r="J910" s="10" t="s">
        <v>9858</v>
      </c>
    </row>
    <row r="911" spans="1:10" x14ac:dyDescent="0.25">
      <c r="A911" t="s">
        <v>2920</v>
      </c>
      <c r="B911">
        <v>2025</v>
      </c>
      <c r="C911" t="s">
        <v>182</v>
      </c>
      <c r="D911" t="b">
        <f>TRUE()</f>
        <v>1</v>
      </c>
      <c r="E911" t="b">
        <f>COUNTIF(connections!A:A, A911) &gt; 0</f>
        <v>0</v>
      </c>
      <c r="F911" t="s">
        <v>731</v>
      </c>
      <c r="G911" t="s">
        <v>2921</v>
      </c>
      <c r="H911" t="s">
        <v>187</v>
      </c>
      <c r="I911" t="s">
        <v>2922</v>
      </c>
      <c r="J911" s="1" t="s">
        <v>2923</v>
      </c>
    </row>
    <row r="912" spans="1:10" x14ac:dyDescent="0.25">
      <c r="A912" t="s">
        <v>2924</v>
      </c>
      <c r="B912">
        <v>2022</v>
      </c>
      <c r="C912" t="s">
        <v>182</v>
      </c>
      <c r="D912" t="b">
        <f>TRUE()</f>
        <v>1</v>
      </c>
      <c r="E912" t="b">
        <f>COUNTIF(connections!A:A, A912) &gt; 0</f>
        <v>0</v>
      </c>
      <c r="F912" t="s">
        <v>731</v>
      </c>
      <c r="G912" t="s">
        <v>2925</v>
      </c>
      <c r="H912" t="s">
        <v>187</v>
      </c>
      <c r="I912" t="s">
        <v>2926</v>
      </c>
      <c r="J912" s="1" t="s">
        <v>2927</v>
      </c>
    </row>
    <row r="913" spans="1:10" x14ac:dyDescent="0.25">
      <c r="A913" t="s">
        <v>2928</v>
      </c>
      <c r="B913">
        <v>2026</v>
      </c>
      <c r="C913" t="s">
        <v>182</v>
      </c>
      <c r="D913" t="b">
        <f>TRUE()</f>
        <v>1</v>
      </c>
      <c r="E913" t="b">
        <f>COUNTIF(connections!A:A, A913) &gt; 0</f>
        <v>0</v>
      </c>
      <c r="G913" t="s">
        <v>2929</v>
      </c>
      <c r="J913" s="10" t="s">
        <v>2930</v>
      </c>
    </row>
    <row r="914" spans="1:10" x14ac:dyDescent="0.25">
      <c r="A914" t="s">
        <v>2931</v>
      </c>
      <c r="B914">
        <v>2025</v>
      </c>
      <c r="C914" t="s">
        <v>176</v>
      </c>
      <c r="D914" t="b">
        <f>TRUE()</f>
        <v>1</v>
      </c>
      <c r="E914" t="b">
        <f>COUNTIF(connections!A:A, A914) &gt; 0</f>
        <v>0</v>
      </c>
      <c r="G914" t="s">
        <v>2932</v>
      </c>
    </row>
    <row r="915" spans="1:10" x14ac:dyDescent="0.25">
      <c r="A915" t="s">
        <v>2933</v>
      </c>
      <c r="B915">
        <v>2023</v>
      </c>
      <c r="C915" t="s">
        <v>176</v>
      </c>
      <c r="D915" t="b">
        <f>TRUE()</f>
        <v>1</v>
      </c>
      <c r="E915" t="b">
        <f>COUNTIF(connections!A:A, A915) &gt; 0</f>
        <v>0</v>
      </c>
      <c r="F915" t="s">
        <v>458</v>
      </c>
      <c r="G915" t="s">
        <v>2934</v>
      </c>
      <c r="H915" t="s">
        <v>187</v>
      </c>
      <c r="I915" t="s">
        <v>2935</v>
      </c>
      <c r="J915" s="1" t="s">
        <v>2936</v>
      </c>
    </row>
    <row r="916" spans="1:10" x14ac:dyDescent="0.25">
      <c r="A916" t="s">
        <v>2937</v>
      </c>
      <c r="B916">
        <v>2024</v>
      </c>
      <c r="C916" t="s">
        <v>182</v>
      </c>
      <c r="D916" t="b">
        <f>TRUE()</f>
        <v>1</v>
      </c>
      <c r="E916" t="b">
        <f>COUNTIF(connections!A:A, A916) &gt; 0</f>
        <v>0</v>
      </c>
      <c r="F916" t="s">
        <v>1076</v>
      </c>
      <c r="G916" t="s">
        <v>2938</v>
      </c>
      <c r="H916" t="s">
        <v>187</v>
      </c>
      <c r="I916" t="s">
        <v>2939</v>
      </c>
      <c r="J916" s="1" t="s">
        <v>2940</v>
      </c>
    </row>
    <row r="917" spans="1:10" x14ac:dyDescent="0.25">
      <c r="A917" t="s">
        <v>2941</v>
      </c>
      <c r="B917">
        <v>2017</v>
      </c>
      <c r="C917" t="s">
        <v>179</v>
      </c>
      <c r="D917" t="b">
        <f>TRUE()</f>
        <v>1</v>
      </c>
      <c r="E917" t="b">
        <f>COUNTIF(connections!A:A, A917) &gt; 0</f>
        <v>0</v>
      </c>
      <c r="G917" t="s">
        <v>2942</v>
      </c>
    </row>
    <row r="918" spans="1:10" x14ac:dyDescent="0.25">
      <c r="A918" t="s">
        <v>2943</v>
      </c>
      <c r="B918">
        <v>2010</v>
      </c>
      <c r="C918" t="s">
        <v>179</v>
      </c>
      <c r="D918" t="b">
        <f>TRUE()</f>
        <v>1</v>
      </c>
      <c r="E918" t="b">
        <f>COUNTIF(connections!A:A, A918) &gt; 0</f>
        <v>1</v>
      </c>
      <c r="G918" t="s">
        <v>2944</v>
      </c>
      <c r="H918" t="s">
        <v>187</v>
      </c>
      <c r="I918" t="s">
        <v>2945</v>
      </c>
      <c r="J918" s="10" t="s">
        <v>2946</v>
      </c>
    </row>
    <row r="919" spans="1:10" x14ac:dyDescent="0.25">
      <c r="A919" t="s">
        <v>2947</v>
      </c>
      <c r="B919">
        <v>1994</v>
      </c>
      <c r="C919" t="s">
        <v>179</v>
      </c>
      <c r="D919" t="b">
        <f>TRUE()</f>
        <v>1</v>
      </c>
      <c r="E919" t="b">
        <f>COUNTIF(connections!A:A, A919) &gt; 0</f>
        <v>1</v>
      </c>
      <c r="G919" t="s">
        <v>2948</v>
      </c>
      <c r="H919" t="s">
        <v>187</v>
      </c>
      <c r="I919" t="s">
        <v>2949</v>
      </c>
    </row>
    <row r="920" spans="1:10" x14ac:dyDescent="0.25">
      <c r="A920" t="s">
        <v>2950</v>
      </c>
      <c r="B920">
        <v>2024</v>
      </c>
      <c r="C920" t="s">
        <v>182</v>
      </c>
      <c r="D920" t="b">
        <f>TRUE()</f>
        <v>1</v>
      </c>
      <c r="E920" t="b">
        <f>COUNTIF(connections!A:A, A920) &gt; 0</f>
        <v>0</v>
      </c>
      <c r="F920" t="s">
        <v>274</v>
      </c>
      <c r="G920" t="s">
        <v>2951</v>
      </c>
      <c r="H920" t="s">
        <v>187</v>
      </c>
      <c r="I920" t="s">
        <v>2952</v>
      </c>
      <c r="J920" s="1" t="s">
        <v>2953</v>
      </c>
    </row>
    <row r="921" spans="1:10" x14ac:dyDescent="0.25">
      <c r="A921" t="s">
        <v>2954</v>
      </c>
      <c r="B921">
        <v>2014</v>
      </c>
      <c r="C921" t="s">
        <v>176</v>
      </c>
      <c r="D921" t="b">
        <f>TRUE()</f>
        <v>1</v>
      </c>
      <c r="E921" t="b">
        <f>COUNTIF(connections!A:A, A921) &gt; 0</f>
        <v>1</v>
      </c>
      <c r="G921" t="s">
        <v>2955</v>
      </c>
      <c r="H921" t="s">
        <v>187</v>
      </c>
      <c r="I921" t="s">
        <v>2956</v>
      </c>
      <c r="J921" s="1" t="s">
        <v>2957</v>
      </c>
    </row>
    <row r="922" spans="1:10" x14ac:dyDescent="0.25">
      <c r="A922" t="s">
        <v>2958</v>
      </c>
      <c r="B922">
        <v>2020</v>
      </c>
      <c r="C922" t="s">
        <v>176</v>
      </c>
      <c r="D922" t="b">
        <f>TRUE()</f>
        <v>1</v>
      </c>
      <c r="E922" t="b">
        <f>COUNTIF(connections!A:A, A922) &gt; 0</f>
        <v>0</v>
      </c>
      <c r="G922" t="s">
        <v>2959</v>
      </c>
      <c r="H922" t="s">
        <v>187</v>
      </c>
      <c r="I922" t="s">
        <v>2960</v>
      </c>
      <c r="J922" s="1" t="s">
        <v>2961</v>
      </c>
    </row>
    <row r="923" spans="1:10" x14ac:dyDescent="0.25">
      <c r="A923" t="s">
        <v>2962</v>
      </c>
      <c r="B923">
        <v>2025</v>
      </c>
      <c r="C923" t="s">
        <v>179</v>
      </c>
      <c r="D923" t="b">
        <f>TRUE()</f>
        <v>1</v>
      </c>
      <c r="E923" t="b">
        <f>COUNTIF(connections!A:A, A923) &gt; 0</f>
        <v>0</v>
      </c>
      <c r="G923" t="s">
        <v>2963</v>
      </c>
      <c r="H923" t="s">
        <v>187</v>
      </c>
      <c r="I923" t="s">
        <v>2964</v>
      </c>
    </row>
    <row r="924" spans="1:10" x14ac:dyDescent="0.25">
      <c r="A924" t="s">
        <v>2965</v>
      </c>
      <c r="B924">
        <v>2023</v>
      </c>
      <c r="C924" t="s">
        <v>182</v>
      </c>
      <c r="D924" t="b">
        <f>TRUE()</f>
        <v>1</v>
      </c>
      <c r="E924" t="b">
        <f>COUNTIF(connections!A:A, A924) &gt; 0</f>
        <v>1</v>
      </c>
      <c r="G924" t="s">
        <v>2966</v>
      </c>
      <c r="H924" t="s">
        <v>187</v>
      </c>
      <c r="I924" t="s">
        <v>2967</v>
      </c>
      <c r="J924" s="1" t="s">
        <v>2968</v>
      </c>
    </row>
    <row r="925" spans="1:10" x14ac:dyDescent="0.25">
      <c r="A925" t="s">
        <v>2969</v>
      </c>
      <c r="B925">
        <v>2026</v>
      </c>
      <c r="C925" t="s">
        <v>182</v>
      </c>
      <c r="D925" t="b">
        <f>TRUE()</f>
        <v>1</v>
      </c>
      <c r="E925" t="b">
        <f>COUNTIF(connections!A:A, A925) &gt; 0</f>
        <v>0</v>
      </c>
      <c r="G925" t="s">
        <v>2970</v>
      </c>
      <c r="J925" s="10" t="s">
        <v>2971</v>
      </c>
    </row>
    <row r="926" spans="1:10" x14ac:dyDescent="0.25">
      <c r="A926" t="s">
        <v>2972</v>
      </c>
      <c r="B926">
        <v>2022</v>
      </c>
      <c r="C926" t="s">
        <v>179</v>
      </c>
      <c r="D926" t="b">
        <f>TRUE()</f>
        <v>1</v>
      </c>
      <c r="E926" t="b">
        <f>COUNTIF(connections!A:A, A926) &gt; 0</f>
        <v>0</v>
      </c>
      <c r="G926" t="s">
        <v>2973</v>
      </c>
      <c r="H926" t="s">
        <v>187</v>
      </c>
      <c r="I926" t="s">
        <v>2974</v>
      </c>
      <c r="J92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4" r:id="rId350" xr:uid="{00000000-0004-0000-0000-00005D010000}"/>
    <hyperlink ref="J605" r:id="rId351" xr:uid="{00000000-0004-0000-0000-00005E010000}"/>
    <hyperlink ref="J607" r:id="rId352" xr:uid="{00000000-0004-0000-0000-00005F010000}"/>
    <hyperlink ref="J608" r:id="rId353" xr:uid="{00000000-0004-0000-0000-000060010000}"/>
    <hyperlink ref="J610" r:id="rId354" xr:uid="{00000000-0004-0000-0000-000061010000}"/>
    <hyperlink ref="J611" r:id="rId355" xr:uid="{00000000-0004-0000-0000-000062010000}"/>
    <hyperlink ref="J614" r:id="rId356" xr:uid="{00000000-0004-0000-0000-000063010000}"/>
    <hyperlink ref="J617" r:id="rId357" xr:uid="{00000000-0004-0000-0000-000064010000}"/>
    <hyperlink ref="J618" r:id="rId358" xr:uid="{00000000-0004-0000-0000-000065010000}"/>
    <hyperlink ref="J621" r:id="rId359" xr:uid="{00000000-0004-0000-0000-000066010000}"/>
    <hyperlink ref="J624" r:id="rId360" xr:uid="{00000000-0004-0000-0000-000067010000}"/>
    <hyperlink ref="J625" r:id="rId361" xr:uid="{00000000-0004-0000-0000-000068010000}"/>
    <hyperlink ref="J626" r:id="rId362" xr:uid="{00000000-0004-0000-0000-000069010000}"/>
    <hyperlink ref="J627" r:id="rId363" xr:uid="{00000000-0004-0000-0000-00006A010000}"/>
    <hyperlink ref="J628" r:id="rId364" xr:uid="{00000000-0004-0000-0000-00006B010000}"/>
    <hyperlink ref="J629" r:id="rId365" xr:uid="{00000000-0004-0000-0000-00006C010000}"/>
    <hyperlink ref="J630" r:id="rId366" xr:uid="{00000000-0004-0000-0000-00006D010000}"/>
    <hyperlink ref="J631" r:id="rId367" xr:uid="{00000000-0004-0000-0000-00006E010000}"/>
    <hyperlink ref="J632" r:id="rId368" xr:uid="{00000000-0004-0000-0000-00006F010000}"/>
    <hyperlink ref="J633" r:id="rId369" xr:uid="{00000000-0004-0000-0000-000070010000}"/>
    <hyperlink ref="J635" r:id="rId370" xr:uid="{00000000-0004-0000-0000-000071010000}"/>
    <hyperlink ref="J636" r:id="rId371" xr:uid="{00000000-0004-0000-0000-000072010000}"/>
    <hyperlink ref="J637" r:id="rId372" xr:uid="{00000000-0004-0000-0000-000073010000}"/>
    <hyperlink ref="J639" r:id="rId373" xr:uid="{00000000-0004-0000-0000-000074010000}"/>
    <hyperlink ref="J640" r:id="rId374" xr:uid="{00000000-0004-0000-0000-000075010000}"/>
    <hyperlink ref="J641" r:id="rId375" xr:uid="{00000000-0004-0000-0000-000076010000}"/>
    <hyperlink ref="J643" r:id="rId376" xr:uid="{00000000-0004-0000-0000-000077010000}"/>
    <hyperlink ref="J644" r:id="rId377" xr:uid="{00000000-0004-0000-0000-000078010000}"/>
    <hyperlink ref="J645" r:id="rId378" xr:uid="{00000000-0004-0000-0000-000079010000}"/>
    <hyperlink ref="J652" r:id="rId379" xr:uid="{00000000-0004-0000-0000-00007A010000}"/>
    <hyperlink ref="J653" r:id="rId380" xr:uid="{00000000-0004-0000-0000-00007B010000}"/>
    <hyperlink ref="J654" r:id="rId381" xr:uid="{00000000-0004-0000-0000-00007C010000}"/>
    <hyperlink ref="J655" r:id="rId382" xr:uid="{00000000-0004-0000-0000-00007D010000}"/>
    <hyperlink ref="J657" r:id="rId383" xr:uid="{00000000-0004-0000-0000-00007E010000}"/>
    <hyperlink ref="J659" r:id="rId384" xr:uid="{00000000-0004-0000-0000-00007F010000}"/>
    <hyperlink ref="J660" r:id="rId385" xr:uid="{00000000-0004-0000-0000-000080010000}"/>
    <hyperlink ref="J663" r:id="rId386" xr:uid="{00000000-0004-0000-0000-000081010000}"/>
    <hyperlink ref="J664" r:id="rId387" xr:uid="{00000000-0004-0000-0000-000082010000}"/>
    <hyperlink ref="J665" r:id="rId388" xr:uid="{00000000-0004-0000-0000-000083010000}"/>
    <hyperlink ref="J666" r:id="rId389" xr:uid="{00000000-0004-0000-0000-000084010000}"/>
    <hyperlink ref="J667" r:id="rId390" xr:uid="{00000000-0004-0000-0000-000085010000}"/>
    <hyperlink ref="J669" r:id="rId391" xr:uid="{00000000-0004-0000-0000-000086010000}"/>
    <hyperlink ref="J670" r:id="rId392" xr:uid="{00000000-0004-0000-0000-000087010000}"/>
    <hyperlink ref="J671" r:id="rId393" xr:uid="{00000000-0004-0000-0000-000088010000}"/>
    <hyperlink ref="J672" r:id="rId394" xr:uid="{00000000-0004-0000-0000-000089010000}"/>
    <hyperlink ref="J673" r:id="rId395" xr:uid="{00000000-0004-0000-0000-00008A010000}"/>
    <hyperlink ref="J676" r:id="rId396" xr:uid="{00000000-0004-0000-0000-00008B010000}"/>
    <hyperlink ref="J678" r:id="rId397" xr:uid="{00000000-0004-0000-0000-00008C010000}"/>
    <hyperlink ref="J679" r:id="rId398" xr:uid="{00000000-0004-0000-0000-00008D010000}"/>
    <hyperlink ref="J680" r:id="rId399" xr:uid="{00000000-0004-0000-0000-00008E010000}"/>
    <hyperlink ref="J682" r:id="rId400" xr:uid="{00000000-0004-0000-0000-00008F010000}"/>
    <hyperlink ref="J683" r:id="rId401" xr:uid="{00000000-0004-0000-0000-000090010000}"/>
    <hyperlink ref="J685" r:id="rId402" xr:uid="{00000000-0004-0000-0000-000091010000}"/>
    <hyperlink ref="J686" r:id="rId403" xr:uid="{00000000-0004-0000-0000-000092010000}"/>
    <hyperlink ref="J690" r:id="rId404" xr:uid="{00000000-0004-0000-0000-000093010000}"/>
    <hyperlink ref="J693" r:id="rId405" xr:uid="{00000000-0004-0000-0000-000094010000}"/>
    <hyperlink ref="J700" r:id="rId406" xr:uid="{00000000-0004-0000-0000-000095010000}"/>
    <hyperlink ref="J701" r:id="rId407" xr:uid="{00000000-0004-0000-0000-000096010000}"/>
    <hyperlink ref="J702" r:id="rId408" xr:uid="{00000000-0004-0000-0000-000097010000}"/>
    <hyperlink ref="J704" r:id="rId409" xr:uid="{00000000-0004-0000-0000-000098010000}"/>
    <hyperlink ref="J708" r:id="rId410" xr:uid="{00000000-0004-0000-0000-000099010000}"/>
    <hyperlink ref="J709" r:id="rId411" xr:uid="{00000000-0004-0000-0000-00009A010000}"/>
    <hyperlink ref="J711" r:id="rId412" xr:uid="{00000000-0004-0000-0000-00009B010000}"/>
    <hyperlink ref="J712" r:id="rId413" xr:uid="{00000000-0004-0000-0000-00009C010000}"/>
    <hyperlink ref="J714" r:id="rId414" xr:uid="{00000000-0004-0000-0000-00009D010000}"/>
    <hyperlink ref="J715" r:id="rId415" xr:uid="{00000000-0004-0000-0000-00009E010000}"/>
    <hyperlink ref="J716" r:id="rId416" xr:uid="{00000000-0004-0000-0000-00009F010000}"/>
    <hyperlink ref="J718" r:id="rId417" xr:uid="{00000000-0004-0000-0000-0000A0010000}"/>
    <hyperlink ref="J720" r:id="rId418" xr:uid="{00000000-0004-0000-0000-0000A1010000}"/>
    <hyperlink ref="J723" r:id="rId419" xr:uid="{00000000-0004-0000-0000-0000A2010000}"/>
    <hyperlink ref="J724" r:id="rId420" xr:uid="{00000000-0004-0000-0000-0000A3010000}"/>
    <hyperlink ref="J725" r:id="rId421" xr:uid="{00000000-0004-0000-0000-0000A4010000}"/>
    <hyperlink ref="J726" r:id="rId422" xr:uid="{00000000-0004-0000-0000-0000A5010000}"/>
    <hyperlink ref="J727" r:id="rId423" xr:uid="{00000000-0004-0000-0000-0000A6010000}"/>
    <hyperlink ref="J730" r:id="rId424" xr:uid="{00000000-0004-0000-0000-0000A7010000}"/>
    <hyperlink ref="J733" r:id="rId425" xr:uid="{00000000-0004-0000-0000-0000A8010000}"/>
    <hyperlink ref="J734" r:id="rId426" xr:uid="{00000000-0004-0000-0000-0000A9010000}"/>
    <hyperlink ref="J737" r:id="rId427" xr:uid="{00000000-0004-0000-0000-0000AA010000}"/>
    <hyperlink ref="J739" r:id="rId428" xr:uid="{00000000-0004-0000-0000-0000AB010000}"/>
    <hyperlink ref="J740" r:id="rId429" xr:uid="{00000000-0004-0000-0000-0000AC010000}"/>
    <hyperlink ref="J741" r:id="rId430" xr:uid="{00000000-0004-0000-0000-0000AD010000}"/>
    <hyperlink ref="J743" r:id="rId431" xr:uid="{00000000-0004-0000-0000-0000AE010000}"/>
    <hyperlink ref="J745" r:id="rId432" xr:uid="{00000000-0004-0000-0000-0000AF010000}"/>
    <hyperlink ref="J746" r:id="rId433" xr:uid="{00000000-0004-0000-0000-0000B0010000}"/>
    <hyperlink ref="J747" r:id="rId434" xr:uid="{00000000-0004-0000-0000-0000B1010000}"/>
    <hyperlink ref="J748" r:id="rId435" xr:uid="{00000000-0004-0000-0000-0000B2010000}"/>
    <hyperlink ref="J749" r:id="rId436" xr:uid="{00000000-0004-0000-0000-0000B3010000}"/>
    <hyperlink ref="J750" r:id="rId437" xr:uid="{00000000-0004-0000-0000-0000B4010000}"/>
    <hyperlink ref="J751" r:id="rId438" xr:uid="{00000000-0004-0000-0000-0000B5010000}"/>
    <hyperlink ref="J753" r:id="rId439" xr:uid="{00000000-0004-0000-0000-0000B6010000}"/>
    <hyperlink ref="J755" r:id="rId440" xr:uid="{00000000-0004-0000-0000-0000B7010000}"/>
    <hyperlink ref="J756" r:id="rId441" xr:uid="{00000000-0004-0000-0000-0000B8010000}"/>
    <hyperlink ref="J758" r:id="rId442" xr:uid="{00000000-0004-0000-0000-0000B9010000}"/>
    <hyperlink ref="J762" r:id="rId443" xr:uid="{00000000-0004-0000-0000-0000BA010000}"/>
    <hyperlink ref="J765" r:id="rId444" xr:uid="{00000000-0004-0000-0000-0000BB010000}"/>
    <hyperlink ref="J767" r:id="rId445" xr:uid="{00000000-0004-0000-0000-0000BC010000}"/>
    <hyperlink ref="J768" r:id="rId446" xr:uid="{00000000-0004-0000-0000-0000BD010000}"/>
    <hyperlink ref="J769" r:id="rId447" xr:uid="{00000000-0004-0000-0000-0000BE010000}"/>
    <hyperlink ref="J770" r:id="rId448" xr:uid="{00000000-0004-0000-0000-0000BF010000}"/>
    <hyperlink ref="J771" r:id="rId449" xr:uid="{00000000-0004-0000-0000-0000C0010000}"/>
    <hyperlink ref="J772" r:id="rId450" xr:uid="{00000000-0004-0000-0000-0000C1010000}"/>
    <hyperlink ref="J775" r:id="rId451" xr:uid="{00000000-0004-0000-0000-0000C2010000}"/>
    <hyperlink ref="J776" r:id="rId452" xr:uid="{00000000-0004-0000-0000-0000C3010000}"/>
    <hyperlink ref="J777" r:id="rId453" xr:uid="{00000000-0004-0000-0000-0000C4010000}"/>
    <hyperlink ref="J778" r:id="rId454" xr:uid="{00000000-0004-0000-0000-0000C5010000}"/>
    <hyperlink ref="J779" r:id="rId455" xr:uid="{00000000-0004-0000-0000-0000C6010000}"/>
    <hyperlink ref="J780" r:id="rId456" xr:uid="{00000000-0004-0000-0000-0000C7010000}"/>
    <hyperlink ref="J781" r:id="rId457" xr:uid="{00000000-0004-0000-0000-0000C8010000}"/>
    <hyperlink ref="J782" r:id="rId458" xr:uid="{00000000-0004-0000-0000-0000C9010000}"/>
    <hyperlink ref="J784" r:id="rId459" xr:uid="{00000000-0004-0000-0000-0000CA010000}"/>
    <hyperlink ref="J785" r:id="rId460" xr:uid="{00000000-0004-0000-0000-0000CB010000}"/>
    <hyperlink ref="J786" r:id="rId461" xr:uid="{00000000-0004-0000-0000-0000CC010000}"/>
    <hyperlink ref="J787" r:id="rId462" xr:uid="{00000000-0004-0000-0000-0000CD010000}"/>
    <hyperlink ref="J788" r:id="rId463" xr:uid="{00000000-0004-0000-0000-0000CE010000}"/>
    <hyperlink ref="J789" r:id="rId464" xr:uid="{00000000-0004-0000-0000-0000CF010000}"/>
    <hyperlink ref="J790" r:id="rId465" xr:uid="{00000000-0004-0000-0000-0000D0010000}"/>
    <hyperlink ref="J791" r:id="rId466" xr:uid="{00000000-0004-0000-0000-0000D1010000}"/>
    <hyperlink ref="J793" r:id="rId467" xr:uid="{00000000-0004-0000-0000-0000D2010000}"/>
    <hyperlink ref="J795" r:id="rId468" xr:uid="{00000000-0004-0000-0000-0000D3010000}"/>
    <hyperlink ref="J796" r:id="rId469" xr:uid="{00000000-0004-0000-0000-0000D4010000}"/>
    <hyperlink ref="J798" r:id="rId470" xr:uid="{00000000-0004-0000-0000-0000D5010000}"/>
    <hyperlink ref="J799" r:id="rId471" xr:uid="{00000000-0004-0000-0000-0000D6010000}"/>
    <hyperlink ref="J802" r:id="rId472" xr:uid="{00000000-0004-0000-0000-0000D7010000}"/>
    <hyperlink ref="J803" r:id="rId473" xr:uid="{00000000-0004-0000-0000-0000D8010000}"/>
    <hyperlink ref="J807" r:id="rId474" xr:uid="{00000000-0004-0000-0000-0000D9010000}"/>
    <hyperlink ref="J810" r:id="rId475" xr:uid="{00000000-0004-0000-0000-0000DA010000}"/>
    <hyperlink ref="J812" r:id="rId476" xr:uid="{00000000-0004-0000-0000-0000DB010000}"/>
    <hyperlink ref="J813" r:id="rId477" xr:uid="{00000000-0004-0000-0000-0000DC010000}"/>
    <hyperlink ref="J814" r:id="rId478" xr:uid="{00000000-0004-0000-0000-0000DD010000}"/>
    <hyperlink ref="J818" r:id="rId479" xr:uid="{00000000-0004-0000-0000-0000DE010000}"/>
    <hyperlink ref="J819" r:id="rId480" xr:uid="{00000000-0004-0000-0000-0000DF010000}"/>
    <hyperlink ref="J822" r:id="rId481" xr:uid="{00000000-0004-0000-0000-0000E0010000}"/>
    <hyperlink ref="J823" r:id="rId482" xr:uid="{00000000-0004-0000-0000-0000E1010000}"/>
    <hyperlink ref="J825" r:id="rId483" xr:uid="{00000000-0004-0000-0000-0000E2010000}"/>
    <hyperlink ref="J828" r:id="rId484" xr:uid="{00000000-0004-0000-0000-0000E3010000}"/>
    <hyperlink ref="J829" r:id="rId485" xr:uid="{00000000-0004-0000-0000-0000E4010000}"/>
    <hyperlink ref="J831" r:id="rId486" xr:uid="{00000000-0004-0000-0000-0000E5010000}"/>
    <hyperlink ref="J832" r:id="rId487" xr:uid="{00000000-0004-0000-0000-0000E6010000}"/>
    <hyperlink ref="J833" r:id="rId488" xr:uid="{00000000-0004-0000-0000-0000E7010000}"/>
    <hyperlink ref="J836" r:id="rId489" xr:uid="{00000000-0004-0000-0000-0000E8010000}"/>
    <hyperlink ref="J840" r:id="rId490" xr:uid="{00000000-0004-0000-0000-0000E9010000}"/>
    <hyperlink ref="J841" r:id="rId491" xr:uid="{00000000-0004-0000-0000-0000EA010000}"/>
    <hyperlink ref="J842" r:id="rId492" xr:uid="{00000000-0004-0000-0000-0000EB010000}"/>
    <hyperlink ref="J846" r:id="rId493" xr:uid="{00000000-0004-0000-0000-0000EC010000}"/>
    <hyperlink ref="J848" r:id="rId494" xr:uid="{00000000-0004-0000-0000-0000ED010000}"/>
    <hyperlink ref="J849" r:id="rId495" xr:uid="{00000000-0004-0000-0000-0000EE010000}"/>
    <hyperlink ref="J850" r:id="rId496" xr:uid="{00000000-0004-0000-0000-0000EF010000}"/>
    <hyperlink ref="J853" r:id="rId497" xr:uid="{00000000-0004-0000-0000-0000F0010000}"/>
    <hyperlink ref="J854" r:id="rId498" xr:uid="{00000000-0004-0000-0000-0000F1010000}"/>
    <hyperlink ref="J855" r:id="rId499" xr:uid="{00000000-0004-0000-0000-0000F2010000}"/>
    <hyperlink ref="J856" r:id="rId500" xr:uid="{00000000-0004-0000-0000-0000F3010000}"/>
    <hyperlink ref="J858" r:id="rId501" xr:uid="{00000000-0004-0000-0000-0000F4010000}"/>
    <hyperlink ref="J861" r:id="rId502" xr:uid="{00000000-0004-0000-0000-0000F5010000}"/>
    <hyperlink ref="J863" r:id="rId503" xr:uid="{00000000-0004-0000-0000-0000F6010000}"/>
    <hyperlink ref="J867" r:id="rId504" xr:uid="{00000000-0004-0000-0000-0000F7010000}"/>
    <hyperlink ref="J870" r:id="rId505" xr:uid="{00000000-0004-0000-0000-0000F8010000}"/>
    <hyperlink ref="J871" r:id="rId506" xr:uid="{00000000-0004-0000-0000-0000F9010000}"/>
    <hyperlink ref="J872" r:id="rId507" xr:uid="{00000000-0004-0000-0000-0000FA010000}"/>
    <hyperlink ref="J874" r:id="rId508" xr:uid="{00000000-0004-0000-0000-0000FB010000}"/>
    <hyperlink ref="J878" r:id="rId509" xr:uid="{00000000-0004-0000-0000-0000FC010000}"/>
    <hyperlink ref="J879" r:id="rId510" xr:uid="{00000000-0004-0000-0000-0000FD010000}"/>
    <hyperlink ref="J881" r:id="rId511" xr:uid="{00000000-0004-0000-0000-0000FE010000}"/>
    <hyperlink ref="J883" r:id="rId512" xr:uid="{00000000-0004-0000-0000-0000FF010000}"/>
    <hyperlink ref="J885" r:id="rId513" xr:uid="{00000000-0004-0000-0000-000000020000}"/>
    <hyperlink ref="J890" r:id="rId514" xr:uid="{00000000-0004-0000-0000-000001020000}"/>
    <hyperlink ref="J891" r:id="rId515" xr:uid="{00000000-0004-0000-0000-000002020000}"/>
    <hyperlink ref="J893" r:id="rId516" xr:uid="{00000000-0004-0000-0000-000003020000}"/>
    <hyperlink ref="J894" r:id="rId517" xr:uid="{00000000-0004-0000-0000-000004020000}"/>
    <hyperlink ref="J895" r:id="rId518" xr:uid="{00000000-0004-0000-0000-000005020000}"/>
    <hyperlink ref="J896" r:id="rId519" xr:uid="{00000000-0004-0000-0000-000006020000}"/>
    <hyperlink ref="J901" r:id="rId520" xr:uid="{00000000-0004-0000-0000-000007020000}"/>
    <hyperlink ref="J904" r:id="rId521" xr:uid="{00000000-0004-0000-0000-000008020000}"/>
    <hyperlink ref="J905" r:id="rId522" xr:uid="{00000000-0004-0000-0000-000009020000}"/>
    <hyperlink ref="J907" r:id="rId523" xr:uid="{00000000-0004-0000-0000-00000A020000}"/>
    <hyperlink ref="J908" r:id="rId524" xr:uid="{00000000-0004-0000-0000-00000B020000}"/>
    <hyperlink ref="J909" r:id="rId525" xr:uid="{00000000-0004-0000-0000-00000C020000}"/>
    <hyperlink ref="J911" r:id="rId526" xr:uid="{00000000-0004-0000-0000-00000D020000}"/>
    <hyperlink ref="J912" r:id="rId527" xr:uid="{00000000-0004-0000-0000-00000E020000}"/>
    <hyperlink ref="J913" r:id="rId528" xr:uid="{00000000-0004-0000-0000-00000F020000}"/>
    <hyperlink ref="J915" r:id="rId529" xr:uid="{00000000-0004-0000-0000-000010020000}"/>
    <hyperlink ref="J916" r:id="rId530" xr:uid="{00000000-0004-0000-0000-000011020000}"/>
    <hyperlink ref="J918" r:id="rId531" xr:uid="{00000000-0004-0000-0000-000012020000}"/>
    <hyperlink ref="J920" r:id="rId532" xr:uid="{00000000-0004-0000-0000-000013020000}"/>
    <hyperlink ref="J921" r:id="rId533" xr:uid="{00000000-0004-0000-0000-000014020000}"/>
    <hyperlink ref="J922" r:id="rId534" xr:uid="{00000000-0004-0000-0000-000015020000}"/>
    <hyperlink ref="J924" r:id="rId535" xr:uid="{00000000-0004-0000-0000-000016020000}"/>
    <hyperlink ref="J925" r:id="rId536" xr:uid="{00000000-0004-0000-0000-000017020000}"/>
    <hyperlink ref="J926" r:id="rId537" xr:uid="{00000000-0004-0000-0000-000018020000}"/>
    <hyperlink ref="J144" r:id="rId538" xr:uid="{08E49B8B-AB87-44CE-BD88-6A72072643F3}"/>
    <hyperlink ref="J575" r:id="rId539" xr:uid="{613E919C-99D5-4936-BD6E-E1B66FD364CC}"/>
    <hyperlink ref="J860"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7" r:id="rId545" xr:uid="{D3DC6B32-2913-4474-A207-EC23EF7C13A0}"/>
    <hyperlink ref="J736" r:id="rId546" xr:uid="{E6533295-AEB0-4582-96BC-AB1C31608544}"/>
    <hyperlink ref="J360" r:id="rId547" xr:uid="{107DEEB3-057C-4FEB-BCF1-E2DAB94E6F4E}"/>
    <hyperlink ref="J738" r:id="rId548" xr:uid="{83E867E7-804D-467B-82B9-5BA5921CE73F}"/>
    <hyperlink ref="J448" r:id="rId549" xr:uid="{E2F21C55-8B73-4F19-847B-9F98DB332EAE}"/>
    <hyperlink ref="J262" r:id="rId550" xr:uid="{329075B2-60F0-4BC2-9885-87D0F6DA2532}"/>
    <hyperlink ref="J609" r:id="rId551" xr:uid="{29C1BA05-6D3C-4DB9-ACCA-BACF951FFCF2}"/>
    <hyperlink ref="J18" r:id="rId552" xr:uid="{B1E80D83-91E1-4C19-BEF8-B703E9D0175F}"/>
    <hyperlink ref="J623" r:id="rId553" xr:uid="{F303BDB3-5201-4543-9648-08791ABDB3FE}"/>
    <hyperlink ref="J564" r:id="rId554" xr:uid="{F3C83FBE-7599-4D8D-98B4-DEECC58B1D37}"/>
    <hyperlink ref="J615" r:id="rId555" xr:uid="{383C2980-826A-4E46-9851-E40F883782B5}"/>
    <hyperlink ref="J634" r:id="rId556" xr:uid="{19EED455-3B7D-449F-85DE-CBD241AA8B10}"/>
    <hyperlink ref="J815" r:id="rId557" xr:uid="{9E30504A-97C5-46EA-9ADF-AE454DEB581B}"/>
    <hyperlink ref="J691" r:id="rId558" xr:uid="{E8B34758-00B4-43F3-BA4F-CEBBE79FC242}"/>
    <hyperlink ref="J706" r:id="rId559" xr:uid="{5A04ABF3-4935-4035-823B-C911F62C0AD5}"/>
    <hyperlink ref="J65" r:id="rId560" xr:uid="{AFB88A0E-7CB4-42A0-8B90-6B191939BC9F}"/>
    <hyperlink ref="J198" r:id="rId561" xr:uid="{1576A441-276D-4899-A6CE-6A87E32139DA}"/>
    <hyperlink ref="J431" r:id="rId562" xr:uid="{05DAEC17-A7F8-4842-9CEA-39134B2BD9B8}"/>
    <hyperlink ref="J830"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6" r:id="rId570" xr:uid="{EA1D64FF-A635-48FB-8FE3-3DAEC0661DDD}"/>
    <hyperlink ref="J735" r:id="rId571" xr:uid="{4FEAC80D-0062-42F7-A8AC-2235456304AC}"/>
    <hyperlink ref="J27" r:id="rId572" xr:uid="{87F7525E-206C-4CE2-838E-D526179D44E9}"/>
    <hyperlink ref="J852" r:id="rId573" xr:uid="{AC413CB7-944C-4B86-A1CE-939EF2BC8A8E}"/>
    <hyperlink ref="J572" r:id="rId574" xr:uid="{C8542F65-93AB-4E4A-A5D5-765CA6631289}"/>
    <hyperlink ref="J135" r:id="rId575" xr:uid="{F5C46010-8F43-4D6D-8244-ADAE109EFB61}"/>
    <hyperlink ref="J773" r:id="rId576" xr:uid="{4C630EA0-6037-4A15-9250-F2BE93B3F445}"/>
    <hyperlink ref="J820" r:id="rId577" xr:uid="{0458BECB-B19A-4DBF-8191-5957E5571B68}"/>
    <hyperlink ref="J358" r:id="rId578" xr:uid="{D851FA6F-78E8-45A7-89CD-74768FD7FE98}"/>
    <hyperlink ref="J53" r:id="rId579" xr:uid="{9563617C-E7C6-48E4-9A11-516BAD696086}"/>
    <hyperlink ref="J816" r:id="rId580" xr:uid="{FBAE9485-01DE-4708-949B-19EA67B27899}"/>
    <hyperlink ref="J222" r:id="rId581" xr:uid="{86A723EC-ECF5-4194-AC26-E60E03B562CE}"/>
    <hyperlink ref="J38" r:id="rId582" xr:uid="{DA79EC17-EBF2-4B6B-9EA8-A6A8E6F7E613}"/>
    <hyperlink ref="J295" r:id="rId583" xr:uid="{E7B35C2B-58D6-4CE5-960A-5A41E3DDF317}"/>
    <hyperlink ref="J752" r:id="rId584" xr:uid="{1C99CD87-086F-45AC-96A2-BC486C5DB756}"/>
    <hyperlink ref="J761" r:id="rId585" xr:uid="{B8B4D480-4229-4F08-993A-60EC6E1B90C9}"/>
    <hyperlink ref="J710" r:id="rId586" xr:uid="{3C7C8D86-F171-4E35-84E4-D205C8979876}"/>
    <hyperlink ref="J689" r:id="rId587" xr:uid="{4C6843DB-D27F-4A4F-8A70-54163BD5DA93}"/>
    <hyperlink ref="J674" r:id="rId588" xr:uid="{47CD558E-17EF-46B7-907E-AF7B25FB6DD7}"/>
    <hyperlink ref="J209" r:id="rId589" xr:uid="{2EF8F3BC-1380-4DF8-9FB4-A7261A89E970}"/>
    <hyperlink ref="J444" r:id="rId590" xr:uid="{3EB3F29A-8B57-4E1F-BCC9-816F798D197C}"/>
    <hyperlink ref="J646" r:id="rId591" xr:uid="{937F458A-2B3F-4299-90DC-7976DBDDA83D}"/>
    <hyperlink ref="J199" r:id="rId592" xr:uid="{5BBCD969-F4D0-43C8-86E1-73E3C4C7F278}"/>
    <hyperlink ref="J442" r:id="rId593" xr:uid="{88C9ED9A-015C-4625-830C-FFE63BAD81F8}"/>
    <hyperlink ref="J910" r:id="rId594" xr:uid="{CE05D1E9-F87C-4776-8FB8-5D6811A78005}"/>
    <hyperlink ref="J717"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1" r:id="rId601" xr:uid="{70330357-48C8-4A65-9A66-D06E5B7683B7}"/>
    <hyperlink ref="J677" r:id="rId602" xr:uid="{0A4B9F13-F5E8-4807-A550-63000D3A578D}"/>
    <hyperlink ref="J153" r:id="rId603" xr:uid="{ED53488C-D1C3-4DB9-98BC-D5F56B13154A}"/>
    <hyperlink ref="J764"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6" r:id="rId611" xr:uid="{766FEF58-E322-4484-8062-1E05F877938B}"/>
    <hyperlink ref="J601" r:id="rId612" xr:uid="{44A154C9-0A13-4EC4-9C0C-0ECBA4D37CAA}"/>
    <hyperlink ref="J603" r:id="rId613" xr:uid="{CEC1BFBF-7DC0-4457-9E12-17BABC63FC6A}"/>
    <hyperlink ref="J211" r:id="rId614" xr:uid="{5A7B42F9-4310-4881-A212-8C3279C43D9B}"/>
    <hyperlink ref="J754" r:id="rId615" xr:uid="{E819D4E0-9208-40C1-AC92-C0376C7BAE84}"/>
    <hyperlink ref="J844" r:id="rId616" xr:uid="{0E7C56AA-7AE0-4202-9D62-2ABD84A2D68A}"/>
    <hyperlink ref="J498" r:id="rId617" xr:uid="{7215BC9F-3804-40A0-A90F-E8FBD622D038}"/>
    <hyperlink ref="J889" r:id="rId618" xr:uid="{E666E031-2B8F-47AD-8A15-4CFFDAFCE677}"/>
    <hyperlink ref="J417" r:id="rId619" xr:uid="{4694A639-8B0F-47DB-88F0-14E073F5030A}"/>
    <hyperlink ref="J865" r:id="rId620" xr:uid="{7E26E2F1-969C-40CD-816A-BA88D28795A4}"/>
    <hyperlink ref="J571" r:id="rId621" xr:uid="{C7EC3DB0-EF9A-40C0-92DC-8AA505119817}"/>
    <hyperlink ref="J859" r:id="rId622" xr:uid="{C767ADF0-4B5A-4DC9-9296-4582B2B27FCE}"/>
    <hyperlink ref="J150" r:id="rId623" xr:uid="{1ABC2A7E-566E-4AC3-9E17-0339BCD3BD0E}"/>
    <hyperlink ref="J744" r:id="rId624" xr:uid="{00D9BB6E-6BBE-406B-967A-A02599684B26}"/>
  </hyperlinks>
  <pageMargins left="0.7" right="0.7" top="0.75" bottom="0.75" header="0.511811023622047" footer="0.511811023622047"/>
  <pageSetup orientation="portrait" horizontalDpi="300" verticalDpi="300"/>
  <tableParts count="1">
    <tablePart r:id="rId62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3"/>
  <sheetViews>
    <sheetView tabSelected="1" topLeftCell="A1506" zoomScaleNormal="100" workbookViewId="0">
      <selection activeCell="B1540" sqref="B1540"/>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8422</v>
      </c>
      <c r="G1" t="s">
        <v>9464</v>
      </c>
    </row>
    <row r="2" spans="1:7" x14ac:dyDescent="0.25">
      <c r="A2" t="s">
        <v>1294</v>
      </c>
      <c r="B2" t="s">
        <v>175</v>
      </c>
      <c r="C2">
        <v>2019</v>
      </c>
      <c r="E2" t="s">
        <v>3013</v>
      </c>
      <c r="F2" t="s">
        <v>9465</v>
      </c>
      <c r="G2" t="s">
        <v>187</v>
      </c>
    </row>
    <row r="3" spans="1:7" x14ac:dyDescent="0.25">
      <c r="A3" t="s">
        <v>1761</v>
      </c>
      <c r="B3" t="s">
        <v>178</v>
      </c>
      <c r="C3">
        <v>1995</v>
      </c>
      <c r="E3" t="s">
        <v>3269</v>
      </c>
      <c r="F3" t="s">
        <v>8915</v>
      </c>
      <c r="G3" t="s">
        <v>3990</v>
      </c>
    </row>
    <row r="4" spans="1:7" x14ac:dyDescent="0.25">
      <c r="A4" t="s">
        <v>2023</v>
      </c>
      <c r="B4" t="s">
        <v>178</v>
      </c>
      <c r="C4">
        <v>2003</v>
      </c>
      <c r="E4" t="s">
        <v>3269</v>
      </c>
      <c r="F4" t="s">
        <v>9406</v>
      </c>
      <c r="G4" t="s">
        <v>3990</v>
      </c>
    </row>
    <row r="5" spans="1:7" x14ac:dyDescent="0.25">
      <c r="A5" t="s">
        <v>1089</v>
      </c>
      <c r="B5" t="s">
        <v>181</v>
      </c>
      <c r="C5">
        <v>2021</v>
      </c>
      <c r="D5" t="s">
        <v>187</v>
      </c>
      <c r="F5" t="s">
        <v>9466</v>
      </c>
      <c r="G5" t="s">
        <v>3990</v>
      </c>
    </row>
    <row r="6" spans="1:7" x14ac:dyDescent="0.25">
      <c r="A6" t="s">
        <v>1843</v>
      </c>
      <c r="B6" t="s">
        <v>185</v>
      </c>
      <c r="C6">
        <v>2019</v>
      </c>
      <c r="E6" s="10" t="s">
        <v>9808</v>
      </c>
      <c r="F6" t="s">
        <v>9807</v>
      </c>
      <c r="G6" t="s">
        <v>3990</v>
      </c>
    </row>
    <row r="7" spans="1:7" x14ac:dyDescent="0.25">
      <c r="A7" t="s">
        <v>2804</v>
      </c>
      <c r="B7" t="s">
        <v>185</v>
      </c>
      <c r="C7">
        <v>2021</v>
      </c>
      <c r="E7" t="s">
        <v>3013</v>
      </c>
      <c r="F7" t="s">
        <v>9467</v>
      </c>
      <c r="G7" t="s">
        <v>3990</v>
      </c>
    </row>
    <row r="8" spans="1:7" x14ac:dyDescent="0.25">
      <c r="A8" t="s">
        <v>689</v>
      </c>
      <c r="B8" t="s">
        <v>190</v>
      </c>
      <c r="C8">
        <v>2015</v>
      </c>
      <c r="E8" t="s">
        <v>3083</v>
      </c>
      <c r="F8" t="s">
        <v>8573</v>
      </c>
      <c r="G8" t="s">
        <v>3990</v>
      </c>
    </row>
    <row r="9" spans="1:7" x14ac:dyDescent="0.25">
      <c r="A9" t="s">
        <v>160</v>
      </c>
      <c r="B9" t="s">
        <v>190</v>
      </c>
      <c r="C9">
        <v>2011</v>
      </c>
      <c r="E9" t="s">
        <v>3083</v>
      </c>
      <c r="F9" t="s">
        <v>9251</v>
      </c>
      <c r="G9" t="s">
        <v>3990</v>
      </c>
    </row>
    <row r="10" spans="1:7" x14ac:dyDescent="0.25">
      <c r="A10" t="s">
        <v>190</v>
      </c>
      <c r="B10" t="s">
        <v>194</v>
      </c>
      <c r="C10">
        <v>2017</v>
      </c>
      <c r="D10" t="s">
        <v>187</v>
      </c>
      <c r="F10" t="s">
        <v>9468</v>
      </c>
      <c r="G10" t="s">
        <v>3990</v>
      </c>
    </row>
    <row r="11" spans="1:7" x14ac:dyDescent="0.25">
      <c r="A11" t="s">
        <v>2073</v>
      </c>
      <c r="B11" t="s">
        <v>198</v>
      </c>
      <c r="C11">
        <v>2010</v>
      </c>
      <c r="E11" t="s">
        <v>2982</v>
      </c>
      <c r="F11" t="s">
        <v>8991</v>
      </c>
      <c r="G11" t="s">
        <v>3990</v>
      </c>
    </row>
    <row r="12" spans="1:7" x14ac:dyDescent="0.25">
      <c r="A12" t="s">
        <v>2498</v>
      </c>
      <c r="B12" t="s">
        <v>198</v>
      </c>
      <c r="C12">
        <v>2017</v>
      </c>
      <c r="D12" t="s">
        <v>187</v>
      </c>
      <c r="F12" t="s">
        <v>9469</v>
      </c>
      <c r="G12" t="s">
        <v>3990</v>
      </c>
    </row>
    <row r="13" spans="1:7" x14ac:dyDescent="0.25">
      <c r="A13" t="s">
        <v>205</v>
      </c>
      <c r="B13" t="s">
        <v>202</v>
      </c>
      <c r="C13">
        <v>2015</v>
      </c>
      <c r="D13" t="s">
        <v>187</v>
      </c>
      <c r="F13" t="s">
        <v>9470</v>
      </c>
      <c r="G13" t="s">
        <v>3990</v>
      </c>
    </row>
    <row r="14" spans="1:7" x14ac:dyDescent="0.25">
      <c r="A14" t="s">
        <v>2154</v>
      </c>
      <c r="B14" t="s">
        <v>205</v>
      </c>
      <c r="C14">
        <v>1980</v>
      </c>
      <c r="E14" t="s">
        <v>3316</v>
      </c>
      <c r="F14" t="s">
        <v>9020</v>
      </c>
      <c r="G14" t="s">
        <v>3990</v>
      </c>
    </row>
    <row r="15" spans="1:7" x14ac:dyDescent="0.25">
      <c r="A15" t="s">
        <v>2269</v>
      </c>
      <c r="B15" t="s">
        <v>209</v>
      </c>
      <c r="C15">
        <v>2022</v>
      </c>
      <c r="D15" t="s">
        <v>187</v>
      </c>
      <c r="F15" t="s">
        <v>9471</v>
      </c>
      <c r="G15" t="s">
        <v>3990</v>
      </c>
    </row>
    <row r="16" spans="1:7" x14ac:dyDescent="0.25">
      <c r="A16" t="s">
        <v>90</v>
      </c>
      <c r="B16" t="s">
        <v>209</v>
      </c>
      <c r="C16">
        <v>2017</v>
      </c>
      <c r="E16" t="s">
        <v>3339</v>
      </c>
      <c r="F16" t="s">
        <v>9472</v>
      </c>
      <c r="G16" t="s">
        <v>3990</v>
      </c>
    </row>
    <row r="17" spans="1:7" x14ac:dyDescent="0.25">
      <c r="A17" t="s">
        <v>2428</v>
      </c>
      <c r="B17" t="s">
        <v>213</v>
      </c>
      <c r="C17">
        <v>2008</v>
      </c>
      <c r="E17" s="10" t="s">
        <v>3386</v>
      </c>
      <c r="F17" t="s">
        <v>10010</v>
      </c>
      <c r="G17" t="s">
        <v>3990</v>
      </c>
    </row>
    <row r="18" spans="1:7" x14ac:dyDescent="0.25">
      <c r="A18" t="s">
        <v>160</v>
      </c>
      <c r="B18" t="s">
        <v>213</v>
      </c>
      <c r="C18">
        <v>2011</v>
      </c>
      <c r="E18" s="10" t="s">
        <v>3386</v>
      </c>
      <c r="F18" t="s">
        <v>10010</v>
      </c>
      <c r="G18" t="s">
        <v>3990</v>
      </c>
    </row>
    <row r="19" spans="1:7" x14ac:dyDescent="0.25">
      <c r="A19" t="s">
        <v>90</v>
      </c>
      <c r="B19" t="s">
        <v>215</v>
      </c>
      <c r="C19">
        <v>2017</v>
      </c>
      <c r="E19" t="s">
        <v>2982</v>
      </c>
      <c r="F19" t="s">
        <v>9069</v>
      </c>
      <c r="G19" t="s">
        <v>3990</v>
      </c>
    </row>
    <row r="20" spans="1:7" x14ac:dyDescent="0.25">
      <c r="A20" t="s">
        <v>160</v>
      </c>
      <c r="B20" t="s">
        <v>217</v>
      </c>
      <c r="C20">
        <v>2011</v>
      </c>
      <c r="E20" t="s">
        <v>3398</v>
      </c>
      <c r="F20" t="s">
        <v>9252</v>
      </c>
      <c r="G20" t="s">
        <v>3990</v>
      </c>
    </row>
    <row r="21" spans="1:7" x14ac:dyDescent="0.25">
      <c r="A21" t="s">
        <v>1144</v>
      </c>
      <c r="B21" t="s">
        <v>221</v>
      </c>
      <c r="C21">
        <v>2012</v>
      </c>
      <c r="E21" t="s">
        <v>3194</v>
      </c>
      <c r="F21" t="s">
        <v>8739</v>
      </c>
      <c r="G21" t="s">
        <v>3990</v>
      </c>
    </row>
    <row r="22" spans="1:7" x14ac:dyDescent="0.25">
      <c r="A22" t="s">
        <v>1046</v>
      </c>
      <c r="B22" t="s">
        <v>226</v>
      </c>
      <c r="C22">
        <v>2016</v>
      </c>
      <c r="E22" t="s">
        <v>3179</v>
      </c>
      <c r="F22" t="s">
        <v>8711</v>
      </c>
      <c r="G22" t="s">
        <v>3990</v>
      </c>
    </row>
    <row r="23" spans="1:7" x14ac:dyDescent="0.25">
      <c r="A23" t="s">
        <v>2906</v>
      </c>
      <c r="B23" t="s">
        <v>226</v>
      </c>
      <c r="C23">
        <v>2018</v>
      </c>
      <c r="E23" t="s">
        <v>3179</v>
      </c>
      <c r="F23" t="s">
        <v>9362</v>
      </c>
      <c r="G23" t="s">
        <v>3990</v>
      </c>
    </row>
    <row r="24" spans="1:7" x14ac:dyDescent="0.25">
      <c r="A24" t="s">
        <v>759</v>
      </c>
      <c r="B24" t="s">
        <v>228</v>
      </c>
      <c r="C24">
        <v>2018</v>
      </c>
      <c r="E24" t="s">
        <v>3110</v>
      </c>
      <c r="F24" t="s">
        <v>8609</v>
      </c>
      <c r="G24" t="s">
        <v>3990</v>
      </c>
    </row>
    <row r="25" spans="1:7" x14ac:dyDescent="0.25">
      <c r="A25" t="s">
        <v>1272</v>
      </c>
      <c r="B25" t="s">
        <v>7901</v>
      </c>
      <c r="C25">
        <v>2020</v>
      </c>
      <c r="E25" s="10" t="s">
        <v>7900</v>
      </c>
      <c r="F25" t="s">
        <v>8772</v>
      </c>
      <c r="G25" t="s">
        <v>3990</v>
      </c>
    </row>
    <row r="26" spans="1:7" x14ac:dyDescent="0.25">
      <c r="A26" t="s">
        <v>1855</v>
      </c>
      <c r="B26" t="s">
        <v>7901</v>
      </c>
      <c r="C26">
        <v>2015</v>
      </c>
      <c r="E26" s="10" t="s">
        <v>7900</v>
      </c>
      <c r="F26" t="s">
        <v>8955</v>
      </c>
      <c r="G26" t="s">
        <v>3990</v>
      </c>
    </row>
    <row r="27" spans="1:7" x14ac:dyDescent="0.25">
      <c r="A27" t="s">
        <v>2146</v>
      </c>
      <c r="B27" t="s">
        <v>7901</v>
      </c>
      <c r="C27">
        <v>2020</v>
      </c>
      <c r="E27" s="10" t="s">
        <v>7900</v>
      </c>
      <c r="F27" t="s">
        <v>9015</v>
      </c>
      <c r="G27" t="s">
        <v>3990</v>
      </c>
    </row>
    <row r="28" spans="1:7" x14ac:dyDescent="0.25">
      <c r="A28" t="s">
        <v>2021</v>
      </c>
      <c r="B28" t="s">
        <v>233</v>
      </c>
      <c r="C28">
        <v>2020</v>
      </c>
      <c r="D28" t="s">
        <v>187</v>
      </c>
      <c r="F28" t="s">
        <v>9863</v>
      </c>
      <c r="G28" t="s">
        <v>3990</v>
      </c>
    </row>
    <row r="29" spans="1:7" x14ac:dyDescent="0.25">
      <c r="A29" t="s">
        <v>90</v>
      </c>
      <c r="B29" t="s">
        <v>233</v>
      </c>
      <c r="C29">
        <v>2017</v>
      </c>
      <c r="E29" t="s">
        <v>3304</v>
      </c>
      <c r="F29" t="s">
        <v>9473</v>
      </c>
      <c r="G29" t="s">
        <v>3990</v>
      </c>
    </row>
    <row r="30" spans="1:7" x14ac:dyDescent="0.25">
      <c r="A30" t="s">
        <v>746</v>
      </c>
      <c r="B30" t="s">
        <v>237</v>
      </c>
      <c r="C30">
        <v>2015</v>
      </c>
      <c r="E30" t="s">
        <v>3093</v>
      </c>
      <c r="F30" t="s">
        <v>8587</v>
      </c>
      <c r="G30" t="s">
        <v>3990</v>
      </c>
    </row>
    <row r="31" spans="1:7" x14ac:dyDescent="0.25">
      <c r="A31" t="s">
        <v>90</v>
      </c>
      <c r="B31" t="s">
        <v>237</v>
      </c>
      <c r="C31">
        <v>2017</v>
      </c>
      <c r="E31" t="s">
        <v>3340</v>
      </c>
      <c r="F31" t="s">
        <v>9474</v>
      </c>
      <c r="G31" t="s">
        <v>187</v>
      </c>
    </row>
    <row r="32" spans="1:7" x14ac:dyDescent="0.25">
      <c r="A32" t="s">
        <v>759</v>
      </c>
      <c r="B32" t="s">
        <v>241</v>
      </c>
      <c r="C32">
        <v>2018</v>
      </c>
      <c r="E32" t="s">
        <v>2982</v>
      </c>
      <c r="F32" t="s">
        <v>8610</v>
      </c>
      <c r="G32" t="s">
        <v>3990</v>
      </c>
    </row>
    <row r="33" spans="1:7" x14ac:dyDescent="0.25">
      <c r="A33" t="s">
        <v>1046</v>
      </c>
      <c r="B33" t="s">
        <v>245</v>
      </c>
      <c r="C33">
        <v>2016</v>
      </c>
      <c r="E33" t="s">
        <v>3180</v>
      </c>
      <c r="F33" t="s">
        <v>8712</v>
      </c>
      <c r="G33" t="s">
        <v>3990</v>
      </c>
    </row>
    <row r="34" spans="1:7" x14ac:dyDescent="0.25">
      <c r="A34" t="s">
        <v>1855</v>
      </c>
      <c r="B34" t="s">
        <v>245</v>
      </c>
      <c r="C34">
        <v>2015</v>
      </c>
      <c r="E34" t="s">
        <v>3180</v>
      </c>
      <c r="F34" t="s">
        <v>8956</v>
      </c>
      <c r="G34" t="s">
        <v>3990</v>
      </c>
    </row>
    <row r="35" spans="1:7" x14ac:dyDescent="0.25">
      <c r="A35" t="s">
        <v>1443</v>
      </c>
      <c r="B35" t="s">
        <v>249</v>
      </c>
      <c r="C35">
        <v>2018</v>
      </c>
      <c r="E35" t="s">
        <v>3243</v>
      </c>
      <c r="F35" t="s">
        <v>8843</v>
      </c>
      <c r="G35" t="s">
        <v>3990</v>
      </c>
    </row>
    <row r="36" spans="1:7" x14ac:dyDescent="0.25">
      <c r="A36" t="s">
        <v>90</v>
      </c>
      <c r="B36" t="s">
        <v>249</v>
      </c>
      <c r="C36">
        <v>2017</v>
      </c>
      <c r="E36" t="s">
        <v>3243</v>
      </c>
      <c r="F36" t="s">
        <v>9070</v>
      </c>
      <c r="G36" t="s">
        <v>3990</v>
      </c>
    </row>
    <row r="37" spans="1:7" x14ac:dyDescent="0.25">
      <c r="A37" t="s">
        <v>759</v>
      </c>
      <c r="B37" t="s">
        <v>253</v>
      </c>
      <c r="C37">
        <v>2018</v>
      </c>
      <c r="E37" t="s">
        <v>3111</v>
      </c>
      <c r="F37" t="s">
        <v>8611</v>
      </c>
      <c r="G37" t="s">
        <v>3990</v>
      </c>
    </row>
    <row r="38" spans="1:7" x14ac:dyDescent="0.25">
      <c r="A38" t="s">
        <v>1294</v>
      </c>
      <c r="B38" t="s">
        <v>253</v>
      </c>
      <c r="C38">
        <v>2019</v>
      </c>
      <c r="E38" t="s">
        <v>3111</v>
      </c>
      <c r="F38" t="s">
        <v>8783</v>
      </c>
      <c r="G38" t="s">
        <v>3990</v>
      </c>
    </row>
    <row r="39" spans="1:7" x14ac:dyDescent="0.25">
      <c r="A39" t="s">
        <v>160</v>
      </c>
      <c r="B39" t="s">
        <v>253</v>
      </c>
      <c r="C39">
        <v>2011</v>
      </c>
      <c r="E39" t="s">
        <v>3111</v>
      </c>
      <c r="F39" t="s">
        <v>9253</v>
      </c>
      <c r="G39" t="s">
        <v>3990</v>
      </c>
    </row>
    <row r="40" spans="1:7" x14ac:dyDescent="0.25">
      <c r="A40" t="s">
        <v>1284</v>
      </c>
      <c r="B40" t="s">
        <v>256</v>
      </c>
      <c r="C40">
        <v>1984</v>
      </c>
      <c r="E40" t="s">
        <v>3218</v>
      </c>
      <c r="F40" t="s">
        <v>8776</v>
      </c>
      <c r="G40" t="s">
        <v>3990</v>
      </c>
    </row>
    <row r="41" spans="1:7" x14ac:dyDescent="0.25">
      <c r="A41" t="s">
        <v>1795</v>
      </c>
      <c r="B41" t="s">
        <v>256</v>
      </c>
      <c r="C41">
        <v>1987</v>
      </c>
      <c r="E41" s="10" t="s">
        <v>8396</v>
      </c>
      <c r="F41" t="s">
        <v>8921</v>
      </c>
      <c r="G41" t="s">
        <v>3990</v>
      </c>
    </row>
    <row r="42" spans="1:7" x14ac:dyDescent="0.25">
      <c r="A42" t="s">
        <v>2154</v>
      </c>
      <c r="B42" t="s">
        <v>256</v>
      </c>
      <c r="C42">
        <v>1980</v>
      </c>
      <c r="E42" s="10" t="s">
        <v>8396</v>
      </c>
      <c r="F42" t="s">
        <v>9021</v>
      </c>
      <c r="G42" t="s">
        <v>3990</v>
      </c>
    </row>
    <row r="43" spans="1:7" x14ac:dyDescent="0.25">
      <c r="A43" t="s">
        <v>1725</v>
      </c>
      <c r="B43" t="s">
        <v>260</v>
      </c>
      <c r="C43">
        <v>1983</v>
      </c>
      <c r="E43" t="s">
        <v>3267</v>
      </c>
      <c r="F43" t="s">
        <v>8911</v>
      </c>
      <c r="G43" t="s">
        <v>3990</v>
      </c>
    </row>
    <row r="44" spans="1:7" x14ac:dyDescent="0.25">
      <c r="A44" t="s">
        <v>746</v>
      </c>
      <c r="B44" t="s">
        <v>8103</v>
      </c>
      <c r="C44">
        <v>2015</v>
      </c>
      <c r="E44" s="10" t="s">
        <v>8115</v>
      </c>
      <c r="F44" t="s">
        <v>8588</v>
      </c>
      <c r="G44" t="s">
        <v>3990</v>
      </c>
    </row>
    <row r="45" spans="1:7" x14ac:dyDescent="0.25">
      <c r="A45" t="s">
        <v>1443</v>
      </c>
      <c r="B45" t="s">
        <v>8103</v>
      </c>
      <c r="C45">
        <v>2018</v>
      </c>
      <c r="E45" s="10" t="s">
        <v>8115</v>
      </c>
      <c r="F45" t="s">
        <v>8844</v>
      </c>
      <c r="G45" t="s">
        <v>3990</v>
      </c>
    </row>
    <row r="46" spans="1:7" x14ac:dyDescent="0.25">
      <c r="A46" t="s">
        <v>263</v>
      </c>
      <c r="B46" t="s">
        <v>268</v>
      </c>
      <c r="C46">
        <v>2022</v>
      </c>
      <c r="D46" t="s">
        <v>187</v>
      </c>
      <c r="F46" t="s">
        <v>9475</v>
      </c>
      <c r="G46" t="s">
        <v>3990</v>
      </c>
    </row>
    <row r="47" spans="1:7" x14ac:dyDescent="0.25">
      <c r="A47" t="s">
        <v>353</v>
      </c>
      <c r="B47" t="s">
        <v>270</v>
      </c>
      <c r="C47">
        <v>2023</v>
      </c>
      <c r="E47" s="10" t="s">
        <v>8350</v>
      </c>
      <c r="F47" t="s">
        <v>8493</v>
      </c>
      <c r="G47" t="s">
        <v>3990</v>
      </c>
    </row>
    <row r="48" spans="1:7" x14ac:dyDescent="0.25">
      <c r="A48" t="s">
        <v>1576</v>
      </c>
      <c r="B48" t="s">
        <v>270</v>
      </c>
      <c r="C48">
        <v>2021</v>
      </c>
      <c r="E48" s="10" t="s">
        <v>8350</v>
      </c>
      <c r="F48" t="s">
        <v>8872</v>
      </c>
      <c r="G48" t="s">
        <v>3990</v>
      </c>
    </row>
    <row r="49" spans="1:7" x14ac:dyDescent="0.25">
      <c r="A49" t="s">
        <v>1690</v>
      </c>
      <c r="B49" t="s">
        <v>270</v>
      </c>
      <c r="C49">
        <v>2020</v>
      </c>
      <c r="E49" s="10" t="s">
        <v>8350</v>
      </c>
      <c r="F49" t="s">
        <v>8899</v>
      </c>
      <c r="G49" t="s">
        <v>3990</v>
      </c>
    </row>
    <row r="50" spans="1:7" x14ac:dyDescent="0.25">
      <c r="A50" t="s">
        <v>90</v>
      </c>
      <c r="B50" t="s">
        <v>270</v>
      </c>
      <c r="C50">
        <v>2017</v>
      </c>
      <c r="E50" s="10" t="s">
        <v>8350</v>
      </c>
      <c r="F50" t="s">
        <v>9071</v>
      </c>
      <c r="G50" t="s">
        <v>3990</v>
      </c>
    </row>
    <row r="51" spans="1:7" x14ac:dyDescent="0.25">
      <c r="A51" t="s">
        <v>553</v>
      </c>
      <c r="B51" t="s">
        <v>273</v>
      </c>
      <c r="C51">
        <v>2010</v>
      </c>
      <c r="E51" t="s">
        <v>2982</v>
      </c>
      <c r="F51" t="s">
        <v>8566</v>
      </c>
      <c r="G51" t="s">
        <v>3990</v>
      </c>
    </row>
    <row r="52" spans="1:7" x14ac:dyDescent="0.25">
      <c r="A52" t="s">
        <v>1123</v>
      </c>
      <c r="B52" t="s">
        <v>276</v>
      </c>
      <c r="C52">
        <v>2020</v>
      </c>
      <c r="D52" t="s">
        <v>187</v>
      </c>
      <c r="F52" t="s">
        <v>9476</v>
      </c>
      <c r="G52" t="s">
        <v>3990</v>
      </c>
    </row>
    <row r="53" spans="1:7" x14ac:dyDescent="0.25">
      <c r="A53" t="s">
        <v>1443</v>
      </c>
      <c r="B53" t="s">
        <v>276</v>
      </c>
      <c r="C53">
        <v>2018</v>
      </c>
      <c r="E53" t="s">
        <v>3013</v>
      </c>
      <c r="F53" t="s">
        <v>9477</v>
      </c>
      <c r="G53" t="s">
        <v>187</v>
      </c>
    </row>
    <row r="54" spans="1:7" x14ac:dyDescent="0.25">
      <c r="A54" t="s">
        <v>1038</v>
      </c>
      <c r="B54" t="s">
        <v>281</v>
      </c>
      <c r="C54">
        <v>2023</v>
      </c>
      <c r="D54" t="s">
        <v>187</v>
      </c>
      <c r="F54" t="s">
        <v>9478</v>
      </c>
      <c r="G54" t="s">
        <v>3990</v>
      </c>
    </row>
    <row r="55" spans="1:7" x14ac:dyDescent="0.25">
      <c r="A55" t="s">
        <v>1144</v>
      </c>
      <c r="B55" t="s">
        <v>283</v>
      </c>
      <c r="C55">
        <v>2018</v>
      </c>
      <c r="E55" t="s">
        <v>3195</v>
      </c>
      <c r="F55" t="s">
        <v>8740</v>
      </c>
      <c r="G55" t="s">
        <v>3990</v>
      </c>
    </row>
    <row r="56" spans="1:7" x14ac:dyDescent="0.25">
      <c r="A56" t="s">
        <v>90</v>
      </c>
      <c r="B56" t="s">
        <v>283</v>
      </c>
      <c r="C56">
        <v>2017</v>
      </c>
      <c r="E56" t="s">
        <v>3195</v>
      </c>
      <c r="F56" t="s">
        <v>9072</v>
      </c>
      <c r="G56" t="s">
        <v>3990</v>
      </c>
    </row>
    <row r="57" spans="1:7" x14ac:dyDescent="0.25">
      <c r="A57" t="s">
        <v>873</v>
      </c>
      <c r="B57" t="s">
        <v>287</v>
      </c>
      <c r="C57">
        <v>2019</v>
      </c>
      <c r="E57" t="s">
        <v>3138</v>
      </c>
      <c r="F57" t="s">
        <v>9407</v>
      </c>
      <c r="G57" t="s">
        <v>3990</v>
      </c>
    </row>
    <row r="58" spans="1:7" x14ac:dyDescent="0.25">
      <c r="A58" t="s">
        <v>90</v>
      </c>
      <c r="B58" t="s">
        <v>287</v>
      </c>
      <c r="C58">
        <v>2017</v>
      </c>
      <c r="E58" t="s">
        <v>3138</v>
      </c>
      <c r="F58" t="s">
        <v>9408</v>
      </c>
      <c r="G58" t="s">
        <v>3990</v>
      </c>
    </row>
    <row r="59" spans="1:7" x14ac:dyDescent="0.25">
      <c r="A59" t="s">
        <v>2804</v>
      </c>
      <c r="B59" t="s">
        <v>290</v>
      </c>
      <c r="C59">
        <v>2021</v>
      </c>
      <c r="E59" t="s">
        <v>3013</v>
      </c>
      <c r="F59" t="s">
        <v>9479</v>
      </c>
      <c r="G59" t="s">
        <v>187</v>
      </c>
    </row>
    <row r="60" spans="1:7" x14ac:dyDescent="0.25">
      <c r="A60" t="s">
        <v>497</v>
      </c>
      <c r="B60" t="s">
        <v>294</v>
      </c>
      <c r="C60">
        <v>2022</v>
      </c>
      <c r="E60" t="s">
        <v>3065</v>
      </c>
      <c r="F60" t="s">
        <v>8545</v>
      </c>
      <c r="G60" t="s">
        <v>3990</v>
      </c>
    </row>
    <row r="61" spans="1:7" x14ac:dyDescent="0.25">
      <c r="A61" t="s">
        <v>847</v>
      </c>
      <c r="B61" t="s">
        <v>294</v>
      </c>
      <c r="C61">
        <v>1996</v>
      </c>
      <c r="E61" t="s">
        <v>3130</v>
      </c>
      <c r="F61" t="s">
        <v>8643</v>
      </c>
      <c r="G61" t="s">
        <v>3990</v>
      </c>
    </row>
    <row r="62" spans="1:7" x14ac:dyDescent="0.25">
      <c r="A62" t="s">
        <v>2804</v>
      </c>
      <c r="B62" t="s">
        <v>294</v>
      </c>
      <c r="C62">
        <v>2021</v>
      </c>
      <c r="E62" t="s">
        <v>3065</v>
      </c>
      <c r="F62" t="s">
        <v>9319</v>
      </c>
      <c r="G62" t="s">
        <v>3990</v>
      </c>
    </row>
    <row r="63" spans="1:7" x14ac:dyDescent="0.25">
      <c r="A63" t="s">
        <v>2804</v>
      </c>
      <c r="B63" t="s">
        <v>297</v>
      </c>
      <c r="C63">
        <v>2021</v>
      </c>
      <c r="E63" t="s">
        <v>2982</v>
      </c>
      <c r="F63" t="s">
        <v>9320</v>
      </c>
      <c r="G63" t="s">
        <v>3990</v>
      </c>
    </row>
    <row r="64" spans="1:7" x14ac:dyDescent="0.25">
      <c r="A64" t="s">
        <v>1951</v>
      </c>
      <c r="B64" t="s">
        <v>299</v>
      </c>
      <c r="C64">
        <v>2022</v>
      </c>
      <c r="E64" t="s">
        <v>3300</v>
      </c>
      <c r="F64" t="s">
        <v>8980</v>
      </c>
      <c r="G64" t="s">
        <v>3990</v>
      </c>
    </row>
    <row r="65" spans="1:7" x14ac:dyDescent="0.25">
      <c r="A65" t="s">
        <v>90</v>
      </c>
      <c r="B65" t="s">
        <v>299</v>
      </c>
      <c r="C65">
        <v>2017</v>
      </c>
      <c r="E65" t="s">
        <v>3300</v>
      </c>
      <c r="F65" t="s">
        <v>9073</v>
      </c>
      <c r="G65" t="s">
        <v>3990</v>
      </c>
    </row>
    <row r="66" spans="1:7" x14ac:dyDescent="0.25">
      <c r="A66" t="s">
        <v>746</v>
      </c>
      <c r="B66" t="s">
        <v>301</v>
      </c>
      <c r="C66">
        <v>2015</v>
      </c>
      <c r="D66" t="s">
        <v>3094</v>
      </c>
      <c r="E66" t="s">
        <v>3095</v>
      </c>
      <c r="F66" t="s">
        <v>8589</v>
      </c>
      <c r="G66" t="s">
        <v>3990</v>
      </c>
    </row>
    <row r="67" spans="1:7" x14ac:dyDescent="0.25">
      <c r="A67" t="s">
        <v>90</v>
      </c>
      <c r="B67" t="s">
        <v>301</v>
      </c>
      <c r="C67">
        <v>2017</v>
      </c>
      <c r="E67" t="s">
        <v>2982</v>
      </c>
      <c r="F67" t="s">
        <v>9074</v>
      </c>
      <c r="G67" t="s">
        <v>3990</v>
      </c>
    </row>
    <row r="68" spans="1:7" x14ac:dyDescent="0.25">
      <c r="A68" t="s">
        <v>1294</v>
      </c>
      <c r="B68" t="s">
        <v>303</v>
      </c>
      <c r="C68">
        <v>2019</v>
      </c>
      <c r="E68" t="s">
        <v>3223</v>
      </c>
      <c r="F68" t="s">
        <v>8784</v>
      </c>
      <c r="G68" t="s">
        <v>3990</v>
      </c>
    </row>
    <row r="69" spans="1:7" x14ac:dyDescent="0.25">
      <c r="A69" t="s">
        <v>2804</v>
      </c>
      <c r="B69" t="s">
        <v>303</v>
      </c>
      <c r="C69">
        <v>2021</v>
      </c>
      <c r="E69" t="s">
        <v>3013</v>
      </c>
      <c r="F69" t="s">
        <v>9480</v>
      </c>
      <c r="G69" t="s">
        <v>187</v>
      </c>
    </row>
    <row r="70" spans="1:7" x14ac:dyDescent="0.25">
      <c r="A70" t="s">
        <v>1046</v>
      </c>
      <c r="B70" t="s">
        <v>308</v>
      </c>
      <c r="C70">
        <v>2016</v>
      </c>
      <c r="E70" t="s">
        <v>3181</v>
      </c>
      <c r="F70" t="s">
        <v>9481</v>
      </c>
      <c r="G70" t="s">
        <v>187</v>
      </c>
    </row>
    <row r="71" spans="1:7" x14ac:dyDescent="0.25">
      <c r="A71" t="s">
        <v>160</v>
      </c>
      <c r="B71" t="s">
        <v>308</v>
      </c>
      <c r="C71">
        <v>2011</v>
      </c>
      <c r="E71" t="s">
        <v>3181</v>
      </c>
      <c r="F71" t="s">
        <v>9482</v>
      </c>
      <c r="G71" t="s">
        <v>187</v>
      </c>
    </row>
    <row r="72" spans="1:7" x14ac:dyDescent="0.25">
      <c r="A72" t="s">
        <v>574</v>
      </c>
      <c r="B72" t="s">
        <v>310</v>
      </c>
      <c r="C72">
        <v>2019</v>
      </c>
      <c r="E72" t="s">
        <v>3077</v>
      </c>
      <c r="F72" t="s">
        <v>8567</v>
      </c>
      <c r="G72" t="s">
        <v>3990</v>
      </c>
    </row>
    <row r="73" spans="1:7" x14ac:dyDescent="0.25">
      <c r="A73" t="s">
        <v>737</v>
      </c>
      <c r="B73" t="s">
        <v>310</v>
      </c>
      <c r="C73">
        <v>2019</v>
      </c>
      <c r="D73" t="s">
        <v>187</v>
      </c>
      <c r="E73" t="s">
        <v>3077</v>
      </c>
      <c r="F73" t="s">
        <v>8586</v>
      </c>
      <c r="G73" t="s">
        <v>3990</v>
      </c>
    </row>
    <row r="74" spans="1:7" x14ac:dyDescent="0.25">
      <c r="A74" t="s">
        <v>759</v>
      </c>
      <c r="B74" t="s">
        <v>310</v>
      </c>
      <c r="C74">
        <v>2018</v>
      </c>
      <c r="E74" t="s">
        <v>3077</v>
      </c>
      <c r="F74" t="s">
        <v>8612</v>
      </c>
      <c r="G74" t="s">
        <v>3990</v>
      </c>
    </row>
    <row r="75" spans="1:7" x14ac:dyDescent="0.25">
      <c r="A75" t="s">
        <v>1294</v>
      </c>
      <c r="B75" t="s">
        <v>310</v>
      </c>
      <c r="C75">
        <v>2019</v>
      </c>
      <c r="E75" t="s">
        <v>3077</v>
      </c>
      <c r="F75" t="s">
        <v>8785</v>
      </c>
      <c r="G75" t="s">
        <v>3990</v>
      </c>
    </row>
    <row r="76" spans="1:7" x14ac:dyDescent="0.25">
      <c r="A76" t="s">
        <v>90</v>
      </c>
      <c r="B76" t="s">
        <v>310</v>
      </c>
      <c r="C76">
        <v>2017</v>
      </c>
      <c r="E76" t="s">
        <v>3341</v>
      </c>
      <c r="F76" t="s">
        <v>9483</v>
      </c>
      <c r="G76" t="s">
        <v>3990</v>
      </c>
    </row>
    <row r="77" spans="1:7" x14ac:dyDescent="0.25">
      <c r="A77" t="s">
        <v>2906</v>
      </c>
      <c r="B77" t="s">
        <v>310</v>
      </c>
      <c r="C77">
        <v>2018</v>
      </c>
      <c r="E77" t="s">
        <v>3077</v>
      </c>
      <c r="F77" t="s">
        <v>9363</v>
      </c>
      <c r="G77" t="s">
        <v>3990</v>
      </c>
    </row>
    <row r="78" spans="1:7" x14ac:dyDescent="0.25">
      <c r="A78" t="s">
        <v>90</v>
      </c>
      <c r="B78" t="s">
        <v>314</v>
      </c>
      <c r="C78">
        <v>2017</v>
      </c>
      <c r="E78" t="s">
        <v>3342</v>
      </c>
      <c r="F78" t="s">
        <v>9075</v>
      </c>
      <c r="G78" t="s">
        <v>3990</v>
      </c>
    </row>
    <row r="79" spans="1:7" x14ac:dyDescent="0.25">
      <c r="A79" t="s">
        <v>497</v>
      </c>
      <c r="B79" t="s">
        <v>319</v>
      </c>
      <c r="C79">
        <v>2022</v>
      </c>
      <c r="E79" t="s">
        <v>2982</v>
      </c>
      <c r="F79" t="s">
        <v>8546</v>
      </c>
      <c r="G79" t="s">
        <v>3990</v>
      </c>
    </row>
    <row r="80" spans="1:7" x14ac:dyDescent="0.25">
      <c r="A80" t="s">
        <v>1046</v>
      </c>
      <c r="B80" t="s">
        <v>319</v>
      </c>
      <c r="C80">
        <v>2016</v>
      </c>
      <c r="E80" t="s">
        <v>2982</v>
      </c>
      <c r="F80" t="s">
        <v>8713</v>
      </c>
      <c r="G80" t="s">
        <v>3990</v>
      </c>
    </row>
    <row r="81" spans="1:7" x14ac:dyDescent="0.25">
      <c r="A81" t="s">
        <v>1594</v>
      </c>
      <c r="B81" t="s">
        <v>319</v>
      </c>
      <c r="C81">
        <v>2023</v>
      </c>
      <c r="E81" t="s">
        <v>2982</v>
      </c>
      <c r="F81" t="s">
        <v>8896</v>
      </c>
      <c r="G81" t="s">
        <v>3990</v>
      </c>
    </row>
    <row r="82" spans="1:7" x14ac:dyDescent="0.25">
      <c r="A82" t="s">
        <v>1855</v>
      </c>
      <c r="B82" t="s">
        <v>319</v>
      </c>
      <c r="C82">
        <v>2015</v>
      </c>
      <c r="E82" t="s">
        <v>2982</v>
      </c>
      <c r="F82" t="s">
        <v>8957</v>
      </c>
      <c r="G82" t="s">
        <v>3990</v>
      </c>
    </row>
    <row r="83" spans="1:7" x14ac:dyDescent="0.25">
      <c r="A83" t="s">
        <v>2804</v>
      </c>
      <c r="B83" t="s">
        <v>319</v>
      </c>
      <c r="C83">
        <v>2021</v>
      </c>
      <c r="E83" t="s">
        <v>2982</v>
      </c>
      <c r="F83" t="s">
        <v>9321</v>
      </c>
      <c r="G83" t="s">
        <v>3990</v>
      </c>
    </row>
    <row r="84" spans="1:7" x14ac:dyDescent="0.25">
      <c r="A84" t="s">
        <v>1155</v>
      </c>
      <c r="B84" t="s">
        <v>327</v>
      </c>
      <c r="C84">
        <v>2010</v>
      </c>
      <c r="D84" t="s">
        <v>187</v>
      </c>
      <c r="F84" t="s">
        <v>9484</v>
      </c>
      <c r="G84" t="s">
        <v>3990</v>
      </c>
    </row>
    <row r="85" spans="1:7" x14ac:dyDescent="0.25">
      <c r="A85" t="s">
        <v>759</v>
      </c>
      <c r="B85" t="s">
        <v>330</v>
      </c>
      <c r="C85">
        <v>2018</v>
      </c>
      <c r="E85" t="s">
        <v>3112</v>
      </c>
      <c r="F85" t="s">
        <v>8613</v>
      </c>
      <c r="G85" t="s">
        <v>3990</v>
      </c>
    </row>
    <row r="86" spans="1:7" x14ac:dyDescent="0.25">
      <c r="A86" t="s">
        <v>1046</v>
      </c>
      <c r="B86" t="s">
        <v>333</v>
      </c>
      <c r="C86">
        <v>2016</v>
      </c>
      <c r="E86" t="s">
        <v>3182</v>
      </c>
      <c r="F86" t="s">
        <v>8714</v>
      </c>
      <c r="G86" t="s">
        <v>3990</v>
      </c>
    </row>
    <row r="87" spans="1:7" x14ac:dyDescent="0.25">
      <c r="A87" t="s">
        <v>1855</v>
      </c>
      <c r="B87" t="s">
        <v>333</v>
      </c>
      <c r="C87">
        <v>2015</v>
      </c>
      <c r="E87" t="s">
        <v>3182</v>
      </c>
      <c r="F87" t="s">
        <v>8958</v>
      </c>
      <c r="G87" t="s">
        <v>3990</v>
      </c>
    </row>
    <row r="88" spans="1:7" x14ac:dyDescent="0.25">
      <c r="A88" t="s">
        <v>90</v>
      </c>
      <c r="B88" t="s">
        <v>333</v>
      </c>
      <c r="C88">
        <v>2017</v>
      </c>
      <c r="E88" t="s">
        <v>3182</v>
      </c>
      <c r="F88" t="s">
        <v>9076</v>
      </c>
      <c r="G88" t="s">
        <v>3990</v>
      </c>
    </row>
    <row r="89" spans="1:7" x14ac:dyDescent="0.25">
      <c r="A89" t="s">
        <v>178</v>
      </c>
      <c r="B89" t="s">
        <v>337</v>
      </c>
      <c r="C89">
        <v>2010</v>
      </c>
      <c r="D89" t="s">
        <v>187</v>
      </c>
      <c r="F89" t="s">
        <v>9485</v>
      </c>
      <c r="G89" t="s">
        <v>3990</v>
      </c>
    </row>
    <row r="90" spans="1:7" x14ac:dyDescent="0.25">
      <c r="A90" t="s">
        <v>2721</v>
      </c>
      <c r="B90" t="s">
        <v>341</v>
      </c>
      <c r="C90">
        <v>1993</v>
      </c>
      <c r="E90" t="s">
        <v>3013</v>
      </c>
      <c r="F90" t="s">
        <v>9486</v>
      </c>
      <c r="G90" t="s">
        <v>187</v>
      </c>
    </row>
    <row r="91" spans="1:7" x14ac:dyDescent="0.25">
      <c r="A91" t="s">
        <v>346</v>
      </c>
      <c r="B91" t="s">
        <v>344</v>
      </c>
      <c r="C91">
        <v>2022</v>
      </c>
      <c r="E91" t="s">
        <v>3015</v>
      </c>
      <c r="F91" t="s">
        <v>8485</v>
      </c>
      <c r="G91" t="s">
        <v>3990</v>
      </c>
    </row>
    <row r="92" spans="1:7" x14ac:dyDescent="0.25">
      <c r="A92" t="s">
        <v>2506</v>
      </c>
      <c r="B92" t="s">
        <v>344</v>
      </c>
      <c r="C92">
        <v>2021</v>
      </c>
      <c r="E92" t="s">
        <v>2982</v>
      </c>
      <c r="F92" t="s">
        <v>9227</v>
      </c>
      <c r="G92" t="s">
        <v>3990</v>
      </c>
    </row>
    <row r="93" spans="1:7" x14ac:dyDescent="0.25">
      <c r="A93" t="s">
        <v>873</v>
      </c>
      <c r="B93" t="s">
        <v>346</v>
      </c>
      <c r="C93">
        <v>2019</v>
      </c>
      <c r="E93" t="s">
        <v>2982</v>
      </c>
      <c r="F93" t="s">
        <v>8662</v>
      </c>
      <c r="G93" t="s">
        <v>3990</v>
      </c>
    </row>
    <row r="94" spans="1:7" x14ac:dyDescent="0.25">
      <c r="A94" t="s">
        <v>1435</v>
      </c>
      <c r="B94" t="s">
        <v>346</v>
      </c>
      <c r="C94">
        <v>2021</v>
      </c>
      <c r="E94" t="s">
        <v>2982</v>
      </c>
      <c r="F94" t="s">
        <v>8831</v>
      </c>
      <c r="G94" t="s">
        <v>3990</v>
      </c>
    </row>
    <row r="95" spans="1:7" x14ac:dyDescent="0.25">
      <c r="A95" t="s">
        <v>1443</v>
      </c>
      <c r="B95" t="s">
        <v>346</v>
      </c>
      <c r="C95">
        <v>2018</v>
      </c>
      <c r="E95" t="s">
        <v>3244</v>
      </c>
      <c r="F95" t="s">
        <v>8845</v>
      </c>
      <c r="G95" t="s">
        <v>3990</v>
      </c>
    </row>
    <row r="96" spans="1:7" x14ac:dyDescent="0.25">
      <c r="A96" t="s">
        <v>1576</v>
      </c>
      <c r="B96" t="s">
        <v>346</v>
      </c>
      <c r="C96">
        <v>2021</v>
      </c>
      <c r="E96" t="s">
        <v>2982</v>
      </c>
      <c r="F96" t="s">
        <v>8873</v>
      </c>
      <c r="G96" t="s">
        <v>3990</v>
      </c>
    </row>
    <row r="97" spans="1:7" x14ac:dyDescent="0.25">
      <c r="A97" t="s">
        <v>90</v>
      </c>
      <c r="B97" t="s">
        <v>346</v>
      </c>
      <c r="C97">
        <v>2017</v>
      </c>
      <c r="E97" t="s">
        <v>3244</v>
      </c>
      <c r="F97" t="s">
        <v>9077</v>
      </c>
      <c r="G97" t="s">
        <v>3990</v>
      </c>
    </row>
    <row r="98" spans="1:7" x14ac:dyDescent="0.25">
      <c r="A98" t="s">
        <v>1576</v>
      </c>
      <c r="B98" t="s">
        <v>353</v>
      </c>
      <c r="C98">
        <v>2021</v>
      </c>
      <c r="E98" t="s">
        <v>3258</v>
      </c>
      <c r="F98" t="s">
        <v>8874</v>
      </c>
      <c r="G98" t="s">
        <v>3990</v>
      </c>
    </row>
    <row r="99" spans="1:7" x14ac:dyDescent="0.25">
      <c r="A99" t="s">
        <v>90</v>
      </c>
      <c r="B99" t="s">
        <v>353</v>
      </c>
      <c r="C99">
        <v>2017</v>
      </c>
      <c r="E99" s="10" t="s">
        <v>9960</v>
      </c>
      <c r="F99" t="s">
        <v>9961</v>
      </c>
      <c r="G99" t="s">
        <v>3990</v>
      </c>
    </row>
    <row r="100" spans="1:7" x14ac:dyDescent="0.25">
      <c r="A100" t="s">
        <v>2706</v>
      </c>
      <c r="B100" t="s">
        <v>358</v>
      </c>
      <c r="C100">
        <v>1991</v>
      </c>
      <c r="E100" s="10" t="s">
        <v>3414</v>
      </c>
      <c r="F100" t="s">
        <v>9409</v>
      </c>
      <c r="G100" t="s">
        <v>3990</v>
      </c>
    </row>
    <row r="101" spans="1:7" x14ac:dyDescent="0.25">
      <c r="A101" t="s">
        <v>811</v>
      </c>
      <c r="B101" t="s">
        <v>360</v>
      </c>
      <c r="C101">
        <v>2024</v>
      </c>
      <c r="E101" t="s">
        <v>7645</v>
      </c>
      <c r="F101" t="s">
        <v>8636</v>
      </c>
      <c r="G101" t="s">
        <v>3990</v>
      </c>
    </row>
    <row r="102" spans="1:7" x14ac:dyDescent="0.25">
      <c r="A102" t="s">
        <v>2804</v>
      </c>
      <c r="B102" t="s">
        <v>360</v>
      </c>
      <c r="C102">
        <v>2021</v>
      </c>
      <c r="E102" t="s">
        <v>7645</v>
      </c>
      <c r="F102" t="s">
        <v>9322</v>
      </c>
      <c r="G102" t="s">
        <v>3990</v>
      </c>
    </row>
    <row r="103" spans="1:7" x14ac:dyDescent="0.25">
      <c r="A103" t="s">
        <v>1576</v>
      </c>
      <c r="B103" t="s">
        <v>364</v>
      </c>
      <c r="C103">
        <v>2021</v>
      </c>
      <c r="E103" t="s">
        <v>2982</v>
      </c>
      <c r="F103" t="s">
        <v>8875</v>
      </c>
      <c r="G103" t="s">
        <v>3990</v>
      </c>
    </row>
    <row r="104" spans="1:7" x14ac:dyDescent="0.25">
      <c r="A104" t="s">
        <v>90</v>
      </c>
      <c r="B104" t="s">
        <v>368</v>
      </c>
      <c r="C104">
        <v>2017</v>
      </c>
      <c r="E104" t="s">
        <v>3013</v>
      </c>
      <c r="F104" t="s">
        <v>9487</v>
      </c>
      <c r="G104" t="s">
        <v>187</v>
      </c>
    </row>
    <row r="105" spans="1:7" x14ac:dyDescent="0.25">
      <c r="A105" t="s">
        <v>346</v>
      </c>
      <c r="B105" t="s">
        <v>372</v>
      </c>
      <c r="C105">
        <v>2022</v>
      </c>
      <c r="E105" t="s">
        <v>3016</v>
      </c>
      <c r="F105" t="s">
        <v>8486</v>
      </c>
      <c r="G105" t="s">
        <v>3990</v>
      </c>
    </row>
    <row r="106" spans="1:7" x14ac:dyDescent="0.25">
      <c r="A106" t="s">
        <v>90</v>
      </c>
      <c r="B106" t="s">
        <v>372</v>
      </c>
      <c r="C106">
        <v>2017</v>
      </c>
      <c r="E106" t="s">
        <v>3016</v>
      </c>
      <c r="F106" t="s">
        <v>9078</v>
      </c>
      <c r="G106" t="s">
        <v>3990</v>
      </c>
    </row>
    <row r="107" spans="1:7" x14ac:dyDescent="0.25">
      <c r="A107" t="s">
        <v>1795</v>
      </c>
      <c r="B107" t="s">
        <v>375</v>
      </c>
      <c r="C107">
        <v>1987</v>
      </c>
      <c r="E107" t="s">
        <v>3273</v>
      </c>
      <c r="F107" t="s">
        <v>8922</v>
      </c>
      <c r="G107" t="s">
        <v>3990</v>
      </c>
    </row>
    <row r="108" spans="1:7" x14ac:dyDescent="0.25">
      <c r="A108" t="s">
        <v>2428</v>
      </c>
      <c r="B108" t="s">
        <v>375</v>
      </c>
      <c r="C108">
        <v>2008</v>
      </c>
      <c r="E108" t="s">
        <v>3273</v>
      </c>
      <c r="F108" t="s">
        <v>9190</v>
      </c>
      <c r="G108" t="s">
        <v>3990</v>
      </c>
    </row>
    <row r="109" spans="1:7" x14ac:dyDescent="0.25">
      <c r="A109" t="s">
        <v>2154</v>
      </c>
      <c r="B109" t="s">
        <v>379</v>
      </c>
      <c r="C109">
        <v>1980</v>
      </c>
      <c r="E109" s="10" t="s">
        <v>8424</v>
      </c>
      <c r="F109" t="s">
        <v>8425</v>
      </c>
      <c r="G109" t="s">
        <v>3990</v>
      </c>
    </row>
    <row r="110" spans="1:7" x14ac:dyDescent="0.25">
      <c r="A110" t="s">
        <v>2721</v>
      </c>
      <c r="B110" t="s">
        <v>379</v>
      </c>
      <c r="C110">
        <v>1993</v>
      </c>
      <c r="E110" s="10" t="s">
        <v>8424</v>
      </c>
      <c r="F110" t="s">
        <v>8423</v>
      </c>
      <c r="G110" t="s">
        <v>3990</v>
      </c>
    </row>
    <row r="111" spans="1:7" x14ac:dyDescent="0.25">
      <c r="A111" t="s">
        <v>379</v>
      </c>
      <c r="B111" t="s">
        <v>381</v>
      </c>
      <c r="C111">
        <v>1998</v>
      </c>
      <c r="D111" t="s">
        <v>187</v>
      </c>
      <c r="F111" t="s">
        <v>9488</v>
      </c>
      <c r="G111" t="s">
        <v>3990</v>
      </c>
    </row>
    <row r="112" spans="1:7" x14ac:dyDescent="0.25">
      <c r="A112" t="s">
        <v>1863</v>
      </c>
      <c r="B112" t="s">
        <v>7939</v>
      </c>
      <c r="C112">
        <v>2026</v>
      </c>
      <c r="E112" t="s">
        <v>2982</v>
      </c>
      <c r="F112" t="s">
        <v>8975</v>
      </c>
      <c r="G112" t="s">
        <v>3990</v>
      </c>
    </row>
    <row r="113" spans="1:7" x14ac:dyDescent="0.25">
      <c r="A113" t="s">
        <v>2594</v>
      </c>
      <c r="B113" t="s">
        <v>7939</v>
      </c>
      <c r="C113">
        <v>2019</v>
      </c>
      <c r="E113" t="s">
        <v>2982</v>
      </c>
      <c r="F113" t="s">
        <v>9243</v>
      </c>
      <c r="G113" t="s">
        <v>3990</v>
      </c>
    </row>
    <row r="114" spans="1:7" x14ac:dyDescent="0.25">
      <c r="A114" t="s">
        <v>2614</v>
      </c>
      <c r="B114" t="s">
        <v>7939</v>
      </c>
      <c r="C114">
        <v>2025</v>
      </c>
      <c r="E114" s="10" t="s">
        <v>7938</v>
      </c>
      <c r="F114" t="s">
        <v>9249</v>
      </c>
      <c r="G114" t="s">
        <v>3990</v>
      </c>
    </row>
    <row r="115" spans="1:7" x14ac:dyDescent="0.25">
      <c r="A115" t="s">
        <v>759</v>
      </c>
      <c r="B115" t="s">
        <v>387</v>
      </c>
      <c r="C115">
        <v>2018</v>
      </c>
      <c r="E115" t="s">
        <v>3113</v>
      </c>
      <c r="F115" t="s">
        <v>8614</v>
      </c>
      <c r="G115" t="s">
        <v>3990</v>
      </c>
    </row>
    <row r="116" spans="1:7" x14ac:dyDescent="0.25">
      <c r="A116" t="s">
        <v>1294</v>
      </c>
      <c r="B116" t="s">
        <v>387</v>
      </c>
      <c r="C116">
        <v>2019</v>
      </c>
      <c r="E116" t="s">
        <v>3113</v>
      </c>
      <c r="F116" t="s">
        <v>8786</v>
      </c>
      <c r="G116" t="s">
        <v>3990</v>
      </c>
    </row>
    <row r="117" spans="1:7" x14ac:dyDescent="0.25">
      <c r="A117" t="s">
        <v>353</v>
      </c>
      <c r="B117" t="s">
        <v>391</v>
      </c>
      <c r="C117">
        <v>2023</v>
      </c>
      <c r="E117" t="s">
        <v>3018</v>
      </c>
      <c r="F117" t="s">
        <v>9489</v>
      </c>
      <c r="G117" t="s">
        <v>187</v>
      </c>
    </row>
    <row r="118" spans="1:7" x14ac:dyDescent="0.25">
      <c r="A118" t="s">
        <v>457</v>
      </c>
      <c r="B118" t="s">
        <v>394</v>
      </c>
      <c r="C118">
        <v>2022</v>
      </c>
      <c r="E118" s="10" t="s">
        <v>3056</v>
      </c>
      <c r="F118" t="s">
        <v>10011</v>
      </c>
      <c r="G118" t="s">
        <v>3990</v>
      </c>
    </row>
    <row r="119" spans="1:7" x14ac:dyDescent="0.25">
      <c r="A119" t="s">
        <v>778</v>
      </c>
      <c r="B119" t="s">
        <v>394</v>
      </c>
      <c r="C119">
        <v>2023</v>
      </c>
      <c r="E119" s="10" t="s">
        <v>3056</v>
      </c>
      <c r="F119" t="s">
        <v>10011</v>
      </c>
      <c r="G119" t="s">
        <v>3990</v>
      </c>
    </row>
    <row r="120" spans="1:7" x14ac:dyDescent="0.25">
      <c r="A120" t="s">
        <v>1302</v>
      </c>
      <c r="B120" t="s">
        <v>394</v>
      </c>
      <c r="C120">
        <v>2023</v>
      </c>
      <c r="E120" s="10" t="s">
        <v>3056</v>
      </c>
      <c r="F120" t="s">
        <v>10011</v>
      </c>
      <c r="G120" t="s">
        <v>3990</v>
      </c>
    </row>
    <row r="121" spans="1:7" x14ac:dyDescent="0.25">
      <c r="A121" t="s">
        <v>1779</v>
      </c>
      <c r="B121" t="s">
        <v>394</v>
      </c>
      <c r="C121">
        <v>2022</v>
      </c>
      <c r="E121" s="10" t="s">
        <v>3056</v>
      </c>
      <c r="F121" t="s">
        <v>10011</v>
      </c>
      <c r="G121" t="s">
        <v>3990</v>
      </c>
    </row>
    <row r="122" spans="1:7" x14ac:dyDescent="0.25">
      <c r="A122" t="s">
        <v>2675</v>
      </c>
      <c r="B122" t="s">
        <v>394</v>
      </c>
      <c r="C122">
        <v>2022</v>
      </c>
      <c r="E122" s="10" t="s">
        <v>3056</v>
      </c>
      <c r="F122" t="s">
        <v>10011</v>
      </c>
      <c r="G122" t="s">
        <v>3990</v>
      </c>
    </row>
    <row r="123" spans="1:7" x14ac:dyDescent="0.25">
      <c r="A123" t="s">
        <v>2804</v>
      </c>
      <c r="B123" t="s">
        <v>394</v>
      </c>
      <c r="C123">
        <v>2021</v>
      </c>
      <c r="E123" s="10" t="s">
        <v>3056</v>
      </c>
      <c r="F123" t="s">
        <v>9490</v>
      </c>
      <c r="G123" t="s">
        <v>3990</v>
      </c>
    </row>
    <row r="124" spans="1:7" x14ac:dyDescent="0.25">
      <c r="A124" t="s">
        <v>643</v>
      </c>
      <c r="B124" t="s">
        <v>403</v>
      </c>
      <c r="C124">
        <v>2020</v>
      </c>
      <c r="D124" t="s">
        <v>187</v>
      </c>
      <c r="F124" t="s">
        <v>9491</v>
      </c>
      <c r="G124" t="s">
        <v>3990</v>
      </c>
    </row>
    <row r="125" spans="1:7" x14ac:dyDescent="0.25">
      <c r="A125" t="s">
        <v>90</v>
      </c>
      <c r="B125" t="s">
        <v>403</v>
      </c>
      <c r="C125">
        <v>2017</v>
      </c>
      <c r="E125" t="s">
        <v>3343</v>
      </c>
      <c r="F125" t="s">
        <v>9079</v>
      </c>
      <c r="G125" t="s">
        <v>3990</v>
      </c>
    </row>
    <row r="126" spans="1:7" x14ac:dyDescent="0.25">
      <c r="A126" t="s">
        <v>90</v>
      </c>
      <c r="B126" t="s">
        <v>411</v>
      </c>
      <c r="C126">
        <v>2017</v>
      </c>
      <c r="E126" t="s">
        <v>3344</v>
      </c>
      <c r="F126" t="s">
        <v>9080</v>
      </c>
      <c r="G126" t="s">
        <v>3990</v>
      </c>
    </row>
    <row r="127" spans="1:7" x14ac:dyDescent="0.25">
      <c r="A127" t="s">
        <v>1046</v>
      </c>
      <c r="B127" t="s">
        <v>415</v>
      </c>
      <c r="C127">
        <v>2016</v>
      </c>
      <c r="E127" t="s">
        <v>3183</v>
      </c>
      <c r="F127" t="s">
        <v>9411</v>
      </c>
      <c r="G127" t="s">
        <v>3990</v>
      </c>
    </row>
    <row r="128" spans="1:7" x14ac:dyDescent="0.25">
      <c r="A128" t="s">
        <v>1144</v>
      </c>
      <c r="B128" t="s">
        <v>415</v>
      </c>
      <c r="C128">
        <v>2012</v>
      </c>
      <c r="E128" s="10" t="s">
        <v>9392</v>
      </c>
      <c r="F128" t="s">
        <v>9394</v>
      </c>
      <c r="G128" t="s">
        <v>3990</v>
      </c>
    </row>
    <row r="129" spans="1:7" x14ac:dyDescent="0.25">
      <c r="A129" t="s">
        <v>1294</v>
      </c>
      <c r="B129" t="s">
        <v>415</v>
      </c>
      <c r="C129">
        <v>2019</v>
      </c>
      <c r="E129" s="10" t="s">
        <v>9392</v>
      </c>
      <c r="F129" t="s">
        <v>9393</v>
      </c>
      <c r="G129" t="s">
        <v>3990</v>
      </c>
    </row>
    <row r="130" spans="1:7" x14ac:dyDescent="0.25">
      <c r="A130" t="s">
        <v>160</v>
      </c>
      <c r="B130" t="s">
        <v>415</v>
      </c>
      <c r="C130">
        <v>2011</v>
      </c>
      <c r="E130" t="s">
        <v>3183</v>
      </c>
      <c r="F130" t="s">
        <v>9410</v>
      </c>
      <c r="G130" t="s">
        <v>3990</v>
      </c>
    </row>
    <row r="131" spans="1:7" x14ac:dyDescent="0.25">
      <c r="A131" t="s">
        <v>353</v>
      </c>
      <c r="B131" t="s">
        <v>419</v>
      </c>
      <c r="C131">
        <v>2023</v>
      </c>
      <c r="E131" t="s">
        <v>3019</v>
      </c>
      <c r="F131" t="s">
        <v>8494</v>
      </c>
      <c r="G131" t="s">
        <v>3990</v>
      </c>
    </row>
    <row r="132" spans="1:7" x14ac:dyDescent="0.25">
      <c r="A132" t="s">
        <v>353</v>
      </c>
      <c r="B132" t="s">
        <v>421</v>
      </c>
      <c r="C132">
        <v>2023</v>
      </c>
      <c r="E132" t="s">
        <v>2982</v>
      </c>
      <c r="F132" t="s">
        <v>8495</v>
      </c>
      <c r="G132" t="s">
        <v>3990</v>
      </c>
    </row>
    <row r="133" spans="1:7" x14ac:dyDescent="0.25">
      <c r="A133" t="s">
        <v>1576</v>
      </c>
      <c r="B133" t="s">
        <v>421</v>
      </c>
      <c r="C133">
        <v>2021</v>
      </c>
      <c r="E133" t="s">
        <v>2982</v>
      </c>
      <c r="F133" t="s">
        <v>8876</v>
      </c>
      <c r="G133" t="s">
        <v>3990</v>
      </c>
    </row>
    <row r="134" spans="1:7" x14ac:dyDescent="0.25">
      <c r="A134" t="s">
        <v>2324</v>
      </c>
      <c r="B134" t="s">
        <v>421</v>
      </c>
      <c r="C134">
        <v>2022</v>
      </c>
      <c r="E134" t="s">
        <v>2982</v>
      </c>
      <c r="F134" t="s">
        <v>9065</v>
      </c>
      <c r="G134" t="s">
        <v>3990</v>
      </c>
    </row>
    <row r="135" spans="1:7" x14ac:dyDescent="0.25">
      <c r="A135" t="s">
        <v>2804</v>
      </c>
      <c r="B135" t="s">
        <v>425</v>
      </c>
      <c r="C135">
        <v>2021</v>
      </c>
      <c r="E135" t="s">
        <v>3013</v>
      </c>
      <c r="F135" t="s">
        <v>9492</v>
      </c>
      <c r="G135" t="s">
        <v>187</v>
      </c>
    </row>
    <row r="136" spans="1:7" x14ac:dyDescent="0.25">
      <c r="A136" t="s">
        <v>353</v>
      </c>
      <c r="B136" t="s">
        <v>428</v>
      </c>
      <c r="C136">
        <v>2023</v>
      </c>
      <c r="E136" t="s">
        <v>3020</v>
      </c>
      <c r="F136" t="s">
        <v>10012</v>
      </c>
      <c r="G136" t="s">
        <v>3990</v>
      </c>
    </row>
    <row r="137" spans="1:7" x14ac:dyDescent="0.25">
      <c r="A137" t="s">
        <v>1294</v>
      </c>
      <c r="B137" t="s">
        <v>428</v>
      </c>
      <c r="C137">
        <v>2019</v>
      </c>
      <c r="E137" t="s">
        <v>3020</v>
      </c>
      <c r="F137" t="s">
        <v>9493</v>
      </c>
      <c r="G137" t="s">
        <v>3990</v>
      </c>
    </row>
    <row r="138" spans="1:7" x14ac:dyDescent="0.25">
      <c r="A138" t="s">
        <v>1435</v>
      </c>
      <c r="B138" t="s">
        <v>428</v>
      </c>
      <c r="C138">
        <v>2021</v>
      </c>
      <c r="E138" t="s">
        <v>3020</v>
      </c>
      <c r="F138" t="s">
        <v>10012</v>
      </c>
      <c r="G138" t="s">
        <v>3990</v>
      </c>
    </row>
    <row r="139" spans="1:7" x14ac:dyDescent="0.25">
      <c r="A139" t="s">
        <v>90</v>
      </c>
      <c r="B139" t="s">
        <v>428</v>
      </c>
      <c r="C139">
        <v>2017</v>
      </c>
      <c r="E139" t="s">
        <v>3020</v>
      </c>
      <c r="F139" t="s">
        <v>9494</v>
      </c>
      <c r="G139" t="s">
        <v>3990</v>
      </c>
    </row>
    <row r="140" spans="1:7" x14ac:dyDescent="0.25">
      <c r="A140" t="s">
        <v>2804</v>
      </c>
      <c r="B140" t="s">
        <v>428</v>
      </c>
      <c r="C140">
        <v>2021</v>
      </c>
      <c r="E140" t="s">
        <v>3020</v>
      </c>
      <c r="F140" t="s">
        <v>9495</v>
      </c>
      <c r="G140" t="s">
        <v>3990</v>
      </c>
    </row>
    <row r="141" spans="1:7" x14ac:dyDescent="0.25">
      <c r="A141" t="s">
        <v>1855</v>
      </c>
      <c r="B141" t="s">
        <v>431</v>
      </c>
      <c r="C141">
        <v>2015</v>
      </c>
      <c r="E141" t="s">
        <v>2982</v>
      </c>
      <c r="F141" t="s">
        <v>8959</v>
      </c>
      <c r="G141" t="s">
        <v>3990</v>
      </c>
    </row>
    <row r="142" spans="1:7" x14ac:dyDescent="0.25">
      <c r="A142" t="s">
        <v>2428</v>
      </c>
      <c r="B142" t="s">
        <v>431</v>
      </c>
      <c r="C142">
        <v>2008</v>
      </c>
      <c r="E142" t="s">
        <v>2982</v>
      </c>
      <c r="F142" t="s">
        <v>9191</v>
      </c>
      <c r="G142" t="s">
        <v>3990</v>
      </c>
    </row>
    <row r="143" spans="1:7" x14ac:dyDescent="0.25">
      <c r="A143" t="s">
        <v>160</v>
      </c>
      <c r="B143" t="s">
        <v>431</v>
      </c>
      <c r="C143">
        <v>2011</v>
      </c>
      <c r="E143" t="s">
        <v>2982</v>
      </c>
      <c r="F143" t="s">
        <v>9254</v>
      </c>
      <c r="G143" t="s">
        <v>3990</v>
      </c>
    </row>
    <row r="144" spans="1:7" x14ac:dyDescent="0.25">
      <c r="A144" t="s">
        <v>439</v>
      </c>
      <c r="B144" t="s">
        <v>443</v>
      </c>
      <c r="C144">
        <v>2023</v>
      </c>
      <c r="D144" t="s">
        <v>187</v>
      </c>
      <c r="F144" t="s">
        <v>9496</v>
      </c>
      <c r="G144" t="s">
        <v>3990</v>
      </c>
    </row>
    <row r="145" spans="1:7" x14ac:dyDescent="0.25">
      <c r="A145" t="s">
        <v>185</v>
      </c>
      <c r="B145" t="s">
        <v>9925</v>
      </c>
      <c r="C145">
        <v>2022</v>
      </c>
      <c r="E145" s="10" t="s">
        <v>9927</v>
      </c>
      <c r="F145" t="s">
        <v>9929</v>
      </c>
      <c r="G145" t="s">
        <v>3990</v>
      </c>
    </row>
    <row r="146" spans="1:7" x14ac:dyDescent="0.25">
      <c r="A146" t="s">
        <v>930</v>
      </c>
      <c r="B146" t="s">
        <v>9925</v>
      </c>
      <c r="C146">
        <v>2015</v>
      </c>
      <c r="E146" s="10" t="s">
        <v>9927</v>
      </c>
      <c r="F146" t="s">
        <v>9932</v>
      </c>
      <c r="G146" t="s">
        <v>3990</v>
      </c>
    </row>
    <row r="147" spans="1:7" x14ac:dyDescent="0.25">
      <c r="A147" t="s">
        <v>1621</v>
      </c>
      <c r="B147" t="s">
        <v>9925</v>
      </c>
      <c r="C147">
        <v>2025</v>
      </c>
      <c r="E147" s="10" t="s">
        <v>9927</v>
      </c>
      <c r="F147" t="s">
        <v>9931</v>
      </c>
      <c r="G147" t="s">
        <v>3990</v>
      </c>
    </row>
    <row r="148" spans="1:7" x14ac:dyDescent="0.25">
      <c r="A148" t="s">
        <v>2132</v>
      </c>
      <c r="B148" t="s">
        <v>9925</v>
      </c>
      <c r="C148">
        <v>2013</v>
      </c>
      <c r="E148" s="10" t="s">
        <v>9927</v>
      </c>
      <c r="F148" t="s">
        <v>9930</v>
      </c>
      <c r="G148" t="s">
        <v>3990</v>
      </c>
    </row>
    <row r="149" spans="1:7" x14ac:dyDescent="0.25">
      <c r="A149" t="s">
        <v>2428</v>
      </c>
      <c r="B149" t="s">
        <v>9925</v>
      </c>
      <c r="C149">
        <v>2008</v>
      </c>
      <c r="E149" s="10" t="s">
        <v>9927</v>
      </c>
      <c r="F149" t="s">
        <v>9933</v>
      </c>
      <c r="G149" t="s">
        <v>3990</v>
      </c>
    </row>
    <row r="150" spans="1:7" x14ac:dyDescent="0.25">
      <c r="A150" t="s">
        <v>2804</v>
      </c>
      <c r="B150" t="s">
        <v>9925</v>
      </c>
      <c r="C150">
        <v>2021</v>
      </c>
      <c r="E150" s="10" t="s">
        <v>9927</v>
      </c>
      <c r="F150" t="s">
        <v>9928</v>
      </c>
      <c r="G150" t="s">
        <v>3990</v>
      </c>
    </row>
    <row r="151" spans="1:7" x14ac:dyDescent="0.25">
      <c r="A151" t="s">
        <v>1294</v>
      </c>
      <c r="B151" t="s">
        <v>447</v>
      </c>
      <c r="C151">
        <v>2019</v>
      </c>
      <c r="E151" t="s">
        <v>2982</v>
      </c>
      <c r="F151" t="s">
        <v>8787</v>
      </c>
      <c r="G151" t="s">
        <v>3990</v>
      </c>
    </row>
    <row r="152" spans="1:7" x14ac:dyDescent="0.25">
      <c r="A152" t="s">
        <v>2804</v>
      </c>
      <c r="B152" t="s">
        <v>447</v>
      </c>
      <c r="C152">
        <v>2021</v>
      </c>
      <c r="E152" t="s">
        <v>3013</v>
      </c>
      <c r="F152" t="s">
        <v>9497</v>
      </c>
      <c r="G152" t="s">
        <v>187</v>
      </c>
    </row>
    <row r="153" spans="1:7" x14ac:dyDescent="0.25">
      <c r="A153" t="s">
        <v>2804</v>
      </c>
      <c r="B153" t="s">
        <v>449</v>
      </c>
      <c r="C153">
        <v>2021</v>
      </c>
      <c r="E153" t="s">
        <v>3013</v>
      </c>
      <c r="F153" t="s">
        <v>9498</v>
      </c>
      <c r="G153" t="s">
        <v>187</v>
      </c>
    </row>
    <row r="154" spans="1:7" x14ac:dyDescent="0.25">
      <c r="A154" t="s">
        <v>2443</v>
      </c>
      <c r="B154" t="s">
        <v>457</v>
      </c>
      <c r="C154">
        <v>2019</v>
      </c>
      <c r="D154" t="s">
        <v>187</v>
      </c>
      <c r="F154" t="s">
        <v>9499</v>
      </c>
      <c r="G154" t="s">
        <v>3990</v>
      </c>
    </row>
    <row r="155" spans="1:7" x14ac:dyDescent="0.25">
      <c r="A155" t="s">
        <v>2804</v>
      </c>
      <c r="B155" t="s">
        <v>457</v>
      </c>
      <c r="C155">
        <v>2021</v>
      </c>
      <c r="E155" t="s">
        <v>3013</v>
      </c>
      <c r="F155" t="s">
        <v>9500</v>
      </c>
      <c r="G155" t="s">
        <v>187</v>
      </c>
    </row>
    <row r="156" spans="1:7" x14ac:dyDescent="0.25">
      <c r="A156" t="s">
        <v>847</v>
      </c>
      <c r="B156" t="s">
        <v>462</v>
      </c>
      <c r="C156">
        <v>1996</v>
      </c>
      <c r="E156" t="s">
        <v>3131</v>
      </c>
      <c r="F156" t="s">
        <v>8644</v>
      </c>
      <c r="G156" t="s">
        <v>3990</v>
      </c>
    </row>
    <row r="157" spans="1:7" x14ac:dyDescent="0.25">
      <c r="A157" t="s">
        <v>90</v>
      </c>
      <c r="B157" t="s">
        <v>464</v>
      </c>
      <c r="C157">
        <v>2017</v>
      </c>
      <c r="E157" t="s">
        <v>2982</v>
      </c>
      <c r="F157" t="s">
        <v>9081</v>
      </c>
      <c r="G157" t="s">
        <v>3990</v>
      </c>
    </row>
    <row r="158" spans="1:7" x14ac:dyDescent="0.25">
      <c r="A158" t="s">
        <v>2804</v>
      </c>
      <c r="B158" t="s">
        <v>464</v>
      </c>
      <c r="C158">
        <v>2021</v>
      </c>
      <c r="E158" t="s">
        <v>3013</v>
      </c>
      <c r="F158" t="s">
        <v>9501</v>
      </c>
      <c r="G158" t="s">
        <v>187</v>
      </c>
    </row>
    <row r="159" spans="1:7" x14ac:dyDescent="0.25">
      <c r="A159" t="s">
        <v>341</v>
      </c>
      <c r="B159" t="s">
        <v>469</v>
      </c>
      <c r="C159">
        <v>1997</v>
      </c>
      <c r="E159" s="10" t="s">
        <v>14040</v>
      </c>
      <c r="F159" t="s">
        <v>14041</v>
      </c>
      <c r="G159" t="s">
        <v>3990</v>
      </c>
    </row>
    <row r="160" spans="1:7" x14ac:dyDescent="0.25">
      <c r="A160" t="s">
        <v>1707</v>
      </c>
      <c r="B160" t="s">
        <v>469</v>
      </c>
      <c r="C160">
        <v>2016</v>
      </c>
      <c r="D160" t="s">
        <v>187</v>
      </c>
      <c r="F160" t="s">
        <v>9502</v>
      </c>
      <c r="G160" t="s">
        <v>3990</v>
      </c>
    </row>
    <row r="161" spans="1:7" x14ac:dyDescent="0.25">
      <c r="A161" t="s">
        <v>689</v>
      </c>
      <c r="B161" t="s">
        <v>473</v>
      </c>
      <c r="C161">
        <v>2015</v>
      </c>
      <c r="E161" t="s">
        <v>3084</v>
      </c>
      <c r="F161" t="s">
        <v>8574</v>
      </c>
      <c r="G161" t="s">
        <v>3990</v>
      </c>
    </row>
    <row r="162" spans="1:7" x14ac:dyDescent="0.25">
      <c r="A162" t="s">
        <v>90</v>
      </c>
      <c r="B162" t="s">
        <v>477</v>
      </c>
      <c r="C162">
        <v>2017</v>
      </c>
      <c r="E162" t="s">
        <v>2982</v>
      </c>
      <c r="F162" t="s">
        <v>9082</v>
      </c>
      <c r="G162" t="s">
        <v>3990</v>
      </c>
    </row>
    <row r="163" spans="1:7" x14ac:dyDescent="0.25">
      <c r="A163" t="s">
        <v>2751</v>
      </c>
      <c r="B163" t="s">
        <v>477</v>
      </c>
      <c r="C163">
        <v>2021</v>
      </c>
      <c r="D163" t="s">
        <v>187</v>
      </c>
      <c r="F163" t="s">
        <v>9503</v>
      </c>
      <c r="G163" t="s">
        <v>3990</v>
      </c>
    </row>
    <row r="164" spans="1:7" x14ac:dyDescent="0.25">
      <c r="A164" t="s">
        <v>90</v>
      </c>
      <c r="B164" t="s">
        <v>480</v>
      </c>
      <c r="C164">
        <v>2017</v>
      </c>
      <c r="E164" t="s">
        <v>3345</v>
      </c>
      <c r="F164" t="s">
        <v>9083</v>
      </c>
      <c r="G164" t="s">
        <v>3990</v>
      </c>
    </row>
    <row r="165" spans="1:7" x14ac:dyDescent="0.25">
      <c r="A165" t="s">
        <v>1144</v>
      </c>
      <c r="B165" t="s">
        <v>484</v>
      </c>
      <c r="C165">
        <v>2012</v>
      </c>
      <c r="E165" t="s">
        <v>3196</v>
      </c>
      <c r="F165" t="s">
        <v>8741</v>
      </c>
      <c r="G165" t="s">
        <v>3990</v>
      </c>
    </row>
    <row r="166" spans="1:7" x14ac:dyDescent="0.25">
      <c r="A166" t="s">
        <v>90</v>
      </c>
      <c r="B166" t="s">
        <v>484</v>
      </c>
      <c r="C166">
        <v>2017</v>
      </c>
      <c r="E166" t="s">
        <v>3196</v>
      </c>
      <c r="F166" t="s">
        <v>9084</v>
      </c>
      <c r="G166" t="s">
        <v>3990</v>
      </c>
    </row>
    <row r="167" spans="1:7" x14ac:dyDescent="0.25">
      <c r="A167" t="s">
        <v>1272</v>
      </c>
      <c r="B167" t="s">
        <v>488</v>
      </c>
      <c r="C167">
        <v>2020</v>
      </c>
      <c r="E167" t="s">
        <v>3216</v>
      </c>
      <c r="F167" t="s">
        <v>8773</v>
      </c>
      <c r="G167" t="s">
        <v>3990</v>
      </c>
    </row>
    <row r="168" spans="1:7" x14ac:dyDescent="0.25">
      <c r="A168" t="s">
        <v>1294</v>
      </c>
      <c r="B168" t="s">
        <v>488</v>
      </c>
      <c r="C168">
        <v>2019</v>
      </c>
      <c r="E168" t="s">
        <v>3216</v>
      </c>
      <c r="F168" t="s">
        <v>8788</v>
      </c>
      <c r="G168" t="s">
        <v>3990</v>
      </c>
    </row>
    <row r="169" spans="1:7" x14ac:dyDescent="0.25">
      <c r="A169" t="s">
        <v>2146</v>
      </c>
      <c r="B169" t="s">
        <v>488</v>
      </c>
      <c r="C169">
        <v>2020</v>
      </c>
      <c r="E169" t="s">
        <v>3216</v>
      </c>
      <c r="F169" t="s">
        <v>9016</v>
      </c>
      <c r="G169" t="s">
        <v>3990</v>
      </c>
    </row>
    <row r="170" spans="1:7" x14ac:dyDescent="0.25">
      <c r="A170" t="s">
        <v>2154</v>
      </c>
      <c r="B170" t="s">
        <v>490</v>
      </c>
      <c r="C170">
        <v>1980</v>
      </c>
      <c r="E170" t="s">
        <v>3317</v>
      </c>
      <c r="F170" t="s">
        <v>9022</v>
      </c>
      <c r="G170" t="s">
        <v>3990</v>
      </c>
    </row>
    <row r="171" spans="1:7" x14ac:dyDescent="0.25">
      <c r="A171" t="s">
        <v>826</v>
      </c>
      <c r="B171" t="s">
        <v>493</v>
      </c>
      <c r="C171">
        <v>2019</v>
      </c>
      <c r="E171" t="s">
        <v>2982</v>
      </c>
      <c r="F171" t="s">
        <v>8640</v>
      </c>
      <c r="G171" t="s">
        <v>3990</v>
      </c>
    </row>
    <row r="172" spans="1:7" x14ac:dyDescent="0.25">
      <c r="A172" t="s">
        <v>1144</v>
      </c>
      <c r="B172" t="s">
        <v>493</v>
      </c>
      <c r="C172">
        <v>2012</v>
      </c>
      <c r="E172" t="s">
        <v>2982</v>
      </c>
      <c r="F172" t="s">
        <v>8742</v>
      </c>
      <c r="G172" t="s">
        <v>3990</v>
      </c>
    </row>
    <row r="173" spans="1:7" x14ac:dyDescent="0.25">
      <c r="A173" t="s">
        <v>1576</v>
      </c>
      <c r="B173" t="s">
        <v>493</v>
      </c>
      <c r="C173">
        <v>2021</v>
      </c>
      <c r="E173" t="s">
        <v>2982</v>
      </c>
      <c r="F173" t="s">
        <v>8877</v>
      </c>
      <c r="G173" t="s">
        <v>3990</v>
      </c>
    </row>
    <row r="174" spans="1:7" x14ac:dyDescent="0.25">
      <c r="A174" t="s">
        <v>90</v>
      </c>
      <c r="B174" t="s">
        <v>493</v>
      </c>
      <c r="C174">
        <v>2017</v>
      </c>
      <c r="E174" t="s">
        <v>2982</v>
      </c>
      <c r="F174" t="s">
        <v>9085</v>
      </c>
      <c r="G174" t="s">
        <v>3990</v>
      </c>
    </row>
    <row r="175" spans="1:7" x14ac:dyDescent="0.25">
      <c r="A175" t="s">
        <v>2403</v>
      </c>
      <c r="B175" t="s">
        <v>497</v>
      </c>
      <c r="C175">
        <v>2019</v>
      </c>
      <c r="D175" t="s">
        <v>187</v>
      </c>
      <c r="F175" t="s">
        <v>9504</v>
      </c>
      <c r="G175" t="s">
        <v>3990</v>
      </c>
    </row>
    <row r="176" spans="1:7" x14ac:dyDescent="0.25">
      <c r="A176" t="s">
        <v>2804</v>
      </c>
      <c r="B176" t="s">
        <v>497</v>
      </c>
      <c r="C176">
        <v>2021</v>
      </c>
      <c r="E176" t="s">
        <v>3013</v>
      </c>
      <c r="F176" t="s">
        <v>9505</v>
      </c>
      <c r="G176" t="s">
        <v>187</v>
      </c>
    </row>
    <row r="177" spans="1:7" x14ac:dyDescent="0.25">
      <c r="A177" t="s">
        <v>1046</v>
      </c>
      <c r="B177" t="s">
        <v>501</v>
      </c>
      <c r="C177">
        <v>2016</v>
      </c>
      <c r="E177" t="s">
        <v>3184</v>
      </c>
      <c r="F177" t="s">
        <v>8715</v>
      </c>
      <c r="G177" t="s">
        <v>3990</v>
      </c>
    </row>
    <row r="178" spans="1:7" x14ac:dyDescent="0.25">
      <c r="A178" t="s">
        <v>160</v>
      </c>
      <c r="B178" t="s">
        <v>501</v>
      </c>
      <c r="C178">
        <v>2011</v>
      </c>
      <c r="E178" t="s">
        <v>3184</v>
      </c>
      <c r="F178" t="s">
        <v>9255</v>
      </c>
      <c r="G178" t="s">
        <v>3990</v>
      </c>
    </row>
    <row r="179" spans="1:7" x14ac:dyDescent="0.25">
      <c r="A179" t="s">
        <v>2652</v>
      </c>
      <c r="B179" t="s">
        <v>501</v>
      </c>
      <c r="C179">
        <v>2019</v>
      </c>
      <c r="E179" t="s">
        <v>3184</v>
      </c>
      <c r="F179" t="s">
        <v>9308</v>
      </c>
      <c r="G179" t="s">
        <v>3990</v>
      </c>
    </row>
    <row r="180" spans="1:7" x14ac:dyDescent="0.25">
      <c r="A180" t="s">
        <v>1435</v>
      </c>
      <c r="B180" t="s">
        <v>505</v>
      </c>
      <c r="C180">
        <v>2021</v>
      </c>
      <c r="E180" s="10" t="s">
        <v>8347</v>
      </c>
      <c r="F180" t="s">
        <v>8832</v>
      </c>
      <c r="G180" t="s">
        <v>3990</v>
      </c>
    </row>
    <row r="181" spans="1:7" x14ac:dyDescent="0.25">
      <c r="A181" t="s">
        <v>689</v>
      </c>
      <c r="B181" t="s">
        <v>7817</v>
      </c>
      <c r="C181">
        <v>2015</v>
      </c>
      <c r="D181" t="s">
        <v>187</v>
      </c>
      <c r="F181" t="s">
        <v>9506</v>
      </c>
      <c r="G181" t="s">
        <v>3990</v>
      </c>
    </row>
    <row r="182" spans="1:7" x14ac:dyDescent="0.25">
      <c r="A182" t="s">
        <v>260</v>
      </c>
      <c r="B182" t="s">
        <v>517</v>
      </c>
      <c r="C182">
        <v>1990</v>
      </c>
      <c r="E182" t="s">
        <v>3000</v>
      </c>
      <c r="F182" t="s">
        <v>8466</v>
      </c>
      <c r="G182" t="s">
        <v>3990</v>
      </c>
    </row>
    <row r="183" spans="1:7" x14ac:dyDescent="0.25">
      <c r="A183" t="s">
        <v>490</v>
      </c>
      <c r="B183" t="s">
        <v>517</v>
      </c>
      <c r="C183">
        <v>2009</v>
      </c>
      <c r="E183" s="10" t="s">
        <v>8427</v>
      </c>
      <c r="F183" t="s">
        <v>8429</v>
      </c>
      <c r="G183" t="s">
        <v>3990</v>
      </c>
    </row>
    <row r="184" spans="1:7" x14ac:dyDescent="0.25">
      <c r="A184" t="s">
        <v>836</v>
      </c>
      <c r="B184" t="s">
        <v>517</v>
      </c>
      <c r="C184">
        <v>2010</v>
      </c>
      <c r="E184" s="10" t="s">
        <v>8427</v>
      </c>
      <c r="F184" t="s">
        <v>8428</v>
      </c>
      <c r="G184" t="s">
        <v>3990</v>
      </c>
    </row>
    <row r="185" spans="1:7" x14ac:dyDescent="0.25">
      <c r="A185" t="s">
        <v>847</v>
      </c>
      <c r="B185" t="s">
        <v>517</v>
      </c>
      <c r="C185">
        <v>1996</v>
      </c>
      <c r="E185" t="s">
        <v>3000</v>
      </c>
      <c r="F185" t="s">
        <v>8645</v>
      </c>
      <c r="G185" t="s">
        <v>3990</v>
      </c>
    </row>
    <row r="186" spans="1:7" x14ac:dyDescent="0.25">
      <c r="A186" t="s">
        <v>922</v>
      </c>
      <c r="B186" t="s">
        <v>517</v>
      </c>
      <c r="C186">
        <v>2002</v>
      </c>
      <c r="E186" t="s">
        <v>3147</v>
      </c>
      <c r="F186" t="s">
        <v>9507</v>
      </c>
      <c r="G186" t="s">
        <v>187</v>
      </c>
    </row>
    <row r="187" spans="1:7" x14ac:dyDescent="0.25">
      <c r="A187" t="s">
        <v>2428</v>
      </c>
      <c r="B187" t="s">
        <v>517</v>
      </c>
      <c r="C187">
        <v>2008</v>
      </c>
      <c r="E187" s="10" t="s">
        <v>8427</v>
      </c>
      <c r="F187" t="s">
        <v>8426</v>
      </c>
      <c r="G187" t="s">
        <v>3990</v>
      </c>
    </row>
    <row r="188" spans="1:7" x14ac:dyDescent="0.25">
      <c r="A188" t="s">
        <v>2571</v>
      </c>
      <c r="B188" t="s">
        <v>517</v>
      </c>
      <c r="C188">
        <v>1998</v>
      </c>
      <c r="E188" t="s">
        <v>3147</v>
      </c>
      <c r="F188" t="s">
        <v>9508</v>
      </c>
      <c r="G188" t="s">
        <v>187</v>
      </c>
    </row>
    <row r="189" spans="1:7" x14ac:dyDescent="0.25">
      <c r="A189" t="s">
        <v>517</v>
      </c>
      <c r="B189" t="s">
        <v>519</v>
      </c>
      <c r="C189">
        <v>2010</v>
      </c>
      <c r="D189" t="s">
        <v>187</v>
      </c>
      <c r="F189" t="s">
        <v>9509</v>
      </c>
      <c r="G189" t="s">
        <v>3990</v>
      </c>
    </row>
    <row r="190" spans="1:7" x14ac:dyDescent="0.25">
      <c r="A190" t="s">
        <v>1523</v>
      </c>
      <c r="B190" t="s">
        <v>522</v>
      </c>
      <c r="C190">
        <v>1986</v>
      </c>
      <c r="E190" s="10" t="s">
        <v>8406</v>
      </c>
      <c r="F190" t="s">
        <v>8865</v>
      </c>
      <c r="G190" t="s">
        <v>3990</v>
      </c>
    </row>
    <row r="191" spans="1:7" x14ac:dyDescent="0.25">
      <c r="A191" t="s">
        <v>1795</v>
      </c>
      <c r="B191" t="s">
        <v>522</v>
      </c>
      <c r="C191">
        <v>1987</v>
      </c>
      <c r="E191" s="10" t="s">
        <v>8406</v>
      </c>
      <c r="F191" t="s">
        <v>8923</v>
      </c>
      <c r="G191" t="s">
        <v>3990</v>
      </c>
    </row>
    <row r="192" spans="1:7" x14ac:dyDescent="0.25">
      <c r="A192" t="s">
        <v>1882</v>
      </c>
      <c r="B192" t="s">
        <v>522</v>
      </c>
      <c r="C192">
        <v>1987</v>
      </c>
      <c r="E192" s="10" t="s">
        <v>8406</v>
      </c>
      <c r="F192" t="s">
        <v>8976</v>
      </c>
      <c r="G192" t="s">
        <v>3990</v>
      </c>
    </row>
    <row r="193" spans="1:7" x14ac:dyDescent="0.25">
      <c r="A193" t="s">
        <v>2154</v>
      </c>
      <c r="B193" t="s">
        <v>522</v>
      </c>
      <c r="C193">
        <v>1980</v>
      </c>
      <c r="F193" t="s">
        <v>9510</v>
      </c>
      <c r="G193" t="s">
        <v>187</v>
      </c>
    </row>
    <row r="194" spans="1:7" x14ac:dyDescent="0.25">
      <c r="A194" t="s">
        <v>1576</v>
      </c>
      <c r="B194" t="s">
        <v>528</v>
      </c>
      <c r="C194">
        <v>2021</v>
      </c>
      <c r="E194" t="s">
        <v>3259</v>
      </c>
      <c r="F194" t="s">
        <v>9511</v>
      </c>
      <c r="G194" t="s">
        <v>187</v>
      </c>
    </row>
    <row r="195" spans="1:7" x14ac:dyDescent="0.25">
      <c r="A195" t="s">
        <v>922</v>
      </c>
      <c r="B195" t="s">
        <v>531</v>
      </c>
      <c r="C195">
        <v>2002</v>
      </c>
      <c r="E195" t="s">
        <v>3148</v>
      </c>
      <c r="F195" t="s">
        <v>8677</v>
      </c>
      <c r="G195" t="s">
        <v>3990</v>
      </c>
    </row>
    <row r="196" spans="1:7" x14ac:dyDescent="0.25">
      <c r="A196" t="s">
        <v>964</v>
      </c>
      <c r="B196" t="s">
        <v>531</v>
      </c>
      <c r="C196">
        <v>2006</v>
      </c>
      <c r="E196" t="s">
        <v>3148</v>
      </c>
      <c r="F196" t="s">
        <v>9412</v>
      </c>
      <c r="G196" t="s">
        <v>3990</v>
      </c>
    </row>
    <row r="197" spans="1:7" x14ac:dyDescent="0.25">
      <c r="A197" t="s">
        <v>536</v>
      </c>
      <c r="B197" t="s">
        <v>534</v>
      </c>
      <c r="C197">
        <v>2010</v>
      </c>
      <c r="E197" t="s">
        <v>3073</v>
      </c>
      <c r="F197" t="s">
        <v>8563</v>
      </c>
      <c r="G197" t="s">
        <v>3990</v>
      </c>
    </row>
    <row r="198" spans="1:7" x14ac:dyDescent="0.25">
      <c r="A198" t="s">
        <v>531</v>
      </c>
      <c r="B198" t="s">
        <v>536</v>
      </c>
      <c r="C198">
        <v>2010</v>
      </c>
      <c r="E198" t="s">
        <v>3074</v>
      </c>
      <c r="F198" t="s">
        <v>8564</v>
      </c>
      <c r="G198" t="s">
        <v>3990</v>
      </c>
    </row>
    <row r="199" spans="1:7" x14ac:dyDescent="0.25">
      <c r="A199" t="s">
        <v>536</v>
      </c>
      <c r="B199" t="s">
        <v>538</v>
      </c>
      <c r="C199">
        <v>2013</v>
      </c>
      <c r="D199" t="s">
        <v>187</v>
      </c>
      <c r="F199" t="s">
        <v>9512</v>
      </c>
      <c r="G199" t="s">
        <v>3990</v>
      </c>
    </row>
    <row r="200" spans="1:7" x14ac:dyDescent="0.25">
      <c r="A200" t="s">
        <v>1454</v>
      </c>
      <c r="B200" t="s">
        <v>540</v>
      </c>
      <c r="C200">
        <v>2001</v>
      </c>
      <c r="E200" t="s">
        <v>3252</v>
      </c>
      <c r="F200" t="s">
        <v>8862</v>
      </c>
      <c r="G200" t="s">
        <v>3990</v>
      </c>
    </row>
    <row r="201" spans="1:7" x14ac:dyDescent="0.25">
      <c r="A201" t="s">
        <v>2023</v>
      </c>
      <c r="B201" t="s">
        <v>540</v>
      </c>
      <c r="C201">
        <v>2003</v>
      </c>
      <c r="E201" t="s">
        <v>3252</v>
      </c>
      <c r="F201" t="s">
        <v>9513</v>
      </c>
      <c r="G201" t="s">
        <v>187</v>
      </c>
    </row>
    <row r="202" spans="1:7" x14ac:dyDescent="0.25">
      <c r="A202" t="s">
        <v>2428</v>
      </c>
      <c r="B202" t="s">
        <v>540</v>
      </c>
      <c r="C202">
        <v>2008</v>
      </c>
      <c r="E202" t="s">
        <v>3252</v>
      </c>
      <c r="F202" t="s">
        <v>9192</v>
      </c>
      <c r="G202" t="s">
        <v>3990</v>
      </c>
    </row>
    <row r="203" spans="1:7" x14ac:dyDescent="0.25">
      <c r="A203" t="s">
        <v>353</v>
      </c>
      <c r="B203" t="s">
        <v>543</v>
      </c>
      <c r="C203">
        <v>2023</v>
      </c>
      <c r="E203" t="s">
        <v>3021</v>
      </c>
      <c r="F203" t="s">
        <v>8496</v>
      </c>
      <c r="G203" t="s">
        <v>3990</v>
      </c>
    </row>
    <row r="204" spans="1:7" x14ac:dyDescent="0.25">
      <c r="A204" t="s">
        <v>2361</v>
      </c>
      <c r="B204" t="s">
        <v>543</v>
      </c>
      <c r="C204">
        <v>2018</v>
      </c>
      <c r="E204" t="s">
        <v>3021</v>
      </c>
      <c r="F204" t="s">
        <v>9178</v>
      </c>
      <c r="G204" t="s">
        <v>3990</v>
      </c>
    </row>
    <row r="205" spans="1:7" x14ac:dyDescent="0.25">
      <c r="A205" t="s">
        <v>2154</v>
      </c>
      <c r="B205" t="s">
        <v>546</v>
      </c>
      <c r="C205">
        <v>1980</v>
      </c>
      <c r="E205" t="s">
        <v>3318</v>
      </c>
      <c r="F205" t="s">
        <v>9023</v>
      </c>
      <c r="G205" t="s">
        <v>3990</v>
      </c>
    </row>
    <row r="206" spans="1:7" x14ac:dyDescent="0.25">
      <c r="A206" t="s">
        <v>2428</v>
      </c>
      <c r="B206" t="s">
        <v>549</v>
      </c>
      <c r="C206">
        <v>2008</v>
      </c>
      <c r="E206" t="s">
        <v>3387</v>
      </c>
      <c r="F206" t="s">
        <v>9193</v>
      </c>
      <c r="G206" t="s">
        <v>3990</v>
      </c>
    </row>
    <row r="207" spans="1:7" x14ac:dyDescent="0.25">
      <c r="A207" t="s">
        <v>256</v>
      </c>
      <c r="B207" t="s">
        <v>553</v>
      </c>
      <c r="C207">
        <v>1994</v>
      </c>
      <c r="F207" t="s">
        <v>9514</v>
      </c>
      <c r="G207" t="s">
        <v>187</v>
      </c>
    </row>
    <row r="208" spans="1:7" x14ac:dyDescent="0.25">
      <c r="A208" t="s">
        <v>1004</v>
      </c>
      <c r="B208" t="s">
        <v>553</v>
      </c>
      <c r="C208">
        <v>2006</v>
      </c>
      <c r="E208" s="10" t="s">
        <v>8392</v>
      </c>
      <c r="F208" t="s">
        <v>8703</v>
      </c>
      <c r="G208" t="s">
        <v>3990</v>
      </c>
    </row>
    <row r="209" spans="1:7" x14ac:dyDescent="0.25">
      <c r="A209" t="s">
        <v>1882</v>
      </c>
      <c r="B209" t="s">
        <v>553</v>
      </c>
      <c r="C209">
        <v>1987</v>
      </c>
      <c r="E209" s="10" t="s">
        <v>8404</v>
      </c>
      <c r="F209" t="s">
        <v>8977</v>
      </c>
      <c r="G209" t="s">
        <v>3990</v>
      </c>
    </row>
    <row r="210" spans="1:7" x14ac:dyDescent="0.25">
      <c r="A210" t="s">
        <v>1046</v>
      </c>
      <c r="B210" t="s">
        <v>557</v>
      </c>
      <c r="C210">
        <v>2016</v>
      </c>
      <c r="E210" s="10" t="s">
        <v>8403</v>
      </c>
      <c r="F210" t="s">
        <v>8716</v>
      </c>
      <c r="G210" t="s">
        <v>3990</v>
      </c>
    </row>
    <row r="211" spans="1:7" x14ac:dyDescent="0.25">
      <c r="A211" t="s">
        <v>160</v>
      </c>
      <c r="B211" t="s">
        <v>557</v>
      </c>
      <c r="C211">
        <v>2011</v>
      </c>
      <c r="E211" t="s">
        <v>3399</v>
      </c>
      <c r="F211" t="s">
        <v>9256</v>
      </c>
      <c r="G211" t="s">
        <v>3990</v>
      </c>
    </row>
    <row r="212" spans="1:7" x14ac:dyDescent="0.25">
      <c r="A212" t="s">
        <v>1180</v>
      </c>
      <c r="B212" t="s">
        <v>561</v>
      </c>
      <c r="C212">
        <v>2024</v>
      </c>
      <c r="D212" t="s">
        <v>187</v>
      </c>
      <c r="F212" t="s">
        <v>9515</v>
      </c>
      <c r="G212" t="s">
        <v>3990</v>
      </c>
    </row>
    <row r="213" spans="1:7" x14ac:dyDescent="0.25">
      <c r="A213" t="s">
        <v>1443</v>
      </c>
      <c r="B213" t="s">
        <v>561</v>
      </c>
      <c r="C213">
        <v>2018</v>
      </c>
      <c r="E213" t="s">
        <v>2982</v>
      </c>
      <c r="F213" t="s">
        <v>8846</v>
      </c>
      <c r="G213" t="s">
        <v>3990</v>
      </c>
    </row>
    <row r="214" spans="1:7" x14ac:dyDescent="0.25">
      <c r="A214" t="s">
        <v>1100</v>
      </c>
      <c r="B214" t="s">
        <v>563</v>
      </c>
      <c r="C214">
        <v>2022</v>
      </c>
      <c r="E214" t="s">
        <v>566</v>
      </c>
      <c r="F214" t="s">
        <v>8736</v>
      </c>
      <c r="G214" t="s">
        <v>3990</v>
      </c>
    </row>
    <row r="215" spans="1:7" x14ac:dyDescent="0.25">
      <c r="A215" t="s">
        <v>2377</v>
      </c>
      <c r="B215" t="s">
        <v>563</v>
      </c>
      <c r="C215">
        <v>2021</v>
      </c>
      <c r="E215" t="s">
        <v>566</v>
      </c>
      <c r="F215" t="s">
        <v>9182</v>
      </c>
      <c r="G215" t="s">
        <v>3990</v>
      </c>
    </row>
    <row r="216" spans="1:7" x14ac:dyDescent="0.25">
      <c r="A216" t="s">
        <v>90</v>
      </c>
      <c r="B216" t="s">
        <v>567</v>
      </c>
      <c r="C216">
        <v>2017</v>
      </c>
      <c r="E216" t="s">
        <v>3346</v>
      </c>
      <c r="F216" t="s">
        <v>9086</v>
      </c>
      <c r="G216" t="s">
        <v>3990</v>
      </c>
    </row>
    <row r="217" spans="1:7" x14ac:dyDescent="0.25">
      <c r="A217" t="s">
        <v>689</v>
      </c>
      <c r="B217" t="s">
        <v>571</v>
      </c>
      <c r="C217">
        <v>2015</v>
      </c>
      <c r="E217" t="s">
        <v>3085</v>
      </c>
      <c r="F217" t="s">
        <v>10013</v>
      </c>
      <c r="G217" t="s">
        <v>187</v>
      </c>
    </row>
    <row r="218" spans="1:7" x14ac:dyDescent="0.25">
      <c r="A218" t="s">
        <v>2324</v>
      </c>
      <c r="B218" t="s">
        <v>571</v>
      </c>
      <c r="C218">
        <v>2022</v>
      </c>
      <c r="E218" t="s">
        <v>3085</v>
      </c>
      <c r="F218" t="s">
        <v>10013</v>
      </c>
      <c r="G218" t="s">
        <v>187</v>
      </c>
    </row>
    <row r="219" spans="1:7" x14ac:dyDescent="0.25">
      <c r="A219" t="s">
        <v>90</v>
      </c>
      <c r="B219" t="s">
        <v>571</v>
      </c>
      <c r="C219">
        <v>2017</v>
      </c>
      <c r="E219" t="s">
        <v>3347</v>
      </c>
      <c r="F219" t="s">
        <v>9516</v>
      </c>
      <c r="G219" t="s">
        <v>187</v>
      </c>
    </row>
    <row r="220" spans="1:7" x14ac:dyDescent="0.25">
      <c r="A220" t="s">
        <v>2804</v>
      </c>
      <c r="B220" t="s">
        <v>571</v>
      </c>
      <c r="C220">
        <v>2021</v>
      </c>
      <c r="E220" t="s">
        <v>3085</v>
      </c>
      <c r="F220" t="s">
        <v>10013</v>
      </c>
      <c r="G220" t="s">
        <v>187</v>
      </c>
    </row>
    <row r="221" spans="1:7" x14ac:dyDescent="0.25">
      <c r="A221" t="s">
        <v>1855</v>
      </c>
      <c r="B221" t="s">
        <v>574</v>
      </c>
      <c r="C221">
        <v>2015</v>
      </c>
      <c r="E221" s="10" t="s">
        <v>8348</v>
      </c>
      <c r="F221" t="s">
        <v>8960</v>
      </c>
      <c r="G221" t="s">
        <v>3990</v>
      </c>
    </row>
    <row r="222" spans="1:7" x14ac:dyDescent="0.25">
      <c r="A222" t="s">
        <v>2173</v>
      </c>
      <c r="B222" t="s">
        <v>574</v>
      </c>
      <c r="C222">
        <v>2013</v>
      </c>
      <c r="E222" s="10" t="s">
        <v>8348</v>
      </c>
      <c r="F222" t="s">
        <v>9042</v>
      </c>
      <c r="G222" t="s">
        <v>3990</v>
      </c>
    </row>
    <row r="223" spans="1:7" x14ac:dyDescent="0.25">
      <c r="A223" t="s">
        <v>160</v>
      </c>
      <c r="B223" t="s">
        <v>574</v>
      </c>
      <c r="C223">
        <v>2011</v>
      </c>
      <c r="E223" s="10" t="s">
        <v>8348</v>
      </c>
      <c r="F223" t="s">
        <v>9257</v>
      </c>
      <c r="G223" t="s">
        <v>3990</v>
      </c>
    </row>
    <row r="224" spans="1:7" x14ac:dyDescent="0.25">
      <c r="A224" t="s">
        <v>581</v>
      </c>
      <c r="B224" t="s">
        <v>578</v>
      </c>
      <c r="C224">
        <v>1997</v>
      </c>
      <c r="D224" t="s">
        <v>187</v>
      </c>
      <c r="F224" t="s">
        <v>9517</v>
      </c>
      <c r="G224" t="s">
        <v>3990</v>
      </c>
    </row>
    <row r="225" spans="1:7" x14ac:dyDescent="0.25">
      <c r="A225" t="s">
        <v>2721</v>
      </c>
      <c r="B225" t="s">
        <v>581</v>
      </c>
      <c r="C225">
        <v>1993</v>
      </c>
      <c r="D225" t="s">
        <v>187</v>
      </c>
      <c r="E225" t="s">
        <v>3032</v>
      </c>
      <c r="F225" t="s">
        <v>9518</v>
      </c>
      <c r="G225" t="s">
        <v>3990</v>
      </c>
    </row>
    <row r="226" spans="1:7" x14ac:dyDescent="0.25">
      <c r="A226" t="s">
        <v>1093</v>
      </c>
      <c r="B226" t="s">
        <v>584</v>
      </c>
      <c r="C226">
        <v>2007</v>
      </c>
      <c r="D226" t="s">
        <v>187</v>
      </c>
      <c r="F226" t="s">
        <v>9519</v>
      </c>
      <c r="G226" t="s">
        <v>3990</v>
      </c>
    </row>
    <row r="227" spans="1:7" x14ac:dyDescent="0.25">
      <c r="A227" t="s">
        <v>904</v>
      </c>
      <c r="B227" t="s">
        <v>586</v>
      </c>
      <c r="C227">
        <v>2022</v>
      </c>
      <c r="E227" s="10" t="s">
        <v>594</v>
      </c>
      <c r="F227" t="s">
        <v>8669</v>
      </c>
      <c r="G227" t="s">
        <v>3990</v>
      </c>
    </row>
    <row r="228" spans="1:7" x14ac:dyDescent="0.25">
      <c r="A228" t="s">
        <v>2804</v>
      </c>
      <c r="B228" t="s">
        <v>586</v>
      </c>
      <c r="C228">
        <v>2021</v>
      </c>
      <c r="E228" t="s">
        <v>3013</v>
      </c>
      <c r="F228" t="s">
        <v>9520</v>
      </c>
      <c r="G228" t="s">
        <v>187</v>
      </c>
    </row>
    <row r="229" spans="1:7" x14ac:dyDescent="0.25">
      <c r="A229" t="s">
        <v>586</v>
      </c>
      <c r="B229" t="s">
        <v>591</v>
      </c>
      <c r="C229">
        <v>2023</v>
      </c>
      <c r="D229" t="s">
        <v>187</v>
      </c>
      <c r="F229" t="s">
        <v>9521</v>
      </c>
      <c r="G229" t="s">
        <v>3990</v>
      </c>
    </row>
    <row r="230" spans="1:7" x14ac:dyDescent="0.25">
      <c r="A230" t="s">
        <v>353</v>
      </c>
      <c r="B230" t="s">
        <v>595</v>
      </c>
      <c r="C230">
        <v>2023</v>
      </c>
      <c r="E230" t="s">
        <v>3022</v>
      </c>
      <c r="F230" t="s">
        <v>8497</v>
      </c>
      <c r="G230" t="s">
        <v>3990</v>
      </c>
    </row>
    <row r="231" spans="1:7" x14ac:dyDescent="0.25">
      <c r="A231" t="s">
        <v>1576</v>
      </c>
      <c r="B231" t="s">
        <v>595</v>
      </c>
      <c r="C231">
        <v>2021</v>
      </c>
      <c r="E231" s="10" t="s">
        <v>8351</v>
      </c>
      <c r="F231" t="s">
        <v>8878</v>
      </c>
      <c r="G231" t="s">
        <v>3990</v>
      </c>
    </row>
    <row r="232" spans="1:7" x14ac:dyDescent="0.25">
      <c r="A232" t="s">
        <v>746</v>
      </c>
      <c r="B232" t="s">
        <v>598</v>
      </c>
      <c r="C232">
        <v>2015</v>
      </c>
      <c r="E232" t="s">
        <v>2982</v>
      </c>
      <c r="F232" t="s">
        <v>8590</v>
      </c>
      <c r="G232" t="s">
        <v>3990</v>
      </c>
    </row>
    <row r="233" spans="1:7" x14ac:dyDescent="0.25">
      <c r="A233" t="s">
        <v>90</v>
      </c>
      <c r="B233" t="s">
        <v>598</v>
      </c>
      <c r="C233">
        <v>2017</v>
      </c>
      <c r="E233" t="s">
        <v>2982</v>
      </c>
      <c r="F233" t="s">
        <v>9087</v>
      </c>
      <c r="G233" t="s">
        <v>3990</v>
      </c>
    </row>
    <row r="234" spans="1:7" x14ac:dyDescent="0.25">
      <c r="A234" t="s">
        <v>709</v>
      </c>
      <c r="B234" t="s">
        <v>602</v>
      </c>
      <c r="C234">
        <v>2022</v>
      </c>
      <c r="E234" t="s">
        <v>2982</v>
      </c>
      <c r="F234" t="s">
        <v>8580</v>
      </c>
      <c r="G234" t="s">
        <v>3990</v>
      </c>
    </row>
    <row r="235" spans="1:7" x14ac:dyDescent="0.25">
      <c r="A235" t="s">
        <v>1294</v>
      </c>
      <c r="B235" t="s">
        <v>602</v>
      </c>
      <c r="C235">
        <v>2019</v>
      </c>
      <c r="E235" t="s">
        <v>2982</v>
      </c>
      <c r="F235" t="s">
        <v>8789</v>
      </c>
      <c r="G235" t="s">
        <v>3990</v>
      </c>
    </row>
    <row r="236" spans="1:7" x14ac:dyDescent="0.25">
      <c r="A236" t="s">
        <v>904</v>
      </c>
      <c r="B236" t="s">
        <v>604</v>
      </c>
      <c r="C236">
        <v>2022</v>
      </c>
      <c r="E236" t="s">
        <v>3142</v>
      </c>
      <c r="F236" t="s">
        <v>8670</v>
      </c>
      <c r="G236" t="s">
        <v>3990</v>
      </c>
    </row>
    <row r="237" spans="1:7" x14ac:dyDescent="0.25">
      <c r="A237" t="s">
        <v>1817</v>
      </c>
      <c r="B237" t="s">
        <v>604</v>
      </c>
      <c r="C237">
        <v>2019</v>
      </c>
      <c r="E237" t="s">
        <v>3289</v>
      </c>
      <c r="F237" t="s">
        <v>9522</v>
      </c>
      <c r="G237" t="s">
        <v>187</v>
      </c>
    </row>
    <row r="238" spans="1:7" x14ac:dyDescent="0.25">
      <c r="A238" t="s">
        <v>2428</v>
      </c>
      <c r="B238" t="s">
        <v>604</v>
      </c>
      <c r="C238">
        <v>2008</v>
      </c>
      <c r="E238" t="s">
        <v>3142</v>
      </c>
      <c r="F238" t="s">
        <v>9194</v>
      </c>
      <c r="G238" t="s">
        <v>3990</v>
      </c>
    </row>
    <row r="239" spans="1:7" x14ac:dyDescent="0.25">
      <c r="A239" t="s">
        <v>353</v>
      </c>
      <c r="B239" t="s">
        <v>606</v>
      </c>
      <c r="C239">
        <v>2023</v>
      </c>
      <c r="E239" t="s">
        <v>609</v>
      </c>
      <c r="F239" t="s">
        <v>8498</v>
      </c>
      <c r="G239" t="s">
        <v>3990</v>
      </c>
    </row>
    <row r="240" spans="1:7" x14ac:dyDescent="0.25">
      <c r="A240" t="s">
        <v>505</v>
      </c>
      <c r="B240" t="s">
        <v>606</v>
      </c>
      <c r="C240">
        <v>2024</v>
      </c>
      <c r="E240" t="s">
        <v>609</v>
      </c>
      <c r="F240" t="s">
        <v>8560</v>
      </c>
      <c r="G240" t="s">
        <v>3990</v>
      </c>
    </row>
    <row r="241" spans="1:7" x14ac:dyDescent="0.25">
      <c r="A241" t="s">
        <v>497</v>
      </c>
      <c r="B241" t="s">
        <v>610</v>
      </c>
      <c r="C241">
        <v>2022</v>
      </c>
      <c r="E241" t="s">
        <v>3066</v>
      </c>
      <c r="F241" t="s">
        <v>8547</v>
      </c>
      <c r="G241" t="s">
        <v>3990</v>
      </c>
    </row>
    <row r="242" spans="1:7" x14ac:dyDescent="0.25">
      <c r="A242" t="s">
        <v>90</v>
      </c>
      <c r="B242" t="s">
        <v>610</v>
      </c>
      <c r="C242">
        <v>2017</v>
      </c>
      <c r="E242" t="s">
        <v>3066</v>
      </c>
      <c r="F242" t="s">
        <v>9523</v>
      </c>
      <c r="G242" t="s">
        <v>3990</v>
      </c>
    </row>
    <row r="243" spans="1:7" x14ac:dyDescent="0.25">
      <c r="A243" t="s">
        <v>160</v>
      </c>
      <c r="B243" t="s">
        <v>610</v>
      </c>
      <c r="C243">
        <v>2011</v>
      </c>
      <c r="E243" t="s">
        <v>3066</v>
      </c>
      <c r="F243" t="s">
        <v>9524</v>
      </c>
      <c r="G243" t="s">
        <v>3990</v>
      </c>
    </row>
    <row r="244" spans="1:7" x14ac:dyDescent="0.25">
      <c r="A244" t="s">
        <v>353</v>
      </c>
      <c r="B244" t="s">
        <v>613</v>
      </c>
      <c r="C244">
        <v>2023</v>
      </c>
      <c r="E244" t="s">
        <v>3023</v>
      </c>
      <c r="F244" t="s">
        <v>8499</v>
      </c>
      <c r="G244" t="s">
        <v>3990</v>
      </c>
    </row>
    <row r="245" spans="1:7" x14ac:dyDescent="0.25">
      <c r="A245" t="s">
        <v>1294</v>
      </c>
      <c r="B245" t="s">
        <v>619</v>
      </c>
      <c r="C245">
        <v>2019</v>
      </c>
      <c r="E245" s="10" t="s">
        <v>8432</v>
      </c>
      <c r="F245" t="s">
        <v>8431</v>
      </c>
      <c r="G245" t="s">
        <v>3990</v>
      </c>
    </row>
    <row r="246" spans="1:7" x14ac:dyDescent="0.25">
      <c r="A246" t="s">
        <v>1435</v>
      </c>
      <c r="B246" t="s">
        <v>619</v>
      </c>
      <c r="C246">
        <v>2021</v>
      </c>
      <c r="E246" s="10" t="s">
        <v>8432</v>
      </c>
      <c r="F246" t="s">
        <v>8833</v>
      </c>
      <c r="G246" t="s">
        <v>3990</v>
      </c>
    </row>
    <row r="247" spans="1:7" x14ac:dyDescent="0.25">
      <c r="A247" t="s">
        <v>1443</v>
      </c>
      <c r="B247" t="s">
        <v>619</v>
      </c>
      <c r="C247">
        <v>2018</v>
      </c>
      <c r="E247" s="10" t="s">
        <v>8432</v>
      </c>
      <c r="F247" t="s">
        <v>8430</v>
      </c>
      <c r="G247" t="s">
        <v>3990</v>
      </c>
    </row>
    <row r="248" spans="1:7" x14ac:dyDescent="0.25">
      <c r="A248" t="s">
        <v>90</v>
      </c>
      <c r="B248" t="s">
        <v>619</v>
      </c>
      <c r="C248">
        <v>2017</v>
      </c>
      <c r="E248" s="10" t="s">
        <v>8432</v>
      </c>
      <c r="F248" t="s">
        <v>9088</v>
      </c>
      <c r="G248" t="s">
        <v>3990</v>
      </c>
    </row>
    <row r="249" spans="1:7" x14ac:dyDescent="0.25">
      <c r="A249" t="s">
        <v>964</v>
      </c>
      <c r="B249" t="s">
        <v>623</v>
      </c>
      <c r="C249">
        <v>2006</v>
      </c>
      <c r="E249" t="s">
        <v>3164</v>
      </c>
      <c r="F249" t="s">
        <v>9525</v>
      </c>
      <c r="G249" t="s">
        <v>187</v>
      </c>
    </row>
    <row r="250" spans="1:7" x14ac:dyDescent="0.25">
      <c r="A250" t="s">
        <v>2428</v>
      </c>
      <c r="B250" t="s">
        <v>625</v>
      </c>
      <c r="C250">
        <v>2008</v>
      </c>
      <c r="E250" t="s">
        <v>3388</v>
      </c>
      <c r="F250" t="s">
        <v>9195</v>
      </c>
      <c r="G250" t="s">
        <v>3990</v>
      </c>
    </row>
    <row r="251" spans="1:7" x14ac:dyDescent="0.25">
      <c r="A251" t="s">
        <v>1855</v>
      </c>
      <c r="B251" t="s">
        <v>629</v>
      </c>
      <c r="C251">
        <v>2015</v>
      </c>
      <c r="E251" t="s">
        <v>3294</v>
      </c>
      <c r="F251" t="s">
        <v>9526</v>
      </c>
      <c r="G251" t="s">
        <v>187</v>
      </c>
    </row>
    <row r="252" spans="1:7" x14ac:dyDescent="0.25">
      <c r="A252" t="s">
        <v>353</v>
      </c>
      <c r="B252" t="s">
        <v>7640</v>
      </c>
      <c r="C252">
        <v>2023</v>
      </c>
      <c r="E252" t="s">
        <v>7636</v>
      </c>
      <c r="F252" t="s">
        <v>8500</v>
      </c>
      <c r="G252" t="s">
        <v>3990</v>
      </c>
    </row>
    <row r="253" spans="1:7" x14ac:dyDescent="0.25">
      <c r="A253" t="s">
        <v>7637</v>
      </c>
      <c r="B253" t="s">
        <v>7640</v>
      </c>
      <c r="C253">
        <v>2021</v>
      </c>
      <c r="E253" t="s">
        <v>7636</v>
      </c>
      <c r="F253" t="s">
        <v>8879</v>
      </c>
      <c r="G253" t="s">
        <v>3990</v>
      </c>
    </row>
    <row r="254" spans="1:7" x14ac:dyDescent="0.25">
      <c r="A254" t="s">
        <v>90</v>
      </c>
      <c r="B254" t="s">
        <v>633</v>
      </c>
      <c r="C254">
        <v>2017</v>
      </c>
      <c r="E254" t="s">
        <v>3348</v>
      </c>
      <c r="F254" t="s">
        <v>9089</v>
      </c>
      <c r="G254" t="s">
        <v>3990</v>
      </c>
    </row>
    <row r="255" spans="1:7" x14ac:dyDescent="0.25">
      <c r="A255" t="s">
        <v>160</v>
      </c>
      <c r="B255" t="s">
        <v>635</v>
      </c>
      <c r="C255">
        <v>2011</v>
      </c>
      <c r="E255" s="10" t="s">
        <v>3400</v>
      </c>
      <c r="F255" t="s">
        <v>9405</v>
      </c>
      <c r="G255" t="s">
        <v>3990</v>
      </c>
    </row>
    <row r="256" spans="1:7" x14ac:dyDescent="0.25">
      <c r="A256" t="s">
        <v>2804</v>
      </c>
      <c r="B256" t="s">
        <v>9870</v>
      </c>
      <c r="C256">
        <v>2021</v>
      </c>
      <c r="E256" t="s">
        <v>2982</v>
      </c>
      <c r="F256" t="s">
        <v>9874</v>
      </c>
      <c r="G256" t="s">
        <v>3990</v>
      </c>
    </row>
    <row r="257" spans="1:7" x14ac:dyDescent="0.25">
      <c r="A257" t="s">
        <v>1144</v>
      </c>
      <c r="B257" t="s">
        <v>639</v>
      </c>
      <c r="C257">
        <v>2012</v>
      </c>
      <c r="E257" t="s">
        <v>642</v>
      </c>
      <c r="F257" t="s">
        <v>8743</v>
      </c>
      <c r="G257" t="s">
        <v>3990</v>
      </c>
    </row>
    <row r="258" spans="1:7" x14ac:dyDescent="0.25">
      <c r="A258" t="s">
        <v>90</v>
      </c>
      <c r="B258" t="s">
        <v>643</v>
      </c>
      <c r="C258">
        <v>2017</v>
      </c>
      <c r="E258" t="s">
        <v>3349</v>
      </c>
      <c r="F258" t="s">
        <v>9090</v>
      </c>
      <c r="G258" t="s">
        <v>3990</v>
      </c>
    </row>
    <row r="259" spans="1:7" x14ac:dyDescent="0.25">
      <c r="A259" t="s">
        <v>759</v>
      </c>
      <c r="B259" t="s">
        <v>14108</v>
      </c>
      <c r="C259">
        <v>2018</v>
      </c>
      <c r="E259" s="10" t="s">
        <v>14110</v>
      </c>
      <c r="F259" t="s">
        <v>14111</v>
      </c>
      <c r="G259" t="s">
        <v>3990</v>
      </c>
    </row>
    <row r="260" spans="1:7" x14ac:dyDescent="0.25">
      <c r="A260" t="s">
        <v>2254</v>
      </c>
      <c r="B260" t="s">
        <v>14108</v>
      </c>
      <c r="C260">
        <v>2020</v>
      </c>
      <c r="E260" s="10" t="s">
        <v>14107</v>
      </c>
      <c r="F260" t="s">
        <v>14109</v>
      </c>
      <c r="G260" t="s">
        <v>3990</v>
      </c>
    </row>
    <row r="261" spans="1:7" x14ac:dyDescent="0.25">
      <c r="A261" t="s">
        <v>746</v>
      </c>
      <c r="B261" t="s">
        <v>647</v>
      </c>
      <c r="C261">
        <v>2015</v>
      </c>
      <c r="E261" s="10" t="s">
        <v>3096</v>
      </c>
      <c r="F261" t="s">
        <v>9404</v>
      </c>
      <c r="G261" t="s">
        <v>3990</v>
      </c>
    </row>
    <row r="262" spans="1:7" x14ac:dyDescent="0.25">
      <c r="A262" t="s">
        <v>1272</v>
      </c>
      <c r="B262" t="s">
        <v>651</v>
      </c>
      <c r="C262">
        <v>2020</v>
      </c>
      <c r="E262" s="10" t="s">
        <v>8311</v>
      </c>
      <c r="F262" t="s">
        <v>10014</v>
      </c>
      <c r="G262" t="s">
        <v>187</v>
      </c>
    </row>
    <row r="263" spans="1:7" x14ac:dyDescent="0.25">
      <c r="A263" t="s">
        <v>1294</v>
      </c>
      <c r="B263" t="s">
        <v>651</v>
      </c>
      <c r="C263">
        <v>2019</v>
      </c>
      <c r="E263" s="10" t="s">
        <v>8311</v>
      </c>
      <c r="F263" t="s">
        <v>10014</v>
      </c>
      <c r="G263" t="s">
        <v>187</v>
      </c>
    </row>
    <row r="264" spans="1:7" x14ac:dyDescent="0.25">
      <c r="A264" t="s">
        <v>1817</v>
      </c>
      <c r="B264" t="s">
        <v>651</v>
      </c>
      <c r="C264">
        <v>2019</v>
      </c>
      <c r="E264" s="10" t="s">
        <v>8311</v>
      </c>
      <c r="F264" t="s">
        <v>10014</v>
      </c>
      <c r="G264" t="s">
        <v>187</v>
      </c>
    </row>
    <row r="265" spans="1:7" x14ac:dyDescent="0.25">
      <c r="A265" t="s">
        <v>2136</v>
      </c>
      <c r="B265" t="s">
        <v>651</v>
      </c>
      <c r="C265">
        <v>2020</v>
      </c>
      <c r="E265" s="10" t="s">
        <v>8311</v>
      </c>
      <c r="F265" t="s">
        <v>10014</v>
      </c>
      <c r="G265" t="s">
        <v>187</v>
      </c>
    </row>
    <row r="266" spans="1:7" x14ac:dyDescent="0.25">
      <c r="A266" t="s">
        <v>90</v>
      </c>
      <c r="B266" t="s">
        <v>651</v>
      </c>
      <c r="C266">
        <v>2017</v>
      </c>
      <c r="E266" s="10" t="s">
        <v>8311</v>
      </c>
      <c r="F266" t="s">
        <v>10014</v>
      </c>
      <c r="G266" t="s">
        <v>187</v>
      </c>
    </row>
    <row r="267" spans="1:7" x14ac:dyDescent="0.25">
      <c r="A267" t="s">
        <v>2428</v>
      </c>
      <c r="B267" t="s">
        <v>651</v>
      </c>
      <c r="C267">
        <v>2008</v>
      </c>
      <c r="E267" s="10" t="s">
        <v>8311</v>
      </c>
      <c r="F267" t="s">
        <v>10014</v>
      </c>
      <c r="G267" t="s">
        <v>187</v>
      </c>
    </row>
    <row r="268" spans="1:7" x14ac:dyDescent="0.25">
      <c r="A268" t="s">
        <v>160</v>
      </c>
      <c r="B268" t="s">
        <v>651</v>
      </c>
      <c r="C268">
        <v>2011</v>
      </c>
      <c r="E268" s="10" t="s">
        <v>8311</v>
      </c>
      <c r="F268" t="s">
        <v>10014</v>
      </c>
      <c r="G268" t="s">
        <v>187</v>
      </c>
    </row>
    <row r="269" spans="1:7" x14ac:dyDescent="0.25">
      <c r="A269" t="s">
        <v>1496</v>
      </c>
      <c r="B269" t="s">
        <v>9900</v>
      </c>
      <c r="C269">
        <v>2016</v>
      </c>
      <c r="E269" s="10" t="s">
        <v>9904</v>
      </c>
      <c r="F269" t="s">
        <v>9905</v>
      </c>
      <c r="G269" t="s">
        <v>3990</v>
      </c>
    </row>
    <row r="270" spans="1:7" x14ac:dyDescent="0.25">
      <c r="A270" t="s">
        <v>256</v>
      </c>
      <c r="B270" t="s">
        <v>656</v>
      </c>
      <c r="C270">
        <v>1994</v>
      </c>
      <c r="E270" s="10" t="s">
        <v>2987</v>
      </c>
      <c r="F270" t="s">
        <v>9402</v>
      </c>
      <c r="G270" t="s">
        <v>3990</v>
      </c>
    </row>
    <row r="271" spans="1:7" x14ac:dyDescent="0.25">
      <c r="A271" t="s">
        <v>260</v>
      </c>
      <c r="B271" t="s">
        <v>656</v>
      </c>
      <c r="C271">
        <v>1990</v>
      </c>
      <c r="E271" s="10" t="s">
        <v>3001</v>
      </c>
      <c r="F271" t="s">
        <v>8467</v>
      </c>
      <c r="G271" t="s">
        <v>3990</v>
      </c>
    </row>
    <row r="272" spans="1:7" x14ac:dyDescent="0.25">
      <c r="A272" t="s">
        <v>2804</v>
      </c>
      <c r="B272" t="s">
        <v>659</v>
      </c>
      <c r="C272">
        <v>2021</v>
      </c>
      <c r="E272" t="s">
        <v>3013</v>
      </c>
      <c r="F272" t="s">
        <v>9527</v>
      </c>
      <c r="G272" t="s">
        <v>187</v>
      </c>
    </row>
    <row r="273" spans="1:7" x14ac:dyDescent="0.25">
      <c r="A273" t="s">
        <v>847</v>
      </c>
      <c r="B273" t="s">
        <v>663</v>
      </c>
      <c r="C273">
        <v>1996</v>
      </c>
      <c r="E273" s="10" t="s">
        <v>8343</v>
      </c>
      <c r="F273" t="s">
        <v>8646</v>
      </c>
      <c r="G273" t="s">
        <v>3990</v>
      </c>
    </row>
    <row r="274" spans="1:7" x14ac:dyDescent="0.25">
      <c r="A274" t="s">
        <v>160</v>
      </c>
      <c r="B274" t="s">
        <v>663</v>
      </c>
      <c r="C274">
        <v>2011</v>
      </c>
      <c r="E274" s="10" t="s">
        <v>8343</v>
      </c>
      <c r="F274" t="s">
        <v>9258</v>
      </c>
      <c r="G274" t="s">
        <v>3990</v>
      </c>
    </row>
    <row r="275" spans="1:7" x14ac:dyDescent="0.25">
      <c r="A275" t="s">
        <v>1576</v>
      </c>
      <c r="B275" t="s">
        <v>667</v>
      </c>
      <c r="C275">
        <v>2021</v>
      </c>
      <c r="E275" t="s">
        <v>2982</v>
      </c>
      <c r="F275" t="s">
        <v>8880</v>
      </c>
      <c r="G275" t="s">
        <v>3990</v>
      </c>
    </row>
    <row r="276" spans="1:7" x14ac:dyDescent="0.25">
      <c r="A276" t="s">
        <v>353</v>
      </c>
      <c r="B276" t="s">
        <v>671</v>
      </c>
      <c r="C276">
        <v>2023</v>
      </c>
      <c r="E276" t="s">
        <v>2982</v>
      </c>
      <c r="F276" t="s">
        <v>8501</v>
      </c>
      <c r="G276" t="s">
        <v>3990</v>
      </c>
    </row>
    <row r="277" spans="1:7" x14ac:dyDescent="0.25">
      <c r="A277" t="s">
        <v>1443</v>
      </c>
      <c r="B277" t="s">
        <v>671</v>
      </c>
      <c r="C277">
        <v>2018</v>
      </c>
      <c r="E277" t="s">
        <v>2982</v>
      </c>
      <c r="F277" t="s">
        <v>8847</v>
      </c>
      <c r="G277" t="s">
        <v>3990</v>
      </c>
    </row>
    <row r="278" spans="1:7" x14ac:dyDescent="0.25">
      <c r="A278" t="s">
        <v>90</v>
      </c>
      <c r="B278" t="s">
        <v>671</v>
      </c>
      <c r="C278">
        <v>2017</v>
      </c>
      <c r="E278" t="s">
        <v>2982</v>
      </c>
      <c r="F278" t="s">
        <v>9091</v>
      </c>
      <c r="G278" t="s">
        <v>3990</v>
      </c>
    </row>
    <row r="279" spans="1:7" x14ac:dyDescent="0.25">
      <c r="A279" t="s">
        <v>510</v>
      </c>
      <c r="B279" t="s">
        <v>673</v>
      </c>
      <c r="C279">
        <v>2018</v>
      </c>
      <c r="D279" t="s">
        <v>187</v>
      </c>
      <c r="F279" t="s">
        <v>9528</v>
      </c>
      <c r="G279" t="s">
        <v>3990</v>
      </c>
    </row>
    <row r="280" spans="1:7" x14ac:dyDescent="0.25">
      <c r="A280" t="s">
        <v>1690</v>
      </c>
      <c r="B280" t="s">
        <v>673</v>
      </c>
      <c r="C280">
        <v>2020</v>
      </c>
      <c r="E280" t="s">
        <v>2982</v>
      </c>
      <c r="F280" t="s">
        <v>8900</v>
      </c>
      <c r="G280" t="s">
        <v>3990</v>
      </c>
    </row>
    <row r="281" spans="1:7" x14ac:dyDescent="0.25">
      <c r="A281" t="s">
        <v>90</v>
      </c>
      <c r="B281" t="s">
        <v>673</v>
      </c>
      <c r="C281">
        <v>2017</v>
      </c>
      <c r="E281" s="10" t="s">
        <v>8352</v>
      </c>
      <c r="F281" t="s">
        <v>9092</v>
      </c>
      <c r="G281" t="s">
        <v>3990</v>
      </c>
    </row>
    <row r="282" spans="1:7" x14ac:dyDescent="0.25">
      <c r="A282" t="s">
        <v>1761</v>
      </c>
      <c r="B282" t="s">
        <v>677</v>
      </c>
      <c r="C282">
        <v>1995</v>
      </c>
      <c r="E282" s="10" t="s">
        <v>8345</v>
      </c>
      <c r="F282" t="s">
        <v>8916</v>
      </c>
      <c r="G282" t="s">
        <v>3990</v>
      </c>
    </row>
    <row r="283" spans="1:7" x14ac:dyDescent="0.25">
      <c r="A283" t="s">
        <v>90</v>
      </c>
      <c r="B283" t="s">
        <v>681</v>
      </c>
      <c r="C283">
        <v>2017</v>
      </c>
      <c r="E283" t="s">
        <v>3350</v>
      </c>
      <c r="F283" t="s">
        <v>9093</v>
      </c>
      <c r="G283" t="s">
        <v>3990</v>
      </c>
    </row>
    <row r="284" spans="1:7" x14ac:dyDescent="0.25">
      <c r="A284" t="s">
        <v>1144</v>
      </c>
      <c r="B284" t="s">
        <v>685</v>
      </c>
      <c r="C284">
        <v>2012</v>
      </c>
      <c r="E284" t="s">
        <v>3197</v>
      </c>
      <c r="F284" t="s">
        <v>9403</v>
      </c>
      <c r="G284" t="s">
        <v>3990</v>
      </c>
    </row>
    <row r="285" spans="1:7" x14ac:dyDescent="0.25">
      <c r="A285" t="s">
        <v>2154</v>
      </c>
      <c r="B285" t="s">
        <v>689</v>
      </c>
      <c r="C285">
        <v>1980</v>
      </c>
      <c r="E285" t="s">
        <v>3319</v>
      </c>
      <c r="F285" t="s">
        <v>9024</v>
      </c>
      <c r="G285" t="s">
        <v>3990</v>
      </c>
    </row>
    <row r="286" spans="1:7" x14ac:dyDescent="0.25">
      <c r="A286" t="s">
        <v>2173</v>
      </c>
      <c r="B286" t="s">
        <v>689</v>
      </c>
      <c r="C286">
        <v>2013</v>
      </c>
      <c r="E286" t="s">
        <v>3319</v>
      </c>
      <c r="F286" t="s">
        <v>9043</v>
      </c>
      <c r="G286" t="s">
        <v>3990</v>
      </c>
    </row>
    <row r="287" spans="1:7" x14ac:dyDescent="0.25">
      <c r="A287" t="s">
        <v>2428</v>
      </c>
      <c r="B287" t="s">
        <v>689</v>
      </c>
      <c r="C287">
        <v>2008</v>
      </c>
      <c r="E287" t="s">
        <v>3319</v>
      </c>
      <c r="F287" t="s">
        <v>9196</v>
      </c>
      <c r="G287" t="s">
        <v>3990</v>
      </c>
    </row>
    <row r="288" spans="1:7" x14ac:dyDescent="0.25">
      <c r="A288" t="s">
        <v>160</v>
      </c>
      <c r="B288" t="s">
        <v>689</v>
      </c>
      <c r="C288">
        <v>2011</v>
      </c>
      <c r="E288" t="s">
        <v>3319</v>
      </c>
      <c r="F288" t="s">
        <v>9259</v>
      </c>
      <c r="G288" t="s">
        <v>3990</v>
      </c>
    </row>
    <row r="289" spans="1:7" x14ac:dyDescent="0.25">
      <c r="A289" t="s">
        <v>2947</v>
      </c>
      <c r="B289" t="s">
        <v>698</v>
      </c>
      <c r="C289">
        <v>1994</v>
      </c>
      <c r="E289" t="s">
        <v>3433</v>
      </c>
      <c r="F289" t="s">
        <v>9366</v>
      </c>
      <c r="G289" t="s">
        <v>3990</v>
      </c>
    </row>
    <row r="290" spans="1:7" x14ac:dyDescent="0.25">
      <c r="A290" t="s">
        <v>353</v>
      </c>
      <c r="B290" t="s">
        <v>706</v>
      </c>
      <c r="C290">
        <v>2023</v>
      </c>
      <c r="E290" t="s">
        <v>3024</v>
      </c>
      <c r="F290" t="s">
        <v>9385</v>
      </c>
      <c r="G290" t="s">
        <v>3990</v>
      </c>
    </row>
    <row r="291" spans="1:7" x14ac:dyDescent="0.25">
      <c r="A291" t="s">
        <v>1951</v>
      </c>
      <c r="B291" t="s">
        <v>706</v>
      </c>
      <c r="C291">
        <v>2022</v>
      </c>
      <c r="E291" t="s">
        <v>3024</v>
      </c>
      <c r="F291" t="s">
        <v>9384</v>
      </c>
      <c r="G291" t="s">
        <v>3990</v>
      </c>
    </row>
    <row r="292" spans="1:7" x14ac:dyDescent="0.25">
      <c r="A292" t="s">
        <v>759</v>
      </c>
      <c r="B292" t="s">
        <v>709</v>
      </c>
      <c r="C292">
        <v>2018</v>
      </c>
      <c r="E292" t="s">
        <v>3114</v>
      </c>
      <c r="F292" t="s">
        <v>10015</v>
      </c>
      <c r="G292" t="s">
        <v>187</v>
      </c>
    </row>
    <row r="293" spans="1:7" x14ac:dyDescent="0.25">
      <c r="A293" t="s">
        <v>914</v>
      </c>
      <c r="B293" t="s">
        <v>709</v>
      </c>
      <c r="C293">
        <v>2013</v>
      </c>
      <c r="E293" t="s">
        <v>3114</v>
      </c>
      <c r="F293" t="s">
        <v>10015</v>
      </c>
      <c r="G293" t="s">
        <v>187</v>
      </c>
    </row>
    <row r="294" spans="1:7" x14ac:dyDescent="0.25">
      <c r="A294" t="s">
        <v>1046</v>
      </c>
      <c r="B294" t="s">
        <v>709</v>
      </c>
      <c r="C294">
        <v>2016</v>
      </c>
      <c r="E294" t="s">
        <v>3114</v>
      </c>
      <c r="F294" t="s">
        <v>10015</v>
      </c>
      <c r="G294" t="s">
        <v>187</v>
      </c>
    </row>
    <row r="295" spans="1:7" x14ac:dyDescent="0.25">
      <c r="A295" t="s">
        <v>1294</v>
      </c>
      <c r="B295" t="s">
        <v>709</v>
      </c>
      <c r="C295">
        <v>2019</v>
      </c>
      <c r="E295" t="s">
        <v>3114</v>
      </c>
      <c r="F295" t="s">
        <v>10015</v>
      </c>
      <c r="G295" t="s">
        <v>187</v>
      </c>
    </row>
    <row r="296" spans="1:7" x14ac:dyDescent="0.25">
      <c r="A296" t="s">
        <v>160</v>
      </c>
      <c r="B296" t="s">
        <v>709</v>
      </c>
      <c r="C296">
        <v>2011</v>
      </c>
      <c r="E296" t="s">
        <v>3114</v>
      </c>
      <c r="F296" t="s">
        <v>10015</v>
      </c>
      <c r="G296" t="s">
        <v>187</v>
      </c>
    </row>
    <row r="297" spans="1:7" x14ac:dyDescent="0.25">
      <c r="A297" t="s">
        <v>1144</v>
      </c>
      <c r="B297" t="s">
        <v>713</v>
      </c>
      <c r="C297">
        <v>2012</v>
      </c>
      <c r="E297" t="s">
        <v>3198</v>
      </c>
      <c r="F297" t="s">
        <v>9413</v>
      </c>
      <c r="G297" t="s">
        <v>3990</v>
      </c>
    </row>
    <row r="298" spans="1:7" x14ac:dyDescent="0.25">
      <c r="A298" t="s">
        <v>2502</v>
      </c>
      <c r="B298" t="s">
        <v>713</v>
      </c>
      <c r="C298">
        <v>2015</v>
      </c>
      <c r="D298" t="s">
        <v>187</v>
      </c>
      <c r="F298" t="s">
        <v>9529</v>
      </c>
      <c r="G298" t="s">
        <v>3990</v>
      </c>
    </row>
    <row r="299" spans="1:7" x14ac:dyDescent="0.25">
      <c r="A299" t="s">
        <v>1576</v>
      </c>
      <c r="B299" t="s">
        <v>717</v>
      </c>
      <c r="C299">
        <v>2021</v>
      </c>
      <c r="E299" t="s">
        <v>3260</v>
      </c>
      <c r="F299" t="s">
        <v>8881</v>
      </c>
      <c r="G299" t="s">
        <v>3990</v>
      </c>
    </row>
    <row r="300" spans="1:7" x14ac:dyDescent="0.25">
      <c r="A300" t="s">
        <v>720</v>
      </c>
      <c r="B300" t="s">
        <v>724</v>
      </c>
      <c r="C300">
        <v>2016</v>
      </c>
      <c r="D300" t="s">
        <v>187</v>
      </c>
      <c r="F300" t="s">
        <v>9530</v>
      </c>
      <c r="G300" t="s">
        <v>3990</v>
      </c>
    </row>
    <row r="301" spans="1:7" x14ac:dyDescent="0.25">
      <c r="A301" t="s">
        <v>778</v>
      </c>
      <c r="B301" t="s">
        <v>7821</v>
      </c>
      <c r="C301">
        <v>2023</v>
      </c>
      <c r="E301" s="10" t="s">
        <v>9962</v>
      </c>
      <c r="F301" t="s">
        <v>9963</v>
      </c>
      <c r="G301" t="s">
        <v>3990</v>
      </c>
    </row>
    <row r="302" spans="1:7" x14ac:dyDescent="0.25">
      <c r="A302" t="s">
        <v>1294</v>
      </c>
      <c r="B302" t="s">
        <v>7821</v>
      </c>
      <c r="C302">
        <v>2019</v>
      </c>
      <c r="E302" t="s">
        <v>7823</v>
      </c>
      <c r="F302" t="s">
        <v>8790</v>
      </c>
      <c r="G302" t="s">
        <v>3990</v>
      </c>
    </row>
    <row r="303" spans="1:7" x14ac:dyDescent="0.25">
      <c r="A303" t="s">
        <v>2804</v>
      </c>
      <c r="B303" t="s">
        <v>7821</v>
      </c>
      <c r="C303">
        <v>2021</v>
      </c>
      <c r="E303" t="s">
        <v>7823</v>
      </c>
      <c r="F303" t="s">
        <v>9323</v>
      </c>
      <c r="G303" t="s">
        <v>3990</v>
      </c>
    </row>
    <row r="304" spans="1:7" x14ac:dyDescent="0.25">
      <c r="A304" t="s">
        <v>746</v>
      </c>
      <c r="B304" t="s">
        <v>726</v>
      </c>
      <c r="C304">
        <v>2015</v>
      </c>
      <c r="E304" s="10" t="s">
        <v>8354</v>
      </c>
      <c r="F304" t="s">
        <v>8591</v>
      </c>
      <c r="G304" t="s">
        <v>3990</v>
      </c>
    </row>
    <row r="305" spans="1:7" x14ac:dyDescent="0.25">
      <c r="A305" t="s">
        <v>847</v>
      </c>
      <c r="B305" t="s">
        <v>726</v>
      </c>
      <c r="C305">
        <v>1996</v>
      </c>
      <c r="E305" s="10" t="s">
        <v>8353</v>
      </c>
      <c r="F305" t="s">
        <v>8647</v>
      </c>
      <c r="G305" t="s">
        <v>3990</v>
      </c>
    </row>
    <row r="306" spans="1:7" x14ac:dyDescent="0.25">
      <c r="A306" t="s">
        <v>1294</v>
      </c>
      <c r="B306" t="s">
        <v>726</v>
      </c>
      <c r="C306">
        <v>2019</v>
      </c>
      <c r="E306" s="10" t="s">
        <v>8353</v>
      </c>
      <c r="F306" t="s">
        <v>8791</v>
      </c>
      <c r="G306" t="s">
        <v>3990</v>
      </c>
    </row>
    <row r="307" spans="1:7" x14ac:dyDescent="0.25">
      <c r="A307" t="s">
        <v>353</v>
      </c>
      <c r="B307" t="s">
        <v>730</v>
      </c>
      <c r="C307">
        <v>2023</v>
      </c>
      <c r="E307" t="s">
        <v>3025</v>
      </c>
      <c r="F307" t="s">
        <v>10016</v>
      </c>
      <c r="G307" t="s">
        <v>187</v>
      </c>
    </row>
    <row r="308" spans="1:7" x14ac:dyDescent="0.25">
      <c r="A308" t="s">
        <v>1435</v>
      </c>
      <c r="B308" t="s">
        <v>730</v>
      </c>
      <c r="C308">
        <v>2021</v>
      </c>
      <c r="E308" t="s">
        <v>3025</v>
      </c>
      <c r="F308" t="s">
        <v>10016</v>
      </c>
      <c r="G308" t="s">
        <v>187</v>
      </c>
    </row>
    <row r="309" spans="1:7" x14ac:dyDescent="0.25">
      <c r="A309" t="s">
        <v>1851</v>
      </c>
      <c r="B309" t="s">
        <v>730</v>
      </c>
      <c r="C309">
        <v>2024</v>
      </c>
      <c r="E309" t="s">
        <v>3025</v>
      </c>
      <c r="F309" t="s">
        <v>10016</v>
      </c>
      <c r="G309" t="s">
        <v>187</v>
      </c>
    </row>
    <row r="310" spans="1:7" x14ac:dyDescent="0.25">
      <c r="A310" t="s">
        <v>90</v>
      </c>
      <c r="B310" t="s">
        <v>730</v>
      </c>
      <c r="C310">
        <v>2017</v>
      </c>
      <c r="E310" t="s">
        <v>3025</v>
      </c>
      <c r="F310" t="s">
        <v>10016</v>
      </c>
      <c r="G310" t="s">
        <v>187</v>
      </c>
    </row>
    <row r="311" spans="1:7" x14ac:dyDescent="0.25">
      <c r="A311" t="s">
        <v>2506</v>
      </c>
      <c r="B311" t="s">
        <v>730</v>
      </c>
      <c r="C311">
        <v>2021</v>
      </c>
      <c r="E311" t="s">
        <v>3025</v>
      </c>
      <c r="F311" t="s">
        <v>10016</v>
      </c>
      <c r="G311" t="s">
        <v>187</v>
      </c>
    </row>
    <row r="312" spans="1:7" x14ac:dyDescent="0.25">
      <c r="A312" t="s">
        <v>746</v>
      </c>
      <c r="B312" t="s">
        <v>737</v>
      </c>
      <c r="C312">
        <v>2015</v>
      </c>
      <c r="E312" t="s">
        <v>3097</v>
      </c>
      <c r="F312" t="s">
        <v>9531</v>
      </c>
      <c r="G312" t="s">
        <v>187</v>
      </c>
    </row>
    <row r="313" spans="1:7" x14ac:dyDescent="0.25">
      <c r="A313" t="s">
        <v>847</v>
      </c>
      <c r="B313" t="s">
        <v>741</v>
      </c>
      <c r="C313">
        <v>1996</v>
      </c>
      <c r="E313" t="s">
        <v>3132</v>
      </c>
      <c r="F313" t="s">
        <v>8648</v>
      </c>
      <c r="G313" t="s">
        <v>3990</v>
      </c>
    </row>
    <row r="314" spans="1:7" x14ac:dyDescent="0.25">
      <c r="A314" t="s">
        <v>2095</v>
      </c>
      <c r="B314" t="s">
        <v>741</v>
      </c>
      <c r="C314">
        <v>2023</v>
      </c>
      <c r="E314" t="s">
        <v>3307</v>
      </c>
      <c r="F314" t="s">
        <v>9532</v>
      </c>
      <c r="G314" t="s">
        <v>3990</v>
      </c>
    </row>
    <row r="315" spans="1:7" x14ac:dyDescent="0.25">
      <c r="A315" t="s">
        <v>2136</v>
      </c>
      <c r="B315" t="s">
        <v>741</v>
      </c>
      <c r="C315">
        <v>2020</v>
      </c>
      <c r="E315" t="s">
        <v>3132</v>
      </c>
      <c r="F315" t="s">
        <v>9004</v>
      </c>
      <c r="G315" t="s">
        <v>3990</v>
      </c>
    </row>
    <row r="316" spans="1:7" x14ac:dyDescent="0.25">
      <c r="A316" t="s">
        <v>2804</v>
      </c>
      <c r="B316" t="s">
        <v>741</v>
      </c>
      <c r="C316">
        <v>2021</v>
      </c>
      <c r="E316" t="s">
        <v>3421</v>
      </c>
      <c r="F316" t="s">
        <v>9324</v>
      </c>
      <c r="G316" t="s">
        <v>3990</v>
      </c>
    </row>
    <row r="317" spans="1:7" x14ac:dyDescent="0.25">
      <c r="A317" t="s">
        <v>1272</v>
      </c>
      <c r="B317" t="s">
        <v>744</v>
      </c>
      <c r="C317">
        <v>2020</v>
      </c>
      <c r="E317" t="s">
        <v>3217</v>
      </c>
      <c r="F317" t="s">
        <v>9414</v>
      </c>
      <c r="G317" t="s">
        <v>3990</v>
      </c>
    </row>
    <row r="318" spans="1:7" x14ac:dyDescent="0.25">
      <c r="A318" t="s">
        <v>1294</v>
      </c>
      <c r="B318" t="s">
        <v>744</v>
      </c>
      <c r="C318">
        <v>2019</v>
      </c>
      <c r="E318" t="s">
        <v>3217</v>
      </c>
      <c r="F318" t="s">
        <v>9415</v>
      </c>
      <c r="G318" t="s">
        <v>3990</v>
      </c>
    </row>
    <row r="319" spans="1:7" x14ac:dyDescent="0.25">
      <c r="A319" t="s">
        <v>746</v>
      </c>
      <c r="B319" t="s">
        <v>750</v>
      </c>
      <c r="C319">
        <v>2015</v>
      </c>
      <c r="D319" t="s">
        <v>187</v>
      </c>
      <c r="F319" t="s">
        <v>9533</v>
      </c>
      <c r="G319" t="s">
        <v>3990</v>
      </c>
    </row>
    <row r="320" spans="1:7" x14ac:dyDescent="0.25">
      <c r="A320" t="s">
        <v>2721</v>
      </c>
      <c r="B320" t="s">
        <v>754</v>
      </c>
      <c r="C320">
        <v>1993</v>
      </c>
      <c r="E320" t="s">
        <v>3416</v>
      </c>
      <c r="F320" t="s">
        <v>9312</v>
      </c>
      <c r="G320" t="s">
        <v>3990</v>
      </c>
    </row>
    <row r="321" spans="1:7" x14ac:dyDescent="0.25">
      <c r="A321" t="s">
        <v>2132</v>
      </c>
      <c r="B321" t="s">
        <v>759</v>
      </c>
      <c r="C321">
        <v>2013</v>
      </c>
      <c r="E321" t="s">
        <v>3309</v>
      </c>
      <c r="F321" t="s">
        <v>8998</v>
      </c>
      <c r="G321" t="s">
        <v>3990</v>
      </c>
    </row>
    <row r="322" spans="1:7" x14ac:dyDescent="0.25">
      <c r="A322" t="s">
        <v>2173</v>
      </c>
      <c r="B322" t="s">
        <v>759</v>
      </c>
      <c r="C322">
        <v>2013</v>
      </c>
      <c r="E322" t="s">
        <v>3329</v>
      </c>
      <c r="F322" t="s">
        <v>9534</v>
      </c>
      <c r="G322" t="s">
        <v>187</v>
      </c>
    </row>
    <row r="323" spans="1:7" x14ac:dyDescent="0.25">
      <c r="A323" t="s">
        <v>160</v>
      </c>
      <c r="B323" t="s">
        <v>759</v>
      </c>
      <c r="C323">
        <v>2011</v>
      </c>
      <c r="E323" t="s">
        <v>3309</v>
      </c>
      <c r="F323" t="s">
        <v>9260</v>
      </c>
      <c r="G323" t="s">
        <v>3990</v>
      </c>
    </row>
    <row r="324" spans="1:7" x14ac:dyDescent="0.25">
      <c r="A324" t="s">
        <v>1855</v>
      </c>
      <c r="B324" t="s">
        <v>763</v>
      </c>
      <c r="C324">
        <v>2015</v>
      </c>
      <c r="E324" t="s">
        <v>3295</v>
      </c>
      <c r="F324" t="s">
        <v>8961</v>
      </c>
      <c r="G324" t="s">
        <v>3990</v>
      </c>
    </row>
    <row r="325" spans="1:7" x14ac:dyDescent="0.25">
      <c r="A325" t="s">
        <v>160</v>
      </c>
      <c r="B325" t="s">
        <v>763</v>
      </c>
      <c r="C325">
        <v>2011</v>
      </c>
      <c r="E325" t="s">
        <v>3401</v>
      </c>
      <c r="F325" t="s">
        <v>9261</v>
      </c>
      <c r="G325" t="s">
        <v>3990</v>
      </c>
    </row>
    <row r="326" spans="1:7" x14ac:dyDescent="0.25">
      <c r="A326" t="s">
        <v>353</v>
      </c>
      <c r="B326" t="s">
        <v>767</v>
      </c>
      <c r="C326">
        <v>2023</v>
      </c>
      <c r="E326" t="s">
        <v>3026</v>
      </c>
      <c r="F326" t="s">
        <v>8502</v>
      </c>
      <c r="G326" t="s">
        <v>3990</v>
      </c>
    </row>
    <row r="327" spans="1:7" x14ac:dyDescent="0.25">
      <c r="A327" t="s">
        <v>1443</v>
      </c>
      <c r="B327" t="s">
        <v>771</v>
      </c>
      <c r="C327">
        <v>2018</v>
      </c>
      <c r="E327" t="s">
        <v>3245</v>
      </c>
      <c r="F327" t="s">
        <v>8848</v>
      </c>
      <c r="G327" t="s">
        <v>3990</v>
      </c>
    </row>
    <row r="328" spans="1:7" x14ac:dyDescent="0.25">
      <c r="A328" t="s">
        <v>2146</v>
      </c>
      <c r="B328" t="s">
        <v>774</v>
      </c>
      <c r="C328">
        <v>2020</v>
      </c>
      <c r="E328" s="10" t="s">
        <v>8377</v>
      </c>
      <c r="F328" t="s">
        <v>9017</v>
      </c>
      <c r="G328" t="s">
        <v>3990</v>
      </c>
    </row>
    <row r="329" spans="1:7" x14ac:dyDescent="0.25">
      <c r="A329" t="s">
        <v>847</v>
      </c>
      <c r="B329" t="s">
        <v>778</v>
      </c>
      <c r="C329">
        <v>1996</v>
      </c>
      <c r="E329" t="s">
        <v>3133</v>
      </c>
      <c r="F329" t="s">
        <v>10017</v>
      </c>
      <c r="G329" t="s">
        <v>187</v>
      </c>
    </row>
    <row r="330" spans="1:7" x14ac:dyDescent="0.25">
      <c r="A330" t="s">
        <v>1294</v>
      </c>
      <c r="B330" t="s">
        <v>778</v>
      </c>
      <c r="C330">
        <v>2019</v>
      </c>
      <c r="E330" t="s">
        <v>3224</v>
      </c>
      <c r="F330" t="s">
        <v>8792</v>
      </c>
      <c r="G330" t="s">
        <v>3990</v>
      </c>
    </row>
    <row r="331" spans="1:7" x14ac:dyDescent="0.25">
      <c r="A331" t="s">
        <v>2804</v>
      </c>
      <c r="B331" t="s">
        <v>778</v>
      </c>
      <c r="C331">
        <v>2021</v>
      </c>
      <c r="E331" t="s">
        <v>3133</v>
      </c>
      <c r="F331" t="s">
        <v>10017</v>
      </c>
      <c r="G331" t="s">
        <v>187</v>
      </c>
    </row>
    <row r="332" spans="1:7" x14ac:dyDescent="0.25">
      <c r="A332" t="s">
        <v>1855</v>
      </c>
      <c r="B332" t="s">
        <v>782</v>
      </c>
      <c r="C332">
        <v>2015</v>
      </c>
      <c r="E332" s="10" t="s">
        <v>8342</v>
      </c>
      <c r="F332" t="s">
        <v>9535</v>
      </c>
      <c r="G332" t="s">
        <v>3990</v>
      </c>
    </row>
    <row r="333" spans="1:7" x14ac:dyDescent="0.25">
      <c r="A333" t="s">
        <v>813</v>
      </c>
      <c r="B333" t="s">
        <v>786</v>
      </c>
      <c r="C333">
        <v>2018</v>
      </c>
      <c r="E333" t="s">
        <v>2982</v>
      </c>
      <c r="F333" t="s">
        <v>8639</v>
      </c>
      <c r="G333" t="s">
        <v>3990</v>
      </c>
    </row>
    <row r="334" spans="1:7" x14ac:dyDescent="0.25">
      <c r="A334" t="s">
        <v>1144</v>
      </c>
      <c r="B334" t="s">
        <v>786</v>
      </c>
      <c r="C334">
        <v>2012</v>
      </c>
      <c r="E334" t="s">
        <v>2982</v>
      </c>
      <c r="F334" t="s">
        <v>8744</v>
      </c>
      <c r="G334" t="s">
        <v>3990</v>
      </c>
    </row>
    <row r="335" spans="1:7" x14ac:dyDescent="0.25">
      <c r="A335" t="s">
        <v>1443</v>
      </c>
      <c r="B335" t="s">
        <v>786</v>
      </c>
      <c r="C335">
        <v>2018</v>
      </c>
      <c r="E335" t="s">
        <v>2982</v>
      </c>
      <c r="F335" t="s">
        <v>8849</v>
      </c>
      <c r="G335" t="s">
        <v>3990</v>
      </c>
    </row>
    <row r="336" spans="1:7" x14ac:dyDescent="0.25">
      <c r="A336" t="s">
        <v>1144</v>
      </c>
      <c r="B336" t="s">
        <v>791</v>
      </c>
      <c r="C336">
        <v>2012</v>
      </c>
      <c r="E336" t="s">
        <v>3199</v>
      </c>
      <c r="F336" t="s">
        <v>8745</v>
      </c>
      <c r="G336" t="s">
        <v>3990</v>
      </c>
    </row>
    <row r="337" spans="1:7" x14ac:dyDescent="0.25">
      <c r="A337" t="s">
        <v>746</v>
      </c>
      <c r="B337" t="s">
        <v>795</v>
      </c>
      <c r="C337">
        <v>2015</v>
      </c>
      <c r="E337" t="s">
        <v>3098</v>
      </c>
      <c r="F337" t="s">
        <v>8592</v>
      </c>
      <c r="G337" t="s">
        <v>3990</v>
      </c>
    </row>
    <row r="338" spans="1:7" x14ac:dyDescent="0.25">
      <c r="A338" t="s">
        <v>1265</v>
      </c>
      <c r="B338" t="s">
        <v>795</v>
      </c>
      <c r="C338">
        <v>2015</v>
      </c>
      <c r="E338" t="s">
        <v>3098</v>
      </c>
      <c r="F338" t="s">
        <v>8771</v>
      </c>
      <c r="G338" t="s">
        <v>3990</v>
      </c>
    </row>
    <row r="339" spans="1:7" x14ac:dyDescent="0.25">
      <c r="A339" t="s">
        <v>1686</v>
      </c>
      <c r="B339" t="s">
        <v>795</v>
      </c>
      <c r="C339">
        <v>2017</v>
      </c>
      <c r="E339" t="s">
        <v>3098</v>
      </c>
      <c r="F339" t="s">
        <v>8898</v>
      </c>
      <c r="G339" t="s">
        <v>3990</v>
      </c>
    </row>
    <row r="340" spans="1:7" x14ac:dyDescent="0.25">
      <c r="A340" t="s">
        <v>90</v>
      </c>
      <c r="B340" t="s">
        <v>795</v>
      </c>
      <c r="C340">
        <v>2017</v>
      </c>
      <c r="E340" t="s">
        <v>3098</v>
      </c>
      <c r="F340" t="s">
        <v>9094</v>
      </c>
      <c r="G340" t="s">
        <v>3990</v>
      </c>
    </row>
    <row r="341" spans="1:7" x14ac:dyDescent="0.25">
      <c r="A341" t="s">
        <v>90</v>
      </c>
      <c r="B341" t="s">
        <v>799</v>
      </c>
      <c r="C341">
        <v>2017</v>
      </c>
      <c r="E341" t="s">
        <v>3351</v>
      </c>
      <c r="F341" t="s">
        <v>9536</v>
      </c>
      <c r="G341" t="s">
        <v>187</v>
      </c>
    </row>
    <row r="342" spans="1:7" x14ac:dyDescent="0.25">
      <c r="A342" t="s">
        <v>90</v>
      </c>
      <c r="B342" t="s">
        <v>803</v>
      </c>
      <c r="C342">
        <v>2017</v>
      </c>
      <c r="E342" t="s">
        <v>2982</v>
      </c>
      <c r="F342" t="s">
        <v>9095</v>
      </c>
      <c r="G342" t="s">
        <v>3990</v>
      </c>
    </row>
    <row r="343" spans="1:7" x14ac:dyDescent="0.25">
      <c r="A343" t="s">
        <v>2890</v>
      </c>
      <c r="B343" t="s">
        <v>803</v>
      </c>
      <c r="C343">
        <v>2023</v>
      </c>
      <c r="E343" t="s">
        <v>2982</v>
      </c>
      <c r="F343" t="s">
        <v>9359</v>
      </c>
      <c r="G343" t="s">
        <v>3990</v>
      </c>
    </row>
    <row r="344" spans="1:7" x14ac:dyDescent="0.25">
      <c r="A344" t="s">
        <v>1795</v>
      </c>
      <c r="B344" t="s">
        <v>807</v>
      </c>
      <c r="C344">
        <v>1987</v>
      </c>
      <c r="E344" t="s">
        <v>3274</v>
      </c>
      <c r="F344" t="s">
        <v>9416</v>
      </c>
      <c r="G344" t="s">
        <v>3990</v>
      </c>
    </row>
    <row r="345" spans="1:7" x14ac:dyDescent="0.25">
      <c r="A345" t="s">
        <v>1272</v>
      </c>
      <c r="B345" t="s">
        <v>7942</v>
      </c>
      <c r="C345">
        <v>2020</v>
      </c>
      <c r="E345" s="10" t="s">
        <v>7945</v>
      </c>
      <c r="F345" t="s">
        <v>8774</v>
      </c>
      <c r="G345" t="s">
        <v>3990</v>
      </c>
    </row>
    <row r="346" spans="1:7" x14ac:dyDescent="0.25">
      <c r="A346" t="s">
        <v>2136</v>
      </c>
      <c r="B346" t="s">
        <v>7942</v>
      </c>
      <c r="C346">
        <v>2020</v>
      </c>
      <c r="E346" s="10" t="s">
        <v>7945</v>
      </c>
      <c r="F346" t="s">
        <v>9005</v>
      </c>
      <c r="G346" t="s">
        <v>3990</v>
      </c>
    </row>
    <row r="347" spans="1:7" x14ac:dyDescent="0.25">
      <c r="A347" t="s">
        <v>2146</v>
      </c>
      <c r="B347" t="s">
        <v>7942</v>
      </c>
      <c r="C347">
        <v>2020</v>
      </c>
      <c r="E347" s="10" t="s">
        <v>7945</v>
      </c>
      <c r="F347" t="s">
        <v>9018</v>
      </c>
      <c r="G347" t="s">
        <v>3990</v>
      </c>
    </row>
    <row r="348" spans="1:7" x14ac:dyDescent="0.25">
      <c r="A348" t="s">
        <v>2901</v>
      </c>
      <c r="B348" t="s">
        <v>7942</v>
      </c>
      <c r="C348">
        <v>2023</v>
      </c>
      <c r="E348" s="10" t="s">
        <v>7945</v>
      </c>
      <c r="F348" t="s">
        <v>9360</v>
      </c>
      <c r="G348" t="s">
        <v>3990</v>
      </c>
    </row>
    <row r="349" spans="1:7" x14ac:dyDescent="0.25">
      <c r="A349" t="s">
        <v>2804</v>
      </c>
      <c r="B349" t="s">
        <v>811</v>
      </c>
      <c r="C349">
        <v>2021</v>
      </c>
      <c r="E349" t="s">
        <v>3013</v>
      </c>
      <c r="F349" t="s">
        <v>9537</v>
      </c>
      <c r="G349" t="s">
        <v>187</v>
      </c>
    </row>
    <row r="350" spans="1:7" x14ac:dyDescent="0.25">
      <c r="A350" t="s">
        <v>746</v>
      </c>
      <c r="B350" t="s">
        <v>813</v>
      </c>
      <c r="C350">
        <v>2015</v>
      </c>
      <c r="E350" t="s">
        <v>3099</v>
      </c>
      <c r="F350" t="s">
        <v>8593</v>
      </c>
      <c r="G350" t="s">
        <v>3990</v>
      </c>
    </row>
    <row r="351" spans="1:7" x14ac:dyDescent="0.25">
      <c r="A351" t="s">
        <v>1144</v>
      </c>
      <c r="B351" t="s">
        <v>813</v>
      </c>
      <c r="C351">
        <v>2012</v>
      </c>
      <c r="E351" t="s">
        <v>3099</v>
      </c>
      <c r="F351" t="s">
        <v>8746</v>
      </c>
      <c r="G351" t="s">
        <v>3990</v>
      </c>
    </row>
    <row r="352" spans="1:7" x14ac:dyDescent="0.25">
      <c r="A352" t="s">
        <v>90</v>
      </c>
      <c r="B352" t="s">
        <v>815</v>
      </c>
      <c r="C352">
        <v>2017</v>
      </c>
      <c r="E352" t="s">
        <v>3352</v>
      </c>
      <c r="F352" t="s">
        <v>9096</v>
      </c>
      <c r="G352" t="s">
        <v>3990</v>
      </c>
    </row>
    <row r="353" spans="1:7" x14ac:dyDescent="0.25">
      <c r="A353" t="s">
        <v>847</v>
      </c>
      <c r="B353" t="s">
        <v>819</v>
      </c>
      <c r="C353">
        <v>1996</v>
      </c>
      <c r="E353" s="10" t="s">
        <v>7914</v>
      </c>
      <c r="F353" t="s">
        <v>10018</v>
      </c>
      <c r="G353" t="s">
        <v>187</v>
      </c>
    </row>
    <row r="354" spans="1:7" x14ac:dyDescent="0.25">
      <c r="A354" t="s">
        <v>1795</v>
      </c>
      <c r="B354" t="s">
        <v>819</v>
      </c>
      <c r="C354">
        <v>1987</v>
      </c>
      <c r="E354" s="10" t="s">
        <v>7914</v>
      </c>
      <c r="F354" t="s">
        <v>10018</v>
      </c>
      <c r="G354" t="s">
        <v>187</v>
      </c>
    </row>
    <row r="355" spans="1:7" x14ac:dyDescent="0.25">
      <c r="A355" t="s">
        <v>2154</v>
      </c>
      <c r="B355" t="s">
        <v>819</v>
      </c>
      <c r="C355">
        <v>1980</v>
      </c>
      <c r="E355" s="10" t="s">
        <v>7914</v>
      </c>
      <c r="F355" t="s">
        <v>10018</v>
      </c>
      <c r="G355" t="s">
        <v>187</v>
      </c>
    </row>
    <row r="356" spans="1:7" x14ac:dyDescent="0.25">
      <c r="A356" t="s">
        <v>689</v>
      </c>
      <c r="B356" t="s">
        <v>821</v>
      </c>
      <c r="C356">
        <v>2015</v>
      </c>
      <c r="E356" t="s">
        <v>3086</v>
      </c>
      <c r="F356" t="s">
        <v>8575</v>
      </c>
      <c r="G356" t="s">
        <v>3990</v>
      </c>
    </row>
    <row r="357" spans="1:7" x14ac:dyDescent="0.25">
      <c r="A357" t="s">
        <v>1294</v>
      </c>
      <c r="B357" t="s">
        <v>821</v>
      </c>
      <c r="C357">
        <v>2019</v>
      </c>
      <c r="E357" t="s">
        <v>3086</v>
      </c>
      <c r="F357" t="s">
        <v>8793</v>
      </c>
      <c r="G357" t="s">
        <v>3990</v>
      </c>
    </row>
    <row r="358" spans="1:7" x14ac:dyDescent="0.25">
      <c r="A358" t="s">
        <v>90</v>
      </c>
      <c r="B358" t="s">
        <v>828</v>
      </c>
      <c r="C358">
        <v>2017</v>
      </c>
      <c r="E358" t="s">
        <v>2982</v>
      </c>
      <c r="F358" t="s">
        <v>9097</v>
      </c>
      <c r="G358" t="s">
        <v>3990</v>
      </c>
    </row>
    <row r="359" spans="1:7" x14ac:dyDescent="0.25">
      <c r="A359" t="s">
        <v>847</v>
      </c>
      <c r="B359" t="s">
        <v>832</v>
      </c>
      <c r="C359">
        <v>1996</v>
      </c>
      <c r="E359" s="10" t="s">
        <v>8439</v>
      </c>
      <c r="F359" t="s">
        <v>8440</v>
      </c>
      <c r="G359" t="s">
        <v>3990</v>
      </c>
    </row>
    <row r="360" spans="1:7" x14ac:dyDescent="0.25">
      <c r="A360" t="s">
        <v>964</v>
      </c>
      <c r="B360" t="s">
        <v>836</v>
      </c>
      <c r="C360">
        <v>2006</v>
      </c>
      <c r="E360" t="s">
        <v>3165</v>
      </c>
      <c r="F360" t="s">
        <v>8694</v>
      </c>
      <c r="G360" t="s">
        <v>3990</v>
      </c>
    </row>
    <row r="361" spans="1:7" x14ac:dyDescent="0.25">
      <c r="A361" t="s">
        <v>2804</v>
      </c>
      <c r="B361" t="s">
        <v>838</v>
      </c>
      <c r="C361">
        <v>2021</v>
      </c>
      <c r="E361" t="s">
        <v>3422</v>
      </c>
      <c r="F361" t="s">
        <v>9538</v>
      </c>
      <c r="G361" t="s">
        <v>187</v>
      </c>
    </row>
    <row r="362" spans="1:7" x14ac:dyDescent="0.25">
      <c r="A362" t="s">
        <v>8385</v>
      </c>
      <c r="B362" t="s">
        <v>8384</v>
      </c>
      <c r="C362">
        <v>2018</v>
      </c>
      <c r="D362" t="s">
        <v>187</v>
      </c>
      <c r="F362" t="s">
        <v>9539</v>
      </c>
      <c r="G362" t="s">
        <v>3990</v>
      </c>
    </row>
    <row r="363" spans="1:7" x14ac:dyDescent="0.25">
      <c r="A363" t="s">
        <v>924</v>
      </c>
      <c r="B363" t="s">
        <v>8384</v>
      </c>
      <c r="C363">
        <v>2019</v>
      </c>
      <c r="E363" s="10" t="s">
        <v>8383</v>
      </c>
      <c r="F363" t="s">
        <v>9540</v>
      </c>
      <c r="G363" t="s">
        <v>187</v>
      </c>
    </row>
    <row r="364" spans="1:7" x14ac:dyDescent="0.25">
      <c r="A364" t="s">
        <v>1272</v>
      </c>
      <c r="B364" t="s">
        <v>9956</v>
      </c>
      <c r="C364">
        <v>2020</v>
      </c>
      <c r="E364" s="10" t="s">
        <v>9958</v>
      </c>
      <c r="F364" t="s">
        <v>9959</v>
      </c>
      <c r="G364" t="s">
        <v>3990</v>
      </c>
    </row>
    <row r="365" spans="1:7" x14ac:dyDescent="0.25">
      <c r="A365" t="s">
        <v>759</v>
      </c>
      <c r="B365" t="s">
        <v>845</v>
      </c>
      <c r="C365">
        <v>2018</v>
      </c>
      <c r="E365" t="s">
        <v>3115</v>
      </c>
      <c r="F365" t="s">
        <v>8615</v>
      </c>
      <c r="G365" t="s">
        <v>3990</v>
      </c>
    </row>
    <row r="366" spans="1:7" x14ac:dyDescent="0.25">
      <c r="A366" t="s">
        <v>160</v>
      </c>
      <c r="B366" t="s">
        <v>845</v>
      </c>
      <c r="C366">
        <v>2011</v>
      </c>
      <c r="E366" t="s">
        <v>3115</v>
      </c>
      <c r="F366" t="s">
        <v>9262</v>
      </c>
      <c r="G366" t="s">
        <v>3990</v>
      </c>
    </row>
    <row r="367" spans="1:7" x14ac:dyDescent="0.25">
      <c r="A367" t="s">
        <v>379</v>
      </c>
      <c r="B367" t="s">
        <v>9879</v>
      </c>
      <c r="C367">
        <v>1998</v>
      </c>
      <c r="E367" s="10" t="s">
        <v>9883</v>
      </c>
      <c r="F367" t="s">
        <v>9884</v>
      </c>
      <c r="G367" t="s">
        <v>3990</v>
      </c>
    </row>
    <row r="368" spans="1:7" x14ac:dyDescent="0.25">
      <c r="A368" t="s">
        <v>260</v>
      </c>
      <c r="B368" t="s">
        <v>847</v>
      </c>
      <c r="C368">
        <v>1990</v>
      </c>
      <c r="E368" t="s">
        <v>3002</v>
      </c>
      <c r="F368" t="s">
        <v>8468</v>
      </c>
      <c r="G368" t="s">
        <v>3990</v>
      </c>
    </row>
    <row r="369" spans="1:7" x14ac:dyDescent="0.25">
      <c r="A369" t="s">
        <v>1725</v>
      </c>
      <c r="B369" t="s">
        <v>847</v>
      </c>
      <c r="C369">
        <v>1983</v>
      </c>
      <c r="E369" t="s">
        <v>3002</v>
      </c>
      <c r="F369" t="s">
        <v>8912</v>
      </c>
      <c r="G369" t="s">
        <v>3990</v>
      </c>
    </row>
    <row r="370" spans="1:7" x14ac:dyDescent="0.25">
      <c r="A370" t="s">
        <v>1795</v>
      </c>
      <c r="B370" t="s">
        <v>847</v>
      </c>
      <c r="C370">
        <v>1987</v>
      </c>
      <c r="E370" t="s">
        <v>3002</v>
      </c>
      <c r="F370" t="s">
        <v>8924</v>
      </c>
      <c r="G370" t="s">
        <v>3990</v>
      </c>
    </row>
    <row r="371" spans="1:7" x14ac:dyDescent="0.25">
      <c r="A371" t="s">
        <v>873</v>
      </c>
      <c r="B371" t="s">
        <v>850</v>
      </c>
      <c r="C371">
        <v>2019</v>
      </c>
      <c r="E371" t="s">
        <v>3139</v>
      </c>
      <c r="F371" t="s">
        <v>8663</v>
      </c>
      <c r="G371" t="s">
        <v>3990</v>
      </c>
    </row>
    <row r="372" spans="1:7" x14ac:dyDescent="0.25">
      <c r="A372" t="s">
        <v>1129</v>
      </c>
      <c r="B372" t="s">
        <v>850</v>
      </c>
      <c r="C372">
        <v>2022</v>
      </c>
      <c r="E372" t="s">
        <v>2982</v>
      </c>
      <c r="F372" t="s">
        <v>8738</v>
      </c>
      <c r="G372" t="s">
        <v>3990</v>
      </c>
    </row>
    <row r="373" spans="1:7" x14ac:dyDescent="0.25">
      <c r="A373" t="s">
        <v>90</v>
      </c>
      <c r="B373" t="s">
        <v>850</v>
      </c>
      <c r="C373">
        <v>2017</v>
      </c>
      <c r="E373" t="s">
        <v>3353</v>
      </c>
      <c r="F373" t="s">
        <v>9098</v>
      </c>
      <c r="G373" t="s">
        <v>3990</v>
      </c>
    </row>
    <row r="374" spans="1:7" x14ac:dyDescent="0.25">
      <c r="A374" t="s">
        <v>353</v>
      </c>
      <c r="B374" t="s">
        <v>854</v>
      </c>
      <c r="C374">
        <v>2023</v>
      </c>
      <c r="E374" t="s">
        <v>3013</v>
      </c>
      <c r="F374" t="s">
        <v>9541</v>
      </c>
      <c r="G374" t="s">
        <v>3990</v>
      </c>
    </row>
    <row r="375" spans="1:7" x14ac:dyDescent="0.25">
      <c r="A375" t="s">
        <v>1435</v>
      </c>
      <c r="B375" t="s">
        <v>9811</v>
      </c>
      <c r="C375">
        <v>2021</v>
      </c>
      <c r="E375" s="10" t="s">
        <v>9810</v>
      </c>
      <c r="F375" t="s">
        <v>9809</v>
      </c>
      <c r="G375" t="s">
        <v>3990</v>
      </c>
    </row>
    <row r="376" spans="1:7" x14ac:dyDescent="0.25">
      <c r="A376" t="s">
        <v>160</v>
      </c>
      <c r="B376" t="s">
        <v>854</v>
      </c>
      <c r="C376">
        <v>2011</v>
      </c>
      <c r="E376" t="s">
        <v>3402</v>
      </c>
      <c r="F376" t="s">
        <v>9263</v>
      </c>
      <c r="G376" t="s">
        <v>3990</v>
      </c>
    </row>
    <row r="377" spans="1:7" x14ac:dyDescent="0.25">
      <c r="A377" t="s">
        <v>90</v>
      </c>
      <c r="B377" t="s">
        <v>856</v>
      </c>
      <c r="C377">
        <v>2017</v>
      </c>
      <c r="E377" t="s">
        <v>3354</v>
      </c>
      <c r="F377" t="s">
        <v>9099</v>
      </c>
      <c r="G377" t="s">
        <v>3990</v>
      </c>
    </row>
    <row r="378" spans="1:7" x14ac:dyDescent="0.25">
      <c r="A378" t="s">
        <v>353</v>
      </c>
      <c r="B378" t="s">
        <v>863</v>
      </c>
      <c r="C378">
        <v>2023</v>
      </c>
      <c r="E378" t="s">
        <v>3027</v>
      </c>
      <c r="F378" t="s">
        <v>8503</v>
      </c>
      <c r="G378" t="s">
        <v>3990</v>
      </c>
    </row>
    <row r="379" spans="1:7" x14ac:dyDescent="0.25">
      <c r="A379" t="s">
        <v>873</v>
      </c>
      <c r="B379" t="s">
        <v>863</v>
      </c>
      <c r="C379">
        <v>2019</v>
      </c>
      <c r="E379" t="s">
        <v>3027</v>
      </c>
      <c r="F379" t="s">
        <v>8664</v>
      </c>
      <c r="G379" t="s">
        <v>3990</v>
      </c>
    </row>
    <row r="380" spans="1:7" x14ac:dyDescent="0.25">
      <c r="A380" t="s">
        <v>1435</v>
      </c>
      <c r="B380" t="s">
        <v>863</v>
      </c>
      <c r="C380">
        <v>2021</v>
      </c>
      <c r="E380" t="s">
        <v>3027</v>
      </c>
      <c r="F380" t="s">
        <v>8834</v>
      </c>
      <c r="G380" t="s">
        <v>3990</v>
      </c>
    </row>
    <row r="381" spans="1:7" x14ac:dyDescent="0.25">
      <c r="A381" t="s">
        <v>1690</v>
      </c>
      <c r="B381" t="s">
        <v>863</v>
      </c>
      <c r="C381">
        <v>2020</v>
      </c>
      <c r="E381" t="s">
        <v>3027</v>
      </c>
      <c r="F381" t="s">
        <v>8901</v>
      </c>
      <c r="G381" t="s">
        <v>3990</v>
      </c>
    </row>
    <row r="382" spans="1:7" x14ac:dyDescent="0.25">
      <c r="A382" t="s">
        <v>90</v>
      </c>
      <c r="B382" t="s">
        <v>863</v>
      </c>
      <c r="C382">
        <v>2017</v>
      </c>
      <c r="E382" t="s">
        <v>3027</v>
      </c>
      <c r="F382" t="s">
        <v>9100</v>
      </c>
      <c r="G382" t="s">
        <v>3990</v>
      </c>
    </row>
    <row r="383" spans="1:7" x14ac:dyDescent="0.25">
      <c r="A383" t="s">
        <v>1144</v>
      </c>
      <c r="B383" t="s">
        <v>865</v>
      </c>
      <c r="C383">
        <v>2012</v>
      </c>
      <c r="E383" t="s">
        <v>3200</v>
      </c>
      <c r="F383" t="s">
        <v>8747</v>
      </c>
      <c r="G383" t="s">
        <v>3990</v>
      </c>
    </row>
    <row r="384" spans="1:7" x14ac:dyDescent="0.25">
      <c r="A384" t="s">
        <v>1443</v>
      </c>
      <c r="B384" t="s">
        <v>865</v>
      </c>
      <c r="C384">
        <v>2018</v>
      </c>
      <c r="E384" t="s">
        <v>3200</v>
      </c>
      <c r="F384" t="s">
        <v>8850</v>
      </c>
      <c r="G384" t="s">
        <v>3990</v>
      </c>
    </row>
    <row r="385" spans="1:7" x14ac:dyDescent="0.25">
      <c r="A385" t="s">
        <v>1690</v>
      </c>
      <c r="B385" t="s">
        <v>865</v>
      </c>
      <c r="C385">
        <v>2020</v>
      </c>
      <c r="E385" t="s">
        <v>3200</v>
      </c>
      <c r="F385" t="s">
        <v>8902</v>
      </c>
      <c r="G385" t="s">
        <v>3990</v>
      </c>
    </row>
    <row r="386" spans="1:7" x14ac:dyDescent="0.25">
      <c r="A386" t="s">
        <v>2196</v>
      </c>
      <c r="B386" t="s">
        <v>865</v>
      </c>
      <c r="C386">
        <v>2021</v>
      </c>
      <c r="E386" t="s">
        <v>3200</v>
      </c>
      <c r="F386" t="s">
        <v>9058</v>
      </c>
      <c r="G386" t="s">
        <v>3990</v>
      </c>
    </row>
    <row r="387" spans="1:7" x14ac:dyDescent="0.25">
      <c r="A387" t="s">
        <v>90</v>
      </c>
      <c r="B387" t="s">
        <v>865</v>
      </c>
      <c r="C387">
        <v>2017</v>
      </c>
      <c r="E387" t="s">
        <v>3200</v>
      </c>
      <c r="F387" t="s">
        <v>9101</v>
      </c>
      <c r="G387" t="s">
        <v>3990</v>
      </c>
    </row>
    <row r="388" spans="1:7" x14ac:dyDescent="0.25">
      <c r="A388" t="s">
        <v>2428</v>
      </c>
      <c r="B388" t="s">
        <v>865</v>
      </c>
      <c r="C388">
        <v>2008</v>
      </c>
      <c r="E388" t="s">
        <v>3200</v>
      </c>
      <c r="F388" t="s">
        <v>9197</v>
      </c>
      <c r="G388" t="s">
        <v>3990</v>
      </c>
    </row>
    <row r="389" spans="1:7" x14ac:dyDescent="0.25">
      <c r="A389" t="s">
        <v>90</v>
      </c>
      <c r="B389" t="s">
        <v>869</v>
      </c>
      <c r="C389">
        <v>2017</v>
      </c>
      <c r="E389" t="s">
        <v>2982</v>
      </c>
      <c r="F389" t="s">
        <v>9102</v>
      </c>
      <c r="G389" t="s">
        <v>3990</v>
      </c>
    </row>
    <row r="390" spans="1:7" x14ac:dyDescent="0.25">
      <c r="A390" t="s">
        <v>364</v>
      </c>
      <c r="B390" t="s">
        <v>8303</v>
      </c>
      <c r="C390">
        <v>2024</v>
      </c>
      <c r="E390" t="s">
        <v>2982</v>
      </c>
      <c r="F390" t="s">
        <v>8533</v>
      </c>
      <c r="G390" t="s">
        <v>3990</v>
      </c>
    </row>
    <row r="391" spans="1:7" x14ac:dyDescent="0.25">
      <c r="A391" t="s">
        <v>1576</v>
      </c>
      <c r="B391" t="s">
        <v>8303</v>
      </c>
      <c r="C391">
        <v>2021</v>
      </c>
      <c r="E391" t="s">
        <v>2982</v>
      </c>
      <c r="F391" t="s">
        <v>8882</v>
      </c>
      <c r="G391" t="s">
        <v>3990</v>
      </c>
    </row>
    <row r="392" spans="1:7" x14ac:dyDescent="0.25">
      <c r="A392" t="s">
        <v>1851</v>
      </c>
      <c r="B392" t="s">
        <v>8303</v>
      </c>
      <c r="C392">
        <v>2024</v>
      </c>
      <c r="E392" t="s">
        <v>2982</v>
      </c>
      <c r="F392" t="s">
        <v>8953</v>
      </c>
      <c r="G392" t="s">
        <v>3990</v>
      </c>
    </row>
    <row r="393" spans="1:7" x14ac:dyDescent="0.25">
      <c r="A393" t="s">
        <v>2471</v>
      </c>
      <c r="B393" t="s">
        <v>8303</v>
      </c>
      <c r="C393">
        <v>2025</v>
      </c>
      <c r="D393" t="s">
        <v>187</v>
      </c>
      <c r="F393" t="s">
        <v>9542</v>
      </c>
      <c r="G393" t="s">
        <v>3990</v>
      </c>
    </row>
    <row r="394" spans="1:7" x14ac:dyDescent="0.25">
      <c r="A394" t="s">
        <v>946</v>
      </c>
      <c r="B394" t="s">
        <v>873</v>
      </c>
      <c r="C394">
        <v>2014</v>
      </c>
      <c r="E394" t="s">
        <v>3161</v>
      </c>
      <c r="F394" t="s">
        <v>8691</v>
      </c>
      <c r="G394" t="s">
        <v>3990</v>
      </c>
    </row>
    <row r="395" spans="1:7" x14ac:dyDescent="0.25">
      <c r="A395" t="s">
        <v>746</v>
      </c>
      <c r="B395" t="s">
        <v>877</v>
      </c>
      <c r="C395">
        <v>2015</v>
      </c>
      <c r="E395" t="s">
        <v>3100</v>
      </c>
      <c r="F395" t="s">
        <v>8594</v>
      </c>
      <c r="G395" t="s">
        <v>3990</v>
      </c>
    </row>
    <row r="396" spans="1:7" x14ac:dyDescent="0.25">
      <c r="A396" t="s">
        <v>873</v>
      </c>
      <c r="B396" t="s">
        <v>877</v>
      </c>
      <c r="C396">
        <v>2019</v>
      </c>
      <c r="E396" t="s">
        <v>3100</v>
      </c>
      <c r="F396" t="s">
        <v>8665</v>
      </c>
      <c r="G396" t="s">
        <v>3990</v>
      </c>
    </row>
    <row r="397" spans="1:7" x14ac:dyDescent="0.25">
      <c r="A397" t="s">
        <v>90</v>
      </c>
      <c r="B397" t="s">
        <v>877</v>
      </c>
      <c r="C397">
        <v>2017</v>
      </c>
      <c r="E397" t="s">
        <v>3100</v>
      </c>
      <c r="F397" t="s">
        <v>9103</v>
      </c>
      <c r="G397" t="s">
        <v>3990</v>
      </c>
    </row>
    <row r="398" spans="1:7" x14ac:dyDescent="0.25">
      <c r="A398" t="s">
        <v>90</v>
      </c>
      <c r="B398" t="s">
        <v>879</v>
      </c>
      <c r="C398">
        <v>2017</v>
      </c>
      <c r="E398" t="s">
        <v>3355</v>
      </c>
      <c r="F398" t="s">
        <v>9104</v>
      </c>
      <c r="G398" t="s">
        <v>3990</v>
      </c>
    </row>
    <row r="399" spans="1:7" x14ac:dyDescent="0.25">
      <c r="A399" t="s">
        <v>90</v>
      </c>
      <c r="B399" t="s">
        <v>887</v>
      </c>
      <c r="C399">
        <v>2017</v>
      </c>
      <c r="E399" t="s">
        <v>2982</v>
      </c>
      <c r="F399" t="s">
        <v>9105</v>
      </c>
      <c r="G399" t="s">
        <v>3990</v>
      </c>
    </row>
    <row r="400" spans="1:7" x14ac:dyDescent="0.25">
      <c r="A400" t="s">
        <v>185</v>
      </c>
      <c r="B400" t="s">
        <v>889</v>
      </c>
      <c r="C400">
        <v>2022</v>
      </c>
      <c r="E400" t="s">
        <v>2982</v>
      </c>
      <c r="F400" t="s">
        <v>8449</v>
      </c>
      <c r="G400" t="s">
        <v>3990</v>
      </c>
    </row>
    <row r="401" spans="1:7" x14ac:dyDescent="0.25">
      <c r="A401" t="s">
        <v>2804</v>
      </c>
      <c r="B401" t="s">
        <v>889</v>
      </c>
      <c r="C401">
        <v>2021</v>
      </c>
      <c r="E401" t="s">
        <v>2982</v>
      </c>
      <c r="F401" t="s">
        <v>9325</v>
      </c>
      <c r="G401" t="s">
        <v>3990</v>
      </c>
    </row>
    <row r="402" spans="1:7" x14ac:dyDescent="0.25">
      <c r="A402" t="s">
        <v>709</v>
      </c>
      <c r="B402" t="s">
        <v>893</v>
      </c>
      <c r="C402">
        <v>2022</v>
      </c>
      <c r="E402" s="10" t="s">
        <v>14042</v>
      </c>
      <c r="F402" t="s">
        <v>14043</v>
      </c>
      <c r="G402" t="s">
        <v>3990</v>
      </c>
    </row>
    <row r="403" spans="1:7" x14ac:dyDescent="0.25">
      <c r="A403" t="s">
        <v>746</v>
      </c>
      <c r="B403" t="s">
        <v>893</v>
      </c>
      <c r="C403">
        <v>2015</v>
      </c>
      <c r="E403" s="10" t="s">
        <v>14042</v>
      </c>
      <c r="F403" t="s">
        <v>14044</v>
      </c>
      <c r="G403" t="s">
        <v>3990</v>
      </c>
    </row>
    <row r="404" spans="1:7" x14ac:dyDescent="0.25">
      <c r="A404" t="s">
        <v>754</v>
      </c>
      <c r="B404" t="s">
        <v>893</v>
      </c>
      <c r="C404">
        <v>2022</v>
      </c>
      <c r="E404" t="s">
        <v>3109</v>
      </c>
      <c r="F404" t="s">
        <v>8608</v>
      </c>
      <c r="G404" t="s">
        <v>3990</v>
      </c>
    </row>
    <row r="405" spans="1:7" x14ac:dyDescent="0.25">
      <c r="A405" t="s">
        <v>1576</v>
      </c>
      <c r="B405" t="s">
        <v>896</v>
      </c>
      <c r="C405">
        <v>2021</v>
      </c>
      <c r="E405" t="s">
        <v>3261</v>
      </c>
      <c r="F405" t="s">
        <v>8883</v>
      </c>
      <c r="G405" t="s">
        <v>3990</v>
      </c>
    </row>
    <row r="406" spans="1:7" x14ac:dyDescent="0.25">
      <c r="A406" t="s">
        <v>873</v>
      </c>
      <c r="B406" t="s">
        <v>898</v>
      </c>
      <c r="C406">
        <v>2019</v>
      </c>
      <c r="E406" t="s">
        <v>3140</v>
      </c>
      <c r="F406" t="s">
        <v>8666</v>
      </c>
      <c r="G406" t="s">
        <v>3990</v>
      </c>
    </row>
    <row r="407" spans="1:7" x14ac:dyDescent="0.25">
      <c r="A407" t="s">
        <v>90</v>
      </c>
      <c r="B407" t="s">
        <v>898</v>
      </c>
      <c r="C407">
        <v>2017</v>
      </c>
      <c r="E407" t="s">
        <v>3140</v>
      </c>
      <c r="F407" t="s">
        <v>9106</v>
      </c>
      <c r="G407" t="s">
        <v>3990</v>
      </c>
    </row>
    <row r="408" spans="1:7" x14ac:dyDescent="0.25">
      <c r="A408" t="s">
        <v>353</v>
      </c>
      <c r="B408" t="s">
        <v>900</v>
      </c>
      <c r="C408">
        <v>2023</v>
      </c>
      <c r="E408" t="s">
        <v>3028</v>
      </c>
      <c r="F408" t="s">
        <v>9417</v>
      </c>
      <c r="G408" t="s">
        <v>3990</v>
      </c>
    </row>
    <row r="409" spans="1:7" x14ac:dyDescent="0.25">
      <c r="A409" t="s">
        <v>1443</v>
      </c>
      <c r="B409" t="s">
        <v>904</v>
      </c>
      <c r="C409">
        <v>2018</v>
      </c>
      <c r="E409" s="10" t="s">
        <v>8355</v>
      </c>
      <c r="F409" t="s">
        <v>8851</v>
      </c>
      <c r="G409" t="s">
        <v>3990</v>
      </c>
    </row>
    <row r="410" spans="1:7" x14ac:dyDescent="0.25">
      <c r="A410" t="s">
        <v>1496</v>
      </c>
      <c r="B410" t="s">
        <v>904</v>
      </c>
      <c r="C410">
        <v>2016</v>
      </c>
      <c r="E410" t="s">
        <v>2982</v>
      </c>
      <c r="F410" t="s">
        <v>8863</v>
      </c>
      <c r="G410" t="s">
        <v>3990</v>
      </c>
    </row>
    <row r="411" spans="1:7" x14ac:dyDescent="0.25">
      <c r="A411" t="s">
        <v>606</v>
      </c>
      <c r="B411" t="s">
        <v>909</v>
      </c>
      <c r="C411">
        <v>2025</v>
      </c>
      <c r="E411" t="s">
        <v>2982</v>
      </c>
      <c r="F411" t="s">
        <v>8569</v>
      </c>
      <c r="G411" t="s">
        <v>3990</v>
      </c>
    </row>
    <row r="412" spans="1:7" x14ac:dyDescent="0.25">
      <c r="A412" t="s">
        <v>914</v>
      </c>
      <c r="B412" t="s">
        <v>918</v>
      </c>
      <c r="C412">
        <v>2013</v>
      </c>
      <c r="D412" t="s">
        <v>187</v>
      </c>
      <c r="F412" t="s">
        <v>9543</v>
      </c>
      <c r="G412" t="s">
        <v>3990</v>
      </c>
    </row>
    <row r="413" spans="1:7" x14ac:dyDescent="0.25">
      <c r="A413" t="s">
        <v>2428</v>
      </c>
      <c r="B413" t="s">
        <v>930</v>
      </c>
      <c r="C413">
        <v>2008</v>
      </c>
      <c r="E413" t="s">
        <v>3389</v>
      </c>
      <c r="F413" t="s">
        <v>9198</v>
      </c>
      <c r="G413" t="s">
        <v>3990</v>
      </c>
    </row>
    <row r="414" spans="1:7" x14ac:dyDescent="0.25">
      <c r="A414" t="s">
        <v>1080</v>
      </c>
      <c r="B414" t="s">
        <v>934</v>
      </c>
      <c r="C414">
        <v>1990</v>
      </c>
      <c r="D414" t="s">
        <v>187</v>
      </c>
      <c r="E414" t="s">
        <v>3193</v>
      </c>
      <c r="F414" t="s">
        <v>8734</v>
      </c>
      <c r="G414" t="s">
        <v>3990</v>
      </c>
    </row>
    <row r="415" spans="1:7" x14ac:dyDescent="0.25">
      <c r="A415" t="s">
        <v>2721</v>
      </c>
      <c r="B415" t="s">
        <v>7836</v>
      </c>
      <c r="C415">
        <v>1993</v>
      </c>
      <c r="D415" t="s">
        <v>187</v>
      </c>
      <c r="F415" t="s">
        <v>9544</v>
      </c>
      <c r="G415" t="s">
        <v>3990</v>
      </c>
    </row>
    <row r="416" spans="1:7" x14ac:dyDescent="0.25">
      <c r="A416" t="s">
        <v>2721</v>
      </c>
      <c r="B416" t="s">
        <v>937</v>
      </c>
      <c r="C416">
        <v>1993</v>
      </c>
      <c r="D416" t="s">
        <v>187</v>
      </c>
      <c r="F416" t="s">
        <v>9545</v>
      </c>
      <c r="G416" t="s">
        <v>3990</v>
      </c>
    </row>
    <row r="417" spans="1:7" x14ac:dyDescent="0.25">
      <c r="A417" t="s">
        <v>1795</v>
      </c>
      <c r="B417" t="s">
        <v>940</v>
      </c>
      <c r="C417">
        <v>1987</v>
      </c>
      <c r="E417" t="s">
        <v>3275</v>
      </c>
      <c r="F417" t="s">
        <v>8925</v>
      </c>
      <c r="G417" t="s">
        <v>3990</v>
      </c>
    </row>
    <row r="418" spans="1:7" x14ac:dyDescent="0.25">
      <c r="A418" t="s">
        <v>2775</v>
      </c>
      <c r="B418" t="s">
        <v>942</v>
      </c>
      <c r="C418">
        <v>2021</v>
      </c>
      <c r="E418" s="10" t="s">
        <v>8378</v>
      </c>
      <c r="F418" t="s">
        <v>9418</v>
      </c>
      <c r="G418" t="s">
        <v>3990</v>
      </c>
    </row>
    <row r="419" spans="1:7" x14ac:dyDescent="0.25">
      <c r="A419" t="s">
        <v>759</v>
      </c>
      <c r="B419" t="s">
        <v>948</v>
      </c>
      <c r="C419">
        <v>2018</v>
      </c>
      <c r="E419" t="s">
        <v>3116</v>
      </c>
      <c r="F419" t="s">
        <v>8616</v>
      </c>
      <c r="G419" t="s">
        <v>3990</v>
      </c>
    </row>
    <row r="420" spans="1:7" x14ac:dyDescent="0.25">
      <c r="A420" t="s">
        <v>1294</v>
      </c>
      <c r="B420" t="s">
        <v>948</v>
      </c>
      <c r="C420">
        <v>2019</v>
      </c>
      <c r="E420" t="s">
        <v>3116</v>
      </c>
      <c r="F420" t="s">
        <v>8794</v>
      </c>
      <c r="G420" t="s">
        <v>3990</v>
      </c>
    </row>
    <row r="421" spans="1:7" x14ac:dyDescent="0.25">
      <c r="A421" t="s">
        <v>160</v>
      </c>
      <c r="B421" t="s">
        <v>948</v>
      </c>
      <c r="C421">
        <v>2011</v>
      </c>
      <c r="E421" t="s">
        <v>3116</v>
      </c>
      <c r="F421" t="s">
        <v>9264</v>
      </c>
      <c r="G421" t="s">
        <v>3990</v>
      </c>
    </row>
    <row r="422" spans="1:7" x14ac:dyDescent="0.25">
      <c r="A422" t="s">
        <v>1496</v>
      </c>
      <c r="B422" t="s">
        <v>952</v>
      </c>
      <c r="C422">
        <v>2016</v>
      </c>
      <c r="E422" t="s">
        <v>3253</v>
      </c>
      <c r="F422" t="s">
        <v>8864</v>
      </c>
      <c r="G422" t="s">
        <v>3990</v>
      </c>
    </row>
    <row r="423" spans="1:7" x14ac:dyDescent="0.25">
      <c r="A423" t="s">
        <v>353</v>
      </c>
      <c r="B423" t="s">
        <v>7978</v>
      </c>
      <c r="C423">
        <v>2023</v>
      </c>
      <c r="E423" s="10" t="s">
        <v>7977</v>
      </c>
      <c r="F423" t="s">
        <v>8504</v>
      </c>
      <c r="G423" t="s">
        <v>3990</v>
      </c>
    </row>
    <row r="424" spans="1:7" x14ac:dyDescent="0.25">
      <c r="A424" t="s">
        <v>353</v>
      </c>
      <c r="B424" t="s">
        <v>7978</v>
      </c>
      <c r="C424">
        <v>2023</v>
      </c>
      <c r="E424" s="10" t="s">
        <v>7977</v>
      </c>
      <c r="F424" t="s">
        <v>8504</v>
      </c>
      <c r="G424" t="s">
        <v>3990</v>
      </c>
    </row>
    <row r="425" spans="1:7" x14ac:dyDescent="0.25">
      <c r="A425" t="s">
        <v>353</v>
      </c>
      <c r="B425" t="s">
        <v>954</v>
      </c>
      <c r="C425">
        <v>2023</v>
      </c>
      <c r="E425" t="s">
        <v>2982</v>
      </c>
      <c r="F425" t="s">
        <v>8505</v>
      </c>
      <c r="G425" t="s">
        <v>3990</v>
      </c>
    </row>
    <row r="426" spans="1:7" x14ac:dyDescent="0.25">
      <c r="A426" t="s">
        <v>353</v>
      </c>
      <c r="B426" t="s">
        <v>958</v>
      </c>
      <c r="C426">
        <v>2023</v>
      </c>
      <c r="E426" t="s">
        <v>3029</v>
      </c>
      <c r="F426" t="s">
        <v>8506</v>
      </c>
      <c r="G426" t="s">
        <v>3990</v>
      </c>
    </row>
    <row r="427" spans="1:7" x14ac:dyDescent="0.25">
      <c r="A427" t="s">
        <v>873</v>
      </c>
      <c r="B427" t="s">
        <v>960</v>
      </c>
      <c r="C427">
        <v>2019</v>
      </c>
      <c r="E427" t="s">
        <v>3141</v>
      </c>
      <c r="F427" t="s">
        <v>8667</v>
      </c>
      <c r="G427" t="s">
        <v>3990</v>
      </c>
    </row>
    <row r="428" spans="1:7" x14ac:dyDescent="0.25">
      <c r="A428" t="s">
        <v>1951</v>
      </c>
      <c r="B428" t="s">
        <v>960</v>
      </c>
      <c r="C428">
        <v>2022</v>
      </c>
      <c r="E428" t="s">
        <v>3141</v>
      </c>
      <c r="F428" t="s">
        <v>8981</v>
      </c>
      <c r="G428" t="s">
        <v>3990</v>
      </c>
    </row>
    <row r="429" spans="1:7" x14ac:dyDescent="0.25">
      <c r="A429" t="s">
        <v>90</v>
      </c>
      <c r="B429" t="s">
        <v>960</v>
      </c>
      <c r="C429">
        <v>2017</v>
      </c>
      <c r="E429" t="s">
        <v>3141</v>
      </c>
      <c r="F429" t="s">
        <v>9107</v>
      </c>
      <c r="G429" t="s">
        <v>3990</v>
      </c>
    </row>
    <row r="430" spans="1:7" x14ac:dyDescent="0.25">
      <c r="A430" t="s">
        <v>1538</v>
      </c>
      <c r="B430" t="s">
        <v>964</v>
      </c>
      <c r="C430">
        <v>1995</v>
      </c>
      <c r="E430" t="s">
        <v>3254</v>
      </c>
      <c r="F430" t="s">
        <v>8866</v>
      </c>
      <c r="G430" t="s">
        <v>3990</v>
      </c>
    </row>
    <row r="431" spans="1:7" x14ac:dyDescent="0.25">
      <c r="A431" t="s">
        <v>1443</v>
      </c>
      <c r="B431" t="s">
        <v>967</v>
      </c>
      <c r="C431">
        <v>2018</v>
      </c>
      <c r="E431" s="10" t="s">
        <v>9838</v>
      </c>
      <c r="F431" t="s">
        <v>9837</v>
      </c>
      <c r="G431" t="s">
        <v>3990</v>
      </c>
    </row>
    <row r="432" spans="1:7" x14ac:dyDescent="0.25">
      <c r="A432" t="s">
        <v>1443</v>
      </c>
      <c r="B432" t="s">
        <v>971</v>
      </c>
      <c r="C432">
        <v>2018</v>
      </c>
      <c r="E432" t="s">
        <v>2982</v>
      </c>
      <c r="F432" t="s">
        <v>8852</v>
      </c>
      <c r="G432" t="s">
        <v>3990</v>
      </c>
    </row>
    <row r="433" spans="1:7" x14ac:dyDescent="0.25">
      <c r="A433" t="s">
        <v>1676</v>
      </c>
      <c r="B433" t="s">
        <v>971</v>
      </c>
      <c r="C433">
        <v>2002</v>
      </c>
      <c r="E433" t="s">
        <v>2982</v>
      </c>
      <c r="F433" t="s">
        <v>8897</v>
      </c>
      <c r="G433" t="s">
        <v>3990</v>
      </c>
    </row>
    <row r="434" spans="1:7" x14ac:dyDescent="0.25">
      <c r="A434" t="s">
        <v>1761</v>
      </c>
      <c r="B434" t="s">
        <v>971</v>
      </c>
      <c r="C434">
        <v>1995</v>
      </c>
      <c r="E434" t="s">
        <v>2982</v>
      </c>
      <c r="F434" t="s">
        <v>8917</v>
      </c>
      <c r="G434" t="s">
        <v>3990</v>
      </c>
    </row>
    <row r="435" spans="1:7" x14ac:dyDescent="0.25">
      <c r="A435" t="s">
        <v>2721</v>
      </c>
      <c r="B435" t="s">
        <v>971</v>
      </c>
      <c r="C435">
        <v>1993</v>
      </c>
      <c r="E435" t="s">
        <v>2982</v>
      </c>
      <c r="F435" t="s">
        <v>9546</v>
      </c>
      <c r="G435" t="s">
        <v>3990</v>
      </c>
    </row>
    <row r="436" spans="1:7" x14ac:dyDescent="0.25">
      <c r="A436" t="s">
        <v>2721</v>
      </c>
      <c r="B436" t="s">
        <v>977</v>
      </c>
      <c r="C436">
        <v>1993</v>
      </c>
      <c r="E436" t="s">
        <v>3013</v>
      </c>
      <c r="F436" t="s">
        <v>9547</v>
      </c>
      <c r="G436" t="s">
        <v>187</v>
      </c>
    </row>
    <row r="437" spans="1:7" x14ac:dyDescent="0.25">
      <c r="A437" t="s">
        <v>746</v>
      </c>
      <c r="B437" t="s">
        <v>980</v>
      </c>
      <c r="C437">
        <v>2015</v>
      </c>
      <c r="E437" t="s">
        <v>3101</v>
      </c>
      <c r="F437" t="s">
        <v>8595</v>
      </c>
      <c r="G437" t="s">
        <v>3990</v>
      </c>
    </row>
    <row r="438" spans="1:7" x14ac:dyDescent="0.25">
      <c r="A438" t="s">
        <v>256</v>
      </c>
      <c r="B438" t="s">
        <v>984</v>
      </c>
      <c r="C438">
        <v>1994</v>
      </c>
      <c r="E438" t="s">
        <v>2988</v>
      </c>
      <c r="F438" t="s">
        <v>10019</v>
      </c>
      <c r="G438" t="s">
        <v>187</v>
      </c>
    </row>
    <row r="439" spans="1:7" x14ac:dyDescent="0.25">
      <c r="A439" t="s">
        <v>260</v>
      </c>
      <c r="B439" t="s">
        <v>984</v>
      </c>
      <c r="C439">
        <v>1990</v>
      </c>
      <c r="E439" t="s">
        <v>2988</v>
      </c>
      <c r="F439" t="s">
        <v>10019</v>
      </c>
      <c r="G439" t="s">
        <v>187</v>
      </c>
    </row>
    <row r="440" spans="1:7" x14ac:dyDescent="0.25">
      <c r="A440" t="s">
        <v>522</v>
      </c>
      <c r="B440" t="s">
        <v>984</v>
      </c>
      <c r="C440">
        <v>1989</v>
      </c>
      <c r="E440" t="s">
        <v>3072</v>
      </c>
      <c r="F440" t="s">
        <v>8561</v>
      </c>
      <c r="G440" t="s">
        <v>3990</v>
      </c>
    </row>
    <row r="441" spans="1:7" x14ac:dyDescent="0.25">
      <c r="A441" t="s">
        <v>847</v>
      </c>
      <c r="B441" t="s">
        <v>984</v>
      </c>
      <c r="C441">
        <v>1996</v>
      </c>
      <c r="E441" t="s">
        <v>3072</v>
      </c>
      <c r="F441" t="s">
        <v>8649</v>
      </c>
      <c r="G441" t="s">
        <v>3990</v>
      </c>
    </row>
    <row r="442" spans="1:7" x14ac:dyDescent="0.25">
      <c r="A442" t="s">
        <v>922</v>
      </c>
      <c r="B442" t="s">
        <v>984</v>
      </c>
      <c r="C442">
        <v>2002</v>
      </c>
      <c r="E442" t="s">
        <v>2988</v>
      </c>
      <c r="F442" t="s">
        <v>10019</v>
      </c>
      <c r="G442" t="s">
        <v>187</v>
      </c>
    </row>
    <row r="443" spans="1:7" x14ac:dyDescent="0.25">
      <c r="A443" t="s">
        <v>964</v>
      </c>
      <c r="B443" t="s">
        <v>984</v>
      </c>
      <c r="C443">
        <v>2006</v>
      </c>
      <c r="E443" t="s">
        <v>3072</v>
      </c>
      <c r="F443" t="s">
        <v>8695</v>
      </c>
      <c r="G443" t="s">
        <v>3990</v>
      </c>
    </row>
    <row r="444" spans="1:7" x14ac:dyDescent="0.25">
      <c r="A444" t="s">
        <v>1004</v>
      </c>
      <c r="B444" t="s">
        <v>984</v>
      </c>
      <c r="C444">
        <v>2006</v>
      </c>
      <c r="E444" t="s">
        <v>2988</v>
      </c>
      <c r="F444" t="s">
        <v>10019</v>
      </c>
      <c r="G444" t="s">
        <v>187</v>
      </c>
    </row>
    <row r="445" spans="1:7" x14ac:dyDescent="0.25">
      <c r="A445" t="s">
        <v>1027</v>
      </c>
      <c r="B445" t="s">
        <v>984</v>
      </c>
      <c r="C445">
        <v>2008</v>
      </c>
      <c r="E445" t="s">
        <v>2988</v>
      </c>
      <c r="F445" t="s">
        <v>10019</v>
      </c>
      <c r="G445" t="s">
        <v>187</v>
      </c>
    </row>
    <row r="446" spans="1:7" x14ac:dyDescent="0.25">
      <c r="A446" t="s">
        <v>2571</v>
      </c>
      <c r="B446" t="s">
        <v>984</v>
      </c>
      <c r="C446">
        <v>1998</v>
      </c>
      <c r="E446" t="s">
        <v>2988</v>
      </c>
      <c r="F446" t="s">
        <v>10019</v>
      </c>
      <c r="G446" t="s">
        <v>187</v>
      </c>
    </row>
    <row r="447" spans="1:7" x14ac:dyDescent="0.25">
      <c r="A447" t="s">
        <v>1576</v>
      </c>
      <c r="B447" t="s">
        <v>988</v>
      </c>
      <c r="C447">
        <v>2021</v>
      </c>
      <c r="E447" t="s">
        <v>2982</v>
      </c>
      <c r="F447" t="s">
        <v>8884</v>
      </c>
      <c r="G447" t="s">
        <v>3990</v>
      </c>
    </row>
    <row r="448" spans="1:7" x14ac:dyDescent="0.25">
      <c r="A448" t="s">
        <v>160</v>
      </c>
      <c r="B448" t="s">
        <v>992</v>
      </c>
      <c r="C448">
        <v>2011</v>
      </c>
      <c r="E448" t="s">
        <v>2982</v>
      </c>
      <c r="F448" t="s">
        <v>9265</v>
      </c>
      <c r="G448" t="s">
        <v>3990</v>
      </c>
    </row>
    <row r="449" spans="1:7" x14ac:dyDescent="0.25">
      <c r="A449" t="s">
        <v>1004</v>
      </c>
      <c r="B449" t="s">
        <v>994</v>
      </c>
      <c r="C449">
        <v>2006</v>
      </c>
      <c r="E449" s="10" t="s">
        <v>9839</v>
      </c>
      <c r="F449" t="s">
        <v>9840</v>
      </c>
      <c r="G449" t="s">
        <v>3990</v>
      </c>
    </row>
    <row r="450" spans="1:7" x14ac:dyDescent="0.25">
      <c r="A450" t="s">
        <v>1538</v>
      </c>
      <c r="B450" t="s">
        <v>994</v>
      </c>
      <c r="C450">
        <v>1995</v>
      </c>
      <c r="E450" s="10" t="s">
        <v>9839</v>
      </c>
      <c r="F450" t="s">
        <v>9864</v>
      </c>
      <c r="G450" t="s">
        <v>3990</v>
      </c>
    </row>
    <row r="451" spans="1:7" x14ac:dyDescent="0.25">
      <c r="A451" t="s">
        <v>1572</v>
      </c>
      <c r="B451" t="s">
        <v>994</v>
      </c>
      <c r="C451">
        <v>2001</v>
      </c>
      <c r="E451" s="10" t="s">
        <v>9839</v>
      </c>
      <c r="F451" t="s">
        <v>9841</v>
      </c>
      <c r="G451" t="s">
        <v>3990</v>
      </c>
    </row>
    <row r="452" spans="1:7" x14ac:dyDescent="0.25">
      <c r="A452" t="s">
        <v>2721</v>
      </c>
      <c r="B452" t="s">
        <v>994</v>
      </c>
      <c r="C452">
        <v>1993</v>
      </c>
      <c r="E452" s="10" t="s">
        <v>9839</v>
      </c>
      <c r="F452" t="s">
        <v>9842</v>
      </c>
      <c r="G452" t="s">
        <v>3990</v>
      </c>
    </row>
    <row r="453" spans="1:7" x14ac:dyDescent="0.25">
      <c r="A453" t="s">
        <v>2173</v>
      </c>
      <c r="B453" t="s">
        <v>998</v>
      </c>
      <c r="C453">
        <v>2013</v>
      </c>
      <c r="E453" s="10" t="s">
        <v>8340</v>
      </c>
      <c r="F453" t="s">
        <v>9548</v>
      </c>
      <c r="G453" t="s">
        <v>187</v>
      </c>
    </row>
    <row r="454" spans="1:7" x14ac:dyDescent="0.25">
      <c r="A454" t="s">
        <v>759</v>
      </c>
      <c r="B454" t="s">
        <v>1002</v>
      </c>
      <c r="C454">
        <v>2018</v>
      </c>
      <c r="E454" t="s">
        <v>3117</v>
      </c>
      <c r="F454" t="s">
        <v>8617</v>
      </c>
      <c r="G454" t="s">
        <v>3990</v>
      </c>
    </row>
    <row r="455" spans="1:7" x14ac:dyDescent="0.25">
      <c r="A455" t="s">
        <v>1294</v>
      </c>
      <c r="B455" t="s">
        <v>1002</v>
      </c>
      <c r="C455">
        <v>2019</v>
      </c>
      <c r="E455" t="s">
        <v>3117</v>
      </c>
      <c r="F455" t="s">
        <v>8795</v>
      </c>
      <c r="G455" t="s">
        <v>3990</v>
      </c>
    </row>
    <row r="456" spans="1:7" x14ac:dyDescent="0.25">
      <c r="A456" t="s">
        <v>2173</v>
      </c>
      <c r="B456" t="s">
        <v>1002</v>
      </c>
      <c r="C456">
        <v>2013</v>
      </c>
      <c r="E456" t="s">
        <v>3117</v>
      </c>
      <c r="F456" t="s">
        <v>9044</v>
      </c>
      <c r="G456" t="s">
        <v>3990</v>
      </c>
    </row>
    <row r="457" spans="1:7" x14ac:dyDescent="0.25">
      <c r="A457" t="s">
        <v>2335</v>
      </c>
      <c r="B457" t="s">
        <v>1002</v>
      </c>
      <c r="C457">
        <v>2020</v>
      </c>
      <c r="E457" s="10" t="s">
        <v>9815</v>
      </c>
      <c r="F457" t="s">
        <v>9816</v>
      </c>
      <c r="G457" t="s">
        <v>3990</v>
      </c>
    </row>
    <row r="458" spans="1:7" x14ac:dyDescent="0.25">
      <c r="A458" t="s">
        <v>2428</v>
      </c>
      <c r="B458" t="s">
        <v>1002</v>
      </c>
      <c r="C458">
        <v>2008</v>
      </c>
      <c r="E458" t="s">
        <v>3117</v>
      </c>
      <c r="F458" t="s">
        <v>9199</v>
      </c>
      <c r="G458" t="s">
        <v>3990</v>
      </c>
    </row>
    <row r="459" spans="1:7" x14ac:dyDescent="0.25">
      <c r="A459" t="s">
        <v>1284</v>
      </c>
      <c r="B459" t="s">
        <v>1004</v>
      </c>
      <c r="C459">
        <v>1984</v>
      </c>
      <c r="E459" t="s">
        <v>3219</v>
      </c>
      <c r="F459" t="s">
        <v>8777</v>
      </c>
      <c r="G459" t="s">
        <v>3990</v>
      </c>
    </row>
    <row r="460" spans="1:7" x14ac:dyDescent="0.25">
      <c r="A460" t="s">
        <v>2594</v>
      </c>
      <c r="B460" t="s">
        <v>1008</v>
      </c>
      <c r="C460">
        <v>2019</v>
      </c>
      <c r="E460" t="s">
        <v>2982</v>
      </c>
      <c r="F460" t="s">
        <v>9244</v>
      </c>
      <c r="G460" t="s">
        <v>3990</v>
      </c>
    </row>
    <row r="461" spans="1:7" x14ac:dyDescent="0.25">
      <c r="A461" t="s">
        <v>2428</v>
      </c>
      <c r="B461" t="s">
        <v>1014</v>
      </c>
      <c r="C461">
        <v>2008</v>
      </c>
      <c r="E461" t="s">
        <v>3390</v>
      </c>
      <c r="F461" t="s">
        <v>9200</v>
      </c>
      <c r="G461" t="s">
        <v>3990</v>
      </c>
    </row>
    <row r="462" spans="1:7" x14ac:dyDescent="0.25">
      <c r="A462" t="s">
        <v>2804</v>
      </c>
      <c r="B462" t="s">
        <v>1017</v>
      </c>
      <c r="C462">
        <v>2021</v>
      </c>
      <c r="E462" t="s">
        <v>3013</v>
      </c>
      <c r="F462" t="s">
        <v>9549</v>
      </c>
      <c r="G462" t="s">
        <v>187</v>
      </c>
    </row>
    <row r="463" spans="1:7" x14ac:dyDescent="0.25">
      <c r="A463" t="s">
        <v>847</v>
      </c>
      <c r="B463" t="s">
        <v>1021</v>
      </c>
      <c r="C463">
        <v>1996</v>
      </c>
      <c r="E463" s="10" t="s">
        <v>9829</v>
      </c>
      <c r="F463" t="s">
        <v>9831</v>
      </c>
      <c r="G463" t="s">
        <v>3990</v>
      </c>
    </row>
    <row r="464" spans="1:7" x14ac:dyDescent="0.25">
      <c r="A464" t="s">
        <v>2335</v>
      </c>
      <c r="B464" t="s">
        <v>1021</v>
      </c>
      <c r="C464">
        <v>2020</v>
      </c>
      <c r="E464" s="10" t="s">
        <v>9829</v>
      </c>
      <c r="F464" t="s">
        <v>9830</v>
      </c>
      <c r="G464" t="s">
        <v>3990</v>
      </c>
    </row>
    <row r="465" spans="1:7" x14ac:dyDescent="0.25">
      <c r="A465" t="s">
        <v>2804</v>
      </c>
      <c r="B465" t="s">
        <v>1021</v>
      </c>
      <c r="C465">
        <v>2021</v>
      </c>
      <c r="E465" s="10" t="s">
        <v>9829</v>
      </c>
      <c r="F465" t="s">
        <v>9550</v>
      </c>
      <c r="G465" t="s">
        <v>3990</v>
      </c>
    </row>
    <row r="466" spans="1:7" x14ac:dyDescent="0.25">
      <c r="A466" t="s">
        <v>1027</v>
      </c>
      <c r="B466" t="s">
        <v>1025</v>
      </c>
      <c r="C466">
        <v>2008</v>
      </c>
      <c r="D466" t="s">
        <v>187</v>
      </c>
      <c r="F466" t="s">
        <v>9551</v>
      </c>
      <c r="G466" t="s">
        <v>3990</v>
      </c>
    </row>
    <row r="467" spans="1:7" x14ac:dyDescent="0.25">
      <c r="A467" t="s">
        <v>256</v>
      </c>
      <c r="B467" t="s">
        <v>1027</v>
      </c>
      <c r="C467">
        <v>1994</v>
      </c>
      <c r="F467" t="s">
        <v>9552</v>
      </c>
      <c r="G467" t="s">
        <v>187</v>
      </c>
    </row>
    <row r="468" spans="1:7" x14ac:dyDescent="0.25">
      <c r="A468" t="s">
        <v>260</v>
      </c>
      <c r="B468" t="s">
        <v>1027</v>
      </c>
      <c r="C468">
        <v>1990</v>
      </c>
      <c r="F468" t="s">
        <v>9553</v>
      </c>
      <c r="G468" t="s">
        <v>187</v>
      </c>
    </row>
    <row r="469" spans="1:7" x14ac:dyDescent="0.25">
      <c r="A469" t="s">
        <v>1795</v>
      </c>
      <c r="B469" t="s">
        <v>1027</v>
      </c>
      <c r="C469">
        <v>1987</v>
      </c>
      <c r="F469" t="s">
        <v>9554</v>
      </c>
      <c r="G469" t="s">
        <v>187</v>
      </c>
    </row>
    <row r="470" spans="1:7" x14ac:dyDescent="0.25">
      <c r="A470" t="s">
        <v>759</v>
      </c>
      <c r="B470" t="s">
        <v>1029</v>
      </c>
      <c r="C470">
        <v>2018</v>
      </c>
      <c r="E470" t="s">
        <v>2982</v>
      </c>
      <c r="F470" t="s">
        <v>9555</v>
      </c>
      <c r="G470" t="s">
        <v>187</v>
      </c>
    </row>
    <row r="471" spans="1:7" x14ac:dyDescent="0.25">
      <c r="A471" t="s">
        <v>1294</v>
      </c>
      <c r="B471" t="s">
        <v>1029</v>
      </c>
      <c r="C471">
        <v>2019</v>
      </c>
      <c r="E471" t="s">
        <v>2982</v>
      </c>
      <c r="F471" t="s">
        <v>9556</v>
      </c>
      <c r="G471" t="s">
        <v>187</v>
      </c>
    </row>
    <row r="472" spans="1:7" x14ac:dyDescent="0.25">
      <c r="A472" t="s">
        <v>90</v>
      </c>
      <c r="B472" t="s">
        <v>1029</v>
      </c>
      <c r="C472">
        <v>2017</v>
      </c>
      <c r="E472" t="s">
        <v>2982</v>
      </c>
      <c r="F472" t="s">
        <v>9557</v>
      </c>
      <c r="G472" t="s">
        <v>187</v>
      </c>
    </row>
    <row r="473" spans="1:7" x14ac:dyDescent="0.25">
      <c r="A473" t="s">
        <v>160</v>
      </c>
      <c r="B473" t="s">
        <v>1029</v>
      </c>
      <c r="C473">
        <v>2011</v>
      </c>
      <c r="E473" t="s">
        <v>2982</v>
      </c>
      <c r="F473" t="s">
        <v>9558</v>
      </c>
      <c r="G473" t="s">
        <v>187</v>
      </c>
    </row>
    <row r="474" spans="1:7" x14ac:dyDescent="0.25">
      <c r="A474" t="s">
        <v>90</v>
      </c>
      <c r="B474" t="s">
        <v>1034</v>
      </c>
      <c r="C474">
        <v>2017</v>
      </c>
      <c r="E474" t="s">
        <v>3356</v>
      </c>
      <c r="F474" t="s">
        <v>9108</v>
      </c>
      <c r="G474" t="s">
        <v>3990</v>
      </c>
    </row>
    <row r="475" spans="1:7" x14ac:dyDescent="0.25">
      <c r="A475" t="s">
        <v>1576</v>
      </c>
      <c r="B475" t="s">
        <v>1038</v>
      </c>
      <c r="C475">
        <v>2021</v>
      </c>
      <c r="E475" t="s">
        <v>3013</v>
      </c>
      <c r="F475" t="s">
        <v>9559</v>
      </c>
      <c r="G475" t="s">
        <v>187</v>
      </c>
    </row>
    <row r="476" spans="1:7" x14ac:dyDescent="0.25">
      <c r="A476" t="s">
        <v>2136</v>
      </c>
      <c r="B476" t="s">
        <v>1042</v>
      </c>
      <c r="C476">
        <v>2020</v>
      </c>
      <c r="E476" t="s">
        <v>3312</v>
      </c>
      <c r="F476" t="s">
        <v>9560</v>
      </c>
      <c r="G476" t="s">
        <v>3990</v>
      </c>
    </row>
    <row r="477" spans="1:7" x14ac:dyDescent="0.25">
      <c r="A477" t="s">
        <v>1855</v>
      </c>
      <c r="B477" t="s">
        <v>1046</v>
      </c>
      <c r="C477">
        <v>2015</v>
      </c>
      <c r="E477" t="s">
        <v>3296</v>
      </c>
      <c r="F477" t="s">
        <v>8962</v>
      </c>
      <c r="G477" t="s">
        <v>3990</v>
      </c>
    </row>
    <row r="478" spans="1:7" x14ac:dyDescent="0.25">
      <c r="A478" t="s">
        <v>2428</v>
      </c>
      <c r="B478" t="s">
        <v>1046</v>
      </c>
      <c r="C478">
        <v>2008</v>
      </c>
      <c r="E478" t="s">
        <v>3296</v>
      </c>
      <c r="F478" t="s">
        <v>9201</v>
      </c>
      <c r="G478" t="s">
        <v>3990</v>
      </c>
    </row>
    <row r="479" spans="1:7" x14ac:dyDescent="0.25">
      <c r="A479" t="s">
        <v>160</v>
      </c>
      <c r="B479" t="s">
        <v>1046</v>
      </c>
      <c r="C479">
        <v>2011</v>
      </c>
      <c r="E479" t="s">
        <v>3296</v>
      </c>
      <c r="F479" t="s">
        <v>9266</v>
      </c>
      <c r="G479" t="s">
        <v>3990</v>
      </c>
    </row>
    <row r="480" spans="1:7" x14ac:dyDescent="0.25">
      <c r="A480" t="s">
        <v>490</v>
      </c>
      <c r="B480" t="s">
        <v>1050</v>
      </c>
      <c r="C480">
        <v>2009</v>
      </c>
      <c r="E480" t="s">
        <v>3058</v>
      </c>
      <c r="F480" t="s">
        <v>8538</v>
      </c>
      <c r="G480" t="s">
        <v>3990</v>
      </c>
    </row>
    <row r="481" spans="1:7" x14ac:dyDescent="0.25">
      <c r="A481" t="s">
        <v>746</v>
      </c>
      <c r="B481" t="s">
        <v>1050</v>
      </c>
      <c r="C481">
        <v>2015</v>
      </c>
      <c r="E481" t="s">
        <v>3102</v>
      </c>
      <c r="F481" t="s">
        <v>8596</v>
      </c>
      <c r="G481" t="s">
        <v>3990</v>
      </c>
    </row>
    <row r="482" spans="1:7" x14ac:dyDescent="0.25">
      <c r="A482" t="s">
        <v>847</v>
      </c>
      <c r="B482" t="s">
        <v>1050</v>
      </c>
      <c r="C482">
        <v>1996</v>
      </c>
      <c r="E482" t="s">
        <v>3058</v>
      </c>
      <c r="F482" t="s">
        <v>8650</v>
      </c>
      <c r="G482" t="s">
        <v>3990</v>
      </c>
    </row>
    <row r="483" spans="1:7" x14ac:dyDescent="0.25">
      <c r="A483" t="s">
        <v>1046</v>
      </c>
      <c r="B483" t="s">
        <v>1050</v>
      </c>
      <c r="C483">
        <v>2016</v>
      </c>
      <c r="E483" t="s">
        <v>3102</v>
      </c>
      <c r="F483" t="s">
        <v>8717</v>
      </c>
      <c r="G483" t="s">
        <v>3990</v>
      </c>
    </row>
    <row r="484" spans="1:7" x14ac:dyDescent="0.25">
      <c r="A484" t="s">
        <v>1365</v>
      </c>
      <c r="B484" t="s">
        <v>1050</v>
      </c>
      <c r="C484">
        <v>2018</v>
      </c>
      <c r="E484" t="s">
        <v>3102</v>
      </c>
      <c r="F484" t="s">
        <v>8826</v>
      </c>
      <c r="G484" t="s">
        <v>3990</v>
      </c>
    </row>
    <row r="485" spans="1:7" x14ac:dyDescent="0.25">
      <c r="A485" t="s">
        <v>2481</v>
      </c>
      <c r="B485" t="s">
        <v>1050</v>
      </c>
      <c r="C485">
        <v>2020</v>
      </c>
      <c r="E485" t="s">
        <v>3058</v>
      </c>
      <c r="F485" t="s">
        <v>9225</v>
      </c>
      <c r="G485" t="s">
        <v>3990</v>
      </c>
    </row>
    <row r="486" spans="1:7" x14ac:dyDescent="0.25">
      <c r="A486" t="s">
        <v>2625</v>
      </c>
      <c r="B486" t="s">
        <v>1052</v>
      </c>
      <c r="C486">
        <v>2000</v>
      </c>
      <c r="D486" t="s">
        <v>187</v>
      </c>
      <c r="E486" t="s">
        <v>3325</v>
      </c>
      <c r="F486" t="s">
        <v>9306</v>
      </c>
      <c r="G486" t="s">
        <v>3990</v>
      </c>
    </row>
    <row r="487" spans="1:7" x14ac:dyDescent="0.25">
      <c r="A487" t="s">
        <v>2721</v>
      </c>
      <c r="B487" t="s">
        <v>1055</v>
      </c>
      <c r="C487">
        <v>1993</v>
      </c>
      <c r="D487" t="s">
        <v>187</v>
      </c>
      <c r="F487" t="s">
        <v>9561</v>
      </c>
      <c r="G487" t="s">
        <v>3990</v>
      </c>
    </row>
    <row r="488" spans="1:7" x14ac:dyDescent="0.25">
      <c r="A488" t="s">
        <v>1055</v>
      </c>
      <c r="B488" t="s">
        <v>1057</v>
      </c>
      <c r="C488">
        <v>2015</v>
      </c>
      <c r="D488" t="s">
        <v>187</v>
      </c>
      <c r="F488" t="s">
        <v>9562</v>
      </c>
      <c r="G488" t="s">
        <v>3990</v>
      </c>
    </row>
    <row r="489" spans="1:7" x14ac:dyDescent="0.25">
      <c r="A489" t="s">
        <v>778</v>
      </c>
      <c r="B489" t="s">
        <v>1059</v>
      </c>
      <c r="C489">
        <v>2023</v>
      </c>
      <c r="E489" t="s">
        <v>2982</v>
      </c>
      <c r="F489" t="s">
        <v>8631</v>
      </c>
      <c r="G489" t="s">
        <v>3990</v>
      </c>
    </row>
    <row r="490" spans="1:7" x14ac:dyDescent="0.25">
      <c r="A490" t="s">
        <v>2136</v>
      </c>
      <c r="B490" t="s">
        <v>1059</v>
      </c>
      <c r="C490">
        <v>2020</v>
      </c>
      <c r="E490" t="s">
        <v>2982</v>
      </c>
      <c r="F490" t="s">
        <v>9006</v>
      </c>
      <c r="G490" t="s">
        <v>3990</v>
      </c>
    </row>
    <row r="491" spans="1:7" x14ac:dyDescent="0.25">
      <c r="A491" t="s">
        <v>90</v>
      </c>
      <c r="B491" t="s">
        <v>1059</v>
      </c>
      <c r="C491">
        <v>2017</v>
      </c>
      <c r="E491" t="s">
        <v>2982</v>
      </c>
      <c r="F491" t="s">
        <v>9109</v>
      </c>
      <c r="G491" t="s">
        <v>3990</v>
      </c>
    </row>
    <row r="492" spans="1:7" x14ac:dyDescent="0.25">
      <c r="A492" t="s">
        <v>930</v>
      </c>
      <c r="B492" t="s">
        <v>1067</v>
      </c>
      <c r="C492">
        <v>2015</v>
      </c>
      <c r="E492" s="10" t="s">
        <v>8411</v>
      </c>
      <c r="F492" t="s">
        <v>8684</v>
      </c>
      <c r="G492" t="s">
        <v>3990</v>
      </c>
    </row>
    <row r="493" spans="1:7" x14ac:dyDescent="0.25">
      <c r="A493" t="s">
        <v>1046</v>
      </c>
      <c r="B493" t="s">
        <v>1067</v>
      </c>
      <c r="C493">
        <v>2016</v>
      </c>
      <c r="D493" t="s">
        <v>187</v>
      </c>
      <c r="F493" t="s">
        <v>9563</v>
      </c>
      <c r="G493" t="s">
        <v>3990</v>
      </c>
    </row>
    <row r="494" spans="1:7" x14ac:dyDescent="0.25">
      <c r="A494" t="s">
        <v>2506</v>
      </c>
      <c r="B494" t="s">
        <v>1071</v>
      </c>
      <c r="C494">
        <v>2021</v>
      </c>
      <c r="E494" t="s">
        <v>3013</v>
      </c>
      <c r="F494" t="s">
        <v>9564</v>
      </c>
      <c r="G494" t="s">
        <v>187</v>
      </c>
    </row>
    <row r="495" spans="1:7" x14ac:dyDescent="0.25">
      <c r="A495" t="s">
        <v>2154</v>
      </c>
      <c r="B495" t="s">
        <v>1080</v>
      </c>
      <c r="C495">
        <v>1980</v>
      </c>
      <c r="E495" t="s">
        <v>3320</v>
      </c>
      <c r="F495" t="s">
        <v>9025</v>
      </c>
      <c r="G495" t="s">
        <v>3990</v>
      </c>
    </row>
    <row r="496" spans="1:7" x14ac:dyDescent="0.25">
      <c r="A496" t="s">
        <v>1795</v>
      </c>
      <c r="B496" t="s">
        <v>1083</v>
      </c>
      <c r="C496">
        <v>1987</v>
      </c>
      <c r="E496" t="s">
        <v>3276</v>
      </c>
      <c r="F496" t="s">
        <v>8926</v>
      </c>
      <c r="G496" t="s">
        <v>3990</v>
      </c>
    </row>
    <row r="497" spans="1:7" x14ac:dyDescent="0.25">
      <c r="A497" t="s">
        <v>904</v>
      </c>
      <c r="B497" t="s">
        <v>1085</v>
      </c>
      <c r="C497">
        <v>2022</v>
      </c>
      <c r="E497" t="s">
        <v>1088</v>
      </c>
      <c r="F497" t="s">
        <v>8671</v>
      </c>
      <c r="G497" t="s">
        <v>3990</v>
      </c>
    </row>
    <row r="498" spans="1:7" x14ac:dyDescent="0.25">
      <c r="A498" t="s">
        <v>2428</v>
      </c>
      <c r="B498" t="s">
        <v>1085</v>
      </c>
      <c r="C498">
        <v>2008</v>
      </c>
      <c r="E498" t="s">
        <v>1088</v>
      </c>
      <c r="F498" t="s">
        <v>9202</v>
      </c>
      <c r="G498" t="s">
        <v>3990</v>
      </c>
    </row>
    <row r="499" spans="1:7" x14ac:dyDescent="0.25">
      <c r="A499" t="s">
        <v>1443</v>
      </c>
      <c r="B499" t="s">
        <v>1089</v>
      </c>
      <c r="C499">
        <v>2018</v>
      </c>
      <c r="E499" t="s">
        <v>3246</v>
      </c>
      <c r="F499" t="s">
        <v>10020</v>
      </c>
      <c r="G499" t="s">
        <v>187</v>
      </c>
    </row>
    <row r="500" spans="1:7" x14ac:dyDescent="0.25">
      <c r="A500" t="s">
        <v>90</v>
      </c>
      <c r="B500" t="s">
        <v>1089</v>
      </c>
      <c r="C500">
        <v>2017</v>
      </c>
      <c r="E500" t="s">
        <v>3246</v>
      </c>
      <c r="F500" t="s">
        <v>10020</v>
      </c>
      <c r="G500" t="s">
        <v>187</v>
      </c>
    </row>
    <row r="501" spans="1:7" x14ac:dyDescent="0.25">
      <c r="A501" t="s">
        <v>578</v>
      </c>
      <c r="B501" t="s">
        <v>1093</v>
      </c>
      <c r="C501">
        <v>1998</v>
      </c>
      <c r="D501" t="s">
        <v>187</v>
      </c>
      <c r="F501" t="s">
        <v>9565</v>
      </c>
      <c r="G501" t="s">
        <v>3990</v>
      </c>
    </row>
    <row r="502" spans="1:7" x14ac:dyDescent="0.25">
      <c r="A502" t="s">
        <v>2804</v>
      </c>
      <c r="B502" t="s">
        <v>1096</v>
      </c>
      <c r="C502">
        <v>2021</v>
      </c>
      <c r="E502" t="s">
        <v>1099</v>
      </c>
      <c r="F502" t="s">
        <v>9326</v>
      </c>
      <c r="G502" t="s">
        <v>3990</v>
      </c>
    </row>
    <row r="503" spans="1:7" x14ac:dyDescent="0.25">
      <c r="A503" t="s">
        <v>2377</v>
      </c>
      <c r="B503" t="s">
        <v>1100</v>
      </c>
      <c r="C503">
        <v>2021</v>
      </c>
      <c r="E503" t="s">
        <v>3013</v>
      </c>
      <c r="F503" t="s">
        <v>9566</v>
      </c>
      <c r="G503" t="s">
        <v>187</v>
      </c>
    </row>
    <row r="504" spans="1:7" x14ac:dyDescent="0.25">
      <c r="A504" t="s">
        <v>2173</v>
      </c>
      <c r="B504" t="s">
        <v>1104</v>
      </c>
      <c r="C504">
        <v>2013</v>
      </c>
      <c r="E504" t="s">
        <v>3330</v>
      </c>
      <c r="F504" t="s">
        <v>9045</v>
      </c>
      <c r="G504" t="s">
        <v>3990</v>
      </c>
    </row>
    <row r="505" spans="1:7" x14ac:dyDescent="0.25">
      <c r="A505" t="s">
        <v>2428</v>
      </c>
      <c r="B505" t="s">
        <v>1104</v>
      </c>
      <c r="C505">
        <v>2008</v>
      </c>
      <c r="E505" t="s">
        <v>3330</v>
      </c>
      <c r="F505" t="s">
        <v>9203</v>
      </c>
      <c r="G505" t="s">
        <v>3990</v>
      </c>
    </row>
    <row r="506" spans="1:7" x14ac:dyDescent="0.25">
      <c r="A506" t="s">
        <v>786</v>
      </c>
      <c r="B506" t="s">
        <v>1108</v>
      </c>
      <c r="C506">
        <v>2023</v>
      </c>
      <c r="E506" t="s">
        <v>2982</v>
      </c>
      <c r="F506" t="s">
        <v>8635</v>
      </c>
      <c r="G506" t="s">
        <v>3990</v>
      </c>
    </row>
    <row r="507" spans="1:7" x14ac:dyDescent="0.25">
      <c r="A507" t="s">
        <v>1089</v>
      </c>
      <c r="B507" t="s">
        <v>1108</v>
      </c>
      <c r="C507">
        <v>2021</v>
      </c>
      <c r="E507" t="s">
        <v>2982</v>
      </c>
      <c r="F507" t="s">
        <v>8735</v>
      </c>
      <c r="G507" t="s">
        <v>3990</v>
      </c>
    </row>
    <row r="508" spans="1:7" x14ac:dyDescent="0.25">
      <c r="A508" t="s">
        <v>1443</v>
      </c>
      <c r="B508" t="s">
        <v>1108</v>
      </c>
      <c r="C508">
        <v>2018</v>
      </c>
      <c r="E508" t="s">
        <v>3247</v>
      </c>
      <c r="F508" t="s">
        <v>8853</v>
      </c>
      <c r="G508" t="s">
        <v>3990</v>
      </c>
    </row>
    <row r="509" spans="1:7" x14ac:dyDescent="0.25">
      <c r="A509" t="s">
        <v>90</v>
      </c>
      <c r="B509" t="s">
        <v>1108</v>
      </c>
      <c r="C509">
        <v>2017</v>
      </c>
      <c r="E509" t="s">
        <v>3247</v>
      </c>
      <c r="F509" t="s">
        <v>9110</v>
      </c>
      <c r="G509" t="s">
        <v>3990</v>
      </c>
    </row>
    <row r="510" spans="1:7" x14ac:dyDescent="0.25">
      <c r="A510" t="s">
        <v>346</v>
      </c>
      <c r="B510" t="s">
        <v>1111</v>
      </c>
      <c r="C510">
        <v>2022</v>
      </c>
      <c r="E510" s="10" t="s">
        <v>8341</v>
      </c>
      <c r="F510" t="s">
        <v>8487</v>
      </c>
      <c r="G510" t="s">
        <v>3990</v>
      </c>
    </row>
    <row r="511" spans="1:7" x14ac:dyDescent="0.25">
      <c r="A511" t="s">
        <v>497</v>
      </c>
      <c r="B511" t="s">
        <v>1111</v>
      </c>
      <c r="C511">
        <v>2022</v>
      </c>
      <c r="E511" s="10" t="s">
        <v>8341</v>
      </c>
      <c r="F511" t="s">
        <v>8548</v>
      </c>
      <c r="G511" t="s">
        <v>3990</v>
      </c>
    </row>
    <row r="512" spans="1:7" x14ac:dyDescent="0.25">
      <c r="A512" t="s">
        <v>1951</v>
      </c>
      <c r="B512" t="s">
        <v>1111</v>
      </c>
      <c r="C512">
        <v>2022</v>
      </c>
      <c r="E512" s="10" t="s">
        <v>8341</v>
      </c>
      <c r="F512" t="s">
        <v>8982</v>
      </c>
      <c r="G512" t="s">
        <v>3990</v>
      </c>
    </row>
    <row r="513" spans="1:7" x14ac:dyDescent="0.25">
      <c r="A513" t="s">
        <v>1115</v>
      </c>
      <c r="B513" t="s">
        <v>1119</v>
      </c>
      <c r="C513">
        <v>2018</v>
      </c>
      <c r="D513" t="s">
        <v>187</v>
      </c>
      <c r="F513" t="s">
        <v>9567</v>
      </c>
      <c r="G513" t="s">
        <v>3990</v>
      </c>
    </row>
    <row r="514" spans="1:7" x14ac:dyDescent="0.25">
      <c r="A514" t="s">
        <v>1144</v>
      </c>
      <c r="B514" t="s">
        <v>1123</v>
      </c>
      <c r="C514">
        <v>2012</v>
      </c>
      <c r="E514" t="s">
        <v>3201</v>
      </c>
      <c r="F514" t="s">
        <v>8748</v>
      </c>
      <c r="G514" t="s">
        <v>3990</v>
      </c>
    </row>
    <row r="515" spans="1:7" x14ac:dyDescent="0.25">
      <c r="A515" t="s">
        <v>90</v>
      </c>
      <c r="B515" t="s">
        <v>1123</v>
      </c>
      <c r="C515">
        <v>2017</v>
      </c>
      <c r="E515" t="s">
        <v>3201</v>
      </c>
      <c r="F515" t="s">
        <v>9111</v>
      </c>
      <c r="G515" t="s">
        <v>3990</v>
      </c>
    </row>
    <row r="516" spans="1:7" x14ac:dyDescent="0.25">
      <c r="A516" t="s">
        <v>1294</v>
      </c>
      <c r="B516" t="s">
        <v>1129</v>
      </c>
      <c r="C516">
        <v>2019</v>
      </c>
      <c r="E516" t="s">
        <v>3225</v>
      </c>
      <c r="F516" t="s">
        <v>8796</v>
      </c>
      <c r="G516" t="s">
        <v>3990</v>
      </c>
    </row>
    <row r="517" spans="1:7" x14ac:dyDescent="0.25">
      <c r="A517" t="s">
        <v>90</v>
      </c>
      <c r="B517" t="s">
        <v>1129</v>
      </c>
      <c r="C517">
        <v>2017</v>
      </c>
      <c r="E517" t="s">
        <v>3225</v>
      </c>
      <c r="F517" t="s">
        <v>9112</v>
      </c>
      <c r="G517" t="s">
        <v>3990</v>
      </c>
    </row>
    <row r="518" spans="1:7" x14ac:dyDescent="0.25">
      <c r="A518" t="s">
        <v>160</v>
      </c>
      <c r="B518" t="s">
        <v>1133</v>
      </c>
      <c r="C518">
        <v>2011</v>
      </c>
      <c r="E518" t="s">
        <v>3013</v>
      </c>
      <c r="F518" t="s">
        <v>9568</v>
      </c>
      <c r="G518" t="s">
        <v>187</v>
      </c>
    </row>
    <row r="519" spans="1:7" x14ac:dyDescent="0.25">
      <c r="A519" t="s">
        <v>1435</v>
      </c>
      <c r="B519" t="s">
        <v>1137</v>
      </c>
      <c r="C519">
        <v>2021</v>
      </c>
      <c r="E519" t="s">
        <v>3239</v>
      </c>
      <c r="F519" t="s">
        <v>8835</v>
      </c>
      <c r="G519" t="s">
        <v>3990</v>
      </c>
    </row>
    <row r="520" spans="1:7" x14ac:dyDescent="0.25">
      <c r="A520" t="s">
        <v>256</v>
      </c>
      <c r="B520" t="s">
        <v>1141</v>
      </c>
      <c r="C520">
        <v>1994</v>
      </c>
      <c r="E520" t="s">
        <v>2989</v>
      </c>
      <c r="F520" t="s">
        <v>8456</v>
      </c>
      <c r="G520" t="s">
        <v>3990</v>
      </c>
    </row>
    <row r="521" spans="1:7" x14ac:dyDescent="0.25">
      <c r="A521" t="s">
        <v>922</v>
      </c>
      <c r="B521" t="s">
        <v>1141</v>
      </c>
      <c r="C521">
        <v>2002</v>
      </c>
      <c r="E521" t="s">
        <v>2989</v>
      </c>
      <c r="F521" t="s">
        <v>8678</v>
      </c>
      <c r="G521" t="s">
        <v>3990</v>
      </c>
    </row>
    <row r="522" spans="1:7" x14ac:dyDescent="0.25">
      <c r="A522" t="s">
        <v>1538</v>
      </c>
      <c r="B522" t="s">
        <v>1141</v>
      </c>
      <c r="C522">
        <v>1995</v>
      </c>
      <c r="E522" t="s">
        <v>2989</v>
      </c>
      <c r="F522" t="s">
        <v>9419</v>
      </c>
      <c r="G522" t="s">
        <v>3990</v>
      </c>
    </row>
    <row r="523" spans="1:7" x14ac:dyDescent="0.25">
      <c r="A523" t="s">
        <v>1795</v>
      </c>
      <c r="B523" t="s">
        <v>1141</v>
      </c>
      <c r="C523">
        <v>1987</v>
      </c>
      <c r="E523" t="s">
        <v>2989</v>
      </c>
      <c r="F523" t="s">
        <v>8927</v>
      </c>
      <c r="G523" t="s">
        <v>3990</v>
      </c>
    </row>
    <row r="524" spans="1:7" x14ac:dyDescent="0.25">
      <c r="A524" t="s">
        <v>2428</v>
      </c>
      <c r="B524" t="s">
        <v>1144</v>
      </c>
      <c r="C524">
        <v>2008</v>
      </c>
      <c r="E524" t="s">
        <v>3391</v>
      </c>
      <c r="F524" t="s">
        <v>9569</v>
      </c>
      <c r="G524" t="s">
        <v>187</v>
      </c>
    </row>
    <row r="525" spans="1:7" x14ac:dyDescent="0.25">
      <c r="A525" t="s">
        <v>2874</v>
      </c>
      <c r="B525" t="s">
        <v>1144</v>
      </c>
      <c r="C525">
        <v>2005</v>
      </c>
      <c r="E525" s="10" t="s">
        <v>8391</v>
      </c>
      <c r="F525" t="s">
        <v>9358</v>
      </c>
      <c r="G525" t="s">
        <v>3990</v>
      </c>
    </row>
    <row r="526" spans="1:7" x14ac:dyDescent="0.25">
      <c r="A526" t="s">
        <v>160</v>
      </c>
      <c r="B526" t="s">
        <v>1148</v>
      </c>
      <c r="C526">
        <v>2011</v>
      </c>
      <c r="E526" t="s">
        <v>3403</v>
      </c>
      <c r="F526" t="s">
        <v>9267</v>
      </c>
      <c r="G526" t="s">
        <v>3990</v>
      </c>
    </row>
    <row r="527" spans="1:7" x14ac:dyDescent="0.25">
      <c r="A527" t="s">
        <v>759</v>
      </c>
      <c r="B527" t="s">
        <v>1151</v>
      </c>
      <c r="C527">
        <v>2018</v>
      </c>
      <c r="E527" t="s">
        <v>3118</v>
      </c>
      <c r="F527" t="s">
        <v>8618</v>
      </c>
      <c r="G527" t="s">
        <v>3990</v>
      </c>
    </row>
    <row r="528" spans="1:7" x14ac:dyDescent="0.25">
      <c r="A528" t="s">
        <v>2173</v>
      </c>
      <c r="B528" t="s">
        <v>1151</v>
      </c>
      <c r="C528">
        <v>2013</v>
      </c>
      <c r="E528" t="s">
        <v>3118</v>
      </c>
      <c r="F528" t="s">
        <v>9046</v>
      </c>
      <c r="G528" t="s">
        <v>3990</v>
      </c>
    </row>
    <row r="529" spans="1:7" x14ac:dyDescent="0.25">
      <c r="A529" t="s">
        <v>2715</v>
      </c>
      <c r="B529" t="s">
        <v>1155</v>
      </c>
      <c r="C529">
        <v>1999</v>
      </c>
      <c r="E529" t="s">
        <v>3415</v>
      </c>
      <c r="F529" t="s">
        <v>9311</v>
      </c>
      <c r="G529" t="s">
        <v>3990</v>
      </c>
    </row>
    <row r="530" spans="1:7" x14ac:dyDescent="0.25">
      <c r="A530" t="s">
        <v>1661</v>
      </c>
      <c r="B530" t="s">
        <v>1157</v>
      </c>
      <c r="C530">
        <v>2011</v>
      </c>
      <c r="D530" t="s">
        <v>187</v>
      </c>
      <c r="F530" t="s">
        <v>9570</v>
      </c>
      <c r="G530" t="s">
        <v>3990</v>
      </c>
    </row>
    <row r="531" spans="1:7" x14ac:dyDescent="0.25">
      <c r="A531" t="s">
        <v>1746</v>
      </c>
      <c r="B531" t="s">
        <v>1157</v>
      </c>
      <c r="C531">
        <v>2011</v>
      </c>
      <c r="D531" t="s">
        <v>187</v>
      </c>
      <c r="F531" t="s">
        <v>9571</v>
      </c>
      <c r="G531" t="s">
        <v>3990</v>
      </c>
    </row>
    <row r="532" spans="1:7" x14ac:dyDescent="0.25">
      <c r="A532" t="s">
        <v>1761</v>
      </c>
      <c r="B532" t="s">
        <v>9846</v>
      </c>
      <c r="C532">
        <v>1995</v>
      </c>
      <c r="E532" s="10" t="s">
        <v>9847</v>
      </c>
      <c r="F532" t="s">
        <v>9850</v>
      </c>
      <c r="G532" t="s">
        <v>3990</v>
      </c>
    </row>
    <row r="533" spans="1:7" x14ac:dyDescent="0.25">
      <c r="A533" t="s">
        <v>1970</v>
      </c>
      <c r="B533" t="s">
        <v>9846</v>
      </c>
      <c r="C533">
        <v>2012</v>
      </c>
      <c r="E533" s="10" t="s">
        <v>9847</v>
      </c>
      <c r="F533" t="s">
        <v>9848</v>
      </c>
      <c r="G533" t="s">
        <v>3990</v>
      </c>
    </row>
    <row r="534" spans="1:7" x14ac:dyDescent="0.25">
      <c r="A534" t="s">
        <v>2286</v>
      </c>
      <c r="B534" t="s">
        <v>9846</v>
      </c>
      <c r="C534">
        <v>2014</v>
      </c>
      <c r="E534" s="10" t="s">
        <v>9847</v>
      </c>
      <c r="F534" t="s">
        <v>9849</v>
      </c>
      <c r="G534" t="s">
        <v>3990</v>
      </c>
    </row>
    <row r="535" spans="1:7" x14ac:dyDescent="0.25">
      <c r="A535" t="s">
        <v>759</v>
      </c>
      <c r="B535" t="s">
        <v>1159</v>
      </c>
      <c r="C535">
        <v>2018</v>
      </c>
      <c r="E535" t="s">
        <v>3119</v>
      </c>
      <c r="F535" t="s">
        <v>8619</v>
      </c>
      <c r="G535" t="s">
        <v>3990</v>
      </c>
    </row>
    <row r="536" spans="1:7" x14ac:dyDescent="0.25">
      <c r="A536" t="s">
        <v>1046</v>
      </c>
      <c r="B536" t="s">
        <v>1159</v>
      </c>
      <c r="C536">
        <v>2016</v>
      </c>
      <c r="E536" t="s">
        <v>3119</v>
      </c>
      <c r="F536" t="s">
        <v>8718</v>
      </c>
      <c r="G536" t="s">
        <v>3990</v>
      </c>
    </row>
    <row r="537" spans="1:7" x14ac:dyDescent="0.25">
      <c r="A537" t="s">
        <v>2254</v>
      </c>
      <c r="B537" t="s">
        <v>1159</v>
      </c>
      <c r="C537">
        <v>2020</v>
      </c>
      <c r="E537" t="s">
        <v>2982</v>
      </c>
      <c r="F537" t="s">
        <v>9061</v>
      </c>
      <c r="G537" t="s">
        <v>3990</v>
      </c>
    </row>
    <row r="538" spans="1:7" x14ac:dyDescent="0.25">
      <c r="A538" t="s">
        <v>353</v>
      </c>
      <c r="B538" t="s">
        <v>1163</v>
      </c>
      <c r="C538">
        <v>2023</v>
      </c>
      <c r="E538" t="s">
        <v>3030</v>
      </c>
      <c r="F538" t="s">
        <v>8507</v>
      </c>
      <c r="G538" t="s">
        <v>3990</v>
      </c>
    </row>
    <row r="539" spans="1:7" x14ac:dyDescent="0.25">
      <c r="A539" t="s">
        <v>709</v>
      </c>
      <c r="B539" t="s">
        <v>1166</v>
      </c>
      <c r="C539">
        <v>2022</v>
      </c>
      <c r="E539" t="s">
        <v>3089</v>
      </c>
      <c r="F539" t="s">
        <v>8581</v>
      </c>
      <c r="G539" t="s">
        <v>3990</v>
      </c>
    </row>
    <row r="540" spans="1:7" x14ac:dyDescent="0.25">
      <c r="A540" t="s">
        <v>1294</v>
      </c>
      <c r="B540" t="s">
        <v>1166</v>
      </c>
      <c r="C540">
        <v>2019</v>
      </c>
      <c r="E540" t="s">
        <v>3089</v>
      </c>
      <c r="F540" t="s">
        <v>8797</v>
      </c>
      <c r="G540" t="s">
        <v>3990</v>
      </c>
    </row>
    <row r="541" spans="1:7" x14ac:dyDescent="0.25">
      <c r="A541" t="s">
        <v>2136</v>
      </c>
      <c r="B541" t="s">
        <v>1168</v>
      </c>
      <c r="C541">
        <v>2020</v>
      </c>
      <c r="E541" t="s">
        <v>3013</v>
      </c>
      <c r="F541" t="s">
        <v>9572</v>
      </c>
      <c r="G541" t="s">
        <v>187</v>
      </c>
    </row>
    <row r="542" spans="1:7" x14ac:dyDescent="0.25">
      <c r="A542" t="s">
        <v>256</v>
      </c>
      <c r="B542" t="s">
        <v>1171</v>
      </c>
      <c r="C542">
        <v>1994</v>
      </c>
      <c r="E542" s="10" t="s">
        <v>8433</v>
      </c>
      <c r="F542" t="s">
        <v>8434</v>
      </c>
      <c r="G542" t="s">
        <v>3990</v>
      </c>
    </row>
    <row r="543" spans="1:7" x14ac:dyDescent="0.25">
      <c r="A543" t="s">
        <v>1284</v>
      </c>
      <c r="B543" t="s">
        <v>1171</v>
      </c>
      <c r="C543">
        <v>1984</v>
      </c>
      <c r="E543" t="s">
        <v>3220</v>
      </c>
      <c r="F543" t="s">
        <v>8778</v>
      </c>
      <c r="G543" t="s">
        <v>3990</v>
      </c>
    </row>
    <row r="544" spans="1:7" x14ac:dyDescent="0.25">
      <c r="A544" t="s">
        <v>1171</v>
      </c>
      <c r="B544" t="s">
        <v>1174</v>
      </c>
      <c r="C544">
        <v>2002</v>
      </c>
      <c r="D544" t="s">
        <v>187</v>
      </c>
      <c r="F544" t="s">
        <v>9573</v>
      </c>
      <c r="G544" t="s">
        <v>3990</v>
      </c>
    </row>
    <row r="545" spans="1:7" x14ac:dyDescent="0.25">
      <c r="A545" t="s">
        <v>256</v>
      </c>
      <c r="B545" t="s">
        <v>1177</v>
      </c>
      <c r="C545">
        <v>1994</v>
      </c>
      <c r="E545" t="s">
        <v>2990</v>
      </c>
      <c r="F545" t="s">
        <v>8457</v>
      </c>
      <c r="G545" t="s">
        <v>3990</v>
      </c>
    </row>
    <row r="546" spans="1:7" x14ac:dyDescent="0.25">
      <c r="A546" t="s">
        <v>1174</v>
      </c>
      <c r="B546" t="s">
        <v>1177</v>
      </c>
      <c r="C546">
        <v>2007</v>
      </c>
      <c r="D546" t="s">
        <v>187</v>
      </c>
      <c r="F546" t="s">
        <v>9574</v>
      </c>
      <c r="G546" t="s">
        <v>3990</v>
      </c>
    </row>
    <row r="547" spans="1:7" x14ac:dyDescent="0.25">
      <c r="A547" t="s">
        <v>1284</v>
      </c>
      <c r="B547" t="s">
        <v>1177</v>
      </c>
      <c r="C547">
        <v>1984</v>
      </c>
      <c r="E547" t="s">
        <v>2990</v>
      </c>
      <c r="F547" t="s">
        <v>8779</v>
      </c>
      <c r="G547" t="s">
        <v>3990</v>
      </c>
    </row>
    <row r="548" spans="1:7" x14ac:dyDescent="0.25">
      <c r="A548" t="s">
        <v>2804</v>
      </c>
      <c r="B548" t="s">
        <v>1180</v>
      </c>
      <c r="C548">
        <v>2021</v>
      </c>
      <c r="E548" t="s">
        <v>2982</v>
      </c>
      <c r="F548" t="s">
        <v>9327</v>
      </c>
      <c r="G548" t="s">
        <v>3990</v>
      </c>
    </row>
    <row r="549" spans="1:7" x14ac:dyDescent="0.25">
      <c r="A549" t="s">
        <v>1180</v>
      </c>
      <c r="B549" t="s">
        <v>1184</v>
      </c>
      <c r="C549">
        <v>2024</v>
      </c>
      <c r="D549" t="s">
        <v>187</v>
      </c>
      <c r="F549" t="s">
        <v>9575</v>
      </c>
      <c r="G549" t="s">
        <v>3990</v>
      </c>
    </row>
    <row r="550" spans="1:7" x14ac:dyDescent="0.25">
      <c r="A550" t="s">
        <v>1187</v>
      </c>
      <c r="B550" t="s">
        <v>1191</v>
      </c>
      <c r="C550">
        <v>2020</v>
      </c>
      <c r="D550" t="s">
        <v>187</v>
      </c>
      <c r="F550" t="s">
        <v>9576</v>
      </c>
      <c r="G550" t="s">
        <v>3990</v>
      </c>
    </row>
    <row r="551" spans="1:7" x14ac:dyDescent="0.25">
      <c r="A551" t="s">
        <v>353</v>
      </c>
      <c r="B551" t="s">
        <v>1195</v>
      </c>
      <c r="C551">
        <v>2023</v>
      </c>
      <c r="E551" s="10" t="s">
        <v>8421</v>
      </c>
      <c r="F551" t="s">
        <v>8508</v>
      </c>
      <c r="G551" t="s">
        <v>3990</v>
      </c>
    </row>
    <row r="552" spans="1:7" x14ac:dyDescent="0.25">
      <c r="A552" t="s">
        <v>2804</v>
      </c>
      <c r="B552" t="s">
        <v>1195</v>
      </c>
      <c r="C552">
        <v>2021</v>
      </c>
      <c r="E552" t="s">
        <v>3423</v>
      </c>
      <c r="F552" t="s">
        <v>9328</v>
      </c>
      <c r="G552" t="s">
        <v>3990</v>
      </c>
    </row>
    <row r="553" spans="1:7" x14ac:dyDescent="0.25">
      <c r="A553" t="s">
        <v>1795</v>
      </c>
      <c r="B553" t="s">
        <v>1197</v>
      </c>
      <c r="C553">
        <v>1987</v>
      </c>
      <c r="E553" t="s">
        <v>3277</v>
      </c>
      <c r="F553" t="s">
        <v>9577</v>
      </c>
      <c r="G553" t="s">
        <v>187</v>
      </c>
    </row>
    <row r="554" spans="1:7" x14ac:dyDescent="0.25">
      <c r="A554" t="s">
        <v>497</v>
      </c>
      <c r="B554" t="s">
        <v>1201</v>
      </c>
      <c r="C554">
        <v>2022</v>
      </c>
      <c r="E554" s="10" t="s">
        <v>8412</v>
      </c>
      <c r="F554" t="s">
        <v>9399</v>
      </c>
      <c r="G554" t="s">
        <v>3990</v>
      </c>
    </row>
    <row r="555" spans="1:7" x14ac:dyDescent="0.25">
      <c r="A555" t="s">
        <v>1549</v>
      </c>
      <c r="B555" t="s">
        <v>1201</v>
      </c>
      <c r="C555">
        <v>2021</v>
      </c>
      <c r="E555" s="10" t="s">
        <v>8412</v>
      </c>
      <c r="F555" t="s">
        <v>9400</v>
      </c>
      <c r="G555" t="s">
        <v>3990</v>
      </c>
    </row>
    <row r="556" spans="1:7" x14ac:dyDescent="0.25">
      <c r="A556" t="s">
        <v>2698</v>
      </c>
      <c r="B556" t="s">
        <v>1201</v>
      </c>
      <c r="C556">
        <v>2022</v>
      </c>
      <c r="E556" s="10" t="s">
        <v>8412</v>
      </c>
      <c r="F556" t="s">
        <v>9401</v>
      </c>
      <c r="G556" t="s">
        <v>3990</v>
      </c>
    </row>
    <row r="557" spans="1:7" x14ac:dyDescent="0.25">
      <c r="A557" t="s">
        <v>346</v>
      </c>
      <c r="B557" t="s">
        <v>1211</v>
      </c>
      <c r="C557">
        <v>2022</v>
      </c>
      <c r="E557" s="10" t="s">
        <v>8356</v>
      </c>
      <c r="F557" t="s">
        <v>8488</v>
      </c>
      <c r="G557" t="s">
        <v>3990</v>
      </c>
    </row>
    <row r="558" spans="1:7" x14ac:dyDescent="0.25">
      <c r="A558" t="s">
        <v>847</v>
      </c>
      <c r="B558" t="s">
        <v>1211</v>
      </c>
      <c r="C558">
        <v>1996</v>
      </c>
      <c r="E558" s="10" t="s">
        <v>8357</v>
      </c>
      <c r="F558" t="s">
        <v>8651</v>
      </c>
      <c r="G558" t="s">
        <v>3990</v>
      </c>
    </row>
    <row r="559" spans="1:7" x14ac:dyDescent="0.25">
      <c r="A559" t="s">
        <v>2804</v>
      </c>
      <c r="B559" t="s">
        <v>1211</v>
      </c>
      <c r="C559">
        <v>2021</v>
      </c>
      <c r="E559" t="s">
        <v>3013</v>
      </c>
      <c r="F559" t="s">
        <v>9578</v>
      </c>
      <c r="G559" t="s">
        <v>187</v>
      </c>
    </row>
    <row r="560" spans="1:7" x14ac:dyDescent="0.25">
      <c r="A560" t="s">
        <v>1294</v>
      </c>
      <c r="B560" t="s">
        <v>1215</v>
      </c>
      <c r="C560">
        <v>2019</v>
      </c>
      <c r="E560" s="10" t="s">
        <v>12683</v>
      </c>
      <c r="F560" t="s">
        <v>12684</v>
      </c>
      <c r="G560" t="s">
        <v>3990</v>
      </c>
    </row>
    <row r="561" spans="1:7" x14ac:dyDescent="0.25">
      <c r="A561" t="s">
        <v>2136</v>
      </c>
      <c r="B561" t="s">
        <v>1215</v>
      </c>
      <c r="C561">
        <v>2020</v>
      </c>
      <c r="E561" s="10" t="s">
        <v>12683</v>
      </c>
      <c r="F561" t="s">
        <v>12684</v>
      </c>
      <c r="G561" t="s">
        <v>3990</v>
      </c>
    </row>
    <row r="562" spans="1:7" x14ac:dyDescent="0.25">
      <c r="A562" t="s">
        <v>1046</v>
      </c>
      <c r="B562" t="s">
        <v>1219</v>
      </c>
      <c r="C562">
        <v>2016</v>
      </c>
      <c r="E562" t="s">
        <v>2982</v>
      </c>
      <c r="F562" t="s">
        <v>8719</v>
      </c>
      <c r="G562" t="s">
        <v>3990</v>
      </c>
    </row>
    <row r="563" spans="1:7" x14ac:dyDescent="0.25">
      <c r="A563" t="s">
        <v>1294</v>
      </c>
      <c r="B563" t="s">
        <v>1219</v>
      </c>
      <c r="C563">
        <v>2019</v>
      </c>
      <c r="E563" t="s">
        <v>2982</v>
      </c>
      <c r="F563" t="s">
        <v>8798</v>
      </c>
      <c r="G563" t="s">
        <v>3990</v>
      </c>
    </row>
    <row r="564" spans="1:7" x14ac:dyDescent="0.25">
      <c r="A564" t="s">
        <v>2428</v>
      </c>
      <c r="B564" t="s">
        <v>1219</v>
      </c>
      <c r="C564">
        <v>2008</v>
      </c>
      <c r="E564" t="s">
        <v>2982</v>
      </c>
      <c r="F564" t="s">
        <v>9204</v>
      </c>
      <c r="G564" t="s">
        <v>3990</v>
      </c>
    </row>
    <row r="565" spans="1:7" x14ac:dyDescent="0.25">
      <c r="A565" t="s">
        <v>160</v>
      </c>
      <c r="B565" t="s">
        <v>1219</v>
      </c>
      <c r="C565">
        <v>2011</v>
      </c>
      <c r="E565" t="s">
        <v>2982</v>
      </c>
      <c r="F565" t="s">
        <v>9268</v>
      </c>
      <c r="G565" t="s">
        <v>3990</v>
      </c>
    </row>
    <row r="566" spans="1:7" x14ac:dyDescent="0.25">
      <c r="A566" t="s">
        <v>964</v>
      </c>
      <c r="B566" t="s">
        <v>1223</v>
      </c>
      <c r="C566">
        <v>2006</v>
      </c>
      <c r="E566" t="s">
        <v>2982</v>
      </c>
      <c r="F566" t="s">
        <v>8696</v>
      </c>
      <c r="G566" t="s">
        <v>3990</v>
      </c>
    </row>
    <row r="567" spans="1:7" x14ac:dyDescent="0.25">
      <c r="A567" t="s">
        <v>2154</v>
      </c>
      <c r="B567" t="s">
        <v>1227</v>
      </c>
      <c r="C567">
        <v>1980</v>
      </c>
      <c r="E567" t="s">
        <v>3321</v>
      </c>
      <c r="F567" t="s">
        <v>9026</v>
      </c>
      <c r="G567" t="s">
        <v>3990</v>
      </c>
    </row>
    <row r="568" spans="1:7" x14ac:dyDescent="0.25">
      <c r="A568" t="s">
        <v>160</v>
      </c>
      <c r="B568" t="s">
        <v>1227</v>
      </c>
      <c r="C568">
        <v>2011</v>
      </c>
      <c r="E568" t="s">
        <v>3321</v>
      </c>
      <c r="F568" t="s">
        <v>9269</v>
      </c>
      <c r="G568" t="s">
        <v>3990</v>
      </c>
    </row>
    <row r="569" spans="1:7" x14ac:dyDescent="0.25">
      <c r="A569" t="s">
        <v>90</v>
      </c>
      <c r="B569" t="s">
        <v>1231</v>
      </c>
      <c r="C569">
        <v>2022</v>
      </c>
      <c r="E569" t="s">
        <v>3357</v>
      </c>
      <c r="F569" t="s">
        <v>9579</v>
      </c>
      <c r="G569" t="s">
        <v>187</v>
      </c>
    </row>
    <row r="570" spans="1:7" x14ac:dyDescent="0.25">
      <c r="A570" t="s">
        <v>930</v>
      </c>
      <c r="B570" t="s">
        <v>1235</v>
      </c>
      <c r="C570">
        <v>2015</v>
      </c>
      <c r="E570" t="s">
        <v>3154</v>
      </c>
      <c r="F570" t="s">
        <v>8685</v>
      </c>
      <c r="G570" t="s">
        <v>3990</v>
      </c>
    </row>
    <row r="571" spans="1:7" x14ac:dyDescent="0.25">
      <c r="A571" t="s">
        <v>1046</v>
      </c>
      <c r="B571" t="s">
        <v>1235</v>
      </c>
      <c r="C571">
        <v>2016</v>
      </c>
      <c r="E571" s="10" t="s">
        <v>9814</v>
      </c>
      <c r="F571" t="s">
        <v>9813</v>
      </c>
      <c r="G571" t="s">
        <v>3990</v>
      </c>
    </row>
    <row r="572" spans="1:7" x14ac:dyDescent="0.25">
      <c r="A572" t="s">
        <v>1855</v>
      </c>
      <c r="B572" t="s">
        <v>1235</v>
      </c>
      <c r="C572">
        <v>2015</v>
      </c>
      <c r="E572" t="s">
        <v>3297</v>
      </c>
      <c r="F572" t="s">
        <v>8963</v>
      </c>
      <c r="G572" t="s">
        <v>3990</v>
      </c>
    </row>
    <row r="573" spans="1:7" x14ac:dyDescent="0.25">
      <c r="A573" t="s">
        <v>2428</v>
      </c>
      <c r="B573" t="s">
        <v>1235</v>
      </c>
      <c r="C573">
        <v>2008</v>
      </c>
      <c r="E573" t="s">
        <v>3297</v>
      </c>
      <c r="F573" t="s">
        <v>9205</v>
      </c>
      <c r="G573" t="s">
        <v>3990</v>
      </c>
    </row>
    <row r="574" spans="1:7" x14ac:dyDescent="0.25">
      <c r="A574" t="s">
        <v>2518</v>
      </c>
      <c r="B574" t="s">
        <v>1235</v>
      </c>
      <c r="C574">
        <v>2013</v>
      </c>
      <c r="E574" t="s">
        <v>3297</v>
      </c>
      <c r="F574" t="s">
        <v>9238</v>
      </c>
      <c r="G574" t="s">
        <v>3990</v>
      </c>
    </row>
    <row r="575" spans="1:7" x14ac:dyDescent="0.25">
      <c r="A575" t="s">
        <v>160</v>
      </c>
      <c r="B575" t="s">
        <v>1235</v>
      </c>
      <c r="C575">
        <v>2011</v>
      </c>
      <c r="E575" s="10" t="s">
        <v>9814</v>
      </c>
      <c r="F575" t="s">
        <v>9812</v>
      </c>
      <c r="G575" t="s">
        <v>3990</v>
      </c>
    </row>
    <row r="576" spans="1:7" x14ac:dyDescent="0.25">
      <c r="A576" t="s">
        <v>1235</v>
      </c>
      <c r="B576" t="s">
        <v>1239</v>
      </c>
      <c r="C576">
        <v>2026</v>
      </c>
      <c r="D576" t="s">
        <v>187</v>
      </c>
      <c r="F576" t="s">
        <v>9580</v>
      </c>
      <c r="G576" t="s">
        <v>3990</v>
      </c>
    </row>
    <row r="577" spans="1:7" x14ac:dyDescent="0.25">
      <c r="A577" t="s">
        <v>2804</v>
      </c>
      <c r="B577" t="s">
        <v>1243</v>
      </c>
      <c r="C577">
        <v>2021</v>
      </c>
      <c r="E577" t="s">
        <v>3013</v>
      </c>
      <c r="F577" t="s">
        <v>9581</v>
      </c>
      <c r="G577" t="s">
        <v>187</v>
      </c>
    </row>
    <row r="578" spans="1:7" x14ac:dyDescent="0.25">
      <c r="A578" t="s">
        <v>746</v>
      </c>
      <c r="B578" t="s">
        <v>1245</v>
      </c>
      <c r="C578">
        <v>2015</v>
      </c>
      <c r="E578" s="10" t="s">
        <v>8413</v>
      </c>
      <c r="F578" t="s">
        <v>8597</v>
      </c>
      <c r="G578" t="s">
        <v>3990</v>
      </c>
    </row>
    <row r="579" spans="1:7" x14ac:dyDescent="0.25">
      <c r="A579" t="s">
        <v>847</v>
      </c>
      <c r="B579" t="s">
        <v>1245</v>
      </c>
      <c r="C579">
        <v>1996</v>
      </c>
      <c r="E579" s="10" t="s">
        <v>8413</v>
      </c>
      <c r="F579" t="s">
        <v>8652</v>
      </c>
      <c r="G579" t="s">
        <v>3990</v>
      </c>
    </row>
    <row r="580" spans="1:7" x14ac:dyDescent="0.25">
      <c r="A580" t="s">
        <v>90</v>
      </c>
      <c r="B580" t="s">
        <v>1245</v>
      </c>
      <c r="C580">
        <v>2017</v>
      </c>
      <c r="E580" t="s">
        <v>3358</v>
      </c>
      <c r="F580" t="s">
        <v>9113</v>
      </c>
      <c r="G580" t="s">
        <v>3990</v>
      </c>
    </row>
    <row r="581" spans="1:7" x14ac:dyDescent="0.25">
      <c r="A581" t="s">
        <v>2804</v>
      </c>
      <c r="B581" t="s">
        <v>1251</v>
      </c>
      <c r="C581">
        <v>2021</v>
      </c>
      <c r="E581" t="s">
        <v>1254</v>
      </c>
      <c r="F581" t="s">
        <v>9329</v>
      </c>
      <c r="G581" t="s">
        <v>3990</v>
      </c>
    </row>
    <row r="582" spans="1:7" x14ac:dyDescent="0.25">
      <c r="A582" t="s">
        <v>90</v>
      </c>
      <c r="B582" t="s">
        <v>1255</v>
      </c>
      <c r="C582">
        <v>2017</v>
      </c>
      <c r="E582" t="s">
        <v>3359</v>
      </c>
      <c r="F582" t="s">
        <v>9582</v>
      </c>
      <c r="G582" t="s">
        <v>187</v>
      </c>
    </row>
    <row r="583" spans="1:7" x14ac:dyDescent="0.25">
      <c r="A583" t="s">
        <v>689</v>
      </c>
      <c r="B583" t="s">
        <v>1259</v>
      </c>
      <c r="C583">
        <v>2015</v>
      </c>
      <c r="E583" t="s">
        <v>2982</v>
      </c>
      <c r="F583" t="s">
        <v>8576</v>
      </c>
      <c r="G583" t="s">
        <v>3990</v>
      </c>
    </row>
    <row r="584" spans="1:7" x14ac:dyDescent="0.25">
      <c r="A584" t="s">
        <v>1259</v>
      </c>
      <c r="B584" t="s">
        <v>1262</v>
      </c>
      <c r="C584">
        <v>2021</v>
      </c>
      <c r="D584" t="s">
        <v>187</v>
      </c>
      <c r="F584" t="s">
        <v>9583</v>
      </c>
      <c r="G584" t="s">
        <v>3990</v>
      </c>
    </row>
    <row r="585" spans="1:7" x14ac:dyDescent="0.25">
      <c r="A585" t="s">
        <v>1144</v>
      </c>
      <c r="B585" t="s">
        <v>1265</v>
      </c>
      <c r="C585">
        <v>2012</v>
      </c>
      <c r="E585" s="10" t="s">
        <v>8389</v>
      </c>
      <c r="F585" t="s">
        <v>8749</v>
      </c>
      <c r="G585" t="s">
        <v>3990</v>
      </c>
    </row>
    <row r="586" spans="1:7" x14ac:dyDescent="0.25">
      <c r="A586" t="s">
        <v>2428</v>
      </c>
      <c r="B586" t="s">
        <v>1265</v>
      </c>
      <c r="C586">
        <v>2008</v>
      </c>
      <c r="E586" s="10" t="s">
        <v>8389</v>
      </c>
      <c r="F586" t="s">
        <v>9206</v>
      </c>
      <c r="G586" t="s">
        <v>3990</v>
      </c>
    </row>
    <row r="587" spans="1:7" x14ac:dyDescent="0.25">
      <c r="A587" t="s">
        <v>1046</v>
      </c>
      <c r="B587" t="s">
        <v>1272</v>
      </c>
      <c r="C587">
        <v>2016</v>
      </c>
      <c r="E587" t="s">
        <v>3185</v>
      </c>
      <c r="F587" t="s">
        <v>8720</v>
      </c>
      <c r="G587" t="s">
        <v>3990</v>
      </c>
    </row>
    <row r="588" spans="1:7" x14ac:dyDescent="0.25">
      <c r="A588" t="s">
        <v>2804</v>
      </c>
      <c r="B588" t="s">
        <v>1276</v>
      </c>
      <c r="C588">
        <v>2021</v>
      </c>
      <c r="E588" t="s">
        <v>2982</v>
      </c>
      <c r="F588" t="s">
        <v>9330</v>
      </c>
      <c r="G588" t="s">
        <v>3990</v>
      </c>
    </row>
    <row r="589" spans="1:7" x14ac:dyDescent="0.25">
      <c r="A589" t="s">
        <v>1276</v>
      </c>
      <c r="B589" t="s">
        <v>1280</v>
      </c>
      <c r="C589">
        <v>2022</v>
      </c>
      <c r="D589" t="s">
        <v>187</v>
      </c>
      <c r="F589" t="s">
        <v>9584</v>
      </c>
      <c r="G589" t="s">
        <v>3990</v>
      </c>
    </row>
    <row r="590" spans="1:7" x14ac:dyDescent="0.25">
      <c r="A590" t="s">
        <v>1855</v>
      </c>
      <c r="B590" t="s">
        <v>7694</v>
      </c>
      <c r="C590">
        <v>2015</v>
      </c>
      <c r="E590" t="s">
        <v>7697</v>
      </c>
      <c r="F590" t="s">
        <v>8964</v>
      </c>
      <c r="G590" t="s">
        <v>3990</v>
      </c>
    </row>
    <row r="591" spans="1:7" x14ac:dyDescent="0.25">
      <c r="A591" t="s">
        <v>2154</v>
      </c>
      <c r="B591" t="s">
        <v>1284</v>
      </c>
      <c r="C591">
        <v>1980</v>
      </c>
      <c r="F591" t="s">
        <v>9585</v>
      </c>
      <c r="G591" t="s">
        <v>187</v>
      </c>
    </row>
    <row r="592" spans="1:7" x14ac:dyDescent="0.25">
      <c r="A592" t="s">
        <v>2348</v>
      </c>
      <c r="B592" t="s">
        <v>1287</v>
      </c>
      <c r="C592">
        <v>2006</v>
      </c>
      <c r="E592" t="s">
        <v>3338</v>
      </c>
      <c r="F592" t="s">
        <v>9068</v>
      </c>
      <c r="G592" t="s">
        <v>3990</v>
      </c>
    </row>
    <row r="593" spans="1:7" x14ac:dyDescent="0.25">
      <c r="A593" t="s">
        <v>90</v>
      </c>
      <c r="B593" t="s">
        <v>1290</v>
      </c>
      <c r="C593">
        <v>2017</v>
      </c>
      <c r="F593" t="s">
        <v>9586</v>
      </c>
      <c r="G593" t="s">
        <v>187</v>
      </c>
    </row>
    <row r="594" spans="1:7" x14ac:dyDescent="0.25">
      <c r="A594" t="s">
        <v>746</v>
      </c>
      <c r="B594" t="s">
        <v>1294</v>
      </c>
      <c r="C594">
        <v>2015</v>
      </c>
      <c r="E594" s="10" t="s">
        <v>8349</v>
      </c>
      <c r="F594" t="s">
        <v>8598</v>
      </c>
      <c r="G594" t="s">
        <v>3990</v>
      </c>
    </row>
    <row r="595" spans="1:7" x14ac:dyDescent="0.25">
      <c r="A595" t="s">
        <v>759</v>
      </c>
      <c r="B595" t="s">
        <v>1294</v>
      </c>
      <c r="C595">
        <v>2018</v>
      </c>
      <c r="E595" s="10" t="s">
        <v>8349</v>
      </c>
      <c r="F595" t="s">
        <v>8620</v>
      </c>
      <c r="G595" t="s">
        <v>3990</v>
      </c>
    </row>
    <row r="596" spans="1:7" x14ac:dyDescent="0.25">
      <c r="A596" t="s">
        <v>1046</v>
      </c>
      <c r="B596" t="s">
        <v>1294</v>
      </c>
      <c r="C596">
        <v>2016</v>
      </c>
      <c r="E596" s="10" t="s">
        <v>8349</v>
      </c>
      <c r="F596" t="s">
        <v>8721</v>
      </c>
      <c r="G596" t="s">
        <v>3990</v>
      </c>
    </row>
    <row r="597" spans="1:7" x14ac:dyDescent="0.25">
      <c r="A597" t="s">
        <v>2173</v>
      </c>
      <c r="B597" t="s">
        <v>1294</v>
      </c>
      <c r="C597">
        <v>2013</v>
      </c>
      <c r="E597" s="10" t="s">
        <v>8349</v>
      </c>
      <c r="F597" t="s">
        <v>9047</v>
      </c>
      <c r="G597" t="s">
        <v>3990</v>
      </c>
    </row>
    <row r="598" spans="1:7" x14ac:dyDescent="0.25">
      <c r="A598" t="s">
        <v>90</v>
      </c>
      <c r="B598" t="s">
        <v>1294</v>
      </c>
      <c r="C598">
        <v>2017</v>
      </c>
      <c r="E598" s="10" t="s">
        <v>8349</v>
      </c>
      <c r="F598" t="s">
        <v>9114</v>
      </c>
      <c r="G598" t="s">
        <v>3990</v>
      </c>
    </row>
    <row r="599" spans="1:7" x14ac:dyDescent="0.25">
      <c r="A599" t="s">
        <v>2428</v>
      </c>
      <c r="B599" t="s">
        <v>1294</v>
      </c>
      <c r="C599">
        <v>2008</v>
      </c>
      <c r="E599" s="10" t="s">
        <v>8349</v>
      </c>
      <c r="F599" t="s">
        <v>9207</v>
      </c>
      <c r="G599" t="s">
        <v>3990</v>
      </c>
    </row>
    <row r="600" spans="1:7" x14ac:dyDescent="0.25">
      <c r="A600" t="s">
        <v>160</v>
      </c>
      <c r="B600" t="s">
        <v>1294</v>
      </c>
      <c r="C600">
        <v>2011</v>
      </c>
      <c r="E600" s="10" t="s">
        <v>8349</v>
      </c>
      <c r="F600" t="s">
        <v>9270</v>
      </c>
      <c r="G600" t="s">
        <v>3990</v>
      </c>
    </row>
    <row r="601" spans="1:7" x14ac:dyDescent="0.25">
      <c r="A601" t="s">
        <v>2906</v>
      </c>
      <c r="B601" t="s">
        <v>1294</v>
      </c>
      <c r="C601">
        <v>2018</v>
      </c>
      <c r="E601" s="10" t="s">
        <v>8349</v>
      </c>
      <c r="F601" t="s">
        <v>9364</v>
      </c>
      <c r="G601" t="s">
        <v>3990</v>
      </c>
    </row>
    <row r="602" spans="1:7" x14ac:dyDescent="0.25">
      <c r="A602" t="s">
        <v>1294</v>
      </c>
      <c r="B602" t="s">
        <v>1298</v>
      </c>
      <c r="C602">
        <v>2019</v>
      </c>
      <c r="D602" t="s">
        <v>187</v>
      </c>
      <c r="F602" t="s">
        <v>9587</v>
      </c>
      <c r="G602" t="s">
        <v>3990</v>
      </c>
    </row>
    <row r="603" spans="1:7" x14ac:dyDescent="0.25">
      <c r="A603" t="s">
        <v>847</v>
      </c>
      <c r="B603" t="s">
        <v>1302</v>
      </c>
      <c r="C603">
        <v>1996</v>
      </c>
      <c r="E603" s="10" t="s">
        <v>10009</v>
      </c>
      <c r="F603" t="s">
        <v>9588</v>
      </c>
      <c r="G603" t="s">
        <v>3990</v>
      </c>
    </row>
    <row r="604" spans="1:7" x14ac:dyDescent="0.25">
      <c r="A604" t="s">
        <v>2804</v>
      </c>
      <c r="B604" t="s">
        <v>1302</v>
      </c>
      <c r="C604">
        <v>2021</v>
      </c>
      <c r="E604" t="s">
        <v>3013</v>
      </c>
      <c r="F604" t="s">
        <v>9589</v>
      </c>
      <c r="G604" t="s">
        <v>187</v>
      </c>
    </row>
    <row r="605" spans="1:7" x14ac:dyDescent="0.25">
      <c r="A605" t="s">
        <v>1144</v>
      </c>
      <c r="B605" t="s">
        <v>1306</v>
      </c>
      <c r="C605">
        <v>2012</v>
      </c>
      <c r="E605" t="s">
        <v>3202</v>
      </c>
      <c r="F605" t="s">
        <v>9420</v>
      </c>
      <c r="G605" t="s">
        <v>3990</v>
      </c>
    </row>
    <row r="606" spans="1:7" x14ac:dyDescent="0.25">
      <c r="A606" t="s">
        <v>1306</v>
      </c>
      <c r="B606" t="s">
        <v>1310</v>
      </c>
      <c r="C606">
        <v>2014</v>
      </c>
      <c r="D606" t="s">
        <v>187</v>
      </c>
      <c r="F606" t="s">
        <v>9590</v>
      </c>
      <c r="G606" t="s">
        <v>3990</v>
      </c>
    </row>
    <row r="607" spans="1:7" x14ac:dyDescent="0.25">
      <c r="A607" t="s">
        <v>811</v>
      </c>
      <c r="B607" t="s">
        <v>1312</v>
      </c>
      <c r="C607">
        <v>2024</v>
      </c>
      <c r="E607" t="s">
        <v>2982</v>
      </c>
      <c r="F607" t="s">
        <v>8637</v>
      </c>
      <c r="G607" t="s">
        <v>3990</v>
      </c>
    </row>
    <row r="608" spans="1:7" x14ac:dyDescent="0.25">
      <c r="A608" t="s">
        <v>1306</v>
      </c>
      <c r="B608" t="s">
        <v>1312</v>
      </c>
      <c r="C608">
        <v>2014</v>
      </c>
      <c r="D608" t="s">
        <v>187</v>
      </c>
      <c r="F608" t="s">
        <v>9591</v>
      </c>
      <c r="G608" t="s">
        <v>3990</v>
      </c>
    </row>
    <row r="609" spans="1:7" x14ac:dyDescent="0.25">
      <c r="A609" t="s">
        <v>90</v>
      </c>
      <c r="B609" t="s">
        <v>7847</v>
      </c>
      <c r="C609">
        <v>2017</v>
      </c>
      <c r="E609" t="s">
        <v>7846</v>
      </c>
      <c r="F609" t="s">
        <v>9115</v>
      </c>
      <c r="G609" t="s">
        <v>3990</v>
      </c>
    </row>
    <row r="610" spans="1:7" x14ac:dyDescent="0.25">
      <c r="A610" t="s">
        <v>341</v>
      </c>
      <c r="B610" t="s">
        <v>1317</v>
      </c>
      <c r="C610">
        <v>1997</v>
      </c>
      <c r="E610" t="s">
        <v>3009</v>
      </c>
      <c r="F610" t="s">
        <v>9422</v>
      </c>
      <c r="G610" t="s">
        <v>3990</v>
      </c>
    </row>
    <row r="611" spans="1:7" x14ac:dyDescent="0.25">
      <c r="A611" t="s">
        <v>1795</v>
      </c>
      <c r="B611" t="s">
        <v>1317</v>
      </c>
      <c r="C611">
        <v>1987</v>
      </c>
      <c r="E611" t="s">
        <v>3278</v>
      </c>
      <c r="F611" t="s">
        <v>8928</v>
      </c>
      <c r="G611" t="s">
        <v>3990</v>
      </c>
    </row>
    <row r="612" spans="1:7" x14ac:dyDescent="0.25">
      <c r="A612" t="s">
        <v>1855</v>
      </c>
      <c r="B612" t="s">
        <v>1317</v>
      </c>
      <c r="C612">
        <v>2015</v>
      </c>
      <c r="E612" t="s">
        <v>3009</v>
      </c>
      <c r="F612" t="s">
        <v>9592</v>
      </c>
      <c r="G612" t="s">
        <v>187</v>
      </c>
    </row>
    <row r="613" spans="1:7" x14ac:dyDescent="0.25">
      <c r="A613" t="s">
        <v>2023</v>
      </c>
      <c r="B613" t="s">
        <v>1317</v>
      </c>
      <c r="C613">
        <v>2003</v>
      </c>
      <c r="E613" t="s">
        <v>3305</v>
      </c>
      <c r="F613" t="s">
        <v>9421</v>
      </c>
      <c r="G613" t="s">
        <v>3990</v>
      </c>
    </row>
    <row r="614" spans="1:7" x14ac:dyDescent="0.25">
      <c r="A614" t="s">
        <v>1144</v>
      </c>
      <c r="B614" t="s">
        <v>1320</v>
      </c>
      <c r="C614">
        <v>2012</v>
      </c>
      <c r="E614" t="s">
        <v>3203</v>
      </c>
      <c r="F614" t="s">
        <v>8750</v>
      </c>
      <c r="G614" t="s">
        <v>3990</v>
      </c>
    </row>
    <row r="615" spans="1:7" x14ac:dyDescent="0.25">
      <c r="A615" t="s">
        <v>160</v>
      </c>
      <c r="B615" t="s">
        <v>1320</v>
      </c>
      <c r="C615">
        <v>2011</v>
      </c>
      <c r="E615" t="s">
        <v>3203</v>
      </c>
      <c r="F615" t="s">
        <v>9271</v>
      </c>
      <c r="G615" t="s">
        <v>3990</v>
      </c>
    </row>
    <row r="616" spans="1:7" x14ac:dyDescent="0.25">
      <c r="A616" t="s">
        <v>1294</v>
      </c>
      <c r="B616" t="s">
        <v>1326</v>
      </c>
      <c r="C616">
        <v>2019</v>
      </c>
      <c r="E616" t="s">
        <v>3226</v>
      </c>
      <c r="F616" t="s">
        <v>9593</v>
      </c>
      <c r="G616" t="s">
        <v>187</v>
      </c>
    </row>
    <row r="617" spans="1:7" x14ac:dyDescent="0.25">
      <c r="A617" t="s">
        <v>344</v>
      </c>
      <c r="B617" t="s">
        <v>1330</v>
      </c>
      <c r="C617">
        <v>2023</v>
      </c>
      <c r="E617" t="s">
        <v>2982</v>
      </c>
      <c r="F617" t="s">
        <v>8479</v>
      </c>
      <c r="G617" t="s">
        <v>3990</v>
      </c>
    </row>
    <row r="618" spans="1:7" x14ac:dyDescent="0.25">
      <c r="A618" t="s">
        <v>1144</v>
      </c>
      <c r="B618" t="s">
        <v>1334</v>
      </c>
      <c r="C618">
        <v>2012</v>
      </c>
      <c r="E618" s="10" t="s">
        <v>8442</v>
      </c>
      <c r="F618" t="s">
        <v>8441</v>
      </c>
      <c r="G618" t="s">
        <v>3990</v>
      </c>
    </row>
    <row r="619" spans="1:7" x14ac:dyDescent="0.25">
      <c r="A619" t="s">
        <v>1144</v>
      </c>
      <c r="B619" t="s">
        <v>1336</v>
      </c>
      <c r="C619">
        <v>2012</v>
      </c>
      <c r="E619" s="10" t="s">
        <v>8344</v>
      </c>
      <c r="F619" t="s">
        <v>8751</v>
      </c>
      <c r="G619" t="s">
        <v>3990</v>
      </c>
    </row>
    <row r="620" spans="1:7" x14ac:dyDescent="0.25">
      <c r="A620" t="s">
        <v>2428</v>
      </c>
      <c r="B620" t="s">
        <v>1340</v>
      </c>
      <c r="C620">
        <v>2008</v>
      </c>
      <c r="E620" s="10" t="s">
        <v>8414</v>
      </c>
      <c r="F620" t="s">
        <v>9208</v>
      </c>
      <c r="G620" t="s">
        <v>3990</v>
      </c>
    </row>
    <row r="621" spans="1:7" x14ac:dyDescent="0.25">
      <c r="A621" t="s">
        <v>746</v>
      </c>
      <c r="B621" t="s">
        <v>1344</v>
      </c>
      <c r="C621">
        <v>2015</v>
      </c>
      <c r="E621" t="s">
        <v>3103</v>
      </c>
      <c r="F621" t="s">
        <v>10021</v>
      </c>
      <c r="G621" t="s">
        <v>187</v>
      </c>
    </row>
    <row r="622" spans="1:7" x14ac:dyDescent="0.25">
      <c r="A622" t="s">
        <v>847</v>
      </c>
      <c r="B622" t="s">
        <v>1344</v>
      </c>
      <c r="C622">
        <v>1996</v>
      </c>
      <c r="E622" t="s">
        <v>3134</v>
      </c>
      <c r="F622" t="s">
        <v>8653</v>
      </c>
      <c r="G622" t="s">
        <v>3990</v>
      </c>
    </row>
    <row r="623" spans="1:7" x14ac:dyDescent="0.25">
      <c r="A623" t="s">
        <v>1294</v>
      </c>
      <c r="B623" t="s">
        <v>1344</v>
      </c>
      <c r="C623">
        <v>2019</v>
      </c>
      <c r="E623" t="s">
        <v>3103</v>
      </c>
      <c r="F623" t="s">
        <v>10021</v>
      </c>
      <c r="G623" t="s">
        <v>187</v>
      </c>
    </row>
    <row r="624" spans="1:7" x14ac:dyDescent="0.25">
      <c r="A624" t="s">
        <v>1294</v>
      </c>
      <c r="B624" t="s">
        <v>1348</v>
      </c>
      <c r="C624">
        <v>2019</v>
      </c>
      <c r="E624" t="s">
        <v>3227</v>
      </c>
      <c r="F624" t="s">
        <v>8799</v>
      </c>
      <c r="G624" t="s">
        <v>3990</v>
      </c>
    </row>
    <row r="625" spans="1:7" x14ac:dyDescent="0.25">
      <c r="A625" t="s">
        <v>1302</v>
      </c>
      <c r="B625" t="s">
        <v>1348</v>
      </c>
      <c r="C625">
        <v>2023</v>
      </c>
      <c r="E625" t="s">
        <v>3237</v>
      </c>
      <c r="F625" t="s">
        <v>8821</v>
      </c>
      <c r="G625" t="s">
        <v>3990</v>
      </c>
    </row>
    <row r="626" spans="1:7" x14ac:dyDescent="0.25">
      <c r="A626" t="s">
        <v>90</v>
      </c>
      <c r="B626" t="s">
        <v>1348</v>
      </c>
      <c r="C626">
        <v>2017</v>
      </c>
      <c r="E626" t="s">
        <v>3360</v>
      </c>
      <c r="F626" t="s">
        <v>9116</v>
      </c>
      <c r="G626" t="s">
        <v>3990</v>
      </c>
    </row>
    <row r="627" spans="1:7" x14ac:dyDescent="0.25">
      <c r="A627" t="s">
        <v>2804</v>
      </c>
      <c r="B627" t="s">
        <v>1348</v>
      </c>
      <c r="C627">
        <v>2021</v>
      </c>
      <c r="E627" t="s">
        <v>3237</v>
      </c>
      <c r="F627" t="s">
        <v>9331</v>
      </c>
      <c r="G627" t="s">
        <v>3990</v>
      </c>
    </row>
    <row r="628" spans="1:7" x14ac:dyDescent="0.25">
      <c r="A628" t="s">
        <v>2878</v>
      </c>
      <c r="B628" t="s">
        <v>1351</v>
      </c>
      <c r="C628">
        <v>2020</v>
      </c>
      <c r="D628" t="s">
        <v>187</v>
      </c>
      <c r="F628" t="s">
        <v>9594</v>
      </c>
      <c r="G628" t="s">
        <v>3990</v>
      </c>
    </row>
    <row r="629" spans="1:7" x14ac:dyDescent="0.25">
      <c r="A629" t="s">
        <v>462</v>
      </c>
      <c r="B629" t="s">
        <v>1353</v>
      </c>
      <c r="C629">
        <v>2018</v>
      </c>
      <c r="D629" t="s">
        <v>187</v>
      </c>
      <c r="E629" t="s">
        <v>3057</v>
      </c>
      <c r="F629" t="s">
        <v>8537</v>
      </c>
      <c r="G629" t="s">
        <v>3990</v>
      </c>
    </row>
    <row r="630" spans="1:7" x14ac:dyDescent="0.25">
      <c r="A630" t="s">
        <v>90</v>
      </c>
      <c r="B630" t="s">
        <v>1353</v>
      </c>
      <c r="C630">
        <v>2017</v>
      </c>
      <c r="E630" t="s">
        <v>3057</v>
      </c>
      <c r="F630" t="s">
        <v>9117</v>
      </c>
      <c r="G630" t="s">
        <v>3990</v>
      </c>
    </row>
    <row r="631" spans="1:7" x14ac:dyDescent="0.25">
      <c r="A631" t="s">
        <v>1294</v>
      </c>
      <c r="B631" t="s">
        <v>1357</v>
      </c>
      <c r="C631">
        <v>2019</v>
      </c>
      <c r="E631" t="s">
        <v>3228</v>
      </c>
      <c r="F631" t="s">
        <v>9595</v>
      </c>
      <c r="G631" t="s">
        <v>187</v>
      </c>
    </row>
    <row r="632" spans="1:7" x14ac:dyDescent="0.25">
      <c r="A632" t="s">
        <v>497</v>
      </c>
      <c r="B632" t="s">
        <v>1361</v>
      </c>
      <c r="C632">
        <v>2022</v>
      </c>
      <c r="E632" t="s">
        <v>3067</v>
      </c>
      <c r="F632" t="s">
        <v>8549</v>
      </c>
      <c r="G632" t="s">
        <v>3990</v>
      </c>
    </row>
    <row r="633" spans="1:7" x14ac:dyDescent="0.25">
      <c r="A633" t="s">
        <v>2804</v>
      </c>
      <c r="B633" t="s">
        <v>1361</v>
      </c>
      <c r="C633">
        <v>2021</v>
      </c>
      <c r="E633" t="s">
        <v>3013</v>
      </c>
      <c r="F633" t="s">
        <v>9596</v>
      </c>
      <c r="G633" t="s">
        <v>187</v>
      </c>
    </row>
    <row r="634" spans="1:7" x14ac:dyDescent="0.25">
      <c r="A634" t="s">
        <v>1365</v>
      </c>
      <c r="B634" t="s">
        <v>1369</v>
      </c>
      <c r="C634">
        <v>2018</v>
      </c>
      <c r="D634" t="s">
        <v>187</v>
      </c>
      <c r="F634" t="s">
        <v>9597</v>
      </c>
      <c r="G634" t="s">
        <v>3990</v>
      </c>
    </row>
    <row r="635" spans="1:7" x14ac:dyDescent="0.25">
      <c r="A635" t="s">
        <v>571</v>
      </c>
      <c r="B635" t="s">
        <v>1373</v>
      </c>
      <c r="C635">
        <v>2022</v>
      </c>
      <c r="D635" t="s">
        <v>187</v>
      </c>
      <c r="F635" t="s">
        <v>9598</v>
      </c>
      <c r="G635" t="s">
        <v>3990</v>
      </c>
    </row>
    <row r="636" spans="1:7" x14ac:dyDescent="0.25">
      <c r="A636" t="s">
        <v>464</v>
      </c>
      <c r="B636" t="s">
        <v>1376</v>
      </c>
      <c r="C636">
        <v>2022</v>
      </c>
      <c r="D636" t="s">
        <v>187</v>
      </c>
      <c r="F636" t="s">
        <v>9599</v>
      </c>
      <c r="G636" t="s">
        <v>3990</v>
      </c>
    </row>
    <row r="637" spans="1:7" x14ac:dyDescent="0.25">
      <c r="A637" t="s">
        <v>90</v>
      </c>
      <c r="B637" t="s">
        <v>1376</v>
      </c>
      <c r="C637">
        <v>2017</v>
      </c>
      <c r="E637" t="s">
        <v>2982</v>
      </c>
      <c r="F637" t="s">
        <v>9600</v>
      </c>
      <c r="G637" t="s">
        <v>187</v>
      </c>
    </row>
    <row r="638" spans="1:7" x14ac:dyDescent="0.25">
      <c r="A638" t="s">
        <v>1592</v>
      </c>
      <c r="B638" t="s">
        <v>1378</v>
      </c>
      <c r="C638">
        <v>2019</v>
      </c>
      <c r="E638" s="10" t="s">
        <v>1381</v>
      </c>
      <c r="F638" t="s">
        <v>8893</v>
      </c>
      <c r="G638" t="s">
        <v>3990</v>
      </c>
    </row>
    <row r="639" spans="1:7" x14ac:dyDescent="0.25">
      <c r="A639" t="s">
        <v>2804</v>
      </c>
      <c r="B639" t="s">
        <v>1378</v>
      </c>
      <c r="C639">
        <v>2021</v>
      </c>
      <c r="E639" s="10" t="s">
        <v>1381</v>
      </c>
      <c r="F639" t="s">
        <v>9332</v>
      </c>
      <c r="G639" t="s">
        <v>3990</v>
      </c>
    </row>
    <row r="640" spans="1:7" x14ac:dyDescent="0.25">
      <c r="A640" t="s">
        <v>2721</v>
      </c>
      <c r="B640" t="s">
        <v>1382</v>
      </c>
      <c r="C640">
        <v>1993</v>
      </c>
      <c r="E640" t="s">
        <v>3013</v>
      </c>
      <c r="F640" t="s">
        <v>9601</v>
      </c>
      <c r="G640" t="s">
        <v>187</v>
      </c>
    </row>
    <row r="641" spans="1:7" x14ac:dyDescent="0.25">
      <c r="A641" t="s">
        <v>1761</v>
      </c>
      <c r="B641" t="s">
        <v>1388</v>
      </c>
      <c r="C641">
        <v>1995</v>
      </c>
      <c r="E641" t="s">
        <v>3270</v>
      </c>
      <c r="F641" t="s">
        <v>8918</v>
      </c>
      <c r="G641" t="s">
        <v>3990</v>
      </c>
    </row>
    <row r="642" spans="1:7" x14ac:dyDescent="0.25">
      <c r="A642" t="s">
        <v>2721</v>
      </c>
      <c r="B642" t="s">
        <v>1388</v>
      </c>
      <c r="C642">
        <v>1993</v>
      </c>
      <c r="E642" t="s">
        <v>3270</v>
      </c>
      <c r="F642" t="s">
        <v>9313</v>
      </c>
      <c r="G642" t="s">
        <v>3990</v>
      </c>
    </row>
    <row r="643" spans="1:7" x14ac:dyDescent="0.25">
      <c r="A643" t="s">
        <v>353</v>
      </c>
      <c r="B643" t="s">
        <v>1391</v>
      </c>
      <c r="C643">
        <v>2023</v>
      </c>
      <c r="E643" t="s">
        <v>3031</v>
      </c>
      <c r="F643" t="s">
        <v>8509</v>
      </c>
      <c r="G643" t="s">
        <v>3990</v>
      </c>
    </row>
    <row r="644" spans="1:7" x14ac:dyDescent="0.25">
      <c r="A644" t="s">
        <v>497</v>
      </c>
      <c r="B644" t="s">
        <v>1391</v>
      </c>
      <c r="C644">
        <v>2022</v>
      </c>
      <c r="E644" t="s">
        <v>2982</v>
      </c>
      <c r="F644" t="s">
        <v>8550</v>
      </c>
      <c r="G644" t="s">
        <v>3990</v>
      </c>
    </row>
    <row r="645" spans="1:7" x14ac:dyDescent="0.25">
      <c r="A645" t="s">
        <v>353</v>
      </c>
      <c r="B645" t="s">
        <v>1394</v>
      </c>
      <c r="C645">
        <v>2023</v>
      </c>
      <c r="E645" t="s">
        <v>3032</v>
      </c>
      <c r="F645" t="s">
        <v>10022</v>
      </c>
      <c r="G645" t="s">
        <v>3990</v>
      </c>
    </row>
    <row r="646" spans="1:7" x14ac:dyDescent="0.25">
      <c r="A646" t="s">
        <v>918</v>
      </c>
      <c r="B646" t="s">
        <v>1394</v>
      </c>
      <c r="C646">
        <v>2014</v>
      </c>
      <c r="E646" t="s">
        <v>3032</v>
      </c>
      <c r="F646" t="s">
        <v>9386</v>
      </c>
      <c r="G646" t="s">
        <v>3990</v>
      </c>
    </row>
    <row r="647" spans="1:7" x14ac:dyDescent="0.25">
      <c r="A647" t="s">
        <v>90</v>
      </c>
      <c r="B647" t="s">
        <v>1394</v>
      </c>
      <c r="C647">
        <v>2017</v>
      </c>
      <c r="E647" t="s">
        <v>3032</v>
      </c>
      <c r="F647" t="s">
        <v>10022</v>
      </c>
      <c r="G647" t="s">
        <v>3990</v>
      </c>
    </row>
    <row r="648" spans="1:7" x14ac:dyDescent="0.25">
      <c r="A648" t="s">
        <v>2890</v>
      </c>
      <c r="B648" t="s">
        <v>1394</v>
      </c>
      <c r="C648">
        <v>2023</v>
      </c>
      <c r="E648" s="10" t="s">
        <v>3032</v>
      </c>
      <c r="F648" t="s">
        <v>9372</v>
      </c>
      <c r="G648" t="s">
        <v>3990</v>
      </c>
    </row>
    <row r="649" spans="1:7" x14ac:dyDescent="0.25">
      <c r="A649" t="s">
        <v>2804</v>
      </c>
      <c r="B649" t="s">
        <v>1396</v>
      </c>
      <c r="C649">
        <v>2021</v>
      </c>
      <c r="E649" t="s">
        <v>3013</v>
      </c>
      <c r="F649" t="s">
        <v>9602</v>
      </c>
      <c r="G649" t="s">
        <v>187</v>
      </c>
    </row>
    <row r="650" spans="1:7" x14ac:dyDescent="0.25">
      <c r="A650" t="s">
        <v>256</v>
      </c>
      <c r="B650" t="s">
        <v>1400</v>
      </c>
      <c r="C650">
        <v>1994</v>
      </c>
      <c r="E650" t="s">
        <v>2991</v>
      </c>
      <c r="F650" t="s">
        <v>8458</v>
      </c>
      <c r="G650" t="s">
        <v>3990</v>
      </c>
    </row>
    <row r="651" spans="1:7" x14ac:dyDescent="0.25">
      <c r="A651" t="s">
        <v>689</v>
      </c>
      <c r="B651" t="s">
        <v>1400</v>
      </c>
      <c r="C651">
        <v>2015</v>
      </c>
      <c r="E651" t="s">
        <v>2991</v>
      </c>
      <c r="F651" t="s">
        <v>8577</v>
      </c>
      <c r="G651" t="s">
        <v>3990</v>
      </c>
    </row>
    <row r="652" spans="1:7" x14ac:dyDescent="0.25">
      <c r="A652" t="s">
        <v>1385</v>
      </c>
      <c r="B652" t="s">
        <v>1400</v>
      </c>
      <c r="C652">
        <v>2013</v>
      </c>
      <c r="E652" t="s">
        <v>2991</v>
      </c>
      <c r="F652" t="s">
        <v>8828</v>
      </c>
      <c r="G652" t="s">
        <v>3990</v>
      </c>
    </row>
    <row r="653" spans="1:7" x14ac:dyDescent="0.25">
      <c r="A653" t="s">
        <v>1795</v>
      </c>
      <c r="B653" t="s">
        <v>1400</v>
      </c>
      <c r="C653">
        <v>1987</v>
      </c>
      <c r="E653" t="s">
        <v>2991</v>
      </c>
      <c r="F653" t="s">
        <v>8929</v>
      </c>
      <c r="G653" t="s">
        <v>3990</v>
      </c>
    </row>
    <row r="654" spans="1:7" x14ac:dyDescent="0.25">
      <c r="A654" t="s">
        <v>2053</v>
      </c>
      <c r="B654" t="s">
        <v>1400</v>
      </c>
      <c r="C654">
        <v>1992</v>
      </c>
      <c r="E654" t="s">
        <v>2991</v>
      </c>
      <c r="F654" t="s">
        <v>8989</v>
      </c>
      <c r="G654" t="s">
        <v>3990</v>
      </c>
    </row>
    <row r="655" spans="1:7" x14ac:dyDescent="0.25">
      <c r="A655" t="s">
        <v>2154</v>
      </c>
      <c r="B655" t="s">
        <v>1400</v>
      </c>
      <c r="C655">
        <v>1980</v>
      </c>
      <c r="E655" t="s">
        <v>2991</v>
      </c>
      <c r="F655" t="s">
        <v>9027</v>
      </c>
      <c r="G655" t="s">
        <v>3990</v>
      </c>
    </row>
    <row r="656" spans="1:7" x14ac:dyDescent="0.25">
      <c r="A656" t="s">
        <v>2804</v>
      </c>
      <c r="B656" t="s">
        <v>1403</v>
      </c>
      <c r="C656">
        <v>2021</v>
      </c>
      <c r="E656" t="s">
        <v>3013</v>
      </c>
      <c r="F656" t="s">
        <v>9603</v>
      </c>
      <c r="G656" t="s">
        <v>187</v>
      </c>
    </row>
    <row r="657" spans="1:7" x14ac:dyDescent="0.25">
      <c r="A657" t="s">
        <v>836</v>
      </c>
      <c r="B657" t="s">
        <v>1407</v>
      </c>
      <c r="C657">
        <v>2010</v>
      </c>
      <c r="E657" s="10" t="s">
        <v>9396</v>
      </c>
      <c r="F657" t="s">
        <v>9395</v>
      </c>
      <c r="G657" t="s">
        <v>3990</v>
      </c>
    </row>
    <row r="658" spans="1:7" x14ac:dyDescent="0.25">
      <c r="A658" t="s">
        <v>994</v>
      </c>
      <c r="B658" t="s">
        <v>1407</v>
      </c>
      <c r="C658">
        <v>2011</v>
      </c>
      <c r="E658" t="s">
        <v>3168</v>
      </c>
      <c r="F658" t="s">
        <v>8700</v>
      </c>
      <c r="G658" t="s">
        <v>3990</v>
      </c>
    </row>
    <row r="659" spans="1:7" x14ac:dyDescent="0.25">
      <c r="A659" t="s">
        <v>1572</v>
      </c>
      <c r="B659" t="s">
        <v>1407</v>
      </c>
      <c r="C659">
        <v>2001</v>
      </c>
      <c r="E659" t="s">
        <v>3168</v>
      </c>
      <c r="F659" t="s">
        <v>8871</v>
      </c>
      <c r="G659" t="s">
        <v>3990</v>
      </c>
    </row>
    <row r="660" spans="1:7" x14ac:dyDescent="0.25">
      <c r="A660" t="s">
        <v>2804</v>
      </c>
      <c r="B660" t="s">
        <v>1409</v>
      </c>
      <c r="C660">
        <v>2021</v>
      </c>
      <c r="E660" t="s">
        <v>3424</v>
      </c>
      <c r="F660" t="s">
        <v>9604</v>
      </c>
      <c r="G660" t="s">
        <v>187</v>
      </c>
    </row>
    <row r="661" spans="1:7" x14ac:dyDescent="0.25">
      <c r="A661" t="s">
        <v>1046</v>
      </c>
      <c r="B661" t="s">
        <v>1413</v>
      </c>
      <c r="C661">
        <v>2016</v>
      </c>
      <c r="E661" s="10" t="s">
        <v>8398</v>
      </c>
      <c r="F661" t="s">
        <v>8722</v>
      </c>
      <c r="G661" t="s">
        <v>3990</v>
      </c>
    </row>
    <row r="662" spans="1:7" x14ac:dyDescent="0.25">
      <c r="A662" t="s">
        <v>2173</v>
      </c>
      <c r="B662" t="s">
        <v>1413</v>
      </c>
      <c r="C662">
        <v>2013</v>
      </c>
      <c r="E662" t="s">
        <v>3331</v>
      </c>
      <c r="F662" t="s">
        <v>9048</v>
      </c>
      <c r="G662" t="s">
        <v>3990</v>
      </c>
    </row>
    <row r="663" spans="1:7" x14ac:dyDescent="0.25">
      <c r="A663" t="s">
        <v>2428</v>
      </c>
      <c r="B663" t="s">
        <v>1413</v>
      </c>
      <c r="C663">
        <v>2008</v>
      </c>
      <c r="E663" s="10" t="s">
        <v>8398</v>
      </c>
      <c r="F663" t="s">
        <v>9209</v>
      </c>
      <c r="G663" t="s">
        <v>3990</v>
      </c>
    </row>
    <row r="664" spans="1:7" x14ac:dyDescent="0.25">
      <c r="A664" t="s">
        <v>2954</v>
      </c>
      <c r="B664" t="s">
        <v>1413</v>
      </c>
      <c r="C664">
        <v>2014</v>
      </c>
      <c r="E664" s="10" t="s">
        <v>8397</v>
      </c>
      <c r="F664" t="s">
        <v>9369</v>
      </c>
      <c r="G664" t="s">
        <v>3990</v>
      </c>
    </row>
    <row r="665" spans="1:7" x14ac:dyDescent="0.25">
      <c r="A665" t="s">
        <v>2132</v>
      </c>
      <c r="B665" t="s">
        <v>1417</v>
      </c>
      <c r="C665">
        <v>2013</v>
      </c>
      <c r="E665" t="s">
        <v>3310</v>
      </c>
      <c r="F665" t="s">
        <v>8999</v>
      </c>
      <c r="G665" t="s">
        <v>3990</v>
      </c>
    </row>
    <row r="666" spans="1:7" x14ac:dyDescent="0.25">
      <c r="A666" t="s">
        <v>256</v>
      </c>
      <c r="B666" t="s">
        <v>1420</v>
      </c>
      <c r="C666">
        <v>1994</v>
      </c>
      <c r="E666" t="s">
        <v>2992</v>
      </c>
      <c r="F666" t="s">
        <v>14056</v>
      </c>
      <c r="G666" t="s">
        <v>3990</v>
      </c>
    </row>
    <row r="667" spans="1:7" x14ac:dyDescent="0.25">
      <c r="A667" t="s">
        <v>260</v>
      </c>
      <c r="B667" t="s">
        <v>1420</v>
      </c>
      <c r="C667">
        <v>1990</v>
      </c>
      <c r="E667" t="s">
        <v>2992</v>
      </c>
      <c r="F667" t="s">
        <v>14056</v>
      </c>
      <c r="G667" t="s">
        <v>3990</v>
      </c>
    </row>
    <row r="668" spans="1:7" x14ac:dyDescent="0.25">
      <c r="A668" t="s">
        <v>1795</v>
      </c>
      <c r="B668" t="s">
        <v>1420</v>
      </c>
      <c r="C668">
        <v>1987</v>
      </c>
      <c r="E668" t="s">
        <v>2992</v>
      </c>
      <c r="F668" t="s">
        <v>14056</v>
      </c>
      <c r="G668" t="s">
        <v>3990</v>
      </c>
    </row>
    <row r="669" spans="1:7" x14ac:dyDescent="0.25">
      <c r="A669" t="s">
        <v>1882</v>
      </c>
      <c r="B669" t="s">
        <v>1420</v>
      </c>
      <c r="C669">
        <v>1987</v>
      </c>
      <c r="E669" t="s">
        <v>2992</v>
      </c>
      <c r="F669" t="s">
        <v>14056</v>
      </c>
      <c r="G669" t="s">
        <v>3990</v>
      </c>
    </row>
    <row r="670" spans="1:7" x14ac:dyDescent="0.25">
      <c r="A670" t="s">
        <v>2571</v>
      </c>
      <c r="B670" t="s">
        <v>1420</v>
      </c>
      <c r="C670">
        <v>1998</v>
      </c>
      <c r="E670" t="s">
        <v>2992</v>
      </c>
      <c r="F670" t="s">
        <v>14056</v>
      </c>
      <c r="G670" t="s">
        <v>3990</v>
      </c>
    </row>
    <row r="671" spans="1:7" x14ac:dyDescent="0.25">
      <c r="A671" t="s">
        <v>2874</v>
      </c>
      <c r="B671" t="s">
        <v>1423</v>
      </c>
      <c r="C671">
        <v>2005</v>
      </c>
      <c r="D671" t="s">
        <v>187</v>
      </c>
      <c r="F671" t="s">
        <v>9605</v>
      </c>
      <c r="G671" t="s">
        <v>3990</v>
      </c>
    </row>
    <row r="672" spans="1:7" x14ac:dyDescent="0.25">
      <c r="A672" t="s">
        <v>260</v>
      </c>
      <c r="B672" t="s">
        <v>1425</v>
      </c>
      <c r="C672">
        <v>1990</v>
      </c>
      <c r="E672" t="s">
        <v>2982</v>
      </c>
      <c r="F672" t="s">
        <v>9423</v>
      </c>
      <c r="G672" t="s">
        <v>3990</v>
      </c>
    </row>
    <row r="673" spans="1:7" x14ac:dyDescent="0.25">
      <c r="A673" t="s">
        <v>922</v>
      </c>
      <c r="B673" t="s">
        <v>1425</v>
      </c>
      <c r="C673">
        <v>2002</v>
      </c>
      <c r="E673" t="s">
        <v>2982</v>
      </c>
      <c r="F673" t="s">
        <v>8679</v>
      </c>
      <c r="G673" t="s">
        <v>3990</v>
      </c>
    </row>
    <row r="674" spans="1:7" x14ac:dyDescent="0.25">
      <c r="A674" t="s">
        <v>2154</v>
      </c>
      <c r="B674" t="s">
        <v>1425</v>
      </c>
      <c r="C674">
        <v>1980</v>
      </c>
      <c r="E674" t="s">
        <v>2982</v>
      </c>
      <c r="F674" t="s">
        <v>9028</v>
      </c>
      <c r="G674" t="s">
        <v>3990</v>
      </c>
    </row>
    <row r="675" spans="1:7" x14ac:dyDescent="0.25">
      <c r="A675" t="s">
        <v>1690</v>
      </c>
      <c r="B675" t="s">
        <v>1428</v>
      </c>
      <c r="C675">
        <v>2020</v>
      </c>
      <c r="D675" t="s">
        <v>187</v>
      </c>
      <c r="F675" t="s">
        <v>9606</v>
      </c>
      <c r="G675" t="s">
        <v>3990</v>
      </c>
    </row>
    <row r="676" spans="1:7" x14ac:dyDescent="0.25">
      <c r="A676" t="s">
        <v>1306</v>
      </c>
      <c r="B676" t="s">
        <v>1432</v>
      </c>
      <c r="C676">
        <v>2014</v>
      </c>
      <c r="E676" t="s">
        <v>2982</v>
      </c>
      <c r="F676" t="s">
        <v>8825</v>
      </c>
      <c r="G676" t="s">
        <v>3990</v>
      </c>
    </row>
    <row r="677" spans="1:7" x14ac:dyDescent="0.25">
      <c r="A677" t="s">
        <v>1435</v>
      </c>
      <c r="B677" t="s">
        <v>1432</v>
      </c>
      <c r="C677">
        <v>2021</v>
      </c>
      <c r="E677" t="s">
        <v>2982</v>
      </c>
      <c r="F677" t="s">
        <v>8836</v>
      </c>
      <c r="G677" t="s">
        <v>3990</v>
      </c>
    </row>
    <row r="678" spans="1:7" x14ac:dyDescent="0.25">
      <c r="A678" t="s">
        <v>1690</v>
      </c>
      <c r="B678" t="s">
        <v>1435</v>
      </c>
      <c r="C678">
        <v>2020</v>
      </c>
      <c r="E678" t="s">
        <v>3266</v>
      </c>
      <c r="F678" t="s">
        <v>8903</v>
      </c>
      <c r="G678" t="s">
        <v>3990</v>
      </c>
    </row>
    <row r="679" spans="1:7" x14ac:dyDescent="0.25">
      <c r="A679" t="s">
        <v>90</v>
      </c>
      <c r="B679" t="s">
        <v>1435</v>
      </c>
      <c r="C679">
        <v>2017</v>
      </c>
      <c r="E679" t="s">
        <v>3266</v>
      </c>
      <c r="F679" t="s">
        <v>9118</v>
      </c>
      <c r="G679" t="s">
        <v>3990</v>
      </c>
    </row>
    <row r="680" spans="1:7" x14ac:dyDescent="0.25">
      <c r="A680" t="s">
        <v>353</v>
      </c>
      <c r="B680" t="s">
        <v>7982</v>
      </c>
      <c r="C680">
        <v>2023</v>
      </c>
      <c r="E680" s="10" t="s">
        <v>7981</v>
      </c>
      <c r="F680" t="s">
        <v>8510</v>
      </c>
      <c r="G680" t="s">
        <v>3990</v>
      </c>
    </row>
    <row r="681" spans="1:7" x14ac:dyDescent="0.25">
      <c r="A681" t="s">
        <v>353</v>
      </c>
      <c r="B681" t="s">
        <v>7982</v>
      </c>
      <c r="C681">
        <v>2023</v>
      </c>
      <c r="E681" s="10" t="s">
        <v>7981</v>
      </c>
      <c r="F681" t="s">
        <v>8510</v>
      </c>
      <c r="G681" t="s">
        <v>3990</v>
      </c>
    </row>
    <row r="682" spans="1:7" x14ac:dyDescent="0.25">
      <c r="A682" t="s">
        <v>720</v>
      </c>
      <c r="B682" t="s">
        <v>1439</v>
      </c>
      <c r="C682">
        <v>2016</v>
      </c>
      <c r="E682" t="s">
        <v>3090</v>
      </c>
      <c r="F682" t="s">
        <v>8583</v>
      </c>
      <c r="G682" t="s">
        <v>3990</v>
      </c>
    </row>
    <row r="683" spans="1:7" x14ac:dyDescent="0.25">
      <c r="A683" t="s">
        <v>1144</v>
      </c>
      <c r="B683" t="s">
        <v>1439</v>
      </c>
      <c r="C683">
        <v>2012</v>
      </c>
      <c r="E683" t="s">
        <v>3090</v>
      </c>
      <c r="F683" t="s">
        <v>8752</v>
      </c>
      <c r="G683" t="s">
        <v>3990</v>
      </c>
    </row>
    <row r="684" spans="1:7" x14ac:dyDescent="0.25">
      <c r="A684" t="s">
        <v>1144</v>
      </c>
      <c r="B684" t="s">
        <v>1443</v>
      </c>
      <c r="C684">
        <v>2012</v>
      </c>
      <c r="D684" t="s">
        <v>187</v>
      </c>
      <c r="E684" t="s">
        <v>3204</v>
      </c>
      <c r="F684" t="s">
        <v>8753</v>
      </c>
      <c r="G684" t="s">
        <v>3990</v>
      </c>
    </row>
    <row r="685" spans="1:7" x14ac:dyDescent="0.25">
      <c r="A685" t="s">
        <v>1385</v>
      </c>
      <c r="B685" t="s">
        <v>1443</v>
      </c>
      <c r="C685">
        <v>2013</v>
      </c>
      <c r="E685" t="s">
        <v>3238</v>
      </c>
      <c r="F685" t="s">
        <v>9607</v>
      </c>
      <c r="G685" t="s">
        <v>187</v>
      </c>
    </row>
    <row r="686" spans="1:7" x14ac:dyDescent="0.25">
      <c r="A686" t="s">
        <v>90</v>
      </c>
      <c r="B686" t="s">
        <v>1447</v>
      </c>
      <c r="C686">
        <v>2017</v>
      </c>
      <c r="E686" t="s">
        <v>2982</v>
      </c>
      <c r="F686" t="s">
        <v>9119</v>
      </c>
      <c r="G686" t="s">
        <v>3990</v>
      </c>
    </row>
    <row r="687" spans="1:7" x14ac:dyDescent="0.25">
      <c r="A687" t="s">
        <v>746</v>
      </c>
      <c r="B687" t="s">
        <v>1450</v>
      </c>
      <c r="C687">
        <v>2015</v>
      </c>
      <c r="E687" t="s">
        <v>3104</v>
      </c>
      <c r="F687" t="s">
        <v>8599</v>
      </c>
      <c r="G687" t="s">
        <v>3990</v>
      </c>
    </row>
    <row r="688" spans="1:7" x14ac:dyDescent="0.25">
      <c r="A688" t="s">
        <v>90</v>
      </c>
      <c r="B688" t="s">
        <v>1450</v>
      </c>
      <c r="C688">
        <v>2017</v>
      </c>
      <c r="E688" t="s">
        <v>3104</v>
      </c>
      <c r="F688" t="s">
        <v>9120</v>
      </c>
      <c r="G688" t="s">
        <v>3990</v>
      </c>
    </row>
    <row r="689" spans="1:7" x14ac:dyDescent="0.25">
      <c r="A689" t="s">
        <v>1795</v>
      </c>
      <c r="B689" t="s">
        <v>1454</v>
      </c>
      <c r="C689">
        <v>1987</v>
      </c>
      <c r="E689" t="s">
        <v>3279</v>
      </c>
      <c r="F689" t="s">
        <v>8930</v>
      </c>
      <c r="G689" t="s">
        <v>3990</v>
      </c>
    </row>
    <row r="690" spans="1:7" x14ac:dyDescent="0.25">
      <c r="A690" t="s">
        <v>1460</v>
      </c>
      <c r="B690" t="s">
        <v>1457</v>
      </c>
      <c r="C690">
        <v>2006</v>
      </c>
      <c r="D690" t="s">
        <v>187</v>
      </c>
      <c r="F690" t="s">
        <v>9608</v>
      </c>
      <c r="G690" t="s">
        <v>3990</v>
      </c>
    </row>
    <row r="691" spans="1:7" x14ac:dyDescent="0.25">
      <c r="A691" t="s">
        <v>2721</v>
      </c>
      <c r="B691" t="s">
        <v>1460</v>
      </c>
      <c r="C691">
        <v>1993</v>
      </c>
      <c r="E691" t="s">
        <v>3013</v>
      </c>
      <c r="F691" t="s">
        <v>9609</v>
      </c>
      <c r="G691" t="s">
        <v>187</v>
      </c>
    </row>
    <row r="692" spans="1:7" x14ac:dyDescent="0.25">
      <c r="A692" t="s">
        <v>778</v>
      </c>
      <c r="B692" t="s">
        <v>1463</v>
      </c>
      <c r="C692">
        <v>2023</v>
      </c>
      <c r="E692" t="s">
        <v>3126</v>
      </c>
      <c r="F692" t="s">
        <v>8632</v>
      </c>
      <c r="G692" t="s">
        <v>3990</v>
      </c>
    </row>
    <row r="693" spans="1:7" x14ac:dyDescent="0.25">
      <c r="A693" t="s">
        <v>847</v>
      </c>
      <c r="B693" t="s">
        <v>1463</v>
      </c>
      <c r="C693">
        <v>1996</v>
      </c>
      <c r="E693" t="s">
        <v>3126</v>
      </c>
      <c r="F693" t="s">
        <v>9424</v>
      </c>
      <c r="G693" t="s">
        <v>3990</v>
      </c>
    </row>
    <row r="694" spans="1:7" x14ac:dyDescent="0.25">
      <c r="A694" t="s">
        <v>1302</v>
      </c>
      <c r="B694" t="s">
        <v>1463</v>
      </c>
      <c r="C694">
        <v>2023</v>
      </c>
      <c r="E694" t="s">
        <v>3126</v>
      </c>
      <c r="F694" t="s">
        <v>8822</v>
      </c>
      <c r="G694" t="s">
        <v>3990</v>
      </c>
    </row>
    <row r="695" spans="1:7" x14ac:dyDescent="0.25">
      <c r="A695" t="s">
        <v>2804</v>
      </c>
      <c r="B695" t="s">
        <v>1463</v>
      </c>
      <c r="C695">
        <v>2021</v>
      </c>
      <c r="E695" t="s">
        <v>3126</v>
      </c>
      <c r="F695" t="s">
        <v>9333</v>
      </c>
      <c r="G695" t="s">
        <v>3990</v>
      </c>
    </row>
    <row r="696" spans="1:7" x14ac:dyDescent="0.25">
      <c r="A696" t="s">
        <v>922</v>
      </c>
      <c r="B696" t="s">
        <v>1467</v>
      </c>
      <c r="C696">
        <v>2002</v>
      </c>
      <c r="D696" t="s">
        <v>187</v>
      </c>
      <c r="F696" t="s">
        <v>9610</v>
      </c>
      <c r="G696" t="s">
        <v>3990</v>
      </c>
    </row>
    <row r="697" spans="1:7" x14ac:dyDescent="0.25">
      <c r="A697" t="s">
        <v>2377</v>
      </c>
      <c r="B697" t="s">
        <v>1471</v>
      </c>
      <c r="C697">
        <v>2021</v>
      </c>
      <c r="E697" t="s">
        <v>3013</v>
      </c>
      <c r="F697" t="s">
        <v>9611</v>
      </c>
      <c r="G697" t="s">
        <v>187</v>
      </c>
    </row>
    <row r="698" spans="1:7" x14ac:dyDescent="0.25">
      <c r="A698" t="s">
        <v>1933</v>
      </c>
      <c r="B698" t="s">
        <v>1475</v>
      </c>
      <c r="C698">
        <v>2021</v>
      </c>
      <c r="E698" t="s">
        <v>2982</v>
      </c>
      <c r="F698" t="s">
        <v>8979</v>
      </c>
      <c r="G698" t="s">
        <v>3990</v>
      </c>
    </row>
    <row r="699" spans="1:7" x14ac:dyDescent="0.25">
      <c r="A699" t="s">
        <v>90</v>
      </c>
      <c r="B699" t="s">
        <v>1475</v>
      </c>
      <c r="C699">
        <v>2017</v>
      </c>
      <c r="E699" t="s">
        <v>3361</v>
      </c>
      <c r="F699" t="s">
        <v>9121</v>
      </c>
      <c r="G699" t="s">
        <v>3990</v>
      </c>
    </row>
    <row r="700" spans="1:7" x14ac:dyDescent="0.25">
      <c r="A700" t="s">
        <v>2506</v>
      </c>
      <c r="B700" t="s">
        <v>1475</v>
      </c>
      <c r="C700">
        <v>2021</v>
      </c>
      <c r="E700" t="s">
        <v>2982</v>
      </c>
      <c r="F700" t="s">
        <v>9228</v>
      </c>
      <c r="G700" t="s">
        <v>3990</v>
      </c>
    </row>
    <row r="701" spans="1:7" x14ac:dyDescent="0.25">
      <c r="A701" t="s">
        <v>759</v>
      </c>
      <c r="B701" t="s">
        <v>1479</v>
      </c>
      <c r="C701">
        <v>2018</v>
      </c>
      <c r="E701" t="s">
        <v>3120</v>
      </c>
      <c r="F701" t="s">
        <v>8621</v>
      </c>
      <c r="G701" t="s">
        <v>3990</v>
      </c>
    </row>
    <row r="702" spans="1:7" x14ac:dyDescent="0.25">
      <c r="A702" t="s">
        <v>256</v>
      </c>
      <c r="B702" t="s">
        <v>1482</v>
      </c>
      <c r="C702">
        <v>1994</v>
      </c>
      <c r="E702" t="s">
        <v>2982</v>
      </c>
      <c r="F702" t="s">
        <v>8459</v>
      </c>
      <c r="G702" t="s">
        <v>3990</v>
      </c>
    </row>
    <row r="703" spans="1:7" x14ac:dyDescent="0.25">
      <c r="A703" t="s">
        <v>1004</v>
      </c>
      <c r="B703" t="s">
        <v>1482</v>
      </c>
      <c r="C703">
        <v>2006</v>
      </c>
      <c r="E703" t="s">
        <v>3170</v>
      </c>
      <c r="F703" t="s">
        <v>8704</v>
      </c>
      <c r="G703" t="s">
        <v>3990</v>
      </c>
    </row>
    <row r="704" spans="1:7" x14ac:dyDescent="0.25">
      <c r="A704" t="s">
        <v>1795</v>
      </c>
      <c r="B704" t="s">
        <v>1482</v>
      </c>
      <c r="C704">
        <v>1987</v>
      </c>
      <c r="E704" t="s">
        <v>2982</v>
      </c>
      <c r="F704" t="s">
        <v>8931</v>
      </c>
      <c r="G704" t="s">
        <v>3990</v>
      </c>
    </row>
    <row r="705" spans="1:7" x14ac:dyDescent="0.25">
      <c r="A705" t="s">
        <v>160</v>
      </c>
      <c r="B705" t="s">
        <v>1486</v>
      </c>
      <c r="C705">
        <v>2011</v>
      </c>
      <c r="E705" s="10" t="s">
        <v>9843</v>
      </c>
      <c r="F705" t="s">
        <v>9844</v>
      </c>
      <c r="G705" t="s">
        <v>3990</v>
      </c>
    </row>
    <row r="706" spans="1:7" x14ac:dyDescent="0.25">
      <c r="A706" t="s">
        <v>2804</v>
      </c>
      <c r="B706" t="s">
        <v>1486</v>
      </c>
      <c r="C706">
        <v>2021</v>
      </c>
      <c r="E706" s="10" t="s">
        <v>9843</v>
      </c>
      <c r="F706" t="s">
        <v>9612</v>
      </c>
      <c r="G706" t="s">
        <v>3990</v>
      </c>
    </row>
    <row r="707" spans="1:7" x14ac:dyDescent="0.25">
      <c r="A707" t="s">
        <v>379</v>
      </c>
      <c r="B707" t="s">
        <v>7973</v>
      </c>
      <c r="C707">
        <v>1998</v>
      </c>
      <c r="E707" s="10" t="s">
        <v>7976</v>
      </c>
      <c r="F707" t="s">
        <v>9613</v>
      </c>
      <c r="G707" t="s">
        <v>187</v>
      </c>
    </row>
    <row r="708" spans="1:7" x14ac:dyDescent="0.25">
      <c r="A708" t="s">
        <v>379</v>
      </c>
      <c r="B708" t="s">
        <v>7973</v>
      </c>
      <c r="C708">
        <v>1998</v>
      </c>
      <c r="E708" s="10" t="s">
        <v>7976</v>
      </c>
      <c r="F708" t="s">
        <v>9613</v>
      </c>
      <c r="G708" t="s">
        <v>187</v>
      </c>
    </row>
    <row r="709" spans="1:7" x14ac:dyDescent="0.25">
      <c r="A709" t="s">
        <v>1951</v>
      </c>
      <c r="B709" t="s">
        <v>1490</v>
      </c>
      <c r="C709">
        <v>2022</v>
      </c>
      <c r="E709" s="10" t="s">
        <v>8346</v>
      </c>
      <c r="F709" t="s">
        <v>8983</v>
      </c>
      <c r="G709" t="s">
        <v>3990</v>
      </c>
    </row>
    <row r="710" spans="1:7" x14ac:dyDescent="0.25">
      <c r="A710" t="s">
        <v>497</v>
      </c>
      <c r="B710" t="s">
        <v>1492</v>
      </c>
      <c r="C710">
        <v>2022</v>
      </c>
      <c r="E710" t="s">
        <v>3068</v>
      </c>
      <c r="F710" t="s">
        <v>8551</v>
      </c>
      <c r="G710" t="s">
        <v>3990</v>
      </c>
    </row>
    <row r="711" spans="1:7" x14ac:dyDescent="0.25">
      <c r="A711" t="s">
        <v>689</v>
      </c>
      <c r="B711" t="s">
        <v>1492</v>
      </c>
      <c r="C711">
        <v>2015</v>
      </c>
      <c r="E711" t="s">
        <v>3087</v>
      </c>
      <c r="F711" t="s">
        <v>8578</v>
      </c>
      <c r="G711" t="s">
        <v>3990</v>
      </c>
    </row>
    <row r="712" spans="1:7" x14ac:dyDescent="0.25">
      <c r="A712" t="s">
        <v>1294</v>
      </c>
      <c r="B712" t="s">
        <v>1492</v>
      </c>
      <c r="C712">
        <v>2019</v>
      </c>
      <c r="E712" t="s">
        <v>3087</v>
      </c>
      <c r="F712" t="s">
        <v>8800</v>
      </c>
      <c r="G712" t="s">
        <v>3990</v>
      </c>
    </row>
    <row r="713" spans="1:7" x14ac:dyDescent="0.25">
      <c r="A713" t="s">
        <v>2804</v>
      </c>
      <c r="B713" t="s">
        <v>1492</v>
      </c>
      <c r="C713">
        <v>2021</v>
      </c>
      <c r="E713" t="s">
        <v>3087</v>
      </c>
      <c r="F713" t="s">
        <v>9334</v>
      </c>
      <c r="G713" t="s">
        <v>3990</v>
      </c>
    </row>
    <row r="714" spans="1:7" x14ac:dyDescent="0.25">
      <c r="A714" t="s">
        <v>2804</v>
      </c>
      <c r="B714" t="s">
        <v>1500</v>
      </c>
      <c r="C714">
        <v>2021</v>
      </c>
      <c r="E714" t="s">
        <v>3013</v>
      </c>
      <c r="F714" t="s">
        <v>9614</v>
      </c>
      <c r="G714" t="s">
        <v>187</v>
      </c>
    </row>
    <row r="715" spans="1:7" x14ac:dyDescent="0.25">
      <c r="A715" t="s">
        <v>344</v>
      </c>
      <c r="B715" t="s">
        <v>1503</v>
      </c>
      <c r="C715">
        <v>2023</v>
      </c>
      <c r="E715" t="s">
        <v>3011</v>
      </c>
      <c r="F715" t="s">
        <v>8480</v>
      </c>
      <c r="G715" t="s">
        <v>3990</v>
      </c>
    </row>
    <row r="716" spans="1:7" x14ac:dyDescent="0.25">
      <c r="A716" t="s">
        <v>2506</v>
      </c>
      <c r="B716" t="s">
        <v>1503</v>
      </c>
      <c r="C716">
        <v>2021</v>
      </c>
      <c r="E716" t="s">
        <v>3011</v>
      </c>
      <c r="F716" t="s">
        <v>9229</v>
      </c>
      <c r="G716" t="s">
        <v>3990</v>
      </c>
    </row>
    <row r="717" spans="1:7" x14ac:dyDescent="0.25">
      <c r="A717" t="s">
        <v>2594</v>
      </c>
      <c r="B717" t="s">
        <v>1503</v>
      </c>
      <c r="C717">
        <v>2019</v>
      </c>
      <c r="E717" t="s">
        <v>3011</v>
      </c>
      <c r="F717" t="s">
        <v>9245</v>
      </c>
      <c r="G717" t="s">
        <v>3990</v>
      </c>
    </row>
    <row r="718" spans="1:7" x14ac:dyDescent="0.25">
      <c r="A718" t="s">
        <v>1089</v>
      </c>
      <c r="B718" t="s">
        <v>1507</v>
      </c>
      <c r="C718">
        <v>2021</v>
      </c>
      <c r="D718" t="s">
        <v>187</v>
      </c>
      <c r="F718" t="s">
        <v>9615</v>
      </c>
      <c r="G718" t="s">
        <v>3990</v>
      </c>
    </row>
    <row r="719" spans="1:7" x14ac:dyDescent="0.25">
      <c r="A719" t="s">
        <v>90</v>
      </c>
      <c r="B719" t="s">
        <v>1511</v>
      </c>
      <c r="C719">
        <v>2017</v>
      </c>
      <c r="E719" t="s">
        <v>2982</v>
      </c>
      <c r="F719" t="s">
        <v>9122</v>
      </c>
      <c r="G719" t="s">
        <v>3990</v>
      </c>
    </row>
    <row r="720" spans="1:7" x14ac:dyDescent="0.25">
      <c r="A720" t="s">
        <v>341</v>
      </c>
      <c r="B720" t="s">
        <v>1513</v>
      </c>
      <c r="C720">
        <v>1997</v>
      </c>
      <c r="E720" s="10" t="s">
        <v>9966</v>
      </c>
      <c r="F720" t="s">
        <v>14055</v>
      </c>
      <c r="G720" t="s">
        <v>3990</v>
      </c>
    </row>
    <row r="721" spans="1:7" x14ac:dyDescent="0.25">
      <c r="A721" t="s">
        <v>490</v>
      </c>
      <c r="B721" t="s">
        <v>1513</v>
      </c>
      <c r="C721">
        <v>2009</v>
      </c>
      <c r="E721" s="10" t="s">
        <v>9966</v>
      </c>
      <c r="F721" t="s">
        <v>14073</v>
      </c>
      <c r="G721" t="s">
        <v>3990</v>
      </c>
    </row>
    <row r="722" spans="1:7" x14ac:dyDescent="0.25">
      <c r="A722" t="s">
        <v>2009</v>
      </c>
      <c r="B722" t="s">
        <v>1513</v>
      </c>
      <c r="C722">
        <v>2005</v>
      </c>
      <c r="E722" s="10" t="s">
        <v>9966</v>
      </c>
      <c r="F722" t="s">
        <v>14055</v>
      </c>
      <c r="G722" t="s">
        <v>3990</v>
      </c>
    </row>
    <row r="723" spans="1:7" x14ac:dyDescent="0.25">
      <c r="A723" t="s">
        <v>2571</v>
      </c>
      <c r="B723" t="s">
        <v>1513</v>
      </c>
      <c r="C723">
        <v>1998</v>
      </c>
      <c r="E723" s="10" t="s">
        <v>9966</v>
      </c>
      <c r="F723" t="s">
        <v>14074</v>
      </c>
      <c r="G723" t="s">
        <v>3990</v>
      </c>
    </row>
    <row r="724" spans="1:7" x14ac:dyDescent="0.25">
      <c r="A724" t="s">
        <v>2578</v>
      </c>
      <c r="B724" t="s">
        <v>1513</v>
      </c>
      <c r="C724">
        <v>2017</v>
      </c>
      <c r="E724" t="s">
        <v>3059</v>
      </c>
      <c r="F724" t="s">
        <v>9242</v>
      </c>
      <c r="G724" t="s">
        <v>3990</v>
      </c>
    </row>
    <row r="725" spans="1:7" x14ac:dyDescent="0.25">
      <c r="A725" t="s">
        <v>1046</v>
      </c>
      <c r="B725" t="s">
        <v>1516</v>
      </c>
      <c r="C725">
        <v>2016</v>
      </c>
      <c r="E725" t="s">
        <v>2982</v>
      </c>
      <c r="F725" t="s">
        <v>8723</v>
      </c>
      <c r="G725" t="s">
        <v>3990</v>
      </c>
    </row>
    <row r="726" spans="1:7" x14ac:dyDescent="0.25">
      <c r="A726" t="s">
        <v>160</v>
      </c>
      <c r="B726" t="s">
        <v>1516</v>
      </c>
      <c r="C726">
        <v>2011</v>
      </c>
      <c r="E726" t="s">
        <v>2982</v>
      </c>
      <c r="F726" t="s">
        <v>9272</v>
      </c>
      <c r="G726" t="s">
        <v>3990</v>
      </c>
    </row>
    <row r="727" spans="1:7" x14ac:dyDescent="0.25">
      <c r="A727" t="s">
        <v>256</v>
      </c>
      <c r="B727" t="s">
        <v>1520</v>
      </c>
      <c r="C727">
        <v>1994</v>
      </c>
      <c r="E727" t="s">
        <v>2993</v>
      </c>
      <c r="F727" t="s">
        <v>8460</v>
      </c>
      <c r="G727" t="s">
        <v>3990</v>
      </c>
    </row>
    <row r="728" spans="1:7" x14ac:dyDescent="0.25">
      <c r="A728" t="s">
        <v>260</v>
      </c>
      <c r="B728" t="s">
        <v>1520</v>
      </c>
      <c r="C728">
        <v>1990</v>
      </c>
      <c r="E728" s="10" t="s">
        <v>9964</v>
      </c>
      <c r="F728" t="s">
        <v>8469</v>
      </c>
      <c r="G728" t="s">
        <v>3990</v>
      </c>
    </row>
    <row r="729" spans="1:7" x14ac:dyDescent="0.25">
      <c r="A729" t="s">
        <v>847</v>
      </c>
      <c r="B729" t="s">
        <v>1520</v>
      </c>
      <c r="C729">
        <v>1996</v>
      </c>
      <c r="E729" s="10" t="s">
        <v>9964</v>
      </c>
      <c r="F729" t="s">
        <v>8654</v>
      </c>
      <c r="G729" t="s">
        <v>3990</v>
      </c>
    </row>
    <row r="730" spans="1:7" x14ac:dyDescent="0.25">
      <c r="A730" t="s">
        <v>1725</v>
      </c>
      <c r="B730" t="s">
        <v>1520</v>
      </c>
      <c r="C730">
        <v>1983</v>
      </c>
      <c r="E730" s="10" t="s">
        <v>9964</v>
      </c>
      <c r="F730" t="s">
        <v>9965</v>
      </c>
      <c r="G730" t="s">
        <v>3990</v>
      </c>
    </row>
    <row r="731" spans="1:7" x14ac:dyDescent="0.25">
      <c r="A731" t="s">
        <v>1795</v>
      </c>
      <c r="B731" t="s">
        <v>1520</v>
      </c>
      <c r="C731">
        <v>1987</v>
      </c>
      <c r="E731" s="10" t="s">
        <v>2993</v>
      </c>
      <c r="F731" t="s">
        <v>8932</v>
      </c>
      <c r="G731" t="s">
        <v>3990</v>
      </c>
    </row>
    <row r="732" spans="1:7" x14ac:dyDescent="0.25">
      <c r="A732" t="s">
        <v>2154</v>
      </c>
      <c r="B732" t="s">
        <v>1523</v>
      </c>
      <c r="C732">
        <v>1980</v>
      </c>
      <c r="E732" t="s">
        <v>3322</v>
      </c>
      <c r="F732" t="s">
        <v>9029</v>
      </c>
      <c r="G732" t="s">
        <v>3990</v>
      </c>
    </row>
    <row r="733" spans="1:7" x14ac:dyDescent="0.25">
      <c r="A733" t="s">
        <v>2154</v>
      </c>
      <c r="B733" t="s">
        <v>8091</v>
      </c>
      <c r="C733">
        <v>1980</v>
      </c>
      <c r="E733" s="10" t="s">
        <v>8112</v>
      </c>
      <c r="F733" t="s">
        <v>9030</v>
      </c>
      <c r="G733" t="s">
        <v>3990</v>
      </c>
    </row>
    <row r="734" spans="1:7" x14ac:dyDescent="0.25">
      <c r="A734" t="s">
        <v>383</v>
      </c>
      <c r="B734" t="s">
        <v>1526</v>
      </c>
      <c r="C734">
        <v>2017</v>
      </c>
      <c r="E734" s="10" t="s">
        <v>3054</v>
      </c>
      <c r="F734" t="s">
        <v>9447</v>
      </c>
      <c r="G734" t="s">
        <v>3990</v>
      </c>
    </row>
    <row r="735" spans="1:7" x14ac:dyDescent="0.25">
      <c r="A735" t="s">
        <v>746</v>
      </c>
      <c r="B735" t="s">
        <v>1526</v>
      </c>
      <c r="C735">
        <v>2015</v>
      </c>
      <c r="E735" s="10" t="s">
        <v>3054</v>
      </c>
      <c r="F735" t="s">
        <v>9448</v>
      </c>
      <c r="G735" t="s">
        <v>3990</v>
      </c>
    </row>
    <row r="736" spans="1:7" x14ac:dyDescent="0.25">
      <c r="A736" t="s">
        <v>1115</v>
      </c>
      <c r="B736" t="s">
        <v>1526</v>
      </c>
      <c r="C736">
        <v>2018</v>
      </c>
      <c r="E736" s="10" t="s">
        <v>3054</v>
      </c>
      <c r="F736" t="s">
        <v>9449</v>
      </c>
      <c r="G736" t="s">
        <v>3990</v>
      </c>
    </row>
    <row r="737" spans="1:7" x14ac:dyDescent="0.25">
      <c r="A737" t="s">
        <v>90</v>
      </c>
      <c r="B737" t="s">
        <v>1526</v>
      </c>
      <c r="C737">
        <v>2017</v>
      </c>
      <c r="E737" s="10" t="s">
        <v>3054</v>
      </c>
      <c r="F737" t="s">
        <v>9450</v>
      </c>
      <c r="G737" t="s">
        <v>3990</v>
      </c>
    </row>
    <row r="738" spans="1:7" x14ac:dyDescent="0.25">
      <c r="A738" t="s">
        <v>2804</v>
      </c>
      <c r="B738" t="s">
        <v>7948</v>
      </c>
      <c r="C738">
        <v>2021</v>
      </c>
      <c r="E738" s="10" t="s">
        <v>7947</v>
      </c>
      <c r="F738" t="s">
        <v>9335</v>
      </c>
      <c r="G738" t="s">
        <v>3990</v>
      </c>
    </row>
    <row r="739" spans="1:7" x14ac:dyDescent="0.25">
      <c r="A739" t="s">
        <v>2804</v>
      </c>
      <c r="B739" t="s">
        <v>1530</v>
      </c>
      <c r="C739">
        <v>2021</v>
      </c>
      <c r="E739" t="s">
        <v>3013</v>
      </c>
      <c r="F739" t="s">
        <v>9616</v>
      </c>
      <c r="G739" t="s">
        <v>187</v>
      </c>
    </row>
    <row r="740" spans="1:7" x14ac:dyDescent="0.25">
      <c r="A740" t="s">
        <v>1435</v>
      </c>
      <c r="B740" t="s">
        <v>1532</v>
      </c>
      <c r="C740">
        <v>2021</v>
      </c>
      <c r="E740" s="10" t="s">
        <v>8388</v>
      </c>
      <c r="F740" t="s">
        <v>8837</v>
      </c>
      <c r="G740" t="s">
        <v>3990</v>
      </c>
    </row>
    <row r="741" spans="1:7" x14ac:dyDescent="0.25">
      <c r="A741" t="s">
        <v>1655</v>
      </c>
      <c r="B741" t="s">
        <v>1532</v>
      </c>
      <c r="C741">
        <v>2024</v>
      </c>
      <c r="D741" t="s">
        <v>187</v>
      </c>
      <c r="F741" t="s">
        <v>9617</v>
      </c>
      <c r="G741" t="s">
        <v>3990</v>
      </c>
    </row>
    <row r="742" spans="1:7" x14ac:dyDescent="0.25">
      <c r="A742" t="s">
        <v>1385</v>
      </c>
      <c r="B742" t="s">
        <v>1534</v>
      </c>
      <c r="C742">
        <v>2013</v>
      </c>
      <c r="E742" s="10" t="s">
        <v>8415</v>
      </c>
      <c r="F742" t="s">
        <v>8829</v>
      </c>
      <c r="G742" t="s">
        <v>3990</v>
      </c>
    </row>
    <row r="743" spans="1:7" x14ac:dyDescent="0.25">
      <c r="A743" t="s">
        <v>1443</v>
      </c>
      <c r="B743" t="s">
        <v>1534</v>
      </c>
      <c r="C743">
        <v>2018</v>
      </c>
      <c r="E743" s="10" t="s">
        <v>8415</v>
      </c>
      <c r="F743" t="s">
        <v>9425</v>
      </c>
      <c r="G743" t="s">
        <v>3990</v>
      </c>
    </row>
    <row r="744" spans="1:7" x14ac:dyDescent="0.25">
      <c r="A744" t="s">
        <v>353</v>
      </c>
      <c r="B744" t="s">
        <v>7986</v>
      </c>
      <c r="C744">
        <v>2023</v>
      </c>
      <c r="E744" s="10" t="s">
        <v>7985</v>
      </c>
      <c r="F744" t="s">
        <v>9618</v>
      </c>
      <c r="G744" t="s">
        <v>187</v>
      </c>
    </row>
    <row r="745" spans="1:7" x14ac:dyDescent="0.25">
      <c r="A745" t="s">
        <v>353</v>
      </c>
      <c r="B745" t="s">
        <v>7986</v>
      </c>
      <c r="C745">
        <v>2023</v>
      </c>
      <c r="E745" s="10" t="s">
        <v>7985</v>
      </c>
      <c r="F745" t="s">
        <v>9618</v>
      </c>
      <c r="G745" t="s">
        <v>187</v>
      </c>
    </row>
    <row r="746" spans="1:7" x14ac:dyDescent="0.25">
      <c r="A746" t="s">
        <v>1795</v>
      </c>
      <c r="B746" t="s">
        <v>1538</v>
      </c>
      <c r="C746">
        <v>1987</v>
      </c>
      <c r="E746" t="s">
        <v>3280</v>
      </c>
      <c r="F746" t="s">
        <v>8933</v>
      </c>
      <c r="G746" t="s">
        <v>3990</v>
      </c>
    </row>
    <row r="747" spans="1:7" x14ac:dyDescent="0.25">
      <c r="A747" t="s">
        <v>930</v>
      </c>
      <c r="B747" t="s">
        <v>1541</v>
      </c>
      <c r="C747">
        <v>2015</v>
      </c>
      <c r="E747" t="s">
        <v>3155</v>
      </c>
      <c r="F747" t="s">
        <v>8686</v>
      </c>
      <c r="G747" t="s">
        <v>3990</v>
      </c>
    </row>
    <row r="748" spans="1:7" x14ac:dyDescent="0.25">
      <c r="A748" t="s">
        <v>1855</v>
      </c>
      <c r="B748" t="s">
        <v>1541</v>
      </c>
      <c r="C748">
        <v>2015</v>
      </c>
      <c r="E748" t="s">
        <v>3155</v>
      </c>
      <c r="F748" t="s">
        <v>8965</v>
      </c>
      <c r="G748" t="s">
        <v>3990</v>
      </c>
    </row>
    <row r="749" spans="1:7" x14ac:dyDescent="0.25">
      <c r="A749" t="s">
        <v>2377</v>
      </c>
      <c r="B749" t="s">
        <v>1541</v>
      </c>
      <c r="C749">
        <v>2021</v>
      </c>
      <c r="E749" t="s">
        <v>3155</v>
      </c>
      <c r="F749" t="s">
        <v>9183</v>
      </c>
      <c r="G749" t="s">
        <v>3990</v>
      </c>
    </row>
    <row r="750" spans="1:7" x14ac:dyDescent="0.25">
      <c r="A750" t="s">
        <v>1144</v>
      </c>
      <c r="B750" t="s">
        <v>1545</v>
      </c>
      <c r="C750">
        <v>2012</v>
      </c>
      <c r="E750" t="s">
        <v>3013</v>
      </c>
      <c r="F750" t="s">
        <v>9619</v>
      </c>
      <c r="G750" t="s">
        <v>187</v>
      </c>
    </row>
    <row r="751" spans="1:7" x14ac:dyDescent="0.25">
      <c r="A751" t="s">
        <v>930</v>
      </c>
      <c r="B751" t="s">
        <v>1553</v>
      </c>
      <c r="C751">
        <v>2015</v>
      </c>
      <c r="E751" t="s">
        <v>3156</v>
      </c>
      <c r="F751" t="s">
        <v>9620</v>
      </c>
      <c r="G751" t="s">
        <v>187</v>
      </c>
    </row>
    <row r="752" spans="1:7" x14ac:dyDescent="0.25">
      <c r="A752" t="s">
        <v>2428</v>
      </c>
      <c r="B752" t="s">
        <v>1553</v>
      </c>
      <c r="C752">
        <v>2008</v>
      </c>
      <c r="E752" t="s">
        <v>3156</v>
      </c>
      <c r="F752" t="s">
        <v>9621</v>
      </c>
      <c r="G752" t="s">
        <v>187</v>
      </c>
    </row>
    <row r="753" spans="1:7" x14ac:dyDescent="0.25">
      <c r="A753" t="s">
        <v>344</v>
      </c>
      <c r="B753" t="s">
        <v>1559</v>
      </c>
      <c r="C753">
        <v>2023</v>
      </c>
      <c r="E753" t="s">
        <v>3012</v>
      </c>
      <c r="F753" t="s">
        <v>8481</v>
      </c>
      <c r="G753" t="s">
        <v>3990</v>
      </c>
    </row>
    <row r="754" spans="1:7" x14ac:dyDescent="0.25">
      <c r="A754" t="s">
        <v>353</v>
      </c>
      <c r="B754" t="s">
        <v>1559</v>
      </c>
      <c r="C754">
        <v>2023</v>
      </c>
      <c r="E754" t="s">
        <v>3012</v>
      </c>
      <c r="F754" t="s">
        <v>8511</v>
      </c>
      <c r="G754" t="s">
        <v>3990</v>
      </c>
    </row>
    <row r="755" spans="1:7" x14ac:dyDescent="0.25">
      <c r="A755" t="s">
        <v>1752</v>
      </c>
      <c r="B755" t="s">
        <v>1561</v>
      </c>
      <c r="C755">
        <v>2021</v>
      </c>
      <c r="E755" t="s">
        <v>3268</v>
      </c>
      <c r="F755" t="s">
        <v>8914</v>
      </c>
      <c r="G755" t="s">
        <v>3990</v>
      </c>
    </row>
    <row r="756" spans="1:7" x14ac:dyDescent="0.25">
      <c r="A756" t="s">
        <v>2136</v>
      </c>
      <c r="B756" t="s">
        <v>1561</v>
      </c>
      <c r="C756">
        <v>2020</v>
      </c>
      <c r="E756" t="s">
        <v>3268</v>
      </c>
      <c r="F756" t="s">
        <v>9007</v>
      </c>
      <c r="G756" t="s">
        <v>3990</v>
      </c>
    </row>
    <row r="757" spans="1:7" x14ac:dyDescent="0.25">
      <c r="A757" t="s">
        <v>1294</v>
      </c>
      <c r="B757" t="s">
        <v>9819</v>
      </c>
      <c r="C757">
        <v>2019</v>
      </c>
      <c r="E757" s="10" t="s">
        <v>9822</v>
      </c>
      <c r="F757" t="s">
        <v>9824</v>
      </c>
      <c r="G757" t="s">
        <v>3990</v>
      </c>
    </row>
    <row r="758" spans="1:7" x14ac:dyDescent="0.25">
      <c r="A758" t="s">
        <v>90</v>
      </c>
      <c r="B758" t="s">
        <v>9819</v>
      </c>
      <c r="C758">
        <v>2017</v>
      </c>
      <c r="E758" s="10" t="s">
        <v>9822</v>
      </c>
      <c r="F758" t="s">
        <v>9823</v>
      </c>
      <c r="G758" t="s">
        <v>3990</v>
      </c>
    </row>
    <row r="759" spans="1:7" x14ac:dyDescent="0.25">
      <c r="A759" t="s">
        <v>1795</v>
      </c>
      <c r="B759" t="s">
        <v>1563</v>
      </c>
      <c r="C759">
        <v>1987</v>
      </c>
      <c r="E759" t="s">
        <v>2982</v>
      </c>
      <c r="F759" t="s">
        <v>8934</v>
      </c>
      <c r="G759" t="s">
        <v>3990</v>
      </c>
    </row>
    <row r="760" spans="1:7" x14ac:dyDescent="0.25">
      <c r="A760" t="s">
        <v>160</v>
      </c>
      <c r="B760" t="s">
        <v>1563</v>
      </c>
      <c r="C760">
        <v>2011</v>
      </c>
      <c r="E760" t="s">
        <v>2982</v>
      </c>
      <c r="F760" t="s">
        <v>9273</v>
      </c>
      <c r="G760" t="s">
        <v>3990</v>
      </c>
    </row>
    <row r="761" spans="1:7" x14ac:dyDescent="0.25">
      <c r="A761" t="s">
        <v>836</v>
      </c>
      <c r="B761" t="s">
        <v>1565</v>
      </c>
      <c r="C761">
        <v>2010</v>
      </c>
      <c r="E761" t="s">
        <v>3128</v>
      </c>
      <c r="F761" t="s">
        <v>8641</v>
      </c>
      <c r="G761" t="s">
        <v>3990</v>
      </c>
    </row>
    <row r="762" spans="1:7" x14ac:dyDescent="0.25">
      <c r="A762" t="s">
        <v>1443</v>
      </c>
      <c r="B762" t="s">
        <v>1565</v>
      </c>
      <c r="C762">
        <v>2018</v>
      </c>
      <c r="E762" s="10" t="s">
        <v>9817</v>
      </c>
      <c r="F762" t="s">
        <v>9818</v>
      </c>
      <c r="G762" t="s">
        <v>3990</v>
      </c>
    </row>
    <row r="763" spans="1:7" x14ac:dyDescent="0.25">
      <c r="A763" t="s">
        <v>2286</v>
      </c>
      <c r="B763" t="s">
        <v>1565</v>
      </c>
      <c r="C763">
        <v>2014</v>
      </c>
      <c r="E763" t="s">
        <v>3128</v>
      </c>
      <c r="F763" t="s">
        <v>9062</v>
      </c>
      <c r="G763" t="s">
        <v>3990</v>
      </c>
    </row>
    <row r="764" spans="1:7" x14ac:dyDescent="0.25">
      <c r="A764" t="s">
        <v>90</v>
      </c>
      <c r="B764" t="s">
        <v>1565</v>
      </c>
      <c r="C764">
        <v>2017</v>
      </c>
      <c r="E764" t="s">
        <v>3128</v>
      </c>
      <c r="F764" t="s">
        <v>9123</v>
      </c>
      <c r="G764" t="s">
        <v>3990</v>
      </c>
    </row>
    <row r="765" spans="1:7" x14ac:dyDescent="0.25">
      <c r="A765" t="s">
        <v>90</v>
      </c>
      <c r="B765" t="s">
        <v>1568</v>
      </c>
      <c r="C765">
        <v>2017</v>
      </c>
      <c r="E765" s="10" t="s">
        <v>3362</v>
      </c>
      <c r="F765" t="s">
        <v>9124</v>
      </c>
      <c r="G765" t="s">
        <v>3990</v>
      </c>
    </row>
    <row r="766" spans="1:7" x14ac:dyDescent="0.25">
      <c r="A766" t="s">
        <v>1294</v>
      </c>
      <c r="B766" t="s">
        <v>1570</v>
      </c>
      <c r="C766">
        <v>2019</v>
      </c>
      <c r="E766" t="s">
        <v>3229</v>
      </c>
      <c r="F766" t="s">
        <v>8801</v>
      </c>
      <c r="G766" t="s">
        <v>3990</v>
      </c>
    </row>
    <row r="767" spans="1:7" x14ac:dyDescent="0.25">
      <c r="A767" t="s">
        <v>1284</v>
      </c>
      <c r="B767" t="s">
        <v>1572</v>
      </c>
      <c r="C767">
        <v>1984</v>
      </c>
      <c r="E767" t="s">
        <v>3221</v>
      </c>
      <c r="F767" t="s">
        <v>8780</v>
      </c>
      <c r="G767" t="s">
        <v>3990</v>
      </c>
    </row>
    <row r="768" spans="1:7" x14ac:dyDescent="0.25">
      <c r="A768" t="s">
        <v>746</v>
      </c>
      <c r="B768" t="s">
        <v>1574</v>
      </c>
      <c r="C768">
        <v>2015</v>
      </c>
      <c r="E768" t="s">
        <v>2982</v>
      </c>
      <c r="F768" t="s">
        <v>8600</v>
      </c>
      <c r="G768" t="s">
        <v>3990</v>
      </c>
    </row>
    <row r="769" spans="1:7" x14ac:dyDescent="0.25">
      <c r="A769" t="s">
        <v>90</v>
      </c>
      <c r="B769" t="s">
        <v>1574</v>
      </c>
      <c r="C769">
        <v>2017</v>
      </c>
      <c r="E769" t="s">
        <v>2982</v>
      </c>
      <c r="F769" t="s">
        <v>9125</v>
      </c>
      <c r="G769" t="s">
        <v>3990</v>
      </c>
    </row>
    <row r="770" spans="1:7" x14ac:dyDescent="0.25">
      <c r="A770" t="s">
        <v>2361</v>
      </c>
      <c r="B770" t="s">
        <v>1574</v>
      </c>
      <c r="C770">
        <v>2018</v>
      </c>
      <c r="E770" t="s">
        <v>2982</v>
      </c>
      <c r="F770" t="s">
        <v>9179</v>
      </c>
      <c r="G770" t="s">
        <v>3990</v>
      </c>
    </row>
    <row r="771" spans="1:7" x14ac:dyDescent="0.25">
      <c r="A771" t="s">
        <v>90</v>
      </c>
      <c r="B771" t="s">
        <v>1576</v>
      </c>
      <c r="C771">
        <v>2017</v>
      </c>
      <c r="E771" t="s">
        <v>3363</v>
      </c>
      <c r="F771" t="s">
        <v>9126</v>
      </c>
      <c r="G771" t="s">
        <v>3990</v>
      </c>
    </row>
    <row r="772" spans="1:7" x14ac:dyDescent="0.25">
      <c r="A772" t="s">
        <v>1576</v>
      </c>
      <c r="B772" t="s">
        <v>1580</v>
      </c>
      <c r="C772">
        <v>2021</v>
      </c>
      <c r="E772" t="s">
        <v>3013</v>
      </c>
      <c r="F772" t="s">
        <v>9622</v>
      </c>
      <c r="G772" t="s">
        <v>187</v>
      </c>
    </row>
    <row r="773" spans="1:7" x14ac:dyDescent="0.25">
      <c r="A773" t="s">
        <v>353</v>
      </c>
      <c r="B773" t="s">
        <v>1584</v>
      </c>
      <c r="C773">
        <v>2023</v>
      </c>
      <c r="E773" t="s">
        <v>3033</v>
      </c>
      <c r="F773" t="s">
        <v>8512</v>
      </c>
      <c r="G773" t="s">
        <v>3990</v>
      </c>
    </row>
    <row r="774" spans="1:7" x14ac:dyDescent="0.25">
      <c r="A774" t="s">
        <v>1817</v>
      </c>
      <c r="B774" t="s">
        <v>9885</v>
      </c>
      <c r="C774">
        <v>2019</v>
      </c>
      <c r="E774" s="10" t="s">
        <v>9889</v>
      </c>
      <c r="F774" t="s">
        <v>9888</v>
      </c>
      <c r="G774" t="s">
        <v>3990</v>
      </c>
    </row>
    <row r="775" spans="1:7" x14ac:dyDescent="0.25">
      <c r="A775" t="s">
        <v>2506</v>
      </c>
      <c r="B775" t="s">
        <v>1587</v>
      </c>
      <c r="C775">
        <v>2021</v>
      </c>
      <c r="E775" t="s">
        <v>2982</v>
      </c>
      <c r="F775" t="s">
        <v>9230</v>
      </c>
      <c r="G775" t="s">
        <v>3990</v>
      </c>
    </row>
    <row r="776" spans="1:7" x14ac:dyDescent="0.25">
      <c r="A776" t="s">
        <v>1817</v>
      </c>
      <c r="B776" t="s">
        <v>1594</v>
      </c>
      <c r="C776">
        <v>2019</v>
      </c>
      <c r="E776" t="s">
        <v>3290</v>
      </c>
      <c r="F776" t="s">
        <v>8948</v>
      </c>
      <c r="G776" t="s">
        <v>3990</v>
      </c>
    </row>
    <row r="777" spans="1:7" x14ac:dyDescent="0.25">
      <c r="A777" t="s">
        <v>90</v>
      </c>
      <c r="B777" t="s">
        <v>1594</v>
      </c>
      <c r="C777">
        <v>2017</v>
      </c>
      <c r="E777" t="s">
        <v>3290</v>
      </c>
      <c r="F777" t="s">
        <v>9426</v>
      </c>
      <c r="G777" t="s">
        <v>3990</v>
      </c>
    </row>
    <row r="778" spans="1:7" x14ac:dyDescent="0.25">
      <c r="A778" t="s">
        <v>160</v>
      </c>
      <c r="B778" t="s">
        <v>1594</v>
      </c>
      <c r="C778">
        <v>2011</v>
      </c>
      <c r="E778" t="s">
        <v>3290</v>
      </c>
      <c r="F778" t="s">
        <v>9427</v>
      </c>
      <c r="G778" t="s">
        <v>3990</v>
      </c>
    </row>
    <row r="779" spans="1:7" x14ac:dyDescent="0.25">
      <c r="A779" t="s">
        <v>497</v>
      </c>
      <c r="B779" t="s">
        <v>1596</v>
      </c>
      <c r="C779">
        <v>2022</v>
      </c>
      <c r="E779" t="s">
        <v>3069</v>
      </c>
      <c r="F779" t="s">
        <v>8552</v>
      </c>
      <c r="G779" t="s">
        <v>3990</v>
      </c>
    </row>
    <row r="780" spans="1:7" x14ac:dyDescent="0.25">
      <c r="A780" t="s">
        <v>623</v>
      </c>
      <c r="B780" t="s">
        <v>1598</v>
      </c>
      <c r="C780">
        <v>2017</v>
      </c>
      <c r="E780" t="s">
        <v>3079</v>
      </c>
      <c r="F780" t="s">
        <v>8570</v>
      </c>
      <c r="G780" t="s">
        <v>3990</v>
      </c>
    </row>
    <row r="781" spans="1:7" x14ac:dyDescent="0.25">
      <c r="A781" t="s">
        <v>2428</v>
      </c>
      <c r="B781" t="s">
        <v>1602</v>
      </c>
      <c r="C781">
        <v>2008</v>
      </c>
      <c r="E781" t="s">
        <v>3392</v>
      </c>
      <c r="F781" t="s">
        <v>9210</v>
      </c>
      <c r="G781" t="s">
        <v>3990</v>
      </c>
    </row>
    <row r="782" spans="1:7" x14ac:dyDescent="0.25">
      <c r="A782" t="s">
        <v>160</v>
      </c>
      <c r="B782" t="s">
        <v>1602</v>
      </c>
      <c r="C782">
        <v>2011</v>
      </c>
      <c r="E782" t="s">
        <v>3392</v>
      </c>
      <c r="F782" t="s">
        <v>9274</v>
      </c>
      <c r="G782" t="s">
        <v>3990</v>
      </c>
    </row>
    <row r="783" spans="1:7" x14ac:dyDescent="0.25">
      <c r="A783" t="s">
        <v>1294</v>
      </c>
      <c r="B783" t="s">
        <v>1606</v>
      </c>
      <c r="C783">
        <v>2019</v>
      </c>
      <c r="E783" t="s">
        <v>3230</v>
      </c>
      <c r="F783" t="s">
        <v>8802</v>
      </c>
      <c r="G783" t="s">
        <v>3990</v>
      </c>
    </row>
    <row r="784" spans="1:7" x14ac:dyDescent="0.25">
      <c r="A784" t="s">
        <v>1713</v>
      </c>
      <c r="B784" t="s">
        <v>1606</v>
      </c>
      <c r="C784">
        <v>2018</v>
      </c>
      <c r="E784" t="s">
        <v>3230</v>
      </c>
      <c r="F784" t="s">
        <v>8910</v>
      </c>
      <c r="G784" t="s">
        <v>3990</v>
      </c>
    </row>
    <row r="785" spans="1:7" x14ac:dyDescent="0.25">
      <c r="A785" t="s">
        <v>160</v>
      </c>
      <c r="B785" t="s">
        <v>1606</v>
      </c>
      <c r="C785">
        <v>2011</v>
      </c>
      <c r="E785" t="s">
        <v>3230</v>
      </c>
      <c r="F785" t="s">
        <v>9275</v>
      </c>
      <c r="G785" t="s">
        <v>3990</v>
      </c>
    </row>
    <row r="786" spans="1:7" x14ac:dyDescent="0.25">
      <c r="A786" t="s">
        <v>1435</v>
      </c>
      <c r="B786" t="s">
        <v>1610</v>
      </c>
      <c r="C786">
        <v>2021</v>
      </c>
      <c r="E786" t="s">
        <v>3240</v>
      </c>
      <c r="F786" t="s">
        <v>8838</v>
      </c>
      <c r="G786" t="s">
        <v>3990</v>
      </c>
    </row>
    <row r="787" spans="1:7" x14ac:dyDescent="0.25">
      <c r="A787" t="s">
        <v>1443</v>
      </c>
      <c r="B787" t="s">
        <v>1610</v>
      </c>
      <c r="C787">
        <v>2018</v>
      </c>
      <c r="E787" t="s">
        <v>3240</v>
      </c>
      <c r="F787" t="s">
        <v>8854</v>
      </c>
      <c r="G787" t="s">
        <v>3990</v>
      </c>
    </row>
    <row r="788" spans="1:7" x14ac:dyDescent="0.25">
      <c r="A788" t="s">
        <v>1690</v>
      </c>
      <c r="B788" t="s">
        <v>1610</v>
      </c>
      <c r="C788">
        <v>2020</v>
      </c>
      <c r="E788" t="s">
        <v>3240</v>
      </c>
      <c r="F788" t="s">
        <v>8904</v>
      </c>
      <c r="G788" t="s">
        <v>3990</v>
      </c>
    </row>
    <row r="789" spans="1:7" x14ac:dyDescent="0.25">
      <c r="A789" t="s">
        <v>90</v>
      </c>
      <c r="B789" t="s">
        <v>1610</v>
      </c>
      <c r="C789">
        <v>2017</v>
      </c>
      <c r="E789" t="s">
        <v>3240</v>
      </c>
      <c r="F789" t="s">
        <v>9127</v>
      </c>
      <c r="G789" t="s">
        <v>3990</v>
      </c>
    </row>
    <row r="790" spans="1:7" x14ac:dyDescent="0.25">
      <c r="A790" t="s">
        <v>1576</v>
      </c>
      <c r="B790" t="s">
        <v>1613</v>
      </c>
      <c r="C790">
        <v>2021</v>
      </c>
      <c r="D790" t="s">
        <v>187</v>
      </c>
      <c r="F790" t="s">
        <v>9623</v>
      </c>
      <c r="G790" t="s">
        <v>3990</v>
      </c>
    </row>
    <row r="791" spans="1:7" x14ac:dyDescent="0.25">
      <c r="A791" t="s">
        <v>2804</v>
      </c>
      <c r="B791" t="s">
        <v>1613</v>
      </c>
      <c r="C791">
        <v>2021</v>
      </c>
      <c r="E791" t="s">
        <v>3425</v>
      </c>
      <c r="F791" t="s">
        <v>9624</v>
      </c>
      <c r="G791" t="s">
        <v>187</v>
      </c>
    </row>
    <row r="792" spans="1:7" x14ac:dyDescent="0.25">
      <c r="A792" t="s">
        <v>1752</v>
      </c>
      <c r="B792" t="s">
        <v>1621</v>
      </c>
      <c r="C792">
        <v>2021</v>
      </c>
      <c r="D792" t="s">
        <v>187</v>
      </c>
      <c r="F792" t="s">
        <v>9625</v>
      </c>
      <c r="G792" t="s">
        <v>3990</v>
      </c>
    </row>
    <row r="793" spans="1:7" x14ac:dyDescent="0.25">
      <c r="A793" t="s">
        <v>2136</v>
      </c>
      <c r="B793" t="s">
        <v>1621</v>
      </c>
      <c r="C793">
        <v>2020</v>
      </c>
      <c r="E793" t="s">
        <v>2982</v>
      </c>
      <c r="F793" t="s">
        <v>9008</v>
      </c>
      <c r="G793" t="s">
        <v>3990</v>
      </c>
    </row>
    <row r="794" spans="1:7" x14ac:dyDescent="0.25">
      <c r="A794" t="s">
        <v>2804</v>
      </c>
      <c r="B794" t="s">
        <v>1621</v>
      </c>
      <c r="C794">
        <v>2021</v>
      </c>
      <c r="E794" t="s">
        <v>2982</v>
      </c>
      <c r="F794" t="s">
        <v>9336</v>
      </c>
      <c r="G794" t="s">
        <v>3990</v>
      </c>
    </row>
    <row r="795" spans="1:7" x14ac:dyDescent="0.25">
      <c r="A795" t="s">
        <v>90</v>
      </c>
      <c r="B795" t="s">
        <v>1625</v>
      </c>
      <c r="C795">
        <v>2017</v>
      </c>
      <c r="E795" t="s">
        <v>3364</v>
      </c>
      <c r="F795" t="s">
        <v>9626</v>
      </c>
      <c r="G795" t="s">
        <v>187</v>
      </c>
    </row>
    <row r="796" spans="1:7" x14ac:dyDescent="0.25">
      <c r="A796" t="s">
        <v>90</v>
      </c>
      <c r="B796" t="s">
        <v>1627</v>
      </c>
      <c r="C796">
        <v>2017</v>
      </c>
      <c r="E796" t="s">
        <v>3365</v>
      </c>
      <c r="F796" t="s">
        <v>9627</v>
      </c>
      <c r="G796" t="s">
        <v>187</v>
      </c>
    </row>
    <row r="797" spans="1:7" x14ac:dyDescent="0.25">
      <c r="A797" t="s">
        <v>353</v>
      </c>
      <c r="B797" t="s">
        <v>1631</v>
      </c>
      <c r="C797">
        <v>2023</v>
      </c>
      <c r="E797" t="s">
        <v>3034</v>
      </c>
      <c r="F797" t="s">
        <v>10023</v>
      </c>
      <c r="G797" t="s">
        <v>187</v>
      </c>
    </row>
    <row r="798" spans="1:7" x14ac:dyDescent="0.25">
      <c r="A798" t="s">
        <v>364</v>
      </c>
      <c r="B798" t="s">
        <v>1631</v>
      </c>
      <c r="C798">
        <v>2024</v>
      </c>
      <c r="E798" t="s">
        <v>3034</v>
      </c>
      <c r="F798" t="s">
        <v>10023</v>
      </c>
      <c r="G798" t="s">
        <v>187</v>
      </c>
    </row>
    <row r="799" spans="1:7" x14ac:dyDescent="0.25">
      <c r="A799" t="s">
        <v>2506</v>
      </c>
      <c r="B799" t="s">
        <v>1633</v>
      </c>
      <c r="C799">
        <v>2021</v>
      </c>
      <c r="E799" t="s">
        <v>2982</v>
      </c>
      <c r="F799" t="s">
        <v>9231</v>
      </c>
      <c r="G799" t="s">
        <v>3990</v>
      </c>
    </row>
    <row r="800" spans="1:7" x14ac:dyDescent="0.25">
      <c r="A800" t="s">
        <v>1443</v>
      </c>
      <c r="B800" t="s">
        <v>1637</v>
      </c>
      <c r="C800">
        <v>2018</v>
      </c>
      <c r="E800" t="s">
        <v>3248</v>
      </c>
      <c r="F800" t="s">
        <v>8855</v>
      </c>
      <c r="G800" t="s">
        <v>3990</v>
      </c>
    </row>
    <row r="801" spans="1:7" x14ac:dyDescent="0.25">
      <c r="A801" t="s">
        <v>759</v>
      </c>
      <c r="B801" t="s">
        <v>1641</v>
      </c>
      <c r="C801">
        <v>2018</v>
      </c>
      <c r="E801" t="s">
        <v>3121</v>
      </c>
      <c r="F801" t="s">
        <v>9436</v>
      </c>
      <c r="G801" t="s">
        <v>3990</v>
      </c>
    </row>
    <row r="802" spans="1:7" x14ac:dyDescent="0.25">
      <c r="A802" t="s">
        <v>1294</v>
      </c>
      <c r="B802" t="s">
        <v>1645</v>
      </c>
      <c r="C802">
        <v>2019</v>
      </c>
      <c r="E802" s="10" t="s">
        <v>8382</v>
      </c>
      <c r="F802" t="s">
        <v>9435</v>
      </c>
      <c r="G802" t="s">
        <v>3990</v>
      </c>
    </row>
    <row r="803" spans="1:7" x14ac:dyDescent="0.25">
      <c r="A803" t="s">
        <v>847</v>
      </c>
      <c r="B803" t="s">
        <v>1649</v>
      </c>
      <c r="C803">
        <v>1996</v>
      </c>
      <c r="E803" t="s">
        <v>3135</v>
      </c>
      <c r="F803" t="s">
        <v>8655</v>
      </c>
      <c r="G803" t="s">
        <v>3990</v>
      </c>
    </row>
    <row r="804" spans="1:7" x14ac:dyDescent="0.25">
      <c r="A804" t="s">
        <v>160</v>
      </c>
      <c r="B804" t="s">
        <v>1649</v>
      </c>
      <c r="C804">
        <v>2011</v>
      </c>
      <c r="D804" t="s">
        <v>187</v>
      </c>
      <c r="F804" t="s">
        <v>9628</v>
      </c>
      <c r="G804" t="s">
        <v>3990</v>
      </c>
    </row>
    <row r="805" spans="1:7" x14ac:dyDescent="0.25">
      <c r="A805" t="s">
        <v>1761</v>
      </c>
      <c r="B805" t="s">
        <v>1653</v>
      </c>
      <c r="C805">
        <v>1995</v>
      </c>
      <c r="E805" s="10" t="s">
        <v>8381</v>
      </c>
      <c r="F805" t="s">
        <v>9629</v>
      </c>
      <c r="G805" t="s">
        <v>3990</v>
      </c>
    </row>
    <row r="806" spans="1:7" x14ac:dyDescent="0.25">
      <c r="A806" t="s">
        <v>1661</v>
      </c>
      <c r="B806" t="s">
        <v>1659</v>
      </c>
      <c r="C806">
        <v>2011</v>
      </c>
      <c r="D806" t="s">
        <v>187</v>
      </c>
      <c r="F806" t="s">
        <v>9630</v>
      </c>
      <c r="G806" t="s">
        <v>3990</v>
      </c>
    </row>
    <row r="807" spans="1:7" x14ac:dyDescent="0.25">
      <c r="A807" t="s">
        <v>1155</v>
      </c>
      <c r="B807" t="s">
        <v>1661</v>
      </c>
      <c r="C807">
        <v>2010</v>
      </c>
      <c r="D807" t="s">
        <v>187</v>
      </c>
      <c r="F807" t="s">
        <v>9631</v>
      </c>
      <c r="G807" t="s">
        <v>3990</v>
      </c>
    </row>
    <row r="808" spans="1:7" x14ac:dyDescent="0.25">
      <c r="A808" t="s">
        <v>2154</v>
      </c>
      <c r="B808" t="s">
        <v>1663</v>
      </c>
      <c r="C808">
        <v>1980</v>
      </c>
      <c r="E808" t="s">
        <v>3013</v>
      </c>
      <c r="F808" t="s">
        <v>9632</v>
      </c>
      <c r="G808" t="s">
        <v>187</v>
      </c>
    </row>
    <row r="809" spans="1:7" x14ac:dyDescent="0.25">
      <c r="A809" t="s">
        <v>2721</v>
      </c>
      <c r="B809" t="s">
        <v>1666</v>
      </c>
      <c r="C809">
        <v>1993</v>
      </c>
      <c r="E809" t="s">
        <v>1669</v>
      </c>
      <c r="F809" t="s">
        <v>9314</v>
      </c>
      <c r="G809" t="s">
        <v>3990</v>
      </c>
    </row>
    <row r="810" spans="1:7" x14ac:dyDescent="0.25">
      <c r="A810" t="s">
        <v>2804</v>
      </c>
      <c r="B810" t="s">
        <v>1670</v>
      </c>
      <c r="C810">
        <v>2021</v>
      </c>
      <c r="E810" t="s">
        <v>3013</v>
      </c>
      <c r="F810" t="s">
        <v>9633</v>
      </c>
      <c r="G810" t="s">
        <v>187</v>
      </c>
    </row>
    <row r="811" spans="1:7" x14ac:dyDescent="0.25">
      <c r="A811" t="s">
        <v>90</v>
      </c>
      <c r="B811" t="s">
        <v>1672</v>
      </c>
      <c r="C811">
        <v>2017</v>
      </c>
      <c r="E811" t="s">
        <v>3366</v>
      </c>
      <c r="F811" t="s">
        <v>9128</v>
      </c>
      <c r="G811" t="s">
        <v>3990</v>
      </c>
    </row>
    <row r="812" spans="1:7" x14ac:dyDescent="0.25">
      <c r="A812" t="s">
        <v>2721</v>
      </c>
      <c r="B812" t="s">
        <v>1676</v>
      </c>
      <c r="C812">
        <v>1993</v>
      </c>
      <c r="E812" t="s">
        <v>3013</v>
      </c>
      <c r="F812" t="s">
        <v>9634</v>
      </c>
      <c r="G812" t="s">
        <v>187</v>
      </c>
    </row>
    <row r="813" spans="1:7" x14ac:dyDescent="0.25">
      <c r="A813" t="s">
        <v>1676</v>
      </c>
      <c r="B813" t="s">
        <v>1679</v>
      </c>
      <c r="C813">
        <v>2002</v>
      </c>
      <c r="D813" t="s">
        <v>187</v>
      </c>
      <c r="F813" t="s">
        <v>9635</v>
      </c>
      <c r="G813" t="s">
        <v>3990</v>
      </c>
    </row>
    <row r="814" spans="1:7" x14ac:dyDescent="0.25">
      <c r="A814" t="s">
        <v>2721</v>
      </c>
      <c r="B814" t="s">
        <v>1682</v>
      </c>
      <c r="C814">
        <v>1993</v>
      </c>
      <c r="E814" t="s">
        <v>3417</v>
      </c>
      <c r="F814" t="s">
        <v>9315</v>
      </c>
      <c r="G814" t="s">
        <v>3990</v>
      </c>
    </row>
    <row r="815" spans="1:7" x14ac:dyDescent="0.25">
      <c r="A815" t="s">
        <v>1682</v>
      </c>
      <c r="B815" t="s">
        <v>1684</v>
      </c>
      <c r="C815">
        <v>2022</v>
      </c>
      <c r="D815" t="s">
        <v>187</v>
      </c>
      <c r="F815" t="s">
        <v>9636</v>
      </c>
      <c r="G815" t="s">
        <v>3990</v>
      </c>
    </row>
    <row r="816" spans="1:7" x14ac:dyDescent="0.25">
      <c r="A816" t="s">
        <v>946</v>
      </c>
      <c r="B816" t="s">
        <v>1686</v>
      </c>
      <c r="C816">
        <v>2014</v>
      </c>
      <c r="E816" t="s">
        <v>1689</v>
      </c>
      <c r="F816" t="s">
        <v>8692</v>
      </c>
      <c r="G816" t="s">
        <v>3990</v>
      </c>
    </row>
    <row r="817" spans="1:7" x14ac:dyDescent="0.25">
      <c r="A817" t="s">
        <v>90</v>
      </c>
      <c r="B817" t="s">
        <v>1690</v>
      </c>
      <c r="C817">
        <v>2017</v>
      </c>
      <c r="E817" t="s">
        <v>3013</v>
      </c>
      <c r="F817" t="s">
        <v>9637</v>
      </c>
      <c r="G817" t="s">
        <v>187</v>
      </c>
    </row>
    <row r="818" spans="1:7" x14ac:dyDescent="0.25">
      <c r="A818" t="s">
        <v>1428</v>
      </c>
      <c r="B818" t="s">
        <v>1694</v>
      </c>
      <c r="C818">
        <v>2023</v>
      </c>
      <c r="D818" t="s">
        <v>187</v>
      </c>
      <c r="E818" s="10" t="s">
        <v>9442</v>
      </c>
      <c r="F818" t="s">
        <v>9441</v>
      </c>
      <c r="G818" t="s">
        <v>3990</v>
      </c>
    </row>
    <row r="819" spans="1:7" x14ac:dyDescent="0.25">
      <c r="A819" t="s">
        <v>1690</v>
      </c>
      <c r="B819" t="s">
        <v>1694</v>
      </c>
      <c r="C819">
        <v>2020</v>
      </c>
      <c r="D819" t="s">
        <v>187</v>
      </c>
      <c r="F819" t="s">
        <v>9638</v>
      </c>
      <c r="G819" t="s">
        <v>3990</v>
      </c>
    </row>
    <row r="820" spans="1:7" x14ac:dyDescent="0.25">
      <c r="A820" t="s">
        <v>904</v>
      </c>
      <c r="B820" t="s">
        <v>1696</v>
      </c>
      <c r="C820">
        <v>2022</v>
      </c>
      <c r="E820" t="s">
        <v>3143</v>
      </c>
      <c r="F820" t="s">
        <v>8672</v>
      </c>
      <c r="G820" t="s">
        <v>3990</v>
      </c>
    </row>
    <row r="821" spans="1:7" x14ac:dyDescent="0.25">
      <c r="A821" t="s">
        <v>2804</v>
      </c>
      <c r="B821" t="s">
        <v>1696</v>
      </c>
      <c r="C821">
        <v>2021</v>
      </c>
      <c r="E821" t="s">
        <v>3143</v>
      </c>
      <c r="F821" t="s">
        <v>9337</v>
      </c>
      <c r="G821" t="s">
        <v>3990</v>
      </c>
    </row>
    <row r="822" spans="1:7" x14ac:dyDescent="0.25">
      <c r="A822" t="s">
        <v>1144</v>
      </c>
      <c r="B822" t="s">
        <v>1700</v>
      </c>
      <c r="C822">
        <v>2012</v>
      </c>
      <c r="E822" t="s">
        <v>3205</v>
      </c>
      <c r="F822" t="s">
        <v>9428</v>
      </c>
      <c r="G822" t="s">
        <v>3990</v>
      </c>
    </row>
    <row r="823" spans="1:7" x14ac:dyDescent="0.25">
      <c r="A823" t="s">
        <v>2428</v>
      </c>
      <c r="B823" t="s">
        <v>1700</v>
      </c>
      <c r="C823">
        <v>2008</v>
      </c>
      <c r="E823" t="s">
        <v>3205</v>
      </c>
      <c r="F823" t="s">
        <v>9429</v>
      </c>
      <c r="G823" t="s">
        <v>3990</v>
      </c>
    </row>
    <row r="824" spans="1:7" x14ac:dyDescent="0.25">
      <c r="A824" t="s">
        <v>160</v>
      </c>
      <c r="B824" t="s">
        <v>1700</v>
      </c>
      <c r="C824">
        <v>2011</v>
      </c>
      <c r="E824" t="s">
        <v>3205</v>
      </c>
      <c r="F824" t="s">
        <v>9430</v>
      </c>
      <c r="G824" t="s">
        <v>3990</v>
      </c>
    </row>
    <row r="825" spans="1:7" x14ac:dyDescent="0.25">
      <c r="A825" t="s">
        <v>241</v>
      </c>
      <c r="B825" t="s">
        <v>1704</v>
      </c>
      <c r="C825">
        <v>2025</v>
      </c>
      <c r="E825" t="s">
        <v>2986</v>
      </c>
      <c r="F825" t="s">
        <v>9377</v>
      </c>
      <c r="G825" t="s">
        <v>3990</v>
      </c>
    </row>
    <row r="826" spans="1:7" x14ac:dyDescent="0.25">
      <c r="A826" t="s">
        <v>2016</v>
      </c>
      <c r="B826" t="s">
        <v>1704</v>
      </c>
      <c r="C826">
        <v>2024</v>
      </c>
      <c r="E826" t="s">
        <v>2986</v>
      </c>
      <c r="F826" t="s">
        <v>9387</v>
      </c>
      <c r="G826" t="s">
        <v>3990</v>
      </c>
    </row>
    <row r="827" spans="1:7" x14ac:dyDescent="0.25">
      <c r="A827" t="s">
        <v>90</v>
      </c>
      <c r="B827" t="s">
        <v>1704</v>
      </c>
      <c r="C827">
        <v>2017</v>
      </c>
      <c r="E827" t="s">
        <v>3367</v>
      </c>
      <c r="F827" t="s">
        <v>9129</v>
      </c>
      <c r="G827" t="s">
        <v>3990</v>
      </c>
    </row>
    <row r="828" spans="1:7" x14ac:dyDescent="0.25">
      <c r="A828" t="s">
        <v>346</v>
      </c>
      <c r="B828" t="s">
        <v>1711</v>
      </c>
      <c r="C828">
        <v>2022</v>
      </c>
      <c r="D828" t="s">
        <v>187</v>
      </c>
      <c r="F828" t="s">
        <v>9639</v>
      </c>
      <c r="G828" t="s">
        <v>3990</v>
      </c>
    </row>
    <row r="829" spans="1:7" x14ac:dyDescent="0.25">
      <c r="A829" t="s">
        <v>2173</v>
      </c>
      <c r="B829" t="s">
        <v>1713</v>
      </c>
      <c r="C829">
        <v>2013</v>
      </c>
      <c r="E829" t="s">
        <v>3332</v>
      </c>
      <c r="F829" t="s">
        <v>9049</v>
      </c>
      <c r="G829" t="s">
        <v>3990</v>
      </c>
    </row>
    <row r="830" spans="1:7" x14ac:dyDescent="0.25">
      <c r="A830" t="s">
        <v>160</v>
      </c>
      <c r="B830" t="s">
        <v>1713</v>
      </c>
      <c r="C830">
        <v>2011</v>
      </c>
      <c r="E830" t="s">
        <v>3332</v>
      </c>
      <c r="F830" t="s">
        <v>9276</v>
      </c>
      <c r="G830" t="s">
        <v>3990</v>
      </c>
    </row>
    <row r="831" spans="1:7" x14ac:dyDescent="0.25">
      <c r="A831" t="s">
        <v>1713</v>
      </c>
      <c r="B831" t="s">
        <v>1717</v>
      </c>
      <c r="C831">
        <v>2018</v>
      </c>
      <c r="D831" t="s">
        <v>187</v>
      </c>
      <c r="F831" t="s">
        <v>9640</v>
      </c>
      <c r="G831" t="s">
        <v>3990</v>
      </c>
    </row>
    <row r="832" spans="1:7" x14ac:dyDescent="0.25">
      <c r="A832" t="s">
        <v>1294</v>
      </c>
      <c r="B832" t="s">
        <v>8417</v>
      </c>
      <c r="C832">
        <v>2019</v>
      </c>
      <c r="E832" s="10" t="s">
        <v>8416</v>
      </c>
      <c r="F832" t="s">
        <v>8803</v>
      </c>
      <c r="G832" t="s">
        <v>3990</v>
      </c>
    </row>
    <row r="833" spans="1:7" x14ac:dyDescent="0.25">
      <c r="A833" t="s">
        <v>256</v>
      </c>
      <c r="B833" t="s">
        <v>1719</v>
      </c>
      <c r="C833">
        <v>1994</v>
      </c>
      <c r="E833" t="s">
        <v>2982</v>
      </c>
      <c r="F833" t="s">
        <v>8461</v>
      </c>
      <c r="G833" t="s">
        <v>3990</v>
      </c>
    </row>
    <row r="834" spans="1:7" x14ac:dyDescent="0.25">
      <c r="A834" t="s">
        <v>490</v>
      </c>
      <c r="B834" t="s">
        <v>1719</v>
      </c>
      <c r="C834">
        <v>2009</v>
      </c>
      <c r="E834" t="s">
        <v>2982</v>
      </c>
      <c r="F834" t="s">
        <v>8539</v>
      </c>
      <c r="G834" t="s">
        <v>3990</v>
      </c>
    </row>
    <row r="835" spans="1:7" x14ac:dyDescent="0.25">
      <c r="A835" t="s">
        <v>1795</v>
      </c>
      <c r="B835" t="s">
        <v>1719</v>
      </c>
      <c r="C835">
        <v>1987</v>
      </c>
      <c r="E835" t="s">
        <v>2982</v>
      </c>
      <c r="F835" t="s">
        <v>8935</v>
      </c>
      <c r="G835" t="s">
        <v>3990</v>
      </c>
    </row>
    <row r="836" spans="1:7" x14ac:dyDescent="0.25">
      <c r="A836" t="s">
        <v>2788</v>
      </c>
      <c r="B836" t="s">
        <v>1719</v>
      </c>
      <c r="C836">
        <v>2017</v>
      </c>
      <c r="E836" t="s">
        <v>2982</v>
      </c>
      <c r="F836" t="s">
        <v>9317</v>
      </c>
      <c r="G836" t="s">
        <v>3990</v>
      </c>
    </row>
    <row r="837" spans="1:7" x14ac:dyDescent="0.25">
      <c r="A837" t="s">
        <v>2095</v>
      </c>
      <c r="B837" t="s">
        <v>1723</v>
      </c>
      <c r="C837">
        <v>2023</v>
      </c>
      <c r="E837" s="10" t="s">
        <v>8418</v>
      </c>
      <c r="F837" t="s">
        <v>8994</v>
      </c>
      <c r="G837" t="s">
        <v>3990</v>
      </c>
    </row>
    <row r="838" spans="1:7" x14ac:dyDescent="0.25">
      <c r="A838" t="s">
        <v>2136</v>
      </c>
      <c r="B838" t="s">
        <v>1723</v>
      </c>
      <c r="C838">
        <v>2020</v>
      </c>
      <c r="E838" t="s">
        <v>2982</v>
      </c>
      <c r="F838" t="s">
        <v>9009</v>
      </c>
      <c r="G838" t="s">
        <v>3990</v>
      </c>
    </row>
    <row r="839" spans="1:7" x14ac:dyDescent="0.25">
      <c r="A839" t="s">
        <v>2154</v>
      </c>
      <c r="B839" t="s">
        <v>1725</v>
      </c>
      <c r="C839">
        <v>1980</v>
      </c>
      <c r="E839" t="s">
        <v>3323</v>
      </c>
      <c r="F839" t="s">
        <v>9031</v>
      </c>
      <c r="G839" t="s">
        <v>3990</v>
      </c>
    </row>
    <row r="840" spans="1:7" x14ac:dyDescent="0.25">
      <c r="A840" t="s">
        <v>90</v>
      </c>
      <c r="B840" t="s">
        <v>1728</v>
      </c>
      <c r="C840">
        <v>2017</v>
      </c>
      <c r="E840" t="s">
        <v>3368</v>
      </c>
      <c r="F840" t="s">
        <v>9641</v>
      </c>
      <c r="G840" t="s">
        <v>187</v>
      </c>
    </row>
    <row r="841" spans="1:7" x14ac:dyDescent="0.25">
      <c r="A841" t="s">
        <v>90</v>
      </c>
      <c r="B841" t="s">
        <v>1734</v>
      </c>
      <c r="C841">
        <v>2017</v>
      </c>
      <c r="E841" t="s">
        <v>2982</v>
      </c>
      <c r="F841" t="s">
        <v>9130</v>
      </c>
      <c r="G841" t="s">
        <v>3990</v>
      </c>
    </row>
    <row r="842" spans="1:7" x14ac:dyDescent="0.25">
      <c r="A842" t="s">
        <v>2804</v>
      </c>
      <c r="B842" t="s">
        <v>1734</v>
      </c>
      <c r="C842">
        <v>2021</v>
      </c>
      <c r="E842" t="s">
        <v>2982</v>
      </c>
      <c r="F842" t="s">
        <v>9338</v>
      </c>
      <c r="G842" t="s">
        <v>3990</v>
      </c>
    </row>
    <row r="843" spans="1:7" x14ac:dyDescent="0.25">
      <c r="A843" t="s">
        <v>2747</v>
      </c>
      <c r="B843" t="s">
        <v>1738</v>
      </c>
      <c r="C843">
        <v>2014</v>
      </c>
      <c r="D843" t="s">
        <v>187</v>
      </c>
      <c r="F843" t="s">
        <v>9642</v>
      </c>
      <c r="G843" t="s">
        <v>3990</v>
      </c>
    </row>
    <row r="844" spans="1:7" x14ac:dyDescent="0.25">
      <c r="A844" t="s">
        <v>1738</v>
      </c>
      <c r="B844" t="s">
        <v>1742</v>
      </c>
      <c r="C844">
        <v>2018</v>
      </c>
      <c r="D844" t="s">
        <v>187</v>
      </c>
      <c r="F844" t="s">
        <v>9643</v>
      </c>
      <c r="G844" t="s">
        <v>3990</v>
      </c>
    </row>
    <row r="845" spans="1:7" x14ac:dyDescent="0.25">
      <c r="A845" t="s">
        <v>1155</v>
      </c>
      <c r="B845" t="s">
        <v>1746</v>
      </c>
      <c r="C845">
        <v>2010</v>
      </c>
      <c r="D845" t="s">
        <v>187</v>
      </c>
      <c r="F845" t="s">
        <v>9644</v>
      </c>
      <c r="G845" t="s">
        <v>3990</v>
      </c>
    </row>
    <row r="846" spans="1:7" x14ac:dyDescent="0.25">
      <c r="A846" t="s">
        <v>2428</v>
      </c>
      <c r="B846" t="s">
        <v>1748</v>
      </c>
      <c r="C846">
        <v>2008</v>
      </c>
      <c r="E846" t="s">
        <v>3393</v>
      </c>
      <c r="F846" t="s">
        <v>9211</v>
      </c>
      <c r="G846" t="s">
        <v>3990</v>
      </c>
    </row>
    <row r="847" spans="1:7" x14ac:dyDescent="0.25">
      <c r="A847" t="s">
        <v>2136</v>
      </c>
      <c r="B847" t="s">
        <v>1752</v>
      </c>
      <c r="C847">
        <v>2020</v>
      </c>
      <c r="E847" t="s">
        <v>3313</v>
      </c>
      <c r="F847" t="s">
        <v>9645</v>
      </c>
      <c r="G847" t="s">
        <v>187</v>
      </c>
    </row>
    <row r="848" spans="1:7" x14ac:dyDescent="0.25">
      <c r="A848" t="s">
        <v>1435</v>
      </c>
      <c r="B848" t="s">
        <v>1756</v>
      </c>
      <c r="C848">
        <v>2021</v>
      </c>
      <c r="E848" t="s">
        <v>2982</v>
      </c>
      <c r="F848" t="s">
        <v>8839</v>
      </c>
      <c r="G848" t="s">
        <v>3990</v>
      </c>
    </row>
    <row r="849" spans="1:7" x14ac:dyDescent="0.25">
      <c r="A849" t="s">
        <v>1899</v>
      </c>
      <c r="B849" t="s">
        <v>1758</v>
      </c>
      <c r="C849">
        <v>2014</v>
      </c>
      <c r="D849" t="s">
        <v>187</v>
      </c>
      <c r="F849" t="s">
        <v>9646</v>
      </c>
      <c r="G849" t="s">
        <v>3990</v>
      </c>
    </row>
    <row r="850" spans="1:7" x14ac:dyDescent="0.25">
      <c r="A850" t="s">
        <v>1795</v>
      </c>
      <c r="B850" t="s">
        <v>1761</v>
      </c>
      <c r="C850">
        <v>1987</v>
      </c>
      <c r="E850" s="10" t="s">
        <v>8435</v>
      </c>
      <c r="F850" t="s">
        <v>8436</v>
      </c>
      <c r="G850" t="s">
        <v>3990</v>
      </c>
    </row>
    <row r="851" spans="1:7" x14ac:dyDescent="0.25">
      <c r="A851" t="s">
        <v>2721</v>
      </c>
      <c r="B851" t="s">
        <v>1761</v>
      </c>
      <c r="C851">
        <v>1993</v>
      </c>
      <c r="D851" t="s">
        <v>187</v>
      </c>
      <c r="E851" t="s">
        <v>3032</v>
      </c>
      <c r="F851" t="s">
        <v>9647</v>
      </c>
      <c r="G851" t="s">
        <v>3990</v>
      </c>
    </row>
    <row r="852" spans="1:7" x14ac:dyDescent="0.25">
      <c r="A852" t="s">
        <v>2804</v>
      </c>
      <c r="B852" t="s">
        <v>1764</v>
      </c>
      <c r="C852">
        <v>2021</v>
      </c>
      <c r="E852" t="s">
        <v>3013</v>
      </c>
      <c r="F852" t="s">
        <v>9648</v>
      </c>
      <c r="G852" t="s">
        <v>187</v>
      </c>
    </row>
    <row r="853" spans="1:7" x14ac:dyDescent="0.25">
      <c r="A853" t="s">
        <v>746</v>
      </c>
      <c r="B853" t="s">
        <v>1768</v>
      </c>
      <c r="C853">
        <v>2015</v>
      </c>
      <c r="E853" t="s">
        <v>3105</v>
      </c>
      <c r="F853" t="s">
        <v>8601</v>
      </c>
      <c r="G853" t="s">
        <v>3990</v>
      </c>
    </row>
    <row r="854" spans="1:7" x14ac:dyDescent="0.25">
      <c r="A854" t="s">
        <v>90</v>
      </c>
      <c r="B854" t="s">
        <v>1768</v>
      </c>
      <c r="C854">
        <v>2017</v>
      </c>
      <c r="E854" t="s">
        <v>3105</v>
      </c>
      <c r="F854" t="s">
        <v>9131</v>
      </c>
      <c r="G854" t="s">
        <v>3990</v>
      </c>
    </row>
    <row r="855" spans="1:7" x14ac:dyDescent="0.25">
      <c r="A855" t="s">
        <v>1046</v>
      </c>
      <c r="B855" t="s">
        <v>1771</v>
      </c>
      <c r="C855">
        <v>2016</v>
      </c>
      <c r="E855" t="s">
        <v>3186</v>
      </c>
      <c r="F855" t="s">
        <v>8724</v>
      </c>
      <c r="G855" t="s">
        <v>3990</v>
      </c>
    </row>
    <row r="856" spans="1:7" x14ac:dyDescent="0.25">
      <c r="A856" t="s">
        <v>1855</v>
      </c>
      <c r="B856" t="s">
        <v>1771</v>
      </c>
      <c r="C856">
        <v>2015</v>
      </c>
      <c r="E856" t="s">
        <v>3186</v>
      </c>
      <c r="F856" t="s">
        <v>8966</v>
      </c>
      <c r="G856" t="s">
        <v>3990</v>
      </c>
    </row>
    <row r="857" spans="1:7" x14ac:dyDescent="0.25">
      <c r="A857" t="s">
        <v>1779</v>
      </c>
      <c r="B857" t="s">
        <v>1783</v>
      </c>
      <c r="C857">
        <v>2022</v>
      </c>
      <c r="D857" t="s">
        <v>187</v>
      </c>
      <c r="F857" t="s">
        <v>9649</v>
      </c>
      <c r="G857" t="s">
        <v>3990</v>
      </c>
    </row>
    <row r="858" spans="1:7" x14ac:dyDescent="0.25">
      <c r="A858" t="s">
        <v>759</v>
      </c>
      <c r="B858" t="s">
        <v>1787</v>
      </c>
      <c r="C858">
        <v>2018</v>
      </c>
      <c r="E858" s="10" t="s">
        <v>8394</v>
      </c>
      <c r="F858" t="s">
        <v>8622</v>
      </c>
      <c r="G858" t="s">
        <v>3990</v>
      </c>
    </row>
    <row r="859" spans="1:7" x14ac:dyDescent="0.25">
      <c r="A859" t="s">
        <v>1046</v>
      </c>
      <c r="B859" t="s">
        <v>1787</v>
      </c>
      <c r="C859">
        <v>2016</v>
      </c>
      <c r="E859" s="10" t="s">
        <v>8394</v>
      </c>
      <c r="F859" t="s">
        <v>8725</v>
      </c>
      <c r="G859" t="s">
        <v>3990</v>
      </c>
    </row>
    <row r="860" spans="1:7" x14ac:dyDescent="0.25">
      <c r="A860" t="s">
        <v>160</v>
      </c>
      <c r="B860" t="s">
        <v>1787</v>
      </c>
      <c r="C860">
        <v>2011</v>
      </c>
      <c r="E860" t="s">
        <v>2982</v>
      </c>
      <c r="F860" t="s">
        <v>9277</v>
      </c>
      <c r="G860" t="s">
        <v>3990</v>
      </c>
    </row>
    <row r="861" spans="1:7" x14ac:dyDescent="0.25">
      <c r="A861" t="s">
        <v>1787</v>
      </c>
      <c r="B861" t="s">
        <v>1791</v>
      </c>
      <c r="C861">
        <v>2019</v>
      </c>
      <c r="D861" t="s">
        <v>187</v>
      </c>
      <c r="F861" t="s">
        <v>9650</v>
      </c>
      <c r="G861" t="s">
        <v>3990</v>
      </c>
    </row>
    <row r="862" spans="1:7" x14ac:dyDescent="0.25">
      <c r="A862" t="s">
        <v>2804</v>
      </c>
      <c r="B862" t="s">
        <v>1793</v>
      </c>
      <c r="C862">
        <v>2021</v>
      </c>
      <c r="E862" t="s">
        <v>3013</v>
      </c>
      <c r="F862" t="s">
        <v>9651</v>
      </c>
      <c r="G862" t="s">
        <v>187</v>
      </c>
    </row>
    <row r="863" spans="1:7" x14ac:dyDescent="0.25">
      <c r="A863" t="s">
        <v>1284</v>
      </c>
      <c r="B863" t="s">
        <v>1795</v>
      </c>
      <c r="C863">
        <v>1984</v>
      </c>
      <c r="E863" t="s">
        <v>3222</v>
      </c>
      <c r="F863" t="s">
        <v>8781</v>
      </c>
      <c r="G863" t="s">
        <v>3990</v>
      </c>
    </row>
    <row r="864" spans="1:7" x14ac:dyDescent="0.25">
      <c r="A864" t="s">
        <v>726</v>
      </c>
      <c r="B864" t="s">
        <v>1798</v>
      </c>
      <c r="C864">
        <v>2020</v>
      </c>
      <c r="E864" t="s">
        <v>3092</v>
      </c>
      <c r="F864" t="s">
        <v>8585</v>
      </c>
      <c r="G864" t="s">
        <v>3990</v>
      </c>
    </row>
    <row r="865" spans="1:7" x14ac:dyDescent="0.25">
      <c r="A865" t="s">
        <v>1294</v>
      </c>
      <c r="B865" t="s">
        <v>1798</v>
      </c>
      <c r="C865">
        <v>2019</v>
      </c>
      <c r="E865" t="s">
        <v>3092</v>
      </c>
      <c r="F865" t="s">
        <v>8804</v>
      </c>
      <c r="G865" t="s">
        <v>3990</v>
      </c>
    </row>
    <row r="866" spans="1:7" x14ac:dyDescent="0.25">
      <c r="A866" t="s">
        <v>1294</v>
      </c>
      <c r="B866" t="s">
        <v>1801</v>
      </c>
      <c r="C866">
        <v>2019</v>
      </c>
      <c r="E866" t="s">
        <v>3013</v>
      </c>
      <c r="F866" t="s">
        <v>9652</v>
      </c>
      <c r="G866" t="s">
        <v>187</v>
      </c>
    </row>
    <row r="867" spans="1:7" x14ac:dyDescent="0.25">
      <c r="A867" t="s">
        <v>2804</v>
      </c>
      <c r="B867" t="s">
        <v>1804</v>
      </c>
      <c r="C867">
        <v>2021</v>
      </c>
      <c r="E867" t="s">
        <v>3013</v>
      </c>
      <c r="F867" t="s">
        <v>9653</v>
      </c>
      <c r="G867" t="s">
        <v>187</v>
      </c>
    </row>
    <row r="868" spans="1:7" x14ac:dyDescent="0.25">
      <c r="A868" t="s">
        <v>1046</v>
      </c>
      <c r="B868" t="s">
        <v>1809</v>
      </c>
      <c r="C868">
        <v>2016</v>
      </c>
      <c r="E868" s="10" t="s">
        <v>9833</v>
      </c>
      <c r="F868" t="s">
        <v>9832</v>
      </c>
      <c r="G868" t="s">
        <v>3990</v>
      </c>
    </row>
    <row r="869" spans="1:7" x14ac:dyDescent="0.25">
      <c r="A869" t="s">
        <v>2804</v>
      </c>
      <c r="B869" t="s">
        <v>1809</v>
      </c>
      <c r="C869">
        <v>2021</v>
      </c>
      <c r="E869" t="s">
        <v>2982</v>
      </c>
      <c r="F869" t="s">
        <v>9339</v>
      </c>
      <c r="G869" t="s">
        <v>3990</v>
      </c>
    </row>
    <row r="870" spans="1:7" x14ac:dyDescent="0.25">
      <c r="A870" t="s">
        <v>1576</v>
      </c>
      <c r="B870" t="s">
        <v>1811</v>
      </c>
      <c r="C870">
        <v>2021</v>
      </c>
      <c r="E870" t="s">
        <v>2982</v>
      </c>
      <c r="F870" t="s">
        <v>8885</v>
      </c>
      <c r="G870" t="s">
        <v>3990</v>
      </c>
    </row>
    <row r="871" spans="1:7" x14ac:dyDescent="0.25">
      <c r="A871" t="s">
        <v>1813</v>
      </c>
      <c r="B871" t="s">
        <v>1811</v>
      </c>
      <c r="C871">
        <v>2024</v>
      </c>
      <c r="D871" t="s">
        <v>187</v>
      </c>
      <c r="F871" t="s">
        <v>8947</v>
      </c>
      <c r="G871" t="s">
        <v>3990</v>
      </c>
    </row>
    <row r="872" spans="1:7" x14ac:dyDescent="0.25">
      <c r="A872" t="s">
        <v>90</v>
      </c>
      <c r="B872" t="s">
        <v>1811</v>
      </c>
      <c r="C872">
        <v>2017</v>
      </c>
      <c r="E872" t="s">
        <v>2982</v>
      </c>
      <c r="F872" t="s">
        <v>9132</v>
      </c>
      <c r="G872" t="s">
        <v>3990</v>
      </c>
    </row>
    <row r="873" spans="1:7" x14ac:dyDescent="0.25">
      <c r="A873" t="s">
        <v>2377</v>
      </c>
      <c r="B873" t="s">
        <v>1811</v>
      </c>
      <c r="C873">
        <v>2021</v>
      </c>
      <c r="E873" t="s">
        <v>2982</v>
      </c>
      <c r="F873" t="s">
        <v>9184</v>
      </c>
      <c r="G873" t="s">
        <v>3990</v>
      </c>
    </row>
    <row r="874" spans="1:7" x14ac:dyDescent="0.25">
      <c r="A874" t="s">
        <v>2522</v>
      </c>
      <c r="B874" t="s">
        <v>1811</v>
      </c>
      <c r="C874">
        <v>2025</v>
      </c>
      <c r="E874" t="s">
        <v>2982</v>
      </c>
      <c r="F874" t="s">
        <v>9239</v>
      </c>
      <c r="G874" t="s">
        <v>3990</v>
      </c>
    </row>
    <row r="875" spans="1:7" x14ac:dyDescent="0.25">
      <c r="A875" t="s">
        <v>2428</v>
      </c>
      <c r="B875" t="s">
        <v>1817</v>
      </c>
      <c r="C875">
        <v>2008</v>
      </c>
      <c r="E875" t="s">
        <v>2982</v>
      </c>
      <c r="F875" t="s">
        <v>9212</v>
      </c>
      <c r="G875" t="s">
        <v>3990</v>
      </c>
    </row>
    <row r="876" spans="1:7" x14ac:dyDescent="0.25">
      <c r="A876" t="s">
        <v>2804</v>
      </c>
      <c r="B876" t="s">
        <v>1821</v>
      </c>
      <c r="C876">
        <v>2021</v>
      </c>
      <c r="E876" t="s">
        <v>3013</v>
      </c>
      <c r="F876" t="s">
        <v>9654</v>
      </c>
      <c r="G876" t="s">
        <v>187</v>
      </c>
    </row>
    <row r="877" spans="1:7" x14ac:dyDescent="0.25">
      <c r="A877" t="s">
        <v>497</v>
      </c>
      <c r="B877" t="s">
        <v>1825</v>
      </c>
      <c r="C877">
        <v>2022</v>
      </c>
      <c r="E877" t="s">
        <v>1828</v>
      </c>
      <c r="F877" t="s">
        <v>8553</v>
      </c>
      <c r="G877" t="s">
        <v>3990</v>
      </c>
    </row>
    <row r="878" spans="1:7" x14ac:dyDescent="0.25">
      <c r="A878" t="s">
        <v>160</v>
      </c>
      <c r="B878" t="s">
        <v>1825</v>
      </c>
      <c r="C878">
        <v>2011</v>
      </c>
      <c r="E878" t="s">
        <v>1828</v>
      </c>
      <c r="F878" t="s">
        <v>9278</v>
      </c>
      <c r="G878" t="s">
        <v>3990</v>
      </c>
    </row>
    <row r="879" spans="1:7" x14ac:dyDescent="0.25">
      <c r="A879" t="s">
        <v>2804</v>
      </c>
      <c r="B879" t="s">
        <v>1829</v>
      </c>
      <c r="C879">
        <v>2021</v>
      </c>
      <c r="E879" t="s">
        <v>3013</v>
      </c>
      <c r="F879" t="s">
        <v>9655</v>
      </c>
      <c r="G879" t="s">
        <v>187</v>
      </c>
    </row>
    <row r="880" spans="1:7" x14ac:dyDescent="0.25">
      <c r="A880" t="s">
        <v>2185</v>
      </c>
      <c r="B880" t="s">
        <v>1833</v>
      </c>
      <c r="C880">
        <v>2022</v>
      </c>
      <c r="E880" t="s">
        <v>2982</v>
      </c>
      <c r="F880" t="s">
        <v>9055</v>
      </c>
      <c r="G880" t="s">
        <v>3990</v>
      </c>
    </row>
    <row r="881" spans="1:7" x14ac:dyDescent="0.25">
      <c r="A881" t="s">
        <v>90</v>
      </c>
      <c r="B881" t="s">
        <v>1833</v>
      </c>
      <c r="C881">
        <v>2017</v>
      </c>
      <c r="E881" t="s">
        <v>2982</v>
      </c>
      <c r="F881" t="s">
        <v>9133</v>
      </c>
      <c r="G881" t="s">
        <v>3990</v>
      </c>
    </row>
    <row r="882" spans="1:7" x14ac:dyDescent="0.25">
      <c r="A882" t="s">
        <v>2173</v>
      </c>
      <c r="B882" t="s">
        <v>1837</v>
      </c>
      <c r="C882">
        <v>2013</v>
      </c>
      <c r="E882" s="10" t="s">
        <v>8359</v>
      </c>
      <c r="F882" t="s">
        <v>9050</v>
      </c>
      <c r="G882" t="s">
        <v>3990</v>
      </c>
    </row>
    <row r="883" spans="1:7" x14ac:dyDescent="0.25">
      <c r="A883" t="s">
        <v>160</v>
      </c>
      <c r="B883" t="s">
        <v>1837</v>
      </c>
      <c r="C883">
        <v>2011</v>
      </c>
      <c r="E883" s="10" t="s">
        <v>8359</v>
      </c>
      <c r="F883" t="s">
        <v>9279</v>
      </c>
      <c r="G883" t="s">
        <v>3990</v>
      </c>
    </row>
    <row r="884" spans="1:7" x14ac:dyDescent="0.25">
      <c r="A884" t="s">
        <v>2804</v>
      </c>
      <c r="B884" t="s">
        <v>1837</v>
      </c>
      <c r="C884">
        <v>2021</v>
      </c>
      <c r="E884" t="s">
        <v>3013</v>
      </c>
      <c r="F884" t="s">
        <v>9656</v>
      </c>
      <c r="G884" t="s">
        <v>187</v>
      </c>
    </row>
    <row r="885" spans="1:7" x14ac:dyDescent="0.25">
      <c r="A885" t="s">
        <v>160</v>
      </c>
      <c r="B885" t="s">
        <v>1843</v>
      </c>
      <c r="C885">
        <v>2011</v>
      </c>
      <c r="E885" t="s">
        <v>3404</v>
      </c>
      <c r="F885" t="s">
        <v>9280</v>
      </c>
      <c r="G885" t="s">
        <v>3990</v>
      </c>
    </row>
    <row r="886" spans="1:7" x14ac:dyDescent="0.25">
      <c r="A886" t="s">
        <v>946</v>
      </c>
      <c r="B886" t="s">
        <v>1847</v>
      </c>
      <c r="C886">
        <v>2014</v>
      </c>
      <c r="E886" s="10" t="s">
        <v>3162</v>
      </c>
      <c r="F886" t="s">
        <v>9657</v>
      </c>
      <c r="G886" t="s">
        <v>3990</v>
      </c>
    </row>
    <row r="887" spans="1:7" x14ac:dyDescent="0.25">
      <c r="A887" t="s">
        <v>1144</v>
      </c>
      <c r="B887" t="s">
        <v>1847</v>
      </c>
      <c r="C887">
        <v>2012</v>
      </c>
      <c r="E887" t="s">
        <v>3206</v>
      </c>
      <c r="F887" t="s">
        <v>8754</v>
      </c>
      <c r="G887" t="s">
        <v>3990</v>
      </c>
    </row>
    <row r="888" spans="1:7" x14ac:dyDescent="0.25">
      <c r="A888" t="s">
        <v>2506</v>
      </c>
      <c r="B888" t="s">
        <v>1851</v>
      </c>
      <c r="C888">
        <v>2021</v>
      </c>
      <c r="E888" t="s">
        <v>2982</v>
      </c>
      <c r="F888" t="s">
        <v>9232</v>
      </c>
      <c r="G888" t="s">
        <v>3990</v>
      </c>
    </row>
    <row r="889" spans="1:7" x14ac:dyDescent="0.25">
      <c r="A889" t="s">
        <v>160</v>
      </c>
      <c r="B889" t="s">
        <v>1851</v>
      </c>
      <c r="C889">
        <v>2011</v>
      </c>
      <c r="E889" t="s">
        <v>2982</v>
      </c>
      <c r="F889" t="s">
        <v>9281</v>
      </c>
      <c r="G889" t="s">
        <v>3990</v>
      </c>
    </row>
    <row r="890" spans="1:7" x14ac:dyDescent="0.25">
      <c r="A890" t="s">
        <v>2804</v>
      </c>
      <c r="B890" t="s">
        <v>1851</v>
      </c>
      <c r="C890">
        <v>2021</v>
      </c>
      <c r="E890" t="s">
        <v>2982</v>
      </c>
      <c r="F890" t="s">
        <v>9340</v>
      </c>
      <c r="G890" t="s">
        <v>3990</v>
      </c>
    </row>
    <row r="891" spans="1:7" x14ac:dyDescent="0.25">
      <c r="A891" t="s">
        <v>1144</v>
      </c>
      <c r="B891" t="s">
        <v>1855</v>
      </c>
      <c r="C891">
        <v>2012</v>
      </c>
      <c r="E891" s="10" t="s">
        <v>8399</v>
      </c>
      <c r="F891" t="s">
        <v>8755</v>
      </c>
      <c r="G891" t="s">
        <v>3990</v>
      </c>
    </row>
    <row r="892" spans="1:7" x14ac:dyDescent="0.25">
      <c r="A892" t="s">
        <v>2322</v>
      </c>
      <c r="B892" t="s">
        <v>1855</v>
      </c>
      <c r="C892">
        <v>2010</v>
      </c>
      <c r="E892" t="s">
        <v>3337</v>
      </c>
      <c r="F892" t="s">
        <v>9064</v>
      </c>
      <c r="G892" t="s">
        <v>3990</v>
      </c>
    </row>
    <row r="893" spans="1:7" x14ac:dyDescent="0.25">
      <c r="A893" t="s">
        <v>2428</v>
      </c>
      <c r="B893" t="s">
        <v>1855</v>
      </c>
      <c r="C893">
        <v>2008</v>
      </c>
      <c r="E893" s="10" t="s">
        <v>8399</v>
      </c>
      <c r="F893" t="s">
        <v>9213</v>
      </c>
      <c r="G893" t="s">
        <v>3990</v>
      </c>
    </row>
    <row r="894" spans="1:7" x14ac:dyDescent="0.25">
      <c r="A894" t="s">
        <v>160</v>
      </c>
      <c r="B894" t="s">
        <v>1855</v>
      </c>
      <c r="C894">
        <v>2011</v>
      </c>
      <c r="E894" s="10" t="s">
        <v>8399</v>
      </c>
      <c r="F894" t="s">
        <v>9282</v>
      </c>
      <c r="G894" t="s">
        <v>3990</v>
      </c>
    </row>
    <row r="895" spans="1:7" x14ac:dyDescent="0.25">
      <c r="A895" t="s">
        <v>1294</v>
      </c>
      <c r="B895" t="s">
        <v>1859</v>
      </c>
      <c r="C895">
        <v>2019</v>
      </c>
      <c r="E895" t="s">
        <v>3013</v>
      </c>
      <c r="F895" t="s">
        <v>9658</v>
      </c>
      <c r="G895" t="s">
        <v>187</v>
      </c>
    </row>
    <row r="896" spans="1:7" x14ac:dyDescent="0.25">
      <c r="A896" t="s">
        <v>344</v>
      </c>
      <c r="B896" t="s">
        <v>1863</v>
      </c>
      <c r="C896">
        <v>2023</v>
      </c>
      <c r="E896" t="s">
        <v>2982</v>
      </c>
      <c r="F896" t="s">
        <v>8482</v>
      </c>
      <c r="G896" t="s">
        <v>3990</v>
      </c>
    </row>
    <row r="897" spans="1:7" x14ac:dyDescent="0.25">
      <c r="A897" t="s">
        <v>2506</v>
      </c>
      <c r="B897" t="s">
        <v>1863</v>
      </c>
      <c r="C897">
        <v>2021</v>
      </c>
      <c r="E897" t="s">
        <v>2982</v>
      </c>
      <c r="F897" t="s">
        <v>9233</v>
      </c>
      <c r="G897" t="s">
        <v>3990</v>
      </c>
    </row>
    <row r="898" spans="1:7" x14ac:dyDescent="0.25">
      <c r="A898" t="s">
        <v>2614</v>
      </c>
      <c r="B898" t="s">
        <v>1863</v>
      </c>
      <c r="C898">
        <v>2025</v>
      </c>
      <c r="E898" t="s">
        <v>2982</v>
      </c>
      <c r="F898" t="s">
        <v>9250</v>
      </c>
      <c r="G898" t="s">
        <v>3990</v>
      </c>
    </row>
    <row r="899" spans="1:7" x14ac:dyDescent="0.25">
      <c r="A899" t="s">
        <v>759</v>
      </c>
      <c r="B899" t="s">
        <v>1865</v>
      </c>
      <c r="C899">
        <v>2018</v>
      </c>
      <c r="E899" t="s">
        <v>3013</v>
      </c>
      <c r="F899" t="s">
        <v>9659</v>
      </c>
      <c r="G899" t="s">
        <v>187</v>
      </c>
    </row>
    <row r="900" spans="1:7" x14ac:dyDescent="0.25">
      <c r="A900" t="s">
        <v>90</v>
      </c>
      <c r="B900" t="s">
        <v>1867</v>
      </c>
      <c r="C900">
        <v>2017</v>
      </c>
      <c r="E900" t="s">
        <v>3369</v>
      </c>
      <c r="F900" t="s">
        <v>10024</v>
      </c>
      <c r="G900" t="s">
        <v>187</v>
      </c>
    </row>
    <row r="901" spans="1:7" x14ac:dyDescent="0.25">
      <c r="A901" t="s">
        <v>160</v>
      </c>
      <c r="B901" t="s">
        <v>1867</v>
      </c>
      <c r="C901">
        <v>2011</v>
      </c>
      <c r="E901" t="s">
        <v>3369</v>
      </c>
      <c r="F901" t="s">
        <v>10024</v>
      </c>
      <c r="G901" t="s">
        <v>187</v>
      </c>
    </row>
    <row r="902" spans="1:7" x14ac:dyDescent="0.25">
      <c r="A902" t="s">
        <v>651</v>
      </c>
      <c r="B902" t="s">
        <v>1875</v>
      </c>
      <c r="C902">
        <v>2023</v>
      </c>
      <c r="E902" t="s">
        <v>3081</v>
      </c>
      <c r="F902" t="s">
        <v>9660</v>
      </c>
      <c r="G902" t="s">
        <v>3990</v>
      </c>
    </row>
    <row r="903" spans="1:7" x14ac:dyDescent="0.25">
      <c r="A903" t="s">
        <v>1046</v>
      </c>
      <c r="B903" t="s">
        <v>1877</v>
      </c>
      <c r="C903">
        <v>2016</v>
      </c>
      <c r="E903" t="s">
        <v>3187</v>
      </c>
      <c r="F903" t="s">
        <v>8726</v>
      </c>
      <c r="G903" t="s">
        <v>3990</v>
      </c>
    </row>
    <row r="904" spans="1:7" x14ac:dyDescent="0.25">
      <c r="A904" t="s">
        <v>1855</v>
      </c>
      <c r="B904" t="s">
        <v>1877</v>
      </c>
      <c r="C904">
        <v>2015</v>
      </c>
      <c r="E904" t="s">
        <v>3187</v>
      </c>
      <c r="F904" t="s">
        <v>8967</v>
      </c>
      <c r="G904" t="s">
        <v>3990</v>
      </c>
    </row>
    <row r="905" spans="1:7" x14ac:dyDescent="0.25">
      <c r="A905" t="s">
        <v>1516</v>
      </c>
      <c r="B905" t="s">
        <v>1879</v>
      </c>
      <c r="C905">
        <v>2024</v>
      </c>
      <c r="D905" t="s">
        <v>187</v>
      </c>
      <c r="F905" t="s">
        <v>9661</v>
      </c>
      <c r="G905" t="s">
        <v>3990</v>
      </c>
    </row>
    <row r="906" spans="1:7" x14ac:dyDescent="0.25">
      <c r="A906" t="s">
        <v>1855</v>
      </c>
      <c r="B906" t="s">
        <v>1879</v>
      </c>
      <c r="C906">
        <v>2015</v>
      </c>
      <c r="E906" t="s">
        <v>3298</v>
      </c>
      <c r="F906" t="s">
        <v>9662</v>
      </c>
      <c r="G906" t="s">
        <v>187</v>
      </c>
    </row>
    <row r="907" spans="1:7" x14ac:dyDescent="0.25">
      <c r="A907" t="s">
        <v>2254</v>
      </c>
      <c r="B907" t="s">
        <v>1879</v>
      </c>
      <c r="C907">
        <v>2020</v>
      </c>
      <c r="E907" t="s">
        <v>3298</v>
      </c>
      <c r="F907" t="s">
        <v>9663</v>
      </c>
      <c r="G907" t="s">
        <v>187</v>
      </c>
    </row>
    <row r="908" spans="1:7" x14ac:dyDescent="0.25">
      <c r="A908" t="s">
        <v>2154</v>
      </c>
      <c r="B908" t="s">
        <v>1882</v>
      </c>
      <c r="C908">
        <v>1980</v>
      </c>
      <c r="E908" s="10" t="s">
        <v>8443</v>
      </c>
      <c r="F908" t="s">
        <v>8444</v>
      </c>
      <c r="G908" t="s">
        <v>3990</v>
      </c>
    </row>
    <row r="909" spans="1:7" x14ac:dyDescent="0.25">
      <c r="A909" t="s">
        <v>2721</v>
      </c>
      <c r="B909" t="s">
        <v>1885</v>
      </c>
      <c r="C909">
        <v>1993</v>
      </c>
      <c r="D909" t="s">
        <v>187</v>
      </c>
      <c r="F909" t="s">
        <v>9664</v>
      </c>
      <c r="G909" t="s">
        <v>3990</v>
      </c>
    </row>
    <row r="910" spans="1:7" x14ac:dyDescent="0.25">
      <c r="A910" t="s">
        <v>1891</v>
      </c>
      <c r="B910" t="s">
        <v>1887</v>
      </c>
      <c r="C910">
        <v>2017</v>
      </c>
      <c r="D910" t="s">
        <v>187</v>
      </c>
      <c r="F910" t="s">
        <v>9665</v>
      </c>
      <c r="G910" t="s">
        <v>3990</v>
      </c>
    </row>
    <row r="911" spans="1:7" x14ac:dyDescent="0.25">
      <c r="A911" t="s">
        <v>1885</v>
      </c>
      <c r="B911" t="s">
        <v>1891</v>
      </c>
      <c r="C911">
        <v>2015</v>
      </c>
      <c r="D911" t="s">
        <v>187</v>
      </c>
      <c r="F911" t="s">
        <v>9666</v>
      </c>
      <c r="G911" t="s">
        <v>3990</v>
      </c>
    </row>
    <row r="912" spans="1:7" x14ac:dyDescent="0.25">
      <c r="A912" t="s">
        <v>353</v>
      </c>
      <c r="B912" t="s">
        <v>1893</v>
      </c>
      <c r="C912">
        <v>2023</v>
      </c>
      <c r="E912" t="s">
        <v>3035</v>
      </c>
      <c r="F912" t="s">
        <v>8513</v>
      </c>
      <c r="G912" t="s">
        <v>3990</v>
      </c>
    </row>
    <row r="913" spans="1:7" x14ac:dyDescent="0.25">
      <c r="A913" t="s">
        <v>364</v>
      </c>
      <c r="B913" t="s">
        <v>1893</v>
      </c>
      <c r="C913">
        <v>2024</v>
      </c>
      <c r="E913" t="s">
        <v>3035</v>
      </c>
      <c r="F913" t="s">
        <v>8534</v>
      </c>
      <c r="G913" t="s">
        <v>3990</v>
      </c>
    </row>
    <row r="914" spans="1:7" x14ac:dyDescent="0.25">
      <c r="A914" t="s">
        <v>1576</v>
      </c>
      <c r="B914" t="s">
        <v>1893</v>
      </c>
      <c r="C914">
        <v>2021</v>
      </c>
      <c r="E914" t="s">
        <v>3035</v>
      </c>
      <c r="F914" t="s">
        <v>8886</v>
      </c>
      <c r="G914" t="s">
        <v>3990</v>
      </c>
    </row>
    <row r="915" spans="1:7" x14ac:dyDescent="0.25">
      <c r="A915" t="s">
        <v>1144</v>
      </c>
      <c r="B915" t="s">
        <v>1895</v>
      </c>
      <c r="C915">
        <v>2012</v>
      </c>
      <c r="E915" t="s">
        <v>3207</v>
      </c>
      <c r="F915" t="s">
        <v>8756</v>
      </c>
      <c r="G915" t="s">
        <v>3990</v>
      </c>
    </row>
    <row r="916" spans="1:7" x14ac:dyDescent="0.25">
      <c r="A916" t="s">
        <v>1855</v>
      </c>
      <c r="B916" t="s">
        <v>1895</v>
      </c>
      <c r="C916">
        <v>2015</v>
      </c>
      <c r="E916" t="s">
        <v>3207</v>
      </c>
      <c r="F916" t="s">
        <v>8968</v>
      </c>
      <c r="G916" t="s">
        <v>3990</v>
      </c>
    </row>
    <row r="917" spans="1:7" x14ac:dyDescent="0.25">
      <c r="A917" t="s">
        <v>90</v>
      </c>
      <c r="B917" t="s">
        <v>1895</v>
      </c>
      <c r="C917">
        <v>2017</v>
      </c>
      <c r="E917" t="s">
        <v>3207</v>
      </c>
      <c r="F917" t="s">
        <v>9134</v>
      </c>
      <c r="G917" t="s">
        <v>3990</v>
      </c>
    </row>
    <row r="918" spans="1:7" x14ac:dyDescent="0.25">
      <c r="A918" t="s">
        <v>1761</v>
      </c>
      <c r="B918" t="s">
        <v>1899</v>
      </c>
      <c r="C918">
        <v>1995</v>
      </c>
      <c r="E918" t="s">
        <v>3271</v>
      </c>
      <c r="F918" t="s">
        <v>14054</v>
      </c>
      <c r="G918" t="s">
        <v>3990</v>
      </c>
    </row>
    <row r="919" spans="1:7" x14ac:dyDescent="0.25">
      <c r="A919" t="s">
        <v>2721</v>
      </c>
      <c r="B919" t="s">
        <v>1899</v>
      </c>
      <c r="C919">
        <v>1993</v>
      </c>
      <c r="E919" t="s">
        <v>3271</v>
      </c>
      <c r="F919" t="s">
        <v>14054</v>
      </c>
      <c r="G919" t="s">
        <v>3990</v>
      </c>
    </row>
    <row r="920" spans="1:7" x14ac:dyDescent="0.25">
      <c r="A920" t="s">
        <v>1970</v>
      </c>
      <c r="B920" t="s">
        <v>1903</v>
      </c>
      <c r="C920">
        <v>2012</v>
      </c>
      <c r="E920" t="s">
        <v>3302</v>
      </c>
      <c r="F920" t="s">
        <v>9667</v>
      </c>
      <c r="G920" t="s">
        <v>187</v>
      </c>
    </row>
    <row r="921" spans="1:7" x14ac:dyDescent="0.25">
      <c r="A921" t="s">
        <v>205</v>
      </c>
      <c r="B921" t="s">
        <v>7824</v>
      </c>
      <c r="C921">
        <v>2015</v>
      </c>
      <c r="E921" s="10" t="s">
        <v>8360</v>
      </c>
      <c r="F921" t="s">
        <v>8453</v>
      </c>
      <c r="G921" t="s">
        <v>3990</v>
      </c>
    </row>
    <row r="922" spans="1:7" x14ac:dyDescent="0.25">
      <c r="A922" t="s">
        <v>1553</v>
      </c>
      <c r="B922" t="s">
        <v>7824</v>
      </c>
      <c r="C922">
        <v>2017</v>
      </c>
      <c r="E922" t="s">
        <v>7809</v>
      </c>
      <c r="F922" t="s">
        <v>8869</v>
      </c>
      <c r="G922" t="s">
        <v>3990</v>
      </c>
    </row>
    <row r="923" spans="1:7" x14ac:dyDescent="0.25">
      <c r="A923" t="s">
        <v>2324</v>
      </c>
      <c r="B923" t="s">
        <v>7824</v>
      </c>
      <c r="C923">
        <v>2022</v>
      </c>
      <c r="E923" s="10" t="s">
        <v>8361</v>
      </c>
      <c r="F923" t="s">
        <v>9066</v>
      </c>
      <c r="G923" t="s">
        <v>3990</v>
      </c>
    </row>
    <row r="924" spans="1:7" x14ac:dyDescent="0.25">
      <c r="A924" t="s">
        <v>2361</v>
      </c>
      <c r="B924" t="s">
        <v>7824</v>
      </c>
      <c r="C924">
        <v>2018</v>
      </c>
      <c r="E924" s="10" t="s">
        <v>8361</v>
      </c>
      <c r="F924" t="s">
        <v>9180</v>
      </c>
      <c r="G924" t="s">
        <v>3990</v>
      </c>
    </row>
    <row r="925" spans="1:7" x14ac:dyDescent="0.25">
      <c r="A925" t="s">
        <v>2506</v>
      </c>
      <c r="B925" t="s">
        <v>7824</v>
      </c>
      <c r="C925">
        <v>2021</v>
      </c>
      <c r="E925" t="s">
        <v>7809</v>
      </c>
      <c r="F925" t="s">
        <v>9234</v>
      </c>
      <c r="G925" t="s">
        <v>3990</v>
      </c>
    </row>
    <row r="926" spans="1:7" x14ac:dyDescent="0.25">
      <c r="A926" t="s">
        <v>847</v>
      </c>
      <c r="B926" t="s">
        <v>1911</v>
      </c>
      <c r="C926">
        <v>1996</v>
      </c>
      <c r="E926" s="10" t="s">
        <v>8362</v>
      </c>
      <c r="F926" t="s">
        <v>8656</v>
      </c>
      <c r="G926" t="s">
        <v>3990</v>
      </c>
    </row>
    <row r="927" spans="1:7" x14ac:dyDescent="0.25">
      <c r="A927" t="s">
        <v>914</v>
      </c>
      <c r="B927" t="s">
        <v>1911</v>
      </c>
      <c r="C927">
        <v>2013</v>
      </c>
      <c r="E927" s="10" t="s">
        <v>8362</v>
      </c>
      <c r="F927" t="s">
        <v>8674</v>
      </c>
      <c r="G927" t="s">
        <v>3990</v>
      </c>
    </row>
    <row r="928" spans="1:7" x14ac:dyDescent="0.25">
      <c r="A928" t="s">
        <v>1144</v>
      </c>
      <c r="B928" t="s">
        <v>1911</v>
      </c>
      <c r="C928">
        <v>2012</v>
      </c>
      <c r="E928" t="s">
        <v>3208</v>
      </c>
      <c r="F928" t="s">
        <v>8757</v>
      </c>
      <c r="G928" t="s">
        <v>3990</v>
      </c>
    </row>
    <row r="929" spans="1:7" x14ac:dyDescent="0.25">
      <c r="A929" t="s">
        <v>160</v>
      </c>
      <c r="B929" t="s">
        <v>1911</v>
      </c>
      <c r="C929">
        <v>2011</v>
      </c>
      <c r="E929" t="s">
        <v>3208</v>
      </c>
      <c r="F929" t="s">
        <v>9283</v>
      </c>
      <c r="G929" t="s">
        <v>3990</v>
      </c>
    </row>
    <row r="930" spans="1:7" x14ac:dyDescent="0.25">
      <c r="A930" t="s">
        <v>1795</v>
      </c>
      <c r="B930" t="s">
        <v>1918</v>
      </c>
      <c r="C930">
        <v>1987</v>
      </c>
      <c r="E930" t="s">
        <v>2982</v>
      </c>
      <c r="F930" t="s">
        <v>8936</v>
      </c>
      <c r="G930" t="s">
        <v>3990</v>
      </c>
    </row>
    <row r="931" spans="1:7" x14ac:dyDescent="0.25">
      <c r="A931" t="s">
        <v>90</v>
      </c>
      <c r="B931" t="s">
        <v>1921</v>
      </c>
      <c r="C931">
        <v>2017</v>
      </c>
      <c r="E931" t="s">
        <v>3013</v>
      </c>
      <c r="F931" t="s">
        <v>9668</v>
      </c>
      <c r="G931" t="s">
        <v>187</v>
      </c>
    </row>
    <row r="932" spans="1:7" x14ac:dyDescent="0.25">
      <c r="A932" t="s">
        <v>2009</v>
      </c>
      <c r="B932" t="s">
        <v>1925</v>
      </c>
      <c r="C932">
        <v>2005</v>
      </c>
      <c r="E932" t="s">
        <v>3303</v>
      </c>
      <c r="F932" t="s">
        <v>8988</v>
      </c>
      <c r="G932" t="s">
        <v>3990</v>
      </c>
    </row>
    <row r="933" spans="1:7" x14ac:dyDescent="0.25">
      <c r="A933" t="s">
        <v>160</v>
      </c>
      <c r="B933" t="s">
        <v>1927</v>
      </c>
      <c r="C933">
        <v>2011</v>
      </c>
      <c r="E933" t="s">
        <v>2982</v>
      </c>
      <c r="F933" t="s">
        <v>9284</v>
      </c>
      <c r="G933" t="s">
        <v>3990</v>
      </c>
    </row>
    <row r="934" spans="1:7" x14ac:dyDescent="0.25">
      <c r="A934" t="s">
        <v>1046</v>
      </c>
      <c r="B934" t="s">
        <v>7911</v>
      </c>
      <c r="C934">
        <v>2016</v>
      </c>
      <c r="E934" s="10" t="s">
        <v>7910</v>
      </c>
      <c r="F934" t="s">
        <v>9669</v>
      </c>
      <c r="G934" t="s">
        <v>3990</v>
      </c>
    </row>
    <row r="935" spans="1:7" x14ac:dyDescent="0.25">
      <c r="A935" t="s">
        <v>353</v>
      </c>
      <c r="B935" t="s">
        <v>1931</v>
      </c>
      <c r="C935">
        <v>2023</v>
      </c>
      <c r="E935" t="s">
        <v>3036</v>
      </c>
      <c r="F935" t="s">
        <v>8514</v>
      </c>
      <c r="G935" t="s">
        <v>3990</v>
      </c>
    </row>
    <row r="936" spans="1:7" x14ac:dyDescent="0.25">
      <c r="A936" t="s">
        <v>1046</v>
      </c>
      <c r="B936" t="s">
        <v>1933</v>
      </c>
      <c r="C936">
        <v>2016</v>
      </c>
      <c r="E936" s="10" t="s">
        <v>8401</v>
      </c>
      <c r="F936" t="s">
        <v>14053</v>
      </c>
      <c r="G936" t="s">
        <v>3990</v>
      </c>
    </row>
    <row r="937" spans="1:7" x14ac:dyDescent="0.25">
      <c r="A937" t="s">
        <v>160</v>
      </c>
      <c r="B937" t="s">
        <v>1933</v>
      </c>
      <c r="C937">
        <v>2011</v>
      </c>
      <c r="E937" s="10" t="s">
        <v>8401</v>
      </c>
      <c r="F937" t="s">
        <v>14053</v>
      </c>
      <c r="G937" t="s">
        <v>3990</v>
      </c>
    </row>
    <row r="938" spans="1:7" x14ac:dyDescent="0.25">
      <c r="A938" t="s">
        <v>964</v>
      </c>
      <c r="B938" t="s">
        <v>1937</v>
      </c>
      <c r="C938">
        <v>2006</v>
      </c>
      <c r="E938" t="s">
        <v>1940</v>
      </c>
      <c r="F938" t="s">
        <v>14052</v>
      </c>
      <c r="G938" t="s">
        <v>3990</v>
      </c>
    </row>
    <row r="939" spans="1:7" x14ac:dyDescent="0.25">
      <c r="A939" t="s">
        <v>2107</v>
      </c>
      <c r="B939" t="s">
        <v>1937</v>
      </c>
      <c r="C939">
        <v>2020</v>
      </c>
      <c r="E939" t="s">
        <v>1940</v>
      </c>
      <c r="F939" t="s">
        <v>14075</v>
      </c>
      <c r="G939" t="s">
        <v>3990</v>
      </c>
    </row>
    <row r="940" spans="1:7" x14ac:dyDescent="0.25">
      <c r="A940" t="s">
        <v>2571</v>
      </c>
      <c r="B940" t="s">
        <v>1937</v>
      </c>
      <c r="C940">
        <v>1998</v>
      </c>
      <c r="E940" s="10" t="s">
        <v>1940</v>
      </c>
      <c r="F940" t="s">
        <v>14052</v>
      </c>
      <c r="G940" t="s">
        <v>3990</v>
      </c>
    </row>
    <row r="941" spans="1:7" x14ac:dyDescent="0.25">
      <c r="A941" t="s">
        <v>1046</v>
      </c>
      <c r="B941" t="s">
        <v>1941</v>
      </c>
      <c r="C941">
        <v>2016</v>
      </c>
      <c r="E941" t="s">
        <v>3188</v>
      </c>
      <c r="F941" t="s">
        <v>8727</v>
      </c>
      <c r="G941" t="s">
        <v>3990</v>
      </c>
    </row>
    <row r="942" spans="1:7" x14ac:dyDescent="0.25">
      <c r="A942" t="s">
        <v>1817</v>
      </c>
      <c r="B942" t="s">
        <v>1941</v>
      </c>
      <c r="C942">
        <v>2019</v>
      </c>
      <c r="E942" t="s">
        <v>3291</v>
      </c>
      <c r="F942" t="s">
        <v>8949</v>
      </c>
      <c r="G942" t="s">
        <v>3990</v>
      </c>
    </row>
    <row r="943" spans="1:7" x14ac:dyDescent="0.25">
      <c r="A943" t="s">
        <v>160</v>
      </c>
      <c r="B943" t="s">
        <v>1941</v>
      </c>
      <c r="C943">
        <v>2011</v>
      </c>
      <c r="E943" t="s">
        <v>3405</v>
      </c>
      <c r="F943" t="s">
        <v>9285</v>
      </c>
      <c r="G943" t="s">
        <v>3990</v>
      </c>
    </row>
    <row r="944" spans="1:7" x14ac:dyDescent="0.25">
      <c r="A944" t="s">
        <v>1795</v>
      </c>
      <c r="B944" t="s">
        <v>1944</v>
      </c>
      <c r="C944">
        <v>1987</v>
      </c>
      <c r="E944" t="s">
        <v>3281</v>
      </c>
      <c r="F944" t="s">
        <v>8937</v>
      </c>
      <c r="G944" t="s">
        <v>3990</v>
      </c>
    </row>
    <row r="945" spans="1:7" x14ac:dyDescent="0.25">
      <c r="A945" t="s">
        <v>1443</v>
      </c>
      <c r="B945" t="s">
        <v>1947</v>
      </c>
      <c r="C945">
        <v>2018</v>
      </c>
      <c r="E945" t="s">
        <v>3249</v>
      </c>
      <c r="F945" t="s">
        <v>8856</v>
      </c>
      <c r="G945" t="s">
        <v>3990</v>
      </c>
    </row>
    <row r="946" spans="1:7" x14ac:dyDescent="0.25">
      <c r="A946" t="s">
        <v>90</v>
      </c>
      <c r="B946" t="s">
        <v>1947</v>
      </c>
      <c r="C946">
        <v>2017</v>
      </c>
      <c r="E946" t="s">
        <v>3249</v>
      </c>
      <c r="F946" t="s">
        <v>9135</v>
      </c>
      <c r="G946" t="s">
        <v>3990</v>
      </c>
    </row>
    <row r="947" spans="1:7" x14ac:dyDescent="0.25">
      <c r="A947" t="s">
        <v>709</v>
      </c>
      <c r="B947" t="s">
        <v>12685</v>
      </c>
      <c r="C947">
        <v>2022</v>
      </c>
      <c r="E947" s="10" t="s">
        <v>12688</v>
      </c>
      <c r="F947" t="s">
        <v>12716</v>
      </c>
      <c r="G947" t="s">
        <v>3990</v>
      </c>
    </row>
    <row r="948" spans="1:7" x14ac:dyDescent="0.25">
      <c r="A948" t="s">
        <v>2136</v>
      </c>
      <c r="B948" t="s">
        <v>12685</v>
      </c>
      <c r="C948">
        <v>2020</v>
      </c>
      <c r="E948" s="10" t="s">
        <v>12688</v>
      </c>
      <c r="F948" t="s">
        <v>12716</v>
      </c>
      <c r="G948" t="s">
        <v>3990</v>
      </c>
    </row>
    <row r="949" spans="1:7" x14ac:dyDescent="0.25">
      <c r="A949" t="s">
        <v>497</v>
      </c>
      <c r="B949" t="s">
        <v>8109</v>
      </c>
      <c r="C949">
        <v>2022</v>
      </c>
      <c r="E949" s="10" t="s">
        <v>8117</v>
      </c>
      <c r="F949" t="s">
        <v>8554</v>
      </c>
      <c r="G949" t="s">
        <v>3990</v>
      </c>
    </row>
    <row r="950" spans="1:7" x14ac:dyDescent="0.25">
      <c r="A950" t="s">
        <v>2377</v>
      </c>
      <c r="B950" t="s">
        <v>8109</v>
      </c>
      <c r="C950">
        <v>2021</v>
      </c>
      <c r="E950" s="10" t="s">
        <v>8117</v>
      </c>
      <c r="F950" t="s">
        <v>9185</v>
      </c>
      <c r="G950" t="s">
        <v>3990</v>
      </c>
    </row>
    <row r="951" spans="1:7" x14ac:dyDescent="0.25">
      <c r="A951" t="s">
        <v>90</v>
      </c>
      <c r="B951" t="s">
        <v>1951</v>
      </c>
      <c r="C951">
        <v>2017</v>
      </c>
      <c r="E951" t="s">
        <v>3370</v>
      </c>
      <c r="F951" t="s">
        <v>9136</v>
      </c>
      <c r="G951" t="s">
        <v>3990</v>
      </c>
    </row>
    <row r="952" spans="1:7" x14ac:dyDescent="0.25">
      <c r="A952" t="s">
        <v>353</v>
      </c>
      <c r="B952" t="s">
        <v>1955</v>
      </c>
      <c r="C952">
        <v>2023</v>
      </c>
      <c r="E952" t="s">
        <v>3037</v>
      </c>
      <c r="F952" t="s">
        <v>8515</v>
      </c>
      <c r="G952" t="s">
        <v>3990</v>
      </c>
    </row>
    <row r="953" spans="1:7" x14ac:dyDescent="0.25">
      <c r="A953" t="s">
        <v>1851</v>
      </c>
      <c r="B953" t="s">
        <v>1955</v>
      </c>
      <c r="C953">
        <v>2024</v>
      </c>
      <c r="E953" t="s">
        <v>3037</v>
      </c>
      <c r="F953" t="s">
        <v>8954</v>
      </c>
      <c r="G953" t="s">
        <v>3990</v>
      </c>
    </row>
    <row r="954" spans="1:7" x14ac:dyDescent="0.25">
      <c r="A954" t="s">
        <v>1951</v>
      </c>
      <c r="B954" t="s">
        <v>1955</v>
      </c>
      <c r="C954">
        <v>2022</v>
      </c>
      <c r="E954" t="s">
        <v>3037</v>
      </c>
      <c r="F954" t="s">
        <v>8984</v>
      </c>
      <c r="G954" t="s">
        <v>3990</v>
      </c>
    </row>
    <row r="955" spans="1:7" x14ac:dyDescent="0.25">
      <c r="A955" t="s">
        <v>185</v>
      </c>
      <c r="B955" t="s">
        <v>7641</v>
      </c>
      <c r="C955">
        <v>2022</v>
      </c>
      <c r="E955" t="s">
        <v>7644</v>
      </c>
      <c r="F955" t="s">
        <v>9376</v>
      </c>
      <c r="G955" t="s">
        <v>3990</v>
      </c>
    </row>
    <row r="956" spans="1:7" x14ac:dyDescent="0.25">
      <c r="A956" t="s">
        <v>360</v>
      </c>
      <c r="B956" t="s">
        <v>7641</v>
      </c>
      <c r="C956">
        <v>2025</v>
      </c>
      <c r="E956" t="s">
        <v>7644</v>
      </c>
      <c r="F956" t="s">
        <v>9378</v>
      </c>
      <c r="G956" t="s">
        <v>3990</v>
      </c>
    </row>
    <row r="957" spans="1:7" x14ac:dyDescent="0.25">
      <c r="A957" t="s">
        <v>497</v>
      </c>
      <c r="B957" t="s">
        <v>7641</v>
      </c>
      <c r="C957">
        <v>2022</v>
      </c>
      <c r="E957" t="s">
        <v>7644</v>
      </c>
      <c r="F957" t="s">
        <v>9379</v>
      </c>
      <c r="G957" t="s">
        <v>3990</v>
      </c>
    </row>
    <row r="958" spans="1:7" x14ac:dyDescent="0.25">
      <c r="A958" t="s">
        <v>606</v>
      </c>
      <c r="B958" t="s">
        <v>7641</v>
      </c>
      <c r="C958">
        <v>2025</v>
      </c>
      <c r="E958" t="s">
        <v>7644</v>
      </c>
      <c r="F958" t="s">
        <v>9380</v>
      </c>
      <c r="G958" t="s">
        <v>3990</v>
      </c>
    </row>
    <row r="959" spans="1:7" x14ac:dyDescent="0.25">
      <c r="A959" t="s">
        <v>811</v>
      </c>
      <c r="B959" t="s">
        <v>7641</v>
      </c>
      <c r="C959">
        <v>2024</v>
      </c>
      <c r="E959" t="s">
        <v>7644</v>
      </c>
      <c r="F959" t="s">
        <v>9381</v>
      </c>
      <c r="G959" t="s">
        <v>3990</v>
      </c>
    </row>
    <row r="960" spans="1:7" x14ac:dyDescent="0.25">
      <c r="A960" t="s">
        <v>1621</v>
      </c>
      <c r="B960" t="s">
        <v>7641</v>
      </c>
      <c r="C960">
        <v>2025</v>
      </c>
      <c r="E960" t="s">
        <v>7644</v>
      </c>
      <c r="F960" t="s">
        <v>9382</v>
      </c>
      <c r="G960" t="s">
        <v>3990</v>
      </c>
    </row>
    <row r="961" spans="1:7" x14ac:dyDescent="0.25">
      <c r="A961" t="s">
        <v>160</v>
      </c>
      <c r="B961" t="s">
        <v>7641</v>
      </c>
      <c r="C961">
        <v>2011</v>
      </c>
      <c r="E961" t="s">
        <v>7644</v>
      </c>
      <c r="F961" t="s">
        <v>9383</v>
      </c>
      <c r="G961" t="s">
        <v>3990</v>
      </c>
    </row>
    <row r="962" spans="1:7" x14ac:dyDescent="0.25">
      <c r="A962" t="s">
        <v>333</v>
      </c>
      <c r="B962" t="s">
        <v>1958</v>
      </c>
      <c r="C962">
        <v>2020</v>
      </c>
      <c r="E962" t="s">
        <v>1961</v>
      </c>
      <c r="F962" t="s">
        <v>8477</v>
      </c>
      <c r="G962" t="s">
        <v>3990</v>
      </c>
    </row>
    <row r="963" spans="1:7" x14ac:dyDescent="0.25">
      <c r="A963" t="s">
        <v>497</v>
      </c>
      <c r="B963" t="s">
        <v>1958</v>
      </c>
      <c r="C963">
        <v>2022</v>
      </c>
      <c r="E963" t="s">
        <v>1961</v>
      </c>
      <c r="F963" t="s">
        <v>8555</v>
      </c>
      <c r="G963" t="s">
        <v>3990</v>
      </c>
    </row>
    <row r="964" spans="1:7" x14ac:dyDescent="0.25">
      <c r="A964" t="s">
        <v>2804</v>
      </c>
      <c r="B964" t="s">
        <v>1958</v>
      </c>
      <c r="C964">
        <v>2021</v>
      </c>
      <c r="E964" s="10" t="s">
        <v>1961</v>
      </c>
      <c r="F964" t="s">
        <v>9341</v>
      </c>
      <c r="G964" t="s">
        <v>3990</v>
      </c>
    </row>
    <row r="965" spans="1:7" x14ac:dyDescent="0.25">
      <c r="A965" t="s">
        <v>847</v>
      </c>
      <c r="B965" t="s">
        <v>1962</v>
      </c>
      <c r="C965">
        <v>1996</v>
      </c>
      <c r="E965" s="10" t="s">
        <v>1965</v>
      </c>
      <c r="F965" t="s">
        <v>8657</v>
      </c>
      <c r="G965" t="s">
        <v>3990</v>
      </c>
    </row>
    <row r="966" spans="1:7" x14ac:dyDescent="0.25">
      <c r="A966" t="s">
        <v>2804</v>
      </c>
      <c r="B966" t="s">
        <v>1962</v>
      </c>
      <c r="C966">
        <v>2021</v>
      </c>
      <c r="E966" t="s">
        <v>3013</v>
      </c>
      <c r="F966" t="s">
        <v>9670</v>
      </c>
      <c r="G966" t="s">
        <v>187</v>
      </c>
    </row>
    <row r="967" spans="1:7" x14ac:dyDescent="0.25">
      <c r="A967" t="s">
        <v>2804</v>
      </c>
      <c r="B967" t="s">
        <v>9918</v>
      </c>
      <c r="C967">
        <v>2021</v>
      </c>
      <c r="E967" t="s">
        <v>3013</v>
      </c>
      <c r="F967" t="s">
        <v>9921</v>
      </c>
      <c r="G967" t="s">
        <v>187</v>
      </c>
    </row>
    <row r="968" spans="1:7" x14ac:dyDescent="0.25">
      <c r="A968" t="s">
        <v>353</v>
      </c>
      <c r="B968" t="s">
        <v>1966</v>
      </c>
      <c r="C968">
        <v>2023</v>
      </c>
      <c r="E968" t="s">
        <v>1969</v>
      </c>
      <c r="F968" t="s">
        <v>8516</v>
      </c>
      <c r="G968" t="s">
        <v>3990</v>
      </c>
    </row>
    <row r="969" spans="1:7" x14ac:dyDescent="0.25">
      <c r="A969" t="s">
        <v>490</v>
      </c>
      <c r="B969" t="s">
        <v>1970</v>
      </c>
      <c r="C969">
        <v>2009</v>
      </c>
      <c r="E969" t="s">
        <v>3060</v>
      </c>
      <c r="F969" t="s">
        <v>8540</v>
      </c>
      <c r="G969" t="s">
        <v>3990</v>
      </c>
    </row>
    <row r="970" spans="1:7" x14ac:dyDescent="0.25">
      <c r="A970" t="s">
        <v>353</v>
      </c>
      <c r="B970" t="s">
        <v>1977</v>
      </c>
      <c r="C970">
        <v>2023</v>
      </c>
      <c r="E970" t="s">
        <v>3013</v>
      </c>
      <c r="F970" t="s">
        <v>9671</v>
      </c>
      <c r="G970" t="s">
        <v>187</v>
      </c>
    </row>
    <row r="971" spans="1:7" x14ac:dyDescent="0.25">
      <c r="A971" t="s">
        <v>1576</v>
      </c>
      <c r="B971" t="s">
        <v>1980</v>
      </c>
      <c r="C971">
        <v>2021</v>
      </c>
      <c r="E971" t="s">
        <v>3262</v>
      </c>
      <c r="F971" t="s">
        <v>8887</v>
      </c>
      <c r="G971" t="s">
        <v>3990</v>
      </c>
    </row>
    <row r="972" spans="1:7" x14ac:dyDescent="0.25">
      <c r="A972" t="s">
        <v>90</v>
      </c>
      <c r="B972" t="s">
        <v>1982</v>
      </c>
      <c r="C972">
        <v>2017</v>
      </c>
      <c r="E972" t="s">
        <v>2982</v>
      </c>
      <c r="F972" t="s">
        <v>9137</v>
      </c>
      <c r="G972" t="s">
        <v>3990</v>
      </c>
    </row>
    <row r="973" spans="1:7" x14ac:dyDescent="0.25">
      <c r="A973" t="s">
        <v>1435</v>
      </c>
      <c r="B973" t="s">
        <v>1984</v>
      </c>
      <c r="C973">
        <v>2021</v>
      </c>
      <c r="E973" t="s">
        <v>3241</v>
      </c>
      <c r="F973" t="s">
        <v>8840</v>
      </c>
      <c r="G973" t="s">
        <v>3990</v>
      </c>
    </row>
    <row r="974" spans="1:7" x14ac:dyDescent="0.25">
      <c r="A974" t="s">
        <v>90</v>
      </c>
      <c r="B974" t="s">
        <v>1992</v>
      </c>
      <c r="C974">
        <v>2017</v>
      </c>
      <c r="E974" t="s">
        <v>3371</v>
      </c>
      <c r="F974" t="s">
        <v>9138</v>
      </c>
      <c r="G974" t="s">
        <v>3990</v>
      </c>
    </row>
    <row r="975" spans="1:7" x14ac:dyDescent="0.25">
      <c r="A975" t="s">
        <v>924</v>
      </c>
      <c r="B975" t="s">
        <v>1995</v>
      </c>
      <c r="C975">
        <v>2019</v>
      </c>
      <c r="F975" t="s">
        <v>9672</v>
      </c>
      <c r="G975" t="s">
        <v>187</v>
      </c>
    </row>
    <row r="976" spans="1:7" x14ac:dyDescent="0.25">
      <c r="A976" t="s">
        <v>1995</v>
      </c>
      <c r="B976" t="s">
        <v>1998</v>
      </c>
      <c r="C976">
        <v>2021</v>
      </c>
      <c r="F976" t="s">
        <v>9673</v>
      </c>
      <c r="G976" t="s">
        <v>187</v>
      </c>
    </row>
    <row r="977" spans="1:7" x14ac:dyDescent="0.25">
      <c r="A977" t="s">
        <v>90</v>
      </c>
      <c r="B977" t="s">
        <v>1998</v>
      </c>
      <c r="C977">
        <v>2017</v>
      </c>
      <c r="F977" t="s">
        <v>9674</v>
      </c>
      <c r="G977" t="s">
        <v>187</v>
      </c>
    </row>
    <row r="978" spans="1:7" x14ac:dyDescent="0.25">
      <c r="A978" t="s">
        <v>2004</v>
      </c>
      <c r="B978" t="s">
        <v>2001</v>
      </c>
      <c r="C978">
        <v>2007</v>
      </c>
      <c r="D978" t="s">
        <v>187</v>
      </c>
      <c r="F978" t="s">
        <v>9675</v>
      </c>
      <c r="G978" t="s">
        <v>3990</v>
      </c>
    </row>
    <row r="979" spans="1:7" x14ac:dyDescent="0.25">
      <c r="A979" t="s">
        <v>2009</v>
      </c>
      <c r="B979" t="s">
        <v>2004</v>
      </c>
      <c r="C979">
        <v>2005</v>
      </c>
      <c r="D979" t="s">
        <v>187</v>
      </c>
      <c r="F979" t="s">
        <v>9676</v>
      </c>
      <c r="G979" t="s">
        <v>3990</v>
      </c>
    </row>
    <row r="980" spans="1:7" x14ac:dyDescent="0.25">
      <c r="A980" t="s">
        <v>2009</v>
      </c>
      <c r="B980" t="s">
        <v>2007</v>
      </c>
      <c r="C980">
        <v>2005</v>
      </c>
      <c r="D980" t="s">
        <v>187</v>
      </c>
      <c r="F980" t="s">
        <v>9677</v>
      </c>
      <c r="G980" t="s">
        <v>3990</v>
      </c>
    </row>
    <row r="981" spans="1:7" x14ac:dyDescent="0.25">
      <c r="A981" t="s">
        <v>2721</v>
      </c>
      <c r="B981" t="s">
        <v>2009</v>
      </c>
      <c r="C981">
        <v>1993</v>
      </c>
      <c r="D981" t="s">
        <v>187</v>
      </c>
      <c r="F981" t="s">
        <v>9678</v>
      </c>
      <c r="G981" t="s">
        <v>3990</v>
      </c>
    </row>
    <row r="982" spans="1:7" x14ac:dyDescent="0.25">
      <c r="A982" t="s">
        <v>2009</v>
      </c>
      <c r="B982" t="s">
        <v>2012</v>
      </c>
      <c r="C982">
        <v>2005</v>
      </c>
      <c r="D982" t="s">
        <v>187</v>
      </c>
      <c r="F982" t="s">
        <v>9679</v>
      </c>
      <c r="G982" t="s">
        <v>3990</v>
      </c>
    </row>
    <row r="983" spans="1:7" x14ac:dyDescent="0.25">
      <c r="A983" t="s">
        <v>2009</v>
      </c>
      <c r="B983" t="s">
        <v>2014</v>
      </c>
      <c r="C983">
        <v>2005</v>
      </c>
      <c r="D983" t="s">
        <v>187</v>
      </c>
      <c r="F983" t="s">
        <v>9680</v>
      </c>
      <c r="G983" t="s">
        <v>3990</v>
      </c>
    </row>
    <row r="984" spans="1:7" x14ac:dyDescent="0.25">
      <c r="A984" t="s">
        <v>2804</v>
      </c>
      <c r="B984" t="s">
        <v>7930</v>
      </c>
      <c r="C984">
        <v>2021</v>
      </c>
      <c r="E984" s="10" t="s">
        <v>7933</v>
      </c>
      <c r="F984" t="s">
        <v>9681</v>
      </c>
      <c r="G984" t="s">
        <v>187</v>
      </c>
    </row>
    <row r="985" spans="1:7" x14ac:dyDescent="0.25">
      <c r="A985" t="s">
        <v>2136</v>
      </c>
      <c r="B985" t="s">
        <v>2016</v>
      </c>
      <c r="C985">
        <v>2020</v>
      </c>
      <c r="E985" t="s">
        <v>2982</v>
      </c>
      <c r="F985" t="s">
        <v>9682</v>
      </c>
      <c r="G985" t="s">
        <v>187</v>
      </c>
    </row>
    <row r="986" spans="1:7" x14ac:dyDescent="0.25">
      <c r="A986" t="s">
        <v>1435</v>
      </c>
      <c r="B986" t="s">
        <v>2018</v>
      </c>
      <c r="C986">
        <v>2021</v>
      </c>
      <c r="E986" t="s">
        <v>3242</v>
      </c>
      <c r="F986" t="s">
        <v>9683</v>
      </c>
      <c r="G986" t="s">
        <v>187</v>
      </c>
    </row>
    <row r="987" spans="1:7" x14ac:dyDescent="0.25">
      <c r="A987" t="s">
        <v>2016</v>
      </c>
      <c r="B987" t="s">
        <v>2018</v>
      </c>
      <c r="C987">
        <v>2024</v>
      </c>
      <c r="E987" t="s">
        <v>3242</v>
      </c>
      <c r="F987" t="s">
        <v>9684</v>
      </c>
      <c r="G987" t="s">
        <v>187</v>
      </c>
    </row>
    <row r="988" spans="1:7" x14ac:dyDescent="0.25">
      <c r="A988" t="s">
        <v>90</v>
      </c>
      <c r="B988" t="s">
        <v>2018</v>
      </c>
      <c r="C988">
        <v>2017</v>
      </c>
      <c r="E988" t="s">
        <v>3242</v>
      </c>
      <c r="F988" t="s">
        <v>9685</v>
      </c>
      <c r="G988" t="s">
        <v>187</v>
      </c>
    </row>
    <row r="989" spans="1:7" x14ac:dyDescent="0.25">
      <c r="A989" t="s">
        <v>256</v>
      </c>
      <c r="B989" t="s">
        <v>2023</v>
      </c>
      <c r="C989">
        <v>1994</v>
      </c>
      <c r="E989" t="s">
        <v>2994</v>
      </c>
      <c r="F989" t="s">
        <v>8462</v>
      </c>
      <c r="G989" t="s">
        <v>3990</v>
      </c>
    </row>
    <row r="990" spans="1:7" x14ac:dyDescent="0.25">
      <c r="A990" t="s">
        <v>260</v>
      </c>
      <c r="B990" t="s">
        <v>2023</v>
      </c>
      <c r="C990">
        <v>1990</v>
      </c>
      <c r="E990" t="s">
        <v>2994</v>
      </c>
      <c r="F990" t="s">
        <v>8470</v>
      </c>
      <c r="G990" t="s">
        <v>3990</v>
      </c>
    </row>
    <row r="991" spans="1:7" x14ac:dyDescent="0.25">
      <c r="A991" t="s">
        <v>847</v>
      </c>
      <c r="B991" t="s">
        <v>2023</v>
      </c>
      <c r="C991">
        <v>1996</v>
      </c>
      <c r="E991" t="s">
        <v>2994</v>
      </c>
      <c r="F991" t="s">
        <v>8658</v>
      </c>
      <c r="G991" t="s">
        <v>3990</v>
      </c>
    </row>
    <row r="992" spans="1:7" x14ac:dyDescent="0.25">
      <c r="A992" t="s">
        <v>1538</v>
      </c>
      <c r="B992" t="s">
        <v>2023</v>
      </c>
      <c r="C992">
        <v>1995</v>
      </c>
      <c r="E992" t="s">
        <v>2994</v>
      </c>
      <c r="F992" t="s">
        <v>9437</v>
      </c>
      <c r="G992" t="s">
        <v>3990</v>
      </c>
    </row>
    <row r="993" spans="1:7" x14ac:dyDescent="0.25">
      <c r="A993" t="s">
        <v>1725</v>
      </c>
      <c r="B993" t="s">
        <v>2023</v>
      </c>
      <c r="C993">
        <v>1983</v>
      </c>
      <c r="E993" t="s">
        <v>2994</v>
      </c>
      <c r="F993" t="s">
        <v>8913</v>
      </c>
      <c r="G993" t="s">
        <v>3990</v>
      </c>
    </row>
    <row r="994" spans="1:7" x14ac:dyDescent="0.25">
      <c r="A994" t="s">
        <v>1795</v>
      </c>
      <c r="B994" t="s">
        <v>2023</v>
      </c>
      <c r="C994">
        <v>1987</v>
      </c>
      <c r="E994" t="s">
        <v>3282</v>
      </c>
      <c r="F994" t="s">
        <v>8938</v>
      </c>
      <c r="G994" t="s">
        <v>3990</v>
      </c>
    </row>
    <row r="995" spans="1:7" x14ac:dyDescent="0.25">
      <c r="A995" t="s">
        <v>1817</v>
      </c>
      <c r="B995" t="s">
        <v>2026</v>
      </c>
      <c r="C995">
        <v>2019</v>
      </c>
      <c r="E995" t="s">
        <v>3292</v>
      </c>
      <c r="F995" t="s">
        <v>9686</v>
      </c>
      <c r="G995" t="s">
        <v>187</v>
      </c>
    </row>
    <row r="996" spans="1:7" x14ac:dyDescent="0.25">
      <c r="A996" t="s">
        <v>160</v>
      </c>
      <c r="B996" t="s">
        <v>2028</v>
      </c>
      <c r="C996">
        <v>2011</v>
      </c>
      <c r="E996" t="s">
        <v>3406</v>
      </c>
      <c r="F996" t="s">
        <v>9286</v>
      </c>
      <c r="G996" t="s">
        <v>3990</v>
      </c>
    </row>
    <row r="997" spans="1:7" x14ac:dyDescent="0.25">
      <c r="A997" t="s">
        <v>2652</v>
      </c>
      <c r="B997" t="s">
        <v>2028</v>
      </c>
      <c r="C997">
        <v>2019</v>
      </c>
      <c r="E997" t="s">
        <v>3413</v>
      </c>
      <c r="F997" t="s">
        <v>9309</v>
      </c>
      <c r="G997" t="s">
        <v>3990</v>
      </c>
    </row>
    <row r="998" spans="1:7" x14ac:dyDescent="0.25">
      <c r="A998" t="s">
        <v>1294</v>
      </c>
      <c r="B998" t="s">
        <v>2031</v>
      </c>
      <c r="C998">
        <v>2019</v>
      </c>
      <c r="E998" t="s">
        <v>3231</v>
      </c>
      <c r="F998" t="s">
        <v>8805</v>
      </c>
      <c r="G998" t="s">
        <v>3990</v>
      </c>
    </row>
    <row r="999" spans="1:7" x14ac:dyDescent="0.25">
      <c r="A999" t="s">
        <v>2132</v>
      </c>
      <c r="B999" t="s">
        <v>2031</v>
      </c>
      <c r="C999">
        <v>2013</v>
      </c>
      <c r="E999" t="s">
        <v>3231</v>
      </c>
      <c r="F999" t="s">
        <v>9000</v>
      </c>
      <c r="G999" t="s">
        <v>3990</v>
      </c>
    </row>
    <row r="1000" spans="1:7" x14ac:dyDescent="0.25">
      <c r="A1000" t="s">
        <v>2906</v>
      </c>
      <c r="B1000" t="s">
        <v>2031</v>
      </c>
      <c r="C1000">
        <v>2018</v>
      </c>
      <c r="E1000" t="s">
        <v>3231</v>
      </c>
      <c r="F1000" t="s">
        <v>9365</v>
      </c>
      <c r="G1000" t="s">
        <v>3990</v>
      </c>
    </row>
    <row r="1001" spans="1:7" x14ac:dyDescent="0.25">
      <c r="A1001" t="s">
        <v>1129</v>
      </c>
      <c r="B1001" t="s">
        <v>8097</v>
      </c>
      <c r="C1001">
        <v>2022</v>
      </c>
      <c r="D1001" t="s">
        <v>187</v>
      </c>
      <c r="F1001" t="s">
        <v>9687</v>
      </c>
      <c r="G1001" t="s">
        <v>3990</v>
      </c>
    </row>
    <row r="1002" spans="1:7" x14ac:dyDescent="0.25">
      <c r="A1002" t="s">
        <v>922</v>
      </c>
      <c r="B1002" t="s">
        <v>2035</v>
      </c>
      <c r="C1002">
        <v>2002</v>
      </c>
      <c r="E1002" t="s">
        <v>3149</v>
      </c>
      <c r="F1002" t="s">
        <v>8680</v>
      </c>
      <c r="G1002" t="s">
        <v>3990</v>
      </c>
    </row>
    <row r="1003" spans="1:7" x14ac:dyDescent="0.25">
      <c r="A1003" t="s">
        <v>2154</v>
      </c>
      <c r="B1003" t="s">
        <v>2035</v>
      </c>
      <c r="C1003">
        <v>1980</v>
      </c>
      <c r="E1003" t="s">
        <v>3149</v>
      </c>
      <c r="F1003" t="s">
        <v>9032</v>
      </c>
      <c r="G1003" t="s">
        <v>3990</v>
      </c>
    </row>
    <row r="1004" spans="1:7" x14ac:dyDescent="0.25">
      <c r="A1004" t="s">
        <v>178</v>
      </c>
      <c r="B1004" t="s">
        <v>2039</v>
      </c>
      <c r="C1004">
        <v>2010</v>
      </c>
      <c r="E1004" t="s">
        <v>2981</v>
      </c>
      <c r="F1004" t="s">
        <v>8448</v>
      </c>
      <c r="G1004" t="s">
        <v>3990</v>
      </c>
    </row>
    <row r="1005" spans="1:7" x14ac:dyDescent="0.25">
      <c r="A1005" t="s">
        <v>994</v>
      </c>
      <c r="B1005" t="s">
        <v>2039</v>
      </c>
      <c r="C1005">
        <v>2011</v>
      </c>
      <c r="E1005" t="s">
        <v>2981</v>
      </c>
      <c r="F1005" t="s">
        <v>8701</v>
      </c>
      <c r="G1005" t="s">
        <v>3990</v>
      </c>
    </row>
    <row r="1006" spans="1:7" x14ac:dyDescent="0.25">
      <c r="A1006" t="s">
        <v>1294</v>
      </c>
      <c r="B1006" t="s">
        <v>2043</v>
      </c>
      <c r="C1006">
        <v>2019</v>
      </c>
      <c r="E1006" s="10" t="s">
        <v>8419</v>
      </c>
      <c r="F1006" t="s">
        <v>8806</v>
      </c>
      <c r="G1006" t="s">
        <v>3990</v>
      </c>
    </row>
    <row r="1007" spans="1:7" x14ac:dyDescent="0.25">
      <c r="A1007" t="s">
        <v>353</v>
      </c>
      <c r="B1007" t="s">
        <v>2045</v>
      </c>
      <c r="C1007">
        <v>2023</v>
      </c>
      <c r="E1007" t="s">
        <v>3038</v>
      </c>
      <c r="F1007" t="s">
        <v>8517</v>
      </c>
      <c r="G1007" t="s">
        <v>3990</v>
      </c>
    </row>
    <row r="1008" spans="1:7" x14ac:dyDescent="0.25">
      <c r="A1008" t="s">
        <v>717</v>
      </c>
      <c r="B1008" t="s">
        <v>2045</v>
      </c>
      <c r="C1008">
        <v>2024</v>
      </c>
      <c r="E1008" t="s">
        <v>3066</v>
      </c>
      <c r="F1008" t="s">
        <v>8582</v>
      </c>
      <c r="G1008" t="s">
        <v>3990</v>
      </c>
    </row>
    <row r="1009" spans="1:7" x14ac:dyDescent="0.25">
      <c r="A1009" t="s">
        <v>337</v>
      </c>
      <c r="B1009" t="s">
        <v>2049</v>
      </c>
      <c r="C1009">
        <v>2014</v>
      </c>
      <c r="E1009" t="s">
        <v>3008</v>
      </c>
      <c r="F1009" t="s">
        <v>10025</v>
      </c>
      <c r="G1009" t="s">
        <v>187</v>
      </c>
    </row>
    <row r="1010" spans="1:7" x14ac:dyDescent="0.25">
      <c r="A1010" t="s">
        <v>497</v>
      </c>
      <c r="B1010" t="s">
        <v>2049</v>
      </c>
      <c r="C1010">
        <v>2022</v>
      </c>
      <c r="E1010" t="s">
        <v>3008</v>
      </c>
      <c r="F1010" t="s">
        <v>10025</v>
      </c>
      <c r="G1010" t="s">
        <v>187</v>
      </c>
    </row>
    <row r="1011" spans="1:7" x14ac:dyDescent="0.25">
      <c r="A1011" t="s">
        <v>1795</v>
      </c>
      <c r="B1011" t="s">
        <v>2053</v>
      </c>
      <c r="C1011">
        <v>1987</v>
      </c>
      <c r="E1011" t="s">
        <v>3283</v>
      </c>
      <c r="F1011" t="s">
        <v>8939</v>
      </c>
      <c r="G1011" t="s">
        <v>3990</v>
      </c>
    </row>
    <row r="1012" spans="1:7" x14ac:dyDescent="0.25">
      <c r="A1012" t="s">
        <v>2154</v>
      </c>
      <c r="B1012" t="s">
        <v>2053</v>
      </c>
      <c r="C1012">
        <v>1980</v>
      </c>
      <c r="E1012" t="s">
        <v>3283</v>
      </c>
      <c r="F1012" t="s">
        <v>9033</v>
      </c>
      <c r="G1012" t="s">
        <v>3990</v>
      </c>
    </row>
    <row r="1013" spans="1:7" x14ac:dyDescent="0.25">
      <c r="A1013" t="s">
        <v>1046</v>
      </c>
      <c r="B1013" t="s">
        <v>2056</v>
      </c>
      <c r="C1013">
        <v>2016</v>
      </c>
      <c r="E1013" t="s">
        <v>3189</v>
      </c>
      <c r="F1013" t="s">
        <v>8728</v>
      </c>
      <c r="G1013" t="s">
        <v>3990</v>
      </c>
    </row>
    <row r="1014" spans="1:7" x14ac:dyDescent="0.25">
      <c r="A1014" t="s">
        <v>1855</v>
      </c>
      <c r="B1014" t="s">
        <v>2056</v>
      </c>
      <c r="C1014">
        <v>2015</v>
      </c>
      <c r="E1014" t="s">
        <v>3189</v>
      </c>
      <c r="F1014" t="s">
        <v>8969</v>
      </c>
      <c r="G1014" t="s">
        <v>3990</v>
      </c>
    </row>
    <row r="1015" spans="1:7" x14ac:dyDescent="0.25">
      <c r="A1015" t="s">
        <v>160</v>
      </c>
      <c r="B1015" t="s">
        <v>2058</v>
      </c>
      <c r="C1015">
        <v>2011</v>
      </c>
      <c r="E1015" t="s">
        <v>3407</v>
      </c>
      <c r="F1015" t="s">
        <v>9287</v>
      </c>
      <c r="G1015" t="s">
        <v>3990</v>
      </c>
    </row>
    <row r="1016" spans="1:7" x14ac:dyDescent="0.25">
      <c r="A1016" t="s">
        <v>819</v>
      </c>
      <c r="B1016" t="s">
        <v>7915</v>
      </c>
      <c r="C1016">
        <v>2012</v>
      </c>
      <c r="E1016" s="10" t="s">
        <v>7916</v>
      </c>
      <c r="F1016" t="s">
        <v>9431</v>
      </c>
      <c r="G1016" t="s">
        <v>3990</v>
      </c>
    </row>
    <row r="1017" spans="1:7" x14ac:dyDescent="0.25">
      <c r="A1017" t="s">
        <v>1496</v>
      </c>
      <c r="B1017" t="s">
        <v>2061</v>
      </c>
      <c r="C1017">
        <v>2016</v>
      </c>
      <c r="E1017" t="s">
        <v>3013</v>
      </c>
      <c r="F1017" t="s">
        <v>9688</v>
      </c>
      <c r="G1017" t="s">
        <v>187</v>
      </c>
    </row>
    <row r="1018" spans="1:7" x14ac:dyDescent="0.25">
      <c r="A1018" t="s">
        <v>90</v>
      </c>
      <c r="B1018" t="s">
        <v>2061</v>
      </c>
      <c r="C1018">
        <v>2017</v>
      </c>
      <c r="E1018" t="s">
        <v>3013</v>
      </c>
      <c r="F1018" t="s">
        <v>9689</v>
      </c>
      <c r="G1018" t="s">
        <v>187</v>
      </c>
    </row>
    <row r="1019" spans="1:7" x14ac:dyDescent="0.25">
      <c r="A1019" t="s">
        <v>726</v>
      </c>
      <c r="B1019" t="s">
        <v>2065</v>
      </c>
      <c r="C1019">
        <v>2020</v>
      </c>
      <c r="D1019" t="s">
        <v>187</v>
      </c>
      <c r="F1019" t="s">
        <v>9690</v>
      </c>
      <c r="G1019" t="s">
        <v>3990</v>
      </c>
    </row>
    <row r="1020" spans="1:7" x14ac:dyDescent="0.25">
      <c r="A1020" t="s">
        <v>759</v>
      </c>
      <c r="B1020" t="s">
        <v>2069</v>
      </c>
      <c r="C1020">
        <v>2018</v>
      </c>
      <c r="E1020" t="s">
        <v>2982</v>
      </c>
      <c r="F1020" t="s">
        <v>8623</v>
      </c>
      <c r="G1020" t="s">
        <v>3990</v>
      </c>
    </row>
    <row r="1021" spans="1:7" x14ac:dyDescent="0.25">
      <c r="A1021" t="s">
        <v>1294</v>
      </c>
      <c r="B1021" t="s">
        <v>2069</v>
      </c>
      <c r="C1021">
        <v>2019</v>
      </c>
      <c r="E1021" t="s">
        <v>2982</v>
      </c>
      <c r="F1021" t="s">
        <v>8807</v>
      </c>
      <c r="G1021" t="s">
        <v>3990</v>
      </c>
    </row>
    <row r="1022" spans="1:7" x14ac:dyDescent="0.25">
      <c r="A1022" t="s">
        <v>1294</v>
      </c>
      <c r="B1022" t="s">
        <v>2071</v>
      </c>
      <c r="C1022">
        <v>2019</v>
      </c>
      <c r="E1022" t="s">
        <v>3232</v>
      </c>
      <c r="F1022" t="s">
        <v>8808</v>
      </c>
      <c r="G1022" t="s">
        <v>3990</v>
      </c>
    </row>
    <row r="1023" spans="1:7" x14ac:dyDescent="0.25">
      <c r="A1023" t="s">
        <v>2335</v>
      </c>
      <c r="B1023" t="s">
        <v>2071</v>
      </c>
      <c r="C1023">
        <v>2020</v>
      </c>
      <c r="E1023" t="s">
        <v>3232</v>
      </c>
      <c r="F1023" t="s">
        <v>9067</v>
      </c>
      <c r="G1023" t="s">
        <v>3990</v>
      </c>
    </row>
    <row r="1024" spans="1:7" x14ac:dyDescent="0.25">
      <c r="A1024" t="s">
        <v>1795</v>
      </c>
      <c r="B1024" t="s">
        <v>2073</v>
      </c>
      <c r="C1024">
        <v>1987</v>
      </c>
      <c r="E1024" s="10" t="s">
        <v>8390</v>
      </c>
      <c r="F1024" t="s">
        <v>8940</v>
      </c>
      <c r="G1024" t="s">
        <v>3990</v>
      </c>
    </row>
    <row r="1025" spans="1:7" x14ac:dyDescent="0.25">
      <c r="A1025" t="s">
        <v>2428</v>
      </c>
      <c r="B1025" t="s">
        <v>2073</v>
      </c>
      <c r="C1025">
        <v>2008</v>
      </c>
      <c r="E1025" s="10" t="s">
        <v>8390</v>
      </c>
      <c r="F1025" t="s">
        <v>9214</v>
      </c>
      <c r="G1025" t="s">
        <v>3990</v>
      </c>
    </row>
    <row r="1026" spans="1:7" x14ac:dyDescent="0.25">
      <c r="A1026" t="s">
        <v>540</v>
      </c>
      <c r="B1026" t="s">
        <v>2077</v>
      </c>
      <c r="C1026">
        <v>2015</v>
      </c>
      <c r="E1026" t="s">
        <v>3075</v>
      </c>
      <c r="F1026" t="s">
        <v>9691</v>
      </c>
      <c r="G1026" t="s">
        <v>187</v>
      </c>
    </row>
    <row r="1027" spans="1:7" x14ac:dyDescent="0.25">
      <c r="A1027" t="s">
        <v>2154</v>
      </c>
      <c r="B1027" t="s">
        <v>2077</v>
      </c>
      <c r="C1027">
        <v>1980</v>
      </c>
      <c r="E1027" t="s">
        <v>3324</v>
      </c>
      <c r="F1027" t="s">
        <v>10026</v>
      </c>
      <c r="G1027" t="s">
        <v>187</v>
      </c>
    </row>
    <row r="1028" spans="1:7" x14ac:dyDescent="0.25">
      <c r="A1028" t="s">
        <v>2428</v>
      </c>
      <c r="B1028" t="s">
        <v>2077</v>
      </c>
      <c r="C1028">
        <v>2008</v>
      </c>
      <c r="E1028" t="s">
        <v>3324</v>
      </c>
      <c r="F1028" t="s">
        <v>10026</v>
      </c>
      <c r="G1028" t="s">
        <v>187</v>
      </c>
    </row>
    <row r="1029" spans="1:7" x14ac:dyDescent="0.25">
      <c r="A1029" t="s">
        <v>847</v>
      </c>
      <c r="B1029" t="s">
        <v>7905</v>
      </c>
      <c r="C1029">
        <v>1996</v>
      </c>
      <c r="E1029" s="10" t="s">
        <v>7904</v>
      </c>
      <c r="F1029" t="s">
        <v>10027</v>
      </c>
      <c r="G1029" t="s">
        <v>187</v>
      </c>
    </row>
    <row r="1030" spans="1:7" x14ac:dyDescent="0.25">
      <c r="A1030" t="s">
        <v>1294</v>
      </c>
      <c r="B1030" t="s">
        <v>7905</v>
      </c>
      <c r="C1030">
        <v>2019</v>
      </c>
      <c r="E1030" s="10" t="s">
        <v>7904</v>
      </c>
      <c r="F1030" t="s">
        <v>10027</v>
      </c>
      <c r="G1030" t="s">
        <v>187</v>
      </c>
    </row>
    <row r="1031" spans="1:7" x14ac:dyDescent="0.25">
      <c r="A1031" t="s">
        <v>1144</v>
      </c>
      <c r="B1031" t="s">
        <v>2080</v>
      </c>
      <c r="C1031">
        <v>2012</v>
      </c>
      <c r="E1031" t="s">
        <v>3209</v>
      </c>
      <c r="F1031" t="s">
        <v>8758</v>
      </c>
      <c r="G1031" t="s">
        <v>3990</v>
      </c>
    </row>
    <row r="1032" spans="1:7" x14ac:dyDescent="0.25">
      <c r="A1032" t="s">
        <v>1855</v>
      </c>
      <c r="B1032" t="s">
        <v>2084</v>
      </c>
      <c r="C1032">
        <v>2015</v>
      </c>
      <c r="E1032" t="s">
        <v>2982</v>
      </c>
      <c r="F1032" t="s">
        <v>8970</v>
      </c>
      <c r="G1032" t="s">
        <v>3990</v>
      </c>
    </row>
    <row r="1033" spans="1:7" x14ac:dyDescent="0.25">
      <c r="A1033" t="s">
        <v>353</v>
      </c>
      <c r="B1033" t="s">
        <v>2088</v>
      </c>
      <c r="C1033">
        <v>2023</v>
      </c>
      <c r="E1033" t="s">
        <v>3039</v>
      </c>
      <c r="F1033" t="s">
        <v>8518</v>
      </c>
      <c r="G1033" t="s">
        <v>3990</v>
      </c>
    </row>
    <row r="1034" spans="1:7" x14ac:dyDescent="0.25">
      <c r="A1034" t="s">
        <v>90</v>
      </c>
      <c r="B1034" t="s">
        <v>2088</v>
      </c>
      <c r="C1034">
        <v>2017</v>
      </c>
      <c r="E1034" t="s">
        <v>3039</v>
      </c>
      <c r="F1034" t="s">
        <v>9139</v>
      </c>
      <c r="G1034" t="s">
        <v>3990</v>
      </c>
    </row>
    <row r="1035" spans="1:7" x14ac:dyDescent="0.25">
      <c r="A1035" t="s">
        <v>2804</v>
      </c>
      <c r="B1035" t="s">
        <v>2091</v>
      </c>
      <c r="C1035">
        <v>2021</v>
      </c>
      <c r="E1035" t="s">
        <v>3013</v>
      </c>
      <c r="F1035" t="s">
        <v>9692</v>
      </c>
      <c r="G1035" t="s">
        <v>187</v>
      </c>
    </row>
    <row r="1036" spans="1:7" x14ac:dyDescent="0.25">
      <c r="A1036" t="s">
        <v>160</v>
      </c>
      <c r="B1036" t="s">
        <v>2099</v>
      </c>
      <c r="C1036">
        <v>2011</v>
      </c>
      <c r="E1036" t="s">
        <v>3408</v>
      </c>
      <c r="F1036" t="s">
        <v>9288</v>
      </c>
      <c r="G1036" t="s">
        <v>3990</v>
      </c>
    </row>
    <row r="1037" spans="1:7" x14ac:dyDescent="0.25">
      <c r="A1037" t="s">
        <v>2804</v>
      </c>
      <c r="B1037" t="s">
        <v>2103</v>
      </c>
      <c r="C1037">
        <v>2021</v>
      </c>
      <c r="E1037" t="s">
        <v>3013</v>
      </c>
      <c r="F1037" t="s">
        <v>9693</v>
      </c>
      <c r="G1037" t="s">
        <v>187</v>
      </c>
    </row>
    <row r="1038" spans="1:7" x14ac:dyDescent="0.25">
      <c r="A1038" t="s">
        <v>2965</v>
      </c>
      <c r="B1038" t="s">
        <v>2103</v>
      </c>
      <c r="C1038">
        <v>2023</v>
      </c>
      <c r="D1038" t="s">
        <v>187</v>
      </c>
      <c r="F1038" t="s">
        <v>9694</v>
      </c>
      <c r="G1038" t="s">
        <v>3990</v>
      </c>
    </row>
    <row r="1039" spans="1:7" x14ac:dyDescent="0.25">
      <c r="A1039" t="s">
        <v>490</v>
      </c>
      <c r="B1039" t="s">
        <v>2107</v>
      </c>
      <c r="C1039">
        <v>2009</v>
      </c>
      <c r="E1039" s="10" t="s">
        <v>2110</v>
      </c>
      <c r="F1039" t="s">
        <v>8541</v>
      </c>
      <c r="G1039" t="s">
        <v>3990</v>
      </c>
    </row>
    <row r="1040" spans="1:7" x14ac:dyDescent="0.25">
      <c r="A1040" t="s">
        <v>847</v>
      </c>
      <c r="B1040" t="s">
        <v>2107</v>
      </c>
      <c r="C1040">
        <v>1996</v>
      </c>
      <c r="E1040" t="s">
        <v>3136</v>
      </c>
      <c r="F1040" t="s">
        <v>10028</v>
      </c>
      <c r="G1040" t="s">
        <v>187</v>
      </c>
    </row>
    <row r="1041" spans="1:7" x14ac:dyDescent="0.25">
      <c r="A1041" t="s">
        <v>964</v>
      </c>
      <c r="B1041" t="s">
        <v>2107</v>
      </c>
      <c r="C1041">
        <v>2006</v>
      </c>
      <c r="E1041" t="s">
        <v>3136</v>
      </c>
      <c r="F1041" t="s">
        <v>10028</v>
      </c>
      <c r="G1041" t="s">
        <v>187</v>
      </c>
    </row>
    <row r="1042" spans="1:7" x14ac:dyDescent="0.25">
      <c r="A1042" t="s">
        <v>1795</v>
      </c>
      <c r="B1042" t="s">
        <v>2107</v>
      </c>
      <c r="C1042">
        <v>1987</v>
      </c>
      <c r="E1042" t="s">
        <v>3136</v>
      </c>
      <c r="F1042" t="s">
        <v>10028</v>
      </c>
      <c r="G1042" t="s">
        <v>187</v>
      </c>
    </row>
    <row r="1043" spans="1:7" x14ac:dyDescent="0.25">
      <c r="A1043" t="s">
        <v>2571</v>
      </c>
      <c r="B1043" t="s">
        <v>2107</v>
      </c>
      <c r="C1043">
        <v>1998</v>
      </c>
      <c r="E1043" t="s">
        <v>3136</v>
      </c>
      <c r="F1043" t="s">
        <v>10028</v>
      </c>
      <c r="G1043" t="s">
        <v>187</v>
      </c>
    </row>
    <row r="1044" spans="1:7" x14ac:dyDescent="0.25">
      <c r="A1044" t="s">
        <v>2107</v>
      </c>
      <c r="B1044" t="s">
        <v>2111</v>
      </c>
      <c r="C1044">
        <v>2020</v>
      </c>
      <c r="D1044" t="s">
        <v>187</v>
      </c>
      <c r="F1044" t="s">
        <v>9695</v>
      </c>
      <c r="G1044" t="s">
        <v>3990</v>
      </c>
    </row>
    <row r="1045" spans="1:7" x14ac:dyDescent="0.25">
      <c r="A1045" t="s">
        <v>2111</v>
      </c>
      <c r="B1045" t="s">
        <v>2115</v>
      </c>
      <c r="C1045">
        <v>2024</v>
      </c>
      <c r="D1045" t="s">
        <v>187</v>
      </c>
      <c r="F1045" t="s">
        <v>9696</v>
      </c>
      <c r="G1045" t="s">
        <v>3990</v>
      </c>
    </row>
    <row r="1046" spans="1:7" x14ac:dyDescent="0.25">
      <c r="A1046" t="s">
        <v>2136</v>
      </c>
      <c r="B1046" t="s">
        <v>7920</v>
      </c>
      <c r="C1046">
        <v>2020</v>
      </c>
      <c r="E1046" s="10" t="s">
        <v>7919</v>
      </c>
      <c r="F1046" t="s">
        <v>10029</v>
      </c>
      <c r="G1046" t="s">
        <v>187</v>
      </c>
    </row>
    <row r="1047" spans="1:7" x14ac:dyDescent="0.25">
      <c r="A1047" t="s">
        <v>2804</v>
      </c>
      <c r="B1047" t="s">
        <v>7920</v>
      </c>
      <c r="C1047">
        <v>2021</v>
      </c>
      <c r="E1047" s="10" t="s">
        <v>7919</v>
      </c>
      <c r="F1047" t="s">
        <v>10029</v>
      </c>
      <c r="G1047" t="s">
        <v>187</v>
      </c>
    </row>
    <row r="1048" spans="1:7" x14ac:dyDescent="0.25">
      <c r="A1048" t="s">
        <v>90</v>
      </c>
      <c r="B1048" t="s">
        <v>2118</v>
      </c>
      <c r="C1048">
        <v>2017</v>
      </c>
      <c r="E1048" t="s">
        <v>3372</v>
      </c>
      <c r="F1048" t="s">
        <v>9140</v>
      </c>
      <c r="G1048" t="s">
        <v>3990</v>
      </c>
    </row>
    <row r="1049" spans="1:7" x14ac:dyDescent="0.25">
      <c r="A1049" t="s">
        <v>90</v>
      </c>
      <c r="B1049" t="s">
        <v>2122</v>
      </c>
      <c r="C1049">
        <v>2017</v>
      </c>
      <c r="E1049" t="s">
        <v>3373</v>
      </c>
      <c r="F1049" t="s">
        <v>9141</v>
      </c>
      <c r="G1049" t="s">
        <v>3990</v>
      </c>
    </row>
    <row r="1050" spans="1:7" x14ac:dyDescent="0.25">
      <c r="A1050" t="s">
        <v>930</v>
      </c>
      <c r="B1050" t="s">
        <v>2130</v>
      </c>
      <c r="C1050">
        <v>2015</v>
      </c>
      <c r="E1050" t="s">
        <v>3157</v>
      </c>
      <c r="F1050" t="s">
        <v>8687</v>
      </c>
      <c r="G1050" t="s">
        <v>3990</v>
      </c>
    </row>
    <row r="1051" spans="1:7" x14ac:dyDescent="0.25">
      <c r="A1051" t="s">
        <v>2132</v>
      </c>
      <c r="B1051" t="s">
        <v>2136</v>
      </c>
      <c r="C1051">
        <v>2013</v>
      </c>
      <c r="D1051" t="s">
        <v>187</v>
      </c>
      <c r="F1051" t="s">
        <v>9697</v>
      </c>
      <c r="G1051" t="s">
        <v>3990</v>
      </c>
    </row>
    <row r="1052" spans="1:7" x14ac:dyDescent="0.25">
      <c r="A1052" t="s">
        <v>2132</v>
      </c>
      <c r="B1052" t="s">
        <v>2140</v>
      </c>
      <c r="C1052">
        <v>2013</v>
      </c>
      <c r="D1052" t="s">
        <v>187</v>
      </c>
      <c r="F1052" t="s">
        <v>9698</v>
      </c>
      <c r="G1052" t="s">
        <v>3990</v>
      </c>
    </row>
    <row r="1053" spans="1:7" x14ac:dyDescent="0.25">
      <c r="A1053" t="s">
        <v>2136</v>
      </c>
      <c r="B1053" t="s">
        <v>2140</v>
      </c>
      <c r="C1053">
        <v>2020</v>
      </c>
      <c r="D1053" t="s">
        <v>187</v>
      </c>
      <c r="E1053" s="10" t="s">
        <v>2143</v>
      </c>
      <c r="F1053" t="s">
        <v>12676</v>
      </c>
      <c r="G1053" t="s">
        <v>3990</v>
      </c>
    </row>
    <row r="1054" spans="1:7" x14ac:dyDescent="0.25">
      <c r="A1054" t="s">
        <v>914</v>
      </c>
      <c r="B1054" t="s">
        <v>2144</v>
      </c>
      <c r="C1054">
        <v>2013</v>
      </c>
      <c r="E1054" t="s">
        <v>3145</v>
      </c>
      <c r="F1054" t="s">
        <v>8675</v>
      </c>
      <c r="G1054" t="s">
        <v>3990</v>
      </c>
    </row>
    <row r="1055" spans="1:7" x14ac:dyDescent="0.25">
      <c r="A1055" t="s">
        <v>1144</v>
      </c>
      <c r="B1055" t="s">
        <v>2144</v>
      </c>
      <c r="C1055">
        <v>2012</v>
      </c>
      <c r="E1055" t="s">
        <v>3145</v>
      </c>
      <c r="F1055" t="s">
        <v>8759</v>
      </c>
      <c r="G1055" t="s">
        <v>3990</v>
      </c>
    </row>
    <row r="1056" spans="1:7" x14ac:dyDescent="0.25">
      <c r="A1056" t="s">
        <v>759</v>
      </c>
      <c r="B1056" t="s">
        <v>2146</v>
      </c>
      <c r="C1056">
        <v>2018</v>
      </c>
      <c r="E1056" s="10" t="s">
        <v>9438</v>
      </c>
      <c r="F1056" t="s">
        <v>9432</v>
      </c>
      <c r="G1056" t="s">
        <v>3990</v>
      </c>
    </row>
    <row r="1057" spans="1:7" x14ac:dyDescent="0.25">
      <c r="A1057" t="s">
        <v>1046</v>
      </c>
      <c r="B1057" t="s">
        <v>2146</v>
      </c>
      <c r="C1057">
        <v>2016</v>
      </c>
      <c r="E1057" s="10" t="s">
        <v>8363</v>
      </c>
      <c r="F1057" t="s">
        <v>8729</v>
      </c>
      <c r="G1057" t="s">
        <v>3990</v>
      </c>
    </row>
    <row r="1058" spans="1:7" x14ac:dyDescent="0.25">
      <c r="A1058" t="s">
        <v>1272</v>
      </c>
      <c r="B1058" t="s">
        <v>2146</v>
      </c>
      <c r="C1058">
        <v>2020</v>
      </c>
      <c r="E1058" s="10" t="s">
        <v>9438</v>
      </c>
      <c r="F1058" t="s">
        <v>9433</v>
      </c>
      <c r="G1058" t="s">
        <v>3990</v>
      </c>
    </row>
    <row r="1059" spans="1:7" x14ac:dyDescent="0.25">
      <c r="A1059" t="s">
        <v>1855</v>
      </c>
      <c r="B1059" t="s">
        <v>2146</v>
      </c>
      <c r="C1059">
        <v>2015</v>
      </c>
      <c r="E1059" s="10" t="s">
        <v>9438</v>
      </c>
      <c r="F1059" t="s">
        <v>9434</v>
      </c>
      <c r="G1059" t="s">
        <v>3990</v>
      </c>
    </row>
    <row r="1060" spans="1:7" x14ac:dyDescent="0.25">
      <c r="A1060" t="s">
        <v>1855</v>
      </c>
      <c r="B1060" t="s">
        <v>2150</v>
      </c>
      <c r="C1060">
        <v>2015</v>
      </c>
      <c r="E1060" t="s">
        <v>2982</v>
      </c>
      <c r="F1060" t="s">
        <v>8971</v>
      </c>
      <c r="G1060" t="s">
        <v>3990</v>
      </c>
    </row>
    <row r="1061" spans="1:7" x14ac:dyDescent="0.25">
      <c r="A1061" t="s">
        <v>90</v>
      </c>
      <c r="B1061" t="s">
        <v>9825</v>
      </c>
      <c r="C1061">
        <v>2017</v>
      </c>
      <c r="E1061" s="10" t="s">
        <v>9827</v>
      </c>
      <c r="F1061" t="s">
        <v>9828</v>
      </c>
      <c r="G1061" t="s">
        <v>3990</v>
      </c>
    </row>
    <row r="1062" spans="1:7" x14ac:dyDescent="0.25">
      <c r="A1062" t="s">
        <v>185</v>
      </c>
      <c r="B1062" t="s">
        <v>2158</v>
      </c>
      <c r="C1062">
        <v>2022</v>
      </c>
      <c r="E1062" t="s">
        <v>2983</v>
      </c>
      <c r="F1062" t="s">
        <v>8450</v>
      </c>
      <c r="G1062" t="s">
        <v>3990</v>
      </c>
    </row>
    <row r="1063" spans="1:7" x14ac:dyDescent="0.25">
      <c r="A1063" t="s">
        <v>1690</v>
      </c>
      <c r="B1063" t="s">
        <v>2158</v>
      </c>
      <c r="C1063">
        <v>2020</v>
      </c>
      <c r="E1063" t="s">
        <v>2983</v>
      </c>
      <c r="F1063" t="s">
        <v>8905</v>
      </c>
      <c r="G1063" t="s">
        <v>3990</v>
      </c>
    </row>
    <row r="1064" spans="1:7" x14ac:dyDescent="0.25">
      <c r="A1064" t="s">
        <v>90</v>
      </c>
      <c r="B1064" t="s">
        <v>2158</v>
      </c>
      <c r="C1064">
        <v>2017</v>
      </c>
      <c r="E1064" t="s">
        <v>2983</v>
      </c>
      <c r="F1064" t="s">
        <v>9142</v>
      </c>
      <c r="G1064" t="s">
        <v>3990</v>
      </c>
    </row>
    <row r="1065" spans="1:7" x14ac:dyDescent="0.25">
      <c r="A1065" t="s">
        <v>256</v>
      </c>
      <c r="B1065" t="s">
        <v>2160</v>
      </c>
      <c r="C1065">
        <v>1994</v>
      </c>
      <c r="E1065" t="s">
        <v>2995</v>
      </c>
      <c r="F1065" t="s">
        <v>9439</v>
      </c>
      <c r="G1065" t="s">
        <v>3990</v>
      </c>
    </row>
    <row r="1066" spans="1:7" x14ac:dyDescent="0.25">
      <c r="A1066" t="s">
        <v>2571</v>
      </c>
      <c r="B1066" t="s">
        <v>2160</v>
      </c>
      <c r="C1066">
        <v>1998</v>
      </c>
      <c r="E1066" t="s">
        <v>2995</v>
      </c>
      <c r="F1066" t="s">
        <v>9440</v>
      </c>
      <c r="G1066" t="s">
        <v>3990</v>
      </c>
    </row>
    <row r="1067" spans="1:7" x14ac:dyDescent="0.25">
      <c r="A1067" t="s">
        <v>353</v>
      </c>
      <c r="B1067" t="s">
        <v>2162</v>
      </c>
      <c r="C1067">
        <v>2023</v>
      </c>
      <c r="E1067" t="s">
        <v>2982</v>
      </c>
      <c r="F1067" t="s">
        <v>8519</v>
      </c>
      <c r="G1067" t="s">
        <v>3990</v>
      </c>
    </row>
    <row r="1068" spans="1:7" x14ac:dyDescent="0.25">
      <c r="A1068" t="s">
        <v>2804</v>
      </c>
      <c r="B1068" t="s">
        <v>2162</v>
      </c>
      <c r="C1068">
        <v>2021</v>
      </c>
      <c r="E1068" t="s">
        <v>2982</v>
      </c>
      <c r="F1068" t="s">
        <v>9342</v>
      </c>
      <c r="G1068" t="s">
        <v>3990</v>
      </c>
    </row>
    <row r="1069" spans="1:7" x14ac:dyDescent="0.25">
      <c r="A1069" t="s">
        <v>2154</v>
      </c>
      <c r="B1069" t="s">
        <v>2166</v>
      </c>
      <c r="C1069">
        <v>1980</v>
      </c>
      <c r="E1069" t="s">
        <v>3325</v>
      </c>
      <c r="F1069" t="s">
        <v>9034</v>
      </c>
      <c r="G1069" t="s">
        <v>3990</v>
      </c>
    </row>
    <row r="1070" spans="1:7" x14ac:dyDescent="0.25">
      <c r="A1070" t="s">
        <v>2625</v>
      </c>
      <c r="B1070" t="s">
        <v>2166</v>
      </c>
      <c r="C1070">
        <v>2000</v>
      </c>
      <c r="D1070" t="s">
        <v>187</v>
      </c>
      <c r="F1070" t="s">
        <v>9699</v>
      </c>
      <c r="G1070" t="s">
        <v>3990</v>
      </c>
    </row>
    <row r="1071" spans="1:7" x14ac:dyDescent="0.25">
      <c r="A1071" t="s">
        <v>2173</v>
      </c>
      <c r="B1071" t="s">
        <v>2169</v>
      </c>
      <c r="C1071">
        <v>2013</v>
      </c>
      <c r="E1071" t="s">
        <v>3333</v>
      </c>
      <c r="F1071" t="s">
        <v>9700</v>
      </c>
      <c r="G1071" t="s">
        <v>187</v>
      </c>
    </row>
    <row r="1072" spans="1:7" x14ac:dyDescent="0.25">
      <c r="A1072" t="s">
        <v>2428</v>
      </c>
      <c r="B1072" t="s">
        <v>2173</v>
      </c>
      <c r="C1072">
        <v>2008</v>
      </c>
      <c r="E1072" t="s">
        <v>3394</v>
      </c>
      <c r="F1072" t="s">
        <v>9215</v>
      </c>
      <c r="G1072" t="s">
        <v>3990</v>
      </c>
    </row>
    <row r="1073" spans="1:7" x14ac:dyDescent="0.25">
      <c r="A1073" t="s">
        <v>160</v>
      </c>
      <c r="B1073" t="s">
        <v>2173</v>
      </c>
      <c r="C1073">
        <v>2011</v>
      </c>
      <c r="E1073" t="s">
        <v>3394</v>
      </c>
      <c r="F1073" t="s">
        <v>9289</v>
      </c>
      <c r="G1073" t="s">
        <v>3990</v>
      </c>
    </row>
    <row r="1074" spans="1:7" x14ac:dyDescent="0.25">
      <c r="A1074" t="s">
        <v>2173</v>
      </c>
      <c r="B1074" t="s">
        <v>2177</v>
      </c>
      <c r="C1074">
        <v>2013</v>
      </c>
      <c r="D1074" t="s">
        <v>187</v>
      </c>
      <c r="F1074" t="s">
        <v>9701</v>
      </c>
      <c r="G1074" t="s">
        <v>3990</v>
      </c>
    </row>
    <row r="1075" spans="1:7" x14ac:dyDescent="0.25">
      <c r="A1075" t="s">
        <v>90</v>
      </c>
      <c r="B1075" t="s">
        <v>2181</v>
      </c>
      <c r="C1075">
        <v>2017</v>
      </c>
      <c r="E1075" s="10" t="s">
        <v>9834</v>
      </c>
      <c r="F1075" t="s">
        <v>9702</v>
      </c>
      <c r="G1075" t="s">
        <v>3990</v>
      </c>
    </row>
    <row r="1076" spans="1:7" x14ac:dyDescent="0.25">
      <c r="A1076" t="s">
        <v>344</v>
      </c>
      <c r="B1076" t="s">
        <v>2187</v>
      </c>
      <c r="C1076">
        <v>2023</v>
      </c>
      <c r="E1076" s="10" t="s">
        <v>8364</v>
      </c>
      <c r="F1076" t="s">
        <v>8483</v>
      </c>
      <c r="G1076" t="s">
        <v>3990</v>
      </c>
    </row>
    <row r="1077" spans="1:7" x14ac:dyDescent="0.25">
      <c r="A1077" t="s">
        <v>346</v>
      </c>
      <c r="B1077" t="s">
        <v>2187</v>
      </c>
      <c r="C1077">
        <v>2022</v>
      </c>
      <c r="E1077" t="s">
        <v>3017</v>
      </c>
      <c r="F1077" t="s">
        <v>8489</v>
      </c>
      <c r="G1077" t="s">
        <v>3990</v>
      </c>
    </row>
    <row r="1078" spans="1:7" x14ac:dyDescent="0.25">
      <c r="A1078" t="s">
        <v>1144</v>
      </c>
      <c r="B1078" t="s">
        <v>2187</v>
      </c>
      <c r="C1078">
        <v>2012</v>
      </c>
      <c r="E1078" t="s">
        <v>3017</v>
      </c>
      <c r="F1078" t="s">
        <v>8760</v>
      </c>
      <c r="G1078" t="s">
        <v>3990</v>
      </c>
    </row>
    <row r="1079" spans="1:7" x14ac:dyDescent="0.25">
      <c r="A1079" t="s">
        <v>1443</v>
      </c>
      <c r="B1079" t="s">
        <v>2187</v>
      </c>
      <c r="C1079">
        <v>2018</v>
      </c>
      <c r="E1079" t="s">
        <v>3017</v>
      </c>
      <c r="F1079" t="s">
        <v>8857</v>
      </c>
      <c r="G1079" t="s">
        <v>3990</v>
      </c>
    </row>
    <row r="1080" spans="1:7" x14ac:dyDescent="0.25">
      <c r="A1080" t="s">
        <v>1951</v>
      </c>
      <c r="B1080" t="s">
        <v>2187</v>
      </c>
      <c r="C1080">
        <v>2022</v>
      </c>
      <c r="E1080" s="10" t="s">
        <v>8364</v>
      </c>
      <c r="F1080" t="s">
        <v>8985</v>
      </c>
      <c r="G1080" t="s">
        <v>3990</v>
      </c>
    </row>
    <row r="1081" spans="1:7" x14ac:dyDescent="0.25">
      <c r="A1081" t="s">
        <v>90</v>
      </c>
      <c r="B1081" t="s">
        <v>2187</v>
      </c>
      <c r="C1081">
        <v>2017</v>
      </c>
      <c r="E1081" t="s">
        <v>3017</v>
      </c>
      <c r="F1081" t="s">
        <v>9143</v>
      </c>
      <c r="G1081" t="s">
        <v>3990</v>
      </c>
    </row>
    <row r="1082" spans="1:7" x14ac:dyDescent="0.25">
      <c r="A1082" t="s">
        <v>994</v>
      </c>
      <c r="B1082" t="s">
        <v>2190</v>
      </c>
      <c r="C1082">
        <v>2011</v>
      </c>
      <c r="E1082" t="s">
        <v>3169</v>
      </c>
      <c r="F1082" t="s">
        <v>9703</v>
      </c>
      <c r="G1082" t="s">
        <v>187</v>
      </c>
    </row>
    <row r="1083" spans="1:7" x14ac:dyDescent="0.25">
      <c r="A1083" t="s">
        <v>2534</v>
      </c>
      <c r="B1083" t="s">
        <v>2190</v>
      </c>
      <c r="C1083">
        <v>1982</v>
      </c>
      <c r="E1083" t="s">
        <v>3169</v>
      </c>
      <c r="F1083" t="s">
        <v>9240</v>
      </c>
      <c r="G1083" t="s">
        <v>3990</v>
      </c>
    </row>
    <row r="1084" spans="1:7" x14ac:dyDescent="0.25">
      <c r="A1084" t="s">
        <v>90</v>
      </c>
      <c r="B1084" t="s">
        <v>2192</v>
      </c>
      <c r="C1084">
        <v>2017</v>
      </c>
      <c r="E1084" s="10" t="s">
        <v>8365</v>
      </c>
      <c r="F1084" t="s">
        <v>9144</v>
      </c>
      <c r="G1084" t="s">
        <v>3990</v>
      </c>
    </row>
    <row r="1085" spans="1:7" x14ac:dyDescent="0.25">
      <c r="A1085" t="s">
        <v>2804</v>
      </c>
      <c r="B1085" t="s">
        <v>2192</v>
      </c>
      <c r="C1085">
        <v>2021</v>
      </c>
      <c r="E1085" s="10" t="s">
        <v>8365</v>
      </c>
      <c r="F1085" t="s">
        <v>9343</v>
      </c>
      <c r="G1085" t="s">
        <v>3990</v>
      </c>
    </row>
    <row r="1086" spans="1:7" x14ac:dyDescent="0.25">
      <c r="A1086" t="s">
        <v>90</v>
      </c>
      <c r="B1086" t="s">
        <v>2196</v>
      </c>
      <c r="C1086">
        <v>2017</v>
      </c>
      <c r="E1086" t="s">
        <v>3374</v>
      </c>
      <c r="F1086" t="s">
        <v>9704</v>
      </c>
      <c r="G1086" t="s">
        <v>187</v>
      </c>
    </row>
    <row r="1087" spans="1:7" x14ac:dyDescent="0.25">
      <c r="A1087" t="s">
        <v>490</v>
      </c>
      <c r="B1087" t="s">
        <v>2200</v>
      </c>
      <c r="C1087">
        <v>2009</v>
      </c>
      <c r="E1087" t="s">
        <v>3061</v>
      </c>
      <c r="F1087" t="s">
        <v>8542</v>
      </c>
      <c r="G1087" t="s">
        <v>3990</v>
      </c>
    </row>
    <row r="1088" spans="1:7" x14ac:dyDescent="0.25">
      <c r="A1088" t="s">
        <v>2154</v>
      </c>
      <c r="B1088" t="s">
        <v>2200</v>
      </c>
      <c r="C1088">
        <v>1980</v>
      </c>
      <c r="E1088" t="s">
        <v>3061</v>
      </c>
      <c r="F1088" t="s">
        <v>9035</v>
      </c>
      <c r="G1088" t="s">
        <v>3990</v>
      </c>
    </row>
    <row r="1089" spans="1:7" x14ac:dyDescent="0.25">
      <c r="A1089" t="s">
        <v>353</v>
      </c>
      <c r="B1089" t="s">
        <v>2202</v>
      </c>
      <c r="C1089">
        <v>2023</v>
      </c>
      <c r="E1089" s="10" t="s">
        <v>3040</v>
      </c>
      <c r="F1089" t="s">
        <v>9705</v>
      </c>
      <c r="G1089" t="s">
        <v>187</v>
      </c>
    </row>
    <row r="1090" spans="1:7" x14ac:dyDescent="0.25">
      <c r="A1090" t="s">
        <v>90</v>
      </c>
      <c r="B1090" t="s">
        <v>2202</v>
      </c>
      <c r="C1090">
        <v>2017</v>
      </c>
      <c r="E1090" s="10" t="s">
        <v>3040</v>
      </c>
      <c r="F1090" t="s">
        <v>9706</v>
      </c>
      <c r="G1090" t="s">
        <v>187</v>
      </c>
    </row>
    <row r="1091" spans="1:7" x14ac:dyDescent="0.25">
      <c r="A1091" t="s">
        <v>2154</v>
      </c>
      <c r="B1091" t="s">
        <v>2204</v>
      </c>
      <c r="C1091">
        <v>1980</v>
      </c>
      <c r="E1091" t="s">
        <v>3326</v>
      </c>
      <c r="F1091" t="s">
        <v>9036</v>
      </c>
      <c r="G1091" t="s">
        <v>3990</v>
      </c>
    </row>
    <row r="1092" spans="1:7" x14ac:dyDescent="0.25">
      <c r="A1092" t="s">
        <v>353</v>
      </c>
      <c r="B1092" t="s">
        <v>2215</v>
      </c>
      <c r="C1092">
        <v>2023</v>
      </c>
      <c r="E1092" t="s">
        <v>3041</v>
      </c>
      <c r="F1092" t="s">
        <v>8520</v>
      </c>
      <c r="G1092" t="s">
        <v>3990</v>
      </c>
    </row>
    <row r="1093" spans="1:7" x14ac:dyDescent="0.25">
      <c r="A1093" t="s">
        <v>2211</v>
      </c>
      <c r="B1093" t="s">
        <v>2215</v>
      </c>
      <c r="C1093">
        <v>2021</v>
      </c>
      <c r="E1093" t="s">
        <v>3041</v>
      </c>
      <c r="F1093" t="s">
        <v>9059</v>
      </c>
      <c r="G1093" t="s">
        <v>3990</v>
      </c>
    </row>
    <row r="1094" spans="1:7" x14ac:dyDescent="0.25">
      <c r="A1094" t="s">
        <v>960</v>
      </c>
      <c r="B1094" t="s">
        <v>2219</v>
      </c>
      <c r="C1094">
        <v>2024</v>
      </c>
      <c r="E1094" t="s">
        <v>2982</v>
      </c>
      <c r="F1094" t="s">
        <v>8693</v>
      </c>
      <c r="G1094" t="s">
        <v>3990</v>
      </c>
    </row>
    <row r="1095" spans="1:7" x14ac:dyDescent="0.25">
      <c r="A1095" t="s">
        <v>353</v>
      </c>
      <c r="B1095" t="s">
        <v>2222</v>
      </c>
      <c r="C1095">
        <v>2023</v>
      </c>
      <c r="E1095" t="s">
        <v>3042</v>
      </c>
      <c r="F1095" t="s">
        <v>8521</v>
      </c>
      <c r="G1095" t="s">
        <v>3990</v>
      </c>
    </row>
    <row r="1096" spans="1:7" x14ac:dyDescent="0.25">
      <c r="A1096" t="s">
        <v>1576</v>
      </c>
      <c r="B1096" t="s">
        <v>2222</v>
      </c>
      <c r="C1096">
        <v>2021</v>
      </c>
      <c r="E1096" t="s">
        <v>3042</v>
      </c>
      <c r="F1096" t="s">
        <v>8888</v>
      </c>
      <c r="G1096" t="s">
        <v>3990</v>
      </c>
    </row>
    <row r="1097" spans="1:7" x14ac:dyDescent="0.25">
      <c r="A1097" t="s">
        <v>90</v>
      </c>
      <c r="B1097" t="s">
        <v>2222</v>
      </c>
      <c r="C1097">
        <v>2017</v>
      </c>
      <c r="E1097" t="s">
        <v>3042</v>
      </c>
      <c r="F1097" t="s">
        <v>9145</v>
      </c>
      <c r="G1097" t="s">
        <v>3990</v>
      </c>
    </row>
    <row r="1098" spans="1:7" x14ac:dyDescent="0.25">
      <c r="A1098" t="s">
        <v>2506</v>
      </c>
      <c r="B1098" t="s">
        <v>2222</v>
      </c>
      <c r="C1098">
        <v>2021</v>
      </c>
      <c r="E1098" t="s">
        <v>3042</v>
      </c>
      <c r="F1098" t="s">
        <v>9235</v>
      </c>
      <c r="G1098" t="s">
        <v>3990</v>
      </c>
    </row>
    <row r="1099" spans="1:7" x14ac:dyDescent="0.25">
      <c r="A1099" t="s">
        <v>1951</v>
      </c>
      <c r="B1099" t="s">
        <v>2229</v>
      </c>
      <c r="C1099">
        <v>2022</v>
      </c>
      <c r="E1099" t="s">
        <v>3301</v>
      </c>
      <c r="F1099" t="s">
        <v>8986</v>
      </c>
      <c r="G1099" t="s">
        <v>3990</v>
      </c>
    </row>
    <row r="1100" spans="1:7" x14ac:dyDescent="0.25">
      <c r="A1100" t="s">
        <v>353</v>
      </c>
      <c r="B1100" t="s">
        <v>2232</v>
      </c>
      <c r="C1100">
        <v>2023</v>
      </c>
      <c r="E1100" t="s">
        <v>3043</v>
      </c>
      <c r="F1100" t="s">
        <v>8522</v>
      </c>
      <c r="G1100" t="s">
        <v>3990</v>
      </c>
    </row>
    <row r="1101" spans="1:7" x14ac:dyDescent="0.25">
      <c r="A1101" t="s">
        <v>746</v>
      </c>
      <c r="B1101" t="s">
        <v>2232</v>
      </c>
      <c r="C1101">
        <v>2015</v>
      </c>
      <c r="E1101" s="10" t="s">
        <v>9443</v>
      </c>
      <c r="F1101" t="s">
        <v>9445</v>
      </c>
      <c r="G1101" t="s">
        <v>3990</v>
      </c>
    </row>
    <row r="1102" spans="1:7" x14ac:dyDescent="0.25">
      <c r="A1102" t="s">
        <v>847</v>
      </c>
      <c r="B1102" t="s">
        <v>2232</v>
      </c>
      <c r="C1102">
        <v>1996</v>
      </c>
      <c r="E1102" s="10" t="s">
        <v>9443</v>
      </c>
      <c r="F1102" t="s">
        <v>9444</v>
      </c>
      <c r="G1102" t="s">
        <v>3990</v>
      </c>
    </row>
    <row r="1103" spans="1:7" x14ac:dyDescent="0.25">
      <c r="A1103" t="s">
        <v>1576</v>
      </c>
      <c r="B1103" t="s">
        <v>2232</v>
      </c>
      <c r="C1103">
        <v>2021</v>
      </c>
      <c r="E1103" t="s">
        <v>3263</v>
      </c>
      <c r="F1103" t="s">
        <v>9707</v>
      </c>
      <c r="G1103" t="s">
        <v>187</v>
      </c>
    </row>
    <row r="1104" spans="1:7" x14ac:dyDescent="0.25">
      <c r="A1104" t="s">
        <v>353</v>
      </c>
      <c r="B1104" t="s">
        <v>2236</v>
      </c>
      <c r="C1104">
        <v>2023</v>
      </c>
      <c r="E1104" t="s">
        <v>3044</v>
      </c>
      <c r="F1104" t="s">
        <v>8523</v>
      </c>
      <c r="G1104" t="s">
        <v>3990</v>
      </c>
    </row>
    <row r="1105" spans="1:7" x14ac:dyDescent="0.25">
      <c r="A1105" t="s">
        <v>90</v>
      </c>
      <c r="B1105" t="s">
        <v>2236</v>
      </c>
      <c r="C1105">
        <v>2017</v>
      </c>
      <c r="E1105" t="s">
        <v>3044</v>
      </c>
      <c r="F1105" t="s">
        <v>9146</v>
      </c>
      <c r="G1105" t="s">
        <v>3990</v>
      </c>
    </row>
    <row r="1106" spans="1:7" x14ac:dyDescent="0.25">
      <c r="A1106" t="s">
        <v>1549</v>
      </c>
      <c r="B1106" t="s">
        <v>2239</v>
      </c>
      <c r="C1106">
        <v>2021</v>
      </c>
      <c r="E1106" t="s">
        <v>2241</v>
      </c>
      <c r="F1106" t="s">
        <v>8868</v>
      </c>
      <c r="G1106" t="s">
        <v>3990</v>
      </c>
    </row>
    <row r="1107" spans="1:7" x14ac:dyDescent="0.25">
      <c r="A1107" t="s">
        <v>90</v>
      </c>
      <c r="B1107" t="s">
        <v>2239</v>
      </c>
      <c r="C1107">
        <v>2017</v>
      </c>
      <c r="E1107" t="s">
        <v>2241</v>
      </c>
      <c r="F1107" t="s">
        <v>9147</v>
      </c>
      <c r="G1107" t="s">
        <v>3990</v>
      </c>
    </row>
    <row r="1108" spans="1:7" x14ac:dyDescent="0.25">
      <c r="A1108" t="s">
        <v>2804</v>
      </c>
      <c r="B1108" t="s">
        <v>8366</v>
      </c>
      <c r="C1108">
        <v>2021</v>
      </c>
      <c r="E1108" t="s">
        <v>3013</v>
      </c>
      <c r="F1108" t="s">
        <v>9708</v>
      </c>
      <c r="G1108" t="s">
        <v>187</v>
      </c>
    </row>
    <row r="1109" spans="1:7" x14ac:dyDescent="0.25">
      <c r="A1109" t="s">
        <v>1155</v>
      </c>
      <c r="B1109" t="s">
        <v>2242</v>
      </c>
      <c r="C1109">
        <v>2010</v>
      </c>
      <c r="D1109" t="s">
        <v>187</v>
      </c>
      <c r="F1109" t="s">
        <v>9709</v>
      </c>
      <c r="G1109" t="s">
        <v>3990</v>
      </c>
    </row>
    <row r="1110" spans="1:7" x14ac:dyDescent="0.25">
      <c r="A1110" t="s">
        <v>720</v>
      </c>
      <c r="B1110" t="s">
        <v>2244</v>
      </c>
      <c r="C1110">
        <v>2016</v>
      </c>
      <c r="E1110" t="s">
        <v>3091</v>
      </c>
      <c r="F1110" t="s">
        <v>8584</v>
      </c>
      <c r="G1110" t="s">
        <v>3990</v>
      </c>
    </row>
    <row r="1111" spans="1:7" x14ac:dyDescent="0.25">
      <c r="A1111" t="s">
        <v>746</v>
      </c>
      <c r="B1111" t="s">
        <v>2244</v>
      </c>
      <c r="C1111">
        <v>2015</v>
      </c>
      <c r="E1111" t="s">
        <v>3091</v>
      </c>
      <c r="F1111" t="s">
        <v>8602</v>
      </c>
      <c r="G1111" t="s">
        <v>3990</v>
      </c>
    </row>
    <row r="1112" spans="1:7" x14ac:dyDescent="0.25">
      <c r="A1112" t="s">
        <v>1115</v>
      </c>
      <c r="B1112" t="s">
        <v>2244</v>
      </c>
      <c r="C1112">
        <v>2018</v>
      </c>
      <c r="E1112" t="s">
        <v>3091</v>
      </c>
      <c r="F1112" t="s">
        <v>8737</v>
      </c>
      <c r="G1112" t="s">
        <v>3990</v>
      </c>
    </row>
    <row r="1113" spans="1:7" x14ac:dyDescent="0.25">
      <c r="A1113" t="s">
        <v>2804</v>
      </c>
      <c r="B1113" t="s">
        <v>2247</v>
      </c>
      <c r="C1113">
        <v>2021</v>
      </c>
      <c r="E1113" t="s">
        <v>3013</v>
      </c>
      <c r="F1113" t="s">
        <v>9710</v>
      </c>
      <c r="G1113" t="s">
        <v>187</v>
      </c>
    </row>
    <row r="1114" spans="1:7" x14ac:dyDescent="0.25">
      <c r="A1114" t="s">
        <v>353</v>
      </c>
      <c r="B1114" t="s">
        <v>2251</v>
      </c>
      <c r="C1114">
        <v>2023</v>
      </c>
      <c r="E1114" t="s">
        <v>2982</v>
      </c>
      <c r="F1114" t="s">
        <v>8524</v>
      </c>
      <c r="G1114" t="s">
        <v>3990</v>
      </c>
    </row>
    <row r="1115" spans="1:7" x14ac:dyDescent="0.25">
      <c r="A1115" t="s">
        <v>160</v>
      </c>
      <c r="B1115" t="s">
        <v>2251</v>
      </c>
      <c r="C1115">
        <v>2011</v>
      </c>
      <c r="E1115" t="s">
        <v>2982</v>
      </c>
      <c r="F1115" t="s">
        <v>9290</v>
      </c>
      <c r="G1115" t="s">
        <v>3990</v>
      </c>
    </row>
    <row r="1116" spans="1:7" x14ac:dyDescent="0.25">
      <c r="A1116" t="s">
        <v>435</v>
      </c>
      <c r="B1116" t="s">
        <v>2254</v>
      </c>
      <c r="C1116">
        <v>2019</v>
      </c>
      <c r="E1116" t="s">
        <v>2982</v>
      </c>
      <c r="F1116" t="s">
        <v>9711</v>
      </c>
      <c r="G1116" t="s">
        <v>187</v>
      </c>
    </row>
    <row r="1117" spans="1:7" x14ac:dyDescent="0.25">
      <c r="A1117" t="s">
        <v>759</v>
      </c>
      <c r="B1117" t="s">
        <v>2254</v>
      </c>
      <c r="C1117">
        <v>2018</v>
      </c>
      <c r="E1117" t="s">
        <v>2982</v>
      </c>
      <c r="F1117" t="s">
        <v>8624</v>
      </c>
      <c r="G1117" t="s">
        <v>3990</v>
      </c>
    </row>
    <row r="1118" spans="1:7" x14ac:dyDescent="0.25">
      <c r="A1118" t="s">
        <v>930</v>
      </c>
      <c r="B1118" t="s">
        <v>2254</v>
      </c>
      <c r="C1118">
        <v>2015</v>
      </c>
      <c r="E1118" t="s">
        <v>2982</v>
      </c>
      <c r="F1118" t="s">
        <v>8688</v>
      </c>
      <c r="G1118" t="s">
        <v>3990</v>
      </c>
    </row>
    <row r="1119" spans="1:7" x14ac:dyDescent="0.25">
      <c r="A1119" t="s">
        <v>2130</v>
      </c>
      <c r="B1119" t="s">
        <v>2254</v>
      </c>
      <c r="C1119">
        <v>2017</v>
      </c>
      <c r="E1119" t="s">
        <v>2982</v>
      </c>
      <c r="F1119" t="s">
        <v>8997</v>
      </c>
      <c r="G1119" t="s">
        <v>3990</v>
      </c>
    </row>
    <row r="1120" spans="1:7" x14ac:dyDescent="0.25">
      <c r="A1120" t="s">
        <v>2459</v>
      </c>
      <c r="B1120" t="s">
        <v>2254</v>
      </c>
      <c r="C1120">
        <v>2017</v>
      </c>
      <c r="E1120" t="s">
        <v>2982</v>
      </c>
      <c r="F1120" t="s">
        <v>9224</v>
      </c>
      <c r="G1120" t="s">
        <v>3990</v>
      </c>
    </row>
    <row r="1121" spans="1:7" x14ac:dyDescent="0.25">
      <c r="A1121" t="s">
        <v>2804</v>
      </c>
      <c r="B1121" t="s">
        <v>2258</v>
      </c>
      <c r="C1121">
        <v>2021</v>
      </c>
      <c r="E1121" t="s">
        <v>3013</v>
      </c>
      <c r="F1121" t="s">
        <v>9712</v>
      </c>
      <c r="G1121" t="s">
        <v>187</v>
      </c>
    </row>
    <row r="1122" spans="1:7" x14ac:dyDescent="0.25">
      <c r="A1122" t="s">
        <v>2225</v>
      </c>
      <c r="B1122" t="s">
        <v>2260</v>
      </c>
      <c r="C1122">
        <v>2021</v>
      </c>
      <c r="E1122" s="10" t="s">
        <v>8379</v>
      </c>
      <c r="F1122" t="s">
        <v>9713</v>
      </c>
      <c r="G1122" t="s">
        <v>3990</v>
      </c>
    </row>
    <row r="1123" spans="1:7" x14ac:dyDescent="0.25">
      <c r="A1123" t="s">
        <v>90</v>
      </c>
      <c r="B1123" t="s">
        <v>2264</v>
      </c>
      <c r="C1123">
        <v>2017</v>
      </c>
      <c r="E1123" t="s">
        <v>3375</v>
      </c>
      <c r="F1123" t="s">
        <v>9148</v>
      </c>
      <c r="G1123" t="s">
        <v>3990</v>
      </c>
    </row>
    <row r="1124" spans="1:7" x14ac:dyDescent="0.25">
      <c r="A1124" t="s">
        <v>2594</v>
      </c>
      <c r="B1124" t="s">
        <v>2264</v>
      </c>
      <c r="C1124">
        <v>2019</v>
      </c>
      <c r="E1124" t="s">
        <v>3375</v>
      </c>
      <c r="F1124" t="s">
        <v>9246</v>
      </c>
      <c r="G1124" t="s">
        <v>3990</v>
      </c>
    </row>
    <row r="1125" spans="1:7" x14ac:dyDescent="0.25">
      <c r="A1125" t="s">
        <v>847</v>
      </c>
      <c r="B1125" t="s">
        <v>2267</v>
      </c>
      <c r="C1125">
        <v>1996</v>
      </c>
      <c r="E1125" s="10" t="s">
        <v>9391</v>
      </c>
      <c r="F1125" t="s">
        <v>9453</v>
      </c>
      <c r="G1125" t="s">
        <v>3990</v>
      </c>
    </row>
    <row r="1126" spans="1:7" x14ac:dyDescent="0.25">
      <c r="A1126" t="s">
        <v>998</v>
      </c>
      <c r="B1126" t="s">
        <v>2267</v>
      </c>
      <c r="C1126">
        <v>2018</v>
      </c>
      <c r="D1126" t="s">
        <v>187</v>
      </c>
      <c r="F1126" t="s">
        <v>9451</v>
      </c>
      <c r="G1126" t="s">
        <v>3990</v>
      </c>
    </row>
    <row r="1127" spans="1:7" x14ac:dyDescent="0.25">
      <c r="A1127" t="s">
        <v>1046</v>
      </c>
      <c r="B1127" t="s">
        <v>2267</v>
      </c>
      <c r="C1127">
        <v>2016</v>
      </c>
      <c r="E1127" t="s">
        <v>2982</v>
      </c>
      <c r="F1127" t="s">
        <v>9714</v>
      </c>
      <c r="G1127" t="s">
        <v>187</v>
      </c>
    </row>
    <row r="1128" spans="1:7" x14ac:dyDescent="0.25">
      <c r="A1128" t="s">
        <v>1294</v>
      </c>
      <c r="B1128" t="s">
        <v>2267</v>
      </c>
      <c r="C1128">
        <v>2019</v>
      </c>
      <c r="E1128" s="10" t="s">
        <v>9391</v>
      </c>
      <c r="F1128" t="s">
        <v>9454</v>
      </c>
      <c r="G1128" t="s">
        <v>3990</v>
      </c>
    </row>
    <row r="1129" spans="1:7" x14ac:dyDescent="0.25">
      <c r="A1129" t="s">
        <v>1817</v>
      </c>
      <c r="B1129" t="s">
        <v>2267</v>
      </c>
      <c r="C1129">
        <v>2019</v>
      </c>
      <c r="E1129" s="10" t="s">
        <v>9391</v>
      </c>
      <c r="F1129" t="s">
        <v>9452</v>
      </c>
      <c r="G1129" t="s">
        <v>3990</v>
      </c>
    </row>
    <row r="1130" spans="1:7" x14ac:dyDescent="0.25">
      <c r="A1130" t="s">
        <v>1010</v>
      </c>
      <c r="B1130" t="s">
        <v>2273</v>
      </c>
      <c r="C1130">
        <v>2025</v>
      </c>
      <c r="E1130" t="s">
        <v>3178</v>
      </c>
      <c r="F1130" t="s">
        <v>8709</v>
      </c>
      <c r="G1130" t="s">
        <v>3990</v>
      </c>
    </row>
    <row r="1131" spans="1:7" x14ac:dyDescent="0.25">
      <c r="A1131" t="s">
        <v>1294</v>
      </c>
      <c r="B1131" t="s">
        <v>2273</v>
      </c>
      <c r="C1131">
        <v>2019</v>
      </c>
      <c r="E1131" t="s">
        <v>2982</v>
      </c>
      <c r="F1131" t="s">
        <v>8809</v>
      </c>
      <c r="G1131" t="s">
        <v>3990</v>
      </c>
    </row>
    <row r="1132" spans="1:7" x14ac:dyDescent="0.25">
      <c r="A1132" t="s">
        <v>2136</v>
      </c>
      <c r="B1132" t="s">
        <v>2273</v>
      </c>
      <c r="C1132">
        <v>2020</v>
      </c>
      <c r="E1132" t="s">
        <v>2982</v>
      </c>
      <c r="F1132" t="s">
        <v>9010</v>
      </c>
      <c r="G1132" t="s">
        <v>3990</v>
      </c>
    </row>
    <row r="1133" spans="1:7" x14ac:dyDescent="0.25">
      <c r="A1133" t="s">
        <v>256</v>
      </c>
      <c r="B1133" t="s">
        <v>2276</v>
      </c>
      <c r="C1133">
        <v>1994</v>
      </c>
      <c r="E1133" t="s">
        <v>2996</v>
      </c>
      <c r="F1133" t="s">
        <v>8463</v>
      </c>
      <c r="G1133" t="s">
        <v>3990</v>
      </c>
    </row>
    <row r="1134" spans="1:7" x14ac:dyDescent="0.25">
      <c r="A1134" t="s">
        <v>1882</v>
      </c>
      <c r="B1134" t="s">
        <v>2276</v>
      </c>
      <c r="C1134">
        <v>1987</v>
      </c>
      <c r="E1134" t="s">
        <v>2996</v>
      </c>
      <c r="F1134" t="s">
        <v>8978</v>
      </c>
      <c r="G1134" t="s">
        <v>3990</v>
      </c>
    </row>
    <row r="1135" spans="1:7" x14ac:dyDescent="0.25">
      <c r="A1135" t="s">
        <v>746</v>
      </c>
      <c r="B1135" t="s">
        <v>2279</v>
      </c>
      <c r="C1135">
        <v>2015</v>
      </c>
      <c r="E1135" t="s">
        <v>3106</v>
      </c>
      <c r="F1135" t="s">
        <v>8603</v>
      </c>
      <c r="G1135" t="s">
        <v>3990</v>
      </c>
    </row>
    <row r="1136" spans="1:7" x14ac:dyDescent="0.25">
      <c r="A1136" t="s">
        <v>1294</v>
      </c>
      <c r="B1136" t="s">
        <v>2279</v>
      </c>
      <c r="C1136">
        <v>2019</v>
      </c>
      <c r="E1136" s="10" t="s">
        <v>3106</v>
      </c>
      <c r="F1136" t="s">
        <v>8437</v>
      </c>
      <c r="G1136" t="s">
        <v>3990</v>
      </c>
    </row>
    <row r="1137" spans="1:7" x14ac:dyDescent="0.25">
      <c r="A1137" t="s">
        <v>90</v>
      </c>
      <c r="B1137" t="s">
        <v>2279</v>
      </c>
      <c r="C1137">
        <v>2017</v>
      </c>
      <c r="E1137" t="s">
        <v>3106</v>
      </c>
      <c r="F1137" t="s">
        <v>9149</v>
      </c>
      <c r="G1137" t="s">
        <v>3990</v>
      </c>
    </row>
    <row r="1138" spans="1:7" x14ac:dyDescent="0.25">
      <c r="A1138" t="s">
        <v>1144</v>
      </c>
      <c r="B1138" t="s">
        <v>2281</v>
      </c>
      <c r="C1138">
        <v>2012</v>
      </c>
      <c r="E1138" t="s">
        <v>3210</v>
      </c>
      <c r="F1138" t="s">
        <v>8761</v>
      </c>
      <c r="G1138" t="s">
        <v>3990</v>
      </c>
    </row>
    <row r="1139" spans="1:7" x14ac:dyDescent="0.25">
      <c r="A1139" t="s">
        <v>2065</v>
      </c>
      <c r="B1139" t="s">
        <v>2281</v>
      </c>
      <c r="C1139">
        <v>2023</v>
      </c>
      <c r="E1139" t="s">
        <v>3210</v>
      </c>
      <c r="F1139" t="s">
        <v>8990</v>
      </c>
      <c r="G1139" t="s">
        <v>3990</v>
      </c>
    </row>
    <row r="1140" spans="1:7" x14ac:dyDescent="0.25">
      <c r="A1140" t="s">
        <v>2132</v>
      </c>
      <c r="B1140" t="s">
        <v>2281</v>
      </c>
      <c r="C1140">
        <v>2013</v>
      </c>
      <c r="E1140" t="s">
        <v>3210</v>
      </c>
      <c r="F1140" t="s">
        <v>9001</v>
      </c>
      <c r="G1140" t="s">
        <v>3990</v>
      </c>
    </row>
    <row r="1141" spans="1:7" x14ac:dyDescent="0.25">
      <c r="A1141" t="s">
        <v>497</v>
      </c>
      <c r="B1141" t="s">
        <v>2283</v>
      </c>
      <c r="C1141">
        <v>2022</v>
      </c>
      <c r="E1141" t="s">
        <v>3070</v>
      </c>
      <c r="F1141" t="s">
        <v>8556</v>
      </c>
      <c r="G1141" t="s">
        <v>3990</v>
      </c>
    </row>
    <row r="1142" spans="1:7" x14ac:dyDescent="0.25">
      <c r="A1142" t="s">
        <v>2136</v>
      </c>
      <c r="B1142" t="s">
        <v>2283</v>
      </c>
      <c r="C1142">
        <v>2020</v>
      </c>
      <c r="E1142" t="s">
        <v>3070</v>
      </c>
      <c r="F1142" t="s">
        <v>9011</v>
      </c>
      <c r="G1142" t="s">
        <v>3990</v>
      </c>
    </row>
    <row r="1143" spans="1:7" x14ac:dyDescent="0.25">
      <c r="A1143" t="s">
        <v>1302</v>
      </c>
      <c r="B1143" t="s">
        <v>7928</v>
      </c>
      <c r="C1143">
        <v>2023</v>
      </c>
      <c r="E1143" s="10" t="s">
        <v>7926</v>
      </c>
      <c r="F1143" t="s">
        <v>8823</v>
      </c>
      <c r="G1143" t="s">
        <v>3990</v>
      </c>
    </row>
    <row r="1144" spans="1:7" x14ac:dyDescent="0.25">
      <c r="A1144" t="s">
        <v>1970</v>
      </c>
      <c r="B1144" t="s">
        <v>2286</v>
      </c>
      <c r="C1144">
        <v>2012</v>
      </c>
      <c r="D1144" t="s">
        <v>187</v>
      </c>
      <c r="F1144" t="s">
        <v>9715</v>
      </c>
      <c r="G1144" t="s">
        <v>3990</v>
      </c>
    </row>
    <row r="1145" spans="1:7" x14ac:dyDescent="0.25">
      <c r="A1145" t="s">
        <v>1294</v>
      </c>
      <c r="B1145" t="s">
        <v>2288</v>
      </c>
      <c r="C1145">
        <v>2019</v>
      </c>
      <c r="E1145" t="s">
        <v>2982</v>
      </c>
      <c r="F1145" t="s">
        <v>8810</v>
      </c>
      <c r="G1145" t="s">
        <v>3990</v>
      </c>
    </row>
    <row r="1146" spans="1:7" x14ac:dyDescent="0.25">
      <c r="A1146" t="s">
        <v>1690</v>
      </c>
      <c r="B1146" t="s">
        <v>2288</v>
      </c>
      <c r="C1146">
        <v>2020</v>
      </c>
      <c r="E1146" t="s">
        <v>2982</v>
      </c>
      <c r="F1146" t="s">
        <v>8906</v>
      </c>
      <c r="G1146" t="s">
        <v>3990</v>
      </c>
    </row>
    <row r="1147" spans="1:7" x14ac:dyDescent="0.25">
      <c r="A1147" t="s">
        <v>160</v>
      </c>
      <c r="B1147" t="s">
        <v>2288</v>
      </c>
      <c r="C1147">
        <v>2011</v>
      </c>
      <c r="E1147" t="s">
        <v>2982</v>
      </c>
      <c r="F1147" t="s">
        <v>9291</v>
      </c>
      <c r="G1147" t="s">
        <v>3990</v>
      </c>
    </row>
    <row r="1148" spans="1:7" x14ac:dyDescent="0.25">
      <c r="A1148" t="s">
        <v>2295</v>
      </c>
      <c r="B1148" t="s">
        <v>2292</v>
      </c>
      <c r="C1148">
        <v>2000</v>
      </c>
      <c r="D1148" t="s">
        <v>187</v>
      </c>
      <c r="F1148" t="s">
        <v>9716</v>
      </c>
      <c r="G1148" t="s">
        <v>3990</v>
      </c>
    </row>
    <row r="1149" spans="1:7" x14ac:dyDescent="0.25">
      <c r="A1149" t="s">
        <v>1761</v>
      </c>
      <c r="B1149" t="s">
        <v>2295</v>
      </c>
      <c r="C1149">
        <v>1995</v>
      </c>
      <c r="D1149" t="s">
        <v>187</v>
      </c>
      <c r="F1149" t="s">
        <v>9717</v>
      </c>
      <c r="G1149" t="s">
        <v>3990</v>
      </c>
    </row>
    <row r="1150" spans="1:7" x14ac:dyDescent="0.25">
      <c r="A1150" t="s">
        <v>2292</v>
      </c>
      <c r="B1150" t="s">
        <v>2298</v>
      </c>
      <c r="C1150">
        <v>2008</v>
      </c>
      <c r="D1150" t="s">
        <v>187</v>
      </c>
      <c r="F1150" t="s">
        <v>9718</v>
      </c>
      <c r="G1150" t="s">
        <v>3990</v>
      </c>
    </row>
    <row r="1151" spans="1:7" x14ac:dyDescent="0.25">
      <c r="A1151" t="s">
        <v>2295</v>
      </c>
      <c r="B1151" t="s">
        <v>2301</v>
      </c>
      <c r="C1151">
        <v>2000</v>
      </c>
      <c r="D1151" t="s">
        <v>187</v>
      </c>
      <c r="F1151" t="s">
        <v>9719</v>
      </c>
      <c r="G1151" t="s">
        <v>3990</v>
      </c>
    </row>
    <row r="1152" spans="1:7" x14ac:dyDescent="0.25">
      <c r="A1152" t="s">
        <v>1761</v>
      </c>
      <c r="B1152" t="s">
        <v>2304</v>
      </c>
      <c r="C1152">
        <v>1995</v>
      </c>
      <c r="D1152" t="s">
        <v>187</v>
      </c>
      <c r="F1152" t="s">
        <v>9720</v>
      </c>
      <c r="G1152" t="s">
        <v>3990</v>
      </c>
    </row>
    <row r="1153" spans="1:7" x14ac:dyDescent="0.25">
      <c r="A1153" t="s">
        <v>2304</v>
      </c>
      <c r="B1153" t="s">
        <v>2307</v>
      </c>
      <c r="C1153">
        <v>1996</v>
      </c>
      <c r="D1153" t="s">
        <v>187</v>
      </c>
      <c r="F1153" t="s">
        <v>9721</v>
      </c>
      <c r="G1153" t="s">
        <v>3990</v>
      </c>
    </row>
    <row r="1154" spans="1:7" x14ac:dyDescent="0.25">
      <c r="A1154" t="s">
        <v>2314</v>
      </c>
      <c r="B1154" t="s">
        <v>2310</v>
      </c>
      <c r="C1154">
        <v>2010</v>
      </c>
      <c r="D1154" t="s">
        <v>187</v>
      </c>
      <c r="F1154" t="s">
        <v>9722</v>
      </c>
      <c r="G1154" t="s">
        <v>3990</v>
      </c>
    </row>
    <row r="1155" spans="1:7" x14ac:dyDescent="0.25">
      <c r="A1155" t="s">
        <v>2298</v>
      </c>
      <c r="B1155" t="s">
        <v>2314</v>
      </c>
      <c r="C1155">
        <v>2010</v>
      </c>
      <c r="D1155" t="s">
        <v>187</v>
      </c>
      <c r="F1155" t="s">
        <v>9723</v>
      </c>
      <c r="G1155" t="s">
        <v>3990</v>
      </c>
    </row>
    <row r="1156" spans="1:7" x14ac:dyDescent="0.25">
      <c r="A1156" t="s">
        <v>689</v>
      </c>
      <c r="B1156" t="s">
        <v>2318</v>
      </c>
      <c r="C1156">
        <v>2015</v>
      </c>
      <c r="E1156" t="s">
        <v>3088</v>
      </c>
      <c r="F1156" t="s">
        <v>8579</v>
      </c>
      <c r="G1156" t="s">
        <v>3990</v>
      </c>
    </row>
    <row r="1157" spans="1:7" x14ac:dyDescent="0.25">
      <c r="A1157" t="s">
        <v>746</v>
      </c>
      <c r="B1157" t="s">
        <v>2318</v>
      </c>
      <c r="C1157">
        <v>2015</v>
      </c>
      <c r="E1157" t="s">
        <v>3088</v>
      </c>
      <c r="F1157" t="s">
        <v>8604</v>
      </c>
      <c r="G1157" t="s">
        <v>3990</v>
      </c>
    </row>
    <row r="1158" spans="1:7" x14ac:dyDescent="0.25">
      <c r="A1158" t="s">
        <v>1443</v>
      </c>
      <c r="B1158" t="s">
        <v>2318</v>
      </c>
      <c r="C1158">
        <v>2018</v>
      </c>
      <c r="E1158" t="s">
        <v>3088</v>
      </c>
      <c r="F1158" t="s">
        <v>8858</v>
      </c>
      <c r="G1158" t="s">
        <v>3990</v>
      </c>
    </row>
    <row r="1159" spans="1:7" x14ac:dyDescent="0.25">
      <c r="A1159" t="s">
        <v>90</v>
      </c>
      <c r="B1159" t="s">
        <v>2318</v>
      </c>
      <c r="C1159">
        <v>2017</v>
      </c>
      <c r="E1159" t="s">
        <v>3088</v>
      </c>
      <c r="F1159" t="s">
        <v>9150</v>
      </c>
      <c r="G1159" t="s">
        <v>3990</v>
      </c>
    </row>
    <row r="1160" spans="1:7" x14ac:dyDescent="0.25">
      <c r="A1160" t="s">
        <v>930</v>
      </c>
      <c r="B1160" t="s">
        <v>2328</v>
      </c>
      <c r="C1160">
        <v>2015</v>
      </c>
      <c r="E1160" s="10" t="s">
        <v>3158</v>
      </c>
      <c r="F1160" t="s">
        <v>14051</v>
      </c>
      <c r="G1160" t="s">
        <v>3990</v>
      </c>
    </row>
    <row r="1161" spans="1:7" x14ac:dyDescent="0.25">
      <c r="A1161" t="s">
        <v>2428</v>
      </c>
      <c r="B1161" t="s">
        <v>2328</v>
      </c>
      <c r="C1161">
        <v>2008</v>
      </c>
      <c r="E1161" s="10" t="s">
        <v>3158</v>
      </c>
      <c r="F1161" t="s">
        <v>14051</v>
      </c>
      <c r="G1161" t="s">
        <v>3990</v>
      </c>
    </row>
    <row r="1162" spans="1:7" x14ac:dyDescent="0.25">
      <c r="A1162" t="s">
        <v>1435</v>
      </c>
      <c r="B1162" t="s">
        <v>7935</v>
      </c>
      <c r="C1162">
        <v>2021</v>
      </c>
      <c r="E1162" s="10" t="s">
        <v>7934</v>
      </c>
      <c r="F1162" t="s">
        <v>10030</v>
      </c>
      <c r="G1162" t="s">
        <v>187</v>
      </c>
    </row>
    <row r="1163" spans="1:7" x14ac:dyDescent="0.25">
      <c r="A1163" t="s">
        <v>90</v>
      </c>
      <c r="B1163" t="s">
        <v>7935</v>
      </c>
      <c r="C1163">
        <v>2017</v>
      </c>
      <c r="E1163" s="10" t="s">
        <v>7934</v>
      </c>
      <c r="F1163" t="s">
        <v>10030</v>
      </c>
      <c r="G1163" t="s">
        <v>187</v>
      </c>
    </row>
    <row r="1164" spans="1:7" x14ac:dyDescent="0.25">
      <c r="A1164" t="s">
        <v>260</v>
      </c>
      <c r="B1164" t="s">
        <v>2330</v>
      </c>
      <c r="C1164">
        <v>1990</v>
      </c>
      <c r="E1164" t="s">
        <v>3003</v>
      </c>
      <c r="F1164" t="s">
        <v>8471</v>
      </c>
      <c r="G1164" t="s">
        <v>3990</v>
      </c>
    </row>
    <row r="1165" spans="1:7" x14ac:dyDescent="0.25">
      <c r="A1165" t="s">
        <v>2695</v>
      </c>
      <c r="B1165" t="s">
        <v>2332</v>
      </c>
      <c r="C1165">
        <v>2025</v>
      </c>
      <c r="D1165" t="s">
        <v>187</v>
      </c>
      <c r="F1165" t="s">
        <v>9724</v>
      </c>
      <c r="G1165" t="s">
        <v>3990</v>
      </c>
    </row>
    <row r="1166" spans="1:7" x14ac:dyDescent="0.25">
      <c r="A1166" t="s">
        <v>8384</v>
      </c>
      <c r="B1166" t="s">
        <v>2339</v>
      </c>
      <c r="C1166">
        <v>2021</v>
      </c>
      <c r="E1166" t="s">
        <v>2982</v>
      </c>
      <c r="F1166" t="s">
        <v>8642</v>
      </c>
      <c r="G1166" t="s">
        <v>3990</v>
      </c>
    </row>
    <row r="1167" spans="1:7" x14ac:dyDescent="0.25">
      <c r="A1167" t="s">
        <v>2365</v>
      </c>
      <c r="B1167" t="s">
        <v>2339</v>
      </c>
      <c r="C1167">
        <v>2023</v>
      </c>
      <c r="E1167" t="s">
        <v>2982</v>
      </c>
      <c r="F1167" t="s">
        <v>9181</v>
      </c>
      <c r="G1167" t="s">
        <v>3990</v>
      </c>
    </row>
    <row r="1168" spans="1:7" x14ac:dyDescent="0.25">
      <c r="A1168" t="s">
        <v>2828</v>
      </c>
      <c r="B1168" t="s">
        <v>2339</v>
      </c>
      <c r="C1168">
        <v>2022</v>
      </c>
      <c r="D1168" t="s">
        <v>187</v>
      </c>
      <c r="F1168" t="s">
        <v>9725</v>
      </c>
      <c r="G1168" t="s">
        <v>3990</v>
      </c>
    </row>
    <row r="1169" spans="1:7" x14ac:dyDescent="0.25">
      <c r="A1169" t="s">
        <v>2428</v>
      </c>
      <c r="B1169" t="s">
        <v>2341</v>
      </c>
      <c r="C1169">
        <v>2008</v>
      </c>
      <c r="E1169" t="s">
        <v>2982</v>
      </c>
      <c r="F1169" t="s">
        <v>9216</v>
      </c>
      <c r="G1169" t="s">
        <v>3990</v>
      </c>
    </row>
    <row r="1170" spans="1:7" x14ac:dyDescent="0.25">
      <c r="A1170" t="s">
        <v>353</v>
      </c>
      <c r="B1170" t="s">
        <v>2344</v>
      </c>
      <c r="C1170">
        <v>2023</v>
      </c>
      <c r="E1170" t="s">
        <v>3045</v>
      </c>
      <c r="F1170" t="s">
        <v>9726</v>
      </c>
      <c r="G1170" t="s">
        <v>187</v>
      </c>
    </row>
    <row r="1171" spans="1:7" x14ac:dyDescent="0.25">
      <c r="A1171" t="s">
        <v>1795</v>
      </c>
      <c r="B1171" t="s">
        <v>2348</v>
      </c>
      <c r="C1171">
        <v>1987</v>
      </c>
      <c r="E1171" t="s">
        <v>3284</v>
      </c>
      <c r="F1171" t="s">
        <v>8941</v>
      </c>
      <c r="G1171" t="s">
        <v>3990</v>
      </c>
    </row>
    <row r="1172" spans="1:7" x14ac:dyDescent="0.25">
      <c r="A1172" t="s">
        <v>746</v>
      </c>
      <c r="B1172" t="s">
        <v>90</v>
      </c>
      <c r="C1172">
        <v>2015</v>
      </c>
      <c r="E1172" t="s">
        <v>3107</v>
      </c>
      <c r="F1172" t="s">
        <v>8605</v>
      </c>
      <c r="G1172" t="s">
        <v>3990</v>
      </c>
    </row>
    <row r="1173" spans="1:7" x14ac:dyDescent="0.25">
      <c r="A1173" t="s">
        <v>946</v>
      </c>
      <c r="B1173" t="s">
        <v>90</v>
      </c>
      <c r="C1173">
        <v>2014</v>
      </c>
      <c r="E1173" t="s">
        <v>3163</v>
      </c>
      <c r="F1173" t="s">
        <v>9727</v>
      </c>
      <c r="G1173" t="s">
        <v>187</v>
      </c>
    </row>
    <row r="1174" spans="1:7" x14ac:dyDescent="0.25">
      <c r="A1174" t="s">
        <v>1144</v>
      </c>
      <c r="B1174" t="s">
        <v>90</v>
      </c>
      <c r="C1174">
        <v>2012</v>
      </c>
      <c r="E1174" t="s">
        <v>3211</v>
      </c>
      <c r="F1174" t="s">
        <v>8762</v>
      </c>
      <c r="G1174" t="s">
        <v>3990</v>
      </c>
    </row>
    <row r="1175" spans="1:7" x14ac:dyDescent="0.25">
      <c r="A1175" t="s">
        <v>160</v>
      </c>
      <c r="B1175" t="s">
        <v>90</v>
      </c>
      <c r="C1175">
        <v>2011</v>
      </c>
      <c r="E1175" t="s">
        <v>3163</v>
      </c>
      <c r="F1175" t="s">
        <v>9728</v>
      </c>
      <c r="G1175" t="s">
        <v>187</v>
      </c>
    </row>
    <row r="1176" spans="1:7" x14ac:dyDescent="0.25">
      <c r="A1176" t="s">
        <v>90</v>
      </c>
      <c r="B1176" t="s">
        <v>38</v>
      </c>
      <c r="C1176">
        <v>2017</v>
      </c>
      <c r="D1176" t="s">
        <v>187</v>
      </c>
      <c r="F1176" t="s">
        <v>9729</v>
      </c>
      <c r="G1176" t="s">
        <v>3990</v>
      </c>
    </row>
    <row r="1177" spans="1:7" x14ac:dyDescent="0.25">
      <c r="A1177" t="s">
        <v>1144</v>
      </c>
      <c r="B1177" t="s">
        <v>2361</v>
      </c>
      <c r="C1177">
        <v>2012</v>
      </c>
      <c r="E1177" t="s">
        <v>2982</v>
      </c>
      <c r="F1177" t="s">
        <v>8763</v>
      </c>
      <c r="G1177" t="s">
        <v>3990</v>
      </c>
    </row>
    <row r="1178" spans="1:7" x14ac:dyDescent="0.25">
      <c r="A1178" t="s">
        <v>90</v>
      </c>
      <c r="B1178" t="s">
        <v>2361</v>
      </c>
      <c r="C1178">
        <v>2017</v>
      </c>
      <c r="E1178" t="s">
        <v>2982</v>
      </c>
      <c r="F1178" t="s">
        <v>9151</v>
      </c>
      <c r="G1178" t="s">
        <v>3990</v>
      </c>
    </row>
    <row r="1179" spans="1:7" x14ac:dyDescent="0.25">
      <c r="A1179" t="s">
        <v>2365</v>
      </c>
      <c r="B1179" t="s">
        <v>8371</v>
      </c>
      <c r="C1179">
        <v>2023</v>
      </c>
      <c r="D1179" t="s">
        <v>187</v>
      </c>
      <c r="F1179" t="s">
        <v>9730</v>
      </c>
      <c r="G1179" t="s">
        <v>3990</v>
      </c>
    </row>
    <row r="1180" spans="1:7" x14ac:dyDescent="0.25">
      <c r="A1180" t="s">
        <v>185</v>
      </c>
      <c r="B1180" t="s">
        <v>2365</v>
      </c>
      <c r="C1180">
        <v>2022</v>
      </c>
      <c r="E1180" s="10" t="s">
        <v>2368</v>
      </c>
      <c r="F1180" t="s">
        <v>8451</v>
      </c>
      <c r="G1180" t="s">
        <v>3990</v>
      </c>
    </row>
    <row r="1181" spans="1:7" x14ac:dyDescent="0.25">
      <c r="A1181" t="s">
        <v>497</v>
      </c>
      <c r="B1181" t="s">
        <v>2365</v>
      </c>
      <c r="C1181">
        <v>2022</v>
      </c>
      <c r="E1181" s="10" t="s">
        <v>2368</v>
      </c>
      <c r="F1181" t="s">
        <v>8557</v>
      </c>
      <c r="G1181" t="s">
        <v>3990</v>
      </c>
    </row>
    <row r="1182" spans="1:7" x14ac:dyDescent="0.25">
      <c r="A1182" t="s">
        <v>8384</v>
      </c>
      <c r="B1182" t="s">
        <v>2365</v>
      </c>
      <c r="C1182">
        <v>2021</v>
      </c>
      <c r="D1182" t="s">
        <v>187</v>
      </c>
      <c r="F1182" t="s">
        <v>9731</v>
      </c>
      <c r="G1182" t="s">
        <v>3990</v>
      </c>
    </row>
    <row r="1183" spans="1:7" x14ac:dyDescent="0.25">
      <c r="A1183" t="s">
        <v>924</v>
      </c>
      <c r="B1183" t="s">
        <v>2365</v>
      </c>
      <c r="C1183">
        <v>2019</v>
      </c>
      <c r="E1183" s="10" t="s">
        <v>2368</v>
      </c>
      <c r="F1183" t="s">
        <v>9732</v>
      </c>
      <c r="G1183" t="s">
        <v>187</v>
      </c>
    </row>
    <row r="1184" spans="1:7" x14ac:dyDescent="0.25">
      <c r="A1184" t="s">
        <v>1302</v>
      </c>
      <c r="B1184" t="s">
        <v>2365</v>
      </c>
      <c r="C1184">
        <v>2023</v>
      </c>
      <c r="E1184" s="10" t="s">
        <v>2368</v>
      </c>
      <c r="F1184" t="s">
        <v>8824</v>
      </c>
      <c r="G1184" t="s">
        <v>3990</v>
      </c>
    </row>
    <row r="1185" spans="1:7" x14ac:dyDescent="0.25">
      <c r="A1185" t="s">
        <v>2397</v>
      </c>
      <c r="B1185" t="s">
        <v>2365</v>
      </c>
      <c r="C1185">
        <v>2022</v>
      </c>
      <c r="E1185" s="10" t="s">
        <v>2368</v>
      </c>
      <c r="F1185" t="s">
        <v>9187</v>
      </c>
      <c r="G1185" t="s">
        <v>3990</v>
      </c>
    </row>
    <row r="1186" spans="1:7" x14ac:dyDescent="0.25">
      <c r="A1186" t="s">
        <v>2804</v>
      </c>
      <c r="B1186" t="s">
        <v>2365</v>
      </c>
      <c r="C1186">
        <v>2021</v>
      </c>
      <c r="E1186" s="10" t="s">
        <v>8370</v>
      </c>
      <c r="F1186" t="s">
        <v>9344</v>
      </c>
      <c r="G1186" t="s">
        <v>3990</v>
      </c>
    </row>
    <row r="1187" spans="1:7" x14ac:dyDescent="0.25">
      <c r="A1187" t="s">
        <v>1565</v>
      </c>
      <c r="B1187" t="s">
        <v>2369</v>
      </c>
      <c r="C1187">
        <v>2023</v>
      </c>
      <c r="E1187" t="s">
        <v>3257</v>
      </c>
      <c r="F1187" t="s">
        <v>8870</v>
      </c>
      <c r="G1187" t="s">
        <v>3990</v>
      </c>
    </row>
    <row r="1188" spans="1:7" x14ac:dyDescent="0.25">
      <c r="A1188" t="s">
        <v>1576</v>
      </c>
      <c r="B1188" t="s">
        <v>2369</v>
      </c>
      <c r="C1188">
        <v>2021</v>
      </c>
      <c r="E1188" t="s">
        <v>3257</v>
      </c>
      <c r="F1188" t="s">
        <v>8889</v>
      </c>
      <c r="G1188" t="s">
        <v>3990</v>
      </c>
    </row>
    <row r="1189" spans="1:7" x14ac:dyDescent="0.25">
      <c r="A1189" t="s">
        <v>1761</v>
      </c>
      <c r="B1189" t="s">
        <v>2369</v>
      </c>
      <c r="C1189">
        <v>1995</v>
      </c>
      <c r="E1189" t="s">
        <v>3257</v>
      </c>
      <c r="F1189" t="s">
        <v>8919</v>
      </c>
      <c r="G1189" t="s">
        <v>3990</v>
      </c>
    </row>
    <row r="1190" spans="1:7" x14ac:dyDescent="0.25">
      <c r="A1190" t="s">
        <v>90</v>
      </c>
      <c r="B1190" t="s">
        <v>2369</v>
      </c>
      <c r="C1190">
        <v>2017</v>
      </c>
      <c r="E1190" t="s">
        <v>3257</v>
      </c>
      <c r="F1190" t="s">
        <v>9152</v>
      </c>
      <c r="G1190" t="s">
        <v>3990</v>
      </c>
    </row>
    <row r="1191" spans="1:7" x14ac:dyDescent="0.25">
      <c r="A1191" t="s">
        <v>353</v>
      </c>
      <c r="B1191" t="s">
        <v>2371</v>
      </c>
      <c r="C1191">
        <v>2023</v>
      </c>
      <c r="E1191" t="s">
        <v>3046</v>
      </c>
      <c r="F1191" t="s">
        <v>8525</v>
      </c>
      <c r="G1191" t="s">
        <v>3990</v>
      </c>
    </row>
    <row r="1192" spans="1:7" x14ac:dyDescent="0.25">
      <c r="A1192" t="s">
        <v>90</v>
      </c>
      <c r="B1192" t="s">
        <v>2371</v>
      </c>
      <c r="C1192">
        <v>2017</v>
      </c>
      <c r="E1192" t="s">
        <v>3046</v>
      </c>
      <c r="F1192" t="s">
        <v>9153</v>
      </c>
      <c r="G1192" t="s">
        <v>3990</v>
      </c>
    </row>
    <row r="1193" spans="1:7" x14ac:dyDescent="0.25">
      <c r="A1193" t="s">
        <v>353</v>
      </c>
      <c r="B1193" t="s">
        <v>2381</v>
      </c>
      <c r="C1193">
        <v>2023</v>
      </c>
      <c r="E1193" t="s">
        <v>3047</v>
      </c>
      <c r="F1193" t="s">
        <v>8526</v>
      </c>
      <c r="G1193" t="s">
        <v>3990</v>
      </c>
    </row>
    <row r="1194" spans="1:7" x14ac:dyDescent="0.25">
      <c r="A1194" t="s">
        <v>778</v>
      </c>
      <c r="B1194" t="s">
        <v>2381</v>
      </c>
      <c r="C1194">
        <v>2023</v>
      </c>
      <c r="E1194" t="s">
        <v>3047</v>
      </c>
      <c r="F1194" t="s">
        <v>8633</v>
      </c>
      <c r="G1194" t="s">
        <v>3990</v>
      </c>
    </row>
    <row r="1195" spans="1:7" x14ac:dyDescent="0.25">
      <c r="A1195" t="s">
        <v>2804</v>
      </c>
      <c r="B1195" t="s">
        <v>2381</v>
      </c>
      <c r="C1195">
        <v>2021</v>
      </c>
      <c r="E1195" t="s">
        <v>2982</v>
      </c>
      <c r="F1195" t="s">
        <v>9345</v>
      </c>
      <c r="G1195" t="s">
        <v>3990</v>
      </c>
    </row>
    <row r="1196" spans="1:7" x14ac:dyDescent="0.25">
      <c r="A1196" t="s">
        <v>353</v>
      </c>
      <c r="B1196" t="s">
        <v>2385</v>
      </c>
      <c r="C1196">
        <v>2023</v>
      </c>
      <c r="E1196" t="s">
        <v>3048</v>
      </c>
      <c r="F1196" t="s">
        <v>9733</v>
      </c>
      <c r="G1196" t="s">
        <v>187</v>
      </c>
    </row>
    <row r="1197" spans="1:7" x14ac:dyDescent="0.25">
      <c r="A1197" t="s">
        <v>873</v>
      </c>
      <c r="B1197" t="s">
        <v>2385</v>
      </c>
      <c r="C1197">
        <v>2019</v>
      </c>
      <c r="E1197" s="10" t="s">
        <v>8402</v>
      </c>
      <c r="F1197" t="s">
        <v>9734</v>
      </c>
      <c r="G1197" t="s">
        <v>187</v>
      </c>
    </row>
    <row r="1198" spans="1:7" x14ac:dyDescent="0.25">
      <c r="A1198" t="s">
        <v>1435</v>
      </c>
      <c r="B1198" t="s">
        <v>2385</v>
      </c>
      <c r="C1198">
        <v>2021</v>
      </c>
      <c r="E1198" s="10" t="s">
        <v>8402</v>
      </c>
      <c r="F1198" t="s">
        <v>8841</v>
      </c>
      <c r="G1198" t="s">
        <v>3990</v>
      </c>
    </row>
    <row r="1199" spans="1:7" x14ac:dyDescent="0.25">
      <c r="A1199" t="s">
        <v>1144</v>
      </c>
      <c r="B1199" t="s">
        <v>2389</v>
      </c>
      <c r="C1199">
        <v>2012</v>
      </c>
      <c r="E1199" t="s">
        <v>3212</v>
      </c>
      <c r="F1199" t="s">
        <v>9735</v>
      </c>
      <c r="G1199" t="s">
        <v>187</v>
      </c>
    </row>
    <row r="1200" spans="1:7" x14ac:dyDescent="0.25">
      <c r="A1200" t="s">
        <v>256</v>
      </c>
      <c r="B1200" t="s">
        <v>2393</v>
      </c>
      <c r="C1200">
        <v>1994</v>
      </c>
      <c r="E1200" t="s">
        <v>2997</v>
      </c>
      <c r="F1200" t="s">
        <v>8464</v>
      </c>
      <c r="G1200" t="s">
        <v>3990</v>
      </c>
    </row>
    <row r="1201" spans="1:7" x14ac:dyDescent="0.25">
      <c r="A1201" t="s">
        <v>2792</v>
      </c>
      <c r="B1201" t="s">
        <v>2393</v>
      </c>
      <c r="C1201">
        <v>1992</v>
      </c>
      <c r="E1201" t="s">
        <v>2997</v>
      </c>
      <c r="F1201" t="s">
        <v>9318</v>
      </c>
      <c r="G1201" t="s">
        <v>3990</v>
      </c>
    </row>
    <row r="1202" spans="1:7" x14ac:dyDescent="0.25">
      <c r="A1202" t="s">
        <v>1004</v>
      </c>
      <c r="B1202" t="s">
        <v>2395</v>
      </c>
      <c r="C1202">
        <v>2006</v>
      </c>
      <c r="E1202" t="s">
        <v>3171</v>
      </c>
      <c r="F1202" t="s">
        <v>8705</v>
      </c>
      <c r="G1202" t="s">
        <v>3990</v>
      </c>
    </row>
    <row r="1203" spans="1:7" x14ac:dyDescent="0.25">
      <c r="A1203" t="s">
        <v>2393</v>
      </c>
      <c r="B1203" t="s">
        <v>2395</v>
      </c>
      <c r="C1203">
        <v>2022</v>
      </c>
      <c r="D1203" t="s">
        <v>187</v>
      </c>
      <c r="F1203" t="s">
        <v>9736</v>
      </c>
      <c r="G1203" t="s">
        <v>3990</v>
      </c>
    </row>
    <row r="1204" spans="1:7" x14ac:dyDescent="0.25">
      <c r="A1204" t="s">
        <v>1294</v>
      </c>
      <c r="B1204" t="s">
        <v>2397</v>
      </c>
      <c r="C1204">
        <v>2019</v>
      </c>
      <c r="E1204" t="s">
        <v>3233</v>
      </c>
      <c r="F1204" t="s">
        <v>8811</v>
      </c>
      <c r="G1204" t="s">
        <v>3990</v>
      </c>
    </row>
    <row r="1205" spans="1:7" x14ac:dyDescent="0.25">
      <c r="A1205" t="s">
        <v>2136</v>
      </c>
      <c r="B1205" t="s">
        <v>2397</v>
      </c>
      <c r="C1205">
        <v>2020</v>
      </c>
      <c r="E1205" s="10" t="s">
        <v>8376</v>
      </c>
      <c r="F1205" t="s">
        <v>9012</v>
      </c>
      <c r="G1205" t="s">
        <v>3990</v>
      </c>
    </row>
    <row r="1206" spans="1:7" x14ac:dyDescent="0.25">
      <c r="A1206" t="s">
        <v>2804</v>
      </c>
      <c r="B1206" t="s">
        <v>2397</v>
      </c>
      <c r="C1206">
        <v>2021</v>
      </c>
      <c r="E1206" t="s">
        <v>3233</v>
      </c>
      <c r="F1206" t="s">
        <v>9346</v>
      </c>
      <c r="G1206" t="s">
        <v>3990</v>
      </c>
    </row>
    <row r="1207" spans="1:7" x14ac:dyDescent="0.25">
      <c r="A1207" t="s">
        <v>759</v>
      </c>
      <c r="B1207" t="s">
        <v>9892</v>
      </c>
      <c r="C1207">
        <v>2018</v>
      </c>
      <c r="E1207" s="10" t="s">
        <v>9891</v>
      </c>
      <c r="F1207" t="s">
        <v>9895</v>
      </c>
      <c r="G1207" t="s">
        <v>3990</v>
      </c>
    </row>
    <row r="1208" spans="1:7" x14ac:dyDescent="0.25">
      <c r="A1208" t="s">
        <v>759</v>
      </c>
      <c r="B1208" t="s">
        <v>2403</v>
      </c>
      <c r="C1208">
        <v>2018</v>
      </c>
      <c r="E1208" t="s">
        <v>3122</v>
      </c>
      <c r="F1208" t="s">
        <v>8625</v>
      </c>
      <c r="G1208" t="s">
        <v>3990</v>
      </c>
    </row>
    <row r="1209" spans="1:7" x14ac:dyDescent="0.25">
      <c r="A1209" t="s">
        <v>2173</v>
      </c>
      <c r="B1209" t="s">
        <v>2403</v>
      </c>
      <c r="C1209">
        <v>2013</v>
      </c>
      <c r="E1209" t="s">
        <v>3122</v>
      </c>
      <c r="F1209" t="s">
        <v>9051</v>
      </c>
      <c r="G1209" t="s">
        <v>3990</v>
      </c>
    </row>
    <row r="1210" spans="1:7" x14ac:dyDescent="0.25">
      <c r="A1210" t="s">
        <v>160</v>
      </c>
      <c r="B1210" t="s">
        <v>2403</v>
      </c>
      <c r="C1210">
        <v>2011</v>
      </c>
      <c r="E1210" t="s">
        <v>3122</v>
      </c>
      <c r="F1210" t="s">
        <v>9292</v>
      </c>
      <c r="G1210" t="s">
        <v>3990</v>
      </c>
    </row>
    <row r="1211" spans="1:7" x14ac:dyDescent="0.25">
      <c r="A1211" t="s">
        <v>490</v>
      </c>
      <c r="B1211" t="s">
        <v>2406</v>
      </c>
      <c r="C1211">
        <v>2009</v>
      </c>
      <c r="E1211" t="s">
        <v>3062</v>
      </c>
      <c r="F1211" t="s">
        <v>8543</v>
      </c>
      <c r="G1211" t="s">
        <v>3990</v>
      </c>
    </row>
    <row r="1212" spans="1:7" x14ac:dyDescent="0.25">
      <c r="A1212" t="s">
        <v>922</v>
      </c>
      <c r="B1212" t="s">
        <v>2406</v>
      </c>
      <c r="C1212">
        <v>2002</v>
      </c>
      <c r="E1212" t="s">
        <v>3062</v>
      </c>
      <c r="F1212" t="s">
        <v>8681</v>
      </c>
      <c r="G1212" t="s">
        <v>3990</v>
      </c>
    </row>
    <row r="1213" spans="1:7" x14ac:dyDescent="0.25">
      <c r="A1213" t="s">
        <v>746</v>
      </c>
      <c r="B1213" t="s">
        <v>8100</v>
      </c>
      <c r="C1213">
        <v>2015</v>
      </c>
      <c r="E1213" s="10" t="s">
        <v>8114</v>
      </c>
      <c r="F1213" t="s">
        <v>9737</v>
      </c>
      <c r="G1213" t="s">
        <v>187</v>
      </c>
    </row>
    <row r="1214" spans="1:7" x14ac:dyDescent="0.25">
      <c r="A1214" t="s">
        <v>914</v>
      </c>
      <c r="B1214" t="s">
        <v>8100</v>
      </c>
      <c r="C1214">
        <v>2013</v>
      </c>
      <c r="E1214" s="10" t="s">
        <v>8114</v>
      </c>
      <c r="F1214" t="s">
        <v>9738</v>
      </c>
      <c r="G1214" t="s">
        <v>187</v>
      </c>
    </row>
    <row r="1215" spans="1:7" x14ac:dyDescent="0.25">
      <c r="A1215" t="s">
        <v>1255</v>
      </c>
      <c r="B1215" t="s">
        <v>8100</v>
      </c>
      <c r="C1215">
        <v>2020</v>
      </c>
      <c r="E1215" s="10" t="s">
        <v>8114</v>
      </c>
      <c r="F1215" t="s">
        <v>9739</v>
      </c>
      <c r="G1215" t="s">
        <v>187</v>
      </c>
    </row>
    <row r="1216" spans="1:7" x14ac:dyDescent="0.25">
      <c r="A1216" t="s">
        <v>1294</v>
      </c>
      <c r="B1216" t="s">
        <v>8100</v>
      </c>
      <c r="C1216">
        <v>2019</v>
      </c>
      <c r="E1216" s="10" t="s">
        <v>8114</v>
      </c>
      <c r="F1216" t="s">
        <v>9740</v>
      </c>
      <c r="G1216" t="s">
        <v>187</v>
      </c>
    </row>
    <row r="1217" spans="1:7" x14ac:dyDescent="0.25">
      <c r="A1217" t="s">
        <v>1144</v>
      </c>
      <c r="B1217" t="s">
        <v>7843</v>
      </c>
      <c r="C1217">
        <v>2012</v>
      </c>
      <c r="E1217" t="s">
        <v>7842</v>
      </c>
      <c r="F1217" t="s">
        <v>8764</v>
      </c>
      <c r="G1217" t="s">
        <v>3990</v>
      </c>
    </row>
    <row r="1218" spans="1:7" x14ac:dyDescent="0.25">
      <c r="A1218" t="s">
        <v>2173</v>
      </c>
      <c r="B1218" t="s">
        <v>7843</v>
      </c>
      <c r="C1218">
        <v>2013</v>
      </c>
      <c r="E1218" t="s">
        <v>7845</v>
      </c>
      <c r="F1218" t="s">
        <v>9052</v>
      </c>
      <c r="G1218" t="s">
        <v>3990</v>
      </c>
    </row>
    <row r="1219" spans="1:7" x14ac:dyDescent="0.25">
      <c r="A1219" t="s">
        <v>160</v>
      </c>
      <c r="B1219" t="s">
        <v>7843</v>
      </c>
      <c r="C1219">
        <v>2011</v>
      </c>
      <c r="E1219" t="s">
        <v>7842</v>
      </c>
      <c r="F1219" t="s">
        <v>9293</v>
      </c>
      <c r="G1219" t="s">
        <v>3990</v>
      </c>
    </row>
    <row r="1220" spans="1:7" x14ac:dyDescent="0.25">
      <c r="A1220" t="s">
        <v>2804</v>
      </c>
      <c r="B1220" t="s">
        <v>2410</v>
      </c>
      <c r="C1220">
        <v>2021</v>
      </c>
      <c r="E1220" t="s">
        <v>3013</v>
      </c>
      <c r="F1220" t="s">
        <v>9741</v>
      </c>
      <c r="G1220" t="s">
        <v>187</v>
      </c>
    </row>
    <row r="1221" spans="1:7" x14ac:dyDescent="0.25">
      <c r="A1221" t="s">
        <v>1385</v>
      </c>
      <c r="B1221" t="s">
        <v>2414</v>
      </c>
      <c r="C1221">
        <v>2013</v>
      </c>
      <c r="E1221" s="10" t="s">
        <v>8395</v>
      </c>
      <c r="F1221" t="s">
        <v>9742</v>
      </c>
      <c r="G1221" t="s">
        <v>187</v>
      </c>
    </row>
    <row r="1222" spans="1:7" x14ac:dyDescent="0.25">
      <c r="A1222" t="s">
        <v>1443</v>
      </c>
      <c r="B1222" t="s">
        <v>2414</v>
      </c>
      <c r="C1222">
        <v>2018</v>
      </c>
      <c r="E1222" t="s">
        <v>3250</v>
      </c>
      <c r="F1222" t="s">
        <v>9743</v>
      </c>
      <c r="G1222" t="s">
        <v>187</v>
      </c>
    </row>
    <row r="1223" spans="1:7" x14ac:dyDescent="0.25">
      <c r="A1223" t="s">
        <v>1855</v>
      </c>
      <c r="B1223" t="s">
        <v>2414</v>
      </c>
      <c r="C1223">
        <v>2015</v>
      </c>
      <c r="E1223" s="10" t="s">
        <v>8395</v>
      </c>
      <c r="F1223" t="s">
        <v>8972</v>
      </c>
      <c r="G1223" t="s">
        <v>3990</v>
      </c>
    </row>
    <row r="1224" spans="1:7" x14ac:dyDescent="0.25">
      <c r="A1224" t="s">
        <v>873</v>
      </c>
      <c r="B1224" t="s">
        <v>2416</v>
      </c>
      <c r="C1224">
        <v>2019</v>
      </c>
      <c r="E1224" t="s">
        <v>2982</v>
      </c>
      <c r="F1224" t="s">
        <v>9744</v>
      </c>
      <c r="G1224" t="s">
        <v>187</v>
      </c>
    </row>
    <row r="1225" spans="1:7" x14ac:dyDescent="0.25">
      <c r="A1225" t="s">
        <v>90</v>
      </c>
      <c r="B1225" t="s">
        <v>2416</v>
      </c>
      <c r="C1225">
        <v>2017</v>
      </c>
      <c r="E1225" t="s">
        <v>2982</v>
      </c>
      <c r="F1225" t="s">
        <v>9745</v>
      </c>
      <c r="G1225" t="s">
        <v>187</v>
      </c>
    </row>
    <row r="1226" spans="1:7" x14ac:dyDescent="0.25">
      <c r="A1226" t="s">
        <v>2428</v>
      </c>
      <c r="B1226" t="s">
        <v>2420</v>
      </c>
      <c r="C1226">
        <v>2008</v>
      </c>
      <c r="D1226" t="s">
        <v>187</v>
      </c>
      <c r="F1226" t="s">
        <v>9746</v>
      </c>
      <c r="G1226" t="s">
        <v>3990</v>
      </c>
    </row>
    <row r="1227" spans="1:7" x14ac:dyDescent="0.25">
      <c r="A1227" t="s">
        <v>2420</v>
      </c>
      <c r="B1227" t="s">
        <v>2424</v>
      </c>
      <c r="C1227">
        <v>2012</v>
      </c>
      <c r="D1227" t="s">
        <v>187</v>
      </c>
      <c r="F1227" t="s">
        <v>9747</v>
      </c>
      <c r="G1227" t="s">
        <v>3990</v>
      </c>
    </row>
    <row r="1228" spans="1:7" x14ac:dyDescent="0.25">
      <c r="A1228" t="s">
        <v>1795</v>
      </c>
      <c r="B1228" t="s">
        <v>2428</v>
      </c>
      <c r="C1228">
        <v>1987</v>
      </c>
      <c r="E1228" t="s">
        <v>3285</v>
      </c>
      <c r="F1228" t="s">
        <v>8942</v>
      </c>
      <c r="G1228" t="s">
        <v>3990</v>
      </c>
    </row>
    <row r="1229" spans="1:7" x14ac:dyDescent="0.25">
      <c r="A1229" t="s">
        <v>346</v>
      </c>
      <c r="B1229" t="s">
        <v>2431</v>
      </c>
      <c r="C1229">
        <v>2022</v>
      </c>
      <c r="E1229" t="s">
        <v>2982</v>
      </c>
      <c r="F1229" t="s">
        <v>8490</v>
      </c>
      <c r="G1229" t="s">
        <v>3990</v>
      </c>
    </row>
    <row r="1230" spans="1:7" x14ac:dyDescent="0.25">
      <c r="A1230" t="s">
        <v>1576</v>
      </c>
      <c r="B1230" t="s">
        <v>2431</v>
      </c>
      <c r="C1230">
        <v>2021</v>
      </c>
      <c r="E1230" t="s">
        <v>2982</v>
      </c>
      <c r="F1230" t="s">
        <v>8890</v>
      </c>
      <c r="G1230" t="s">
        <v>3990</v>
      </c>
    </row>
    <row r="1231" spans="1:7" x14ac:dyDescent="0.25">
      <c r="A1231" t="s">
        <v>90</v>
      </c>
      <c r="B1231" t="s">
        <v>2431</v>
      </c>
      <c r="C1231">
        <v>2017</v>
      </c>
      <c r="E1231" t="s">
        <v>2982</v>
      </c>
      <c r="F1231" t="s">
        <v>9154</v>
      </c>
      <c r="G1231" t="s">
        <v>3990</v>
      </c>
    </row>
    <row r="1232" spans="1:7" x14ac:dyDescent="0.25">
      <c r="A1232" t="s">
        <v>1576</v>
      </c>
      <c r="B1232" t="s">
        <v>14115</v>
      </c>
      <c r="C1232">
        <v>2021</v>
      </c>
      <c r="E1232" s="10" t="s">
        <v>14114</v>
      </c>
      <c r="F1232" t="s">
        <v>14116</v>
      </c>
      <c r="G1232" t="s">
        <v>3990</v>
      </c>
    </row>
    <row r="1233" spans="1:7" x14ac:dyDescent="0.25">
      <c r="A1233" t="s">
        <v>1592</v>
      </c>
      <c r="B1233" t="s">
        <v>2435</v>
      </c>
      <c r="C1233">
        <v>2019</v>
      </c>
      <c r="E1233" s="10" t="s">
        <v>8358</v>
      </c>
      <c r="F1233" t="s">
        <v>8894</v>
      </c>
      <c r="G1233" t="s">
        <v>3990</v>
      </c>
    </row>
    <row r="1234" spans="1:7" x14ac:dyDescent="0.25">
      <c r="A1234" t="s">
        <v>2804</v>
      </c>
      <c r="B1234" t="s">
        <v>2435</v>
      </c>
      <c r="C1234">
        <v>2021</v>
      </c>
      <c r="E1234" t="s">
        <v>3013</v>
      </c>
      <c r="F1234" t="s">
        <v>9748</v>
      </c>
      <c r="G1234" t="s">
        <v>187</v>
      </c>
    </row>
    <row r="1235" spans="1:7" x14ac:dyDescent="0.25">
      <c r="A1235" t="s">
        <v>1294</v>
      </c>
      <c r="B1235" t="s">
        <v>2439</v>
      </c>
      <c r="C1235">
        <v>2019</v>
      </c>
      <c r="E1235" t="s">
        <v>2982</v>
      </c>
      <c r="F1235" t="s">
        <v>8812</v>
      </c>
      <c r="G1235" t="s">
        <v>3990</v>
      </c>
    </row>
    <row r="1236" spans="1:7" x14ac:dyDescent="0.25">
      <c r="A1236" t="s">
        <v>90</v>
      </c>
      <c r="B1236" t="s">
        <v>2439</v>
      </c>
      <c r="C1236">
        <v>2017</v>
      </c>
      <c r="E1236" t="s">
        <v>2982</v>
      </c>
      <c r="F1236" t="s">
        <v>9155</v>
      </c>
      <c r="G1236" t="s">
        <v>3990</v>
      </c>
    </row>
    <row r="1237" spans="1:7" x14ac:dyDescent="0.25">
      <c r="A1237" t="s">
        <v>2428</v>
      </c>
      <c r="B1237" t="s">
        <v>2443</v>
      </c>
      <c r="C1237">
        <v>2008</v>
      </c>
      <c r="E1237" t="s">
        <v>2446</v>
      </c>
      <c r="F1237" t="s">
        <v>9217</v>
      </c>
      <c r="G1237" t="s">
        <v>3990</v>
      </c>
    </row>
    <row r="1238" spans="1:7" x14ac:dyDescent="0.25">
      <c r="A1238" t="s">
        <v>256</v>
      </c>
      <c r="B1238" t="s">
        <v>2447</v>
      </c>
      <c r="C1238">
        <v>1994</v>
      </c>
      <c r="E1238" t="s">
        <v>2998</v>
      </c>
      <c r="F1238" t="s">
        <v>8465</v>
      </c>
      <c r="G1238" t="s">
        <v>3990</v>
      </c>
    </row>
    <row r="1239" spans="1:7" x14ac:dyDescent="0.25">
      <c r="A1239" t="s">
        <v>553</v>
      </c>
      <c r="B1239" t="s">
        <v>2447</v>
      </c>
      <c r="C1239">
        <v>2010</v>
      </c>
      <c r="D1239" t="s">
        <v>187</v>
      </c>
      <c r="F1239" t="s">
        <v>9749</v>
      </c>
      <c r="G1239" t="s">
        <v>3990</v>
      </c>
    </row>
    <row r="1240" spans="1:7" x14ac:dyDescent="0.25">
      <c r="A1240" t="s">
        <v>353</v>
      </c>
      <c r="B1240" t="s">
        <v>2455</v>
      </c>
      <c r="C1240">
        <v>2023</v>
      </c>
      <c r="E1240" t="s">
        <v>3013</v>
      </c>
      <c r="F1240" t="s">
        <v>9750</v>
      </c>
      <c r="G1240" t="s">
        <v>187</v>
      </c>
    </row>
    <row r="1241" spans="1:7" x14ac:dyDescent="0.25">
      <c r="A1241" t="s">
        <v>2377</v>
      </c>
      <c r="B1241" t="s">
        <v>2455</v>
      </c>
      <c r="C1241">
        <v>2021</v>
      </c>
      <c r="E1241" t="s">
        <v>2982</v>
      </c>
      <c r="F1241" t="s">
        <v>9186</v>
      </c>
      <c r="G1241" t="s">
        <v>3990</v>
      </c>
    </row>
    <row r="1242" spans="1:7" x14ac:dyDescent="0.25">
      <c r="A1242" t="s">
        <v>160</v>
      </c>
      <c r="B1242" t="s">
        <v>2459</v>
      </c>
      <c r="C1242">
        <v>2011</v>
      </c>
      <c r="E1242" t="s">
        <v>3409</v>
      </c>
      <c r="F1242" t="s">
        <v>9294</v>
      </c>
      <c r="G1242" t="s">
        <v>3990</v>
      </c>
    </row>
    <row r="1243" spans="1:7" x14ac:dyDescent="0.25">
      <c r="A1243" t="s">
        <v>759</v>
      </c>
      <c r="B1243" t="s">
        <v>8323</v>
      </c>
      <c r="C1243">
        <v>2018</v>
      </c>
      <c r="E1243" s="10" t="s">
        <v>8333</v>
      </c>
      <c r="F1243" t="s">
        <v>10031</v>
      </c>
      <c r="G1243" t="s">
        <v>187</v>
      </c>
    </row>
    <row r="1244" spans="1:7" x14ac:dyDescent="0.25">
      <c r="A1244" t="s">
        <v>1443</v>
      </c>
      <c r="B1244" t="s">
        <v>8323</v>
      </c>
      <c r="C1244">
        <v>2018</v>
      </c>
      <c r="E1244" s="10" t="s">
        <v>8333</v>
      </c>
      <c r="F1244" t="s">
        <v>10031</v>
      </c>
      <c r="G1244" t="s">
        <v>187</v>
      </c>
    </row>
    <row r="1245" spans="1:7" x14ac:dyDescent="0.25">
      <c r="A1245" t="s">
        <v>90</v>
      </c>
      <c r="B1245" t="s">
        <v>8323</v>
      </c>
      <c r="C1245">
        <v>2017</v>
      </c>
      <c r="E1245" s="10" t="s">
        <v>8333</v>
      </c>
      <c r="F1245" t="s">
        <v>10031</v>
      </c>
      <c r="G1245" t="s">
        <v>187</v>
      </c>
    </row>
    <row r="1246" spans="1:7" x14ac:dyDescent="0.25">
      <c r="A1246" t="s">
        <v>185</v>
      </c>
      <c r="B1246" t="s">
        <v>2463</v>
      </c>
      <c r="C1246">
        <v>2022</v>
      </c>
      <c r="E1246" s="10" t="s">
        <v>2466</v>
      </c>
      <c r="F1246" t="s">
        <v>8452</v>
      </c>
      <c r="G1246" t="s">
        <v>3990</v>
      </c>
    </row>
    <row r="1247" spans="1:7" x14ac:dyDescent="0.25">
      <c r="A1247" t="s">
        <v>457</v>
      </c>
      <c r="B1247" t="s">
        <v>2463</v>
      </c>
      <c r="C1247">
        <v>2022</v>
      </c>
      <c r="E1247" s="10" t="s">
        <v>2466</v>
      </c>
      <c r="F1247" t="s">
        <v>8536</v>
      </c>
      <c r="G1247" t="s">
        <v>3990</v>
      </c>
    </row>
    <row r="1248" spans="1:7" x14ac:dyDescent="0.25">
      <c r="A1248" t="s">
        <v>497</v>
      </c>
      <c r="B1248" t="s">
        <v>2463</v>
      </c>
      <c r="C1248">
        <v>2022</v>
      </c>
      <c r="E1248" s="10" t="s">
        <v>2466</v>
      </c>
      <c r="F1248" t="s">
        <v>8558</v>
      </c>
      <c r="G1248" t="s">
        <v>3990</v>
      </c>
    </row>
    <row r="1249" spans="1:7" x14ac:dyDescent="0.25">
      <c r="A1249" t="s">
        <v>1843</v>
      </c>
      <c r="B1249" t="s">
        <v>2463</v>
      </c>
      <c r="C1249">
        <v>2019</v>
      </c>
      <c r="E1249" s="10" t="s">
        <v>2466</v>
      </c>
      <c r="F1249" t="s">
        <v>8952</v>
      </c>
      <c r="G1249" t="s">
        <v>3990</v>
      </c>
    </row>
    <row r="1250" spans="1:7" x14ac:dyDescent="0.25">
      <c r="A1250" t="s">
        <v>2192</v>
      </c>
      <c r="B1250" t="s">
        <v>2463</v>
      </c>
      <c r="C1250">
        <v>2022</v>
      </c>
      <c r="E1250" s="10" t="s">
        <v>2466</v>
      </c>
      <c r="F1250" t="s">
        <v>9057</v>
      </c>
      <c r="G1250" t="s">
        <v>3990</v>
      </c>
    </row>
    <row r="1251" spans="1:7" x14ac:dyDescent="0.25">
      <c r="A1251" t="s">
        <v>8366</v>
      </c>
      <c r="B1251" t="s">
        <v>2463</v>
      </c>
      <c r="C1251">
        <v>2022</v>
      </c>
      <c r="E1251" s="10" t="s">
        <v>2466</v>
      </c>
      <c r="F1251" t="s">
        <v>9060</v>
      </c>
      <c r="G1251" t="s">
        <v>3990</v>
      </c>
    </row>
    <row r="1252" spans="1:7" x14ac:dyDescent="0.25">
      <c r="A1252" t="s">
        <v>2397</v>
      </c>
      <c r="B1252" t="s">
        <v>2463</v>
      </c>
      <c r="C1252">
        <v>2022</v>
      </c>
      <c r="E1252" s="10" t="s">
        <v>2466</v>
      </c>
      <c r="F1252" t="s">
        <v>9188</v>
      </c>
      <c r="G1252" t="s">
        <v>3990</v>
      </c>
    </row>
    <row r="1253" spans="1:7" x14ac:dyDescent="0.25">
      <c r="A1253" t="s">
        <v>2410</v>
      </c>
      <c r="B1253" t="s">
        <v>2463</v>
      </c>
      <c r="C1253">
        <v>2022</v>
      </c>
      <c r="E1253" s="10" t="s">
        <v>2466</v>
      </c>
      <c r="F1253" t="s">
        <v>9189</v>
      </c>
      <c r="G1253" t="s">
        <v>3990</v>
      </c>
    </row>
    <row r="1254" spans="1:7" x14ac:dyDescent="0.25">
      <c r="A1254" t="s">
        <v>2804</v>
      </c>
      <c r="B1254" t="s">
        <v>2463</v>
      </c>
      <c r="C1254">
        <v>2021</v>
      </c>
      <c r="E1254" s="10" t="s">
        <v>2466</v>
      </c>
      <c r="F1254" t="s">
        <v>9751</v>
      </c>
      <c r="G1254" t="s">
        <v>187</v>
      </c>
    </row>
    <row r="1255" spans="1:7" x14ac:dyDescent="0.25">
      <c r="A1255" t="s">
        <v>2828</v>
      </c>
      <c r="B1255" t="s">
        <v>2463</v>
      </c>
      <c r="C1255">
        <v>2022</v>
      </c>
      <c r="E1255" s="10" t="s">
        <v>2466</v>
      </c>
      <c r="F1255" t="s">
        <v>9357</v>
      </c>
      <c r="G1255" t="s">
        <v>3990</v>
      </c>
    </row>
    <row r="1256" spans="1:7" x14ac:dyDescent="0.25">
      <c r="A1256" t="s">
        <v>1294</v>
      </c>
      <c r="B1256" t="s">
        <v>9970</v>
      </c>
      <c r="C1256">
        <v>2019</v>
      </c>
      <c r="E1256" s="10" t="s">
        <v>9969</v>
      </c>
      <c r="F1256" t="s">
        <v>9974</v>
      </c>
      <c r="G1256" t="s">
        <v>3990</v>
      </c>
    </row>
    <row r="1257" spans="1:7" x14ac:dyDescent="0.25">
      <c r="A1257" t="s">
        <v>2095</v>
      </c>
      <c r="B1257" t="s">
        <v>9970</v>
      </c>
      <c r="C1257">
        <v>2023</v>
      </c>
      <c r="E1257" s="10" t="s">
        <v>9969</v>
      </c>
      <c r="F1257" t="s">
        <v>9975</v>
      </c>
      <c r="G1257" t="s">
        <v>3990</v>
      </c>
    </row>
    <row r="1258" spans="1:7" x14ac:dyDescent="0.25">
      <c r="A1258" t="s">
        <v>90</v>
      </c>
      <c r="B1258" t="s">
        <v>9970</v>
      </c>
      <c r="C1258">
        <v>2017</v>
      </c>
      <c r="E1258" s="10" t="s">
        <v>9969</v>
      </c>
      <c r="F1258" t="s">
        <v>9973</v>
      </c>
      <c r="G1258" t="s">
        <v>3990</v>
      </c>
    </row>
    <row r="1259" spans="1:7" x14ac:dyDescent="0.25">
      <c r="A1259" t="s">
        <v>1294</v>
      </c>
      <c r="B1259" t="s">
        <v>2467</v>
      </c>
      <c r="C1259">
        <v>2019</v>
      </c>
      <c r="E1259" s="10" t="s">
        <v>14049</v>
      </c>
      <c r="F1259" t="s">
        <v>9752</v>
      </c>
      <c r="G1259" t="s">
        <v>3990</v>
      </c>
    </row>
    <row r="1260" spans="1:7" x14ac:dyDescent="0.25">
      <c r="A1260" t="s">
        <v>90</v>
      </c>
      <c r="B1260" t="s">
        <v>2471</v>
      </c>
      <c r="C1260">
        <v>2017</v>
      </c>
      <c r="E1260" s="10" t="s">
        <v>3376</v>
      </c>
      <c r="F1260" t="s">
        <v>9156</v>
      </c>
      <c r="G1260" t="s">
        <v>3990</v>
      </c>
    </row>
    <row r="1261" spans="1:7" x14ac:dyDescent="0.25">
      <c r="A1261" t="s">
        <v>353</v>
      </c>
      <c r="B1261" t="s">
        <v>2475</v>
      </c>
      <c r="C1261">
        <v>2023</v>
      </c>
      <c r="E1261" t="s">
        <v>3049</v>
      </c>
      <c r="F1261" t="s">
        <v>8527</v>
      </c>
      <c r="G1261" t="s">
        <v>3990</v>
      </c>
    </row>
    <row r="1262" spans="1:7" x14ac:dyDescent="0.25">
      <c r="A1262" t="s">
        <v>1576</v>
      </c>
      <c r="B1262" t="s">
        <v>2475</v>
      </c>
      <c r="C1262">
        <v>2021</v>
      </c>
      <c r="E1262" t="s">
        <v>3049</v>
      </c>
      <c r="F1262" t="s">
        <v>8891</v>
      </c>
      <c r="G1262" t="s">
        <v>3990</v>
      </c>
    </row>
    <row r="1263" spans="1:7" x14ac:dyDescent="0.25">
      <c r="A1263" t="s">
        <v>1951</v>
      </c>
      <c r="B1263" t="s">
        <v>2475</v>
      </c>
      <c r="C1263">
        <v>2022</v>
      </c>
      <c r="E1263" t="s">
        <v>3049</v>
      </c>
      <c r="F1263" t="s">
        <v>8987</v>
      </c>
      <c r="G1263" t="s">
        <v>3990</v>
      </c>
    </row>
    <row r="1264" spans="1:7" x14ac:dyDescent="0.25">
      <c r="A1264" t="s">
        <v>497</v>
      </c>
      <c r="B1264" t="s">
        <v>8094</v>
      </c>
      <c r="C1264">
        <v>2022</v>
      </c>
      <c r="E1264" s="10" t="s">
        <v>8113</v>
      </c>
      <c r="F1264" t="s">
        <v>8438</v>
      </c>
      <c r="G1264" t="s">
        <v>3990</v>
      </c>
    </row>
    <row r="1265" spans="1:7" x14ac:dyDescent="0.25">
      <c r="A1265" t="s">
        <v>847</v>
      </c>
      <c r="B1265" t="s">
        <v>8094</v>
      </c>
      <c r="C1265">
        <v>1996</v>
      </c>
      <c r="E1265" s="10" t="s">
        <v>8113</v>
      </c>
      <c r="F1265" t="s">
        <v>8659</v>
      </c>
      <c r="G1265" t="s">
        <v>3990</v>
      </c>
    </row>
    <row r="1266" spans="1:7" x14ac:dyDescent="0.25">
      <c r="A1266" t="s">
        <v>2804</v>
      </c>
      <c r="B1266" t="s">
        <v>8094</v>
      </c>
      <c r="C1266">
        <v>2021</v>
      </c>
      <c r="E1266" s="10" t="s">
        <v>8113</v>
      </c>
      <c r="F1266" t="s">
        <v>9347</v>
      </c>
      <c r="G1266" t="s">
        <v>3990</v>
      </c>
    </row>
    <row r="1267" spans="1:7" x14ac:dyDescent="0.25">
      <c r="A1267" t="s">
        <v>256</v>
      </c>
      <c r="B1267" t="s">
        <v>2481</v>
      </c>
      <c r="C1267">
        <v>1994</v>
      </c>
      <c r="E1267" s="10" t="s">
        <v>2999</v>
      </c>
      <c r="F1267" t="s">
        <v>14048</v>
      </c>
      <c r="G1267" t="s">
        <v>3990</v>
      </c>
    </row>
    <row r="1268" spans="1:7" x14ac:dyDescent="0.25">
      <c r="A1268" t="s">
        <v>746</v>
      </c>
      <c r="B1268" t="s">
        <v>2481</v>
      </c>
      <c r="C1268">
        <v>2015</v>
      </c>
      <c r="E1268" s="10" t="s">
        <v>2999</v>
      </c>
      <c r="F1268" t="s">
        <v>14048</v>
      </c>
      <c r="G1268" t="s">
        <v>3990</v>
      </c>
    </row>
    <row r="1269" spans="1:7" x14ac:dyDescent="0.25">
      <c r="A1269" t="s">
        <v>847</v>
      </c>
      <c r="B1269" t="s">
        <v>2481</v>
      </c>
      <c r="C1269">
        <v>1996</v>
      </c>
      <c r="E1269" s="10" t="s">
        <v>2999</v>
      </c>
      <c r="F1269" t="s">
        <v>14048</v>
      </c>
      <c r="G1269" t="s">
        <v>3990</v>
      </c>
    </row>
    <row r="1270" spans="1:7" x14ac:dyDescent="0.25">
      <c r="A1270" t="s">
        <v>2428</v>
      </c>
      <c r="B1270" t="s">
        <v>2485</v>
      </c>
      <c r="C1270">
        <v>2008</v>
      </c>
      <c r="E1270" t="s">
        <v>3395</v>
      </c>
      <c r="F1270" t="s">
        <v>9753</v>
      </c>
      <c r="G1270" t="s">
        <v>187</v>
      </c>
    </row>
    <row r="1271" spans="1:7" x14ac:dyDescent="0.25">
      <c r="A1271" t="s">
        <v>1538</v>
      </c>
      <c r="B1271" t="s">
        <v>2489</v>
      </c>
      <c r="C1271">
        <v>1995</v>
      </c>
      <c r="E1271" t="s">
        <v>3255</v>
      </c>
      <c r="F1271" t="s">
        <v>8867</v>
      </c>
      <c r="G1271" t="s">
        <v>3990</v>
      </c>
    </row>
    <row r="1272" spans="1:7" x14ac:dyDescent="0.25">
      <c r="A1272" t="s">
        <v>1795</v>
      </c>
      <c r="B1272" t="s">
        <v>2489</v>
      </c>
      <c r="C1272">
        <v>1987</v>
      </c>
      <c r="E1272" t="s">
        <v>3255</v>
      </c>
      <c r="F1272" t="s">
        <v>8943</v>
      </c>
      <c r="G1272" t="s">
        <v>3990</v>
      </c>
    </row>
    <row r="1273" spans="1:7" x14ac:dyDescent="0.25">
      <c r="A1273" t="s">
        <v>1435</v>
      </c>
      <c r="B1273" t="s">
        <v>9908</v>
      </c>
      <c r="C1273">
        <v>2021</v>
      </c>
      <c r="E1273" s="10" t="s">
        <v>9907</v>
      </c>
      <c r="F1273" t="s">
        <v>9913</v>
      </c>
      <c r="G1273" t="s">
        <v>3990</v>
      </c>
    </row>
    <row r="1274" spans="1:7" x14ac:dyDescent="0.25">
      <c r="A1274" t="s">
        <v>90</v>
      </c>
      <c r="B1274" t="s">
        <v>9908</v>
      </c>
      <c r="C1274">
        <v>2017</v>
      </c>
      <c r="E1274" s="10" t="s">
        <v>9907</v>
      </c>
      <c r="F1274" t="s">
        <v>9912</v>
      </c>
      <c r="G1274" t="s">
        <v>3990</v>
      </c>
    </row>
    <row r="1275" spans="1:7" x14ac:dyDescent="0.25">
      <c r="A1275" t="s">
        <v>1855</v>
      </c>
      <c r="B1275" t="s">
        <v>2492</v>
      </c>
      <c r="C1275">
        <v>2015</v>
      </c>
      <c r="E1275" t="s">
        <v>2495</v>
      </c>
      <c r="F1275" t="s">
        <v>8973</v>
      </c>
      <c r="G1275" t="s">
        <v>3990</v>
      </c>
    </row>
    <row r="1276" spans="1:7" x14ac:dyDescent="0.25">
      <c r="A1276" t="s">
        <v>2428</v>
      </c>
      <c r="B1276" t="s">
        <v>2492</v>
      </c>
      <c r="C1276">
        <v>2008</v>
      </c>
      <c r="E1276" t="s">
        <v>3396</v>
      </c>
      <c r="F1276" t="s">
        <v>9218</v>
      </c>
      <c r="G1276" t="s">
        <v>3990</v>
      </c>
    </row>
    <row r="1277" spans="1:7" x14ac:dyDescent="0.25">
      <c r="A1277" t="s">
        <v>160</v>
      </c>
      <c r="B1277" t="s">
        <v>2492</v>
      </c>
      <c r="C1277">
        <v>2011</v>
      </c>
      <c r="E1277" t="s">
        <v>3396</v>
      </c>
      <c r="F1277" t="s">
        <v>9295</v>
      </c>
      <c r="G1277" t="s">
        <v>3990</v>
      </c>
    </row>
    <row r="1278" spans="1:7" x14ac:dyDescent="0.25">
      <c r="A1278" t="s">
        <v>1454</v>
      </c>
      <c r="B1278" t="s">
        <v>8408</v>
      </c>
      <c r="C1278">
        <v>2001</v>
      </c>
      <c r="E1278" s="10" t="s">
        <v>8407</v>
      </c>
      <c r="F1278" t="s">
        <v>14050</v>
      </c>
      <c r="G1278" t="s">
        <v>3990</v>
      </c>
    </row>
    <row r="1279" spans="1:7" x14ac:dyDescent="0.25">
      <c r="A1279" t="s">
        <v>1817</v>
      </c>
      <c r="B1279" t="s">
        <v>8408</v>
      </c>
      <c r="C1279">
        <v>2019</v>
      </c>
      <c r="E1279" t="s">
        <v>3293</v>
      </c>
      <c r="F1279" t="s">
        <v>8950</v>
      </c>
      <c r="G1279" t="s">
        <v>3990</v>
      </c>
    </row>
    <row r="1280" spans="1:7" x14ac:dyDescent="0.25">
      <c r="A1280" t="s">
        <v>2095</v>
      </c>
      <c r="B1280" t="s">
        <v>8408</v>
      </c>
      <c r="C1280">
        <v>2023</v>
      </c>
      <c r="E1280" s="10" t="s">
        <v>8407</v>
      </c>
      <c r="F1280" t="s">
        <v>14050</v>
      </c>
      <c r="G1280" t="s">
        <v>3990</v>
      </c>
    </row>
    <row r="1281" spans="1:7" x14ac:dyDescent="0.25">
      <c r="A1281" t="s">
        <v>2173</v>
      </c>
      <c r="B1281" t="s">
        <v>2498</v>
      </c>
      <c r="C1281">
        <v>2013</v>
      </c>
      <c r="E1281" t="s">
        <v>3334</v>
      </c>
      <c r="F1281" t="s">
        <v>9053</v>
      </c>
      <c r="G1281" t="s">
        <v>3990</v>
      </c>
    </row>
    <row r="1282" spans="1:7" x14ac:dyDescent="0.25">
      <c r="A1282" t="s">
        <v>914</v>
      </c>
      <c r="B1282" t="s">
        <v>2502</v>
      </c>
      <c r="C1282">
        <v>2013</v>
      </c>
      <c r="E1282" s="10" t="s">
        <v>8405</v>
      </c>
      <c r="F1282" t="s">
        <v>9754</v>
      </c>
      <c r="G1282" t="s">
        <v>187</v>
      </c>
    </row>
    <row r="1283" spans="1:7" x14ac:dyDescent="0.25">
      <c r="A1283" t="s">
        <v>1144</v>
      </c>
      <c r="B1283" t="s">
        <v>2502</v>
      </c>
      <c r="C1283">
        <v>2012</v>
      </c>
      <c r="E1283" t="s">
        <v>3198</v>
      </c>
      <c r="F1283" t="s">
        <v>9755</v>
      </c>
      <c r="G1283" t="s">
        <v>187</v>
      </c>
    </row>
    <row r="1284" spans="1:7" x14ac:dyDescent="0.25">
      <c r="A1284" t="s">
        <v>924</v>
      </c>
      <c r="B1284" t="s">
        <v>2506</v>
      </c>
      <c r="C1284">
        <v>2019</v>
      </c>
      <c r="E1284" t="s">
        <v>3150</v>
      </c>
      <c r="F1284" t="s">
        <v>8682</v>
      </c>
      <c r="G1284" t="s">
        <v>3990</v>
      </c>
    </row>
    <row r="1285" spans="1:7" x14ac:dyDescent="0.25">
      <c r="A1285" t="s">
        <v>90</v>
      </c>
      <c r="B1285" t="s">
        <v>2510</v>
      </c>
      <c r="C1285">
        <v>2017</v>
      </c>
      <c r="E1285" s="10" t="s">
        <v>8380</v>
      </c>
      <c r="F1285" t="s">
        <v>9157</v>
      </c>
      <c r="G1285" t="s">
        <v>3990</v>
      </c>
    </row>
    <row r="1286" spans="1:7" x14ac:dyDescent="0.25">
      <c r="A1286" t="s">
        <v>1004</v>
      </c>
      <c r="B1286" t="s">
        <v>2514</v>
      </c>
      <c r="C1286">
        <v>2006</v>
      </c>
      <c r="E1286" t="s">
        <v>3172</v>
      </c>
      <c r="F1286" t="s">
        <v>9756</v>
      </c>
      <c r="G1286" t="s">
        <v>187</v>
      </c>
    </row>
    <row r="1287" spans="1:7" x14ac:dyDescent="0.25">
      <c r="A1287" t="s">
        <v>1294</v>
      </c>
      <c r="B1287" t="s">
        <v>2514</v>
      </c>
      <c r="C1287">
        <v>2019</v>
      </c>
      <c r="E1287" t="s">
        <v>3172</v>
      </c>
      <c r="F1287" t="s">
        <v>9374</v>
      </c>
      <c r="G1287" t="s">
        <v>3990</v>
      </c>
    </row>
    <row r="1288" spans="1:7" x14ac:dyDescent="0.25">
      <c r="A1288" t="s">
        <v>1549</v>
      </c>
      <c r="B1288" t="s">
        <v>2514</v>
      </c>
      <c r="C1288">
        <v>2021</v>
      </c>
      <c r="E1288" t="s">
        <v>3172</v>
      </c>
      <c r="F1288" t="s">
        <v>9375</v>
      </c>
      <c r="G1288" t="s">
        <v>3990</v>
      </c>
    </row>
    <row r="1289" spans="1:7" x14ac:dyDescent="0.25">
      <c r="A1289" t="s">
        <v>1576</v>
      </c>
      <c r="B1289" t="s">
        <v>2522</v>
      </c>
      <c r="C1289">
        <v>2021</v>
      </c>
      <c r="E1289" t="s">
        <v>3264</v>
      </c>
      <c r="F1289" t="s">
        <v>8892</v>
      </c>
      <c r="G1289" t="s">
        <v>3990</v>
      </c>
    </row>
    <row r="1290" spans="1:7" x14ac:dyDescent="0.25">
      <c r="A1290" t="s">
        <v>2095</v>
      </c>
      <c r="B1290" t="s">
        <v>2524</v>
      </c>
      <c r="C1290">
        <v>2023</v>
      </c>
      <c r="E1290" t="s">
        <v>3308</v>
      </c>
      <c r="F1290" t="s">
        <v>8995</v>
      </c>
      <c r="G1290" t="s">
        <v>3990</v>
      </c>
    </row>
    <row r="1291" spans="1:7" x14ac:dyDescent="0.25">
      <c r="A1291" t="s">
        <v>2136</v>
      </c>
      <c r="B1291" t="s">
        <v>2524</v>
      </c>
      <c r="C1291">
        <v>2020</v>
      </c>
      <c r="E1291" t="s">
        <v>3308</v>
      </c>
      <c r="F1291" t="s">
        <v>9013</v>
      </c>
      <c r="G1291" t="s">
        <v>3990</v>
      </c>
    </row>
    <row r="1292" spans="1:7" x14ac:dyDescent="0.25">
      <c r="A1292" t="s">
        <v>2146</v>
      </c>
      <c r="B1292" t="s">
        <v>2524</v>
      </c>
      <c r="C1292">
        <v>2020</v>
      </c>
      <c r="E1292" t="s">
        <v>3308</v>
      </c>
      <c r="F1292" t="s">
        <v>9019</v>
      </c>
      <c r="G1292" t="s">
        <v>3990</v>
      </c>
    </row>
    <row r="1293" spans="1:7" x14ac:dyDescent="0.25">
      <c r="A1293" t="s">
        <v>2804</v>
      </c>
      <c r="B1293" t="s">
        <v>2526</v>
      </c>
      <c r="C1293">
        <v>2021</v>
      </c>
      <c r="E1293" t="s">
        <v>3426</v>
      </c>
      <c r="F1293" t="s">
        <v>9348</v>
      </c>
      <c r="G1293" t="s">
        <v>3990</v>
      </c>
    </row>
    <row r="1294" spans="1:7" x14ac:dyDescent="0.25">
      <c r="A1294" t="s">
        <v>1144</v>
      </c>
      <c r="B1294" t="s">
        <v>2530</v>
      </c>
      <c r="C1294">
        <v>2012</v>
      </c>
      <c r="E1294" t="s">
        <v>3213</v>
      </c>
      <c r="F1294" t="s">
        <v>8765</v>
      </c>
      <c r="G1294" t="s">
        <v>3990</v>
      </c>
    </row>
    <row r="1295" spans="1:7" x14ac:dyDescent="0.25">
      <c r="A1295" t="s">
        <v>2428</v>
      </c>
      <c r="B1295" t="s">
        <v>2530</v>
      </c>
      <c r="C1295">
        <v>2008</v>
      </c>
      <c r="E1295" t="s">
        <v>3213</v>
      </c>
      <c r="F1295" t="s">
        <v>9219</v>
      </c>
      <c r="G1295" t="s">
        <v>3990</v>
      </c>
    </row>
    <row r="1296" spans="1:7" x14ac:dyDescent="0.25">
      <c r="A1296" t="s">
        <v>160</v>
      </c>
      <c r="B1296" t="s">
        <v>2530</v>
      </c>
      <c r="C1296">
        <v>2011</v>
      </c>
      <c r="E1296" t="s">
        <v>3213</v>
      </c>
      <c r="F1296" t="s">
        <v>9296</v>
      </c>
      <c r="G1296" t="s">
        <v>3990</v>
      </c>
    </row>
    <row r="1297" spans="1:7" x14ac:dyDescent="0.25">
      <c r="A1297" t="s">
        <v>341</v>
      </c>
      <c r="B1297" t="s">
        <v>2537</v>
      </c>
      <c r="C1297">
        <v>1997</v>
      </c>
      <c r="E1297" t="s">
        <v>3010</v>
      </c>
      <c r="F1297" t="s">
        <v>8478</v>
      </c>
      <c r="G1297" t="s">
        <v>3990</v>
      </c>
    </row>
    <row r="1298" spans="1:7" x14ac:dyDescent="0.25">
      <c r="A1298" t="s">
        <v>1046</v>
      </c>
      <c r="B1298" t="s">
        <v>2537</v>
      </c>
      <c r="C1298">
        <v>2016</v>
      </c>
      <c r="E1298" t="s">
        <v>3010</v>
      </c>
      <c r="F1298" t="s">
        <v>8730</v>
      </c>
      <c r="G1298" t="s">
        <v>3990</v>
      </c>
    </row>
    <row r="1299" spans="1:7" x14ac:dyDescent="0.25">
      <c r="A1299" t="s">
        <v>2537</v>
      </c>
      <c r="B1299" t="s">
        <v>2540</v>
      </c>
      <c r="C1299">
        <v>2021</v>
      </c>
      <c r="D1299" t="s">
        <v>187</v>
      </c>
      <c r="F1299" t="s">
        <v>9757</v>
      </c>
      <c r="G1299" t="s">
        <v>3990</v>
      </c>
    </row>
    <row r="1300" spans="1:7" x14ac:dyDescent="0.25">
      <c r="A1300" t="s">
        <v>847</v>
      </c>
      <c r="B1300" t="s">
        <v>2543</v>
      </c>
      <c r="C1300">
        <v>1996</v>
      </c>
      <c r="E1300" t="s">
        <v>3137</v>
      </c>
      <c r="F1300" t="s">
        <v>8660</v>
      </c>
      <c r="G1300" t="s">
        <v>3990</v>
      </c>
    </row>
    <row r="1301" spans="1:7" x14ac:dyDescent="0.25">
      <c r="A1301" t="s">
        <v>1795</v>
      </c>
      <c r="B1301" t="s">
        <v>2543</v>
      </c>
      <c r="C1301">
        <v>1987</v>
      </c>
      <c r="E1301" t="s">
        <v>3286</v>
      </c>
      <c r="F1301" t="s">
        <v>8944</v>
      </c>
      <c r="G1301" t="s">
        <v>3990</v>
      </c>
    </row>
    <row r="1302" spans="1:7" x14ac:dyDescent="0.25">
      <c r="A1302" t="s">
        <v>2154</v>
      </c>
      <c r="B1302" t="s">
        <v>2543</v>
      </c>
      <c r="C1302">
        <v>1980</v>
      </c>
      <c r="E1302" t="s">
        <v>3286</v>
      </c>
      <c r="F1302" t="s">
        <v>9037</v>
      </c>
      <c r="G1302" t="s">
        <v>3990</v>
      </c>
    </row>
    <row r="1303" spans="1:7" x14ac:dyDescent="0.25">
      <c r="A1303" t="s">
        <v>1443</v>
      </c>
      <c r="B1303" t="s">
        <v>2546</v>
      </c>
      <c r="C1303">
        <v>2018</v>
      </c>
      <c r="E1303" t="s">
        <v>2982</v>
      </c>
      <c r="F1303" t="s">
        <v>8859</v>
      </c>
      <c r="G1303" t="s">
        <v>3990</v>
      </c>
    </row>
    <row r="1304" spans="1:7" x14ac:dyDescent="0.25">
      <c r="A1304" t="s">
        <v>1294</v>
      </c>
      <c r="B1304" t="s">
        <v>2550</v>
      </c>
      <c r="C1304">
        <v>2019</v>
      </c>
      <c r="E1304" t="s">
        <v>3234</v>
      </c>
      <c r="F1304" t="s">
        <v>8813</v>
      </c>
      <c r="G1304" t="s">
        <v>3990</v>
      </c>
    </row>
    <row r="1305" spans="1:7" x14ac:dyDescent="0.25">
      <c r="A1305" t="s">
        <v>2556</v>
      </c>
      <c r="B1305" t="s">
        <v>2554</v>
      </c>
      <c r="C1305">
        <v>2018</v>
      </c>
      <c r="D1305" t="s">
        <v>187</v>
      </c>
      <c r="F1305" t="s">
        <v>9758</v>
      </c>
      <c r="G1305" t="s">
        <v>3990</v>
      </c>
    </row>
    <row r="1306" spans="1:7" x14ac:dyDescent="0.25">
      <c r="A1306" t="s">
        <v>2132</v>
      </c>
      <c r="B1306" t="s">
        <v>2556</v>
      </c>
      <c r="C1306">
        <v>2013</v>
      </c>
      <c r="E1306" t="s">
        <v>3311</v>
      </c>
      <c r="F1306" t="s">
        <v>9002</v>
      </c>
      <c r="G1306" t="s">
        <v>3990</v>
      </c>
    </row>
    <row r="1307" spans="1:7" x14ac:dyDescent="0.25">
      <c r="A1307" t="s">
        <v>350</v>
      </c>
      <c r="B1307" t="s">
        <v>2560</v>
      </c>
      <c r="C1307">
        <v>2018</v>
      </c>
      <c r="E1307" t="s">
        <v>2982</v>
      </c>
      <c r="F1307" t="s">
        <v>8491</v>
      </c>
      <c r="G1307" t="s">
        <v>3990</v>
      </c>
    </row>
    <row r="1308" spans="1:7" x14ac:dyDescent="0.25">
      <c r="A1308" t="s">
        <v>353</v>
      </c>
      <c r="B1308" t="s">
        <v>2560</v>
      </c>
      <c r="C1308">
        <v>2023</v>
      </c>
      <c r="E1308" s="10" t="s">
        <v>9836</v>
      </c>
      <c r="F1308" t="s">
        <v>10032</v>
      </c>
      <c r="G1308" t="s">
        <v>187</v>
      </c>
    </row>
    <row r="1309" spans="1:7" x14ac:dyDescent="0.25">
      <c r="A1309" t="s">
        <v>9835</v>
      </c>
      <c r="B1309" t="s">
        <v>2560</v>
      </c>
      <c r="C1309">
        <v>2025</v>
      </c>
      <c r="E1309" s="10" t="s">
        <v>9836</v>
      </c>
      <c r="F1309" t="s">
        <v>10032</v>
      </c>
      <c r="G1309" t="s">
        <v>187</v>
      </c>
    </row>
    <row r="1310" spans="1:7" x14ac:dyDescent="0.25">
      <c r="A1310" t="s">
        <v>1298</v>
      </c>
      <c r="B1310" t="s">
        <v>2560</v>
      </c>
      <c r="C1310">
        <v>2024</v>
      </c>
      <c r="E1310" s="10" t="s">
        <v>9836</v>
      </c>
      <c r="F1310" t="s">
        <v>10032</v>
      </c>
      <c r="G1310" t="s">
        <v>187</v>
      </c>
    </row>
    <row r="1311" spans="1:7" x14ac:dyDescent="0.25">
      <c r="A1311" t="s">
        <v>90</v>
      </c>
      <c r="B1311" t="s">
        <v>2560</v>
      </c>
      <c r="C1311">
        <v>2017</v>
      </c>
      <c r="E1311" t="s">
        <v>3377</v>
      </c>
      <c r="F1311" t="s">
        <v>9158</v>
      </c>
      <c r="G1311" t="s">
        <v>3990</v>
      </c>
    </row>
    <row r="1312" spans="1:7" x14ac:dyDescent="0.25">
      <c r="A1312" t="s">
        <v>90</v>
      </c>
      <c r="B1312" t="s">
        <v>2563</v>
      </c>
      <c r="C1312">
        <v>2017</v>
      </c>
      <c r="E1312" t="s">
        <v>3378</v>
      </c>
      <c r="F1312" t="s">
        <v>9159</v>
      </c>
      <c r="G1312" t="s">
        <v>3990</v>
      </c>
    </row>
    <row r="1313" spans="1:7" x14ac:dyDescent="0.25">
      <c r="A1313" t="s">
        <v>2073</v>
      </c>
      <c r="B1313" t="s">
        <v>2567</v>
      </c>
      <c r="C1313">
        <v>2010</v>
      </c>
      <c r="E1313" t="s">
        <v>2982</v>
      </c>
      <c r="F1313" t="s">
        <v>8992</v>
      </c>
      <c r="G1313" t="s">
        <v>3990</v>
      </c>
    </row>
    <row r="1314" spans="1:7" x14ac:dyDescent="0.25">
      <c r="A1314" t="s">
        <v>160</v>
      </c>
      <c r="B1314" t="s">
        <v>2567</v>
      </c>
      <c r="C1314">
        <v>2011</v>
      </c>
      <c r="E1314" t="s">
        <v>2982</v>
      </c>
      <c r="F1314" t="s">
        <v>9297</v>
      </c>
      <c r="G1314" t="s">
        <v>3990</v>
      </c>
    </row>
    <row r="1315" spans="1:7" x14ac:dyDescent="0.25">
      <c r="A1315" t="s">
        <v>2804</v>
      </c>
      <c r="B1315" t="s">
        <v>2567</v>
      </c>
      <c r="C1315">
        <v>2021</v>
      </c>
      <c r="E1315" s="10" t="s">
        <v>8446</v>
      </c>
      <c r="F1315" t="s">
        <v>8447</v>
      </c>
      <c r="G1315" t="s">
        <v>3990</v>
      </c>
    </row>
    <row r="1316" spans="1:7" x14ac:dyDescent="0.25">
      <c r="A1316" t="s">
        <v>2947</v>
      </c>
      <c r="B1316" t="s">
        <v>2571</v>
      </c>
      <c r="C1316">
        <v>1994</v>
      </c>
      <c r="E1316" t="s">
        <v>3434</v>
      </c>
      <c r="F1316" t="s">
        <v>9367</v>
      </c>
      <c r="G1316" t="s">
        <v>3990</v>
      </c>
    </row>
    <row r="1317" spans="1:7" x14ac:dyDescent="0.25">
      <c r="A1317" t="s">
        <v>90</v>
      </c>
      <c r="B1317" t="s">
        <v>2575</v>
      </c>
      <c r="C1317">
        <v>2017</v>
      </c>
      <c r="E1317" t="s">
        <v>3379</v>
      </c>
      <c r="F1317" t="s">
        <v>9160</v>
      </c>
      <c r="G1317" t="s">
        <v>3990</v>
      </c>
    </row>
    <row r="1318" spans="1:7" x14ac:dyDescent="0.25">
      <c r="A1318" t="s">
        <v>984</v>
      </c>
      <c r="B1318" t="s">
        <v>2578</v>
      </c>
      <c r="C1318">
        <v>2010</v>
      </c>
      <c r="E1318" t="s">
        <v>3167</v>
      </c>
      <c r="F1318" t="s">
        <v>8699</v>
      </c>
      <c r="G1318" t="s">
        <v>3990</v>
      </c>
    </row>
    <row r="1319" spans="1:7" x14ac:dyDescent="0.25">
      <c r="A1319" t="s">
        <v>1761</v>
      </c>
      <c r="B1319" t="s">
        <v>2578</v>
      </c>
      <c r="C1319">
        <v>1995</v>
      </c>
      <c r="E1319" t="s">
        <v>3272</v>
      </c>
      <c r="F1319" t="s">
        <v>8920</v>
      </c>
      <c r="G1319" t="s">
        <v>3990</v>
      </c>
    </row>
    <row r="1320" spans="1:7" x14ac:dyDescent="0.25">
      <c r="A1320" t="s">
        <v>2571</v>
      </c>
      <c r="B1320" t="s">
        <v>2578</v>
      </c>
      <c r="C1320">
        <v>1998</v>
      </c>
      <c r="E1320" t="s">
        <v>3167</v>
      </c>
      <c r="F1320" t="s">
        <v>9241</v>
      </c>
      <c r="G1320" t="s">
        <v>3990</v>
      </c>
    </row>
    <row r="1321" spans="1:7" x14ac:dyDescent="0.25">
      <c r="A1321" t="s">
        <v>341</v>
      </c>
      <c r="B1321" t="s">
        <v>2587</v>
      </c>
      <c r="C1321">
        <v>1997</v>
      </c>
      <c r="D1321" t="s">
        <v>187</v>
      </c>
      <c r="F1321" t="s">
        <v>9759</v>
      </c>
      <c r="G1321" t="s">
        <v>3990</v>
      </c>
    </row>
    <row r="1322" spans="1:7" x14ac:dyDescent="0.25">
      <c r="A1322" t="s">
        <v>1294</v>
      </c>
      <c r="B1322" t="s">
        <v>2590</v>
      </c>
      <c r="C1322">
        <v>2019</v>
      </c>
      <c r="E1322" t="s">
        <v>3235</v>
      </c>
      <c r="F1322" t="s">
        <v>8814</v>
      </c>
      <c r="G1322" t="s">
        <v>3990</v>
      </c>
    </row>
    <row r="1323" spans="1:7" x14ac:dyDescent="0.25">
      <c r="A1323" t="s">
        <v>90</v>
      </c>
      <c r="B1323" t="s">
        <v>2590</v>
      </c>
      <c r="C1323">
        <v>2017</v>
      </c>
      <c r="E1323" s="10" t="s">
        <v>3235</v>
      </c>
      <c r="F1323" t="s">
        <v>9388</v>
      </c>
      <c r="G1323" t="s">
        <v>3990</v>
      </c>
    </row>
    <row r="1324" spans="1:7" x14ac:dyDescent="0.25">
      <c r="A1324" t="s">
        <v>160</v>
      </c>
      <c r="B1324" t="s">
        <v>2590</v>
      </c>
      <c r="C1324">
        <v>2011</v>
      </c>
      <c r="E1324" s="10" t="s">
        <v>9390</v>
      </c>
      <c r="F1324" t="s">
        <v>9389</v>
      </c>
      <c r="G1324" t="s">
        <v>3990</v>
      </c>
    </row>
    <row r="1325" spans="1:7" x14ac:dyDescent="0.25">
      <c r="A1325" t="s">
        <v>924</v>
      </c>
      <c r="B1325" t="s">
        <v>2594</v>
      </c>
      <c r="C1325">
        <v>2019</v>
      </c>
      <c r="E1325" t="s">
        <v>3151</v>
      </c>
      <c r="F1325" t="s">
        <v>8683</v>
      </c>
      <c r="G1325" t="s">
        <v>3990</v>
      </c>
    </row>
    <row r="1326" spans="1:7" x14ac:dyDescent="0.25">
      <c r="A1326" t="s">
        <v>2136</v>
      </c>
      <c r="B1326" t="s">
        <v>2596</v>
      </c>
      <c r="C1326">
        <v>2020</v>
      </c>
      <c r="E1326" s="10" t="s">
        <v>3314</v>
      </c>
      <c r="F1326" t="s">
        <v>9760</v>
      </c>
      <c r="G1326" t="s">
        <v>3990</v>
      </c>
    </row>
    <row r="1327" spans="1:7" x14ac:dyDescent="0.25">
      <c r="A1327" t="s">
        <v>574</v>
      </c>
      <c r="B1327" t="s">
        <v>2599</v>
      </c>
      <c r="C1327">
        <v>2019</v>
      </c>
      <c r="E1327" t="s">
        <v>3078</v>
      </c>
      <c r="F1327" t="s">
        <v>8568</v>
      </c>
      <c r="G1327" t="s">
        <v>3990</v>
      </c>
    </row>
    <row r="1328" spans="1:7" x14ac:dyDescent="0.25">
      <c r="A1328" t="s">
        <v>759</v>
      </c>
      <c r="B1328" t="s">
        <v>2599</v>
      </c>
      <c r="C1328">
        <v>2018</v>
      </c>
      <c r="E1328" t="s">
        <v>3078</v>
      </c>
      <c r="F1328" t="s">
        <v>8626</v>
      </c>
      <c r="G1328" t="s">
        <v>3990</v>
      </c>
    </row>
    <row r="1329" spans="1:7" x14ac:dyDescent="0.25">
      <c r="A1329" t="s">
        <v>1294</v>
      </c>
      <c r="B1329" t="s">
        <v>2599</v>
      </c>
      <c r="C1329">
        <v>2019</v>
      </c>
      <c r="E1329" t="s">
        <v>3236</v>
      </c>
      <c r="F1329" t="s">
        <v>8815</v>
      </c>
      <c r="G1329" t="s">
        <v>3990</v>
      </c>
    </row>
    <row r="1330" spans="1:7" x14ac:dyDescent="0.25">
      <c r="A1330" t="s">
        <v>2804</v>
      </c>
      <c r="B1330" t="s">
        <v>2603</v>
      </c>
      <c r="C1330">
        <v>2021</v>
      </c>
      <c r="E1330" t="s">
        <v>3013</v>
      </c>
      <c r="F1330" t="s">
        <v>9761</v>
      </c>
      <c r="G1330" t="s">
        <v>187</v>
      </c>
    </row>
    <row r="1331" spans="1:7" x14ac:dyDescent="0.25">
      <c r="A1331" t="s">
        <v>1144</v>
      </c>
      <c r="B1331" t="s">
        <v>2605</v>
      </c>
      <c r="C1331">
        <v>2012</v>
      </c>
      <c r="E1331" t="s">
        <v>2982</v>
      </c>
      <c r="F1331" t="s">
        <v>8766</v>
      </c>
      <c r="G1331" t="s">
        <v>3990</v>
      </c>
    </row>
    <row r="1332" spans="1:7" x14ac:dyDescent="0.25">
      <c r="A1332" t="s">
        <v>2804</v>
      </c>
      <c r="B1332" t="s">
        <v>2609</v>
      </c>
      <c r="C1332">
        <v>2021</v>
      </c>
      <c r="E1332" t="s">
        <v>3427</v>
      </c>
      <c r="F1332" t="s">
        <v>9762</v>
      </c>
      <c r="G1332" t="s">
        <v>187</v>
      </c>
    </row>
    <row r="1333" spans="1:7" x14ac:dyDescent="0.25">
      <c r="A1333" t="s">
        <v>2136</v>
      </c>
      <c r="B1333" t="s">
        <v>2612</v>
      </c>
      <c r="C1333">
        <v>2020</v>
      </c>
      <c r="E1333" t="s">
        <v>3315</v>
      </c>
      <c r="F1333" t="s">
        <v>9763</v>
      </c>
      <c r="G1333" t="s">
        <v>187</v>
      </c>
    </row>
    <row r="1334" spans="1:7" x14ac:dyDescent="0.25">
      <c r="A1334" t="s">
        <v>924</v>
      </c>
      <c r="B1334" t="s">
        <v>2614</v>
      </c>
      <c r="C1334">
        <v>2019</v>
      </c>
      <c r="E1334" t="s">
        <v>3152</v>
      </c>
      <c r="F1334" t="s">
        <v>9764</v>
      </c>
      <c r="G1334" t="s">
        <v>187</v>
      </c>
    </row>
    <row r="1335" spans="1:7" x14ac:dyDescent="0.25">
      <c r="A1335" t="s">
        <v>2594</v>
      </c>
      <c r="B1335" t="s">
        <v>2614</v>
      </c>
      <c r="C1335">
        <v>2019</v>
      </c>
      <c r="E1335" t="s">
        <v>3152</v>
      </c>
      <c r="F1335" t="s">
        <v>9247</v>
      </c>
      <c r="G1335" t="s">
        <v>3990</v>
      </c>
    </row>
    <row r="1336" spans="1:7" x14ac:dyDescent="0.25">
      <c r="A1336" t="s">
        <v>836</v>
      </c>
      <c r="B1336" t="s">
        <v>160</v>
      </c>
      <c r="C1336">
        <v>2010</v>
      </c>
      <c r="E1336" t="s">
        <v>3129</v>
      </c>
      <c r="F1336" t="s">
        <v>10033</v>
      </c>
      <c r="G1336" t="s">
        <v>187</v>
      </c>
    </row>
    <row r="1337" spans="1:7" x14ac:dyDescent="0.25">
      <c r="A1337" t="s">
        <v>2428</v>
      </c>
      <c r="B1337" t="s">
        <v>160</v>
      </c>
      <c r="C1337">
        <v>2008</v>
      </c>
      <c r="E1337" t="s">
        <v>3129</v>
      </c>
      <c r="F1337" t="s">
        <v>10033</v>
      </c>
      <c r="G1337" t="s">
        <v>187</v>
      </c>
    </row>
    <row r="1338" spans="1:7" x14ac:dyDescent="0.25">
      <c r="A1338" t="s">
        <v>160</v>
      </c>
      <c r="B1338" t="s">
        <v>2619</v>
      </c>
      <c r="C1338">
        <v>2011</v>
      </c>
      <c r="D1338" t="s">
        <v>187</v>
      </c>
      <c r="F1338" t="s">
        <v>9765</v>
      </c>
      <c r="G1338" t="s">
        <v>3990</v>
      </c>
    </row>
    <row r="1339" spans="1:7" x14ac:dyDescent="0.25">
      <c r="A1339" t="s">
        <v>623</v>
      </c>
      <c r="B1339" t="s">
        <v>2623</v>
      </c>
      <c r="C1339">
        <v>2017</v>
      </c>
      <c r="E1339" t="s">
        <v>3080</v>
      </c>
      <c r="F1339" t="s">
        <v>8571</v>
      </c>
      <c r="G1339" t="s">
        <v>3990</v>
      </c>
    </row>
    <row r="1340" spans="1:7" x14ac:dyDescent="0.25">
      <c r="A1340" t="s">
        <v>994</v>
      </c>
      <c r="B1340" t="s">
        <v>2623</v>
      </c>
      <c r="C1340">
        <v>2011</v>
      </c>
      <c r="E1340" t="s">
        <v>3080</v>
      </c>
      <c r="F1340" t="s">
        <v>8702</v>
      </c>
      <c r="G1340" t="s">
        <v>3990</v>
      </c>
    </row>
    <row r="1341" spans="1:7" x14ac:dyDescent="0.25">
      <c r="A1341" t="s">
        <v>1004</v>
      </c>
      <c r="B1341" t="s">
        <v>2623</v>
      </c>
      <c r="C1341">
        <v>2006</v>
      </c>
      <c r="E1341" t="s">
        <v>3173</v>
      </c>
      <c r="F1341" t="s">
        <v>8706</v>
      </c>
      <c r="G1341" t="s">
        <v>3990</v>
      </c>
    </row>
    <row r="1342" spans="1:7" x14ac:dyDescent="0.25">
      <c r="A1342" t="s">
        <v>2154</v>
      </c>
      <c r="B1342" t="s">
        <v>2625</v>
      </c>
      <c r="C1342">
        <v>1980</v>
      </c>
      <c r="E1342" t="s">
        <v>3325</v>
      </c>
      <c r="F1342" t="s">
        <v>9038</v>
      </c>
      <c r="G1342" t="s">
        <v>3990</v>
      </c>
    </row>
    <row r="1343" spans="1:7" x14ac:dyDescent="0.25">
      <c r="A1343" t="s">
        <v>2721</v>
      </c>
      <c r="B1343" t="s">
        <v>2625</v>
      </c>
      <c r="C1343">
        <v>1993</v>
      </c>
      <c r="E1343" t="s">
        <v>3418</v>
      </c>
      <c r="F1343" t="s">
        <v>9766</v>
      </c>
      <c r="G1343" t="s">
        <v>187</v>
      </c>
    </row>
    <row r="1344" spans="1:7" x14ac:dyDescent="0.25">
      <c r="A1344" t="s">
        <v>914</v>
      </c>
      <c r="B1344" t="s">
        <v>2630</v>
      </c>
      <c r="C1344">
        <v>2013</v>
      </c>
      <c r="E1344" t="s">
        <v>3146</v>
      </c>
      <c r="F1344" t="s">
        <v>8676</v>
      </c>
      <c r="G1344" t="s">
        <v>3990</v>
      </c>
    </row>
    <row r="1345" spans="1:7" x14ac:dyDescent="0.25">
      <c r="A1345" t="s">
        <v>260</v>
      </c>
      <c r="B1345" t="s">
        <v>2634</v>
      </c>
      <c r="C1345">
        <v>1990</v>
      </c>
      <c r="E1345" t="s">
        <v>3004</v>
      </c>
      <c r="F1345" t="s">
        <v>8472</v>
      </c>
      <c r="G1345" t="s">
        <v>3990</v>
      </c>
    </row>
    <row r="1346" spans="1:7" x14ac:dyDescent="0.25">
      <c r="A1346" t="s">
        <v>1420</v>
      </c>
      <c r="B1346" t="s">
        <v>2634</v>
      </c>
      <c r="C1346">
        <v>2007</v>
      </c>
      <c r="E1346" t="s">
        <v>3004</v>
      </c>
      <c r="F1346" t="s">
        <v>8830</v>
      </c>
      <c r="G1346" t="s">
        <v>3990</v>
      </c>
    </row>
    <row r="1347" spans="1:7" x14ac:dyDescent="0.25">
      <c r="A1347" t="s">
        <v>2023</v>
      </c>
      <c r="B1347" t="s">
        <v>2634</v>
      </c>
      <c r="C1347">
        <v>2003</v>
      </c>
      <c r="E1347" t="s">
        <v>3004</v>
      </c>
      <c r="F1347" t="s">
        <v>9767</v>
      </c>
      <c r="G1347" t="s">
        <v>187</v>
      </c>
    </row>
    <row r="1348" spans="1:7" x14ac:dyDescent="0.25">
      <c r="A1348" t="s">
        <v>2943</v>
      </c>
      <c r="B1348" t="s">
        <v>2637</v>
      </c>
      <c r="C1348">
        <v>2010</v>
      </c>
      <c r="D1348" t="s">
        <v>187</v>
      </c>
      <c r="E1348" t="s">
        <v>3432</v>
      </c>
      <c r="F1348" t="s">
        <v>9768</v>
      </c>
      <c r="G1348" t="s">
        <v>3990</v>
      </c>
    </row>
    <row r="1349" spans="1:7" x14ac:dyDescent="0.25">
      <c r="A1349" t="s">
        <v>323</v>
      </c>
      <c r="B1349" t="s">
        <v>2643</v>
      </c>
      <c r="C1349">
        <v>2020</v>
      </c>
      <c r="E1349" t="s">
        <v>3007</v>
      </c>
      <c r="F1349" t="s">
        <v>8476</v>
      </c>
      <c r="G1349" t="s">
        <v>3990</v>
      </c>
    </row>
    <row r="1350" spans="1:7" x14ac:dyDescent="0.25">
      <c r="A1350" t="s">
        <v>90</v>
      </c>
      <c r="B1350" t="s">
        <v>2643</v>
      </c>
      <c r="C1350">
        <v>2017</v>
      </c>
      <c r="E1350" t="s">
        <v>3380</v>
      </c>
      <c r="F1350" t="s">
        <v>9161</v>
      </c>
      <c r="G1350" t="s">
        <v>3990</v>
      </c>
    </row>
    <row r="1351" spans="1:7" x14ac:dyDescent="0.25">
      <c r="A1351" t="s">
        <v>160</v>
      </c>
      <c r="B1351" t="s">
        <v>2645</v>
      </c>
      <c r="C1351">
        <v>2011</v>
      </c>
      <c r="E1351" t="s">
        <v>3410</v>
      </c>
      <c r="F1351" t="s">
        <v>9298</v>
      </c>
      <c r="G1351" t="s">
        <v>3990</v>
      </c>
    </row>
    <row r="1352" spans="1:7" x14ac:dyDescent="0.25">
      <c r="A1352" t="s">
        <v>2698</v>
      </c>
      <c r="B1352" t="s">
        <v>2645</v>
      </c>
      <c r="C1352">
        <v>2022</v>
      </c>
      <c r="E1352" t="s">
        <v>3410</v>
      </c>
      <c r="F1352" t="s">
        <v>9310</v>
      </c>
      <c r="G1352" t="s">
        <v>3990</v>
      </c>
    </row>
    <row r="1353" spans="1:7" x14ac:dyDescent="0.25">
      <c r="A1353" t="s">
        <v>383</v>
      </c>
      <c r="B1353" t="s">
        <v>2648</v>
      </c>
      <c r="C1353">
        <v>2017</v>
      </c>
      <c r="E1353" t="s">
        <v>3055</v>
      </c>
      <c r="F1353" t="s">
        <v>8535</v>
      </c>
      <c r="G1353" t="s">
        <v>3990</v>
      </c>
    </row>
    <row r="1354" spans="1:7" x14ac:dyDescent="0.25">
      <c r="A1354" t="s">
        <v>1443</v>
      </c>
      <c r="B1354" t="s">
        <v>2648</v>
      </c>
      <c r="C1354">
        <v>2018</v>
      </c>
      <c r="E1354" t="s">
        <v>3055</v>
      </c>
      <c r="F1354" t="s">
        <v>8860</v>
      </c>
      <c r="G1354" t="s">
        <v>3990</v>
      </c>
    </row>
    <row r="1355" spans="1:7" x14ac:dyDescent="0.25">
      <c r="A1355" t="s">
        <v>90</v>
      </c>
      <c r="B1355" t="s">
        <v>2648</v>
      </c>
      <c r="C1355">
        <v>2017</v>
      </c>
      <c r="E1355" t="s">
        <v>3055</v>
      </c>
      <c r="F1355" t="s">
        <v>9162</v>
      </c>
      <c r="G1355" t="s">
        <v>3990</v>
      </c>
    </row>
    <row r="1356" spans="1:7" x14ac:dyDescent="0.25">
      <c r="A1356" t="s">
        <v>2481</v>
      </c>
      <c r="B1356" t="s">
        <v>2648</v>
      </c>
      <c r="C1356">
        <v>2020</v>
      </c>
      <c r="E1356" s="10" t="s">
        <v>8374</v>
      </c>
      <c r="F1356" t="s">
        <v>9226</v>
      </c>
      <c r="G1356" t="s">
        <v>3990</v>
      </c>
    </row>
    <row r="1357" spans="1:7" x14ac:dyDescent="0.25">
      <c r="A1357" t="s">
        <v>160</v>
      </c>
      <c r="B1357" t="s">
        <v>2652</v>
      </c>
      <c r="C1357">
        <v>2011</v>
      </c>
      <c r="D1357" t="s">
        <v>187</v>
      </c>
      <c r="F1357" t="s">
        <v>9769</v>
      </c>
      <c r="G1357" t="s">
        <v>3990</v>
      </c>
    </row>
    <row r="1358" spans="1:7" x14ac:dyDescent="0.25">
      <c r="A1358" t="s">
        <v>353</v>
      </c>
      <c r="B1358" t="s">
        <v>7923</v>
      </c>
      <c r="C1358">
        <v>2023</v>
      </c>
      <c r="E1358" t="s">
        <v>2982</v>
      </c>
      <c r="F1358" t="s">
        <v>8528</v>
      </c>
      <c r="G1358" t="s">
        <v>3990</v>
      </c>
    </row>
    <row r="1359" spans="1:7" x14ac:dyDescent="0.25">
      <c r="A1359" t="s">
        <v>2804</v>
      </c>
      <c r="B1359" t="s">
        <v>8131</v>
      </c>
      <c r="C1359">
        <v>2021</v>
      </c>
      <c r="E1359" s="10" t="s">
        <v>8132</v>
      </c>
      <c r="F1359" t="s">
        <v>9349</v>
      </c>
      <c r="G1359" t="s">
        <v>3990</v>
      </c>
    </row>
    <row r="1360" spans="1:7" x14ac:dyDescent="0.25">
      <c r="A1360" t="s">
        <v>2721</v>
      </c>
      <c r="B1360" t="s">
        <v>2656</v>
      </c>
      <c r="C1360">
        <v>1993</v>
      </c>
      <c r="D1360" t="s">
        <v>187</v>
      </c>
      <c r="F1360" t="s">
        <v>9770</v>
      </c>
      <c r="G1360" t="s">
        <v>3990</v>
      </c>
    </row>
    <row r="1361" spans="1:7" x14ac:dyDescent="0.25">
      <c r="A1361" t="s">
        <v>1443</v>
      </c>
      <c r="B1361" t="s">
        <v>2659</v>
      </c>
      <c r="C1361">
        <v>2018</v>
      </c>
      <c r="E1361" t="s">
        <v>3251</v>
      </c>
      <c r="F1361" t="s">
        <v>9771</v>
      </c>
      <c r="G1361" t="s">
        <v>187</v>
      </c>
    </row>
    <row r="1362" spans="1:7" x14ac:dyDescent="0.25">
      <c r="A1362" t="s">
        <v>1947</v>
      </c>
      <c r="B1362" t="s">
        <v>2659</v>
      </c>
      <c r="C1362">
        <v>2021</v>
      </c>
      <c r="E1362" t="s">
        <v>3251</v>
      </c>
      <c r="F1362" t="s">
        <v>9772</v>
      </c>
      <c r="G1362" t="s">
        <v>187</v>
      </c>
    </row>
    <row r="1363" spans="1:7" x14ac:dyDescent="0.25">
      <c r="A1363" t="s">
        <v>2324</v>
      </c>
      <c r="B1363" t="s">
        <v>2659</v>
      </c>
      <c r="C1363">
        <v>2022</v>
      </c>
      <c r="E1363" t="s">
        <v>3251</v>
      </c>
      <c r="F1363" t="s">
        <v>9773</v>
      </c>
      <c r="G1363" t="s">
        <v>187</v>
      </c>
    </row>
    <row r="1364" spans="1:7" x14ac:dyDescent="0.25">
      <c r="A1364" t="s">
        <v>90</v>
      </c>
      <c r="B1364" t="s">
        <v>2659</v>
      </c>
      <c r="C1364">
        <v>2017</v>
      </c>
      <c r="E1364" t="s">
        <v>3251</v>
      </c>
      <c r="F1364" t="s">
        <v>9163</v>
      </c>
      <c r="G1364" t="s">
        <v>3990</v>
      </c>
    </row>
    <row r="1365" spans="1:7" x14ac:dyDescent="0.25">
      <c r="A1365" t="s">
        <v>759</v>
      </c>
      <c r="B1365" t="s">
        <v>2663</v>
      </c>
      <c r="C1365">
        <v>2018</v>
      </c>
      <c r="D1365" t="s">
        <v>187</v>
      </c>
      <c r="E1365" t="s">
        <v>3123</v>
      </c>
      <c r="F1365" t="s">
        <v>8627</v>
      </c>
      <c r="G1365" t="s">
        <v>3990</v>
      </c>
    </row>
    <row r="1366" spans="1:7" x14ac:dyDescent="0.25">
      <c r="A1366" t="s">
        <v>237</v>
      </c>
      <c r="B1366" t="s">
        <v>2667</v>
      </c>
      <c r="C1366">
        <v>2021</v>
      </c>
      <c r="E1366" t="s">
        <v>2985</v>
      </c>
      <c r="F1366" t="s">
        <v>8455</v>
      </c>
      <c r="G1366" t="s">
        <v>3990</v>
      </c>
    </row>
    <row r="1367" spans="1:7" x14ac:dyDescent="0.25">
      <c r="A1367" t="s">
        <v>353</v>
      </c>
      <c r="B1367" t="s">
        <v>2667</v>
      </c>
      <c r="C1367">
        <v>2023</v>
      </c>
      <c r="E1367" t="s">
        <v>2985</v>
      </c>
      <c r="F1367" t="s">
        <v>8529</v>
      </c>
      <c r="G1367" t="s">
        <v>3990</v>
      </c>
    </row>
    <row r="1368" spans="1:7" x14ac:dyDescent="0.25">
      <c r="A1368" t="s">
        <v>1435</v>
      </c>
      <c r="B1368" t="s">
        <v>2667</v>
      </c>
      <c r="C1368">
        <v>2021</v>
      </c>
      <c r="E1368" t="s">
        <v>2985</v>
      </c>
      <c r="F1368" t="s">
        <v>8842</v>
      </c>
      <c r="G1368" t="s">
        <v>3990</v>
      </c>
    </row>
    <row r="1369" spans="1:7" x14ac:dyDescent="0.25">
      <c r="A1369" t="s">
        <v>1690</v>
      </c>
      <c r="B1369" t="s">
        <v>2667</v>
      </c>
      <c r="C1369">
        <v>2020</v>
      </c>
      <c r="E1369" t="s">
        <v>2985</v>
      </c>
      <c r="F1369" t="s">
        <v>8907</v>
      </c>
      <c r="G1369" t="s">
        <v>3990</v>
      </c>
    </row>
    <row r="1370" spans="1:7" x14ac:dyDescent="0.25">
      <c r="A1370" t="s">
        <v>90</v>
      </c>
      <c r="B1370" t="s">
        <v>2667</v>
      </c>
      <c r="C1370">
        <v>2017</v>
      </c>
      <c r="E1370" t="s">
        <v>2985</v>
      </c>
      <c r="F1370" t="s">
        <v>9164</v>
      </c>
      <c r="G1370" t="s">
        <v>3990</v>
      </c>
    </row>
    <row r="1371" spans="1:7" x14ac:dyDescent="0.25">
      <c r="A1371" t="s">
        <v>778</v>
      </c>
      <c r="B1371" t="s">
        <v>2669</v>
      </c>
      <c r="C1371">
        <v>2023</v>
      </c>
      <c r="E1371" t="s">
        <v>3127</v>
      </c>
      <c r="F1371" t="s">
        <v>8634</v>
      </c>
      <c r="G1371" t="s">
        <v>3990</v>
      </c>
    </row>
    <row r="1372" spans="1:7" x14ac:dyDescent="0.25">
      <c r="A1372" t="s">
        <v>811</v>
      </c>
      <c r="B1372" t="s">
        <v>2669</v>
      </c>
      <c r="C1372">
        <v>2024</v>
      </c>
      <c r="E1372" t="s">
        <v>3127</v>
      </c>
      <c r="F1372" t="s">
        <v>8638</v>
      </c>
      <c r="G1372" t="s">
        <v>3990</v>
      </c>
    </row>
    <row r="1373" spans="1:7" x14ac:dyDescent="0.25">
      <c r="A1373" t="s">
        <v>2804</v>
      </c>
      <c r="B1373" t="s">
        <v>2669</v>
      </c>
      <c r="C1373">
        <v>2021</v>
      </c>
      <c r="E1373" t="s">
        <v>3013</v>
      </c>
      <c r="F1373" t="s">
        <v>9774</v>
      </c>
      <c r="G1373" t="s">
        <v>187</v>
      </c>
    </row>
    <row r="1374" spans="1:7" x14ac:dyDescent="0.25">
      <c r="A1374" t="s">
        <v>2196</v>
      </c>
      <c r="B1374" t="s">
        <v>2671</v>
      </c>
      <c r="C1374">
        <v>2021</v>
      </c>
      <c r="E1374" t="s">
        <v>3336</v>
      </c>
      <c r="F1374" t="s">
        <v>9775</v>
      </c>
      <c r="G1374" t="s">
        <v>187</v>
      </c>
    </row>
    <row r="1375" spans="1:7" x14ac:dyDescent="0.25">
      <c r="A1375" t="s">
        <v>90</v>
      </c>
      <c r="B1375" t="s">
        <v>2671</v>
      </c>
      <c r="C1375">
        <v>2017</v>
      </c>
      <c r="E1375" t="s">
        <v>2982</v>
      </c>
      <c r="F1375" t="s">
        <v>9165</v>
      </c>
      <c r="G1375" t="s">
        <v>3990</v>
      </c>
    </row>
    <row r="1376" spans="1:7" x14ac:dyDescent="0.25">
      <c r="A1376" t="s">
        <v>1046</v>
      </c>
      <c r="B1376" t="s">
        <v>2675</v>
      </c>
      <c r="C1376">
        <v>2016</v>
      </c>
      <c r="E1376" t="s">
        <v>3190</v>
      </c>
      <c r="F1376" t="s">
        <v>8731</v>
      </c>
      <c r="G1376" t="s">
        <v>3990</v>
      </c>
    </row>
    <row r="1377" spans="1:7" x14ac:dyDescent="0.25">
      <c r="A1377" t="s">
        <v>1294</v>
      </c>
      <c r="B1377" t="s">
        <v>2675</v>
      </c>
      <c r="C1377">
        <v>2019</v>
      </c>
      <c r="E1377" t="s">
        <v>3190</v>
      </c>
      <c r="F1377" t="s">
        <v>8816</v>
      </c>
      <c r="G1377" t="s">
        <v>3990</v>
      </c>
    </row>
    <row r="1378" spans="1:7" x14ac:dyDescent="0.25">
      <c r="A1378" t="s">
        <v>160</v>
      </c>
      <c r="B1378" t="s">
        <v>2679</v>
      </c>
      <c r="C1378">
        <v>2011</v>
      </c>
      <c r="E1378" t="s">
        <v>3411</v>
      </c>
      <c r="F1378" t="s">
        <v>9299</v>
      </c>
      <c r="G1378" t="s">
        <v>3990</v>
      </c>
    </row>
    <row r="1379" spans="1:7" x14ac:dyDescent="0.25">
      <c r="A1379" t="s">
        <v>2721</v>
      </c>
      <c r="B1379" t="s">
        <v>2681</v>
      </c>
      <c r="C1379">
        <v>1993</v>
      </c>
      <c r="E1379" t="s">
        <v>3419</v>
      </c>
      <c r="F1379" t="s">
        <v>9316</v>
      </c>
      <c r="G1379" t="s">
        <v>3990</v>
      </c>
    </row>
    <row r="1380" spans="1:7" x14ac:dyDescent="0.25">
      <c r="A1380" t="s">
        <v>353</v>
      </c>
      <c r="B1380" t="s">
        <v>2686</v>
      </c>
      <c r="C1380">
        <v>2023</v>
      </c>
      <c r="E1380" t="s">
        <v>3050</v>
      </c>
      <c r="F1380" t="s">
        <v>8530</v>
      </c>
      <c r="G1380" t="s">
        <v>3990</v>
      </c>
    </row>
    <row r="1381" spans="1:7" x14ac:dyDescent="0.25">
      <c r="A1381" t="s">
        <v>2318</v>
      </c>
      <c r="B1381" t="s">
        <v>2686</v>
      </c>
      <c r="C1381">
        <v>2023</v>
      </c>
      <c r="E1381" t="s">
        <v>2982</v>
      </c>
      <c r="F1381" t="s">
        <v>9063</v>
      </c>
      <c r="G1381" t="s">
        <v>3990</v>
      </c>
    </row>
    <row r="1382" spans="1:7" x14ac:dyDescent="0.25">
      <c r="A1382" t="s">
        <v>90</v>
      </c>
      <c r="B1382" t="s">
        <v>2686</v>
      </c>
      <c r="C1382">
        <v>2017</v>
      </c>
      <c r="E1382" t="s">
        <v>2982</v>
      </c>
      <c r="F1382" t="s">
        <v>9166</v>
      </c>
      <c r="G1382" t="s">
        <v>3990</v>
      </c>
    </row>
    <row r="1383" spans="1:7" x14ac:dyDescent="0.25">
      <c r="A1383" t="s">
        <v>2804</v>
      </c>
      <c r="B1383" t="s">
        <v>2688</v>
      </c>
      <c r="C1383">
        <v>2021</v>
      </c>
      <c r="E1383" t="s">
        <v>3428</v>
      </c>
      <c r="F1383" t="s">
        <v>9350</v>
      </c>
      <c r="G1383" t="s">
        <v>3990</v>
      </c>
    </row>
    <row r="1384" spans="1:7" x14ac:dyDescent="0.25">
      <c r="A1384" t="s">
        <v>2804</v>
      </c>
      <c r="B1384" t="s">
        <v>2691</v>
      </c>
      <c r="C1384">
        <v>2021</v>
      </c>
      <c r="E1384" t="s">
        <v>3013</v>
      </c>
      <c r="F1384" t="s">
        <v>9776</v>
      </c>
      <c r="G1384" t="s">
        <v>187</v>
      </c>
    </row>
    <row r="1385" spans="1:7" x14ac:dyDescent="0.25">
      <c r="A1385" t="s">
        <v>1817</v>
      </c>
      <c r="B1385" t="s">
        <v>7952</v>
      </c>
      <c r="C1385">
        <v>2019</v>
      </c>
      <c r="E1385" s="10" t="s">
        <v>7951</v>
      </c>
      <c r="F1385" t="s">
        <v>8951</v>
      </c>
      <c r="G1385" t="s">
        <v>3990</v>
      </c>
    </row>
    <row r="1386" spans="1:7" x14ac:dyDescent="0.25">
      <c r="A1386" t="s">
        <v>90</v>
      </c>
      <c r="B1386" t="s">
        <v>7952</v>
      </c>
      <c r="C1386">
        <v>2017</v>
      </c>
      <c r="E1386" s="10" t="s">
        <v>7951</v>
      </c>
      <c r="F1386" t="s">
        <v>9167</v>
      </c>
      <c r="G1386" t="s">
        <v>3990</v>
      </c>
    </row>
    <row r="1387" spans="1:7" x14ac:dyDescent="0.25">
      <c r="A1387" t="s">
        <v>209</v>
      </c>
      <c r="B1387" t="s">
        <v>2695</v>
      </c>
      <c r="C1387">
        <v>2024</v>
      </c>
      <c r="E1387" t="s">
        <v>2984</v>
      </c>
      <c r="F1387" t="s">
        <v>8454</v>
      </c>
      <c r="G1387" t="s">
        <v>3990</v>
      </c>
    </row>
    <row r="1388" spans="1:7" x14ac:dyDescent="0.25">
      <c r="A1388" t="s">
        <v>344</v>
      </c>
      <c r="B1388" t="s">
        <v>2695</v>
      </c>
      <c r="C1388">
        <v>2023</v>
      </c>
      <c r="E1388" t="s">
        <v>2984</v>
      </c>
      <c r="F1388" t="s">
        <v>8484</v>
      </c>
      <c r="G1388" t="s">
        <v>3990</v>
      </c>
    </row>
    <row r="1389" spans="1:7" x14ac:dyDescent="0.25">
      <c r="A1389" t="s">
        <v>2506</v>
      </c>
      <c r="B1389" t="s">
        <v>2695</v>
      </c>
      <c r="C1389">
        <v>2021</v>
      </c>
      <c r="E1389" t="s">
        <v>2984</v>
      </c>
      <c r="F1389" t="s">
        <v>9236</v>
      </c>
      <c r="G1389" t="s">
        <v>3990</v>
      </c>
    </row>
    <row r="1390" spans="1:7" x14ac:dyDescent="0.25">
      <c r="A1390" t="s">
        <v>2594</v>
      </c>
      <c r="B1390" t="s">
        <v>2695</v>
      </c>
      <c r="C1390">
        <v>2019</v>
      </c>
      <c r="E1390" t="s">
        <v>2984</v>
      </c>
      <c r="F1390" t="s">
        <v>9248</v>
      </c>
      <c r="G1390" t="s">
        <v>3990</v>
      </c>
    </row>
    <row r="1391" spans="1:7" x14ac:dyDescent="0.25">
      <c r="A1391" t="s">
        <v>847</v>
      </c>
      <c r="B1391" t="s">
        <v>2698</v>
      </c>
      <c r="C1391">
        <v>1996</v>
      </c>
      <c r="E1391" s="10" t="s">
        <v>9373</v>
      </c>
      <c r="F1391" t="s">
        <v>10034</v>
      </c>
      <c r="G1391" t="s">
        <v>3990</v>
      </c>
    </row>
    <row r="1392" spans="1:7" x14ac:dyDescent="0.25">
      <c r="A1392" t="s">
        <v>1046</v>
      </c>
      <c r="B1392" t="s">
        <v>2698</v>
      </c>
      <c r="C1392">
        <v>2016</v>
      </c>
      <c r="E1392" t="s">
        <v>3191</v>
      </c>
      <c r="F1392" t="s">
        <v>10034</v>
      </c>
      <c r="G1392" t="s">
        <v>3990</v>
      </c>
    </row>
    <row r="1393" spans="1:7" x14ac:dyDescent="0.25">
      <c r="A1393" t="s">
        <v>1294</v>
      </c>
      <c r="B1393" t="s">
        <v>2698</v>
      </c>
      <c r="C1393">
        <v>2019</v>
      </c>
      <c r="E1393" t="s">
        <v>3191</v>
      </c>
      <c r="F1393" t="s">
        <v>8817</v>
      </c>
      <c r="G1393" t="s">
        <v>3990</v>
      </c>
    </row>
    <row r="1394" spans="1:7" x14ac:dyDescent="0.25">
      <c r="A1394" t="s">
        <v>1855</v>
      </c>
      <c r="B1394" t="s">
        <v>2698</v>
      </c>
      <c r="C1394">
        <v>2015</v>
      </c>
      <c r="E1394" t="s">
        <v>3191</v>
      </c>
      <c r="F1394" t="s">
        <v>10034</v>
      </c>
      <c r="G1394" t="s">
        <v>3990</v>
      </c>
    </row>
    <row r="1395" spans="1:7" x14ac:dyDescent="0.25">
      <c r="A1395" t="s">
        <v>2099</v>
      </c>
      <c r="B1395" t="s">
        <v>2698</v>
      </c>
      <c r="C1395">
        <v>2021</v>
      </c>
      <c r="E1395" s="10" t="s">
        <v>8375</v>
      </c>
      <c r="F1395" t="s">
        <v>8996</v>
      </c>
      <c r="G1395" t="s">
        <v>3990</v>
      </c>
    </row>
    <row r="1396" spans="1:7" x14ac:dyDescent="0.25">
      <c r="A1396" t="s">
        <v>160</v>
      </c>
      <c r="B1396" t="s">
        <v>2698</v>
      </c>
      <c r="C1396">
        <v>2011</v>
      </c>
      <c r="E1396" t="s">
        <v>3191</v>
      </c>
      <c r="F1396" t="s">
        <v>10034</v>
      </c>
      <c r="G1396" t="s">
        <v>3990</v>
      </c>
    </row>
    <row r="1397" spans="1:7" x14ac:dyDescent="0.25">
      <c r="A1397" t="s">
        <v>2804</v>
      </c>
      <c r="B1397" t="s">
        <v>2698</v>
      </c>
      <c r="C1397">
        <v>2021</v>
      </c>
      <c r="E1397" s="10" t="s">
        <v>3191</v>
      </c>
      <c r="F1397" t="s">
        <v>10034</v>
      </c>
      <c r="G1397" t="s">
        <v>3990</v>
      </c>
    </row>
    <row r="1398" spans="1:7" x14ac:dyDescent="0.25">
      <c r="A1398" t="s">
        <v>746</v>
      </c>
      <c r="B1398" t="s">
        <v>2702</v>
      </c>
      <c r="C1398">
        <v>2015</v>
      </c>
      <c r="E1398" t="s">
        <v>2982</v>
      </c>
      <c r="F1398" t="s">
        <v>8606</v>
      </c>
      <c r="G1398" t="s">
        <v>3990</v>
      </c>
    </row>
    <row r="1399" spans="1:7" x14ac:dyDescent="0.25">
      <c r="A1399" t="s">
        <v>2154</v>
      </c>
      <c r="B1399" t="s">
        <v>2706</v>
      </c>
      <c r="C1399">
        <v>1980</v>
      </c>
      <c r="E1399" t="s">
        <v>3327</v>
      </c>
      <c r="F1399" t="s">
        <v>9039</v>
      </c>
      <c r="G1399" t="s">
        <v>3990</v>
      </c>
    </row>
    <row r="1400" spans="1:7" x14ac:dyDescent="0.25">
      <c r="A1400" t="s">
        <v>2706</v>
      </c>
      <c r="B1400" t="s">
        <v>2709</v>
      </c>
      <c r="C1400">
        <v>1991</v>
      </c>
      <c r="D1400" t="s">
        <v>187</v>
      </c>
      <c r="F1400" t="s">
        <v>9777</v>
      </c>
      <c r="G1400" t="s">
        <v>3990</v>
      </c>
    </row>
    <row r="1401" spans="1:7" x14ac:dyDescent="0.25">
      <c r="A1401" t="s">
        <v>1046</v>
      </c>
      <c r="B1401" t="s">
        <v>2711</v>
      </c>
      <c r="C1401">
        <v>2016</v>
      </c>
      <c r="E1401" t="s">
        <v>3192</v>
      </c>
      <c r="F1401" t="s">
        <v>8732</v>
      </c>
      <c r="G1401" t="s">
        <v>3990</v>
      </c>
    </row>
    <row r="1402" spans="1:7" x14ac:dyDescent="0.25">
      <c r="A1402" t="s">
        <v>160</v>
      </c>
      <c r="B1402" t="s">
        <v>2711</v>
      </c>
      <c r="C1402">
        <v>2011</v>
      </c>
      <c r="E1402" t="s">
        <v>3192</v>
      </c>
      <c r="F1402" t="s">
        <v>9300</v>
      </c>
      <c r="G1402" t="s">
        <v>3990</v>
      </c>
    </row>
    <row r="1403" spans="1:7" x14ac:dyDescent="0.25">
      <c r="A1403" t="s">
        <v>2721</v>
      </c>
      <c r="B1403" t="s">
        <v>2715</v>
      </c>
      <c r="C1403">
        <v>1993</v>
      </c>
      <c r="D1403" t="s">
        <v>187</v>
      </c>
      <c r="F1403" t="s">
        <v>9778</v>
      </c>
      <c r="G1403" t="s">
        <v>3990</v>
      </c>
    </row>
    <row r="1404" spans="1:7" x14ac:dyDescent="0.25">
      <c r="A1404" t="s">
        <v>2715</v>
      </c>
      <c r="B1404" t="s">
        <v>2718</v>
      </c>
      <c r="C1404">
        <v>1999</v>
      </c>
      <c r="D1404" t="s">
        <v>187</v>
      </c>
      <c r="F1404" t="s">
        <v>9779</v>
      </c>
      <c r="G1404" t="s">
        <v>3990</v>
      </c>
    </row>
    <row r="1405" spans="1:7" x14ac:dyDescent="0.25">
      <c r="A1405" t="s">
        <v>2154</v>
      </c>
      <c r="B1405" t="s">
        <v>2721</v>
      </c>
      <c r="C1405">
        <v>1980</v>
      </c>
      <c r="E1405" t="s">
        <v>3328</v>
      </c>
      <c r="F1405" t="s">
        <v>9040</v>
      </c>
      <c r="G1405" t="s">
        <v>3990</v>
      </c>
    </row>
    <row r="1406" spans="1:7" x14ac:dyDescent="0.25">
      <c r="A1406" t="s">
        <v>964</v>
      </c>
      <c r="B1406" t="s">
        <v>2724</v>
      </c>
      <c r="C1406">
        <v>2006</v>
      </c>
      <c r="E1406" t="s">
        <v>2727</v>
      </c>
      <c r="F1406" t="s">
        <v>8697</v>
      </c>
      <c r="G1406" t="s">
        <v>3990</v>
      </c>
    </row>
    <row r="1407" spans="1:7" x14ac:dyDescent="0.25">
      <c r="A1407" t="s">
        <v>1157</v>
      </c>
      <c r="B1407" t="s">
        <v>2728</v>
      </c>
      <c r="C1407">
        <v>2014</v>
      </c>
      <c r="D1407" t="s">
        <v>187</v>
      </c>
      <c r="F1407" t="s">
        <v>9780</v>
      </c>
      <c r="G1407" t="s">
        <v>3990</v>
      </c>
    </row>
    <row r="1408" spans="1:7" x14ac:dyDescent="0.25">
      <c r="A1408" t="s">
        <v>1659</v>
      </c>
      <c r="B1408" t="s">
        <v>2731</v>
      </c>
      <c r="C1408">
        <v>2012</v>
      </c>
      <c r="D1408" t="s">
        <v>187</v>
      </c>
      <c r="F1408" t="s">
        <v>9781</v>
      </c>
      <c r="G1408" t="s">
        <v>3990</v>
      </c>
    </row>
    <row r="1409" spans="1:7" x14ac:dyDescent="0.25">
      <c r="A1409" t="s">
        <v>90</v>
      </c>
      <c r="B1409" t="s">
        <v>2734</v>
      </c>
      <c r="C1409">
        <v>2017</v>
      </c>
      <c r="E1409" s="10" t="s">
        <v>14047</v>
      </c>
      <c r="F1409" t="s">
        <v>9782</v>
      </c>
      <c r="G1409" t="s">
        <v>3990</v>
      </c>
    </row>
    <row r="1410" spans="1:7" x14ac:dyDescent="0.25">
      <c r="A1410" t="s">
        <v>2185</v>
      </c>
      <c r="B1410" t="s">
        <v>2736</v>
      </c>
      <c r="C1410">
        <v>2022</v>
      </c>
      <c r="E1410" t="s">
        <v>3335</v>
      </c>
      <c r="F1410" t="s">
        <v>9056</v>
      </c>
      <c r="G1410" t="s">
        <v>3990</v>
      </c>
    </row>
    <row r="1411" spans="1:7" x14ac:dyDescent="0.25">
      <c r="A1411" t="s">
        <v>1690</v>
      </c>
      <c r="B1411" t="s">
        <v>2738</v>
      </c>
      <c r="C1411">
        <v>2020</v>
      </c>
      <c r="E1411" t="s">
        <v>2982</v>
      </c>
      <c r="F1411" t="s">
        <v>8908</v>
      </c>
      <c r="G1411" t="s">
        <v>3990</v>
      </c>
    </row>
    <row r="1412" spans="1:7" x14ac:dyDescent="0.25">
      <c r="A1412" t="s">
        <v>90</v>
      </c>
      <c r="B1412" t="s">
        <v>2738</v>
      </c>
      <c r="C1412">
        <v>2017</v>
      </c>
      <c r="E1412" t="s">
        <v>2982</v>
      </c>
      <c r="F1412" t="s">
        <v>9168</v>
      </c>
      <c r="G1412" t="s">
        <v>3990</v>
      </c>
    </row>
    <row r="1413" spans="1:7" x14ac:dyDescent="0.25">
      <c r="A1413" t="s">
        <v>1365</v>
      </c>
      <c r="B1413" t="s">
        <v>2742</v>
      </c>
      <c r="C1413">
        <v>2018</v>
      </c>
      <c r="E1413" t="s">
        <v>2982</v>
      </c>
      <c r="F1413" t="s">
        <v>8827</v>
      </c>
      <c r="G1413" t="s">
        <v>3990</v>
      </c>
    </row>
    <row r="1414" spans="1:7" x14ac:dyDescent="0.25">
      <c r="A1414" t="s">
        <v>2804</v>
      </c>
      <c r="B1414" t="s">
        <v>2742</v>
      </c>
      <c r="C1414">
        <v>2021</v>
      </c>
      <c r="E1414" t="s">
        <v>2982</v>
      </c>
      <c r="F1414" t="s">
        <v>9351</v>
      </c>
      <c r="G1414" t="s">
        <v>3990</v>
      </c>
    </row>
    <row r="1415" spans="1:7" x14ac:dyDescent="0.25">
      <c r="A1415" t="s">
        <v>930</v>
      </c>
      <c r="B1415" t="s">
        <v>2744</v>
      </c>
      <c r="C1415">
        <v>2015</v>
      </c>
      <c r="E1415" t="s">
        <v>3159</v>
      </c>
      <c r="F1415" t="s">
        <v>8689</v>
      </c>
      <c r="G1415" t="s">
        <v>3990</v>
      </c>
    </row>
    <row r="1416" spans="1:7" x14ac:dyDescent="0.25">
      <c r="A1416" t="s">
        <v>160</v>
      </c>
      <c r="B1416" t="s">
        <v>2747</v>
      </c>
      <c r="C1416">
        <v>2011</v>
      </c>
      <c r="E1416" t="s">
        <v>3412</v>
      </c>
      <c r="F1416" t="s">
        <v>9301</v>
      </c>
      <c r="G1416" t="s">
        <v>3990</v>
      </c>
    </row>
    <row r="1417" spans="1:7" x14ac:dyDescent="0.25">
      <c r="A1417" t="s">
        <v>1144</v>
      </c>
      <c r="B1417" t="s">
        <v>2751</v>
      </c>
      <c r="C1417">
        <v>2012</v>
      </c>
      <c r="E1417" t="s">
        <v>2982</v>
      </c>
      <c r="F1417" t="s">
        <v>8767</v>
      </c>
      <c r="G1417" t="s">
        <v>3990</v>
      </c>
    </row>
    <row r="1418" spans="1:7" x14ac:dyDescent="0.25">
      <c r="A1418" t="s">
        <v>90</v>
      </c>
      <c r="B1418" t="s">
        <v>2751</v>
      </c>
      <c r="C1418">
        <v>2017</v>
      </c>
      <c r="E1418" t="s">
        <v>2982</v>
      </c>
      <c r="F1418" t="s">
        <v>9169</v>
      </c>
      <c r="G1418" t="s">
        <v>3990</v>
      </c>
    </row>
    <row r="1419" spans="1:7" x14ac:dyDescent="0.25">
      <c r="A1419" t="s">
        <v>344</v>
      </c>
      <c r="B1419" t="s">
        <v>2755</v>
      </c>
      <c r="C1419">
        <v>2023</v>
      </c>
      <c r="E1419" t="s">
        <v>3013</v>
      </c>
      <c r="F1419" t="s">
        <v>9783</v>
      </c>
      <c r="G1419" t="s">
        <v>187</v>
      </c>
    </row>
    <row r="1420" spans="1:7" x14ac:dyDescent="0.25">
      <c r="A1420" t="s">
        <v>1443</v>
      </c>
      <c r="B1420" t="s">
        <v>8106</v>
      </c>
      <c r="C1420">
        <v>2018</v>
      </c>
      <c r="E1420" s="10" t="s">
        <v>8116</v>
      </c>
      <c r="F1420" t="s">
        <v>8861</v>
      </c>
      <c r="G1420" t="s">
        <v>3990</v>
      </c>
    </row>
    <row r="1421" spans="1:7" x14ac:dyDescent="0.25">
      <c r="A1421" t="s">
        <v>1144</v>
      </c>
      <c r="B1421" t="s">
        <v>2757</v>
      </c>
      <c r="C1421">
        <v>2012</v>
      </c>
      <c r="E1421" t="s">
        <v>2982</v>
      </c>
      <c r="F1421" t="s">
        <v>8768</v>
      </c>
      <c r="G1421" t="s">
        <v>3990</v>
      </c>
    </row>
    <row r="1422" spans="1:7" x14ac:dyDescent="0.25">
      <c r="A1422" t="s">
        <v>930</v>
      </c>
      <c r="B1422" t="s">
        <v>2760</v>
      </c>
      <c r="C1422">
        <v>2015</v>
      </c>
      <c r="E1422" t="s">
        <v>3160</v>
      </c>
      <c r="F1422" t="s">
        <v>8690</v>
      </c>
      <c r="G1422" t="s">
        <v>3990</v>
      </c>
    </row>
    <row r="1423" spans="1:7" x14ac:dyDescent="0.25">
      <c r="A1423" t="s">
        <v>2428</v>
      </c>
      <c r="B1423" t="s">
        <v>2760</v>
      </c>
      <c r="C1423">
        <v>2008</v>
      </c>
      <c r="E1423" t="s">
        <v>3160</v>
      </c>
      <c r="F1423" t="s">
        <v>9220</v>
      </c>
      <c r="G1423" t="s">
        <v>3990</v>
      </c>
    </row>
    <row r="1424" spans="1:7" x14ac:dyDescent="0.25">
      <c r="A1424" t="s">
        <v>160</v>
      </c>
      <c r="B1424" t="s">
        <v>2760</v>
      </c>
      <c r="C1424">
        <v>2011</v>
      </c>
      <c r="E1424" t="s">
        <v>3160</v>
      </c>
      <c r="F1424" t="s">
        <v>9302</v>
      </c>
      <c r="G1424" t="s">
        <v>3990</v>
      </c>
    </row>
    <row r="1425" spans="1:7" x14ac:dyDescent="0.25">
      <c r="A1425" t="s">
        <v>344</v>
      </c>
      <c r="B1425" t="s">
        <v>2763</v>
      </c>
      <c r="C1425">
        <v>2023</v>
      </c>
      <c r="E1425" s="10" t="s">
        <v>3014</v>
      </c>
      <c r="F1425" t="s">
        <v>10035</v>
      </c>
      <c r="G1425" t="s">
        <v>3990</v>
      </c>
    </row>
    <row r="1426" spans="1:7" x14ac:dyDescent="0.25">
      <c r="A1426" t="s">
        <v>2614</v>
      </c>
      <c r="B1426" t="s">
        <v>2763</v>
      </c>
      <c r="C1426">
        <v>2025</v>
      </c>
      <c r="E1426" s="10" t="s">
        <v>3014</v>
      </c>
      <c r="F1426" t="s">
        <v>10035</v>
      </c>
      <c r="G1426" t="s">
        <v>3990</v>
      </c>
    </row>
    <row r="1427" spans="1:7" x14ac:dyDescent="0.25">
      <c r="A1427" t="s">
        <v>759</v>
      </c>
      <c r="B1427" t="s">
        <v>2766</v>
      </c>
      <c r="C1427">
        <v>2018</v>
      </c>
      <c r="E1427" t="s">
        <v>2982</v>
      </c>
      <c r="F1427" t="s">
        <v>8628</v>
      </c>
      <c r="G1427" t="s">
        <v>3990</v>
      </c>
    </row>
    <row r="1428" spans="1:7" x14ac:dyDescent="0.25">
      <c r="A1428" t="s">
        <v>1004</v>
      </c>
      <c r="B1428" t="s">
        <v>2769</v>
      </c>
      <c r="C1428">
        <v>2006</v>
      </c>
      <c r="E1428" s="10" t="s">
        <v>3174</v>
      </c>
      <c r="F1428" t="s">
        <v>14046</v>
      </c>
      <c r="G1428" t="s">
        <v>3990</v>
      </c>
    </row>
    <row r="1429" spans="1:7" x14ac:dyDescent="0.25">
      <c r="A1429" t="s">
        <v>160</v>
      </c>
      <c r="B1429" t="s">
        <v>2769</v>
      </c>
      <c r="C1429">
        <v>2011</v>
      </c>
      <c r="E1429" s="10" t="s">
        <v>3174</v>
      </c>
      <c r="F1429" t="s">
        <v>14045</v>
      </c>
      <c r="G1429" t="s">
        <v>3990</v>
      </c>
    </row>
    <row r="1430" spans="1:7" x14ac:dyDescent="0.25">
      <c r="A1430" t="s">
        <v>256</v>
      </c>
      <c r="B1430" t="s">
        <v>2771</v>
      </c>
      <c r="C1430">
        <v>1994</v>
      </c>
      <c r="D1430" t="s">
        <v>187</v>
      </c>
      <c r="F1430" t="s">
        <v>9784</v>
      </c>
      <c r="G1430" t="s">
        <v>3990</v>
      </c>
    </row>
    <row r="1431" spans="1:7" x14ac:dyDescent="0.25">
      <c r="A1431" t="s">
        <v>2136</v>
      </c>
      <c r="B1431" t="s">
        <v>12689</v>
      </c>
      <c r="C1431">
        <v>2020</v>
      </c>
      <c r="E1431" s="10" t="s">
        <v>12692</v>
      </c>
      <c r="F1431" t="s">
        <v>12693</v>
      </c>
      <c r="G1431" t="s">
        <v>3990</v>
      </c>
    </row>
    <row r="1432" spans="1:7" x14ac:dyDescent="0.25">
      <c r="A1432" t="s">
        <v>353</v>
      </c>
      <c r="B1432" t="s">
        <v>7692</v>
      </c>
      <c r="C1432">
        <v>2023</v>
      </c>
      <c r="E1432" t="s">
        <v>7691</v>
      </c>
      <c r="F1432" t="s">
        <v>8531</v>
      </c>
      <c r="G1432" t="s">
        <v>3990</v>
      </c>
    </row>
    <row r="1433" spans="1:7" x14ac:dyDescent="0.25">
      <c r="A1433" t="s">
        <v>2506</v>
      </c>
      <c r="B1433" t="s">
        <v>7692</v>
      </c>
      <c r="C1433">
        <v>2021</v>
      </c>
      <c r="E1433" t="s">
        <v>7691</v>
      </c>
      <c r="F1433" t="s">
        <v>9237</v>
      </c>
      <c r="G1433" t="s">
        <v>3990</v>
      </c>
    </row>
    <row r="1434" spans="1:7" x14ac:dyDescent="0.25">
      <c r="A1434" t="s">
        <v>759</v>
      </c>
      <c r="B1434" t="s">
        <v>2782</v>
      </c>
      <c r="C1434">
        <v>2018</v>
      </c>
      <c r="E1434" t="s">
        <v>3124</v>
      </c>
      <c r="F1434" t="s">
        <v>8629</v>
      </c>
      <c r="G1434" t="s">
        <v>3990</v>
      </c>
    </row>
    <row r="1435" spans="1:7" x14ac:dyDescent="0.25">
      <c r="A1435" t="s">
        <v>1046</v>
      </c>
      <c r="B1435" t="s">
        <v>2782</v>
      </c>
      <c r="C1435">
        <v>2016</v>
      </c>
      <c r="E1435" s="10" t="s">
        <v>8420</v>
      </c>
      <c r="F1435" t="s">
        <v>8733</v>
      </c>
      <c r="G1435" t="s">
        <v>3990</v>
      </c>
    </row>
    <row r="1436" spans="1:7" x14ac:dyDescent="0.25">
      <c r="A1436" t="s">
        <v>2173</v>
      </c>
      <c r="B1436" t="s">
        <v>2782</v>
      </c>
      <c r="C1436">
        <v>2013</v>
      </c>
      <c r="E1436" t="s">
        <v>3124</v>
      </c>
      <c r="F1436" t="s">
        <v>9054</v>
      </c>
      <c r="G1436" t="s">
        <v>3990</v>
      </c>
    </row>
    <row r="1437" spans="1:7" x14ac:dyDescent="0.25">
      <c r="A1437" t="s">
        <v>90</v>
      </c>
      <c r="B1437" t="s">
        <v>2782</v>
      </c>
      <c r="C1437">
        <v>2017</v>
      </c>
      <c r="E1437" s="10" t="s">
        <v>9397</v>
      </c>
      <c r="F1437" t="s">
        <v>9398</v>
      </c>
      <c r="G1437" t="s">
        <v>3990</v>
      </c>
    </row>
    <row r="1438" spans="1:7" x14ac:dyDescent="0.25">
      <c r="A1438" t="s">
        <v>160</v>
      </c>
      <c r="B1438" t="s">
        <v>2782</v>
      </c>
      <c r="C1438">
        <v>2011</v>
      </c>
      <c r="E1438" t="s">
        <v>3124</v>
      </c>
      <c r="F1438" t="s">
        <v>9303</v>
      </c>
      <c r="G1438" t="s">
        <v>3990</v>
      </c>
    </row>
    <row r="1439" spans="1:7" x14ac:dyDescent="0.25">
      <c r="A1439" t="s">
        <v>1294</v>
      </c>
      <c r="B1439" t="s">
        <v>2786</v>
      </c>
      <c r="C1439">
        <v>2019</v>
      </c>
      <c r="E1439" s="10" t="s">
        <v>8420</v>
      </c>
      <c r="F1439" t="s">
        <v>9371</v>
      </c>
      <c r="G1439" t="s">
        <v>3990</v>
      </c>
    </row>
    <row r="1440" spans="1:7" x14ac:dyDescent="0.25">
      <c r="A1440" t="s">
        <v>2782</v>
      </c>
      <c r="B1440" t="s">
        <v>2786</v>
      </c>
      <c r="C1440">
        <v>2019</v>
      </c>
      <c r="D1440" t="s">
        <v>187</v>
      </c>
      <c r="F1440" t="s">
        <v>9785</v>
      </c>
      <c r="G1440" t="s">
        <v>3990</v>
      </c>
    </row>
    <row r="1441" spans="1:7" x14ac:dyDescent="0.25">
      <c r="A1441" t="s">
        <v>490</v>
      </c>
      <c r="B1441" t="s">
        <v>2788</v>
      </c>
      <c r="C1441">
        <v>2009</v>
      </c>
      <c r="E1441" t="s">
        <v>3063</v>
      </c>
      <c r="F1441" t="s">
        <v>8544</v>
      </c>
      <c r="G1441" t="s">
        <v>3990</v>
      </c>
    </row>
    <row r="1442" spans="1:7" x14ac:dyDescent="0.25">
      <c r="A1442" t="s">
        <v>1795</v>
      </c>
      <c r="B1442" t="s">
        <v>2788</v>
      </c>
      <c r="C1442">
        <v>1987</v>
      </c>
      <c r="E1442" s="10" t="s">
        <v>8393</v>
      </c>
      <c r="F1442" t="s">
        <v>8945</v>
      </c>
      <c r="G1442" t="s">
        <v>3990</v>
      </c>
    </row>
    <row r="1443" spans="1:7" x14ac:dyDescent="0.25">
      <c r="A1443" t="s">
        <v>2154</v>
      </c>
      <c r="B1443" t="s">
        <v>2788</v>
      </c>
      <c r="C1443">
        <v>1980</v>
      </c>
      <c r="E1443" s="10" t="s">
        <v>8393</v>
      </c>
      <c r="F1443" t="s">
        <v>9041</v>
      </c>
      <c r="G1443" t="s">
        <v>3990</v>
      </c>
    </row>
    <row r="1444" spans="1:7" x14ac:dyDescent="0.25">
      <c r="A1444" t="s">
        <v>2788</v>
      </c>
      <c r="B1444" t="s">
        <v>2790</v>
      </c>
      <c r="C1444">
        <v>2017</v>
      </c>
      <c r="D1444" t="s">
        <v>187</v>
      </c>
      <c r="F1444" t="s">
        <v>9786</v>
      </c>
      <c r="G1444" t="s">
        <v>3990</v>
      </c>
    </row>
    <row r="1445" spans="1:7" x14ac:dyDescent="0.25">
      <c r="A1445" t="s">
        <v>1795</v>
      </c>
      <c r="B1445" t="s">
        <v>2792</v>
      </c>
      <c r="C1445">
        <v>1987</v>
      </c>
      <c r="E1445" t="s">
        <v>3287</v>
      </c>
      <c r="F1445" t="s">
        <v>9787</v>
      </c>
      <c r="G1445" t="s">
        <v>187</v>
      </c>
    </row>
    <row r="1446" spans="1:7" x14ac:dyDescent="0.25">
      <c r="A1446" t="s">
        <v>1882</v>
      </c>
      <c r="B1446" t="s">
        <v>2792</v>
      </c>
      <c r="C1446">
        <v>1987</v>
      </c>
      <c r="E1446" t="s">
        <v>3287</v>
      </c>
      <c r="F1446" t="s">
        <v>9788</v>
      </c>
      <c r="G1446" t="s">
        <v>187</v>
      </c>
    </row>
    <row r="1447" spans="1:7" x14ac:dyDescent="0.25">
      <c r="A1447" t="s">
        <v>847</v>
      </c>
      <c r="B1447" t="s">
        <v>2796</v>
      </c>
      <c r="C1447">
        <v>1996</v>
      </c>
      <c r="E1447" s="10" t="s">
        <v>3166</v>
      </c>
      <c r="F1447" t="s">
        <v>8445</v>
      </c>
      <c r="G1447" t="s">
        <v>3990</v>
      </c>
    </row>
    <row r="1448" spans="1:7" x14ac:dyDescent="0.25">
      <c r="A1448" t="s">
        <v>964</v>
      </c>
      <c r="B1448" t="s">
        <v>2796</v>
      </c>
      <c r="C1448">
        <v>2018</v>
      </c>
      <c r="E1448" t="s">
        <v>3166</v>
      </c>
      <c r="F1448" t="s">
        <v>8698</v>
      </c>
      <c r="G1448" t="s">
        <v>3990</v>
      </c>
    </row>
    <row r="1449" spans="1:7" x14ac:dyDescent="0.25">
      <c r="A1449" t="s">
        <v>2428</v>
      </c>
      <c r="B1449" t="s">
        <v>2796</v>
      </c>
      <c r="C1449">
        <v>2018</v>
      </c>
      <c r="E1449" t="s">
        <v>3166</v>
      </c>
      <c r="F1449" t="s">
        <v>9221</v>
      </c>
      <c r="G1449" t="s">
        <v>3990</v>
      </c>
    </row>
    <row r="1450" spans="1:7" x14ac:dyDescent="0.25">
      <c r="A1450" t="s">
        <v>2804</v>
      </c>
      <c r="B1450" t="s">
        <v>2798</v>
      </c>
      <c r="C1450">
        <v>2021</v>
      </c>
      <c r="D1450" t="s">
        <v>187</v>
      </c>
      <c r="F1450" t="s">
        <v>9789</v>
      </c>
      <c r="G1450" t="s">
        <v>3990</v>
      </c>
    </row>
    <row r="1451" spans="1:7" x14ac:dyDescent="0.25">
      <c r="A1451" t="s">
        <v>497</v>
      </c>
      <c r="B1451" t="s">
        <v>2800</v>
      </c>
      <c r="C1451">
        <v>2022</v>
      </c>
      <c r="E1451" s="10" t="s">
        <v>8400</v>
      </c>
      <c r="F1451" t="s">
        <v>9790</v>
      </c>
      <c r="G1451" t="s">
        <v>187</v>
      </c>
    </row>
    <row r="1452" spans="1:7" x14ac:dyDescent="0.25">
      <c r="A1452" t="s">
        <v>2397</v>
      </c>
      <c r="B1452" t="s">
        <v>2800</v>
      </c>
      <c r="C1452">
        <v>2022</v>
      </c>
      <c r="E1452" s="10" t="s">
        <v>8400</v>
      </c>
      <c r="F1452" t="s">
        <v>9791</v>
      </c>
      <c r="G1452" t="s">
        <v>187</v>
      </c>
    </row>
    <row r="1453" spans="1:7" x14ac:dyDescent="0.25">
      <c r="A1453" t="s">
        <v>2804</v>
      </c>
      <c r="B1453" t="s">
        <v>2800</v>
      </c>
      <c r="C1453">
        <v>2021</v>
      </c>
      <c r="E1453" t="s">
        <v>2982</v>
      </c>
      <c r="F1453" t="s">
        <v>9352</v>
      </c>
      <c r="G1453" t="s">
        <v>3990</v>
      </c>
    </row>
    <row r="1454" spans="1:7" x14ac:dyDescent="0.25">
      <c r="A1454" t="s">
        <v>1592</v>
      </c>
      <c r="B1454" t="s">
        <v>2804</v>
      </c>
      <c r="C1454">
        <v>2019</v>
      </c>
      <c r="E1454" t="s">
        <v>3265</v>
      </c>
      <c r="F1454" t="s">
        <v>8895</v>
      </c>
      <c r="G1454" t="s">
        <v>3990</v>
      </c>
    </row>
    <row r="1455" spans="1:7" x14ac:dyDescent="0.25">
      <c r="A1455" t="s">
        <v>90</v>
      </c>
      <c r="B1455" t="s">
        <v>2808</v>
      </c>
      <c r="C1455">
        <v>2017</v>
      </c>
      <c r="E1455" t="s">
        <v>3381</v>
      </c>
      <c r="F1455" t="s">
        <v>9170</v>
      </c>
      <c r="G1455" t="s">
        <v>3990</v>
      </c>
    </row>
    <row r="1456" spans="1:7" x14ac:dyDescent="0.25">
      <c r="A1456" t="s">
        <v>651</v>
      </c>
      <c r="B1456" t="s">
        <v>2812</v>
      </c>
      <c r="C1456">
        <v>2023</v>
      </c>
      <c r="E1456" t="s">
        <v>3082</v>
      </c>
      <c r="F1456" t="s">
        <v>8572</v>
      </c>
      <c r="G1456" t="s">
        <v>3990</v>
      </c>
    </row>
    <row r="1457" spans="1:7" x14ac:dyDescent="0.25">
      <c r="A1457" t="s">
        <v>1029</v>
      </c>
      <c r="B1457" t="s">
        <v>2812</v>
      </c>
      <c r="C1457">
        <v>2022</v>
      </c>
      <c r="E1457" t="s">
        <v>3082</v>
      </c>
      <c r="F1457" t="s">
        <v>8710</v>
      </c>
      <c r="G1457" t="s">
        <v>3990</v>
      </c>
    </row>
    <row r="1458" spans="1:7" x14ac:dyDescent="0.25">
      <c r="A1458" t="s">
        <v>1272</v>
      </c>
      <c r="B1458" t="s">
        <v>2812</v>
      </c>
      <c r="C1458">
        <v>2020</v>
      </c>
      <c r="E1458" t="s">
        <v>3082</v>
      </c>
      <c r="F1458" t="s">
        <v>8775</v>
      </c>
      <c r="G1458" t="s">
        <v>3990</v>
      </c>
    </row>
    <row r="1459" spans="1:7" x14ac:dyDescent="0.25">
      <c r="A1459" t="s">
        <v>1294</v>
      </c>
      <c r="B1459" t="s">
        <v>2812</v>
      </c>
      <c r="C1459">
        <v>2019</v>
      </c>
      <c r="E1459" t="s">
        <v>3082</v>
      </c>
      <c r="F1459" t="s">
        <v>8818</v>
      </c>
      <c r="G1459" t="s">
        <v>3990</v>
      </c>
    </row>
    <row r="1460" spans="1:7" x14ac:dyDescent="0.25">
      <c r="A1460" t="s">
        <v>2136</v>
      </c>
      <c r="B1460" t="s">
        <v>2812</v>
      </c>
      <c r="C1460">
        <v>2020</v>
      </c>
      <c r="E1460" t="s">
        <v>3082</v>
      </c>
      <c r="F1460" t="s">
        <v>9014</v>
      </c>
      <c r="G1460" t="s">
        <v>3990</v>
      </c>
    </row>
    <row r="1461" spans="1:7" x14ac:dyDescent="0.25">
      <c r="A1461" t="s">
        <v>2954</v>
      </c>
      <c r="B1461" t="s">
        <v>2812</v>
      </c>
      <c r="C1461">
        <v>2014</v>
      </c>
      <c r="E1461" t="s">
        <v>3082</v>
      </c>
      <c r="F1461" t="s">
        <v>9370</v>
      </c>
      <c r="G1461" t="s">
        <v>3990</v>
      </c>
    </row>
    <row r="1462" spans="1:7" x14ac:dyDescent="0.25">
      <c r="A1462" t="s">
        <v>2804</v>
      </c>
      <c r="B1462" t="s">
        <v>2814</v>
      </c>
      <c r="C1462">
        <v>2021</v>
      </c>
      <c r="E1462" t="s">
        <v>2982</v>
      </c>
      <c r="F1462" t="s">
        <v>9353</v>
      </c>
      <c r="G1462" t="s">
        <v>3990</v>
      </c>
    </row>
    <row r="1463" spans="1:7" x14ac:dyDescent="0.25">
      <c r="A1463" t="s">
        <v>924</v>
      </c>
      <c r="B1463" t="s">
        <v>2818</v>
      </c>
      <c r="C1463">
        <v>2019</v>
      </c>
      <c r="E1463" t="s">
        <v>3153</v>
      </c>
      <c r="F1463" t="s">
        <v>10036</v>
      </c>
      <c r="G1463" t="s">
        <v>187</v>
      </c>
    </row>
    <row r="1464" spans="1:7" x14ac:dyDescent="0.25">
      <c r="A1464" t="s">
        <v>90</v>
      </c>
      <c r="B1464" t="s">
        <v>2818</v>
      </c>
      <c r="C1464">
        <v>2017</v>
      </c>
      <c r="E1464" t="s">
        <v>3153</v>
      </c>
      <c r="F1464" t="s">
        <v>10036</v>
      </c>
      <c r="G1464" t="s">
        <v>187</v>
      </c>
    </row>
    <row r="1465" spans="1:7" x14ac:dyDescent="0.25">
      <c r="A1465" t="s">
        <v>2721</v>
      </c>
      <c r="B1465" t="s">
        <v>2818</v>
      </c>
      <c r="C1465">
        <v>1993</v>
      </c>
      <c r="E1465" t="s">
        <v>3153</v>
      </c>
      <c r="F1465" t="s">
        <v>10036</v>
      </c>
      <c r="G1465" t="s">
        <v>187</v>
      </c>
    </row>
    <row r="1466" spans="1:7" x14ac:dyDescent="0.25">
      <c r="A1466" t="s">
        <v>2818</v>
      </c>
      <c r="B1466" t="s">
        <v>2820</v>
      </c>
      <c r="C1466">
        <v>2021</v>
      </c>
      <c r="D1466" t="s">
        <v>187</v>
      </c>
      <c r="F1466" t="s">
        <v>9792</v>
      </c>
      <c r="G1466" t="s">
        <v>3990</v>
      </c>
    </row>
    <row r="1467" spans="1:7" x14ac:dyDescent="0.25">
      <c r="A1467" t="s">
        <v>746</v>
      </c>
      <c r="B1467" t="s">
        <v>2822</v>
      </c>
      <c r="C1467">
        <v>2015</v>
      </c>
      <c r="E1467" t="s">
        <v>3108</v>
      </c>
      <c r="F1467" t="s">
        <v>8607</v>
      </c>
      <c r="G1467" t="s">
        <v>3990</v>
      </c>
    </row>
    <row r="1468" spans="1:7" x14ac:dyDescent="0.25">
      <c r="A1468" t="s">
        <v>90</v>
      </c>
      <c r="B1468" t="s">
        <v>2822</v>
      </c>
      <c r="C1468">
        <v>2017</v>
      </c>
      <c r="E1468" t="s">
        <v>2982</v>
      </c>
      <c r="F1468" t="s">
        <v>9171</v>
      </c>
      <c r="G1468" t="s">
        <v>3990</v>
      </c>
    </row>
    <row r="1469" spans="1:7" x14ac:dyDescent="0.25">
      <c r="A1469" t="s">
        <v>1144</v>
      </c>
      <c r="B1469" t="s">
        <v>2824</v>
      </c>
      <c r="C1469">
        <v>2012</v>
      </c>
      <c r="E1469" t="s">
        <v>3214</v>
      </c>
      <c r="F1469" t="s">
        <v>8769</v>
      </c>
      <c r="G1469" t="s">
        <v>3990</v>
      </c>
    </row>
    <row r="1470" spans="1:7" x14ac:dyDescent="0.25">
      <c r="A1470" t="s">
        <v>2804</v>
      </c>
      <c r="B1470" t="s">
        <v>2828</v>
      </c>
      <c r="C1470">
        <v>2021</v>
      </c>
      <c r="E1470" t="s">
        <v>2982</v>
      </c>
      <c r="F1470" t="s">
        <v>9354</v>
      </c>
      <c r="G1470" t="s">
        <v>3990</v>
      </c>
    </row>
    <row r="1471" spans="1:7" x14ac:dyDescent="0.25">
      <c r="A1471" t="s">
        <v>1004</v>
      </c>
      <c r="B1471" t="s">
        <v>2832</v>
      </c>
      <c r="C1471">
        <v>2006</v>
      </c>
      <c r="E1471" t="s">
        <v>3175</v>
      </c>
      <c r="F1471" t="s">
        <v>10037</v>
      </c>
      <c r="G1471" t="s">
        <v>187</v>
      </c>
    </row>
    <row r="1472" spans="1:7" x14ac:dyDescent="0.25">
      <c r="A1472" t="s">
        <v>1144</v>
      </c>
      <c r="B1472" t="s">
        <v>2832</v>
      </c>
      <c r="C1472">
        <v>2012</v>
      </c>
      <c r="E1472" t="s">
        <v>3175</v>
      </c>
      <c r="F1472" t="s">
        <v>10037</v>
      </c>
      <c r="G1472" t="s">
        <v>187</v>
      </c>
    </row>
    <row r="1473" spans="1:7" x14ac:dyDescent="0.25">
      <c r="A1473" t="s">
        <v>1855</v>
      </c>
      <c r="B1473" t="s">
        <v>2834</v>
      </c>
      <c r="C1473">
        <v>2015</v>
      </c>
      <c r="E1473" t="s">
        <v>3299</v>
      </c>
      <c r="F1473" t="s">
        <v>8974</v>
      </c>
      <c r="G1473" t="s">
        <v>3990</v>
      </c>
    </row>
    <row r="1474" spans="1:7" x14ac:dyDescent="0.25">
      <c r="A1474" t="s">
        <v>457</v>
      </c>
      <c r="B1474" t="s">
        <v>2838</v>
      </c>
      <c r="C1474">
        <v>2022</v>
      </c>
      <c r="D1474" t="s">
        <v>187</v>
      </c>
      <c r="F1474" t="s">
        <v>9793</v>
      </c>
      <c r="G1474" t="s">
        <v>3990</v>
      </c>
    </row>
    <row r="1475" spans="1:7" x14ac:dyDescent="0.25">
      <c r="A1475" t="s">
        <v>497</v>
      </c>
      <c r="B1475" t="s">
        <v>2838</v>
      </c>
      <c r="C1475">
        <v>2022</v>
      </c>
      <c r="E1475" t="s">
        <v>3071</v>
      </c>
      <c r="F1475" t="s">
        <v>8559</v>
      </c>
      <c r="G1475" t="s">
        <v>3990</v>
      </c>
    </row>
    <row r="1476" spans="1:7" x14ac:dyDescent="0.25">
      <c r="A1476" t="s">
        <v>847</v>
      </c>
      <c r="B1476" t="s">
        <v>2840</v>
      </c>
      <c r="C1476">
        <v>1996</v>
      </c>
      <c r="E1476" s="10" t="s">
        <v>3431</v>
      </c>
      <c r="F1476" t="s">
        <v>8661</v>
      </c>
      <c r="G1476" t="s">
        <v>3990</v>
      </c>
    </row>
    <row r="1477" spans="1:7" x14ac:dyDescent="0.25">
      <c r="A1477" t="s">
        <v>2901</v>
      </c>
      <c r="B1477" t="s">
        <v>2840</v>
      </c>
      <c r="C1477">
        <v>2023</v>
      </c>
      <c r="E1477" t="s">
        <v>3431</v>
      </c>
      <c r="F1477" t="s">
        <v>9361</v>
      </c>
      <c r="G1477" t="s">
        <v>3990</v>
      </c>
    </row>
    <row r="1478" spans="1:7" x14ac:dyDescent="0.25">
      <c r="A1478" t="s">
        <v>2721</v>
      </c>
      <c r="B1478" t="s">
        <v>2843</v>
      </c>
      <c r="C1478">
        <v>1993</v>
      </c>
      <c r="E1478" t="s">
        <v>3013</v>
      </c>
      <c r="F1478" t="s">
        <v>9794</v>
      </c>
      <c r="G1478" t="s">
        <v>187</v>
      </c>
    </row>
    <row r="1479" spans="1:7" x14ac:dyDescent="0.25">
      <c r="A1479" t="s">
        <v>904</v>
      </c>
      <c r="B1479" t="s">
        <v>2846</v>
      </c>
      <c r="C1479">
        <v>2022</v>
      </c>
      <c r="E1479" t="s">
        <v>3144</v>
      </c>
      <c r="F1479" t="s">
        <v>8673</v>
      </c>
      <c r="G1479" t="s">
        <v>3990</v>
      </c>
    </row>
    <row r="1480" spans="1:7" x14ac:dyDescent="0.25">
      <c r="A1480" t="s">
        <v>2846</v>
      </c>
      <c r="B1480" t="s">
        <v>2850</v>
      </c>
      <c r="C1480">
        <v>2023</v>
      </c>
      <c r="D1480" t="s">
        <v>187</v>
      </c>
      <c r="F1480" t="s">
        <v>9795</v>
      </c>
      <c r="G1480" t="s">
        <v>3990</v>
      </c>
    </row>
    <row r="1481" spans="1:7" x14ac:dyDescent="0.25">
      <c r="A1481" t="s">
        <v>350</v>
      </c>
      <c r="B1481" t="s">
        <v>7838</v>
      </c>
      <c r="C1481">
        <v>2018</v>
      </c>
      <c r="E1481" t="s">
        <v>7841</v>
      </c>
      <c r="F1481" t="s">
        <v>8492</v>
      </c>
      <c r="G1481" t="s">
        <v>3990</v>
      </c>
    </row>
    <row r="1482" spans="1:7" x14ac:dyDescent="0.25">
      <c r="A1482" t="s">
        <v>2804</v>
      </c>
      <c r="B1482" t="s">
        <v>7838</v>
      </c>
      <c r="C1482">
        <v>2021</v>
      </c>
      <c r="E1482" t="s">
        <v>7841</v>
      </c>
      <c r="F1482" t="s">
        <v>9355</v>
      </c>
      <c r="G1482" t="s">
        <v>3990</v>
      </c>
    </row>
    <row r="1483" spans="1:7" x14ac:dyDescent="0.25">
      <c r="A1483" t="s">
        <v>2804</v>
      </c>
      <c r="B1483" t="s">
        <v>2852</v>
      </c>
      <c r="C1483">
        <v>2021</v>
      </c>
      <c r="D1483" t="s">
        <v>187</v>
      </c>
      <c r="E1483" t="s">
        <v>3429</v>
      </c>
      <c r="F1483" t="s">
        <v>9796</v>
      </c>
      <c r="G1483" t="s">
        <v>3990</v>
      </c>
    </row>
    <row r="1484" spans="1:7" x14ac:dyDescent="0.25">
      <c r="A1484" t="s">
        <v>490</v>
      </c>
      <c r="B1484" t="s">
        <v>2854</v>
      </c>
      <c r="C1484">
        <v>2009</v>
      </c>
      <c r="E1484" t="s">
        <v>3064</v>
      </c>
      <c r="F1484" t="s">
        <v>9462</v>
      </c>
      <c r="G1484" t="s">
        <v>3990</v>
      </c>
    </row>
    <row r="1485" spans="1:7" x14ac:dyDescent="0.25">
      <c r="A1485" t="s">
        <v>1144</v>
      </c>
      <c r="B1485" t="s">
        <v>2854</v>
      </c>
      <c r="C1485">
        <v>2012</v>
      </c>
      <c r="E1485" t="s">
        <v>3064</v>
      </c>
      <c r="F1485" t="s">
        <v>9463</v>
      </c>
      <c r="G1485" t="s">
        <v>3990</v>
      </c>
    </row>
    <row r="1486" spans="1:7" x14ac:dyDescent="0.25">
      <c r="A1486" t="s">
        <v>90</v>
      </c>
      <c r="B1486" t="s">
        <v>2856</v>
      </c>
      <c r="C1486">
        <v>2017</v>
      </c>
      <c r="E1486" t="s">
        <v>3382</v>
      </c>
      <c r="F1486" t="s">
        <v>9172</v>
      </c>
      <c r="G1486" t="s">
        <v>3990</v>
      </c>
    </row>
    <row r="1487" spans="1:7" x14ac:dyDescent="0.25">
      <c r="A1487" t="s">
        <v>1004</v>
      </c>
      <c r="B1487" t="s">
        <v>2860</v>
      </c>
      <c r="C1487">
        <v>2006</v>
      </c>
      <c r="E1487" t="s">
        <v>3176</v>
      </c>
      <c r="F1487" t="s">
        <v>8707</v>
      </c>
      <c r="G1487" t="s">
        <v>3990</v>
      </c>
    </row>
    <row r="1488" spans="1:7" x14ac:dyDescent="0.25">
      <c r="A1488" t="s">
        <v>1004</v>
      </c>
      <c r="B1488" t="s">
        <v>2864</v>
      </c>
      <c r="C1488">
        <v>2006</v>
      </c>
      <c r="E1488" t="s">
        <v>3177</v>
      </c>
      <c r="F1488" t="s">
        <v>8708</v>
      </c>
      <c r="G1488" t="s">
        <v>3990</v>
      </c>
    </row>
    <row r="1489" spans="1:7" x14ac:dyDescent="0.25">
      <c r="A1489" t="s">
        <v>2023</v>
      </c>
      <c r="B1489" t="s">
        <v>2864</v>
      </c>
      <c r="C1489">
        <v>2003</v>
      </c>
      <c r="E1489" t="s">
        <v>3306</v>
      </c>
      <c r="F1489" t="s">
        <v>9461</v>
      </c>
      <c r="G1489" t="s">
        <v>3990</v>
      </c>
    </row>
    <row r="1490" spans="1:7" x14ac:dyDescent="0.25">
      <c r="A1490" t="s">
        <v>2769</v>
      </c>
      <c r="B1490" t="s">
        <v>2864</v>
      </c>
      <c r="C1490">
        <v>2012</v>
      </c>
      <c r="E1490" s="10" t="s">
        <v>9967</v>
      </c>
      <c r="F1490" t="s">
        <v>9968</v>
      </c>
      <c r="G1490" t="s">
        <v>3990</v>
      </c>
    </row>
    <row r="1491" spans="1:7" x14ac:dyDescent="0.25">
      <c r="A1491" t="s">
        <v>1795</v>
      </c>
      <c r="B1491" t="s">
        <v>2866</v>
      </c>
      <c r="C1491">
        <v>1987</v>
      </c>
      <c r="E1491" t="s">
        <v>3288</v>
      </c>
      <c r="F1491" t="s">
        <v>8946</v>
      </c>
      <c r="G1491" t="s">
        <v>3990</v>
      </c>
    </row>
    <row r="1492" spans="1:7" x14ac:dyDescent="0.25">
      <c r="A1492" t="s">
        <v>2489</v>
      </c>
      <c r="B1492" t="s">
        <v>2874</v>
      </c>
      <c r="C1492">
        <v>2002</v>
      </c>
      <c r="D1492" t="s">
        <v>187</v>
      </c>
      <c r="F1492" t="s">
        <v>9797</v>
      </c>
      <c r="G1492" t="s">
        <v>3990</v>
      </c>
    </row>
    <row r="1493" spans="1:7" x14ac:dyDescent="0.25">
      <c r="A1493" t="s">
        <v>2804</v>
      </c>
      <c r="B1493" t="s">
        <v>2882</v>
      </c>
      <c r="C1493">
        <v>2021</v>
      </c>
      <c r="E1493" t="s">
        <v>3430</v>
      </c>
      <c r="F1493" t="s">
        <v>9356</v>
      </c>
      <c r="G1493" t="s">
        <v>3990</v>
      </c>
    </row>
    <row r="1494" spans="1:7" x14ac:dyDescent="0.25">
      <c r="A1494" t="s">
        <v>2824</v>
      </c>
      <c r="B1494" t="s">
        <v>2886</v>
      </c>
      <c r="C1494">
        <v>2019</v>
      </c>
      <c r="D1494" t="s">
        <v>187</v>
      </c>
      <c r="F1494" t="s">
        <v>9798</v>
      </c>
      <c r="G1494" t="s">
        <v>3990</v>
      </c>
    </row>
    <row r="1495" spans="1:7" x14ac:dyDescent="0.25">
      <c r="A1495" t="s">
        <v>549</v>
      </c>
      <c r="B1495" t="s">
        <v>2890</v>
      </c>
      <c r="C1495">
        <v>2017</v>
      </c>
      <c r="E1495" t="s">
        <v>3076</v>
      </c>
      <c r="F1495" t="s">
        <v>8565</v>
      </c>
      <c r="G1495" t="s">
        <v>3990</v>
      </c>
    </row>
    <row r="1496" spans="1:7" x14ac:dyDescent="0.25">
      <c r="A1496" t="s">
        <v>1690</v>
      </c>
      <c r="B1496" t="s">
        <v>2890</v>
      </c>
      <c r="C1496">
        <v>2020</v>
      </c>
      <c r="E1496" t="s">
        <v>3076</v>
      </c>
      <c r="F1496" t="s">
        <v>8909</v>
      </c>
      <c r="G1496" t="s">
        <v>3990</v>
      </c>
    </row>
    <row r="1497" spans="1:7" x14ac:dyDescent="0.25">
      <c r="A1497" t="s">
        <v>2132</v>
      </c>
      <c r="B1497" t="s">
        <v>2890</v>
      </c>
      <c r="C1497">
        <v>2013</v>
      </c>
      <c r="E1497" t="s">
        <v>3076</v>
      </c>
      <c r="F1497" t="s">
        <v>9003</v>
      </c>
      <c r="G1497" t="s">
        <v>3990</v>
      </c>
    </row>
    <row r="1498" spans="1:7" x14ac:dyDescent="0.25">
      <c r="A1498" t="s">
        <v>90</v>
      </c>
      <c r="B1498" t="s">
        <v>2890</v>
      </c>
      <c r="C1498">
        <v>2017</v>
      </c>
      <c r="E1498" t="s">
        <v>3076</v>
      </c>
      <c r="F1498" t="s">
        <v>9173</v>
      </c>
      <c r="G1498" t="s">
        <v>3990</v>
      </c>
    </row>
    <row r="1499" spans="1:7" x14ac:dyDescent="0.25">
      <c r="A1499" t="s">
        <v>2428</v>
      </c>
      <c r="B1499" t="s">
        <v>2890</v>
      </c>
      <c r="C1499">
        <v>2008</v>
      </c>
      <c r="E1499" t="s">
        <v>3076</v>
      </c>
      <c r="F1499" t="s">
        <v>9222</v>
      </c>
      <c r="G1499" t="s">
        <v>3990</v>
      </c>
    </row>
    <row r="1500" spans="1:7" x14ac:dyDescent="0.25">
      <c r="A1500" t="s">
        <v>160</v>
      </c>
      <c r="B1500" t="s">
        <v>2890</v>
      </c>
      <c r="C1500">
        <v>2011</v>
      </c>
      <c r="E1500" t="s">
        <v>3076</v>
      </c>
      <c r="F1500" t="s">
        <v>9304</v>
      </c>
      <c r="G1500" t="s">
        <v>3990</v>
      </c>
    </row>
    <row r="1501" spans="1:7" x14ac:dyDescent="0.25">
      <c r="A1501" t="s">
        <v>759</v>
      </c>
      <c r="B1501" t="s">
        <v>2894</v>
      </c>
      <c r="C1501">
        <v>2018</v>
      </c>
      <c r="D1501" t="s">
        <v>187</v>
      </c>
      <c r="E1501" t="s">
        <v>3125</v>
      </c>
      <c r="F1501" t="s">
        <v>8630</v>
      </c>
      <c r="G1501" t="s">
        <v>3990</v>
      </c>
    </row>
    <row r="1502" spans="1:7" x14ac:dyDescent="0.25">
      <c r="A1502" t="s">
        <v>1549</v>
      </c>
      <c r="B1502" t="s">
        <v>2896</v>
      </c>
      <c r="C1502">
        <v>2021</v>
      </c>
      <c r="E1502" t="s">
        <v>3256</v>
      </c>
      <c r="F1502" t="s">
        <v>9460</v>
      </c>
      <c r="G1502" t="s">
        <v>3990</v>
      </c>
    </row>
    <row r="1503" spans="1:7" x14ac:dyDescent="0.25">
      <c r="A1503" t="s">
        <v>2122</v>
      </c>
      <c r="B1503" t="s">
        <v>2896</v>
      </c>
      <c r="C1503">
        <v>2020</v>
      </c>
      <c r="D1503" t="s">
        <v>187</v>
      </c>
      <c r="F1503" t="s">
        <v>9799</v>
      </c>
      <c r="G1503" t="s">
        <v>3990</v>
      </c>
    </row>
    <row r="1504" spans="1:7" x14ac:dyDescent="0.25">
      <c r="A1504" t="s">
        <v>90</v>
      </c>
      <c r="B1504" t="s">
        <v>2896</v>
      </c>
      <c r="C1504">
        <v>2017</v>
      </c>
      <c r="E1504" t="s">
        <v>3383</v>
      </c>
      <c r="F1504" t="s">
        <v>9457</v>
      </c>
      <c r="G1504" t="s">
        <v>3990</v>
      </c>
    </row>
    <row r="1505" spans="1:7" x14ac:dyDescent="0.25">
      <c r="A1505" t="s">
        <v>2506</v>
      </c>
      <c r="B1505" t="s">
        <v>2896</v>
      </c>
      <c r="C1505">
        <v>2021</v>
      </c>
      <c r="E1505" s="10" t="s">
        <v>9459</v>
      </c>
      <c r="F1505" t="s">
        <v>9458</v>
      </c>
      <c r="G1505" t="s">
        <v>3990</v>
      </c>
    </row>
    <row r="1506" spans="1:7" x14ac:dyDescent="0.25">
      <c r="A1506" t="s">
        <v>1294</v>
      </c>
      <c r="B1506" t="s">
        <v>2901</v>
      </c>
      <c r="C1506">
        <v>2019</v>
      </c>
      <c r="E1506" s="10" t="s">
        <v>7946</v>
      </c>
      <c r="F1506" t="s">
        <v>8819</v>
      </c>
      <c r="G1506" t="s">
        <v>3990</v>
      </c>
    </row>
    <row r="1507" spans="1:7" x14ac:dyDescent="0.25">
      <c r="A1507" t="s">
        <v>90</v>
      </c>
      <c r="B1507" t="s">
        <v>2904</v>
      </c>
      <c r="C1507">
        <v>2017</v>
      </c>
      <c r="E1507" t="s">
        <v>3384</v>
      </c>
      <c r="F1507" t="s">
        <v>9174</v>
      </c>
      <c r="G1507" t="s">
        <v>3990</v>
      </c>
    </row>
    <row r="1508" spans="1:7" x14ac:dyDescent="0.25">
      <c r="A1508" t="s">
        <v>2906</v>
      </c>
      <c r="B1508" t="s">
        <v>2910</v>
      </c>
      <c r="C1508">
        <v>2018</v>
      </c>
      <c r="D1508" t="s">
        <v>187</v>
      </c>
      <c r="F1508" t="s">
        <v>9800</v>
      </c>
      <c r="G1508" t="s">
        <v>3990</v>
      </c>
    </row>
    <row r="1509" spans="1:7" x14ac:dyDescent="0.25">
      <c r="A1509" t="s">
        <v>160</v>
      </c>
      <c r="B1509" t="s">
        <v>2914</v>
      </c>
      <c r="C1509">
        <v>2011</v>
      </c>
      <c r="E1509" t="s">
        <v>2982</v>
      </c>
      <c r="F1509" t="s">
        <v>9305</v>
      </c>
      <c r="G1509" t="s">
        <v>3990</v>
      </c>
    </row>
    <row r="1510" spans="1:7" x14ac:dyDescent="0.25">
      <c r="A1510" t="s">
        <v>353</v>
      </c>
      <c r="B1510" t="s">
        <v>2918</v>
      </c>
      <c r="C1510">
        <v>2023</v>
      </c>
      <c r="E1510" t="s">
        <v>3051</v>
      </c>
      <c r="F1510" t="s">
        <v>8532</v>
      </c>
      <c r="G1510" t="s">
        <v>3990</v>
      </c>
    </row>
    <row r="1511" spans="1:7" x14ac:dyDescent="0.25">
      <c r="A1511" t="s">
        <v>353</v>
      </c>
      <c r="B1511" t="s">
        <v>2920</v>
      </c>
      <c r="C1511">
        <v>2023</v>
      </c>
      <c r="E1511" t="s">
        <v>3052</v>
      </c>
      <c r="F1511" t="s">
        <v>9801</v>
      </c>
      <c r="G1511" t="s">
        <v>187</v>
      </c>
    </row>
    <row r="1512" spans="1:7" x14ac:dyDescent="0.25">
      <c r="A1512" t="s">
        <v>873</v>
      </c>
      <c r="B1512" t="s">
        <v>2924</v>
      </c>
      <c r="C1512">
        <v>2019</v>
      </c>
      <c r="E1512" s="10" t="s">
        <v>8369</v>
      </c>
      <c r="F1512" t="s">
        <v>8668</v>
      </c>
      <c r="G1512" t="s">
        <v>3990</v>
      </c>
    </row>
    <row r="1513" spans="1:7" x14ac:dyDescent="0.25">
      <c r="A1513" t="s">
        <v>90</v>
      </c>
      <c r="B1513" t="s">
        <v>2924</v>
      </c>
      <c r="C1513">
        <v>2017</v>
      </c>
      <c r="E1513" t="s">
        <v>3385</v>
      </c>
      <c r="F1513" t="s">
        <v>9175</v>
      </c>
      <c r="G1513" t="s">
        <v>3990</v>
      </c>
    </row>
    <row r="1514" spans="1:7" x14ac:dyDescent="0.25">
      <c r="A1514" t="s">
        <v>2080</v>
      </c>
      <c r="B1514" t="s">
        <v>2928</v>
      </c>
      <c r="C1514">
        <v>2015</v>
      </c>
      <c r="E1514" t="s">
        <v>2982</v>
      </c>
      <c r="F1514" t="s">
        <v>8993</v>
      </c>
      <c r="G1514" t="s">
        <v>3990</v>
      </c>
    </row>
    <row r="1515" spans="1:7" x14ac:dyDescent="0.25">
      <c r="A1515" t="s">
        <v>1294</v>
      </c>
      <c r="B1515" t="s">
        <v>2931</v>
      </c>
      <c r="C1515">
        <v>2019</v>
      </c>
      <c r="E1515" t="s">
        <v>3013</v>
      </c>
      <c r="F1515" t="s">
        <v>9802</v>
      </c>
      <c r="G1515" t="s">
        <v>187</v>
      </c>
    </row>
    <row r="1516" spans="1:7" x14ac:dyDescent="0.25">
      <c r="A1516" t="s">
        <v>2804</v>
      </c>
      <c r="B1516" t="s">
        <v>2933</v>
      </c>
      <c r="C1516">
        <v>2021</v>
      </c>
      <c r="E1516" t="s">
        <v>3013</v>
      </c>
      <c r="F1516" t="s">
        <v>9803</v>
      </c>
      <c r="G1516" t="s">
        <v>187</v>
      </c>
    </row>
    <row r="1517" spans="1:7" x14ac:dyDescent="0.25">
      <c r="A1517" t="s">
        <v>90</v>
      </c>
      <c r="B1517" t="s">
        <v>2937</v>
      </c>
      <c r="C1517">
        <v>2017</v>
      </c>
      <c r="E1517" t="s">
        <v>3013</v>
      </c>
      <c r="F1517" t="s">
        <v>9804</v>
      </c>
      <c r="G1517" t="s">
        <v>187</v>
      </c>
    </row>
    <row r="1518" spans="1:7" x14ac:dyDescent="0.25">
      <c r="A1518" t="s">
        <v>2447</v>
      </c>
      <c r="B1518" t="s">
        <v>2941</v>
      </c>
      <c r="C1518">
        <v>2014</v>
      </c>
      <c r="E1518" t="s">
        <v>3397</v>
      </c>
      <c r="F1518" t="s">
        <v>9223</v>
      </c>
      <c r="G1518" t="s">
        <v>3990</v>
      </c>
    </row>
    <row r="1519" spans="1:7" x14ac:dyDescent="0.25">
      <c r="A1519" t="s">
        <v>2721</v>
      </c>
      <c r="B1519" t="s">
        <v>2943</v>
      </c>
      <c r="C1519">
        <v>1993</v>
      </c>
      <c r="E1519" t="s">
        <v>3420</v>
      </c>
      <c r="F1519" t="s">
        <v>9805</v>
      </c>
      <c r="G1519" t="s">
        <v>187</v>
      </c>
    </row>
    <row r="1520" spans="1:7" x14ac:dyDescent="0.25">
      <c r="A1520" t="s">
        <v>260</v>
      </c>
      <c r="B1520" t="s">
        <v>2947</v>
      </c>
      <c r="C1520">
        <v>1990</v>
      </c>
      <c r="E1520" t="s">
        <v>3005</v>
      </c>
      <c r="F1520" t="s">
        <v>8473</v>
      </c>
      <c r="G1520" t="s">
        <v>3990</v>
      </c>
    </row>
    <row r="1521" spans="1:7" x14ac:dyDescent="0.25">
      <c r="A1521" t="s">
        <v>1294</v>
      </c>
      <c r="B1521" t="s">
        <v>2950</v>
      </c>
      <c r="C1521">
        <v>2019</v>
      </c>
      <c r="E1521" t="s">
        <v>2982</v>
      </c>
      <c r="F1521" t="s">
        <v>8820</v>
      </c>
      <c r="G1521" t="s">
        <v>3990</v>
      </c>
    </row>
    <row r="1522" spans="1:7" x14ac:dyDescent="0.25">
      <c r="A1522" t="s">
        <v>90</v>
      </c>
      <c r="B1522" t="s">
        <v>2950</v>
      </c>
      <c r="C1522">
        <v>2017</v>
      </c>
      <c r="E1522" t="s">
        <v>2982</v>
      </c>
      <c r="F1522" t="s">
        <v>9176</v>
      </c>
      <c r="G1522" t="s">
        <v>3990</v>
      </c>
    </row>
    <row r="1523" spans="1:7" x14ac:dyDescent="0.25">
      <c r="A1523" t="s">
        <v>2954</v>
      </c>
      <c r="B1523" t="s">
        <v>2958</v>
      </c>
      <c r="C1523">
        <v>2014</v>
      </c>
      <c r="D1523" t="s">
        <v>187</v>
      </c>
      <c r="F1523" t="s">
        <v>9806</v>
      </c>
      <c r="G1523" t="s">
        <v>3990</v>
      </c>
    </row>
    <row r="1524" spans="1:7" x14ac:dyDescent="0.25">
      <c r="A1524" t="s">
        <v>260</v>
      </c>
      <c r="B1524" t="s">
        <v>2962</v>
      </c>
      <c r="C1524">
        <v>1990</v>
      </c>
      <c r="E1524" t="s">
        <v>3006</v>
      </c>
      <c r="F1524" t="s">
        <v>8474</v>
      </c>
      <c r="G1524" t="s">
        <v>3990</v>
      </c>
    </row>
    <row r="1525" spans="1:7" x14ac:dyDescent="0.25">
      <c r="A1525" t="s">
        <v>525</v>
      </c>
      <c r="B1525" t="s">
        <v>2962</v>
      </c>
      <c r="C1525">
        <v>2005</v>
      </c>
      <c r="E1525" t="s">
        <v>3006</v>
      </c>
      <c r="F1525" t="s">
        <v>8562</v>
      </c>
      <c r="G1525" t="s">
        <v>3990</v>
      </c>
    </row>
    <row r="1526" spans="1:7" x14ac:dyDescent="0.25">
      <c r="A1526" t="s">
        <v>964</v>
      </c>
      <c r="B1526" t="s">
        <v>2962</v>
      </c>
      <c r="C1526">
        <v>2006</v>
      </c>
      <c r="E1526" t="s">
        <v>3006</v>
      </c>
      <c r="F1526" t="s">
        <v>9455</v>
      </c>
      <c r="G1526" t="s">
        <v>3990</v>
      </c>
    </row>
    <row r="1527" spans="1:7" x14ac:dyDescent="0.25">
      <c r="A1527" t="s">
        <v>1287</v>
      </c>
      <c r="B1527" t="s">
        <v>2962</v>
      </c>
      <c r="C1527">
        <v>2022</v>
      </c>
      <c r="E1527" t="s">
        <v>3006</v>
      </c>
      <c r="F1527" t="s">
        <v>8782</v>
      </c>
      <c r="G1527" t="s">
        <v>3990</v>
      </c>
    </row>
    <row r="1528" spans="1:7" x14ac:dyDescent="0.25">
      <c r="A1528" t="s">
        <v>2634</v>
      </c>
      <c r="B1528" t="s">
        <v>2962</v>
      </c>
      <c r="C1528">
        <v>2014</v>
      </c>
      <c r="E1528" t="s">
        <v>3006</v>
      </c>
      <c r="F1528" t="s">
        <v>9307</v>
      </c>
      <c r="G1528" t="s">
        <v>3990</v>
      </c>
    </row>
    <row r="1529" spans="1:7" x14ac:dyDescent="0.25">
      <c r="A1529" t="s">
        <v>2947</v>
      </c>
      <c r="B1529" t="s">
        <v>2962</v>
      </c>
      <c r="C1529">
        <v>1994</v>
      </c>
      <c r="E1529" t="s">
        <v>3006</v>
      </c>
      <c r="F1529" t="s">
        <v>9368</v>
      </c>
      <c r="G1529" t="s">
        <v>3990</v>
      </c>
    </row>
    <row r="1530" spans="1:7" x14ac:dyDescent="0.25">
      <c r="A1530" t="s">
        <v>1255</v>
      </c>
      <c r="B1530" t="s">
        <v>2965</v>
      </c>
      <c r="C1530">
        <v>2020</v>
      </c>
      <c r="E1530" t="s">
        <v>3215</v>
      </c>
      <c r="F1530" t="s">
        <v>8770</v>
      </c>
      <c r="G1530" t="s">
        <v>3990</v>
      </c>
    </row>
    <row r="1531" spans="1:7" x14ac:dyDescent="0.25">
      <c r="A1531" t="s">
        <v>90</v>
      </c>
      <c r="B1531" t="s">
        <v>2965</v>
      </c>
      <c r="C1531">
        <v>2017</v>
      </c>
      <c r="E1531" t="s">
        <v>3215</v>
      </c>
      <c r="F1531" t="s">
        <v>9177</v>
      </c>
      <c r="G1531" t="s">
        <v>3990</v>
      </c>
    </row>
    <row r="1532" spans="1:7" x14ac:dyDescent="0.25">
      <c r="A1532" t="s">
        <v>353</v>
      </c>
      <c r="B1532" t="s">
        <v>2969</v>
      </c>
      <c r="C1532">
        <v>2023</v>
      </c>
      <c r="E1532" t="s">
        <v>3053</v>
      </c>
      <c r="F1532" t="s">
        <v>9456</v>
      </c>
      <c r="G1532" t="s">
        <v>3990</v>
      </c>
    </row>
    <row r="1533" spans="1:7" x14ac:dyDescent="0.25">
      <c r="A1533" t="s">
        <v>260</v>
      </c>
      <c r="B1533" t="s">
        <v>2972</v>
      </c>
      <c r="C1533">
        <v>1990</v>
      </c>
      <c r="E1533" t="s">
        <v>2982</v>
      </c>
      <c r="F1533" t="s">
        <v>8475</v>
      </c>
      <c r="G1533" t="s">
        <v>3990</v>
      </c>
    </row>
  </sheetData>
  <hyperlinks>
    <hyperlink ref="E1062" r:id="rId1" xr:uid="{00000000-0004-0000-0100-000000000000}"/>
    <hyperlink ref="E1387" r:id="rId2" xr:uid="{00000000-0004-0000-0100-000001000000}"/>
    <hyperlink ref="E1366"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89" r:id="rId11" xr:uid="{00000000-0004-0000-0100-00000A000000}"/>
    <hyperlink ref="E1065" r:id="rId12" xr:uid="{00000000-0004-0000-0100-00000B000000}"/>
    <hyperlink ref="E1133" r:id="rId13" xr:uid="{00000000-0004-0000-0100-00000C000000}"/>
    <hyperlink ref="E1200" r:id="rId14" xr:uid="{00000000-0004-0000-0100-00000D000000}"/>
    <hyperlink ref="E1238" r:id="rId15" xr:uid="{00000000-0004-0000-0100-00000E000000}"/>
    <hyperlink ref="E1267"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0" r:id="rId22" xr:uid="{00000000-0004-0000-0100-000015000000}"/>
    <hyperlink ref="E1164" r:id="rId23" xr:uid="{00000000-0004-0000-0100-000016000000}"/>
    <hyperlink ref="E1345" r:id="rId24" xr:uid="{00000000-0004-0000-0100-000017000000}"/>
    <hyperlink ref="E1520" r:id="rId25" xr:uid="{00000000-0004-0000-0100-000018000000}"/>
    <hyperlink ref="E1524" r:id="rId26" xr:uid="{00000000-0004-0000-0100-000019000000}"/>
    <hyperlink ref="E1349" r:id="rId27" xr:uid="{00000000-0004-0000-0100-00001A000000}"/>
    <hyperlink ref="E962" r:id="rId28" xr:uid="{00000000-0004-0000-0100-00001B000000}"/>
    <hyperlink ref="E1009" r:id="rId29" xr:uid="{00000000-0004-0000-0100-00001C000000}"/>
    <hyperlink ref="E610" r:id="rId30" xr:uid="{00000000-0004-0000-0100-00001D000000}"/>
    <hyperlink ref="E1297" r:id="rId31" xr:uid="{00000000-0004-0000-0100-00001E000000}"/>
    <hyperlink ref="E715" r:id="rId32" xr:uid="{00000000-0004-0000-0100-00001F000000}"/>
    <hyperlink ref="E753" r:id="rId33" location=":~:text=A%20downloadable%20game%20for%20Windows,it%20to%20the%20next%20round." xr:uid="{00000000-0004-0000-0100-000020000000}"/>
    <hyperlink ref="E1388" r:id="rId34" xr:uid="{00000000-0004-0000-0100-000021000000}"/>
    <hyperlink ref="E1425" r:id="rId35" xr:uid="{00000000-0004-0000-0100-000022000000}"/>
    <hyperlink ref="E91" r:id="rId36" xr:uid="{00000000-0004-0000-0100-000023000000}"/>
    <hyperlink ref="E105" r:id="rId37" xr:uid="{00000000-0004-0000-0100-000024000000}"/>
    <hyperlink ref="E1077"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7" r:id="rId58" xr:uid="{00000000-0004-0000-0100-000039000000}"/>
    <hyperlink ref="E1033" r:id="rId59" xr:uid="{00000000-0004-0000-0100-00003A000000}"/>
    <hyperlink ref="E1092" r:id="rId60" location=":~:text=RollScape%20is%20a%20game%20inspired,I%20played%20throughout%20the%20years." xr:uid="{00000000-0004-0000-0100-00003B000000}"/>
    <hyperlink ref="E1095" r:id="rId61" xr:uid="{00000000-0004-0000-0100-00003C000000}"/>
    <hyperlink ref="E1100" r:id="rId62" location=":~:text=%2C%20say%2C%20Arco?-,RunebornGame,make%20it%20even%20more%20unique." xr:uid="{00000000-0004-0000-0100-00003D000000}"/>
    <hyperlink ref="E1104" r:id="rId63" xr:uid="{00000000-0004-0000-0100-00003E000000}"/>
    <hyperlink ref="E1191" r:id="rId64" xr:uid="{00000000-0004-0000-0100-00003F000000}"/>
    <hyperlink ref="E1193" r:id="rId65" xr:uid="{00000000-0004-0000-0100-000040000000}"/>
    <hyperlink ref="E1196" r:id="rId66" xr:uid="{00000000-0004-0000-0100-000041000000}"/>
    <hyperlink ref="E1261" r:id="rId67" xr:uid="{00000000-0004-0000-0100-000042000000}"/>
    <hyperlink ref="E1367" r:id="rId68" xr:uid="{00000000-0004-0000-0100-000043000000}"/>
    <hyperlink ref="E1510" r:id="rId69" xr:uid="{00000000-0004-0000-0100-000044000000}"/>
    <hyperlink ref="E1532" r:id="rId70" xr:uid="{00000000-0004-0000-0100-000045000000}"/>
    <hyperlink ref="E798" r:id="rId71" xr:uid="{00000000-0004-0000-0100-000046000000}"/>
    <hyperlink ref="E913" r:id="rId72" xr:uid="{00000000-0004-0000-0100-000047000000}"/>
    <hyperlink ref="E1353"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87" r:id="rId78" xr:uid="{00000000-0004-0000-0100-00004E000000}"/>
    <hyperlink ref="E1211" r:id="rId79" location="c494631967651765393" xr:uid="{00000000-0004-0000-0100-00004F000000}"/>
    <hyperlink ref="E1441" r:id="rId80" xr:uid="{00000000-0004-0000-0100-000050000000}"/>
    <hyperlink ref="E1484"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0" r:id="rId89" xr:uid="{00000000-0004-0000-0100-000059000000}"/>
    <hyperlink ref="E1141" r:id="rId90" xr:uid="{00000000-0004-0000-0100-00005A000000}"/>
    <hyperlink ref="E1475" r:id="rId91" xr:uid="{00000000-0004-0000-0100-00005B000000}"/>
    <hyperlink ref="E240" r:id="rId92" xr:uid="{00000000-0004-0000-0100-00005C000000}"/>
    <hyperlink ref="E440" r:id="rId93" xr:uid="{00000000-0004-0000-0100-00005D000000}"/>
    <hyperlink ref="E1525" r:id="rId94" xr:uid="{00000000-0004-0000-0100-00005E000000}"/>
    <hyperlink ref="E197" r:id="rId95" xr:uid="{00000000-0004-0000-0100-00005F000000}"/>
    <hyperlink ref="E198" r:id="rId96" xr:uid="{00000000-0004-0000-0100-000060000000}"/>
    <hyperlink ref="E1026" r:id="rId97" xr:uid="{00000000-0004-0000-0100-000061000000}"/>
    <hyperlink ref="E1327" r:id="rId98" xr:uid="{00000000-0004-0000-0100-000062000000}"/>
    <hyperlink ref="E780" r:id="rId99" location=":~:text=*Mainframe%20Defenders*%20is%20a%20roguelite%20game%20available,**Earning%20Matter%20and%20drops**%20*%20**Upgrading%20mechs**" xr:uid="{00000000-0004-0000-0100-000063000000}"/>
    <hyperlink ref="E1339" r:id="rId100" location="c5456682769558786398" xr:uid="{00000000-0004-0000-0100-000064000000}"/>
    <hyperlink ref="E902" r:id="rId101" xr:uid="{00000000-0004-0000-0100-000065000000}"/>
    <hyperlink ref="E145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8" r:id="rId110" xr:uid="{00000000-0004-0000-0100-00006E000000}"/>
    <hyperlink ref="E682" r:id="rId111" xr:uid="{00000000-0004-0000-0100-000070000000}"/>
    <hyperlink ref="E1110"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1" r:id="rId126" xr:uid="{00000000-0004-0000-0100-00007F000000}"/>
    <hyperlink ref="E1157" r:id="rId127" xr:uid="{00000000-0004-0000-0100-000080000000}"/>
    <hyperlink ref="E1172" r:id="rId128" xr:uid="{00000000-0004-0000-0100-000081000000}"/>
    <hyperlink ref="E1268" r:id="rId129" xr:uid="{00000000-0004-0000-0100-000082000000}"/>
    <hyperlink ref="E1467"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6" r:id="rId141" xr:uid="{00000000-0004-0000-0100-00008E000000}"/>
    <hyperlink ref="E1208" r:id="rId142" xr:uid="{00000000-0004-0000-0100-00008F000000}"/>
    <hyperlink ref="E1328" r:id="rId143" xr:uid="{00000000-0004-0000-0100-000090000000}"/>
    <hyperlink ref="E1365" r:id="rId144" xr:uid="{00000000-0004-0000-0100-000091000000}"/>
    <hyperlink ref="E1501" r:id="rId145" xr:uid="{00000000-0004-0000-0100-000092000000}"/>
    <hyperlink ref="E119" r:id="rId146" xr:uid="{00000000-0004-0000-0100-000093000000}"/>
    <hyperlink ref="E1194"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1" r:id="rId160" xr:uid="{00000000-0004-0000-0100-0000A2000000}"/>
    <hyperlink ref="E1040" r:id="rId161" xr:uid="{00000000-0004-0000-0100-0000A3000000}"/>
    <hyperlink ref="E1300"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79" r:id="rId169" xr:uid="{00000000-0004-0000-0100-0000AB000000}"/>
    <hyperlink ref="E646" r:id="rId170" xr:uid="{00000000-0004-0000-0100-0000AC000000}"/>
    <hyperlink ref="E1054" r:id="rId171" xr:uid="{00000000-0004-0000-0100-0000AD000000}"/>
    <hyperlink ref="E1344"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2" r:id="rId177" location="c494631967651765393" xr:uid="{00000000-0004-0000-0100-0000B3000000}"/>
    <hyperlink ref="E1284" r:id="rId178" xr:uid="{00000000-0004-0000-0100-0000B4000000}"/>
    <hyperlink ref="E1325" r:id="rId179" xr:uid="{00000000-0004-0000-0100-0000B5000000}"/>
    <hyperlink ref="E1334" r:id="rId180" xr:uid="{00000000-0004-0000-0100-0000B6000000}"/>
    <hyperlink ref="E1463"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0" r:id="rId185" location="c1319962683447326488" xr:uid="{00000000-0004-0000-0100-0000BB000000}"/>
    <hyperlink ref="E1160" r:id="rId186" xr:uid="{00000000-0004-0000-0100-0000BC000000}"/>
    <hyperlink ref="E1415" r:id="rId187" xr:uid="{00000000-0004-0000-0100-0000BD000000}"/>
    <hyperlink ref="E1422" r:id="rId188" xr:uid="{00000000-0004-0000-0100-0000BE000000}"/>
    <hyperlink ref="E394" r:id="rId189" xr:uid="{00000000-0004-0000-0100-0000BF000000}"/>
    <hyperlink ref="E816" r:id="rId190" xr:uid="{00000000-0004-0000-0100-0000C0000000}"/>
    <hyperlink ref="E886" r:id="rId191" xr:uid="{00000000-0004-0000-0100-0000C1000000}"/>
    <hyperlink ref="E1173"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1" r:id="rId197" xr:uid="{00000000-0004-0000-0100-0000C7000000}"/>
    <hyperlink ref="E1406" r:id="rId198" xr:uid="{00000000-0004-0000-0100-0000C8000000}"/>
    <hyperlink ref="E1448" r:id="rId199" xr:uid="{00000000-0004-0000-0100-0000C9000000}"/>
    <hyperlink ref="E1526" r:id="rId200" xr:uid="{00000000-0004-0000-0100-0000CA000000}"/>
    <hyperlink ref="E1318" r:id="rId201" xr:uid="{00000000-0004-0000-0100-0000CB000000}"/>
    <hyperlink ref="E658" r:id="rId202" xr:uid="{00000000-0004-0000-0100-0000CC000000}"/>
    <hyperlink ref="E1082" r:id="rId203" xr:uid="{00000000-0004-0000-0100-0000CD000000}"/>
    <hyperlink ref="E1340" r:id="rId204" location="c5456682769558786398" xr:uid="{00000000-0004-0000-0100-0000CE000000}"/>
    <hyperlink ref="E444" r:id="rId205" xr:uid="{00000000-0004-0000-0100-0000CF000000}"/>
    <hyperlink ref="E703" r:id="rId206" location="c606068060818832019" xr:uid="{00000000-0004-0000-0100-0000D0000000}"/>
    <hyperlink ref="E1202" r:id="rId207" location=":~:text=Escaped%20Lunatic-,Soulash%202%20%2D%20Adventures%20and%20Conquest%20in%20Procedural%20Fantasy%20Worlds,to%20the%20Roguelike%20design%20formula." xr:uid="{00000000-0004-0000-0100-0000D1000000}"/>
    <hyperlink ref="E1286" r:id="rId208" xr:uid="{00000000-0004-0000-0100-0000D2000000}"/>
    <hyperlink ref="E1428" r:id="rId209" xr:uid="{00000000-0004-0000-0100-0000D3000000}"/>
    <hyperlink ref="E1471" r:id="rId210" xr:uid="{00000000-0004-0000-0100-0000D4000000}"/>
    <hyperlink ref="E1487" r:id="rId211" xr:uid="{00000000-0004-0000-0100-0000D5000000}"/>
    <hyperlink ref="E1488" r:id="rId212" xr:uid="{00000000-0004-0000-0100-0000D6000000}"/>
    <hyperlink ref="E1130" r:id="rId213" xr:uid="{00000000-0004-0000-0100-0000D7000000}"/>
    <hyperlink ref="E445" r:id="rId214" xr:uid="{00000000-0004-0000-0100-0000D8000000}"/>
    <hyperlink ref="E145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3" r:id="rId226" xr:uid="{00000000-0004-0000-0100-0000E4000000}"/>
    <hyperlink ref="E1298" r:id="rId227" xr:uid="{00000000-0004-0000-0100-0000E5000000}"/>
    <hyperlink ref="E1401" r:id="rId228" xr:uid="{00000000-0004-0000-0100-0000E6000000}"/>
    <hyperlink ref="E414" r:id="rId229" xr:uid="{00000000-0004-0000-0100-0000E7000000}"/>
    <hyperlink ref="E214" r:id="rId230" xr:uid="{00000000-0004-0000-0100-0000E8000000}"/>
    <hyperlink ref="E1112"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1" r:id="rId247" location="c483368526581048948" xr:uid="{00000000-0004-0000-0100-0000F9000000}"/>
    <hyperlink ref="E1055" r:id="rId248" xr:uid="{00000000-0004-0000-0100-0000FA000000}"/>
    <hyperlink ref="E1078" r:id="rId249" location="c4335355681661031211" xr:uid="{00000000-0004-0000-0100-0000FB000000}"/>
    <hyperlink ref="E1138" r:id="rId250" location=":~:text=MOBAs%20were%20a%20key%20inspiration,like%20action%20roguelites%20in%20general." xr:uid="{00000000-0004-0000-0100-0000FC000000}"/>
    <hyperlink ref="E1174" r:id="rId251" location=":~:text=Their%20initial%20goal%20was%20to,built%20on%20the%20libGDX%20framework." xr:uid="{00000000-0004-0000-0100-0000FD000000}"/>
    <hyperlink ref="E1199" r:id="rId252" xr:uid="{00000000-0004-0000-0100-0000FE000000}"/>
    <hyperlink ref="E1283" r:id="rId253" xr:uid="{00000000-0004-0000-0100-0000FF000000}"/>
    <hyperlink ref="E1294" r:id="rId254" xr:uid="{00000000-0004-0000-0100-000000010000}"/>
    <hyperlink ref="E1469" r:id="rId255" xr:uid="{00000000-0004-0000-0100-000001010000}"/>
    <hyperlink ref="E1472" r:id="rId256" xr:uid="{00000000-0004-0000-0100-000002010000}"/>
    <hyperlink ref="E1485" r:id="rId257" xr:uid="{00000000-0004-0000-0100-000003010000}"/>
    <hyperlink ref="E1530"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58"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2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2" r:id="rId287" xr:uid="{00000000-0004-0000-0100-000021010000}"/>
    <hyperlink ref="E1204" r:id="rId288" xr:uid="{00000000-0004-0000-0100-000022010000}"/>
    <hyperlink ref="E1259" r:id="rId289" xr:uid="{00000000-0004-0000-0100-000023010000}"/>
    <hyperlink ref="E1287" r:id="rId290" xr:uid="{00000000-0004-0000-0100-000024010000}"/>
    <hyperlink ref="E1304" r:id="rId291" xr:uid="{00000000-0004-0000-0100-000025010000}"/>
    <hyperlink ref="E1322" r:id="rId292" location=":~:text=Tape%20to%20Tape%20is%20a,the%20Spire%20and%20NHL%2094!" xr:uid="{00000000-0004-0000-0100-000026010000}"/>
    <hyperlink ref="E1329" r:id="rId293" xr:uid="{00000000-0004-0000-0100-000027010000}"/>
    <hyperlink ref="E1459"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46"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68"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79" r:id="rId316" location="c4335355681661031211" xr:uid="{00000000-0004-0000-0100-00003F010000}"/>
    <hyperlink ref="E1222" r:id="rId317" location=":~:text=is%20blowing%20up!-,830%20concurrent%20players%2C%20I%20can't%20believe%20it!,has%20been%20a%20wild%20ride." xr:uid="{00000000-0004-0000-0100-000040010000}"/>
    <hyperlink ref="E1354" r:id="rId318" location=":~:text=The%20Last%20Spell's%20unique%20blend,build%20characters%20however%20they%20want." xr:uid="{00000000-0004-0000-0100-000041010000}"/>
    <hyperlink ref="E1361"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2" r:id="rId324" xr:uid="{00000000-0004-0000-0100-000047010000}"/>
    <hyperlink ref="E1271" r:id="rId325" xr:uid="{00000000-0004-0000-0100-000048010000}"/>
    <hyperlink ref="E1106" r:id="rId326" xr:uid="{00000000-0004-0000-0100-000049010000}"/>
    <hyperlink ref="E1288" r:id="rId327" xr:uid="{00000000-0004-0000-0100-00004A010000}"/>
    <hyperlink ref="E1502" r:id="rId328" xr:uid="{00000000-0004-0000-0100-00004B010000}"/>
    <hyperlink ref="E1187"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096" r:id="rId337" xr:uid="{00000000-0004-0000-0100-000054010000}"/>
    <hyperlink ref="E110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88" r:id="rId339" xr:uid="{00000000-0004-0000-0100-000056010000}"/>
    <hyperlink ref="E1262" r:id="rId340" xr:uid="{00000000-0004-0000-0100-000057010000}"/>
    <hyperlink ref="E1289" r:id="rId341" xr:uid="{00000000-0004-0000-0100-000058010000}"/>
    <hyperlink ref="E1454"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3" r:id="rId347" xr:uid="{00000000-0004-0000-0100-00005E010000}"/>
    <hyperlink ref="E1369" r:id="rId348" xr:uid="{00000000-0004-0000-0100-00005F010000}"/>
    <hyperlink ref="E784" r:id="rId349" xr:uid="{00000000-0004-0000-0100-000060010000}"/>
    <hyperlink ref="E43" r:id="rId350" xr:uid="{00000000-0004-0000-0100-000061010000}"/>
    <hyperlink ref="E369" r:id="rId351" xr:uid="{00000000-0004-0000-0100-000062010000}"/>
    <hyperlink ref="E993"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89" r:id="rId357" xr:uid="{00000000-0004-0000-0100-000068010000}"/>
    <hyperlink ref="E1319"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4" r:id="rId371" xr:uid="{00000000-0004-0000-0100-000077010000}"/>
    <hyperlink ref="E1011" r:id="rId372" xr:uid="{00000000-0004-0000-0100-000078010000}"/>
    <hyperlink ref="E1042" r:id="rId373" xr:uid="{00000000-0004-0000-0100-000079010000}"/>
    <hyperlink ref="E1272" r:id="rId374" xr:uid="{00000000-0004-0000-0100-00007A010000}"/>
    <hyperlink ref="E1301" r:id="rId375" xr:uid="{00000000-0004-0000-0100-00007B010000}"/>
    <hyperlink ref="E1445" r:id="rId376" xr:uid="{00000000-0004-0000-0100-00007C010000}"/>
    <hyperlink ref="E1491" r:id="rId377" xr:uid="{00000000-0004-0000-0100-00007D010000}"/>
    <hyperlink ref="E776" r:id="rId378" xr:uid="{00000000-0004-0000-0100-00007E010000}"/>
    <hyperlink ref="E942" r:id="rId379" location="c574921459914427191" xr:uid="{00000000-0004-0000-0100-00007F010000}"/>
    <hyperlink ref="E995"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4" r:id="rId393" xr:uid="{00000000-0004-0000-0100-00008D010000}"/>
    <hyperlink ref="E1059" r:id="rId394" xr:uid="{00000000-0004-0000-0100-00008E010000}"/>
    <hyperlink ref="E1275" r:id="rId395" xr:uid="{00000000-0004-0000-0100-00008F010000}"/>
    <hyperlink ref="E1134" r:id="rId396" xr:uid="{00000000-0004-0000-0100-000090010000}"/>
    <hyperlink ref="E1446" r:id="rId397" xr:uid="{00000000-0004-0000-0100-000091010000}"/>
    <hyperlink ref="E1362"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099" r:id="rId403" xr:uid="{00000000-0004-0000-0100-000097010000}"/>
    <hyperlink ref="E1263"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47" r:id="rId412" xr:uid="{00000000-0004-0000-0100-0000A1010000}"/>
    <hyperlink ref="E1489" r:id="rId413" xr:uid="{00000000-0004-0000-0100-0000A2010000}"/>
    <hyperlink ref="E654" r:id="rId414" xr:uid="{00000000-0004-0000-0100-0000A3010000}"/>
    <hyperlink ref="E1139" r:id="rId415" location=":~:text=MOBAs%20were%20a%20key%20inspiration,like%20action%20roguelites%20in%20general." xr:uid="{00000000-0004-0000-0100-0000A4010000}"/>
    <hyperlink ref="E314" r:id="rId416" xr:uid="{00000000-0004-0000-0100-0000A5010000}"/>
    <hyperlink ref="E1290" r:id="rId417" xr:uid="{00000000-0004-0000-0100-0000A6010000}"/>
    <hyperlink ref="E665" r:id="rId418" xr:uid="{00000000-0004-0000-0100-0000A7010000}"/>
    <hyperlink ref="E1140" r:id="rId419" location=":~:text=MOBAs%20were%20a%20key%20inspiration,like%20action%20roguelites%20in%20general." xr:uid="{00000000-0004-0000-0100-0000A8010000}"/>
    <hyperlink ref="E1306"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2" r:id="rId425" xr:uid="{00000000-0004-0000-0100-0000AE010000}"/>
    <hyperlink ref="E1291" r:id="rId426" xr:uid="{00000000-0004-0000-0100-0000AF010000}"/>
    <hyperlink ref="E1326" r:id="rId427" xr:uid="{00000000-0004-0000-0100-0000B0010000}"/>
    <hyperlink ref="E1460" r:id="rId428" location=":~:text=Vellum's%20Inspirations,chapter%20of%20the%20original%20series." xr:uid="{00000000-0004-0000-0100-0000B1010000}"/>
    <hyperlink ref="E169" r:id="rId429" location=":~:text=JW%2C%20GF:%20What%20are%20some,us%20a%20lot%20of%20motivation." xr:uid="{00000000-0004-0000-0100-0000B2010000}"/>
    <hyperlink ref="E1292"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7" r:id="rId440" xr:uid="{00000000-0004-0000-0100-0000BD010000}"/>
    <hyperlink ref="E1069" r:id="rId441" location=":~:text=Apparently%2C%20Ota%20was%20a%20well%20known%20figure,to%20connect%20Tokyo's%20three%20main%20universities%20that" xr:uid="{00000000-0004-0000-0100-0000BE010000}"/>
    <hyperlink ref="E1088" r:id="rId442" xr:uid="{00000000-0004-0000-0100-0000BF010000}"/>
    <hyperlink ref="E1091" r:id="rId443" xr:uid="{00000000-0004-0000-0100-0000C0010000}"/>
    <hyperlink ref="E1302" r:id="rId444" xr:uid="{00000000-0004-0000-0100-0000C1010000}"/>
    <hyperlink ref="E1342" r:id="rId445" location=":~:text=Apparently%2C%20Ota%20was%20a%20well%20known%20figure,to%20connect%20Tokyo's%20three%20main%20universities%20that" xr:uid="{00000000-0004-0000-0100-0000C2010000}"/>
    <hyperlink ref="E1399" r:id="rId446" xr:uid="{00000000-0004-0000-0100-0000C3010000}"/>
    <hyperlink ref="E1405"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1" r:id="rId454" xr:uid="{00000000-0004-0000-0100-0000CB010000}"/>
    <hyperlink ref="E1209" r:id="rId455" xr:uid="{00000000-0004-0000-0100-0000CC010000}"/>
    <hyperlink ref="E1281" r:id="rId456" location="c1693785035807819716" xr:uid="{00000000-0004-0000-0100-0000CD010000}"/>
    <hyperlink ref="E1410" r:id="rId457" xr:uid="{00000000-0004-0000-0100-0000CE010000}"/>
    <hyperlink ref="E1374" r:id="rId458" xr:uid="{00000000-0004-0000-0100-0000CF010000}"/>
    <hyperlink ref="E1093"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3" r:id="rId464" xr:uid="{00000000-0004-0000-0100-0000D5010000}"/>
    <hyperlink ref="E1023"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4" r:id="rId522" xr:uid="{00000000-0004-0000-0100-00000F020000}"/>
    <hyperlink ref="E1048" r:id="rId523" xr:uid="{00000000-0004-0000-0100-000010020000}"/>
    <hyperlink ref="E1064" r:id="rId524" xr:uid="{00000000-0004-0000-0100-000011020000}"/>
    <hyperlink ref="E1081" r:id="rId525" location="c4335355681661031211" xr:uid="{00000000-0004-0000-0100-000012020000}"/>
    <hyperlink ref="E109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97" r:id="rId527" xr:uid="{00000000-0004-0000-0100-000014020000}"/>
    <hyperlink ref="E1105" r:id="rId528" xr:uid="{00000000-0004-0000-0100-000015020000}"/>
    <hyperlink ref="E1107" r:id="rId529" xr:uid="{00000000-0004-0000-0100-000016020000}"/>
    <hyperlink ref="E1123" r:id="rId530" xr:uid="{00000000-0004-0000-0100-000017020000}"/>
    <hyperlink ref="E1190" r:id="rId531" xr:uid="{00000000-0004-0000-0100-000018020000}"/>
    <hyperlink ref="E1192" r:id="rId532" xr:uid="{00000000-0004-0000-0100-000019020000}"/>
    <hyperlink ref="E1260" r:id="rId533" xr:uid="{00000000-0004-0000-0100-00001A020000}"/>
    <hyperlink ref="E1311" r:id="rId534" xr:uid="{00000000-0004-0000-0100-00001B020000}"/>
    <hyperlink ref="E1312" r:id="rId535" location="c3005556719742617866" xr:uid="{00000000-0004-0000-0100-00001C020000}"/>
    <hyperlink ref="E1317" r:id="rId536" xr:uid="{00000000-0004-0000-0100-00001D020000}"/>
    <hyperlink ref="E1350" r:id="rId537" location=":~:text=hotloopgames-,I%20am%20a%20solo%20developer%20working%20on%20The%20Last%20Flame,plays%20as%20an%20auto%2Dbattler." xr:uid="{00000000-0004-0000-0100-00001E020000}"/>
    <hyperlink ref="E1364" r:id="rId538" xr:uid="{00000000-0004-0000-0100-00001F020000}"/>
    <hyperlink ref="E1370" r:id="rId539" xr:uid="{00000000-0004-0000-0100-000020020000}"/>
    <hyperlink ref="E1409" r:id="rId540" xr:uid="{00000000-0004-0000-0100-000021020000}"/>
    <hyperlink ref="E1455" r:id="rId541" xr:uid="{00000000-0004-0000-0100-000023020000}"/>
    <hyperlink ref="E1464" r:id="rId542" xr:uid="{00000000-0004-0000-0100-000024020000}"/>
    <hyperlink ref="E1486" r:id="rId543" xr:uid="{00000000-0004-0000-0100-000025020000}"/>
    <hyperlink ref="E1498" r:id="rId544" xr:uid="{00000000-0004-0000-0100-000026020000}"/>
    <hyperlink ref="E1504" r:id="rId545" xr:uid="{00000000-0004-0000-0100-000027020000}"/>
    <hyperlink ref="E1507" r:id="rId546" xr:uid="{00000000-0004-0000-0100-000028020000}"/>
    <hyperlink ref="E1513" r:id="rId547" xr:uid="{00000000-0004-0000-0100-000029020000}"/>
    <hyperlink ref="E1531"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8" r:id="rId566" xr:uid="{00000000-0004-0000-0100-00003C020000}"/>
    <hyperlink ref="E1072" r:id="rId567" location=":~:text=The%20game%20was%20developed%20by,development%2C%20including%20an%20experience%20system." xr:uid="{00000000-0004-0000-0100-00003D020000}"/>
    <hyperlink ref="E1161" r:id="rId568" xr:uid="{00000000-0004-0000-0100-00003E020000}"/>
    <hyperlink ref="E1237" r:id="rId569" xr:uid="{00000000-0004-0000-0100-00003F020000}"/>
    <hyperlink ref="E1270" r:id="rId570" xr:uid="{00000000-0004-0000-0100-000040020000}"/>
    <hyperlink ref="E1276" r:id="rId571" location=":~:text=Lead%20designer%20Matt%20Dabrowski%20credited,inspirations%20for%20Streets%20of%20Rogue." xr:uid="{00000000-0004-0000-0100-000041020000}"/>
    <hyperlink ref="E1295" r:id="rId572" xr:uid="{00000000-0004-0000-0100-000042020000}"/>
    <hyperlink ref="E1423" r:id="rId573" xr:uid="{00000000-0004-0000-0100-000043020000}"/>
    <hyperlink ref="E1449" r:id="rId574" xr:uid="{00000000-0004-0000-0100-000044020000}"/>
    <hyperlink ref="E1518" r:id="rId575" xr:uid="{00000000-0004-0000-0100-000045020000}"/>
    <hyperlink ref="E485" r:id="rId576" xr:uid="{00000000-0004-0000-0100-000046020000}"/>
    <hyperlink ref="E311" r:id="rId577" xr:uid="{00000000-0004-0000-0100-000047020000}"/>
    <hyperlink ref="E716" r:id="rId578" xr:uid="{00000000-0004-0000-0100-000048020000}"/>
    <hyperlink ref="E1098" r:id="rId579" xr:uid="{00000000-0004-0000-0100-000049020000}"/>
    <hyperlink ref="E1389" r:id="rId580" xr:uid="{00000000-0004-0000-0100-00004A020000}"/>
    <hyperlink ref="E574" r:id="rId581" xr:uid="{00000000-0004-0000-0100-00004B020000}"/>
    <hyperlink ref="E1083" r:id="rId582" xr:uid="{00000000-0004-0000-0100-00004C020000}"/>
    <hyperlink ref="E188" r:id="rId583" xr:uid="{00000000-0004-0000-0100-00004D020000}"/>
    <hyperlink ref="E446" r:id="rId584" xr:uid="{00000000-0004-0000-0100-00004E020000}"/>
    <hyperlink ref="E1043" r:id="rId585" xr:uid="{00000000-0004-0000-0100-000050020000}"/>
    <hyperlink ref="E1066" r:id="rId586" xr:uid="{00000000-0004-0000-0100-000051020000}"/>
    <hyperlink ref="E1320" r:id="rId587" xr:uid="{00000000-0004-0000-0100-000052020000}"/>
    <hyperlink ref="E724" r:id="rId588" xr:uid="{00000000-0004-0000-0100-000053020000}"/>
    <hyperlink ref="E717" r:id="rId589" xr:uid="{00000000-0004-0000-0100-000054020000}"/>
    <hyperlink ref="E1124" r:id="rId590" xr:uid="{00000000-0004-0000-0100-000055020000}"/>
    <hyperlink ref="E1335" r:id="rId591" xr:uid="{00000000-0004-0000-0100-000056020000}"/>
    <hyperlink ref="E1390" r:id="rId592" xr:uid="{00000000-0004-0000-0100-000057020000}"/>
    <hyperlink ref="E142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6" r:id="rId618" xr:uid="{00000000-0004-0000-0100-000072020000}"/>
    <hyperlink ref="E1015" r:id="rId619" xr:uid="{00000000-0004-0000-0100-000073020000}"/>
    <hyperlink ref="E1073" r:id="rId620" location=":~:text=The%20game%20was%20developed%20by,development%2C%20including%20an%20experience%20system." xr:uid="{00000000-0004-0000-0100-000074020000}"/>
    <hyperlink ref="E1175" r:id="rId621" xr:uid="{00000000-0004-0000-0100-000075020000}"/>
    <hyperlink ref="E1210" r:id="rId622" xr:uid="{00000000-0004-0000-0100-000076020000}"/>
    <hyperlink ref="E1242" r:id="rId623" xr:uid="{00000000-0004-0000-0100-000077020000}"/>
    <hyperlink ref="E1296" r:id="rId624" xr:uid="{00000000-0004-0000-0100-000078020000}"/>
    <hyperlink ref="E1351" r:id="rId625" location="c592882772895432824" xr:uid="{00000000-0004-0000-0100-000079020000}"/>
    <hyperlink ref="E1402" r:id="rId626" xr:uid="{00000000-0004-0000-0100-00007A020000}"/>
    <hyperlink ref="E1416" r:id="rId627" xr:uid="{00000000-0004-0000-0100-00007B020000}"/>
    <hyperlink ref="E1424" r:id="rId628" xr:uid="{00000000-0004-0000-0100-00007C020000}"/>
    <hyperlink ref="E1429" r:id="rId629" xr:uid="{00000000-0004-0000-0100-00007D020000}"/>
    <hyperlink ref="E1438" r:id="rId630" xr:uid="{00000000-0004-0000-0100-00007E020000}"/>
    <hyperlink ref="E486" r:id="rId631" location=":~:text=Apparently%2C%20Ota%20was%20a%20well%20known%20figure,to%20connect%20Tokyo's%20three%20main%20universities%20that" xr:uid="{00000000-0004-0000-0100-00007F020000}"/>
    <hyperlink ref="E1528" r:id="rId632" xr:uid="{00000000-0004-0000-0100-000080020000}"/>
    <hyperlink ref="E179" r:id="rId633" xr:uid="{00000000-0004-0000-0100-000081020000}"/>
    <hyperlink ref="E997" r:id="rId634" xr:uid="{00000000-0004-0000-0100-000082020000}"/>
    <hyperlink ref="E122" r:id="rId635" xr:uid="{00000000-0004-0000-0100-000083020000}"/>
    <hyperlink ref="E1352"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3" r:id="rId646" xr:uid="{00000000-0004-0000-0100-00008F020000}"/>
    <hyperlink ref="E1379" r:id="rId647" xr:uid="{00000000-0004-0000-0100-000090020000}"/>
    <hyperlink ref="E1465" r:id="rId648" xr:uid="{00000000-0004-0000-0100-000091020000}"/>
    <hyperlink ref="E120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3" r:id="rId663" xr:uid="{00000000-0004-0000-0100-0000A2020000}"/>
    <hyperlink ref="E1332" r:id="rId664" xr:uid="{00000000-0004-0000-0100-0000A3020000}"/>
    <hyperlink ref="E1383" r:id="rId665" xr:uid="{00000000-0004-0000-0100-0000A4020000}"/>
    <hyperlink ref="E1493" r:id="rId666" location=":~:text=Runs%20in%20Whisker%20Squadron:%20Survivor,to%20engage%20the%20boost%20thrusters." xr:uid="{00000000-0004-0000-0100-0000A5020000}"/>
    <hyperlink ref="E1477" r:id="rId667" xr:uid="{00000000-0004-0000-0100-0000A6020000}"/>
    <hyperlink ref="E23" r:id="rId668" xr:uid="{00000000-0004-0000-0100-0000A7020000}"/>
    <hyperlink ref="E77" r:id="rId669" xr:uid="{00000000-0004-0000-0100-0000A8020000}"/>
    <hyperlink ref="E289" r:id="rId670" xr:uid="{00000000-0004-0000-0100-0000A9020000}"/>
    <hyperlink ref="E1316" r:id="rId671" xr:uid="{00000000-0004-0000-0100-0000AA020000}"/>
    <hyperlink ref="E1529" r:id="rId672" xr:uid="{00000000-0004-0000-0100-0000AB020000}"/>
    <hyperlink ref="E1461"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3" r:id="rId684" xr:uid="{17049E58-CC8C-463C-9767-C1A2569408D4}"/>
    <hyperlink ref="E1432"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2" r:id="rId691" xr:uid="{A51A4A30-5304-4DC4-8375-CC026AF08628}"/>
    <hyperlink ref="E1481" r:id="rId692" xr:uid="{4C958F54-1C40-43A7-92EF-A9310F99312E}"/>
    <hyperlink ref="E1217" r:id="rId693" xr:uid="{C119554A-953F-485E-9B46-A70B4EB12957}"/>
    <hyperlink ref="E1219" r:id="rId694" xr:uid="{1ABE2D94-FE62-43D5-8CEE-063DFE0E2DAA}"/>
    <hyperlink ref="E1218"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0" r:id="rId700" xr:uid="{62145C9D-17FD-49E4-91A9-15463C8D4953}"/>
    <hyperlink ref="E1029"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6" r:id="rId706" xr:uid="{C9381C14-D9BA-490C-B78E-D8D7978D4295}"/>
    <hyperlink ref="E1047" r:id="rId707" xr:uid="{5D6A7A9E-8E93-4677-B335-07D810F5F2CE}"/>
    <hyperlink ref="E1046" r:id="rId708" xr:uid="{02E4BCE0-E5A5-438F-BAA4-3B55B72ABA69}"/>
    <hyperlink ref="E1143" r:id="rId709" xr:uid="{F9C0DC33-F291-48A5-BAA6-CD749F38B8F7}"/>
    <hyperlink ref="E984" r:id="rId710" xr:uid="{C6DAE36B-9FFF-40F4-A975-40308D682ABB}"/>
    <hyperlink ref="E1163" r:id="rId711" xr:uid="{A28AAA5F-E3AF-4CB4-AC75-ED4C73D4241A}"/>
    <hyperlink ref="E1162"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76" r:id="rId718" xr:uid="{4F24E171-1AF4-474B-B100-D115B2BFEE71}"/>
    <hyperlink ref="E1506" r:id="rId719" xr:uid="{4A06958D-32E3-4D6F-858C-3E2C787D20FD}"/>
    <hyperlink ref="E738" r:id="rId720" location="c842879193508275230" xr:uid="{F47CC886-9EFA-4939-8863-C8F17F77FDAD}"/>
    <hyperlink ref="E1386" r:id="rId721" xr:uid="{3AB3A00F-98CF-4435-8833-0A851E2C073C}"/>
    <hyperlink ref="E1385"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66" r:id="rId732" xr:uid="{9B852CA2-E54A-49EA-8814-23E1B14CD3C1}"/>
    <hyperlink ref="E1265" r:id="rId733" xr:uid="{94E018E0-042D-408B-9779-5894F881B159}"/>
    <hyperlink ref="E1214" r:id="rId734" xr:uid="{B5B7069D-BF7F-482C-915D-665DFFD3BABF}"/>
    <hyperlink ref="E1213" r:id="rId735" xr:uid="{396298D9-2ACA-4C5D-B2C6-C5EE2CDEFB0B}"/>
    <hyperlink ref="E1215" r:id="rId736" xr:uid="{FAF1DFA1-959D-4AEE-BB2F-EA12E94967CF}"/>
    <hyperlink ref="E1216" r:id="rId737" xr:uid="{EC4E5489-3B8D-43C5-BF19-2C2EA22E2606}"/>
    <hyperlink ref="E44" r:id="rId738" xr:uid="{C2596C1D-9A69-44EE-BF12-80C2168233D1}"/>
    <hyperlink ref="E45" r:id="rId739" xr:uid="{F621E8F5-0491-493D-B769-B7CD77BC5B23}"/>
    <hyperlink ref="E1420" r:id="rId740" xr:uid="{4127133D-D589-4277-AA21-D2599470279E}"/>
    <hyperlink ref="E950" r:id="rId741" xr:uid="{34B7B3C3-0C4A-46CD-92BB-6FF3B597AAD7}"/>
    <hyperlink ref="E949" r:id="rId742" xr:uid="{E49398C4-F888-4174-851D-12018E96BA3D}"/>
    <hyperlink ref="E1359"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3" r:id="rId751" xr:uid="{FD39470D-1885-4635-9DE7-3856687F8611}"/>
    <hyperlink ref="E1245" r:id="rId752" xr:uid="{B4C62739-016F-4CAE-877E-BF3AEB7ADA8F}"/>
    <hyperlink ref="E1244"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3"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7" r:id="rId800" xr:uid="{8F81F563-6034-417A-ADBA-73030B013656}"/>
    <hyperlink ref="E1080" r:id="rId801" xr:uid="{EECFB546-0535-4851-899A-9C580A482C6F}"/>
    <hyperlink ref="E1076" r:id="rId802" xr:uid="{CBC2BBAD-B637-4106-BCD6-E9E4C844256B}"/>
    <hyperlink ref="E1084" r:id="rId803" xr:uid="{1F25C809-BB94-4A11-937B-D24471D02480}"/>
    <hyperlink ref="E1085" r:id="rId804" xr:uid="{97D98395-3C28-4831-B9C4-7B4829982C41}"/>
    <hyperlink ref="E1039" r:id="rId805" xr:uid="{C0E7C7EF-C119-405A-AE69-5F625741B5F3}"/>
    <hyperlink ref="E1254" r:id="rId806" xr:uid="{FD983225-12F5-46E5-A904-A1A9774FC711}"/>
    <hyperlink ref="E1248" r:id="rId807" xr:uid="{7C2AF8B1-58BF-4182-B42A-0F6104811C8E}"/>
    <hyperlink ref="E1252" r:id="rId808" xr:uid="{F30E44C9-EDD2-4BB8-B6FA-25CAF04351F8}"/>
    <hyperlink ref="E1246" r:id="rId809" xr:uid="{F4ECDF04-F27A-4F84-8CB9-7356501E47FD}"/>
    <hyperlink ref="E1250" r:id="rId810" xr:uid="{08A19CA9-DB9A-4EE0-9B5B-D245133EE9B9}"/>
    <hyperlink ref="E1253" r:id="rId811" xr:uid="{65642D69-0458-4C57-8626-D97111EBF706}"/>
    <hyperlink ref="E1255" r:id="rId812" xr:uid="{0AE53E53-BBA4-453D-9A0C-99E74A37CA52}"/>
    <hyperlink ref="E1247" r:id="rId813" xr:uid="{47A80645-C8E0-457D-B80A-EC24FB351F8D}"/>
    <hyperlink ref="E1249" r:id="rId814" xr:uid="{0C918335-C59E-49B6-AA43-C0CD9D8C4CF8}"/>
    <hyperlink ref="E1251" r:id="rId815" xr:uid="{1CB6077E-3092-489F-9B0C-6BAB87F17770}"/>
    <hyperlink ref="E1512" r:id="rId816" xr:uid="{3599CE02-A1AD-432F-9855-98EFC546B7C0}"/>
    <hyperlink ref="E1186" r:id="rId817" xr:uid="{ECA9D5F3-38EC-498C-B3FC-78D322956F5C}"/>
    <hyperlink ref="E1356" r:id="rId818" xr:uid="{8076755B-565E-4386-9385-FC02DF98FC86}"/>
    <hyperlink ref="E1395" r:id="rId819" xr:uid="{7FF7EDF5-A200-4775-9665-1C31DEADB023}"/>
    <hyperlink ref="E1205" r:id="rId820" xr:uid="{B4062A1F-3513-4E54-9725-FE70A8E2102C}"/>
    <hyperlink ref="E328" r:id="rId821" location="c591779267908675739" xr:uid="{8E09EE43-7AB1-4EFD-96D7-1D97BCB75A35}"/>
    <hyperlink ref="E418" r:id="rId822" xr:uid="{7AE028C1-55B7-49AF-A33B-C95B2C367207}"/>
    <hyperlink ref="E1122" r:id="rId823" xr:uid="{6E425835-5875-41B2-97A4-FA58DA438409}"/>
    <hyperlink ref="E1285"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5" r:id="rId831" xr:uid="{8EF70CC2-1F7C-44FC-B27F-D40F33719C00}"/>
    <hyperlink ref="E1024" r:id="rId832" xr:uid="{2D78A1F7-4C7B-4BBB-81A4-11B12B8FADDA}"/>
    <hyperlink ref="E525" r:id="rId833" xr:uid="{20287799-1A8F-4339-9E95-0AA01F352BD4}"/>
    <hyperlink ref="E208" r:id="rId834" xr:uid="{CAFAA947-4D25-464D-B292-52BCA67FD2CF}"/>
    <hyperlink ref="E1443" r:id="rId835" xr:uid="{4AC722E2-BCE9-43C4-A80B-4BBCC96FDAEE}"/>
    <hyperlink ref="E1442" r:id="rId836" xr:uid="{96213E6F-FE44-40A6-807C-E0126EE2DDC9}"/>
    <hyperlink ref="E859" r:id="rId837" xr:uid="{4F1594D2-3031-43C8-B872-3A5312FF9FDF}"/>
    <hyperlink ref="E858" r:id="rId838" xr:uid="{676A4F1E-EFAA-4DDC-8D28-7E9C8508C7F1}"/>
    <hyperlink ref="E1223" r:id="rId839" xr:uid="{488C3614-7E9C-44DA-9CFF-02ED9DA6D335}"/>
    <hyperlink ref="E1221"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1" r:id="rId849" xr:uid="{7647C012-527B-47FA-AA69-5F88131531AA}"/>
    <hyperlink ref="E1452" r:id="rId850" xr:uid="{466561B0-4A38-497E-9D82-476E22D32111}"/>
    <hyperlink ref="E936" r:id="rId851" xr:uid="{1F54E98D-2D75-4E65-9A48-E714F01AAEAE}"/>
    <hyperlink ref="E1197" r:id="rId852" xr:uid="{C7A1DF84-E16D-4F1B-9452-9D09780CAB3C}"/>
    <hyperlink ref="E1198" r:id="rId853" xr:uid="{27E54E7F-D861-41B7-A5CB-0379F6FCE10A}"/>
    <hyperlink ref="E210" r:id="rId854" xr:uid="{098EDA8A-FC68-4111-B577-99F1B304BAB2}"/>
    <hyperlink ref="E209" r:id="rId855" xr:uid="{694E1CFD-5FA2-4B53-95A3-ED335D58CE37}"/>
    <hyperlink ref="E1282" r:id="rId856" xr:uid="{DC2E963B-8BB6-4612-927B-0C9EA135745A}"/>
    <hyperlink ref="E192" r:id="rId857" xr:uid="{775D1500-27BD-4FBE-BB82-12C0B18B2018}"/>
    <hyperlink ref="E191" r:id="rId858" xr:uid="{55744FEF-21E1-4B4A-BBEE-FD5B94DE8333}"/>
    <hyperlink ref="E190" r:id="rId859" xr:uid="{22C5AEF3-D8A0-494C-9B46-B4D333E55377}"/>
    <hyperlink ref="E1280" r:id="rId860" xr:uid="{5D245017-B18B-409F-9B15-14C242BCD0D6}"/>
    <hyperlink ref="E1278"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6" r:id="rId873" xr:uid="{6693F16F-A7B4-44BB-AEBE-E88D3EB7D2F7}"/>
    <hyperlink ref="E1181" r:id="rId874" xr:uid="{D8A1008B-A01D-4497-B3E9-9891BA45CAB2}"/>
    <hyperlink ref="E1180" r:id="rId875" xr:uid="{82C02E44-C4DC-473C-BDD8-A6E324C69864}"/>
    <hyperlink ref="E1184" r:id="rId876" xr:uid="{F1CB7E5D-3685-4C6E-9108-2997A0AD6DBC}"/>
    <hyperlink ref="E1185" r:id="rId877" xr:uid="{03B04C2D-E6F0-440A-91A9-8F416D1240BA}"/>
    <hyperlink ref="E1183" r:id="rId878" xr:uid="{0AAD27CE-179A-46C7-9DE7-1181659193FE}"/>
    <hyperlink ref="E1435"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36" r:id="rId892" xr:uid="{6F248362-153F-424C-B354-6378D4D86F9C}"/>
    <hyperlink ref="E1264" r:id="rId893" xr:uid="{72BB5EFD-4348-413A-A37F-B4261299BADA}"/>
    <hyperlink ref="E359" r:id="rId894" xr:uid="{3A4D9878-45DC-465A-829F-2C4D66BB6733}"/>
    <hyperlink ref="E618" r:id="rId895" xr:uid="{CED3A7A0-6700-4430-A9D8-EAD1DBB90DDF}"/>
    <hyperlink ref="E908" r:id="rId896" xr:uid="{764782B1-752B-4ADB-854C-43DC3582A794}"/>
    <hyperlink ref="E1447" r:id="rId897" xr:uid="{408BADD1-F02E-4742-A102-A3054E30FF9A}"/>
    <hyperlink ref="E1315" r:id="rId898" xr:uid="{A8B96687-1D31-40EF-965F-99E753AE39D9}"/>
    <hyperlink ref="E1439" r:id="rId899" xr:uid="{18465332-FF83-449D-91A7-19D14BE88B01}"/>
    <hyperlink ref="E648" r:id="rId900" xr:uid="{25012F1C-655D-4BC4-9590-99A023CDF835}"/>
    <hyperlink ref="E1397" r:id="rId901" xr:uid="{447EB0F0-5D2B-47F5-9BD0-080715AB0256}"/>
    <hyperlink ref="E1391" r:id="rId902" xr:uid="{0B6AF708-429B-4DEB-BBF8-B1E18E421858}"/>
    <hyperlink ref="E1323" r:id="rId903" location=":~:text=Tape%20to%20Tape%20is%20a,the%20Spire%20and%20NHL%2094!" xr:uid="{01F42245-6207-4EA5-B13B-26DF6E587502}"/>
    <hyperlink ref="E1324" r:id="rId904" xr:uid="{0A49EF2C-0ACF-4551-A67F-5774EB5FF316}"/>
    <hyperlink ref="E1129" r:id="rId905" xr:uid="{901952AC-5261-4F8B-A7DA-FD756206185B}"/>
    <hyperlink ref="E1125" r:id="rId906" xr:uid="{32BB0F5E-E9E8-4B8E-850A-73B887186C35}"/>
    <hyperlink ref="E1128" r:id="rId907" xr:uid="{079A2C82-59A4-45F8-A66C-A330504F5447}"/>
    <hyperlink ref="E129" r:id="rId908" xr:uid="{7C10F27A-851F-4EFA-BD55-1891DD749201}"/>
    <hyperlink ref="E128" r:id="rId909" xr:uid="{C5589458-FD86-4B03-9FC5-B7DE5B5C6556}"/>
    <hyperlink ref="E657" r:id="rId910" xr:uid="{8894A55A-387F-4B46-B832-548B4F667DEC}"/>
    <hyperlink ref="E1437"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8" r:id="rId916" xr:uid="{DDDCE849-AB71-43C9-A93D-8A4A043F5D0A}"/>
    <hyperlink ref="E1089"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2" r:id="rId919" xr:uid="{CD3FDDA4-5E08-4BE3-9D56-70BC77B8669E}"/>
    <hyperlink ref="E1101" r:id="rId920" xr:uid="{B1AA0B17-12B4-41E9-BFE0-B91C20A86B95}"/>
    <hyperlink ref="E1505"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1"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5" r:id="rId936" xr:uid="{F73646FA-036E-4988-AFC9-793AB9CE9724}"/>
    <hyperlink ref="E1308" r:id="rId937" xr:uid="{62C726DA-BDC6-4670-8FF5-95A0733B2A20}"/>
    <hyperlink ref="E1310" r:id="rId938" xr:uid="{1041E3A8-FE6D-4E72-8951-321E28C18EF9}"/>
    <hyperlink ref="E1309"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07" r:id="rId952" location="c2956041222231044287" xr:uid="{E366B09B-274A-4825-BF0E-DF0381D3C606}"/>
    <hyperlink ref="E269" r:id="rId953" xr:uid="{0977E198-AF05-4ACB-93FE-821C291C5E21}"/>
    <hyperlink ref="E1274" r:id="rId954" xr:uid="{1CA8457B-6325-4FC5-81B4-15458CC9791B}"/>
    <hyperlink ref="E1273"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0" r:id="rId969" xr:uid="{84A0A47D-ED47-48FF-A435-846C6D7770AC}"/>
    <hyperlink ref="E1258" r:id="rId970" xr:uid="{23656846-16E9-4579-A4F4-473BB5DAF40A}"/>
    <hyperlink ref="E1256" r:id="rId971" xr:uid="{A4128955-AC4C-4965-B39F-A76E2BAB6264}"/>
    <hyperlink ref="E1257" r:id="rId972" xr:uid="{0D347706-5370-4087-AAA5-3F7317EDDCBD}"/>
    <hyperlink ref="E1053"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1" r:id="rId978" xr:uid="{1EFDAA4F-9794-46F7-9A99-F173B5627E93}"/>
    <hyperlink ref="E159" r:id="rId979" xr:uid="{2C00614B-D896-49F9-8F2C-2487DE9EDA13}"/>
    <hyperlink ref="E402" r:id="rId980" xr:uid="{D9B91CEA-D399-44FA-964A-BA5ADD9409B1}"/>
    <hyperlink ref="E403" r:id="rId981" xr:uid="{41F824A1-6903-4089-BCD2-45171D359AC6}"/>
    <hyperlink ref="E1269"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2" r:id="rId989" xr:uid="{DA0AE06F-C799-4ABC-BCA9-4B73DAEBEE89}"/>
  </hyperlinks>
  <pageMargins left="0.7" right="0.7" top="0.75" bottom="0.75" header="0.511811023622047" footer="0.511811023622047"/>
  <pageSetup orientation="portrait" horizontalDpi="300" verticalDpi="300"/>
  <tableParts count="1">
    <tablePart r:id="rId99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B20" sqref="B20"/>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8290</v>
      </c>
      <c r="Q1" t="s">
        <v>171</v>
      </c>
    </row>
    <row r="2" spans="1:17" x14ac:dyDescent="0.25">
      <c r="A2" t="s">
        <v>3449</v>
      </c>
      <c r="B2" t="s">
        <v>2804</v>
      </c>
      <c r="C2">
        <v>7</v>
      </c>
      <c r="D2">
        <v>3</v>
      </c>
      <c r="E2">
        <v>1</v>
      </c>
      <c r="F2">
        <v>0</v>
      </c>
      <c r="G2">
        <v>1</v>
      </c>
      <c r="H2">
        <v>0</v>
      </c>
      <c r="I2">
        <v>0</v>
      </c>
      <c r="J2">
        <v>0</v>
      </c>
      <c r="K2">
        <v>0</v>
      </c>
      <c r="L2">
        <v>0</v>
      </c>
      <c r="M2" t="s">
        <v>8279</v>
      </c>
      <c r="N2" t="s">
        <v>3450</v>
      </c>
      <c r="O2" t="s">
        <v>3451</v>
      </c>
      <c r="P2" t="s">
        <v>8297</v>
      </c>
      <c r="Q2" t="s">
        <v>3453</v>
      </c>
    </row>
    <row r="3" spans="1:17" x14ac:dyDescent="0.25">
      <c r="A3" t="s">
        <v>3454</v>
      </c>
      <c r="B3" t="s">
        <v>353</v>
      </c>
      <c r="C3">
        <v>7</v>
      </c>
      <c r="D3">
        <v>3</v>
      </c>
      <c r="E3">
        <v>0</v>
      </c>
      <c r="F3">
        <v>0</v>
      </c>
      <c r="G3">
        <v>0</v>
      </c>
      <c r="H3">
        <v>0</v>
      </c>
      <c r="I3">
        <v>0</v>
      </c>
      <c r="J3">
        <v>0</v>
      </c>
      <c r="K3">
        <v>0</v>
      </c>
      <c r="L3">
        <v>2</v>
      </c>
      <c r="M3" t="s">
        <v>8078</v>
      </c>
      <c r="N3" t="s">
        <v>7972</v>
      </c>
      <c r="O3" t="s">
        <v>3456</v>
      </c>
      <c r="P3" t="s">
        <v>8291</v>
      </c>
      <c r="Q3" t="s">
        <v>3457</v>
      </c>
    </row>
    <row r="4" spans="1:17" x14ac:dyDescent="0.25">
      <c r="A4" t="s">
        <v>3458</v>
      </c>
      <c r="B4" t="s">
        <v>90</v>
      </c>
      <c r="C4">
        <v>8</v>
      </c>
      <c r="D4">
        <v>3</v>
      </c>
      <c r="E4">
        <v>2</v>
      </c>
      <c r="F4">
        <v>0</v>
      </c>
      <c r="G4">
        <v>0</v>
      </c>
      <c r="H4">
        <v>0</v>
      </c>
      <c r="I4">
        <v>0</v>
      </c>
      <c r="J4">
        <v>0</v>
      </c>
      <c r="K4">
        <v>0</v>
      </c>
      <c r="L4">
        <v>0</v>
      </c>
      <c r="M4" t="s">
        <v>8061</v>
      </c>
      <c r="N4" t="s">
        <v>3459</v>
      </c>
      <c r="O4" t="s">
        <v>3460</v>
      </c>
      <c r="P4" t="s">
        <v>3461</v>
      </c>
      <c r="Q4" t="s">
        <v>3458</v>
      </c>
    </row>
    <row r="5" spans="1:17" x14ac:dyDescent="0.25">
      <c r="A5" t="s">
        <v>3462</v>
      </c>
      <c r="B5" t="s">
        <v>160</v>
      </c>
      <c r="C5">
        <v>6</v>
      </c>
      <c r="D5">
        <v>3</v>
      </c>
      <c r="E5">
        <v>0</v>
      </c>
      <c r="F5">
        <v>0</v>
      </c>
      <c r="G5">
        <v>0</v>
      </c>
      <c r="H5">
        <v>0</v>
      </c>
      <c r="I5">
        <v>0</v>
      </c>
      <c r="J5">
        <v>1</v>
      </c>
      <c r="K5">
        <v>0</v>
      </c>
      <c r="L5">
        <v>0</v>
      </c>
      <c r="M5" t="s">
        <v>8062</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8055</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8056</v>
      </c>
      <c r="N7" t="s">
        <v>3471</v>
      </c>
      <c r="O7" t="s">
        <v>3472</v>
      </c>
      <c r="P7" t="s">
        <v>8295</v>
      </c>
      <c r="Q7" t="s">
        <v>3469</v>
      </c>
    </row>
    <row r="8" spans="1:17" x14ac:dyDescent="0.25">
      <c r="A8" t="s">
        <v>3473</v>
      </c>
      <c r="B8" t="s">
        <v>2804</v>
      </c>
      <c r="C8">
        <v>7</v>
      </c>
      <c r="D8">
        <v>3</v>
      </c>
      <c r="E8">
        <v>0</v>
      </c>
      <c r="F8">
        <v>0</v>
      </c>
      <c r="G8">
        <v>2</v>
      </c>
      <c r="H8">
        <v>0</v>
      </c>
      <c r="I8">
        <v>0</v>
      </c>
      <c r="J8">
        <v>0</v>
      </c>
      <c r="K8">
        <v>0</v>
      </c>
      <c r="L8">
        <v>0</v>
      </c>
      <c r="M8" t="s">
        <v>8058</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8060</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7477</v>
      </c>
      <c r="O10" t="s">
        <v>3481</v>
      </c>
      <c r="P10" t="s">
        <v>3452</v>
      </c>
      <c r="Q10" t="s">
        <v>3479</v>
      </c>
    </row>
    <row r="11" spans="1:17" x14ac:dyDescent="0.25">
      <c r="A11" t="s">
        <v>14066</v>
      </c>
      <c r="B11" t="s">
        <v>360</v>
      </c>
      <c r="C11">
        <v>7</v>
      </c>
      <c r="D11">
        <v>3</v>
      </c>
      <c r="E11">
        <v>1</v>
      </c>
      <c r="F11">
        <v>0</v>
      </c>
      <c r="G11">
        <v>0</v>
      </c>
      <c r="H11">
        <v>0</v>
      </c>
      <c r="I11">
        <v>0</v>
      </c>
      <c r="J11">
        <v>0</v>
      </c>
      <c r="K11">
        <v>0</v>
      </c>
      <c r="L11">
        <v>0</v>
      </c>
      <c r="M11" t="s">
        <v>14068</v>
      </c>
      <c r="N11" t="s">
        <v>3459</v>
      </c>
      <c r="O11" t="s">
        <v>14069</v>
      </c>
      <c r="P11" t="s">
        <v>14063</v>
      </c>
      <c r="Q11" t="s">
        <v>14067</v>
      </c>
    </row>
    <row r="12" spans="1:17" x14ac:dyDescent="0.25">
      <c r="A12" t="s">
        <v>3482</v>
      </c>
      <c r="B12" t="s">
        <v>1294</v>
      </c>
      <c r="C12">
        <v>7</v>
      </c>
      <c r="D12">
        <v>3</v>
      </c>
      <c r="E12">
        <v>1</v>
      </c>
      <c r="F12">
        <v>1</v>
      </c>
      <c r="G12">
        <v>0</v>
      </c>
      <c r="H12">
        <v>0</v>
      </c>
      <c r="I12">
        <v>0</v>
      </c>
      <c r="J12">
        <v>0</v>
      </c>
      <c r="K12">
        <v>0</v>
      </c>
      <c r="L12">
        <v>0</v>
      </c>
      <c r="M12" t="s">
        <v>8057</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8077</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6"/>
  <sheetViews>
    <sheetView topLeftCell="A28" workbookViewId="0">
      <selection activeCell="C79" sqref="C79"/>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7460</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9998</v>
      </c>
      <c r="B8" t="s">
        <v>3496</v>
      </c>
      <c r="C8" t="s">
        <v>9999</v>
      </c>
      <c r="D8" t="s">
        <v>10000</v>
      </c>
      <c r="E8" t="s">
        <v>10002</v>
      </c>
      <c r="F8" t="s">
        <v>160</v>
      </c>
      <c r="G8" t="s">
        <v>4599</v>
      </c>
      <c r="I8" t="s">
        <v>10001</v>
      </c>
      <c r="J8" t="s">
        <v>3506</v>
      </c>
    </row>
    <row r="9" spans="1:10" x14ac:dyDescent="0.25">
      <c r="A9" t="s">
        <v>3533</v>
      </c>
      <c r="B9" t="s">
        <v>3496</v>
      </c>
      <c r="C9" t="s">
        <v>3534</v>
      </c>
      <c r="D9" t="s">
        <v>8306</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12672</v>
      </c>
      <c r="B13" t="s">
        <v>3496</v>
      </c>
      <c r="C13" t="s">
        <v>3517</v>
      </c>
      <c r="D13" t="s">
        <v>12673</v>
      </c>
      <c r="E13" t="s">
        <v>12711</v>
      </c>
      <c r="F13" t="s">
        <v>497</v>
      </c>
      <c r="G13" t="s">
        <v>12675</v>
      </c>
      <c r="I13" t="s">
        <v>12674</v>
      </c>
      <c r="J13" t="s">
        <v>3514</v>
      </c>
    </row>
    <row r="14" spans="1:10" x14ac:dyDescent="0.25">
      <c r="A14" t="s">
        <v>7354</v>
      </c>
      <c r="B14" t="s">
        <v>3496</v>
      </c>
      <c r="C14" t="s">
        <v>3509</v>
      </c>
      <c r="D14" t="s">
        <v>7362</v>
      </c>
      <c r="E14" t="s">
        <v>7368</v>
      </c>
      <c r="F14" t="s">
        <v>90</v>
      </c>
      <c r="G14" t="s">
        <v>7355</v>
      </c>
      <c r="H14" t="s">
        <v>3662</v>
      </c>
      <c r="I14" t="s">
        <v>7354</v>
      </c>
      <c r="J14" t="s">
        <v>3582</v>
      </c>
    </row>
    <row r="15" spans="1:10" x14ac:dyDescent="0.25">
      <c r="A15" t="s">
        <v>7851</v>
      </c>
      <c r="B15" t="s">
        <v>3508</v>
      </c>
      <c r="C15" t="s">
        <v>3517</v>
      </c>
      <c r="D15" t="s">
        <v>8280</v>
      </c>
      <c r="E15" t="s">
        <v>8307</v>
      </c>
      <c r="F15" t="s">
        <v>2619</v>
      </c>
      <c r="G15" t="s">
        <v>4653</v>
      </c>
      <c r="H15" t="s">
        <v>3698</v>
      </c>
      <c r="I15" t="s">
        <v>7851</v>
      </c>
      <c r="J15" t="s">
        <v>3970</v>
      </c>
    </row>
    <row r="16" spans="1:10" x14ac:dyDescent="0.25">
      <c r="A16" t="s">
        <v>12701</v>
      </c>
      <c r="B16" t="s">
        <v>3496</v>
      </c>
      <c r="C16" t="s">
        <v>3517</v>
      </c>
      <c r="D16" t="s">
        <v>12702</v>
      </c>
      <c r="E16" t="s">
        <v>12712</v>
      </c>
      <c r="F16" t="s">
        <v>2132</v>
      </c>
      <c r="G16" t="s">
        <v>12703</v>
      </c>
      <c r="I16" t="s">
        <v>12704</v>
      </c>
      <c r="J16" t="s">
        <v>4452</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8161</v>
      </c>
      <c r="B22" t="s">
        <v>3508</v>
      </c>
      <c r="C22" t="s">
        <v>3573</v>
      </c>
      <c r="D22" t="s">
        <v>8162</v>
      </c>
      <c r="E22" t="s">
        <v>8168</v>
      </c>
      <c r="F22" t="s">
        <v>160</v>
      </c>
      <c r="I22" t="s">
        <v>8163</v>
      </c>
      <c r="J22" t="s">
        <v>3582</v>
      </c>
    </row>
    <row r="23" spans="1:10" x14ac:dyDescent="0.25">
      <c r="A23" t="s">
        <v>7811</v>
      </c>
      <c r="B23" t="s">
        <v>3496</v>
      </c>
      <c r="C23" t="s">
        <v>3503</v>
      </c>
      <c r="D23" t="s">
        <v>7814</v>
      </c>
      <c r="E23" t="s">
        <v>7819</v>
      </c>
      <c r="F23" t="s">
        <v>38</v>
      </c>
      <c r="G23" t="s">
        <v>3628</v>
      </c>
      <c r="H23" t="s">
        <v>3662</v>
      </c>
      <c r="I23" t="s">
        <v>7812</v>
      </c>
      <c r="J23" t="s">
        <v>3571</v>
      </c>
    </row>
    <row r="24" spans="1:10" x14ac:dyDescent="0.25">
      <c r="A24" t="s">
        <v>14093</v>
      </c>
      <c r="B24" t="s">
        <v>3508</v>
      </c>
      <c r="C24" t="s">
        <v>3517</v>
      </c>
      <c r="D24" t="s">
        <v>14094</v>
      </c>
      <c r="F24" t="s">
        <v>1951</v>
      </c>
      <c r="G24" t="s">
        <v>14095</v>
      </c>
      <c r="I24" t="s">
        <v>14096</v>
      </c>
      <c r="J24" t="s">
        <v>3514</v>
      </c>
    </row>
    <row r="25" spans="1:10" x14ac:dyDescent="0.25">
      <c r="A25" t="s">
        <v>3578</v>
      </c>
      <c r="B25" t="s">
        <v>3496</v>
      </c>
      <c r="C25" t="s">
        <v>3517</v>
      </c>
      <c r="D25" t="s">
        <v>3579</v>
      </c>
      <c r="E25" t="s">
        <v>3580</v>
      </c>
      <c r="F25" t="s">
        <v>2619</v>
      </c>
      <c r="I25" t="s">
        <v>3581</v>
      </c>
      <c r="J25" t="s">
        <v>3582</v>
      </c>
    </row>
    <row r="26" spans="1:10" x14ac:dyDescent="0.25">
      <c r="A26" t="s">
        <v>7852</v>
      </c>
      <c r="B26" t="s">
        <v>3508</v>
      </c>
      <c r="C26" t="s">
        <v>3517</v>
      </c>
      <c r="D26" t="s">
        <v>7853</v>
      </c>
      <c r="E26" t="s">
        <v>7856</v>
      </c>
      <c r="F26" t="s">
        <v>2619</v>
      </c>
      <c r="G26" t="s">
        <v>7854</v>
      </c>
      <c r="I26" t="s">
        <v>7855</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7825</v>
      </c>
      <c r="B28" t="s">
        <v>41</v>
      </c>
      <c r="C28" t="s">
        <v>3517</v>
      </c>
      <c r="D28" t="s">
        <v>7826</v>
      </c>
      <c r="E28" t="s">
        <v>7833</v>
      </c>
      <c r="F28" t="s">
        <v>2136</v>
      </c>
      <c r="G28" t="s">
        <v>3668</v>
      </c>
      <c r="I28" t="s">
        <v>7825</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7829</v>
      </c>
      <c r="E30" t="s">
        <v>3592</v>
      </c>
      <c r="F30" t="s">
        <v>2804</v>
      </c>
      <c r="G30" t="s">
        <v>3593</v>
      </c>
      <c r="I30" t="s">
        <v>3594</v>
      </c>
      <c r="J30" t="s">
        <v>3435</v>
      </c>
    </row>
    <row r="31" spans="1:10" x14ac:dyDescent="0.25">
      <c r="A31" t="s">
        <v>3595</v>
      </c>
      <c r="B31" t="s">
        <v>3508</v>
      </c>
      <c r="C31" t="s">
        <v>3517</v>
      </c>
      <c r="D31" t="s">
        <v>7606</v>
      </c>
      <c r="E31" t="s">
        <v>3596</v>
      </c>
      <c r="F31" t="s">
        <v>2619</v>
      </c>
      <c r="G31" t="s">
        <v>3597</v>
      </c>
      <c r="I31" t="s">
        <v>3598</v>
      </c>
      <c r="J31" t="s">
        <v>3539</v>
      </c>
    </row>
    <row r="32" spans="1:10" x14ac:dyDescent="0.25">
      <c r="A32" t="s">
        <v>7827</v>
      </c>
      <c r="B32" t="s">
        <v>3508</v>
      </c>
      <c r="C32" t="s">
        <v>3503</v>
      </c>
      <c r="D32" t="s">
        <v>7828</v>
      </c>
      <c r="E32" t="s">
        <v>7834</v>
      </c>
      <c r="F32" t="s">
        <v>2136</v>
      </c>
      <c r="G32" t="s">
        <v>3525</v>
      </c>
      <c r="I32" t="s">
        <v>7827</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14097</v>
      </c>
      <c r="B34" t="s">
        <v>41</v>
      </c>
      <c r="C34" t="s">
        <v>3517</v>
      </c>
      <c r="D34" t="s">
        <v>14098</v>
      </c>
      <c r="F34" t="s">
        <v>1951</v>
      </c>
      <c r="G34" t="s">
        <v>3620</v>
      </c>
      <c r="I34" t="s">
        <v>14099</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9995</v>
      </c>
      <c r="B36" t="s">
        <v>41</v>
      </c>
      <c r="C36" t="s">
        <v>3534</v>
      </c>
      <c r="D36" t="s">
        <v>9996</v>
      </c>
      <c r="E36" t="s">
        <v>10003</v>
      </c>
      <c r="F36" t="s">
        <v>2619</v>
      </c>
      <c r="G36" t="s">
        <v>9992</v>
      </c>
      <c r="I36" t="s">
        <v>9997</v>
      </c>
      <c r="J36" t="s">
        <v>3571</v>
      </c>
    </row>
    <row r="37" spans="1:10" x14ac:dyDescent="0.25">
      <c r="A37" t="s">
        <v>12668</v>
      </c>
      <c r="B37" t="s">
        <v>3496</v>
      </c>
      <c r="C37" t="s">
        <v>3517</v>
      </c>
      <c r="D37" t="s">
        <v>12667</v>
      </c>
      <c r="E37" t="s">
        <v>12713</v>
      </c>
      <c r="F37" t="s">
        <v>7939</v>
      </c>
      <c r="G37" t="s">
        <v>12669</v>
      </c>
      <c r="I37" t="s">
        <v>12670</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7813</v>
      </c>
      <c r="B40" t="s">
        <v>3508</v>
      </c>
      <c r="C40" t="s">
        <v>3503</v>
      </c>
      <c r="D40" t="s">
        <v>7815</v>
      </c>
      <c r="E40" t="s">
        <v>7820</v>
      </c>
      <c r="F40" t="s">
        <v>38</v>
      </c>
      <c r="G40" t="s">
        <v>3839</v>
      </c>
      <c r="I40" t="s">
        <v>7816</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12671</v>
      </c>
      <c r="I47" t="s">
        <v>3647</v>
      </c>
      <c r="J47" t="s">
        <v>3582</v>
      </c>
    </row>
    <row r="48" spans="1:10" x14ac:dyDescent="0.25">
      <c r="A48" t="s">
        <v>9991</v>
      </c>
      <c r="B48" t="s">
        <v>3508</v>
      </c>
      <c r="C48" t="s">
        <v>3534</v>
      </c>
      <c r="D48" t="s">
        <v>10004</v>
      </c>
      <c r="E48" t="s">
        <v>10005</v>
      </c>
      <c r="F48" t="s">
        <v>2619</v>
      </c>
      <c r="G48" t="s">
        <v>9994</v>
      </c>
      <c r="H48" t="s">
        <v>3662</v>
      </c>
      <c r="I48" t="s">
        <v>9993</v>
      </c>
      <c r="J48" t="s">
        <v>3571</v>
      </c>
    </row>
    <row r="49" spans="1:10" x14ac:dyDescent="0.25">
      <c r="A49" t="s">
        <v>12705</v>
      </c>
      <c r="B49" t="s">
        <v>3496</v>
      </c>
      <c r="C49" t="s">
        <v>3509</v>
      </c>
      <c r="D49" t="s">
        <v>12706</v>
      </c>
      <c r="E49" t="s">
        <v>12714</v>
      </c>
      <c r="F49" t="s">
        <v>7939</v>
      </c>
      <c r="G49" t="s">
        <v>4439</v>
      </c>
      <c r="I49" t="s">
        <v>12707</v>
      </c>
      <c r="J49" t="s">
        <v>7580</v>
      </c>
    </row>
    <row r="50" spans="1:10" x14ac:dyDescent="0.25">
      <c r="A50" t="s">
        <v>3648</v>
      </c>
      <c r="B50" t="s">
        <v>41</v>
      </c>
      <c r="C50" t="s">
        <v>3649</v>
      </c>
      <c r="D50" t="s">
        <v>3650</v>
      </c>
      <c r="E50" t="s">
        <v>3651</v>
      </c>
      <c r="F50" t="s">
        <v>90</v>
      </c>
      <c r="G50" t="s">
        <v>3652</v>
      </c>
      <c r="I50" t="s">
        <v>3653</v>
      </c>
      <c r="J50" t="s">
        <v>3514</v>
      </c>
    </row>
    <row r="51" spans="1:10" x14ac:dyDescent="0.25">
      <c r="A51" t="s">
        <v>4738</v>
      </c>
      <c r="B51" t="s">
        <v>3496</v>
      </c>
      <c r="C51" t="s">
        <v>3509</v>
      </c>
      <c r="D51" t="s">
        <v>7364</v>
      </c>
      <c r="E51" t="s">
        <v>7369</v>
      </c>
      <c r="F51" t="s">
        <v>90</v>
      </c>
      <c r="G51" t="s">
        <v>4646</v>
      </c>
      <c r="I51" t="s">
        <v>4741</v>
      </c>
      <c r="J51" t="s">
        <v>3571</v>
      </c>
    </row>
    <row r="52" spans="1:10" x14ac:dyDescent="0.25">
      <c r="A52" t="s">
        <v>4762</v>
      </c>
      <c r="B52" t="s">
        <v>41</v>
      </c>
      <c r="C52" t="s">
        <v>3517</v>
      </c>
      <c r="D52" t="s">
        <v>14106</v>
      </c>
      <c r="F52" t="s">
        <v>1322</v>
      </c>
      <c r="I52" t="s">
        <v>4765</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7830</v>
      </c>
      <c r="B57" t="s">
        <v>3496</v>
      </c>
      <c r="C57" t="s">
        <v>3517</v>
      </c>
      <c r="D57" t="s">
        <v>7831</v>
      </c>
      <c r="E57" t="s">
        <v>7835</v>
      </c>
      <c r="F57" t="s">
        <v>2136</v>
      </c>
      <c r="I57" t="s">
        <v>7832</v>
      </c>
      <c r="J57" t="s">
        <v>3435</v>
      </c>
    </row>
    <row r="58" spans="1:10" x14ac:dyDescent="0.25">
      <c r="A58" t="s">
        <v>7356</v>
      </c>
      <c r="B58" t="s">
        <v>3508</v>
      </c>
      <c r="C58" t="s">
        <v>3503</v>
      </c>
      <c r="D58" t="s">
        <v>7357</v>
      </c>
      <c r="E58" t="s">
        <v>7370</v>
      </c>
      <c r="F58" t="s">
        <v>38</v>
      </c>
      <c r="I58" t="s">
        <v>7358</v>
      </c>
      <c r="J58" t="s">
        <v>3550</v>
      </c>
    </row>
    <row r="59" spans="1:10" x14ac:dyDescent="0.25">
      <c r="A59" t="s">
        <v>7365</v>
      </c>
      <c r="B59" t="s">
        <v>3508</v>
      </c>
      <c r="C59" t="s">
        <v>3503</v>
      </c>
      <c r="D59" t="s">
        <v>7367</v>
      </c>
      <c r="E59" t="s">
        <v>7371</v>
      </c>
      <c r="F59" t="s">
        <v>38</v>
      </c>
      <c r="I59" t="s">
        <v>7366</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14100</v>
      </c>
      <c r="B62" t="s">
        <v>41</v>
      </c>
      <c r="C62" t="s">
        <v>3517</v>
      </c>
      <c r="D62" t="s">
        <v>14101</v>
      </c>
      <c r="F62" t="s">
        <v>1951</v>
      </c>
      <c r="G62" t="s">
        <v>264</v>
      </c>
      <c r="I62" t="s">
        <v>14102</v>
      </c>
      <c r="J62" t="s">
        <v>3435</v>
      </c>
    </row>
    <row r="63" spans="1:10" x14ac:dyDescent="0.25">
      <c r="A63" t="s">
        <v>14076</v>
      </c>
      <c r="B63" t="s">
        <v>3508</v>
      </c>
      <c r="C63" t="s">
        <v>14077</v>
      </c>
      <c r="D63" t="s">
        <v>14078</v>
      </c>
      <c r="F63" t="s">
        <v>2619</v>
      </c>
      <c r="G63" t="s">
        <v>7355</v>
      </c>
      <c r="I63" t="s">
        <v>14076</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3692</v>
      </c>
      <c r="B66" t="s">
        <v>3508</v>
      </c>
      <c r="C66" t="s">
        <v>3497</v>
      </c>
      <c r="D66" t="s">
        <v>7607</v>
      </c>
      <c r="E66" t="s">
        <v>7629</v>
      </c>
      <c r="F66" t="s">
        <v>2619</v>
      </c>
      <c r="G66" t="s">
        <v>3693</v>
      </c>
      <c r="I66" t="s">
        <v>3694</v>
      </c>
      <c r="J66" t="s">
        <v>3532</v>
      </c>
    </row>
    <row r="67" spans="1:10" x14ac:dyDescent="0.25">
      <c r="A67" t="s">
        <v>3695</v>
      </c>
      <c r="B67" t="s">
        <v>3508</v>
      </c>
      <c r="C67" t="s">
        <v>3509</v>
      </c>
      <c r="D67" t="s">
        <v>3696</v>
      </c>
      <c r="E67" t="s">
        <v>3697</v>
      </c>
      <c r="F67" t="s">
        <v>160</v>
      </c>
      <c r="G67" t="s">
        <v>3681</v>
      </c>
      <c r="H67" t="s">
        <v>3698</v>
      </c>
      <c r="I67" t="s">
        <v>3695</v>
      </c>
      <c r="J67" t="s">
        <v>3699</v>
      </c>
    </row>
    <row r="68" spans="1:10" x14ac:dyDescent="0.25">
      <c r="A68" t="s">
        <v>9988</v>
      </c>
      <c r="B68" t="s">
        <v>3508</v>
      </c>
      <c r="C68" t="s">
        <v>3573</v>
      </c>
      <c r="D68" t="s">
        <v>9989</v>
      </c>
      <c r="E68" t="s">
        <v>10006</v>
      </c>
      <c r="F68" t="s">
        <v>160</v>
      </c>
      <c r="G68" t="s">
        <v>4599</v>
      </c>
      <c r="I68" t="s">
        <v>9990</v>
      </c>
      <c r="J68" t="s">
        <v>3571</v>
      </c>
    </row>
    <row r="69" spans="1:10" x14ac:dyDescent="0.25">
      <c r="A69" t="s">
        <v>3700</v>
      </c>
      <c r="B69" t="s">
        <v>3508</v>
      </c>
      <c r="C69" t="s">
        <v>3534</v>
      </c>
      <c r="D69" t="s">
        <v>3701</v>
      </c>
      <c r="E69" t="s">
        <v>3702</v>
      </c>
      <c r="F69" t="s">
        <v>160</v>
      </c>
      <c r="G69" t="s">
        <v>3703</v>
      </c>
      <c r="H69" t="s">
        <v>3537</v>
      </c>
      <c r="I69" t="s">
        <v>3704</v>
      </c>
      <c r="J69" t="s">
        <v>3514</v>
      </c>
    </row>
    <row r="70" spans="1:10" x14ac:dyDescent="0.25">
      <c r="A70" t="s">
        <v>3705</v>
      </c>
      <c r="B70" t="s">
        <v>3508</v>
      </c>
      <c r="C70" t="s">
        <v>3517</v>
      </c>
      <c r="D70" t="s">
        <v>3706</v>
      </c>
      <c r="E70" t="s">
        <v>3707</v>
      </c>
      <c r="F70" t="s">
        <v>2619</v>
      </c>
      <c r="H70" t="s">
        <v>3662</v>
      </c>
      <c r="I70" t="s">
        <v>3708</v>
      </c>
      <c r="J70" t="s">
        <v>3514</v>
      </c>
    </row>
    <row r="71" spans="1:10" x14ac:dyDescent="0.25">
      <c r="A71" t="s">
        <v>12708</v>
      </c>
      <c r="B71" t="s">
        <v>3718</v>
      </c>
      <c r="C71" t="s">
        <v>3517</v>
      </c>
      <c r="D71" t="s">
        <v>12709</v>
      </c>
      <c r="E71" t="s">
        <v>12715</v>
      </c>
      <c r="F71" t="s">
        <v>7939</v>
      </c>
      <c r="I71" t="s">
        <v>12710</v>
      </c>
      <c r="J71" t="s">
        <v>7578</v>
      </c>
    </row>
    <row r="72" spans="1:10" x14ac:dyDescent="0.25">
      <c r="A72" t="s">
        <v>3709</v>
      </c>
      <c r="B72" t="s">
        <v>3508</v>
      </c>
      <c r="C72" t="s">
        <v>3503</v>
      </c>
      <c r="D72" t="s">
        <v>3710</v>
      </c>
      <c r="E72" t="s">
        <v>3711</v>
      </c>
      <c r="F72" t="s">
        <v>553</v>
      </c>
      <c r="G72" t="s">
        <v>3712</v>
      </c>
      <c r="I72" t="s">
        <v>3713</v>
      </c>
      <c r="J72" t="s">
        <v>3571</v>
      </c>
    </row>
    <row r="73" spans="1:10" x14ac:dyDescent="0.25">
      <c r="A73" t="s">
        <v>3714</v>
      </c>
      <c r="B73" t="s">
        <v>41</v>
      </c>
      <c r="C73" t="s">
        <v>3649</v>
      </c>
      <c r="D73" t="s">
        <v>3715</v>
      </c>
      <c r="E73" t="s">
        <v>3716</v>
      </c>
      <c r="F73" t="s">
        <v>90</v>
      </c>
      <c r="I73" t="s">
        <v>3714</v>
      </c>
      <c r="J73" t="s">
        <v>3514</v>
      </c>
    </row>
    <row r="74" spans="1:10" x14ac:dyDescent="0.25">
      <c r="A74" t="s">
        <v>14103</v>
      </c>
      <c r="B74" t="s">
        <v>3508</v>
      </c>
      <c r="C74" t="s">
        <v>3517</v>
      </c>
      <c r="D74" t="s">
        <v>14104</v>
      </c>
      <c r="F74" t="s">
        <v>1951</v>
      </c>
      <c r="G74" t="s">
        <v>3632</v>
      </c>
      <c r="I74" t="s">
        <v>14105</v>
      </c>
      <c r="J74" t="s">
        <v>3435</v>
      </c>
    </row>
    <row r="75" spans="1:10" x14ac:dyDescent="0.25">
      <c r="A75" t="s">
        <v>7359</v>
      </c>
      <c r="B75" t="s">
        <v>3508</v>
      </c>
      <c r="C75" t="s">
        <v>3517</v>
      </c>
      <c r="D75" t="s">
        <v>7361</v>
      </c>
      <c r="E75" t="s">
        <v>7372</v>
      </c>
      <c r="F75" t="s">
        <v>90</v>
      </c>
      <c r="G75" t="s">
        <v>7363</v>
      </c>
      <c r="I75" t="s">
        <v>7360</v>
      </c>
      <c r="J75" t="s">
        <v>3582</v>
      </c>
    </row>
    <row r="76" spans="1:10" x14ac:dyDescent="0.25">
      <c r="A76" t="s">
        <v>3722</v>
      </c>
      <c r="B76" t="s">
        <v>41</v>
      </c>
      <c r="C76" t="s">
        <v>3665</v>
      </c>
      <c r="D76" t="s">
        <v>3723</v>
      </c>
      <c r="E76" t="s">
        <v>3724</v>
      </c>
      <c r="F76" t="s">
        <v>2619</v>
      </c>
      <c r="G76" t="s">
        <v>3725</v>
      </c>
      <c r="I76" t="s">
        <v>3726</v>
      </c>
      <c r="J76"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31" workbookViewId="0">
      <selection activeCell="A68" sqref="A68"/>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8047</v>
      </c>
      <c r="N1" t="s">
        <v>8025</v>
      </c>
    </row>
    <row r="2" spans="1:14" x14ac:dyDescent="0.25">
      <c r="A2" t="s">
        <v>3734</v>
      </c>
      <c r="B2" t="s">
        <v>176</v>
      </c>
      <c r="C2" t="s">
        <v>3735</v>
      </c>
      <c r="D2" t="s">
        <v>3736</v>
      </c>
      <c r="E2" t="s">
        <v>160</v>
      </c>
      <c r="F2">
        <v>1</v>
      </c>
      <c r="G2">
        <v>1</v>
      </c>
      <c r="H2" t="s">
        <v>3737</v>
      </c>
      <c r="I2" t="s">
        <v>8051</v>
      </c>
      <c r="J2" t="s">
        <v>3452</v>
      </c>
      <c r="K2" t="s">
        <v>3738</v>
      </c>
      <c r="L2" t="s">
        <v>3739</v>
      </c>
      <c r="M2" t="s">
        <v>8048</v>
      </c>
      <c r="N2" t="s">
        <v>4317</v>
      </c>
    </row>
    <row r="3" spans="1:14" x14ac:dyDescent="0.25">
      <c r="A3" t="s">
        <v>3740</v>
      </c>
      <c r="B3" t="s">
        <v>176</v>
      </c>
      <c r="C3" t="s">
        <v>3735</v>
      </c>
      <c r="D3" t="s">
        <v>3736</v>
      </c>
      <c r="E3" t="s">
        <v>497</v>
      </c>
      <c r="F3">
        <v>1</v>
      </c>
      <c r="G3">
        <v>1</v>
      </c>
      <c r="H3" t="s">
        <v>3737</v>
      </c>
      <c r="I3" t="s">
        <v>3741</v>
      </c>
      <c r="J3" t="s">
        <v>3452</v>
      </c>
      <c r="K3" t="s">
        <v>3742</v>
      </c>
      <c r="L3" t="s">
        <v>3500</v>
      </c>
      <c r="M3" t="s">
        <v>8048</v>
      </c>
    </row>
    <row r="4" spans="1:14" x14ac:dyDescent="0.25">
      <c r="A4" t="s">
        <v>7865</v>
      </c>
      <c r="B4" t="s">
        <v>176</v>
      </c>
      <c r="C4" t="s">
        <v>3735</v>
      </c>
      <c r="D4" t="s">
        <v>3736</v>
      </c>
      <c r="E4" t="s">
        <v>1046</v>
      </c>
      <c r="F4">
        <v>1</v>
      </c>
      <c r="G4">
        <v>1</v>
      </c>
      <c r="H4" t="s">
        <v>3744</v>
      </c>
      <c r="I4" t="s">
        <v>7866</v>
      </c>
      <c r="J4" t="s">
        <v>3452</v>
      </c>
      <c r="K4" t="s">
        <v>7865</v>
      </c>
      <c r="L4" t="s">
        <v>7868</v>
      </c>
      <c r="M4" t="s">
        <v>8048</v>
      </c>
    </row>
    <row r="5" spans="1:14" x14ac:dyDescent="0.25">
      <c r="A5" t="s">
        <v>7349</v>
      </c>
      <c r="B5" t="s">
        <v>176</v>
      </c>
      <c r="C5" t="s">
        <v>3735</v>
      </c>
      <c r="D5" t="s">
        <v>3736</v>
      </c>
      <c r="E5" t="s">
        <v>2173</v>
      </c>
      <c r="F5">
        <v>1</v>
      </c>
      <c r="G5">
        <v>1</v>
      </c>
      <c r="H5" t="s">
        <v>3744</v>
      </c>
      <c r="I5" t="s">
        <v>7350</v>
      </c>
      <c r="J5" t="s">
        <v>3452</v>
      </c>
      <c r="K5" t="s">
        <v>7349</v>
      </c>
      <c r="L5" t="s">
        <v>7351</v>
      </c>
      <c r="M5" t="s">
        <v>8048</v>
      </c>
    </row>
    <row r="6" spans="1:14" x14ac:dyDescent="0.25">
      <c r="A6" t="s">
        <v>3743</v>
      </c>
      <c r="B6" t="s">
        <v>176</v>
      </c>
      <c r="C6" t="s">
        <v>3735</v>
      </c>
      <c r="D6" t="s">
        <v>3736</v>
      </c>
      <c r="E6" t="s">
        <v>2619</v>
      </c>
      <c r="F6">
        <v>1</v>
      </c>
      <c r="G6">
        <v>1</v>
      </c>
      <c r="H6" t="s">
        <v>3744</v>
      </c>
      <c r="I6" t="s">
        <v>3745</v>
      </c>
      <c r="J6" t="s">
        <v>7438</v>
      </c>
      <c r="K6" t="s">
        <v>3746</v>
      </c>
      <c r="L6" t="s">
        <v>3668</v>
      </c>
      <c r="M6" t="s">
        <v>8048</v>
      </c>
    </row>
    <row r="7" spans="1:14" x14ac:dyDescent="0.25">
      <c r="A7" t="s">
        <v>3747</v>
      </c>
      <c r="B7" t="s">
        <v>176</v>
      </c>
      <c r="C7" t="s">
        <v>3735</v>
      </c>
      <c r="D7" t="s">
        <v>3736</v>
      </c>
      <c r="E7" t="s">
        <v>1046</v>
      </c>
      <c r="F7">
        <v>1</v>
      </c>
      <c r="G7">
        <v>1</v>
      </c>
      <c r="H7" t="s">
        <v>3748</v>
      </c>
      <c r="I7" t="s">
        <v>8044</v>
      </c>
      <c r="J7" t="s">
        <v>3452</v>
      </c>
      <c r="K7" t="s">
        <v>3749</v>
      </c>
      <c r="L7" t="s">
        <v>7867</v>
      </c>
      <c r="M7" t="s">
        <v>8048</v>
      </c>
    </row>
    <row r="8" spans="1:14" x14ac:dyDescent="0.25">
      <c r="A8" t="s">
        <v>3750</v>
      </c>
      <c r="B8" t="s">
        <v>176</v>
      </c>
      <c r="C8" t="s">
        <v>3735</v>
      </c>
      <c r="D8" t="s">
        <v>3736</v>
      </c>
      <c r="E8" t="s">
        <v>1752</v>
      </c>
      <c r="F8">
        <v>1</v>
      </c>
      <c r="G8">
        <v>1</v>
      </c>
      <c r="H8" t="s">
        <v>3744</v>
      </c>
      <c r="I8" t="s">
        <v>3751</v>
      </c>
      <c r="J8" t="s">
        <v>3452</v>
      </c>
      <c r="K8" t="s">
        <v>3752</v>
      </c>
      <c r="M8" t="s">
        <v>8048</v>
      </c>
    </row>
    <row r="9" spans="1:14" x14ac:dyDescent="0.25">
      <c r="A9" t="s">
        <v>14057</v>
      </c>
      <c r="B9" t="s">
        <v>176</v>
      </c>
      <c r="C9" t="s">
        <v>3735</v>
      </c>
      <c r="D9" t="s">
        <v>3736</v>
      </c>
      <c r="E9" t="s">
        <v>185</v>
      </c>
      <c r="F9">
        <v>3</v>
      </c>
      <c r="G9">
        <v>1</v>
      </c>
      <c r="H9" t="s">
        <v>3744</v>
      </c>
      <c r="I9" t="s">
        <v>14059</v>
      </c>
      <c r="J9" t="s">
        <v>7399</v>
      </c>
      <c r="K9" t="s">
        <v>14058</v>
      </c>
      <c r="L9" t="s">
        <v>12697</v>
      </c>
      <c r="M9" t="s">
        <v>8048</v>
      </c>
    </row>
    <row r="10" spans="1:14" x14ac:dyDescent="0.25">
      <c r="A10" t="s">
        <v>3753</v>
      </c>
      <c r="B10" t="s">
        <v>176</v>
      </c>
      <c r="C10" t="s">
        <v>3735</v>
      </c>
      <c r="D10" t="s">
        <v>3736</v>
      </c>
      <c r="E10" t="s">
        <v>1294</v>
      </c>
      <c r="F10">
        <v>1</v>
      </c>
      <c r="G10">
        <v>1</v>
      </c>
      <c r="H10" t="s">
        <v>3737</v>
      </c>
      <c r="I10" t="s">
        <v>3754</v>
      </c>
      <c r="J10" t="s">
        <v>3452</v>
      </c>
      <c r="K10" t="s">
        <v>3753</v>
      </c>
      <c r="L10" t="s">
        <v>3755</v>
      </c>
      <c r="M10" t="s">
        <v>8048</v>
      </c>
    </row>
    <row r="11" spans="1:14" x14ac:dyDescent="0.25">
      <c r="A11" t="s">
        <v>5075</v>
      </c>
      <c r="B11" t="s">
        <v>176</v>
      </c>
      <c r="C11" t="s">
        <v>3735</v>
      </c>
      <c r="D11" t="s">
        <v>3736</v>
      </c>
      <c r="E11" t="s">
        <v>160</v>
      </c>
      <c r="F11">
        <v>1</v>
      </c>
      <c r="G11">
        <v>1</v>
      </c>
      <c r="H11" t="s">
        <v>3737</v>
      </c>
      <c r="I11" t="s">
        <v>7971</v>
      </c>
      <c r="J11" t="s">
        <v>3452</v>
      </c>
      <c r="K11" t="s">
        <v>5075</v>
      </c>
      <c r="M11" t="s">
        <v>8048</v>
      </c>
    </row>
    <row r="12" spans="1:14" x14ac:dyDescent="0.25">
      <c r="A12" t="s">
        <v>3756</v>
      </c>
      <c r="B12" t="s">
        <v>176</v>
      </c>
      <c r="C12" t="s">
        <v>3735</v>
      </c>
      <c r="D12" t="s">
        <v>3736</v>
      </c>
      <c r="E12" t="s">
        <v>2619</v>
      </c>
      <c r="F12">
        <v>1</v>
      </c>
      <c r="G12">
        <v>1</v>
      </c>
      <c r="H12" t="s">
        <v>3744</v>
      </c>
      <c r="I12" t="s">
        <v>3757</v>
      </c>
      <c r="J12" t="s">
        <v>7444</v>
      </c>
      <c r="K12" t="s">
        <v>3758</v>
      </c>
      <c r="M12" t="s">
        <v>8048</v>
      </c>
    </row>
    <row r="13" spans="1:14" x14ac:dyDescent="0.25">
      <c r="A13" t="s">
        <v>3759</v>
      </c>
      <c r="B13" t="s">
        <v>176</v>
      </c>
      <c r="C13" t="s">
        <v>3735</v>
      </c>
      <c r="D13" t="s">
        <v>3736</v>
      </c>
      <c r="E13" t="s">
        <v>360</v>
      </c>
      <c r="F13">
        <v>1</v>
      </c>
      <c r="G13">
        <v>1</v>
      </c>
      <c r="H13" t="s">
        <v>3737</v>
      </c>
      <c r="I13" t="s">
        <v>3760</v>
      </c>
      <c r="J13" t="s">
        <v>3452</v>
      </c>
      <c r="K13" t="s">
        <v>3761</v>
      </c>
      <c r="L13" t="s">
        <v>3755</v>
      </c>
      <c r="M13" t="s">
        <v>8048</v>
      </c>
    </row>
    <row r="14" spans="1:14" x14ac:dyDescent="0.25">
      <c r="A14" t="s">
        <v>3762</v>
      </c>
      <c r="B14" t="s">
        <v>176</v>
      </c>
      <c r="C14" t="s">
        <v>3735</v>
      </c>
      <c r="D14" t="s">
        <v>3736</v>
      </c>
      <c r="E14" t="s">
        <v>160</v>
      </c>
      <c r="F14">
        <v>1</v>
      </c>
      <c r="G14">
        <v>1</v>
      </c>
      <c r="H14" t="s">
        <v>3737</v>
      </c>
      <c r="I14" t="s">
        <v>8053</v>
      </c>
      <c r="J14" t="s">
        <v>3452</v>
      </c>
      <c r="K14" t="s">
        <v>3762</v>
      </c>
      <c r="L14" t="s">
        <v>3763</v>
      </c>
      <c r="M14" t="s">
        <v>8048</v>
      </c>
      <c r="N14" t="s">
        <v>4317</v>
      </c>
    </row>
    <row r="15" spans="1:14" x14ac:dyDescent="0.25">
      <c r="A15" t="s">
        <v>3764</v>
      </c>
      <c r="B15" t="s">
        <v>176</v>
      </c>
      <c r="C15" t="s">
        <v>3735</v>
      </c>
      <c r="D15" t="s">
        <v>3736</v>
      </c>
      <c r="E15" t="s">
        <v>2132</v>
      </c>
      <c r="F15">
        <v>1</v>
      </c>
      <c r="G15">
        <v>1</v>
      </c>
      <c r="H15" t="s">
        <v>3737</v>
      </c>
      <c r="I15" t="s">
        <v>3765</v>
      </c>
      <c r="J15" t="s">
        <v>3452</v>
      </c>
      <c r="K15" t="s">
        <v>3764</v>
      </c>
      <c r="L15" t="s">
        <v>3668</v>
      </c>
      <c r="M15" t="s">
        <v>8048</v>
      </c>
    </row>
    <row r="16" spans="1:14" x14ac:dyDescent="0.25">
      <c r="A16" t="s">
        <v>3766</v>
      </c>
      <c r="B16" t="s">
        <v>176</v>
      </c>
      <c r="C16" t="s">
        <v>3735</v>
      </c>
      <c r="D16" t="s">
        <v>3736</v>
      </c>
      <c r="E16" t="s">
        <v>1294</v>
      </c>
      <c r="F16">
        <v>1</v>
      </c>
      <c r="G16">
        <v>1</v>
      </c>
      <c r="H16" t="s">
        <v>3744</v>
      </c>
      <c r="I16" t="s">
        <v>3767</v>
      </c>
      <c r="J16" t="s">
        <v>3452</v>
      </c>
      <c r="K16" t="s">
        <v>3766</v>
      </c>
      <c r="L16" t="s">
        <v>458</v>
      </c>
      <c r="M16" t="s">
        <v>8048</v>
      </c>
    </row>
    <row r="17" spans="1:14" x14ac:dyDescent="0.25">
      <c r="A17" t="s">
        <v>3768</v>
      </c>
      <c r="B17" t="s">
        <v>176</v>
      </c>
      <c r="C17" t="s">
        <v>3769</v>
      </c>
      <c r="D17" t="s">
        <v>3736</v>
      </c>
      <c r="E17" t="s">
        <v>2619</v>
      </c>
      <c r="F17">
        <v>1</v>
      </c>
      <c r="G17">
        <v>2</v>
      </c>
      <c r="H17" t="s">
        <v>3737</v>
      </c>
      <c r="I17" t="s">
        <v>8050</v>
      </c>
      <c r="J17" t="s">
        <v>7430</v>
      </c>
      <c r="K17" t="s">
        <v>3768</v>
      </c>
      <c r="L17" t="s">
        <v>3755</v>
      </c>
      <c r="M17" t="s">
        <v>8048</v>
      </c>
      <c r="N17" t="s">
        <v>4323</v>
      </c>
    </row>
    <row r="18" spans="1:14" x14ac:dyDescent="0.25">
      <c r="A18" t="s">
        <v>3770</v>
      </c>
      <c r="B18" t="s">
        <v>176</v>
      </c>
      <c r="C18" t="s">
        <v>3769</v>
      </c>
      <c r="D18" t="s">
        <v>3736</v>
      </c>
      <c r="E18" t="s">
        <v>2132</v>
      </c>
      <c r="F18">
        <v>1</v>
      </c>
      <c r="G18">
        <v>2</v>
      </c>
      <c r="H18" t="s">
        <v>3737</v>
      </c>
      <c r="I18" t="s">
        <v>3771</v>
      </c>
      <c r="J18" t="s">
        <v>3452</v>
      </c>
      <c r="K18" t="s">
        <v>3770</v>
      </c>
      <c r="L18" t="s">
        <v>3500</v>
      </c>
      <c r="M18" t="s">
        <v>8048</v>
      </c>
    </row>
    <row r="19" spans="1:14" x14ac:dyDescent="0.25">
      <c r="A19" t="s">
        <v>3772</v>
      </c>
      <c r="B19" t="s">
        <v>176</v>
      </c>
      <c r="C19" t="s">
        <v>3769</v>
      </c>
      <c r="D19" t="s">
        <v>3736</v>
      </c>
      <c r="E19" t="s">
        <v>2619</v>
      </c>
      <c r="F19">
        <v>1</v>
      </c>
      <c r="G19">
        <v>2</v>
      </c>
      <c r="H19" t="s">
        <v>3744</v>
      </c>
      <c r="I19" t="s">
        <v>3773</v>
      </c>
      <c r="J19" t="s">
        <v>3452</v>
      </c>
      <c r="K19" t="s">
        <v>3774</v>
      </c>
      <c r="L19" t="s">
        <v>3775</v>
      </c>
      <c r="M19" t="s">
        <v>8048</v>
      </c>
    </row>
    <row r="20" spans="1:14" x14ac:dyDescent="0.25">
      <c r="A20" t="s">
        <v>3776</v>
      </c>
      <c r="B20" t="s">
        <v>176</v>
      </c>
      <c r="C20" t="s">
        <v>3769</v>
      </c>
      <c r="D20" t="s">
        <v>3736</v>
      </c>
      <c r="E20" t="s">
        <v>160</v>
      </c>
      <c r="F20">
        <v>1</v>
      </c>
      <c r="G20">
        <v>2</v>
      </c>
      <c r="H20" t="s">
        <v>3737</v>
      </c>
      <c r="I20" t="s">
        <v>3777</v>
      </c>
      <c r="J20" t="s">
        <v>7448</v>
      </c>
      <c r="K20" t="s">
        <v>3778</v>
      </c>
      <c r="L20" t="s">
        <v>3668</v>
      </c>
      <c r="M20" t="s">
        <v>8048</v>
      </c>
    </row>
    <row r="21" spans="1:14" x14ac:dyDescent="0.25">
      <c r="A21" t="s">
        <v>7871</v>
      </c>
      <c r="B21" t="s">
        <v>176</v>
      </c>
      <c r="C21" t="s">
        <v>3769</v>
      </c>
      <c r="D21" t="s">
        <v>3736</v>
      </c>
      <c r="E21" t="s">
        <v>1046</v>
      </c>
      <c r="F21">
        <v>1</v>
      </c>
      <c r="G21">
        <v>2</v>
      </c>
      <c r="H21" t="s">
        <v>3744</v>
      </c>
      <c r="I21" t="s">
        <v>7872</v>
      </c>
      <c r="J21" t="s">
        <v>3452</v>
      </c>
      <c r="K21" t="s">
        <v>7871</v>
      </c>
      <c r="L21" t="s">
        <v>3800</v>
      </c>
      <c r="M21" t="s">
        <v>8048</v>
      </c>
    </row>
    <row r="22" spans="1:14" x14ac:dyDescent="0.25">
      <c r="A22" t="s">
        <v>7869</v>
      </c>
      <c r="B22" t="s">
        <v>176</v>
      </c>
      <c r="C22" t="s">
        <v>3769</v>
      </c>
      <c r="D22" t="s">
        <v>3736</v>
      </c>
      <c r="E22" t="s">
        <v>1046</v>
      </c>
      <c r="F22">
        <v>1</v>
      </c>
      <c r="G22">
        <v>2</v>
      </c>
      <c r="H22" t="s">
        <v>3744</v>
      </c>
      <c r="I22" t="s">
        <v>8074</v>
      </c>
      <c r="J22" t="s">
        <v>3452</v>
      </c>
      <c r="K22" t="s">
        <v>7870</v>
      </c>
      <c r="L22" t="s">
        <v>7868</v>
      </c>
      <c r="M22" t="s">
        <v>8048</v>
      </c>
      <c r="N22" t="s">
        <v>4315</v>
      </c>
    </row>
    <row r="23" spans="1:14" x14ac:dyDescent="0.25">
      <c r="A23" t="s">
        <v>3779</v>
      </c>
      <c r="B23" t="s">
        <v>176</v>
      </c>
      <c r="C23" t="s">
        <v>3769</v>
      </c>
      <c r="D23" t="s">
        <v>3780</v>
      </c>
      <c r="E23" t="s">
        <v>360</v>
      </c>
      <c r="F23">
        <v>1</v>
      </c>
      <c r="G23">
        <v>2</v>
      </c>
      <c r="H23" t="s">
        <v>3737</v>
      </c>
      <c r="I23" t="s">
        <v>8042</v>
      </c>
      <c r="J23" t="s">
        <v>3452</v>
      </c>
      <c r="K23" t="s">
        <v>3781</v>
      </c>
      <c r="L23" t="s">
        <v>3755</v>
      </c>
      <c r="M23" t="s">
        <v>8048</v>
      </c>
      <c r="N23" t="s">
        <v>4315</v>
      </c>
    </row>
    <row r="24" spans="1:14" x14ac:dyDescent="0.25">
      <c r="A24" t="s">
        <v>3782</v>
      </c>
      <c r="B24" t="s">
        <v>176</v>
      </c>
      <c r="C24" t="s">
        <v>3783</v>
      </c>
      <c r="D24" t="s">
        <v>3736</v>
      </c>
      <c r="E24" t="s">
        <v>2619</v>
      </c>
      <c r="F24">
        <v>1</v>
      </c>
      <c r="G24">
        <v>3</v>
      </c>
      <c r="H24" t="s">
        <v>3744</v>
      </c>
      <c r="I24" t="s">
        <v>7427</v>
      </c>
      <c r="J24" t="s">
        <v>7429</v>
      </c>
      <c r="K24" t="s">
        <v>3782</v>
      </c>
      <c r="M24" t="s">
        <v>8048</v>
      </c>
    </row>
    <row r="25" spans="1:14" x14ac:dyDescent="0.25">
      <c r="A25" t="s">
        <v>3784</v>
      </c>
      <c r="B25" t="s">
        <v>176</v>
      </c>
      <c r="C25" t="s">
        <v>3783</v>
      </c>
      <c r="D25" t="s">
        <v>3785</v>
      </c>
      <c r="E25" t="s">
        <v>1294</v>
      </c>
      <c r="F25">
        <v>1</v>
      </c>
      <c r="G25">
        <v>3</v>
      </c>
      <c r="H25" t="s">
        <v>3737</v>
      </c>
      <c r="I25" t="s">
        <v>3786</v>
      </c>
      <c r="J25" t="s">
        <v>3452</v>
      </c>
      <c r="K25" t="s">
        <v>3787</v>
      </c>
      <c r="L25" t="s">
        <v>3788</v>
      </c>
      <c r="M25" t="s">
        <v>8048</v>
      </c>
    </row>
    <row r="26" spans="1:14" x14ac:dyDescent="0.25">
      <c r="A26" t="s">
        <v>3789</v>
      </c>
      <c r="B26" t="s">
        <v>176</v>
      </c>
      <c r="C26" t="s">
        <v>3783</v>
      </c>
      <c r="D26" t="s">
        <v>3736</v>
      </c>
      <c r="E26" t="s">
        <v>1294</v>
      </c>
      <c r="F26">
        <v>1</v>
      </c>
      <c r="G26">
        <v>3</v>
      </c>
      <c r="H26" t="s">
        <v>3744</v>
      </c>
      <c r="I26" t="s">
        <v>3790</v>
      </c>
      <c r="J26" t="s">
        <v>7421</v>
      </c>
      <c r="K26" t="s">
        <v>3791</v>
      </c>
      <c r="M26" t="s">
        <v>8048</v>
      </c>
    </row>
    <row r="27" spans="1:14" x14ac:dyDescent="0.25">
      <c r="A27" t="s">
        <v>3792</v>
      </c>
      <c r="B27" t="s">
        <v>176</v>
      </c>
      <c r="C27" t="s">
        <v>3783</v>
      </c>
      <c r="D27" t="s">
        <v>3793</v>
      </c>
      <c r="E27" t="s">
        <v>360</v>
      </c>
      <c r="F27">
        <v>1</v>
      </c>
      <c r="G27">
        <v>3</v>
      </c>
      <c r="H27" t="s">
        <v>3737</v>
      </c>
      <c r="I27" t="s">
        <v>8043</v>
      </c>
      <c r="J27" t="s">
        <v>3452</v>
      </c>
      <c r="K27" t="s">
        <v>3794</v>
      </c>
      <c r="L27" t="s">
        <v>3755</v>
      </c>
      <c r="M27" t="s">
        <v>8048</v>
      </c>
      <c r="N27" t="s">
        <v>4317</v>
      </c>
    </row>
    <row r="28" spans="1:14" x14ac:dyDescent="0.25">
      <c r="A28" t="s">
        <v>3795</v>
      </c>
      <c r="B28" t="s">
        <v>182</v>
      </c>
      <c r="C28" t="s">
        <v>3735</v>
      </c>
      <c r="D28" t="s">
        <v>3736</v>
      </c>
      <c r="E28" t="s">
        <v>90</v>
      </c>
      <c r="F28">
        <v>1</v>
      </c>
      <c r="G28">
        <v>1</v>
      </c>
      <c r="H28" t="s">
        <v>3744</v>
      </c>
      <c r="I28" t="s">
        <v>3796</v>
      </c>
      <c r="J28" t="s">
        <v>5255</v>
      </c>
      <c r="K28" t="s">
        <v>3795</v>
      </c>
      <c r="M28" t="s">
        <v>8048</v>
      </c>
    </row>
    <row r="29" spans="1:14" x14ac:dyDescent="0.25">
      <c r="A29" t="s">
        <v>3797</v>
      </c>
      <c r="B29" t="s">
        <v>182</v>
      </c>
      <c r="C29" t="s">
        <v>3735</v>
      </c>
      <c r="D29" t="s">
        <v>3736</v>
      </c>
      <c r="E29" t="s">
        <v>90</v>
      </c>
      <c r="F29">
        <v>1</v>
      </c>
      <c r="G29">
        <v>1</v>
      </c>
      <c r="H29" t="s">
        <v>3744</v>
      </c>
      <c r="I29" t="s">
        <v>3798</v>
      </c>
      <c r="J29" t="s">
        <v>3452</v>
      </c>
      <c r="K29" t="s">
        <v>3799</v>
      </c>
      <c r="L29" t="s">
        <v>3800</v>
      </c>
      <c r="M29" t="s">
        <v>8048</v>
      </c>
    </row>
    <row r="30" spans="1:14" x14ac:dyDescent="0.25">
      <c r="A30" t="s">
        <v>3801</v>
      </c>
      <c r="B30" t="s">
        <v>182</v>
      </c>
      <c r="C30" t="s">
        <v>3735</v>
      </c>
      <c r="D30" t="s">
        <v>3736</v>
      </c>
      <c r="E30" t="s">
        <v>960</v>
      </c>
      <c r="F30">
        <v>1</v>
      </c>
      <c r="G30">
        <v>1</v>
      </c>
      <c r="H30" t="s">
        <v>3744</v>
      </c>
      <c r="I30" t="s">
        <v>3802</v>
      </c>
      <c r="J30" t="s">
        <v>3452</v>
      </c>
      <c r="K30" t="s">
        <v>3803</v>
      </c>
      <c r="L30" t="s">
        <v>3804</v>
      </c>
      <c r="M30" t="s">
        <v>8048</v>
      </c>
    </row>
    <row r="31" spans="1:14" x14ac:dyDescent="0.25">
      <c r="A31" t="s">
        <v>3805</v>
      </c>
      <c r="B31" t="s">
        <v>182</v>
      </c>
      <c r="C31" t="s">
        <v>3735</v>
      </c>
      <c r="D31" t="s">
        <v>3736</v>
      </c>
      <c r="E31" t="s">
        <v>960</v>
      </c>
      <c r="F31">
        <v>1</v>
      </c>
      <c r="G31">
        <v>1</v>
      </c>
      <c r="H31" t="s">
        <v>3744</v>
      </c>
      <c r="I31" t="s">
        <v>3806</v>
      </c>
      <c r="J31" t="s">
        <v>7447</v>
      </c>
      <c r="K31" t="s">
        <v>3807</v>
      </c>
      <c r="L31" t="s">
        <v>3808</v>
      </c>
      <c r="M31" t="s">
        <v>8048</v>
      </c>
    </row>
    <row r="32" spans="1:14" x14ac:dyDescent="0.25">
      <c r="A32" t="s">
        <v>3809</v>
      </c>
      <c r="B32" t="s">
        <v>182</v>
      </c>
      <c r="C32" t="s">
        <v>3735</v>
      </c>
      <c r="D32" t="s">
        <v>3736</v>
      </c>
      <c r="E32" t="s">
        <v>38</v>
      </c>
      <c r="F32">
        <v>1</v>
      </c>
      <c r="G32">
        <v>1</v>
      </c>
      <c r="H32" t="s">
        <v>3744</v>
      </c>
      <c r="I32" t="s">
        <v>3810</v>
      </c>
      <c r="J32" t="s">
        <v>3452</v>
      </c>
      <c r="K32" t="s">
        <v>3811</v>
      </c>
      <c r="L32" t="s">
        <v>3812</v>
      </c>
      <c r="M32" t="s">
        <v>8048</v>
      </c>
    </row>
    <row r="33" spans="1:14" x14ac:dyDescent="0.25">
      <c r="A33" t="s">
        <v>3813</v>
      </c>
      <c r="B33" t="s">
        <v>182</v>
      </c>
      <c r="C33" t="s">
        <v>3735</v>
      </c>
      <c r="D33" t="s">
        <v>3736</v>
      </c>
      <c r="E33" t="s">
        <v>38</v>
      </c>
      <c r="F33">
        <v>1</v>
      </c>
      <c r="G33">
        <v>1</v>
      </c>
      <c r="H33" t="s">
        <v>3744</v>
      </c>
      <c r="I33" t="s">
        <v>3814</v>
      </c>
      <c r="J33" t="s">
        <v>3452</v>
      </c>
      <c r="K33" t="s">
        <v>3815</v>
      </c>
      <c r="L33" t="s">
        <v>3816</v>
      </c>
      <c r="M33" t="s">
        <v>8048</v>
      </c>
    </row>
    <row r="34" spans="1:14" x14ac:dyDescent="0.25">
      <c r="A34" t="s">
        <v>3817</v>
      </c>
      <c r="B34" t="s">
        <v>182</v>
      </c>
      <c r="C34" t="s">
        <v>3735</v>
      </c>
      <c r="D34" t="s">
        <v>3785</v>
      </c>
      <c r="E34" t="s">
        <v>90</v>
      </c>
      <c r="F34">
        <v>1</v>
      </c>
      <c r="G34">
        <v>1</v>
      </c>
      <c r="H34" t="s">
        <v>3737</v>
      </c>
      <c r="I34" t="s">
        <v>3818</v>
      </c>
      <c r="J34" t="s">
        <v>7420</v>
      </c>
      <c r="K34" t="s">
        <v>3819</v>
      </c>
      <c r="L34" t="s">
        <v>3820</v>
      </c>
      <c r="M34" t="s">
        <v>8048</v>
      </c>
    </row>
    <row r="35" spans="1:14" x14ac:dyDescent="0.25">
      <c r="A35" t="s">
        <v>12694</v>
      </c>
      <c r="B35" t="s">
        <v>182</v>
      </c>
      <c r="C35" t="s">
        <v>3735</v>
      </c>
      <c r="D35" t="s">
        <v>3736</v>
      </c>
      <c r="E35" t="s">
        <v>1951</v>
      </c>
      <c r="F35">
        <v>1</v>
      </c>
      <c r="G35">
        <v>1</v>
      </c>
      <c r="H35" t="s">
        <v>3744</v>
      </c>
      <c r="I35" t="s">
        <v>12695</v>
      </c>
      <c r="J35" t="s">
        <v>3452</v>
      </c>
      <c r="K35" t="s">
        <v>12696</v>
      </c>
      <c r="L35" t="s">
        <v>12697</v>
      </c>
      <c r="M35" t="s">
        <v>8048</v>
      </c>
    </row>
    <row r="36" spans="1:14" x14ac:dyDescent="0.25">
      <c r="A36" t="s">
        <v>3821</v>
      </c>
      <c r="B36" t="s">
        <v>182</v>
      </c>
      <c r="C36" t="s">
        <v>3769</v>
      </c>
      <c r="D36" t="s">
        <v>3736</v>
      </c>
      <c r="E36" t="s">
        <v>90</v>
      </c>
      <c r="F36">
        <v>1</v>
      </c>
      <c r="G36">
        <v>2</v>
      </c>
      <c r="H36" t="s">
        <v>3737</v>
      </c>
      <c r="I36" t="s">
        <v>3822</v>
      </c>
      <c r="J36" t="s">
        <v>3452</v>
      </c>
      <c r="K36" t="s">
        <v>3823</v>
      </c>
      <c r="M36" t="s">
        <v>8048</v>
      </c>
    </row>
    <row r="37" spans="1:14" x14ac:dyDescent="0.25">
      <c r="A37" t="s">
        <v>3824</v>
      </c>
      <c r="B37" t="s">
        <v>182</v>
      </c>
      <c r="C37" t="s">
        <v>3769</v>
      </c>
      <c r="D37" t="s">
        <v>3736</v>
      </c>
      <c r="E37" t="s">
        <v>90</v>
      </c>
      <c r="F37">
        <v>1</v>
      </c>
      <c r="G37">
        <v>2</v>
      </c>
      <c r="H37" t="s">
        <v>3825</v>
      </c>
      <c r="I37" t="s">
        <v>8078</v>
      </c>
      <c r="J37" t="s">
        <v>3452</v>
      </c>
      <c r="K37" t="s">
        <v>3824</v>
      </c>
      <c r="M37" t="s">
        <v>8049</v>
      </c>
    </row>
    <row r="38" spans="1:14" x14ac:dyDescent="0.25">
      <c r="A38" t="s">
        <v>3826</v>
      </c>
      <c r="B38" t="s">
        <v>182</v>
      </c>
      <c r="C38" t="s">
        <v>3769</v>
      </c>
      <c r="D38" t="s">
        <v>3736</v>
      </c>
      <c r="E38" t="s">
        <v>38</v>
      </c>
      <c r="F38">
        <v>1</v>
      </c>
      <c r="G38">
        <v>2</v>
      </c>
      <c r="H38" t="s">
        <v>3744</v>
      </c>
      <c r="I38" t="s">
        <v>3827</v>
      </c>
      <c r="J38" t="s">
        <v>7457</v>
      </c>
      <c r="K38" t="s">
        <v>3828</v>
      </c>
      <c r="M38" t="s">
        <v>8048</v>
      </c>
    </row>
    <row r="39" spans="1:14" x14ac:dyDescent="0.25">
      <c r="A39" t="s">
        <v>3829</v>
      </c>
      <c r="B39" t="s">
        <v>182</v>
      </c>
      <c r="C39" t="s">
        <v>3783</v>
      </c>
      <c r="D39" t="s">
        <v>3736</v>
      </c>
      <c r="E39" t="s">
        <v>90</v>
      </c>
      <c r="F39">
        <v>1</v>
      </c>
      <c r="G39">
        <v>3</v>
      </c>
      <c r="H39" t="s">
        <v>3825</v>
      </c>
      <c r="I39" t="s">
        <v>8067</v>
      </c>
      <c r="J39" t="s">
        <v>7403</v>
      </c>
      <c r="K39" t="s">
        <v>3829</v>
      </c>
      <c r="M39" t="s">
        <v>8049</v>
      </c>
    </row>
    <row r="40" spans="1:14" x14ac:dyDescent="0.25">
      <c r="A40" t="s">
        <v>3830</v>
      </c>
      <c r="B40" t="s">
        <v>182</v>
      </c>
      <c r="C40" t="s">
        <v>3783</v>
      </c>
      <c r="D40" t="s">
        <v>3785</v>
      </c>
      <c r="E40" t="s">
        <v>90</v>
      </c>
      <c r="F40">
        <v>1</v>
      </c>
      <c r="G40">
        <v>3</v>
      </c>
      <c r="H40" t="s">
        <v>3831</v>
      </c>
      <c r="I40" t="s">
        <v>3832</v>
      </c>
      <c r="J40" t="s">
        <v>7415</v>
      </c>
      <c r="K40" t="s">
        <v>3830</v>
      </c>
      <c r="M40" t="s">
        <v>8048</v>
      </c>
    </row>
    <row r="41" spans="1:14" x14ac:dyDescent="0.25">
      <c r="A41" t="s">
        <v>3833</v>
      </c>
      <c r="B41" t="s">
        <v>222</v>
      </c>
      <c r="C41" t="s">
        <v>3735</v>
      </c>
      <c r="D41" t="s">
        <v>3736</v>
      </c>
      <c r="E41" t="s">
        <v>1649</v>
      </c>
      <c r="F41">
        <v>1</v>
      </c>
      <c r="G41">
        <v>1</v>
      </c>
      <c r="H41" t="s">
        <v>3737</v>
      </c>
      <c r="I41" t="s">
        <v>3834</v>
      </c>
      <c r="J41" t="s">
        <v>7431</v>
      </c>
      <c r="K41" t="s">
        <v>3833</v>
      </c>
      <c r="M41" t="s">
        <v>8048</v>
      </c>
    </row>
    <row r="42" spans="1:14" x14ac:dyDescent="0.25">
      <c r="A42" t="s">
        <v>7687</v>
      </c>
      <c r="B42" t="s">
        <v>222</v>
      </c>
      <c r="C42" t="s">
        <v>3735</v>
      </c>
      <c r="D42" t="s">
        <v>3736</v>
      </c>
      <c r="E42" t="s">
        <v>1649</v>
      </c>
      <c r="F42">
        <v>1</v>
      </c>
      <c r="G42">
        <v>1</v>
      </c>
      <c r="H42" t="s">
        <v>3744</v>
      </c>
      <c r="I42" t="s">
        <v>7688</v>
      </c>
      <c r="J42" t="s">
        <v>3452</v>
      </c>
      <c r="K42" t="s">
        <v>7689</v>
      </c>
      <c r="L42" t="s">
        <v>7690</v>
      </c>
      <c r="M42" t="s">
        <v>8048</v>
      </c>
    </row>
    <row r="43" spans="1:14" x14ac:dyDescent="0.25">
      <c r="A43" t="s">
        <v>3835</v>
      </c>
      <c r="B43" t="s">
        <v>222</v>
      </c>
      <c r="C43" t="s">
        <v>3735</v>
      </c>
      <c r="D43" t="s">
        <v>3736</v>
      </c>
      <c r="E43" t="s">
        <v>1201</v>
      </c>
      <c r="F43">
        <v>1</v>
      </c>
      <c r="G43">
        <v>1</v>
      </c>
      <c r="H43" t="s">
        <v>3737</v>
      </c>
      <c r="I43" t="s">
        <v>8052</v>
      </c>
      <c r="J43" t="s">
        <v>3452</v>
      </c>
      <c r="K43" t="s">
        <v>3835</v>
      </c>
      <c r="L43" t="s">
        <v>3836</v>
      </c>
      <c r="M43" t="s">
        <v>8048</v>
      </c>
      <c r="N43" t="s">
        <v>4317</v>
      </c>
    </row>
    <row r="44" spans="1:14" x14ac:dyDescent="0.25">
      <c r="A44" t="s">
        <v>7432</v>
      </c>
      <c r="B44" t="s">
        <v>222</v>
      </c>
      <c r="C44" t="s">
        <v>3735</v>
      </c>
      <c r="D44" t="s">
        <v>3736</v>
      </c>
      <c r="E44" t="s">
        <v>1649</v>
      </c>
      <c r="F44">
        <v>1</v>
      </c>
      <c r="G44">
        <v>1</v>
      </c>
      <c r="H44" t="s">
        <v>3737</v>
      </c>
      <c r="I44" t="s">
        <v>7433</v>
      </c>
      <c r="J44" t="s">
        <v>3452</v>
      </c>
      <c r="K44" t="s">
        <v>7432</v>
      </c>
      <c r="L44" t="s">
        <v>7434</v>
      </c>
      <c r="M44" t="s">
        <v>8048</v>
      </c>
    </row>
    <row r="45" spans="1:14" x14ac:dyDescent="0.25">
      <c r="A45" t="s">
        <v>3837</v>
      </c>
      <c r="B45" t="s">
        <v>222</v>
      </c>
      <c r="C45" t="s">
        <v>3735</v>
      </c>
      <c r="D45" t="s">
        <v>3736</v>
      </c>
      <c r="E45" t="s">
        <v>501</v>
      </c>
      <c r="F45">
        <v>1</v>
      </c>
      <c r="G45">
        <v>1</v>
      </c>
      <c r="H45" t="s">
        <v>3748</v>
      </c>
      <c r="I45" t="s">
        <v>3838</v>
      </c>
      <c r="J45" t="s">
        <v>3452</v>
      </c>
      <c r="K45" t="s">
        <v>3837</v>
      </c>
      <c r="L45" t="s">
        <v>3839</v>
      </c>
      <c r="M45" t="s">
        <v>8048</v>
      </c>
    </row>
    <row r="46" spans="1:14" x14ac:dyDescent="0.25">
      <c r="A46" t="s">
        <v>7676</v>
      </c>
      <c r="B46" t="s">
        <v>222</v>
      </c>
      <c r="C46" t="s">
        <v>3769</v>
      </c>
      <c r="D46" t="s">
        <v>3736</v>
      </c>
      <c r="E46" t="s">
        <v>1649</v>
      </c>
      <c r="F46">
        <v>1</v>
      </c>
      <c r="G46">
        <v>2</v>
      </c>
      <c r="H46" t="s">
        <v>3737</v>
      </c>
      <c r="I46" t="s">
        <v>7677</v>
      </c>
      <c r="J46" t="s">
        <v>3452</v>
      </c>
      <c r="K46" t="s">
        <v>7678</v>
      </c>
      <c r="L46" t="s">
        <v>7679</v>
      </c>
      <c r="M46" t="s">
        <v>8048</v>
      </c>
    </row>
    <row r="47" spans="1:14" x14ac:dyDescent="0.25">
      <c r="A47" t="s">
        <v>7966</v>
      </c>
      <c r="B47" t="s">
        <v>222</v>
      </c>
      <c r="C47" t="s">
        <v>3769</v>
      </c>
      <c r="D47" t="s">
        <v>3736</v>
      </c>
      <c r="E47" t="s">
        <v>1649</v>
      </c>
      <c r="F47">
        <v>1</v>
      </c>
      <c r="G47">
        <v>2</v>
      </c>
      <c r="H47" t="s">
        <v>3831</v>
      </c>
      <c r="I47" t="s">
        <v>7967</v>
      </c>
      <c r="J47" t="s">
        <v>7970</v>
      </c>
      <c r="K47" t="s">
        <v>7969</v>
      </c>
      <c r="M47" t="s">
        <v>8048</v>
      </c>
    </row>
    <row r="48" spans="1:14" x14ac:dyDescent="0.25">
      <c r="A48" t="s">
        <v>7955</v>
      </c>
      <c r="B48" t="s">
        <v>222</v>
      </c>
      <c r="C48" t="s">
        <v>3769</v>
      </c>
      <c r="D48" t="s">
        <v>3736</v>
      </c>
      <c r="E48" t="s">
        <v>1649</v>
      </c>
      <c r="F48">
        <v>1</v>
      </c>
      <c r="G48">
        <v>2</v>
      </c>
      <c r="H48" t="s">
        <v>3748</v>
      </c>
      <c r="I48" t="s">
        <v>7956</v>
      </c>
      <c r="J48" t="s">
        <v>3452</v>
      </c>
      <c r="K48" t="s">
        <v>7955</v>
      </c>
      <c r="L48" t="s">
        <v>7968</v>
      </c>
      <c r="M48" t="s">
        <v>8048</v>
      </c>
    </row>
    <row r="49" spans="1:13" x14ac:dyDescent="0.25">
      <c r="A49" t="s">
        <v>3840</v>
      </c>
      <c r="B49" t="s">
        <v>222</v>
      </c>
      <c r="C49" t="s">
        <v>3769</v>
      </c>
      <c r="D49" t="s">
        <v>3736</v>
      </c>
      <c r="E49" t="s">
        <v>1649</v>
      </c>
      <c r="F49">
        <v>1</v>
      </c>
      <c r="G49">
        <v>2</v>
      </c>
      <c r="H49" t="s">
        <v>3744</v>
      </c>
      <c r="I49" t="s">
        <v>3841</v>
      </c>
      <c r="J49" t="s">
        <v>7402</v>
      </c>
      <c r="K49" t="s">
        <v>3840</v>
      </c>
      <c r="M49" t="s">
        <v>8048</v>
      </c>
    </row>
    <row r="50" spans="1:13" x14ac:dyDescent="0.25">
      <c r="A50" t="s">
        <v>3842</v>
      </c>
      <c r="B50" t="s">
        <v>222</v>
      </c>
      <c r="C50" t="s">
        <v>3769</v>
      </c>
      <c r="D50" t="s">
        <v>3736</v>
      </c>
      <c r="E50" t="s">
        <v>1649</v>
      </c>
      <c r="F50">
        <v>1</v>
      </c>
      <c r="G50">
        <v>2</v>
      </c>
      <c r="H50" t="s">
        <v>3744</v>
      </c>
      <c r="I50" t="s">
        <v>3843</v>
      </c>
      <c r="J50" t="s">
        <v>7398</v>
      </c>
      <c r="K50" t="s">
        <v>3844</v>
      </c>
      <c r="L50" t="s">
        <v>3812</v>
      </c>
      <c r="M50" t="s">
        <v>8048</v>
      </c>
    </row>
    <row r="51" spans="1:13" x14ac:dyDescent="0.25">
      <c r="A51" t="s">
        <v>3845</v>
      </c>
      <c r="B51" t="s">
        <v>222</v>
      </c>
      <c r="C51" t="s">
        <v>3769</v>
      </c>
      <c r="D51" t="s">
        <v>3780</v>
      </c>
      <c r="E51" t="s">
        <v>501</v>
      </c>
      <c r="F51">
        <v>1</v>
      </c>
      <c r="G51">
        <v>2</v>
      </c>
      <c r="H51" t="s">
        <v>3744</v>
      </c>
      <c r="I51" t="s">
        <v>3846</v>
      </c>
      <c r="J51" t="s">
        <v>7395</v>
      </c>
      <c r="K51" t="s">
        <v>3845</v>
      </c>
      <c r="M51" t="s">
        <v>8048</v>
      </c>
    </row>
    <row r="52" spans="1:13" x14ac:dyDescent="0.25">
      <c r="A52" t="s">
        <v>3847</v>
      </c>
      <c r="B52" t="s">
        <v>222</v>
      </c>
      <c r="C52" t="s">
        <v>3769</v>
      </c>
      <c r="D52" t="s">
        <v>3736</v>
      </c>
      <c r="E52" t="s">
        <v>1649</v>
      </c>
      <c r="F52">
        <v>1</v>
      </c>
      <c r="G52">
        <v>2</v>
      </c>
      <c r="H52" t="s">
        <v>3737</v>
      </c>
      <c r="I52" t="s">
        <v>3848</v>
      </c>
      <c r="J52" t="s">
        <v>3452</v>
      </c>
      <c r="K52" t="s">
        <v>3847</v>
      </c>
      <c r="L52" t="s">
        <v>3849</v>
      </c>
      <c r="M52" t="s">
        <v>8048</v>
      </c>
    </row>
    <row r="53" spans="1:13" x14ac:dyDescent="0.25">
      <c r="A53" t="s">
        <v>3850</v>
      </c>
      <c r="B53" t="s">
        <v>222</v>
      </c>
      <c r="C53" t="s">
        <v>3769</v>
      </c>
      <c r="D53" t="s">
        <v>3736</v>
      </c>
      <c r="E53" t="s">
        <v>1649</v>
      </c>
      <c r="F53">
        <v>1</v>
      </c>
      <c r="G53">
        <v>2</v>
      </c>
      <c r="H53" t="s">
        <v>3744</v>
      </c>
      <c r="I53" t="s">
        <v>3851</v>
      </c>
      <c r="J53" t="s">
        <v>7672</v>
      </c>
      <c r="K53" t="s">
        <v>3850</v>
      </c>
      <c r="L53" t="s">
        <v>3852</v>
      </c>
      <c r="M53" t="s">
        <v>8048</v>
      </c>
    </row>
    <row r="54" spans="1:13" x14ac:dyDescent="0.25">
      <c r="A54" t="s">
        <v>3853</v>
      </c>
      <c r="B54" t="s">
        <v>222</v>
      </c>
      <c r="C54" t="s">
        <v>3769</v>
      </c>
      <c r="D54" t="s">
        <v>3736</v>
      </c>
      <c r="E54" t="s">
        <v>1649</v>
      </c>
      <c r="F54">
        <v>1</v>
      </c>
      <c r="G54">
        <v>2</v>
      </c>
      <c r="H54" t="s">
        <v>3744</v>
      </c>
      <c r="I54" t="s">
        <v>3854</v>
      </c>
      <c r="J54" t="s">
        <v>3452</v>
      </c>
      <c r="K54" t="s">
        <v>3855</v>
      </c>
      <c r="L54" t="s">
        <v>3856</v>
      </c>
      <c r="M54" t="s">
        <v>8048</v>
      </c>
    </row>
    <row r="55" spans="1:13" x14ac:dyDescent="0.25">
      <c r="A55" t="s">
        <v>3857</v>
      </c>
      <c r="B55" t="s">
        <v>222</v>
      </c>
      <c r="C55" t="s">
        <v>3769</v>
      </c>
      <c r="D55" t="s">
        <v>3736</v>
      </c>
      <c r="E55" t="s">
        <v>1129</v>
      </c>
      <c r="F55">
        <v>1</v>
      </c>
      <c r="G55">
        <v>2</v>
      </c>
      <c r="H55" t="s">
        <v>3831</v>
      </c>
      <c r="I55" t="s">
        <v>3858</v>
      </c>
      <c r="J55" t="s">
        <v>3452</v>
      </c>
      <c r="K55" t="s">
        <v>3857</v>
      </c>
      <c r="M55" t="s">
        <v>8048</v>
      </c>
    </row>
    <row r="56" spans="1:13" x14ac:dyDescent="0.25">
      <c r="A56" t="s">
        <v>3859</v>
      </c>
      <c r="B56" t="s">
        <v>222</v>
      </c>
      <c r="C56" t="s">
        <v>3783</v>
      </c>
      <c r="D56" t="s">
        <v>3736</v>
      </c>
      <c r="E56" t="s">
        <v>501</v>
      </c>
      <c r="F56">
        <v>1</v>
      </c>
      <c r="G56">
        <v>3</v>
      </c>
      <c r="H56" t="s">
        <v>3831</v>
      </c>
      <c r="I56" t="s">
        <v>3860</v>
      </c>
      <c r="J56" t="s">
        <v>7458</v>
      </c>
      <c r="K56" t="s">
        <v>3861</v>
      </c>
      <c r="M56" t="s">
        <v>8048</v>
      </c>
    </row>
    <row r="57" spans="1:13" x14ac:dyDescent="0.25">
      <c r="A57" t="s">
        <v>7960</v>
      </c>
      <c r="B57" t="s">
        <v>222</v>
      </c>
      <c r="C57" t="s">
        <v>3783</v>
      </c>
      <c r="D57" t="s">
        <v>3736</v>
      </c>
      <c r="E57" t="s">
        <v>1649</v>
      </c>
      <c r="F57">
        <v>1</v>
      </c>
      <c r="G57">
        <v>3</v>
      </c>
      <c r="H57" t="s">
        <v>3737</v>
      </c>
      <c r="I57" t="s">
        <v>7963</v>
      </c>
      <c r="J57" t="s">
        <v>7961</v>
      </c>
      <c r="K57" t="s">
        <v>7965</v>
      </c>
      <c r="L57" t="s">
        <v>7964</v>
      </c>
      <c r="M57" t="s">
        <v>8048</v>
      </c>
    </row>
    <row r="58" spans="1:13" x14ac:dyDescent="0.25">
      <c r="A58" t="s">
        <v>3862</v>
      </c>
      <c r="B58" t="s">
        <v>222</v>
      </c>
      <c r="C58" t="s">
        <v>3783</v>
      </c>
      <c r="D58" t="s">
        <v>3736</v>
      </c>
      <c r="E58" t="s">
        <v>1649</v>
      </c>
      <c r="F58">
        <v>1</v>
      </c>
      <c r="G58">
        <v>3</v>
      </c>
      <c r="H58" t="s">
        <v>3744</v>
      </c>
      <c r="I58" t="s">
        <v>3863</v>
      </c>
      <c r="K58" t="s">
        <v>3864</v>
      </c>
      <c r="L58" t="s">
        <v>3865</v>
      </c>
      <c r="M58" t="s">
        <v>8048</v>
      </c>
    </row>
    <row r="59" spans="1:13" x14ac:dyDescent="0.25">
      <c r="A59" t="s">
        <v>1168</v>
      </c>
      <c r="B59" t="s">
        <v>222</v>
      </c>
      <c r="C59" t="s">
        <v>3903</v>
      </c>
      <c r="D59" t="s">
        <v>3736</v>
      </c>
      <c r="E59" t="s">
        <v>1649</v>
      </c>
      <c r="F59">
        <v>1</v>
      </c>
      <c r="G59">
        <v>4</v>
      </c>
      <c r="H59" t="s">
        <v>3744</v>
      </c>
      <c r="I59" t="s">
        <v>7680</v>
      </c>
      <c r="J59" t="s">
        <v>7686</v>
      </c>
      <c r="K59" t="s">
        <v>1168</v>
      </c>
      <c r="L59" t="s">
        <v>458</v>
      </c>
      <c r="M59" t="s">
        <v>8048</v>
      </c>
    </row>
    <row r="60" spans="1:13" x14ac:dyDescent="0.25">
      <c r="A60" t="s">
        <v>7957</v>
      </c>
      <c r="B60" t="s">
        <v>222</v>
      </c>
      <c r="C60" t="s">
        <v>3903</v>
      </c>
      <c r="D60" t="s">
        <v>3736</v>
      </c>
      <c r="E60" t="s">
        <v>1649</v>
      </c>
      <c r="F60">
        <v>1</v>
      </c>
      <c r="G60">
        <v>4</v>
      </c>
      <c r="H60" t="s">
        <v>3737</v>
      </c>
      <c r="I60" t="s">
        <v>7958</v>
      </c>
      <c r="J60" t="s">
        <v>3452</v>
      </c>
      <c r="K60" t="s">
        <v>7959</v>
      </c>
      <c r="L60" t="s">
        <v>3856</v>
      </c>
      <c r="M60" t="s">
        <v>8048</v>
      </c>
    </row>
    <row r="61" spans="1:13" x14ac:dyDescent="0.25">
      <c r="A61" t="s">
        <v>7880</v>
      </c>
      <c r="B61" t="s">
        <v>179</v>
      </c>
      <c r="C61" t="s">
        <v>3735</v>
      </c>
      <c r="D61" t="s">
        <v>3736</v>
      </c>
      <c r="E61" t="s">
        <v>1795</v>
      </c>
      <c r="F61">
        <v>1</v>
      </c>
      <c r="G61">
        <v>1</v>
      </c>
      <c r="H61" t="s">
        <v>3825</v>
      </c>
      <c r="I61" t="s">
        <v>8068</v>
      </c>
      <c r="J61" t="s">
        <v>3452</v>
      </c>
      <c r="K61" t="s">
        <v>7881</v>
      </c>
      <c r="M61" t="s">
        <v>8049</v>
      </c>
    </row>
    <row r="62" spans="1:13" x14ac:dyDescent="0.25">
      <c r="A62" t="s">
        <v>3866</v>
      </c>
      <c r="B62" t="s">
        <v>179</v>
      </c>
      <c r="C62" t="s">
        <v>3735</v>
      </c>
      <c r="D62" t="s">
        <v>3736</v>
      </c>
      <c r="E62" t="s">
        <v>1795</v>
      </c>
      <c r="F62">
        <v>1</v>
      </c>
      <c r="G62">
        <v>1</v>
      </c>
      <c r="H62" t="s">
        <v>3831</v>
      </c>
      <c r="I62" t="s">
        <v>3867</v>
      </c>
      <c r="J62" t="s">
        <v>7459</v>
      </c>
      <c r="K62" t="s">
        <v>3866</v>
      </c>
      <c r="M62" t="s">
        <v>8048</v>
      </c>
    </row>
    <row r="63" spans="1:13" x14ac:dyDescent="0.25">
      <c r="A63" t="s">
        <v>7673</v>
      </c>
      <c r="B63" t="s">
        <v>179</v>
      </c>
      <c r="C63" t="s">
        <v>3735</v>
      </c>
      <c r="D63" t="s">
        <v>3736</v>
      </c>
      <c r="E63" t="s">
        <v>689</v>
      </c>
      <c r="F63">
        <v>1</v>
      </c>
      <c r="G63">
        <v>1</v>
      </c>
      <c r="H63" t="s">
        <v>3737</v>
      </c>
      <c r="I63" t="s">
        <v>7674</v>
      </c>
      <c r="J63" t="s">
        <v>3452</v>
      </c>
      <c r="K63" t="s">
        <v>7673</v>
      </c>
      <c r="L63" t="s">
        <v>7675</v>
      </c>
      <c r="M63" t="s">
        <v>8048</v>
      </c>
    </row>
    <row r="64" spans="1:13" x14ac:dyDescent="0.25">
      <c r="A64" t="s">
        <v>3868</v>
      </c>
      <c r="B64" t="s">
        <v>179</v>
      </c>
      <c r="C64" t="s">
        <v>3769</v>
      </c>
      <c r="D64" t="s">
        <v>3736</v>
      </c>
      <c r="E64" t="s">
        <v>1795</v>
      </c>
      <c r="F64">
        <v>1</v>
      </c>
      <c r="G64">
        <v>2</v>
      </c>
      <c r="H64" t="s">
        <v>3825</v>
      </c>
      <c r="I64" t="s">
        <v>8069</v>
      </c>
      <c r="J64" t="s">
        <v>7390</v>
      </c>
      <c r="K64" t="s">
        <v>3869</v>
      </c>
      <c r="M64" t="s">
        <v>8049</v>
      </c>
    </row>
    <row r="65" spans="1:13" x14ac:dyDescent="0.25">
      <c r="A65" t="s">
        <v>3870</v>
      </c>
      <c r="B65" t="s">
        <v>179</v>
      </c>
      <c r="C65" t="s">
        <v>3769</v>
      </c>
      <c r="D65" t="s">
        <v>3736</v>
      </c>
      <c r="E65" t="s">
        <v>1795</v>
      </c>
      <c r="F65">
        <v>1</v>
      </c>
      <c r="G65">
        <v>2</v>
      </c>
      <c r="H65" t="s">
        <v>3744</v>
      </c>
      <c r="I65" t="s">
        <v>3871</v>
      </c>
      <c r="J65" t="s">
        <v>7391</v>
      </c>
      <c r="K65" t="s">
        <v>3870</v>
      </c>
      <c r="M65" t="s">
        <v>8048</v>
      </c>
    </row>
    <row r="66" spans="1:13" x14ac:dyDescent="0.25">
      <c r="A66" t="s">
        <v>7877</v>
      </c>
      <c r="B66" t="s">
        <v>179</v>
      </c>
      <c r="C66" t="s">
        <v>3783</v>
      </c>
      <c r="D66" t="s">
        <v>3736</v>
      </c>
      <c r="E66" t="s">
        <v>553</v>
      </c>
      <c r="F66">
        <v>1</v>
      </c>
      <c r="G66">
        <v>3</v>
      </c>
      <c r="H66" t="s">
        <v>3744</v>
      </c>
      <c r="I66" t="s">
        <v>7878</v>
      </c>
      <c r="J66" t="s">
        <v>3452</v>
      </c>
      <c r="K66" t="s">
        <v>7879</v>
      </c>
      <c r="L66" t="s">
        <v>3812</v>
      </c>
      <c r="M66" t="s">
        <v>8048</v>
      </c>
    </row>
    <row r="67" spans="1:13" x14ac:dyDescent="0.25">
      <c r="A67" t="s">
        <v>3872</v>
      </c>
      <c r="B67" t="s">
        <v>179</v>
      </c>
      <c r="C67" t="s">
        <v>3783</v>
      </c>
      <c r="D67" t="s">
        <v>3736</v>
      </c>
      <c r="E67" t="s">
        <v>1795</v>
      </c>
      <c r="F67">
        <v>1</v>
      </c>
      <c r="G67">
        <v>3</v>
      </c>
      <c r="H67" t="s">
        <v>3744</v>
      </c>
      <c r="I67" t="s">
        <v>3873</v>
      </c>
      <c r="J67" t="s">
        <v>3452</v>
      </c>
      <c r="K67" t="s">
        <v>3872</v>
      </c>
      <c r="M67" t="s">
        <v>8048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7461</v>
      </c>
      <c r="N1" t="s">
        <v>8047</v>
      </c>
      <c r="O1" t="s">
        <v>8025</v>
      </c>
    </row>
    <row r="2" spans="1:15" x14ac:dyDescent="0.25">
      <c r="A2" t="s">
        <v>12698</v>
      </c>
      <c r="B2" t="s">
        <v>176</v>
      </c>
      <c r="C2" t="s">
        <v>3735</v>
      </c>
      <c r="D2" t="s">
        <v>3785</v>
      </c>
      <c r="E2" t="s">
        <v>2619</v>
      </c>
      <c r="F2">
        <v>1</v>
      </c>
      <c r="G2">
        <v>3</v>
      </c>
      <c r="H2" t="s">
        <v>3737</v>
      </c>
      <c r="I2" t="s">
        <v>12699</v>
      </c>
      <c r="J2" t="s">
        <v>3452</v>
      </c>
      <c r="K2" t="s">
        <v>12700</v>
      </c>
      <c r="N2" t="s">
        <v>8048</v>
      </c>
    </row>
    <row r="3" spans="1:15" x14ac:dyDescent="0.25">
      <c r="A3" t="s">
        <v>3874</v>
      </c>
      <c r="B3" t="s">
        <v>176</v>
      </c>
      <c r="C3" t="s">
        <v>3735</v>
      </c>
      <c r="D3" t="s">
        <v>3785</v>
      </c>
      <c r="E3" t="s">
        <v>1046</v>
      </c>
      <c r="F3">
        <v>1</v>
      </c>
      <c r="G3">
        <v>3</v>
      </c>
      <c r="H3" t="s">
        <v>3748</v>
      </c>
      <c r="I3" t="s">
        <v>8073</v>
      </c>
      <c r="J3" t="s">
        <v>7442</v>
      </c>
      <c r="K3" t="s">
        <v>3874</v>
      </c>
      <c r="L3" t="s">
        <v>3875</v>
      </c>
      <c r="N3" t="s">
        <v>8048</v>
      </c>
    </row>
    <row r="4" spans="1:15" x14ac:dyDescent="0.25">
      <c r="A4" t="s">
        <v>3876</v>
      </c>
      <c r="B4" t="s">
        <v>176</v>
      </c>
      <c r="C4" t="s">
        <v>3735</v>
      </c>
      <c r="D4" t="s">
        <v>3785</v>
      </c>
      <c r="E4" t="s">
        <v>1752</v>
      </c>
      <c r="F4">
        <v>1</v>
      </c>
      <c r="G4">
        <v>3</v>
      </c>
      <c r="H4" t="s">
        <v>3737</v>
      </c>
      <c r="I4" t="s">
        <v>3877</v>
      </c>
      <c r="J4" t="s">
        <v>3452</v>
      </c>
      <c r="K4" t="s">
        <v>3878</v>
      </c>
      <c r="L4" t="s">
        <v>3879</v>
      </c>
      <c r="N4" t="s">
        <v>8048</v>
      </c>
    </row>
    <row r="5" spans="1:15" x14ac:dyDescent="0.25">
      <c r="A5" t="s">
        <v>3880</v>
      </c>
      <c r="B5" t="s">
        <v>176</v>
      </c>
      <c r="C5" t="s">
        <v>3735</v>
      </c>
      <c r="D5" t="s">
        <v>3785</v>
      </c>
      <c r="E5" t="s">
        <v>2132</v>
      </c>
      <c r="F5">
        <v>1</v>
      </c>
      <c r="G5">
        <v>3</v>
      </c>
      <c r="H5" t="s">
        <v>3831</v>
      </c>
      <c r="I5" t="s">
        <v>3881</v>
      </c>
      <c r="J5" t="s">
        <v>7373</v>
      </c>
      <c r="K5" t="s">
        <v>3880</v>
      </c>
      <c r="N5" t="s">
        <v>8048</v>
      </c>
    </row>
    <row r="6" spans="1:15" x14ac:dyDescent="0.25">
      <c r="A6" t="s">
        <v>3882</v>
      </c>
      <c r="B6" t="s">
        <v>176</v>
      </c>
      <c r="C6" t="s">
        <v>3735</v>
      </c>
      <c r="D6" t="s">
        <v>3736</v>
      </c>
      <c r="E6" t="s">
        <v>160</v>
      </c>
      <c r="F6">
        <v>1</v>
      </c>
      <c r="G6">
        <v>3</v>
      </c>
      <c r="H6" t="s">
        <v>3825</v>
      </c>
      <c r="I6" t="s">
        <v>8070</v>
      </c>
      <c r="J6" t="s">
        <v>7450</v>
      </c>
      <c r="K6" t="s">
        <v>3882</v>
      </c>
      <c r="N6" t="s">
        <v>8049</v>
      </c>
    </row>
    <row r="7" spans="1:15" x14ac:dyDescent="0.25">
      <c r="A7" t="s">
        <v>7352</v>
      </c>
      <c r="B7" t="s">
        <v>176</v>
      </c>
      <c r="C7" t="s">
        <v>3735</v>
      </c>
      <c r="D7" t="s">
        <v>3785</v>
      </c>
      <c r="E7" t="s">
        <v>2173</v>
      </c>
      <c r="F7">
        <v>1</v>
      </c>
      <c r="G7">
        <v>3</v>
      </c>
      <c r="H7" t="s">
        <v>3744</v>
      </c>
      <c r="I7" t="s">
        <v>7353</v>
      </c>
      <c r="J7" t="s">
        <v>3452</v>
      </c>
      <c r="K7" t="s">
        <v>7352</v>
      </c>
      <c r="L7" t="s">
        <v>4563</v>
      </c>
      <c r="N7" t="s">
        <v>8048</v>
      </c>
    </row>
    <row r="8" spans="1:15" x14ac:dyDescent="0.25">
      <c r="A8" t="s">
        <v>3883</v>
      </c>
      <c r="B8" t="s">
        <v>176</v>
      </c>
      <c r="C8" t="s">
        <v>3735</v>
      </c>
      <c r="D8" t="s">
        <v>3785</v>
      </c>
      <c r="E8" t="s">
        <v>2619</v>
      </c>
      <c r="F8">
        <v>1</v>
      </c>
      <c r="G8">
        <v>3</v>
      </c>
      <c r="H8" t="s">
        <v>3737</v>
      </c>
      <c r="I8" t="s">
        <v>3884</v>
      </c>
      <c r="J8" t="s">
        <v>7452</v>
      </c>
      <c r="K8" t="s">
        <v>3885</v>
      </c>
      <c r="N8" t="s">
        <v>8048</v>
      </c>
    </row>
    <row r="9" spans="1:15" x14ac:dyDescent="0.25">
      <c r="A9" t="s">
        <v>3886</v>
      </c>
      <c r="B9" t="s">
        <v>176</v>
      </c>
      <c r="C9" t="s">
        <v>3735</v>
      </c>
      <c r="D9" t="s">
        <v>3736</v>
      </c>
      <c r="E9" t="s">
        <v>1294</v>
      </c>
      <c r="F9">
        <v>1</v>
      </c>
      <c r="G9">
        <v>3</v>
      </c>
      <c r="H9" t="s">
        <v>3748</v>
      </c>
      <c r="I9" t="s">
        <v>3887</v>
      </c>
      <c r="J9" t="s">
        <v>3452</v>
      </c>
      <c r="K9" t="s">
        <v>3886</v>
      </c>
      <c r="N9" t="s">
        <v>8048</v>
      </c>
    </row>
    <row r="10" spans="1:15" x14ac:dyDescent="0.25">
      <c r="A10" t="s">
        <v>3888</v>
      </c>
      <c r="B10" t="s">
        <v>176</v>
      </c>
      <c r="C10" t="s">
        <v>3735</v>
      </c>
      <c r="D10" t="s">
        <v>3736</v>
      </c>
      <c r="E10" t="s">
        <v>160</v>
      </c>
      <c r="F10">
        <v>1</v>
      </c>
      <c r="G10">
        <v>3</v>
      </c>
      <c r="H10" t="s">
        <v>3831</v>
      </c>
      <c r="I10" t="s">
        <v>3889</v>
      </c>
      <c r="J10" t="s">
        <v>3452</v>
      </c>
      <c r="K10" t="s">
        <v>3888</v>
      </c>
      <c r="N10" t="s">
        <v>8048</v>
      </c>
    </row>
    <row r="11" spans="1:15" x14ac:dyDescent="0.25">
      <c r="A11" t="s">
        <v>7890</v>
      </c>
      <c r="B11" t="s">
        <v>176</v>
      </c>
      <c r="C11" t="s">
        <v>3735</v>
      </c>
      <c r="D11" t="s">
        <v>3736</v>
      </c>
      <c r="E11" t="s">
        <v>2619</v>
      </c>
      <c r="F11">
        <v>1</v>
      </c>
      <c r="G11">
        <v>3</v>
      </c>
      <c r="H11" t="s">
        <v>3744</v>
      </c>
      <c r="I11" t="s">
        <v>7891</v>
      </c>
      <c r="J11" t="s">
        <v>3452</v>
      </c>
      <c r="K11" t="s">
        <v>7892</v>
      </c>
      <c r="N11" t="s">
        <v>8048</v>
      </c>
    </row>
    <row r="12" spans="1:15" x14ac:dyDescent="0.25">
      <c r="A12" t="s">
        <v>3890</v>
      </c>
      <c r="B12" t="s">
        <v>176</v>
      </c>
      <c r="C12" t="s">
        <v>3769</v>
      </c>
      <c r="D12" t="s">
        <v>3891</v>
      </c>
      <c r="E12" t="s">
        <v>1294</v>
      </c>
      <c r="F12">
        <v>1</v>
      </c>
      <c r="G12">
        <v>5</v>
      </c>
      <c r="H12" t="s">
        <v>3748</v>
      </c>
      <c r="I12" t="s">
        <v>3892</v>
      </c>
      <c r="J12" t="s">
        <v>3452</v>
      </c>
      <c r="K12" t="s">
        <v>3890</v>
      </c>
      <c r="N12" t="s">
        <v>8048</v>
      </c>
    </row>
    <row r="13" spans="1:15" x14ac:dyDescent="0.25">
      <c r="A13" t="s">
        <v>3893</v>
      </c>
      <c r="B13" t="s">
        <v>176</v>
      </c>
      <c r="C13" t="s">
        <v>3769</v>
      </c>
      <c r="D13" t="s">
        <v>3736</v>
      </c>
      <c r="E13" t="s">
        <v>160</v>
      </c>
      <c r="F13">
        <v>1</v>
      </c>
      <c r="G13">
        <v>5</v>
      </c>
      <c r="H13" t="s">
        <v>3744</v>
      </c>
      <c r="I13" t="s">
        <v>3894</v>
      </c>
      <c r="J13" t="s">
        <v>3452</v>
      </c>
      <c r="K13" t="s">
        <v>3895</v>
      </c>
      <c r="N13" t="s">
        <v>8048</v>
      </c>
    </row>
    <row r="14" spans="1:15" x14ac:dyDescent="0.25">
      <c r="A14" t="s">
        <v>7873</v>
      </c>
      <c r="B14" t="s">
        <v>176</v>
      </c>
      <c r="C14" t="s">
        <v>3769</v>
      </c>
      <c r="D14" t="s">
        <v>3736</v>
      </c>
      <c r="E14" t="s">
        <v>1046</v>
      </c>
      <c r="F14">
        <v>1</v>
      </c>
      <c r="G14">
        <v>5</v>
      </c>
      <c r="H14" t="s">
        <v>3744</v>
      </c>
      <c r="I14" t="s">
        <v>7874</v>
      </c>
      <c r="J14" t="s">
        <v>3452</v>
      </c>
      <c r="K14" t="s">
        <v>7875</v>
      </c>
      <c r="L14" t="s">
        <v>7876</v>
      </c>
      <c r="N14" t="s">
        <v>8048</v>
      </c>
    </row>
    <row r="15" spans="1:15" x14ac:dyDescent="0.25">
      <c r="A15" t="s">
        <v>3896</v>
      </c>
      <c r="B15" t="s">
        <v>176</v>
      </c>
      <c r="C15" t="s">
        <v>3769</v>
      </c>
      <c r="D15" t="s">
        <v>3736</v>
      </c>
      <c r="E15" t="s">
        <v>1029</v>
      </c>
      <c r="F15">
        <v>1</v>
      </c>
      <c r="G15">
        <v>5</v>
      </c>
      <c r="H15" t="s">
        <v>3744</v>
      </c>
      <c r="I15" t="s">
        <v>3897</v>
      </c>
      <c r="J15" t="s">
        <v>7440</v>
      </c>
      <c r="K15" t="s">
        <v>3898</v>
      </c>
      <c r="N15" t="s">
        <v>8048</v>
      </c>
    </row>
    <row r="16" spans="1:15" x14ac:dyDescent="0.25">
      <c r="A16" t="s">
        <v>3899</v>
      </c>
      <c r="B16" t="s">
        <v>176</v>
      </c>
      <c r="C16" t="s">
        <v>3769</v>
      </c>
      <c r="D16" t="s">
        <v>3736</v>
      </c>
      <c r="E16" t="s">
        <v>1298</v>
      </c>
      <c r="F16">
        <v>1</v>
      </c>
      <c r="G16">
        <v>5</v>
      </c>
      <c r="H16" t="s">
        <v>3744</v>
      </c>
      <c r="I16" t="s">
        <v>3900</v>
      </c>
      <c r="J16" t="s">
        <v>3452</v>
      </c>
      <c r="K16" t="s">
        <v>3899</v>
      </c>
      <c r="N16" t="s">
        <v>8048</v>
      </c>
    </row>
    <row r="17" spans="1:14" x14ac:dyDescent="0.25">
      <c r="A17" t="s">
        <v>7888</v>
      </c>
      <c r="B17" t="s">
        <v>176</v>
      </c>
      <c r="C17" t="s">
        <v>3769</v>
      </c>
      <c r="D17" t="s">
        <v>7889</v>
      </c>
      <c r="E17" t="s">
        <v>1046</v>
      </c>
      <c r="F17">
        <v>1</v>
      </c>
      <c r="G17">
        <v>5</v>
      </c>
      <c r="H17" t="s">
        <v>3744</v>
      </c>
      <c r="I17" t="s">
        <v>7887</v>
      </c>
      <c r="J17" t="s">
        <v>3452</v>
      </c>
      <c r="K17" t="s">
        <v>7888</v>
      </c>
      <c r="N17" t="s">
        <v>8048</v>
      </c>
    </row>
    <row r="18" spans="1:14" x14ac:dyDescent="0.25">
      <c r="A18" t="s">
        <v>3462</v>
      </c>
      <c r="B18" t="s">
        <v>176</v>
      </c>
      <c r="C18" t="s">
        <v>3783</v>
      </c>
      <c r="D18" t="s">
        <v>3736</v>
      </c>
      <c r="E18" t="s">
        <v>160</v>
      </c>
      <c r="F18">
        <v>1</v>
      </c>
      <c r="G18">
        <v>7</v>
      </c>
      <c r="H18" t="s">
        <v>3737</v>
      </c>
      <c r="I18" t="s">
        <v>3901</v>
      </c>
      <c r="J18" t="s">
        <v>3452</v>
      </c>
      <c r="K18" t="s">
        <v>3462</v>
      </c>
      <c r="N18" t="s">
        <v>8048</v>
      </c>
    </row>
    <row r="19" spans="1:14" x14ac:dyDescent="0.25">
      <c r="A19" t="s">
        <v>3902</v>
      </c>
      <c r="B19" t="s">
        <v>176</v>
      </c>
      <c r="C19" t="s">
        <v>3903</v>
      </c>
      <c r="D19" t="s">
        <v>3780</v>
      </c>
      <c r="E19" t="s">
        <v>1046</v>
      </c>
      <c r="F19">
        <v>1</v>
      </c>
      <c r="G19">
        <v>9</v>
      </c>
      <c r="H19" t="s">
        <v>3737</v>
      </c>
      <c r="I19" t="s">
        <v>3904</v>
      </c>
      <c r="J19" t="s">
        <v>3452</v>
      </c>
      <c r="K19" t="s">
        <v>3902</v>
      </c>
      <c r="L19" t="s">
        <v>3755</v>
      </c>
      <c r="N19" t="s">
        <v>8048</v>
      </c>
    </row>
    <row r="20" spans="1:14" x14ac:dyDescent="0.25">
      <c r="A20" t="s">
        <v>14061</v>
      </c>
      <c r="B20" t="s">
        <v>176</v>
      </c>
      <c r="C20" t="s">
        <v>3903</v>
      </c>
      <c r="D20" t="s">
        <v>3952</v>
      </c>
      <c r="E20" t="s">
        <v>2619</v>
      </c>
      <c r="F20">
        <v>1</v>
      </c>
      <c r="G20">
        <v>9</v>
      </c>
      <c r="H20" t="s">
        <v>3737</v>
      </c>
      <c r="I20" t="s">
        <v>14060</v>
      </c>
      <c r="J20" t="s">
        <v>7373</v>
      </c>
      <c r="K20" t="s">
        <v>14062</v>
      </c>
      <c r="N20" t="s">
        <v>8048</v>
      </c>
    </row>
    <row r="21" spans="1:14" x14ac:dyDescent="0.25">
      <c r="A21" t="s">
        <v>7893</v>
      </c>
      <c r="B21" t="s">
        <v>176</v>
      </c>
      <c r="C21" t="s">
        <v>3903</v>
      </c>
      <c r="D21" t="s">
        <v>3785</v>
      </c>
      <c r="E21" t="s">
        <v>709</v>
      </c>
      <c r="F21">
        <v>1</v>
      </c>
      <c r="G21">
        <v>9</v>
      </c>
      <c r="H21" t="s">
        <v>3744</v>
      </c>
      <c r="I21" t="s">
        <v>7894</v>
      </c>
      <c r="J21" t="s">
        <v>3452</v>
      </c>
      <c r="K21" t="s">
        <v>7895</v>
      </c>
      <c r="N21" t="s">
        <v>8048</v>
      </c>
    </row>
    <row r="22" spans="1:14" x14ac:dyDescent="0.25">
      <c r="A22" t="s">
        <v>7883</v>
      </c>
      <c r="B22" t="s">
        <v>182</v>
      </c>
      <c r="C22" t="s">
        <v>3735</v>
      </c>
      <c r="D22" t="s">
        <v>3736</v>
      </c>
      <c r="E22" t="s">
        <v>90</v>
      </c>
      <c r="F22">
        <v>1</v>
      </c>
      <c r="G22">
        <v>3</v>
      </c>
      <c r="H22" t="s">
        <v>3744</v>
      </c>
      <c r="I22" t="s">
        <v>7882</v>
      </c>
      <c r="J22" t="s">
        <v>3452</v>
      </c>
      <c r="K22" t="s">
        <v>7884</v>
      </c>
      <c r="N22" t="s">
        <v>8048</v>
      </c>
    </row>
    <row r="23" spans="1:14" x14ac:dyDescent="0.25">
      <c r="A23" t="s">
        <v>3905</v>
      </c>
      <c r="B23" t="s">
        <v>182</v>
      </c>
      <c r="C23" t="s">
        <v>3735</v>
      </c>
      <c r="D23" t="s">
        <v>3785</v>
      </c>
      <c r="E23" t="s">
        <v>90</v>
      </c>
      <c r="F23">
        <v>1</v>
      </c>
      <c r="G23">
        <v>3</v>
      </c>
      <c r="H23" t="s">
        <v>3744</v>
      </c>
      <c r="I23" t="s">
        <v>3906</v>
      </c>
      <c r="J23" t="s">
        <v>3452</v>
      </c>
      <c r="K23" t="s">
        <v>3907</v>
      </c>
      <c r="N23" t="s">
        <v>8048</v>
      </c>
    </row>
    <row r="24" spans="1:14" x14ac:dyDescent="0.25">
      <c r="A24" t="s">
        <v>14090</v>
      </c>
      <c r="B24" t="s">
        <v>182</v>
      </c>
      <c r="C24" t="s">
        <v>3735</v>
      </c>
      <c r="D24" t="s">
        <v>3785</v>
      </c>
      <c r="E24" t="s">
        <v>1951</v>
      </c>
      <c r="F24">
        <v>1</v>
      </c>
      <c r="G24">
        <v>3</v>
      </c>
      <c r="H24" t="s">
        <v>3744</v>
      </c>
      <c r="I24" t="s">
        <v>14092</v>
      </c>
      <c r="J24" t="s">
        <v>3452</v>
      </c>
      <c r="K24" t="s">
        <v>14091</v>
      </c>
      <c r="L24" t="s">
        <v>3820</v>
      </c>
      <c r="N24" t="s">
        <v>8048</v>
      </c>
    </row>
    <row r="25" spans="1:14" x14ac:dyDescent="0.25">
      <c r="A25" t="s">
        <v>3908</v>
      </c>
      <c r="B25" t="s">
        <v>182</v>
      </c>
      <c r="C25" t="s">
        <v>3735</v>
      </c>
      <c r="D25" t="s">
        <v>3736</v>
      </c>
      <c r="E25" t="s">
        <v>38</v>
      </c>
      <c r="F25">
        <v>1</v>
      </c>
      <c r="G25">
        <v>3</v>
      </c>
      <c r="H25" t="s">
        <v>3744</v>
      </c>
      <c r="I25" t="s">
        <v>3909</v>
      </c>
      <c r="J25" t="s">
        <v>7405</v>
      </c>
      <c r="K25" t="s">
        <v>3908</v>
      </c>
      <c r="N25" t="s">
        <v>8048</v>
      </c>
    </row>
    <row r="26" spans="1:14" x14ac:dyDescent="0.25">
      <c r="A26" t="s">
        <v>3910</v>
      </c>
      <c r="B26" t="s">
        <v>182</v>
      </c>
      <c r="C26" t="s">
        <v>3769</v>
      </c>
      <c r="D26" t="s">
        <v>3736</v>
      </c>
      <c r="E26" t="s">
        <v>353</v>
      </c>
      <c r="F26">
        <v>1</v>
      </c>
      <c r="G26">
        <v>5</v>
      </c>
      <c r="H26" t="s">
        <v>3825</v>
      </c>
      <c r="I26" t="s">
        <v>8063</v>
      </c>
      <c r="J26" t="s">
        <v>3452</v>
      </c>
      <c r="K26" t="s">
        <v>3911</v>
      </c>
      <c r="N26" t="s">
        <v>8049</v>
      </c>
    </row>
    <row r="27" spans="1:14" x14ac:dyDescent="0.25">
      <c r="A27" t="s">
        <v>3912</v>
      </c>
      <c r="B27" t="s">
        <v>182</v>
      </c>
      <c r="C27" t="s">
        <v>3769</v>
      </c>
      <c r="D27" t="s">
        <v>3736</v>
      </c>
      <c r="E27" t="s">
        <v>353</v>
      </c>
      <c r="F27">
        <v>1</v>
      </c>
      <c r="G27">
        <v>5</v>
      </c>
      <c r="H27" t="s">
        <v>3825</v>
      </c>
      <c r="I27" t="s">
        <v>8066</v>
      </c>
      <c r="J27" t="s">
        <v>3452</v>
      </c>
      <c r="K27" t="s">
        <v>3913</v>
      </c>
      <c r="N27" t="s">
        <v>8049</v>
      </c>
    </row>
    <row r="28" spans="1:14" x14ac:dyDescent="0.25">
      <c r="A28" t="s">
        <v>3914</v>
      </c>
      <c r="B28" t="s">
        <v>182</v>
      </c>
      <c r="C28" t="s">
        <v>3769</v>
      </c>
      <c r="D28" t="s">
        <v>3736</v>
      </c>
      <c r="E28" t="s">
        <v>353</v>
      </c>
      <c r="F28">
        <v>1</v>
      </c>
      <c r="G28">
        <v>5</v>
      </c>
      <c r="H28" t="s">
        <v>3825</v>
      </c>
      <c r="I28" t="s">
        <v>8064</v>
      </c>
      <c r="J28" t="s">
        <v>3452</v>
      </c>
      <c r="K28" t="s">
        <v>3915</v>
      </c>
      <c r="N28" t="s">
        <v>8049</v>
      </c>
    </row>
    <row r="29" spans="1:14" x14ac:dyDescent="0.25">
      <c r="A29" t="s">
        <v>3916</v>
      </c>
      <c r="B29" t="s">
        <v>182</v>
      </c>
      <c r="C29" t="s">
        <v>3769</v>
      </c>
      <c r="D29" t="s">
        <v>3785</v>
      </c>
      <c r="E29" t="s">
        <v>38</v>
      </c>
      <c r="F29">
        <v>1</v>
      </c>
      <c r="G29">
        <v>5</v>
      </c>
      <c r="H29" t="s">
        <v>3737</v>
      </c>
      <c r="I29" t="s">
        <v>3917</v>
      </c>
      <c r="J29" t="s">
        <v>7456</v>
      </c>
      <c r="K29" t="s">
        <v>3918</v>
      </c>
      <c r="N29" t="s">
        <v>8048</v>
      </c>
    </row>
    <row r="30" spans="1:14" x14ac:dyDescent="0.25">
      <c r="A30" t="s">
        <v>3919</v>
      </c>
      <c r="B30" t="s">
        <v>182</v>
      </c>
      <c r="C30" t="s">
        <v>3769</v>
      </c>
      <c r="D30" t="s">
        <v>3736</v>
      </c>
      <c r="E30" t="s">
        <v>353</v>
      </c>
      <c r="F30">
        <v>1</v>
      </c>
      <c r="G30">
        <v>5</v>
      </c>
      <c r="H30" t="s">
        <v>3825</v>
      </c>
      <c r="I30" t="s">
        <v>8065</v>
      </c>
      <c r="J30" t="s">
        <v>3452</v>
      </c>
      <c r="K30" t="s">
        <v>3920</v>
      </c>
      <c r="N30" t="s">
        <v>8049</v>
      </c>
    </row>
    <row r="31" spans="1:14" x14ac:dyDescent="0.25">
      <c r="A31" t="s">
        <v>3921</v>
      </c>
      <c r="B31" t="s">
        <v>182</v>
      </c>
      <c r="C31" t="s">
        <v>3783</v>
      </c>
      <c r="D31" t="s">
        <v>3736</v>
      </c>
      <c r="E31" t="s">
        <v>353</v>
      </c>
      <c r="F31">
        <v>1</v>
      </c>
      <c r="G31">
        <v>7</v>
      </c>
      <c r="H31" t="s">
        <v>3825</v>
      </c>
      <c r="I31" t="s">
        <v>8079</v>
      </c>
      <c r="J31" t="s">
        <v>3452</v>
      </c>
      <c r="K31" t="s">
        <v>3923</v>
      </c>
      <c r="N31" t="s">
        <v>8049</v>
      </c>
    </row>
    <row r="32" spans="1:14" x14ac:dyDescent="0.25">
      <c r="A32" t="s">
        <v>7885</v>
      </c>
      <c r="B32" t="s">
        <v>182</v>
      </c>
      <c r="C32" t="s">
        <v>3783</v>
      </c>
      <c r="D32" t="s">
        <v>3736</v>
      </c>
      <c r="E32" t="s">
        <v>353</v>
      </c>
      <c r="F32">
        <v>1</v>
      </c>
      <c r="G32">
        <v>7</v>
      </c>
      <c r="H32" t="s">
        <v>3825</v>
      </c>
      <c r="I32" t="s">
        <v>8071</v>
      </c>
      <c r="J32" t="s">
        <v>3452</v>
      </c>
      <c r="K32" t="s">
        <v>7886</v>
      </c>
      <c r="N32" t="s">
        <v>8049</v>
      </c>
    </row>
    <row r="33" spans="1:14" x14ac:dyDescent="0.25">
      <c r="A33" t="s">
        <v>3924</v>
      </c>
      <c r="B33" t="s">
        <v>182</v>
      </c>
      <c r="C33" t="s">
        <v>3783</v>
      </c>
      <c r="D33" t="s">
        <v>3736</v>
      </c>
      <c r="E33" t="s">
        <v>90</v>
      </c>
      <c r="F33">
        <v>1</v>
      </c>
      <c r="G33">
        <v>7</v>
      </c>
      <c r="H33" t="s">
        <v>3825</v>
      </c>
      <c r="I33" t="s">
        <v>3925</v>
      </c>
      <c r="J33" t="s">
        <v>7426</v>
      </c>
      <c r="K33" t="s">
        <v>3926</v>
      </c>
      <c r="N33" t="s">
        <v>8049</v>
      </c>
    </row>
    <row r="34" spans="1:14" x14ac:dyDescent="0.25">
      <c r="A34" t="s">
        <v>3927</v>
      </c>
      <c r="B34" t="s">
        <v>182</v>
      </c>
      <c r="C34" t="s">
        <v>3903</v>
      </c>
      <c r="D34" t="s">
        <v>3785</v>
      </c>
      <c r="E34" t="s">
        <v>90</v>
      </c>
      <c r="F34">
        <v>1</v>
      </c>
      <c r="G34">
        <v>9</v>
      </c>
      <c r="H34" t="s">
        <v>3744</v>
      </c>
      <c r="I34" t="s">
        <v>3928</v>
      </c>
      <c r="J34" t="s">
        <v>7453</v>
      </c>
      <c r="K34" t="s">
        <v>3929</v>
      </c>
      <c r="N34" t="s">
        <v>8048</v>
      </c>
    </row>
    <row r="35" spans="1:14" x14ac:dyDescent="0.25">
      <c r="A35" t="s">
        <v>3930</v>
      </c>
      <c r="B35" t="s">
        <v>222</v>
      </c>
      <c r="C35" t="s">
        <v>3735</v>
      </c>
      <c r="D35" t="s">
        <v>3785</v>
      </c>
      <c r="E35" t="s">
        <v>1129</v>
      </c>
      <c r="F35">
        <v>1</v>
      </c>
      <c r="G35">
        <v>3</v>
      </c>
      <c r="H35" t="s">
        <v>3737</v>
      </c>
      <c r="I35" t="s">
        <v>3931</v>
      </c>
      <c r="J35" t="s">
        <v>3452</v>
      </c>
      <c r="K35" t="s">
        <v>3932</v>
      </c>
      <c r="L35" t="s">
        <v>3763</v>
      </c>
      <c r="N35" t="s">
        <v>8048</v>
      </c>
    </row>
    <row r="36" spans="1:14" x14ac:dyDescent="0.25">
      <c r="A36" t="s">
        <v>3933</v>
      </c>
      <c r="B36" t="s">
        <v>222</v>
      </c>
      <c r="C36" t="s">
        <v>3735</v>
      </c>
      <c r="D36" t="s">
        <v>3736</v>
      </c>
      <c r="E36" t="s">
        <v>501</v>
      </c>
      <c r="F36">
        <v>1</v>
      </c>
      <c r="G36">
        <v>3</v>
      </c>
      <c r="H36" t="s">
        <v>3744</v>
      </c>
      <c r="I36" t="s">
        <v>3934</v>
      </c>
      <c r="J36" t="s">
        <v>7447</v>
      </c>
      <c r="K36" t="s">
        <v>3933</v>
      </c>
      <c r="L36" t="s">
        <v>3668</v>
      </c>
      <c r="N36" t="s">
        <v>8048</v>
      </c>
    </row>
    <row r="37" spans="1:14" x14ac:dyDescent="0.25">
      <c r="A37" t="s">
        <v>3935</v>
      </c>
      <c r="B37" t="s">
        <v>222</v>
      </c>
      <c r="C37" t="s">
        <v>3735</v>
      </c>
      <c r="D37" t="s">
        <v>3736</v>
      </c>
      <c r="E37" t="s">
        <v>1649</v>
      </c>
      <c r="F37">
        <v>1</v>
      </c>
      <c r="G37">
        <v>3</v>
      </c>
      <c r="H37" t="s">
        <v>3744</v>
      </c>
      <c r="I37" t="s">
        <v>3936</v>
      </c>
      <c r="J37" t="s">
        <v>3452</v>
      </c>
      <c r="K37" t="s">
        <v>3935</v>
      </c>
      <c r="L37" t="s">
        <v>3856</v>
      </c>
      <c r="N37" t="s">
        <v>8048</v>
      </c>
    </row>
    <row r="38" spans="1:14" x14ac:dyDescent="0.25">
      <c r="A38" t="s">
        <v>3937</v>
      </c>
      <c r="B38" t="s">
        <v>222</v>
      </c>
      <c r="C38" t="s">
        <v>3735</v>
      </c>
      <c r="D38" t="s">
        <v>3785</v>
      </c>
      <c r="E38" t="s">
        <v>501</v>
      </c>
      <c r="F38">
        <v>1</v>
      </c>
      <c r="G38">
        <v>3</v>
      </c>
      <c r="H38" t="s">
        <v>3748</v>
      </c>
      <c r="I38" t="s">
        <v>3938</v>
      </c>
      <c r="J38" t="s">
        <v>3452</v>
      </c>
      <c r="K38" t="s">
        <v>3937</v>
      </c>
      <c r="L38" t="s">
        <v>3839</v>
      </c>
      <c r="N38" t="s">
        <v>8048</v>
      </c>
    </row>
    <row r="39" spans="1:14" x14ac:dyDescent="0.25">
      <c r="A39" t="s">
        <v>3939</v>
      </c>
      <c r="B39" t="s">
        <v>222</v>
      </c>
      <c r="C39" t="s">
        <v>3735</v>
      </c>
      <c r="D39" t="s">
        <v>3736</v>
      </c>
      <c r="E39" t="s">
        <v>1649</v>
      </c>
      <c r="F39">
        <v>1</v>
      </c>
      <c r="G39">
        <v>3</v>
      </c>
      <c r="H39" t="s">
        <v>3744</v>
      </c>
      <c r="I39" t="s">
        <v>3940</v>
      </c>
      <c r="J39" t="s">
        <v>7439</v>
      </c>
      <c r="K39" t="s">
        <v>3939</v>
      </c>
      <c r="L39" t="s">
        <v>3856</v>
      </c>
      <c r="N39" t="s">
        <v>8048</v>
      </c>
    </row>
    <row r="40" spans="1:14" x14ac:dyDescent="0.25">
      <c r="A40" t="s">
        <v>3941</v>
      </c>
      <c r="B40" t="s">
        <v>222</v>
      </c>
      <c r="C40" t="s">
        <v>3735</v>
      </c>
      <c r="D40" t="s">
        <v>3736</v>
      </c>
      <c r="E40" t="s">
        <v>501</v>
      </c>
      <c r="F40">
        <v>1</v>
      </c>
      <c r="G40">
        <v>3</v>
      </c>
      <c r="H40" t="s">
        <v>3737</v>
      </c>
      <c r="I40" t="s">
        <v>3942</v>
      </c>
      <c r="J40" t="s">
        <v>3452</v>
      </c>
      <c r="K40" t="s">
        <v>3943</v>
      </c>
      <c r="N40" t="s">
        <v>8048</v>
      </c>
    </row>
    <row r="41" spans="1:14" x14ac:dyDescent="0.25">
      <c r="A41" t="s">
        <v>7897</v>
      </c>
      <c r="B41" t="s">
        <v>222</v>
      </c>
      <c r="C41" t="s">
        <v>3769</v>
      </c>
      <c r="D41" t="s">
        <v>3780</v>
      </c>
      <c r="E41" t="s">
        <v>1649</v>
      </c>
      <c r="F41">
        <v>1</v>
      </c>
      <c r="G41">
        <v>5</v>
      </c>
      <c r="H41" t="s">
        <v>3744</v>
      </c>
      <c r="I41" t="s">
        <v>7898</v>
      </c>
      <c r="J41" t="s">
        <v>3452</v>
      </c>
      <c r="K41" t="s">
        <v>7896</v>
      </c>
      <c r="L41" t="s">
        <v>7899</v>
      </c>
      <c r="N41" t="s">
        <v>8048</v>
      </c>
    </row>
    <row r="42" spans="1:14" x14ac:dyDescent="0.25">
      <c r="A42" t="s">
        <v>3944</v>
      </c>
      <c r="B42" t="s">
        <v>222</v>
      </c>
      <c r="C42" t="s">
        <v>3769</v>
      </c>
      <c r="D42" t="s">
        <v>3736</v>
      </c>
      <c r="E42" t="s">
        <v>1649</v>
      </c>
      <c r="F42">
        <v>1</v>
      </c>
      <c r="G42">
        <v>5</v>
      </c>
      <c r="H42" t="s">
        <v>3744</v>
      </c>
      <c r="I42" t="s">
        <v>3945</v>
      </c>
      <c r="J42" t="s">
        <v>3452</v>
      </c>
      <c r="K42" t="s">
        <v>3944</v>
      </c>
      <c r="N42" t="s">
        <v>8048</v>
      </c>
    </row>
    <row r="43" spans="1:14" x14ac:dyDescent="0.25">
      <c r="A43" t="s">
        <v>7422</v>
      </c>
      <c r="B43" t="s">
        <v>222</v>
      </c>
      <c r="C43" t="s">
        <v>3769</v>
      </c>
      <c r="D43" t="s">
        <v>3785</v>
      </c>
      <c r="E43" t="s">
        <v>1649</v>
      </c>
      <c r="F43">
        <v>1</v>
      </c>
      <c r="G43">
        <v>5</v>
      </c>
      <c r="H43" t="s">
        <v>7462</v>
      </c>
      <c r="I43" t="s">
        <v>8080</v>
      </c>
      <c r="J43" t="s">
        <v>7451</v>
      </c>
      <c r="K43" t="s">
        <v>7463</v>
      </c>
      <c r="L43" t="s">
        <v>3856</v>
      </c>
      <c r="M43">
        <v>3</v>
      </c>
      <c r="N43" t="s">
        <v>8048</v>
      </c>
    </row>
    <row r="44" spans="1:14" x14ac:dyDescent="0.25">
      <c r="A44" t="s">
        <v>3946</v>
      </c>
      <c r="B44" t="s">
        <v>222</v>
      </c>
      <c r="C44" t="s">
        <v>3769</v>
      </c>
      <c r="D44" t="s">
        <v>3891</v>
      </c>
      <c r="E44" t="s">
        <v>1649</v>
      </c>
      <c r="F44">
        <v>1</v>
      </c>
      <c r="G44">
        <v>5</v>
      </c>
      <c r="H44" t="s">
        <v>3748</v>
      </c>
      <c r="I44" t="s">
        <v>3947</v>
      </c>
      <c r="J44" t="s">
        <v>7456</v>
      </c>
      <c r="K44" t="s">
        <v>3948</v>
      </c>
      <c r="N44" t="s">
        <v>8048</v>
      </c>
    </row>
    <row r="45" spans="1:14" x14ac:dyDescent="0.25">
      <c r="A45" t="s">
        <v>3949</v>
      </c>
      <c r="B45" t="s">
        <v>222</v>
      </c>
      <c r="C45" t="s">
        <v>3769</v>
      </c>
      <c r="D45" t="s">
        <v>3736</v>
      </c>
      <c r="E45" t="s">
        <v>1649</v>
      </c>
      <c r="F45">
        <v>1</v>
      </c>
      <c r="G45">
        <v>5</v>
      </c>
      <c r="H45" t="s">
        <v>3744</v>
      </c>
      <c r="I45" t="s">
        <v>3950</v>
      </c>
      <c r="J45" t="s">
        <v>3452</v>
      </c>
      <c r="K45" t="s">
        <v>3949</v>
      </c>
      <c r="L45" t="s">
        <v>3856</v>
      </c>
      <c r="N45" t="s">
        <v>8048</v>
      </c>
    </row>
    <row r="46" spans="1:14" x14ac:dyDescent="0.25">
      <c r="A46" t="s">
        <v>3951</v>
      </c>
      <c r="B46" t="s">
        <v>222</v>
      </c>
      <c r="C46" t="s">
        <v>3783</v>
      </c>
      <c r="D46" t="s">
        <v>3952</v>
      </c>
      <c r="E46" t="s">
        <v>1649</v>
      </c>
      <c r="F46">
        <v>1</v>
      </c>
      <c r="G46">
        <v>7</v>
      </c>
      <c r="H46" t="s">
        <v>3831</v>
      </c>
      <c r="I46" t="s">
        <v>3953</v>
      </c>
      <c r="J46" t="s">
        <v>7373</v>
      </c>
      <c r="K46" t="s">
        <v>3954</v>
      </c>
      <c r="N46" t="s">
        <v>8048</v>
      </c>
    </row>
    <row r="47" spans="1:14" x14ac:dyDescent="0.25">
      <c r="A47" t="s">
        <v>3955</v>
      </c>
      <c r="B47" t="s">
        <v>222</v>
      </c>
      <c r="C47" t="s">
        <v>3783</v>
      </c>
      <c r="D47" t="s">
        <v>3785</v>
      </c>
      <c r="E47" t="s">
        <v>1649</v>
      </c>
      <c r="F47">
        <v>1</v>
      </c>
      <c r="G47">
        <v>7</v>
      </c>
      <c r="H47" t="s">
        <v>3748</v>
      </c>
      <c r="I47" t="s">
        <v>3956</v>
      </c>
      <c r="J47" t="s">
        <v>7443</v>
      </c>
      <c r="K47" t="s">
        <v>3957</v>
      </c>
      <c r="N47" t="s">
        <v>8048</v>
      </c>
    </row>
    <row r="48" spans="1:14" x14ac:dyDescent="0.25">
      <c r="A48" t="s">
        <v>3958</v>
      </c>
      <c r="B48" t="s">
        <v>222</v>
      </c>
      <c r="C48" t="s">
        <v>3903</v>
      </c>
      <c r="D48" t="s">
        <v>3785</v>
      </c>
      <c r="E48" t="s">
        <v>1649</v>
      </c>
      <c r="F48">
        <v>1</v>
      </c>
      <c r="G48">
        <v>9</v>
      </c>
      <c r="H48" t="s">
        <v>3737</v>
      </c>
      <c r="I48" t="s">
        <v>8054</v>
      </c>
      <c r="J48" t="s">
        <v>3452</v>
      </c>
      <c r="K48" t="s">
        <v>3959</v>
      </c>
      <c r="L48" t="s">
        <v>3960</v>
      </c>
      <c r="N48" t="s">
        <v>8048</v>
      </c>
    </row>
    <row r="49" spans="1:14" x14ac:dyDescent="0.25">
      <c r="A49" t="s">
        <v>3961</v>
      </c>
      <c r="B49" t="s">
        <v>179</v>
      </c>
      <c r="C49" t="s">
        <v>3735</v>
      </c>
      <c r="D49" t="s">
        <v>3736</v>
      </c>
      <c r="E49" t="s">
        <v>689</v>
      </c>
      <c r="F49">
        <v>1</v>
      </c>
      <c r="G49">
        <v>3</v>
      </c>
      <c r="H49" t="s">
        <v>3825</v>
      </c>
      <c r="I49" t="s">
        <v>8059</v>
      </c>
      <c r="J49" t="s">
        <v>3452</v>
      </c>
      <c r="K49" t="s">
        <v>3961</v>
      </c>
      <c r="N49" t="s">
        <v>8049</v>
      </c>
    </row>
    <row r="50" spans="1:14" x14ac:dyDescent="0.25">
      <c r="A50" t="s">
        <v>3962</v>
      </c>
      <c r="B50" t="s">
        <v>179</v>
      </c>
      <c r="C50" t="s">
        <v>3769</v>
      </c>
      <c r="D50" t="s">
        <v>3736</v>
      </c>
      <c r="E50" t="s">
        <v>689</v>
      </c>
      <c r="F50">
        <v>1</v>
      </c>
      <c r="G50">
        <v>5</v>
      </c>
      <c r="H50" t="s">
        <v>3825</v>
      </c>
      <c r="I50" t="s">
        <v>8059</v>
      </c>
      <c r="J50" t="s">
        <v>3452</v>
      </c>
      <c r="K50" t="s">
        <v>3963</v>
      </c>
      <c r="N50" t="s">
        <v>8049</v>
      </c>
    </row>
    <row r="51" spans="1:14" x14ac:dyDescent="0.25">
      <c r="A51" t="s">
        <v>3964</v>
      </c>
      <c r="B51" t="s">
        <v>179</v>
      </c>
      <c r="C51" t="s">
        <v>3783</v>
      </c>
      <c r="D51" t="s">
        <v>3780</v>
      </c>
      <c r="E51" t="s">
        <v>2154</v>
      </c>
      <c r="F51">
        <v>1</v>
      </c>
      <c r="G51">
        <v>7</v>
      </c>
      <c r="H51" t="s">
        <v>3737</v>
      </c>
      <c r="I51" t="s">
        <v>3965</v>
      </c>
      <c r="J51" t="s">
        <v>7449</v>
      </c>
      <c r="K51" t="s">
        <v>3964</v>
      </c>
      <c r="N51" t="s">
        <v>8048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7376</v>
      </c>
      <c r="D1" t="s">
        <v>3447</v>
      </c>
      <c r="E1" t="s">
        <v>3490</v>
      </c>
    </row>
    <row r="2" spans="1:5" x14ac:dyDescent="0.25">
      <c r="A2" t="s">
        <v>7435</v>
      </c>
      <c r="B2" t="s">
        <v>7406</v>
      </c>
      <c r="C2" t="s">
        <v>7437</v>
      </c>
      <c r="D2" t="s">
        <v>7436</v>
      </c>
      <c r="E2" t="s">
        <v>7989</v>
      </c>
    </row>
    <row r="3" spans="1:5" x14ac:dyDescent="0.25">
      <c r="A3" t="s">
        <v>7464</v>
      </c>
      <c r="B3" t="s">
        <v>3673</v>
      </c>
      <c r="C3" t="s">
        <v>3452</v>
      </c>
      <c r="D3" t="s">
        <v>7465</v>
      </c>
      <c r="E3" t="s">
        <v>7990</v>
      </c>
    </row>
    <row r="4" spans="1:5" x14ac:dyDescent="0.25">
      <c r="A4" t="s">
        <v>7425</v>
      </c>
      <c r="B4" t="s">
        <v>3976</v>
      </c>
      <c r="C4" t="s">
        <v>7389</v>
      </c>
      <c r="D4" t="s">
        <v>7428</v>
      </c>
      <c r="E4" t="s">
        <v>7991</v>
      </c>
    </row>
    <row r="5" spans="1:5" x14ac:dyDescent="0.25">
      <c r="A5" t="s">
        <v>7395</v>
      </c>
      <c r="B5" t="s">
        <v>5279</v>
      </c>
      <c r="C5" t="s">
        <v>7384</v>
      </c>
      <c r="D5" t="s">
        <v>7397</v>
      </c>
      <c r="E5" t="s">
        <v>7992</v>
      </c>
    </row>
    <row r="6" spans="1:5" x14ac:dyDescent="0.25">
      <c r="A6" t="s">
        <v>7390</v>
      </c>
      <c r="B6" t="s">
        <v>5715</v>
      </c>
      <c r="C6" t="s">
        <v>7383</v>
      </c>
      <c r="D6" t="s">
        <v>7404</v>
      </c>
      <c r="E6" t="s">
        <v>7993</v>
      </c>
    </row>
    <row r="7" spans="1:5" x14ac:dyDescent="0.25">
      <c r="A7" t="s">
        <v>7441</v>
      </c>
      <c r="B7" t="s">
        <v>5715</v>
      </c>
      <c r="C7" t="s">
        <v>3452</v>
      </c>
      <c r="D7" t="s">
        <v>7455</v>
      </c>
      <c r="E7" t="s">
        <v>7994</v>
      </c>
    </row>
    <row r="8" spans="1:5" x14ac:dyDescent="0.25">
      <c r="A8" t="s">
        <v>7681</v>
      </c>
      <c r="B8" t="s">
        <v>5715</v>
      </c>
      <c r="C8" t="s">
        <v>7682</v>
      </c>
      <c r="D8" t="s">
        <v>7683</v>
      </c>
      <c r="E8" t="s">
        <v>7995</v>
      </c>
    </row>
    <row r="9" spans="1:5" x14ac:dyDescent="0.25">
      <c r="A9" t="s">
        <v>7684</v>
      </c>
      <c r="B9" t="s">
        <v>7377</v>
      </c>
      <c r="C9" t="s">
        <v>7379</v>
      </c>
      <c r="D9" t="s">
        <v>7685</v>
      </c>
      <c r="E9" t="s">
        <v>7996</v>
      </c>
    </row>
    <row r="10" spans="1:5" x14ac:dyDescent="0.25">
      <c r="A10" t="s">
        <v>5195</v>
      </c>
      <c r="B10" t="s">
        <v>7406</v>
      </c>
      <c r="C10" t="s">
        <v>7383</v>
      </c>
      <c r="D10" t="s">
        <v>7407</v>
      </c>
      <c r="E10" t="s">
        <v>7997</v>
      </c>
    </row>
    <row r="11" spans="1:5" x14ac:dyDescent="0.25">
      <c r="A11" t="s">
        <v>7381</v>
      </c>
      <c r="B11" t="s">
        <v>7382</v>
      </c>
      <c r="C11" t="s">
        <v>3452</v>
      </c>
      <c r="D11" t="s">
        <v>7414</v>
      </c>
      <c r="E11" t="s">
        <v>7998</v>
      </c>
    </row>
    <row r="12" spans="1:5" x14ac:dyDescent="0.25">
      <c r="A12" t="s">
        <v>1322</v>
      </c>
      <c r="B12" t="s">
        <v>3976</v>
      </c>
      <c r="C12" t="s">
        <v>7384</v>
      </c>
      <c r="D12" t="s">
        <v>7412</v>
      </c>
      <c r="E12" t="s">
        <v>7999</v>
      </c>
    </row>
    <row r="13" spans="1:5" x14ac:dyDescent="0.25">
      <c r="A13" t="s">
        <v>7403</v>
      </c>
      <c r="B13" t="s">
        <v>5715</v>
      </c>
      <c r="C13" t="s">
        <v>7383</v>
      </c>
      <c r="D13" t="s">
        <v>7466</v>
      </c>
      <c r="E13" t="s">
        <v>8000</v>
      </c>
    </row>
    <row r="14" spans="1:5" x14ac:dyDescent="0.25">
      <c r="A14" t="s">
        <v>7418</v>
      </c>
      <c r="B14" t="s">
        <v>7406</v>
      </c>
      <c r="C14" t="s">
        <v>3452</v>
      </c>
      <c r="D14" t="s">
        <v>7419</v>
      </c>
      <c r="E14" t="s">
        <v>8001</v>
      </c>
    </row>
    <row r="15" spans="1:5" x14ac:dyDescent="0.25">
      <c r="A15" t="s">
        <v>7416</v>
      </c>
      <c r="B15" t="s">
        <v>7377</v>
      </c>
      <c r="C15" t="s">
        <v>7379</v>
      </c>
      <c r="D15" t="s">
        <v>7417</v>
      </c>
      <c r="E15" t="s">
        <v>8002</v>
      </c>
    </row>
    <row r="16" spans="1:5" x14ac:dyDescent="0.25">
      <c r="A16" t="s">
        <v>7399</v>
      </c>
      <c r="B16" t="s">
        <v>3673</v>
      </c>
      <c r="C16" t="s">
        <v>3452</v>
      </c>
      <c r="D16" t="s">
        <v>7401</v>
      </c>
      <c r="E16" t="s">
        <v>8003</v>
      </c>
    </row>
    <row r="17" spans="1:5" x14ac:dyDescent="0.25">
      <c r="A17" t="s">
        <v>7445</v>
      </c>
      <c r="B17" t="s">
        <v>5715</v>
      </c>
      <c r="C17" t="s">
        <v>7389</v>
      </c>
      <c r="D17" t="s">
        <v>7446</v>
      </c>
      <c r="E17" t="s">
        <v>8004</v>
      </c>
    </row>
    <row r="18" spans="1:5" x14ac:dyDescent="0.25">
      <c r="A18" t="s">
        <v>7391</v>
      </c>
      <c r="B18" t="s">
        <v>3976</v>
      </c>
      <c r="C18" t="s">
        <v>3452</v>
      </c>
      <c r="D18" t="s">
        <v>7409</v>
      </c>
      <c r="E18" t="s">
        <v>8005</v>
      </c>
    </row>
    <row r="19" spans="1:5" x14ac:dyDescent="0.25">
      <c r="A19" t="s">
        <v>7405</v>
      </c>
      <c r="B19" t="s">
        <v>5715</v>
      </c>
      <c r="C19" t="s">
        <v>3452</v>
      </c>
      <c r="D19" t="s">
        <v>7467</v>
      </c>
      <c r="E19" t="s">
        <v>8006</v>
      </c>
    </row>
    <row r="20" spans="1:5" x14ac:dyDescent="0.25">
      <c r="A20" t="s">
        <v>7387</v>
      </c>
      <c r="B20" t="s">
        <v>5279</v>
      </c>
      <c r="C20" t="s">
        <v>7389</v>
      </c>
      <c r="D20" t="s">
        <v>7388</v>
      </c>
      <c r="E20" t="s">
        <v>8007</v>
      </c>
    </row>
    <row r="21" spans="1:5" x14ac:dyDescent="0.25">
      <c r="A21" t="s">
        <v>7380</v>
      </c>
      <c r="B21" t="s">
        <v>7377</v>
      </c>
      <c r="C21" t="s">
        <v>7383</v>
      </c>
      <c r="D21" t="s">
        <v>7411</v>
      </c>
      <c r="E21" t="s">
        <v>8008</v>
      </c>
    </row>
    <row r="22" spans="1:5" x14ac:dyDescent="0.25">
      <c r="A22" t="s">
        <v>7378</v>
      </c>
      <c r="B22" t="s">
        <v>7377</v>
      </c>
      <c r="C22" t="s">
        <v>7379</v>
      </c>
      <c r="D22" t="s">
        <v>7413</v>
      </c>
      <c r="E22" t="s">
        <v>8009</v>
      </c>
    </row>
    <row r="23" spans="1:5" x14ac:dyDescent="0.25">
      <c r="A23" t="s">
        <v>7394</v>
      </c>
      <c r="B23" t="s">
        <v>3673</v>
      </c>
      <c r="C23" t="s">
        <v>3452</v>
      </c>
      <c r="D23" t="s">
        <v>7408</v>
      </c>
      <c r="E23" t="s">
        <v>8010</v>
      </c>
    </row>
    <row r="24" spans="1:5" x14ac:dyDescent="0.25">
      <c r="A24" t="s">
        <v>5442</v>
      </c>
      <c r="B24" t="s">
        <v>5715</v>
      </c>
      <c r="C24" t="s">
        <v>7375</v>
      </c>
      <c r="D24" t="s">
        <v>7400</v>
      </c>
      <c r="E24" t="s">
        <v>8011</v>
      </c>
    </row>
    <row r="25" spans="1:5" x14ac:dyDescent="0.25">
      <c r="A25" t="s">
        <v>5255</v>
      </c>
      <c r="B25" t="s">
        <v>5279</v>
      </c>
      <c r="C25" t="s">
        <v>3452</v>
      </c>
      <c r="D25" t="s">
        <v>7396</v>
      </c>
      <c r="E25" t="s">
        <v>8012</v>
      </c>
    </row>
    <row r="26" spans="1:5" x14ac:dyDescent="0.25">
      <c r="A26" t="s">
        <v>7443</v>
      </c>
      <c r="B26" t="s">
        <v>5715</v>
      </c>
      <c r="C26" t="s">
        <v>3452</v>
      </c>
      <c r="D26" t="s">
        <v>7454</v>
      </c>
      <c r="E26" t="s">
        <v>8013</v>
      </c>
    </row>
    <row r="27" spans="1:5" x14ac:dyDescent="0.25">
      <c r="A27" t="s">
        <v>5269</v>
      </c>
      <c r="B27" t="s">
        <v>7406</v>
      </c>
      <c r="C27" t="s">
        <v>7379</v>
      </c>
      <c r="D27" t="s">
        <v>7386</v>
      </c>
      <c r="E27" t="s">
        <v>8014</v>
      </c>
    </row>
    <row r="28" spans="1:5" x14ac:dyDescent="0.25">
      <c r="A28" t="s">
        <v>7385</v>
      </c>
      <c r="B28" t="s">
        <v>3976</v>
      </c>
      <c r="C28" t="s">
        <v>7384</v>
      </c>
      <c r="D28" t="s">
        <v>7410</v>
      </c>
      <c r="E28" t="s">
        <v>8015</v>
      </c>
    </row>
    <row r="29" spans="1:5" x14ac:dyDescent="0.25">
      <c r="A29" t="s">
        <v>7393</v>
      </c>
      <c r="B29" t="s">
        <v>5279</v>
      </c>
      <c r="C29" t="s">
        <v>7392</v>
      </c>
      <c r="D29" t="s">
        <v>7468</v>
      </c>
      <c r="E29" t="s">
        <v>8016</v>
      </c>
    </row>
    <row r="30" spans="1:5" x14ac:dyDescent="0.25">
      <c r="A30" t="s">
        <v>7373</v>
      </c>
      <c r="B30" t="s">
        <v>3673</v>
      </c>
      <c r="C30" t="s">
        <v>3452</v>
      </c>
      <c r="D30" t="s">
        <v>7374</v>
      </c>
      <c r="E30" t="s">
        <v>8017</v>
      </c>
    </row>
    <row r="31" spans="1:5" x14ac:dyDescent="0.25">
      <c r="A31" t="s">
        <v>7423</v>
      </c>
      <c r="B31" t="s">
        <v>7406</v>
      </c>
      <c r="C31" t="s">
        <v>7383</v>
      </c>
      <c r="D31" t="s">
        <v>7424</v>
      </c>
      <c r="E31" t="s">
        <v>8018</v>
      </c>
    </row>
    <row r="32" spans="1:5" x14ac:dyDescent="0.25">
      <c r="A32" t="s">
        <v>7961</v>
      </c>
      <c r="B32" t="s">
        <v>7406</v>
      </c>
      <c r="C32" t="s">
        <v>3452</v>
      </c>
      <c r="D32" t="s">
        <v>7962</v>
      </c>
      <c r="E32" t="s">
        <v>8019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8081</v>
      </c>
      <c r="E2" t="s">
        <v>3996</v>
      </c>
      <c r="F2" t="s">
        <v>8082</v>
      </c>
      <c r="G2" t="s">
        <v>3997</v>
      </c>
      <c r="H2" t="s">
        <v>3998</v>
      </c>
      <c r="I2" t="s">
        <v>3989</v>
      </c>
      <c r="J2" t="s">
        <v>187</v>
      </c>
      <c r="K2" t="s">
        <v>3999</v>
      </c>
      <c r="L2" t="s">
        <v>4000</v>
      </c>
      <c r="M2" t="s">
        <v>3995</v>
      </c>
    </row>
    <row r="3" spans="1:13" x14ac:dyDescent="0.25">
      <c r="A3" t="s">
        <v>3992</v>
      </c>
      <c r="B3" t="s">
        <v>3976</v>
      </c>
      <c r="C3" t="s">
        <v>90</v>
      </c>
      <c r="D3" t="s">
        <v>8083</v>
      </c>
      <c r="E3" t="s">
        <v>7473</v>
      </c>
      <c r="F3" t="s">
        <v>8084</v>
      </c>
      <c r="G3" t="s">
        <v>7474</v>
      </c>
      <c r="H3" t="s">
        <v>3993</v>
      </c>
      <c r="I3" t="s">
        <v>3452</v>
      </c>
      <c r="J3" t="s">
        <v>187</v>
      </c>
      <c r="K3" t="s">
        <v>3994</v>
      </c>
      <c r="L3" t="s">
        <v>3979</v>
      </c>
      <c r="M3" t="s">
        <v>3992</v>
      </c>
    </row>
    <row r="4" spans="1:13" x14ac:dyDescent="0.25">
      <c r="A4" t="s">
        <v>3984</v>
      </c>
      <c r="B4" t="s">
        <v>3985</v>
      </c>
      <c r="C4" t="s">
        <v>1649</v>
      </c>
      <c r="D4" t="s">
        <v>8085</v>
      </c>
      <c r="E4" t="s">
        <v>3986</v>
      </c>
      <c r="F4" t="s">
        <v>8086</v>
      </c>
      <c r="G4" t="s">
        <v>3987</v>
      </c>
      <c r="H4" t="s">
        <v>3988</v>
      </c>
      <c r="I4" t="s">
        <v>3989</v>
      </c>
      <c r="J4" t="s">
        <v>3990</v>
      </c>
      <c r="K4" t="s">
        <v>3991</v>
      </c>
      <c r="L4" t="s">
        <v>3979</v>
      </c>
      <c r="M4" t="s">
        <v>3984</v>
      </c>
    </row>
    <row r="5" spans="1:13" x14ac:dyDescent="0.25">
      <c r="A5" t="s">
        <v>3980</v>
      </c>
      <c r="B5" t="s">
        <v>3976</v>
      </c>
      <c r="C5" t="s">
        <v>1649</v>
      </c>
      <c r="D5" t="s">
        <v>8020</v>
      </c>
      <c r="E5" t="s">
        <v>3981</v>
      </c>
      <c r="F5" t="s">
        <v>9952</v>
      </c>
      <c r="G5" t="s">
        <v>9953</v>
      </c>
      <c r="H5" t="s">
        <v>3982</v>
      </c>
      <c r="I5" t="s">
        <v>3452</v>
      </c>
      <c r="J5" t="s">
        <v>187</v>
      </c>
      <c r="K5" t="s">
        <v>3983</v>
      </c>
      <c r="L5" t="s">
        <v>3979</v>
      </c>
      <c r="M5" t="s">
        <v>3980</v>
      </c>
    </row>
    <row r="6" spans="1:13" x14ac:dyDescent="0.25">
      <c r="A6" t="s">
        <v>3975</v>
      </c>
      <c r="B6" t="s">
        <v>3976</v>
      </c>
      <c r="C6" t="s">
        <v>90</v>
      </c>
      <c r="D6" t="s">
        <v>7663</v>
      </c>
      <c r="E6" t="s">
        <v>7475</v>
      </c>
      <c r="F6" t="s">
        <v>8087</v>
      </c>
      <c r="G6" t="s">
        <v>7476</v>
      </c>
      <c r="H6" t="s">
        <v>3977</v>
      </c>
      <c r="I6" t="s">
        <v>3452</v>
      </c>
      <c r="J6" t="s">
        <v>187</v>
      </c>
      <c r="K6" t="s">
        <v>3978</v>
      </c>
      <c r="L6" t="s">
        <v>3979</v>
      </c>
      <c r="M6" t="s">
        <v>3975</v>
      </c>
    </row>
    <row r="7" spans="1:13" x14ac:dyDescent="0.25">
      <c r="A7" t="s">
        <v>5144</v>
      </c>
      <c r="B7" t="s">
        <v>3985</v>
      </c>
      <c r="C7" t="s">
        <v>1649</v>
      </c>
      <c r="D7" t="s">
        <v>8088</v>
      </c>
      <c r="E7" t="s">
        <v>7630</v>
      </c>
      <c r="F7" t="s">
        <v>9954</v>
      </c>
      <c r="G7" t="s">
        <v>9955</v>
      </c>
      <c r="H7" t="s">
        <v>7613</v>
      </c>
      <c r="I7" t="s">
        <v>7614</v>
      </c>
      <c r="J7" t="s">
        <v>187</v>
      </c>
      <c r="K7" t="s">
        <v>7631</v>
      </c>
      <c r="L7" t="s">
        <v>3979</v>
      </c>
      <c r="M7" t="s">
        <v>5144</v>
      </c>
    </row>
    <row r="8" spans="1:13" x14ac:dyDescent="0.25">
      <c r="A8" t="s">
        <v>5273</v>
      </c>
      <c r="B8" t="s">
        <v>3985</v>
      </c>
      <c r="C8" t="s">
        <v>90</v>
      </c>
      <c r="H8" t="s">
        <v>7611</v>
      </c>
      <c r="I8" t="s">
        <v>7610</v>
      </c>
      <c r="J8" t="s">
        <v>187</v>
      </c>
      <c r="K8" t="s">
        <v>7632</v>
      </c>
      <c r="L8" t="s">
        <v>3979</v>
      </c>
      <c r="M8" t="s">
        <v>5273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7764</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7781</v>
      </c>
      <c r="B6" t="s">
        <v>2698</v>
      </c>
      <c r="C6" t="s">
        <v>39</v>
      </c>
      <c r="F6" t="s">
        <v>40</v>
      </c>
      <c r="G6" t="s">
        <v>41</v>
      </c>
      <c r="H6" t="s">
        <v>7782</v>
      </c>
      <c r="O6" t="s">
        <v>7783</v>
      </c>
      <c r="R6" t="s">
        <v>7784</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7778</v>
      </c>
      <c r="B9" t="s">
        <v>2698</v>
      </c>
      <c r="C9" t="s">
        <v>39</v>
      </c>
      <c r="F9" t="s">
        <v>40</v>
      </c>
      <c r="G9" t="s">
        <v>3496</v>
      </c>
      <c r="H9" t="s">
        <v>7779</v>
      </c>
      <c r="J9" t="s">
        <v>7780</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7765</v>
      </c>
      <c r="B11" t="s">
        <v>38</v>
      </c>
      <c r="C11" t="s">
        <v>39</v>
      </c>
      <c r="E11" t="s">
        <v>7766</v>
      </c>
      <c r="F11" t="s">
        <v>40</v>
      </c>
      <c r="G11" t="s">
        <v>41</v>
      </c>
      <c r="H11" t="s">
        <v>7767</v>
      </c>
      <c r="I11" t="s">
        <v>7768</v>
      </c>
      <c r="O11" t="s">
        <v>7769</v>
      </c>
      <c r="Q11" t="s">
        <v>7770</v>
      </c>
      <c r="R11" t="s">
        <v>7771</v>
      </c>
      <c r="S11" t="s">
        <v>7772</v>
      </c>
      <c r="U11" t="s">
        <v>7773</v>
      </c>
      <c r="V11" t="s">
        <v>7774</v>
      </c>
      <c r="W11" t="s">
        <v>7775</v>
      </c>
      <c r="Y11" t="s">
        <v>7776</v>
      </c>
      <c r="Z11" t="s">
        <v>7777</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7795</v>
      </c>
      <c r="B14" t="s">
        <v>90</v>
      </c>
      <c r="C14" t="s">
        <v>39</v>
      </c>
      <c r="E14" t="s">
        <v>7796</v>
      </c>
      <c r="F14" t="s">
        <v>40</v>
      </c>
      <c r="G14" t="s">
        <v>41</v>
      </c>
      <c r="H14" t="s">
        <v>7797</v>
      </c>
      <c r="I14" t="s">
        <v>7798</v>
      </c>
      <c r="O14" t="s">
        <v>7799</v>
      </c>
      <c r="Q14" t="s">
        <v>7800</v>
      </c>
      <c r="R14" t="s">
        <v>7801</v>
      </c>
      <c r="S14" t="s">
        <v>7802</v>
      </c>
      <c r="U14" t="s">
        <v>7800</v>
      </c>
      <c r="V14" t="s">
        <v>7803</v>
      </c>
      <c r="W14" t="s">
        <v>7804</v>
      </c>
      <c r="Y14" t="s">
        <v>7800</v>
      </c>
      <c r="Z14" t="s">
        <v>7805</v>
      </c>
      <c r="AA14" t="s">
        <v>99</v>
      </c>
      <c r="AC14" t="s">
        <v>7806</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7785</v>
      </c>
      <c r="B16" t="s">
        <v>90</v>
      </c>
      <c r="C16" t="s">
        <v>39</v>
      </c>
      <c r="E16" t="s">
        <v>7786</v>
      </c>
      <c r="F16" t="s">
        <v>40</v>
      </c>
      <c r="G16" t="s">
        <v>41</v>
      </c>
      <c r="H16" t="s">
        <v>7787</v>
      </c>
      <c r="I16" t="s">
        <v>7788</v>
      </c>
      <c r="O16" t="s">
        <v>7772</v>
      </c>
      <c r="Q16" t="s">
        <v>7789</v>
      </c>
      <c r="R16" t="s">
        <v>7774</v>
      </c>
      <c r="S16" t="s">
        <v>7769</v>
      </c>
      <c r="U16" t="s">
        <v>7790</v>
      </c>
      <c r="V16" t="s">
        <v>7771</v>
      </c>
      <c r="W16" t="s">
        <v>7791</v>
      </c>
      <c r="Y16" t="s">
        <v>7792</v>
      </c>
      <c r="Z16" t="s">
        <v>7793</v>
      </c>
      <c r="AA16" t="s">
        <v>5715</v>
      </c>
      <c r="AC16" t="s">
        <v>7794</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7486</v>
      </c>
    </row>
    <row r="2" spans="1:9" x14ac:dyDescent="0.25">
      <c r="A2" t="s">
        <v>7518</v>
      </c>
      <c r="B2" t="s">
        <v>3508</v>
      </c>
      <c r="C2" t="s">
        <v>4501</v>
      </c>
      <c r="D2" t="s">
        <v>7519</v>
      </c>
      <c r="E2" t="s">
        <v>7529</v>
      </c>
      <c r="G2" t="s">
        <v>2619</v>
      </c>
      <c r="H2" t="s">
        <v>7530</v>
      </c>
      <c r="I2" t="s">
        <v>7501</v>
      </c>
    </row>
    <row r="3" spans="1:9" x14ac:dyDescent="0.25">
      <c r="A3" t="s">
        <v>7497</v>
      </c>
      <c r="B3" t="s">
        <v>3508</v>
      </c>
      <c r="C3" t="s">
        <v>4501</v>
      </c>
      <c r="D3" t="s">
        <v>7499</v>
      </c>
      <c r="E3" t="s">
        <v>7523</v>
      </c>
      <c r="F3" t="s">
        <v>8292</v>
      </c>
      <c r="G3" t="s">
        <v>160</v>
      </c>
      <c r="H3" t="s">
        <v>7498</v>
      </c>
      <c r="I3" t="s">
        <v>7488</v>
      </c>
    </row>
    <row r="4" spans="1:9" x14ac:dyDescent="0.25">
      <c r="A4" t="s">
        <v>7502</v>
      </c>
      <c r="B4" t="s">
        <v>3496</v>
      </c>
      <c r="C4" t="s">
        <v>4501</v>
      </c>
      <c r="D4" t="s">
        <v>7503</v>
      </c>
      <c r="E4" t="s">
        <v>7524</v>
      </c>
      <c r="F4" t="s">
        <v>8293</v>
      </c>
      <c r="G4" t="s">
        <v>160</v>
      </c>
      <c r="H4" t="s">
        <v>7507</v>
      </c>
      <c r="I4" t="s">
        <v>7501</v>
      </c>
    </row>
    <row r="5" spans="1:9" x14ac:dyDescent="0.25">
      <c r="A5" t="s">
        <v>7504</v>
      </c>
      <c r="B5" t="s">
        <v>3496</v>
      </c>
      <c r="C5" t="s">
        <v>4501</v>
      </c>
      <c r="D5" t="s">
        <v>7505</v>
      </c>
      <c r="E5" t="s">
        <v>7525</v>
      </c>
      <c r="F5" t="s">
        <v>8293</v>
      </c>
      <c r="G5" t="s">
        <v>160</v>
      </c>
      <c r="H5" t="s">
        <v>7506</v>
      </c>
      <c r="I5" t="s">
        <v>7501</v>
      </c>
    </row>
    <row r="6" spans="1:9" x14ac:dyDescent="0.25">
      <c r="A6" t="s">
        <v>7508</v>
      </c>
      <c r="B6" t="s">
        <v>3496</v>
      </c>
      <c r="C6" t="s">
        <v>4501</v>
      </c>
      <c r="D6" t="s">
        <v>7510</v>
      </c>
      <c r="E6" t="s">
        <v>7526</v>
      </c>
      <c r="F6" t="s">
        <v>8293</v>
      </c>
      <c r="G6" t="s">
        <v>160</v>
      </c>
      <c r="H6" t="s">
        <v>7509</v>
      </c>
      <c r="I6" t="s">
        <v>7501</v>
      </c>
    </row>
    <row r="7" spans="1:9" x14ac:dyDescent="0.25">
      <c r="A7" t="s">
        <v>7514</v>
      </c>
      <c r="B7" t="s">
        <v>3496</v>
      </c>
      <c r="C7" t="s">
        <v>4501</v>
      </c>
      <c r="D7" t="s">
        <v>7515</v>
      </c>
      <c r="E7" t="s">
        <v>7528</v>
      </c>
      <c r="G7" t="s">
        <v>2619</v>
      </c>
      <c r="H7" t="s">
        <v>7516</v>
      </c>
      <c r="I7" t="s">
        <v>7517</v>
      </c>
    </row>
    <row r="8" spans="1:9" x14ac:dyDescent="0.25">
      <c r="A8" t="s">
        <v>3515</v>
      </c>
      <c r="B8" t="s">
        <v>3496</v>
      </c>
      <c r="C8" t="s">
        <v>3517</v>
      </c>
      <c r="D8" t="s">
        <v>8218</v>
      </c>
      <c r="E8" t="s">
        <v>8169</v>
      </c>
      <c r="G8" t="s">
        <v>90</v>
      </c>
      <c r="H8" t="s">
        <v>3515</v>
      </c>
      <c r="I8" t="s">
        <v>7487</v>
      </c>
    </row>
    <row r="9" spans="1:9" x14ac:dyDescent="0.25">
      <c r="A9" t="s">
        <v>8159</v>
      </c>
      <c r="B9" t="s">
        <v>3496</v>
      </c>
      <c r="C9" t="s">
        <v>3517</v>
      </c>
      <c r="D9" t="s">
        <v>8217</v>
      </c>
      <c r="E9" t="s">
        <v>8170</v>
      </c>
      <c r="F9" t="s">
        <v>8294</v>
      </c>
      <c r="G9" t="s">
        <v>353</v>
      </c>
      <c r="H9" t="s">
        <v>8159</v>
      </c>
      <c r="I9" t="s">
        <v>7500</v>
      </c>
    </row>
    <row r="10" spans="1:9" x14ac:dyDescent="0.25">
      <c r="A10" t="s">
        <v>8134</v>
      </c>
      <c r="B10" t="s">
        <v>41</v>
      </c>
      <c r="C10" t="s">
        <v>3517</v>
      </c>
      <c r="D10" t="s">
        <v>8216</v>
      </c>
      <c r="E10" t="s">
        <v>8171</v>
      </c>
      <c r="F10" t="s">
        <v>8294</v>
      </c>
      <c r="G10" t="s">
        <v>353</v>
      </c>
      <c r="H10" t="s">
        <v>8135</v>
      </c>
      <c r="I10" t="s">
        <v>7500</v>
      </c>
    </row>
    <row r="11" spans="1:9" x14ac:dyDescent="0.25">
      <c r="A11" t="s">
        <v>7699</v>
      </c>
      <c r="B11" t="s">
        <v>3496</v>
      </c>
      <c r="C11" t="s">
        <v>3517</v>
      </c>
      <c r="D11" t="s">
        <v>8215</v>
      </c>
      <c r="E11" t="s">
        <v>8172</v>
      </c>
      <c r="G11" t="s">
        <v>90</v>
      </c>
      <c r="H11" t="s">
        <v>7700</v>
      </c>
      <c r="I11" t="s">
        <v>7701</v>
      </c>
    </row>
    <row r="12" spans="1:9" x14ac:dyDescent="0.25">
      <c r="A12" t="s">
        <v>8150</v>
      </c>
      <c r="B12" t="s">
        <v>41</v>
      </c>
      <c r="C12" t="s">
        <v>4501</v>
      </c>
      <c r="D12" t="s">
        <v>8151</v>
      </c>
      <c r="E12" t="s">
        <v>8173</v>
      </c>
      <c r="F12" t="s">
        <v>8292</v>
      </c>
      <c r="G12" t="s">
        <v>160</v>
      </c>
      <c r="H12" t="s">
        <v>8152</v>
      </c>
      <c r="I12" t="s">
        <v>7488</v>
      </c>
    </row>
    <row r="13" spans="1:9" x14ac:dyDescent="0.25">
      <c r="A13" t="s">
        <v>7492</v>
      </c>
      <c r="B13" t="s">
        <v>3508</v>
      </c>
      <c r="C13" t="s">
        <v>4501</v>
      </c>
      <c r="D13" t="s">
        <v>8089</v>
      </c>
      <c r="E13" t="s">
        <v>8090</v>
      </c>
      <c r="F13" t="s">
        <v>8292</v>
      </c>
      <c r="G13" t="s">
        <v>160</v>
      </c>
      <c r="H13" t="s">
        <v>7493</v>
      </c>
      <c r="I13" t="s">
        <v>7488</v>
      </c>
    </row>
    <row r="14" spans="1:9" x14ac:dyDescent="0.25">
      <c r="A14" t="s">
        <v>7511</v>
      </c>
      <c r="B14" t="s">
        <v>3496</v>
      </c>
      <c r="C14" t="s">
        <v>4501</v>
      </c>
      <c r="D14" t="s">
        <v>7512</v>
      </c>
      <c r="E14" t="s">
        <v>7527</v>
      </c>
      <c r="F14" t="s">
        <v>8293</v>
      </c>
      <c r="G14" t="s">
        <v>2619</v>
      </c>
      <c r="H14" t="s">
        <v>7513</v>
      </c>
      <c r="I14" t="s">
        <v>7501</v>
      </c>
    </row>
    <row r="15" spans="1:9" x14ac:dyDescent="0.25">
      <c r="A15" t="s">
        <v>3670</v>
      </c>
      <c r="B15" t="s">
        <v>3508</v>
      </c>
      <c r="C15" t="s">
        <v>4501</v>
      </c>
      <c r="D15" t="s">
        <v>3671</v>
      </c>
      <c r="E15" t="s">
        <v>7520</v>
      </c>
      <c r="F15" t="s">
        <v>8294</v>
      </c>
      <c r="G15" t="s">
        <v>353</v>
      </c>
      <c r="H15" t="s">
        <v>3672</v>
      </c>
      <c r="I15" t="s">
        <v>7500</v>
      </c>
    </row>
    <row r="16" spans="1:9" x14ac:dyDescent="0.25">
      <c r="A16" t="s">
        <v>8160</v>
      </c>
      <c r="B16" t="s">
        <v>3508</v>
      </c>
      <c r="C16" t="s">
        <v>3517</v>
      </c>
      <c r="D16" t="s">
        <v>8212</v>
      </c>
      <c r="E16" t="s">
        <v>8174</v>
      </c>
      <c r="F16" t="s">
        <v>8294</v>
      </c>
      <c r="G16" t="s">
        <v>353</v>
      </c>
      <c r="H16" t="s">
        <v>8160</v>
      </c>
      <c r="I16" t="s">
        <v>7500</v>
      </c>
    </row>
    <row r="17" spans="1:9" x14ac:dyDescent="0.25">
      <c r="A17" t="s">
        <v>8166</v>
      </c>
      <c r="B17" t="s">
        <v>3508</v>
      </c>
      <c r="C17" t="s">
        <v>3517</v>
      </c>
      <c r="D17" t="s">
        <v>8213</v>
      </c>
      <c r="E17" t="s">
        <v>8175</v>
      </c>
      <c r="F17" t="s">
        <v>8294</v>
      </c>
      <c r="G17" t="s">
        <v>353</v>
      </c>
      <c r="H17" t="s">
        <v>8167</v>
      </c>
      <c r="I17" t="s">
        <v>7500</v>
      </c>
    </row>
    <row r="18" spans="1:9" x14ac:dyDescent="0.25">
      <c r="A18" t="s">
        <v>8164</v>
      </c>
      <c r="B18" t="s">
        <v>3508</v>
      </c>
      <c r="C18" t="s">
        <v>3517</v>
      </c>
      <c r="D18" t="s">
        <v>8214</v>
      </c>
      <c r="E18" t="s">
        <v>8176</v>
      </c>
      <c r="F18" t="s">
        <v>8294</v>
      </c>
      <c r="G18" t="s">
        <v>353</v>
      </c>
      <c r="H18" t="s">
        <v>8165</v>
      </c>
      <c r="I18" t="s">
        <v>7500</v>
      </c>
    </row>
    <row r="19" spans="1:9" x14ac:dyDescent="0.25">
      <c r="A19" t="s">
        <v>7489</v>
      </c>
      <c r="B19" t="s">
        <v>41</v>
      </c>
      <c r="C19" t="s">
        <v>4501</v>
      </c>
      <c r="D19" t="s">
        <v>4146</v>
      </c>
      <c r="E19" t="s">
        <v>4147</v>
      </c>
      <c r="F19" t="s">
        <v>8292</v>
      </c>
      <c r="G19" t="s">
        <v>160</v>
      </c>
      <c r="H19" t="s">
        <v>7521</v>
      </c>
      <c r="I19" t="s">
        <v>7488</v>
      </c>
    </row>
    <row r="20" spans="1:9" x14ac:dyDescent="0.25">
      <c r="A20" t="s">
        <v>7490</v>
      </c>
      <c r="B20" t="s">
        <v>41</v>
      </c>
      <c r="C20" t="s">
        <v>4501</v>
      </c>
      <c r="D20" t="s">
        <v>4201</v>
      </c>
      <c r="E20" t="s">
        <v>4202</v>
      </c>
      <c r="F20" t="s">
        <v>8292</v>
      </c>
      <c r="G20" t="s">
        <v>160</v>
      </c>
      <c r="H20" t="s">
        <v>7491</v>
      </c>
      <c r="I20" t="s">
        <v>7488</v>
      </c>
    </row>
    <row r="21" spans="1:9" x14ac:dyDescent="0.25">
      <c r="A21" t="s">
        <v>7494</v>
      </c>
      <c r="B21" t="s">
        <v>41</v>
      </c>
      <c r="C21" t="s">
        <v>4501</v>
      </c>
      <c r="D21" t="s">
        <v>7496</v>
      </c>
      <c r="E21" t="s">
        <v>7522</v>
      </c>
      <c r="F21" t="s">
        <v>8292</v>
      </c>
      <c r="G21" t="s">
        <v>160</v>
      </c>
      <c r="H21" t="s">
        <v>7495</v>
      </c>
      <c r="I21" t="s">
        <v>7488</v>
      </c>
    </row>
    <row r="22" spans="1:9" x14ac:dyDescent="0.25">
      <c r="A22" t="s">
        <v>9982</v>
      </c>
      <c r="B22" t="s">
        <v>3508</v>
      </c>
      <c r="C22" t="s">
        <v>4501</v>
      </c>
      <c r="D22" t="s">
        <v>9983</v>
      </c>
      <c r="E22" t="s">
        <v>10007</v>
      </c>
      <c r="F22" t="s">
        <v>8292</v>
      </c>
      <c r="G22" t="s">
        <v>160</v>
      </c>
      <c r="H22" t="s">
        <v>9984</v>
      </c>
      <c r="I22" t="s">
        <v>7488</v>
      </c>
    </row>
    <row r="23" spans="1:9" x14ac:dyDescent="0.25">
      <c r="A23" t="s">
        <v>9985</v>
      </c>
      <c r="B23" t="s">
        <v>3496</v>
      </c>
      <c r="C23" t="s">
        <v>4501</v>
      </c>
      <c r="D23" t="s">
        <v>9986</v>
      </c>
      <c r="E23" t="s">
        <v>10008</v>
      </c>
      <c r="F23" t="s">
        <v>8293</v>
      </c>
      <c r="G23" t="s">
        <v>160</v>
      </c>
      <c r="H23" t="s">
        <v>9987</v>
      </c>
      <c r="I23" t="s">
        <v>7501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7469</v>
      </c>
      <c r="K5" t="s">
        <v>4028</v>
      </c>
      <c r="L5" t="s">
        <v>1795</v>
      </c>
      <c r="N5" t="s">
        <v>4029</v>
      </c>
      <c r="O5" t="s">
        <v>2154</v>
      </c>
    </row>
    <row r="6" spans="1:15" x14ac:dyDescent="0.25">
      <c r="A6" t="s">
        <v>4030</v>
      </c>
      <c r="B6" t="s">
        <v>2154</v>
      </c>
      <c r="C6" t="s">
        <v>4024</v>
      </c>
      <c r="D6" t="s">
        <v>3508</v>
      </c>
      <c r="E6" t="s">
        <v>7612</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8202</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5584</v>
      </c>
      <c r="B10" t="s">
        <v>2154</v>
      </c>
      <c r="C10" t="s">
        <v>4024</v>
      </c>
      <c r="D10" t="s">
        <v>3508</v>
      </c>
      <c r="E10" t="s">
        <v>12666</v>
      </c>
      <c r="F10" t="s">
        <v>12717</v>
      </c>
      <c r="H10" t="s">
        <v>5593</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8269</v>
      </c>
      <c r="D2" t="s">
        <v>4124</v>
      </c>
      <c r="E2" t="s">
        <v>8270</v>
      </c>
      <c r="F2" t="s">
        <v>4125</v>
      </c>
    </row>
    <row r="3" spans="1:7" x14ac:dyDescent="0.25">
      <c r="A3" t="s">
        <v>4015</v>
      </c>
      <c r="B3" t="s">
        <v>4007</v>
      </c>
      <c r="C3" t="s">
        <v>7720</v>
      </c>
      <c r="D3" t="s">
        <v>7721</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7730</v>
      </c>
      <c r="E2" t="s">
        <v>7731</v>
      </c>
      <c r="F2" t="s">
        <v>7732</v>
      </c>
      <c r="G2" t="s">
        <v>7733</v>
      </c>
      <c r="H2" t="s">
        <v>8202</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8228</v>
      </c>
      <c r="F1" t="s">
        <v>7620</v>
      </c>
      <c r="G1" t="s">
        <v>3447</v>
      </c>
      <c r="H1" t="s">
        <v>3490</v>
      </c>
      <c r="I1" t="s">
        <v>170</v>
      </c>
      <c r="J1" t="s">
        <v>171</v>
      </c>
    </row>
    <row r="2" spans="1:10" x14ac:dyDescent="0.25">
      <c r="A2" t="s">
        <v>7649</v>
      </c>
      <c r="B2" t="s">
        <v>3508</v>
      </c>
      <c r="C2" t="s">
        <v>2154</v>
      </c>
      <c r="D2" t="s">
        <v>4024</v>
      </c>
      <c r="E2" t="s">
        <v>14072</v>
      </c>
      <c r="F2">
        <v>2</v>
      </c>
      <c r="G2" t="s">
        <v>7657</v>
      </c>
      <c r="H2" t="s">
        <v>7664</v>
      </c>
      <c r="J2" t="s">
        <v>3452</v>
      </c>
    </row>
    <row r="3" spans="1:10" x14ac:dyDescent="0.25">
      <c r="A3" t="s">
        <v>7628</v>
      </c>
      <c r="B3" t="s">
        <v>3496</v>
      </c>
      <c r="C3" t="s">
        <v>1795</v>
      </c>
      <c r="D3" t="s">
        <v>4007</v>
      </c>
      <c r="E3" t="s">
        <v>7625</v>
      </c>
      <c r="F3">
        <v>4</v>
      </c>
      <c r="G3" t="s">
        <v>7627</v>
      </c>
      <c r="H3" t="s">
        <v>4020</v>
      </c>
      <c r="J3" t="s">
        <v>3452</v>
      </c>
    </row>
    <row r="4" spans="1:10" x14ac:dyDescent="0.25">
      <c r="A4" t="s">
        <v>7651</v>
      </c>
      <c r="B4" t="s">
        <v>3718</v>
      </c>
      <c r="C4" t="s">
        <v>1795</v>
      </c>
      <c r="D4" t="s">
        <v>4024</v>
      </c>
      <c r="E4" t="s">
        <v>14072</v>
      </c>
      <c r="F4">
        <v>1</v>
      </c>
      <c r="G4" t="s">
        <v>7659</v>
      </c>
      <c r="H4" t="s">
        <v>7665</v>
      </c>
      <c r="J4" t="s">
        <v>3452</v>
      </c>
    </row>
    <row r="5" spans="1:10" x14ac:dyDescent="0.25">
      <c r="A5" t="s">
        <v>7626</v>
      </c>
      <c r="B5" t="s">
        <v>3496</v>
      </c>
      <c r="C5" t="s">
        <v>2154</v>
      </c>
      <c r="D5" t="s">
        <v>4024</v>
      </c>
      <c r="E5" t="s">
        <v>14072</v>
      </c>
      <c r="F5">
        <v>3</v>
      </c>
      <c r="G5" t="s">
        <v>7653</v>
      </c>
      <c r="H5" t="s">
        <v>7634</v>
      </c>
      <c r="I5" t="s">
        <v>8203</v>
      </c>
      <c r="J5" t="s">
        <v>3452</v>
      </c>
    </row>
    <row r="6" spans="1:10" x14ac:dyDescent="0.25">
      <c r="A6" t="s">
        <v>7647</v>
      </c>
      <c r="B6" t="s">
        <v>41</v>
      </c>
      <c r="C6" t="s">
        <v>2154</v>
      </c>
      <c r="D6" t="s">
        <v>4007</v>
      </c>
      <c r="E6" t="s">
        <v>14072</v>
      </c>
      <c r="F6">
        <v>3</v>
      </c>
      <c r="G6" t="s">
        <v>7655</v>
      </c>
      <c r="H6" t="s">
        <v>7666</v>
      </c>
      <c r="J6" t="s">
        <v>3452</v>
      </c>
    </row>
    <row r="7" spans="1:10" x14ac:dyDescent="0.25">
      <c r="A7" t="s">
        <v>7646</v>
      </c>
      <c r="B7" t="s">
        <v>41</v>
      </c>
      <c r="C7" t="s">
        <v>2154</v>
      </c>
      <c r="D7" t="s">
        <v>4007</v>
      </c>
      <c r="E7" t="s">
        <v>14072</v>
      </c>
      <c r="F7">
        <v>3</v>
      </c>
      <c r="G7" t="s">
        <v>7654</v>
      </c>
      <c r="H7" t="s">
        <v>7667</v>
      </c>
      <c r="J7" t="s">
        <v>3452</v>
      </c>
    </row>
    <row r="8" spans="1:10" x14ac:dyDescent="0.25">
      <c r="A8" t="s">
        <v>7648</v>
      </c>
      <c r="B8" t="s">
        <v>41</v>
      </c>
      <c r="C8" t="s">
        <v>2154</v>
      </c>
      <c r="D8" t="s">
        <v>4024</v>
      </c>
      <c r="E8" t="s">
        <v>14072</v>
      </c>
      <c r="F8">
        <v>2</v>
      </c>
      <c r="G8" t="s">
        <v>7656</v>
      </c>
      <c r="H8" t="s">
        <v>7668</v>
      </c>
      <c r="J8" t="s">
        <v>3452</v>
      </c>
    </row>
    <row r="9" spans="1:10" x14ac:dyDescent="0.25">
      <c r="A9" t="s">
        <v>7624</v>
      </c>
      <c r="B9" t="s">
        <v>41</v>
      </c>
      <c r="C9" t="s">
        <v>2154</v>
      </c>
      <c r="D9" t="s">
        <v>4035</v>
      </c>
      <c r="E9" t="s">
        <v>3444</v>
      </c>
      <c r="F9">
        <v>4</v>
      </c>
      <c r="G9" t="s">
        <v>4223</v>
      </c>
      <c r="H9" t="s">
        <v>101</v>
      </c>
      <c r="J9" t="s">
        <v>3452</v>
      </c>
    </row>
    <row r="10" spans="1:10" x14ac:dyDescent="0.25">
      <c r="A10" t="s">
        <v>7661</v>
      </c>
      <c r="B10" t="s">
        <v>3508</v>
      </c>
      <c r="C10" t="s">
        <v>490</v>
      </c>
      <c r="D10" t="s">
        <v>4035</v>
      </c>
      <c r="E10" t="s">
        <v>14072</v>
      </c>
      <c r="F10">
        <v>2</v>
      </c>
      <c r="G10" t="s">
        <v>7662</v>
      </c>
      <c r="H10" t="s">
        <v>7669</v>
      </c>
      <c r="J10" t="s">
        <v>3452</v>
      </c>
    </row>
    <row r="11" spans="1:10" x14ac:dyDescent="0.25">
      <c r="A11" t="s">
        <v>7650</v>
      </c>
      <c r="B11" t="s">
        <v>3496</v>
      </c>
      <c r="C11" t="s">
        <v>2154</v>
      </c>
      <c r="D11" t="s">
        <v>4024</v>
      </c>
      <c r="E11" t="s">
        <v>14072</v>
      </c>
      <c r="F11">
        <v>3</v>
      </c>
      <c r="G11" t="s">
        <v>7658</v>
      </c>
      <c r="H11" t="s">
        <v>7670</v>
      </c>
      <c r="J11" t="s">
        <v>3452</v>
      </c>
    </row>
    <row r="12" spans="1:10" x14ac:dyDescent="0.25">
      <c r="A12" t="s">
        <v>7652</v>
      </c>
      <c r="B12" t="s">
        <v>3496</v>
      </c>
      <c r="C12" t="s">
        <v>2154</v>
      </c>
      <c r="D12" t="s">
        <v>4024</v>
      </c>
      <c r="E12" t="s">
        <v>14072</v>
      </c>
      <c r="F12">
        <v>3</v>
      </c>
      <c r="G12" t="s">
        <v>7660</v>
      </c>
      <c r="H12" t="s">
        <v>7671</v>
      </c>
      <c r="J12" t="s">
        <v>3452</v>
      </c>
    </row>
    <row r="13" spans="1:10" x14ac:dyDescent="0.25">
      <c r="A13" t="s">
        <v>3717</v>
      </c>
      <c r="B13" t="s">
        <v>3718</v>
      </c>
      <c r="C13" t="s">
        <v>1795</v>
      </c>
      <c r="D13" t="s">
        <v>4024</v>
      </c>
      <c r="E13" t="s">
        <v>7625</v>
      </c>
      <c r="F13">
        <v>1</v>
      </c>
      <c r="G13" t="s">
        <v>3719</v>
      </c>
      <c r="H13" t="s">
        <v>7633</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14086</v>
      </c>
      <c r="B2" t="s">
        <v>41</v>
      </c>
      <c r="C2" t="s">
        <v>3736</v>
      </c>
      <c r="D2" t="s">
        <v>3517</v>
      </c>
      <c r="E2" t="s">
        <v>14087</v>
      </c>
      <c r="G2" t="s">
        <v>14089</v>
      </c>
      <c r="H2" t="s">
        <v>2619</v>
      </c>
      <c r="I2" t="s">
        <v>14088</v>
      </c>
    </row>
    <row r="3" spans="1:9" x14ac:dyDescent="0.25">
      <c r="A3" t="s">
        <v>8138</v>
      </c>
      <c r="B3" t="s">
        <v>41</v>
      </c>
      <c r="C3" t="s">
        <v>3736</v>
      </c>
      <c r="D3" t="s">
        <v>3517</v>
      </c>
      <c r="E3" t="s">
        <v>8205</v>
      </c>
      <c r="F3" t="s">
        <v>8177</v>
      </c>
      <c r="G3" t="s">
        <v>8141</v>
      </c>
      <c r="H3" t="s">
        <v>160</v>
      </c>
      <c r="I3" t="s">
        <v>8139</v>
      </c>
    </row>
    <row r="4" spans="1:9" x14ac:dyDescent="0.25">
      <c r="A4" t="s">
        <v>8194</v>
      </c>
      <c r="B4" t="s">
        <v>3508</v>
      </c>
      <c r="C4" t="s">
        <v>3891</v>
      </c>
      <c r="D4" t="s">
        <v>8204</v>
      </c>
      <c r="E4" t="s">
        <v>8219</v>
      </c>
      <c r="F4" t="s">
        <v>8261</v>
      </c>
      <c r="G4" t="s">
        <v>4614</v>
      </c>
      <c r="H4" t="s">
        <v>344</v>
      </c>
      <c r="I4" t="s">
        <v>8194</v>
      </c>
    </row>
    <row r="5" spans="1:9" x14ac:dyDescent="0.25">
      <c r="A5" t="s">
        <v>8136</v>
      </c>
      <c r="B5" t="s">
        <v>3508</v>
      </c>
      <c r="C5" t="s">
        <v>3736</v>
      </c>
      <c r="D5" t="s">
        <v>3517</v>
      </c>
      <c r="E5" t="s">
        <v>8206</v>
      </c>
      <c r="F5" t="s">
        <v>8178</v>
      </c>
      <c r="G5" t="s">
        <v>4646</v>
      </c>
      <c r="H5" t="s">
        <v>160</v>
      </c>
      <c r="I5" t="s">
        <v>8137</v>
      </c>
    </row>
    <row r="6" spans="1:9" x14ac:dyDescent="0.25">
      <c r="A6" t="s">
        <v>8199</v>
      </c>
      <c r="B6" t="s">
        <v>3508</v>
      </c>
      <c r="C6" t="s">
        <v>3780</v>
      </c>
      <c r="D6" t="s">
        <v>8204</v>
      </c>
      <c r="E6" t="s">
        <v>8220</v>
      </c>
      <c r="F6" t="s">
        <v>8262</v>
      </c>
      <c r="G6" t="s">
        <v>4614</v>
      </c>
      <c r="H6" t="s">
        <v>344</v>
      </c>
      <c r="I6" t="s">
        <v>8199</v>
      </c>
    </row>
    <row r="7" spans="1:9" x14ac:dyDescent="0.25">
      <c r="A7" t="s">
        <v>8143</v>
      </c>
      <c r="B7" t="s">
        <v>3508</v>
      </c>
      <c r="C7" t="s">
        <v>3736</v>
      </c>
      <c r="D7" t="s">
        <v>3517</v>
      </c>
      <c r="E7" t="s">
        <v>8263</v>
      </c>
      <c r="F7" t="s">
        <v>8179</v>
      </c>
      <c r="G7" t="s">
        <v>4646</v>
      </c>
      <c r="H7" t="s">
        <v>2619</v>
      </c>
      <c r="I7" t="s">
        <v>8144</v>
      </c>
    </row>
    <row r="8" spans="1:9" x14ac:dyDescent="0.25">
      <c r="A8" t="s">
        <v>8197</v>
      </c>
      <c r="B8" t="s">
        <v>3496</v>
      </c>
      <c r="C8" t="s">
        <v>3780</v>
      </c>
      <c r="D8" t="s">
        <v>8204</v>
      </c>
      <c r="E8" t="s">
        <v>8221</v>
      </c>
      <c r="F8" t="s">
        <v>8264</v>
      </c>
      <c r="G8" t="s">
        <v>8198</v>
      </c>
      <c r="H8" t="s">
        <v>344</v>
      </c>
      <c r="I8" t="s">
        <v>8197</v>
      </c>
    </row>
    <row r="9" spans="1:9" x14ac:dyDescent="0.25">
      <c r="A9" t="s">
        <v>8140</v>
      </c>
      <c r="B9" t="s">
        <v>3496</v>
      </c>
      <c r="C9" t="s">
        <v>3736</v>
      </c>
      <c r="D9" t="s">
        <v>3517</v>
      </c>
      <c r="E9" t="s">
        <v>8207</v>
      </c>
      <c r="F9" t="s">
        <v>8180</v>
      </c>
      <c r="G9" t="s">
        <v>4646</v>
      </c>
      <c r="H9" t="s">
        <v>160</v>
      </c>
      <c r="I9" t="s">
        <v>8142</v>
      </c>
    </row>
    <row r="10" spans="1:9" x14ac:dyDescent="0.25">
      <c r="A10" t="s">
        <v>8195</v>
      </c>
      <c r="B10" t="s">
        <v>3496</v>
      </c>
      <c r="C10" t="s">
        <v>3736</v>
      </c>
      <c r="D10" t="s">
        <v>8204</v>
      </c>
      <c r="E10" t="s">
        <v>8222</v>
      </c>
      <c r="F10" t="s">
        <v>8265</v>
      </c>
      <c r="G10" t="s">
        <v>8196</v>
      </c>
      <c r="H10" t="s">
        <v>344</v>
      </c>
      <c r="I10" t="s">
        <v>8195</v>
      </c>
    </row>
    <row r="11" spans="1:9" x14ac:dyDescent="0.25">
      <c r="A11" t="s">
        <v>4582</v>
      </c>
      <c r="B11" t="s">
        <v>3496</v>
      </c>
      <c r="C11" t="s">
        <v>3736</v>
      </c>
      <c r="D11" t="s">
        <v>3517</v>
      </c>
      <c r="E11" t="s">
        <v>8281</v>
      </c>
      <c r="F11" t="s">
        <v>8308</v>
      </c>
      <c r="G11" t="s">
        <v>4798</v>
      </c>
      <c r="H11" t="s">
        <v>2804</v>
      </c>
      <c r="I11" t="s">
        <v>4582</v>
      </c>
    </row>
    <row r="12" spans="1:9" x14ac:dyDescent="0.25">
      <c r="A12" t="s">
        <v>8153</v>
      </c>
      <c r="B12" t="s">
        <v>3508</v>
      </c>
      <c r="C12" t="s">
        <v>3736</v>
      </c>
      <c r="D12" t="s">
        <v>3517</v>
      </c>
      <c r="E12" t="s">
        <v>8208</v>
      </c>
      <c r="F12" t="s">
        <v>8181</v>
      </c>
      <c r="H12" t="s">
        <v>2619</v>
      </c>
      <c r="I12" t="s">
        <v>8154</v>
      </c>
    </row>
    <row r="13" spans="1:9" x14ac:dyDescent="0.25">
      <c r="A13" t="s">
        <v>14079</v>
      </c>
      <c r="B13" t="s">
        <v>3508</v>
      </c>
      <c r="C13" t="s">
        <v>3736</v>
      </c>
      <c r="D13" t="s">
        <v>3517</v>
      </c>
      <c r="E13" t="s">
        <v>14080</v>
      </c>
      <c r="G13" t="s">
        <v>4646</v>
      </c>
      <c r="H13" t="s">
        <v>160</v>
      </c>
      <c r="I13" t="s">
        <v>14081</v>
      </c>
    </row>
    <row r="14" spans="1:9" x14ac:dyDescent="0.25">
      <c r="A14" t="s">
        <v>4611</v>
      </c>
      <c r="B14" t="s">
        <v>41</v>
      </c>
      <c r="C14" t="s">
        <v>3891</v>
      </c>
      <c r="D14" t="s">
        <v>8204</v>
      </c>
      <c r="E14" t="s">
        <v>8223</v>
      </c>
      <c r="F14" t="s">
        <v>8266</v>
      </c>
      <c r="G14" t="s">
        <v>8242</v>
      </c>
      <c r="H14" t="s">
        <v>344</v>
      </c>
      <c r="I14" t="s">
        <v>4611</v>
      </c>
    </row>
    <row r="15" spans="1:9" x14ac:dyDescent="0.25">
      <c r="A15" t="s">
        <v>8157</v>
      </c>
      <c r="B15" t="s">
        <v>41</v>
      </c>
      <c r="C15" t="s">
        <v>3736</v>
      </c>
      <c r="D15" t="s">
        <v>3517</v>
      </c>
      <c r="E15" t="s">
        <v>4427</v>
      </c>
      <c r="F15" t="s">
        <v>8182</v>
      </c>
      <c r="H15" t="s">
        <v>160</v>
      </c>
      <c r="I15" t="s">
        <v>8158</v>
      </c>
    </row>
    <row r="16" spans="1:9" x14ac:dyDescent="0.25">
      <c r="A16" t="s">
        <v>8149</v>
      </c>
      <c r="B16" t="s">
        <v>41</v>
      </c>
      <c r="C16" t="s">
        <v>3736</v>
      </c>
      <c r="D16" t="s">
        <v>3517</v>
      </c>
      <c r="E16" t="s">
        <v>8267</v>
      </c>
      <c r="F16" t="s">
        <v>8183</v>
      </c>
      <c r="H16" t="s">
        <v>2619</v>
      </c>
      <c r="I16" t="s">
        <v>8149</v>
      </c>
    </row>
    <row r="17" spans="1:9" x14ac:dyDescent="0.25">
      <c r="A17" t="s">
        <v>8155</v>
      </c>
      <c r="B17" t="s">
        <v>41</v>
      </c>
      <c r="C17" t="s">
        <v>3736</v>
      </c>
      <c r="D17" t="s">
        <v>3517</v>
      </c>
      <c r="E17" t="s">
        <v>8209</v>
      </c>
      <c r="F17" t="s">
        <v>8184</v>
      </c>
      <c r="H17" t="s">
        <v>160</v>
      </c>
      <c r="I17" t="s">
        <v>8156</v>
      </c>
    </row>
    <row r="18" spans="1:9" x14ac:dyDescent="0.25">
      <c r="A18" t="s">
        <v>4699</v>
      </c>
      <c r="B18" t="s">
        <v>3508</v>
      </c>
      <c r="C18" t="s">
        <v>3736</v>
      </c>
      <c r="D18" t="s">
        <v>3517</v>
      </c>
      <c r="E18" t="s">
        <v>3564</v>
      </c>
      <c r="F18" t="s">
        <v>3565</v>
      </c>
      <c r="H18" t="s">
        <v>160</v>
      </c>
      <c r="I18" t="s">
        <v>4701</v>
      </c>
    </row>
    <row r="19" spans="1:9" x14ac:dyDescent="0.25">
      <c r="A19" t="s">
        <v>8145</v>
      </c>
      <c r="B19" t="s">
        <v>3508</v>
      </c>
      <c r="C19" t="s">
        <v>3736</v>
      </c>
      <c r="D19" t="s">
        <v>3517</v>
      </c>
      <c r="E19" t="s">
        <v>8210</v>
      </c>
      <c r="F19" t="s">
        <v>3660</v>
      </c>
      <c r="G19" t="s">
        <v>4646</v>
      </c>
      <c r="H19" t="s">
        <v>2619</v>
      </c>
      <c r="I19" t="s">
        <v>8146</v>
      </c>
    </row>
    <row r="20" spans="1:9" x14ac:dyDescent="0.25">
      <c r="A20" t="s">
        <v>4905</v>
      </c>
      <c r="B20" t="s">
        <v>41</v>
      </c>
      <c r="C20" t="s">
        <v>3736</v>
      </c>
      <c r="D20" t="s">
        <v>3517</v>
      </c>
      <c r="E20" t="s">
        <v>8241</v>
      </c>
      <c r="F20" t="s">
        <v>8268</v>
      </c>
      <c r="G20" t="s">
        <v>8243</v>
      </c>
      <c r="H20" t="s">
        <v>344</v>
      </c>
      <c r="I20" t="s">
        <v>4905</v>
      </c>
    </row>
    <row r="21" spans="1:9" x14ac:dyDescent="0.25">
      <c r="A21" t="s">
        <v>14082</v>
      </c>
      <c r="B21" t="s">
        <v>41</v>
      </c>
      <c r="C21" t="s">
        <v>3736</v>
      </c>
      <c r="D21" t="s">
        <v>3517</v>
      </c>
      <c r="E21" t="s">
        <v>14083</v>
      </c>
      <c r="G21" t="s">
        <v>14084</v>
      </c>
      <c r="H21" t="s">
        <v>2619</v>
      </c>
      <c r="I21" t="s">
        <v>14085</v>
      </c>
    </row>
    <row r="22" spans="1:9" x14ac:dyDescent="0.25">
      <c r="A22" t="s">
        <v>8147</v>
      </c>
      <c r="B22" t="s">
        <v>3496</v>
      </c>
      <c r="C22" t="s">
        <v>3736</v>
      </c>
      <c r="D22" t="s">
        <v>3517</v>
      </c>
      <c r="E22" t="s">
        <v>8211</v>
      </c>
      <c r="F22" t="s">
        <v>3504</v>
      </c>
      <c r="G22" t="s">
        <v>3681</v>
      </c>
      <c r="H22" t="s">
        <v>2619</v>
      </c>
      <c r="I22" t="s">
        <v>8148</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8228</v>
      </c>
      <c r="E1" t="s">
        <v>8229</v>
      </c>
      <c r="F1" t="s">
        <v>3490</v>
      </c>
      <c r="G1" t="s">
        <v>167</v>
      </c>
      <c r="H1" t="s">
        <v>3517</v>
      </c>
      <c r="I1" t="s">
        <v>8271</v>
      </c>
      <c r="J1" t="s">
        <v>3731</v>
      </c>
      <c r="K1" t="s">
        <v>8201</v>
      </c>
      <c r="L1" t="s">
        <v>3733</v>
      </c>
      <c r="M1" t="s">
        <v>1</v>
      </c>
      <c r="N1" t="s">
        <v>7</v>
      </c>
    </row>
    <row r="2" spans="1:14" x14ac:dyDescent="0.25">
      <c r="A2" t="s">
        <v>8300</v>
      </c>
      <c r="B2" t="s">
        <v>3496</v>
      </c>
      <c r="C2" t="s">
        <v>3785</v>
      </c>
      <c r="D2" t="s">
        <v>8230</v>
      </c>
      <c r="E2" t="s">
        <v>8187</v>
      </c>
      <c r="F2" t="s">
        <v>8249</v>
      </c>
      <c r="G2" t="s">
        <v>5435</v>
      </c>
      <c r="H2" t="s">
        <v>8301</v>
      </c>
      <c r="I2" t="s">
        <v>8309</v>
      </c>
      <c r="J2" t="s">
        <v>8298</v>
      </c>
      <c r="K2">
        <v>3</v>
      </c>
      <c r="L2" t="s">
        <v>3525</v>
      </c>
      <c r="M2" t="s">
        <v>2804</v>
      </c>
      <c r="N2" t="s">
        <v>8302</v>
      </c>
    </row>
    <row r="3" spans="1:14" x14ac:dyDescent="0.25">
      <c r="A3" t="s">
        <v>8247</v>
      </c>
      <c r="B3" t="s">
        <v>3496</v>
      </c>
      <c r="C3" t="s">
        <v>8248</v>
      </c>
      <c r="D3" t="s">
        <v>8230</v>
      </c>
      <c r="E3" t="s">
        <v>8252</v>
      </c>
      <c r="F3" t="s">
        <v>8289</v>
      </c>
      <c r="G3" t="s">
        <v>5435</v>
      </c>
      <c r="H3" t="s">
        <v>8250</v>
      </c>
      <c r="I3" t="s">
        <v>8272</v>
      </c>
      <c r="J3" t="s">
        <v>8227</v>
      </c>
      <c r="K3">
        <v>3</v>
      </c>
      <c r="M3" t="s">
        <v>344</v>
      </c>
      <c r="N3" t="s">
        <v>8251</v>
      </c>
    </row>
    <row r="4" spans="1:14" x14ac:dyDescent="0.25">
      <c r="A4" t="s">
        <v>8226</v>
      </c>
      <c r="B4" t="s">
        <v>3508</v>
      </c>
      <c r="C4" t="s">
        <v>3891</v>
      </c>
      <c r="D4" t="s">
        <v>8230</v>
      </c>
      <c r="E4" t="s">
        <v>3891</v>
      </c>
      <c r="F4" t="s">
        <v>8231</v>
      </c>
      <c r="G4" t="s">
        <v>5435</v>
      </c>
      <c r="H4" t="s">
        <v>8234</v>
      </c>
      <c r="I4" t="s">
        <v>8273</v>
      </c>
      <c r="J4" t="s">
        <v>8227</v>
      </c>
      <c r="K4">
        <v>3</v>
      </c>
      <c r="M4" t="s">
        <v>344</v>
      </c>
      <c r="N4" t="s">
        <v>8232</v>
      </c>
    </row>
    <row r="5" spans="1:14" x14ac:dyDescent="0.25">
      <c r="A5" t="s">
        <v>6825</v>
      </c>
      <c r="B5" t="s">
        <v>3496</v>
      </c>
      <c r="C5" t="s">
        <v>3780</v>
      </c>
      <c r="D5" t="s">
        <v>8255</v>
      </c>
      <c r="E5" t="s">
        <v>8256</v>
      </c>
      <c r="F5" t="s">
        <v>8249</v>
      </c>
      <c r="G5" t="s">
        <v>5442</v>
      </c>
      <c r="H5" t="s">
        <v>8274</v>
      </c>
      <c r="I5" t="s">
        <v>8275</v>
      </c>
      <c r="J5" t="s">
        <v>8257</v>
      </c>
      <c r="K5">
        <v>3</v>
      </c>
      <c r="M5" t="s">
        <v>1046</v>
      </c>
      <c r="N5" t="s">
        <v>8260</v>
      </c>
    </row>
    <row r="6" spans="1:14" x14ac:dyDescent="0.25">
      <c r="A6" t="s">
        <v>8282</v>
      </c>
      <c r="B6" t="s">
        <v>3508</v>
      </c>
      <c r="C6" t="s">
        <v>3736</v>
      </c>
      <c r="D6" t="s">
        <v>8283</v>
      </c>
      <c r="E6" t="s">
        <v>3736</v>
      </c>
      <c r="F6" t="s">
        <v>8231</v>
      </c>
      <c r="G6" t="s">
        <v>5442</v>
      </c>
      <c r="H6" t="s">
        <v>8296</v>
      </c>
      <c r="I6" t="s">
        <v>8310</v>
      </c>
      <c r="J6" t="s">
        <v>8284</v>
      </c>
      <c r="K6">
        <v>3</v>
      </c>
      <c r="L6" t="s">
        <v>8286</v>
      </c>
      <c r="M6" t="s">
        <v>2804</v>
      </c>
      <c r="N6" t="s">
        <v>8285</v>
      </c>
    </row>
    <row r="7" spans="1:14" x14ac:dyDescent="0.25">
      <c r="A7" t="s">
        <v>4686</v>
      </c>
      <c r="B7" t="s">
        <v>41</v>
      </c>
      <c r="C7" t="s">
        <v>3780</v>
      </c>
      <c r="D7" t="s">
        <v>8255</v>
      </c>
      <c r="E7" t="s">
        <v>8256</v>
      </c>
      <c r="F7" t="s">
        <v>8231</v>
      </c>
      <c r="G7" t="s">
        <v>5442</v>
      </c>
      <c r="H7" t="s">
        <v>3452</v>
      </c>
      <c r="J7" t="s">
        <v>8257</v>
      </c>
      <c r="K7">
        <v>3</v>
      </c>
      <c r="M7" t="s">
        <v>1046</v>
      </c>
      <c r="N7" t="s">
        <v>4689</v>
      </c>
    </row>
    <row r="8" spans="1:14" x14ac:dyDescent="0.25">
      <c r="A8" t="s">
        <v>8233</v>
      </c>
      <c r="B8" t="s">
        <v>3496</v>
      </c>
      <c r="C8" t="s">
        <v>3891</v>
      </c>
      <c r="D8" t="s">
        <v>8230</v>
      </c>
      <c r="E8" t="s">
        <v>3891</v>
      </c>
      <c r="F8" t="s">
        <v>8231</v>
      </c>
      <c r="G8" t="s">
        <v>5435</v>
      </c>
      <c r="H8" t="s">
        <v>8235</v>
      </c>
      <c r="I8" t="s">
        <v>8276</v>
      </c>
      <c r="J8" t="s">
        <v>8237</v>
      </c>
      <c r="K8">
        <v>3</v>
      </c>
      <c r="M8" t="s">
        <v>344</v>
      </c>
      <c r="N8" t="s">
        <v>8236</v>
      </c>
    </row>
    <row r="9" spans="1:14" x14ac:dyDescent="0.25">
      <c r="A9" t="s">
        <v>8287</v>
      </c>
      <c r="B9" t="s">
        <v>3496</v>
      </c>
      <c r="C9" t="s">
        <v>3736</v>
      </c>
      <c r="D9" t="s">
        <v>8283</v>
      </c>
      <c r="E9" t="s">
        <v>8256</v>
      </c>
      <c r="F9" t="s">
        <v>8231</v>
      </c>
      <c r="G9" t="s">
        <v>5442</v>
      </c>
      <c r="H9" t="s">
        <v>8296</v>
      </c>
      <c r="I9" t="s">
        <v>8310</v>
      </c>
      <c r="J9" t="s">
        <v>8284</v>
      </c>
      <c r="K9">
        <v>3</v>
      </c>
      <c r="L9" t="s">
        <v>8286</v>
      </c>
      <c r="M9" t="s">
        <v>2804</v>
      </c>
      <c r="N9" t="s">
        <v>8288</v>
      </c>
    </row>
    <row r="10" spans="1:14" x14ac:dyDescent="0.25">
      <c r="A10" t="s">
        <v>8297</v>
      </c>
      <c r="B10" t="s">
        <v>41</v>
      </c>
      <c r="C10" t="s">
        <v>3785</v>
      </c>
      <c r="D10" t="s">
        <v>8230</v>
      </c>
      <c r="E10" t="s">
        <v>8248</v>
      </c>
      <c r="F10" t="s">
        <v>8231</v>
      </c>
      <c r="G10" t="s">
        <v>5435</v>
      </c>
      <c r="H10" t="s">
        <v>3452</v>
      </c>
      <c r="J10" t="s">
        <v>8298</v>
      </c>
      <c r="K10">
        <v>3</v>
      </c>
      <c r="M10" t="s">
        <v>2804</v>
      </c>
      <c r="N10" t="s">
        <v>8297</v>
      </c>
    </row>
    <row r="11" spans="1:14" x14ac:dyDescent="0.25">
      <c r="A11" t="s">
        <v>8238</v>
      </c>
      <c r="B11" t="s">
        <v>41</v>
      </c>
      <c r="C11" t="s">
        <v>3891</v>
      </c>
      <c r="D11" t="s">
        <v>8230</v>
      </c>
      <c r="E11" t="s">
        <v>3891</v>
      </c>
      <c r="F11" t="s">
        <v>8231</v>
      </c>
      <c r="G11" t="s">
        <v>5435</v>
      </c>
      <c r="H11" t="s">
        <v>3452</v>
      </c>
      <c r="J11" t="s">
        <v>8240</v>
      </c>
      <c r="K11">
        <v>3</v>
      </c>
      <c r="L11" t="s">
        <v>3681</v>
      </c>
      <c r="M11" t="s">
        <v>344</v>
      </c>
      <c r="N11" t="s">
        <v>8239</v>
      </c>
    </row>
    <row r="12" spans="1:14" x14ac:dyDescent="0.25">
      <c r="A12" t="s">
        <v>14063</v>
      </c>
      <c r="B12" t="s">
        <v>41</v>
      </c>
      <c r="C12" t="s">
        <v>3785</v>
      </c>
      <c r="D12" t="s">
        <v>14071</v>
      </c>
      <c r="E12" t="s">
        <v>3952</v>
      </c>
      <c r="F12" t="s">
        <v>14070</v>
      </c>
      <c r="G12" t="s">
        <v>5442</v>
      </c>
      <c r="H12" t="s">
        <v>3452</v>
      </c>
      <c r="J12" t="s">
        <v>14064</v>
      </c>
      <c r="K12">
        <v>3</v>
      </c>
      <c r="L12" t="s">
        <v>14065</v>
      </c>
      <c r="M12" t="s">
        <v>360</v>
      </c>
      <c r="N12" t="s">
        <v>14063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6822</v>
      </c>
      <c r="C1" t="s">
        <v>6823</v>
      </c>
      <c r="D1" t="s">
        <v>8245</v>
      </c>
    </row>
    <row r="2" spans="1:4" x14ac:dyDescent="0.25">
      <c r="A2" t="s">
        <v>8247</v>
      </c>
      <c r="B2" t="s">
        <v>8226</v>
      </c>
      <c r="C2" t="s">
        <v>8253</v>
      </c>
      <c r="D2" t="s">
        <v>8254</v>
      </c>
    </row>
    <row r="3" spans="1:4" x14ac:dyDescent="0.25">
      <c r="A3" t="s">
        <v>8226</v>
      </c>
      <c r="B3" t="s">
        <v>8238</v>
      </c>
      <c r="C3" t="s">
        <v>8244</v>
      </c>
      <c r="D3" t="s">
        <v>8254</v>
      </c>
    </row>
    <row r="4" spans="1:4" x14ac:dyDescent="0.25">
      <c r="A4" t="s">
        <v>6825</v>
      </c>
      <c r="B4" t="s">
        <v>4686</v>
      </c>
      <c r="C4" t="s">
        <v>8259</v>
      </c>
      <c r="D4" t="s">
        <v>8258</v>
      </c>
    </row>
    <row r="5" spans="1:4" x14ac:dyDescent="0.25">
      <c r="A5" t="s">
        <v>8233</v>
      </c>
      <c r="B5" t="s">
        <v>8226</v>
      </c>
      <c r="C5" t="s">
        <v>8246</v>
      </c>
      <c r="D5" t="s">
        <v>8254</v>
      </c>
    </row>
    <row r="6" spans="1:4" x14ac:dyDescent="0.25">
      <c r="A6" t="s">
        <v>8287</v>
      </c>
      <c r="B6" t="s">
        <v>8282</v>
      </c>
      <c r="C6" t="s">
        <v>4582</v>
      </c>
      <c r="D6" t="s">
        <v>8258</v>
      </c>
    </row>
    <row r="7" spans="1:4" x14ac:dyDescent="0.25">
      <c r="A7" t="s">
        <v>8300</v>
      </c>
      <c r="B7" t="s">
        <v>8297</v>
      </c>
      <c r="C7" t="s">
        <v>8299</v>
      </c>
      <c r="D7" t="s">
        <v>8258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7852</v>
      </c>
      <c r="B2" t="s">
        <v>41</v>
      </c>
      <c r="C2" t="s">
        <v>3780</v>
      </c>
      <c r="D2" t="s">
        <v>8224</v>
      </c>
      <c r="E2" t="s">
        <v>8277</v>
      </c>
      <c r="F2" t="s">
        <v>344</v>
      </c>
      <c r="G2" t="s">
        <v>7855</v>
      </c>
    </row>
    <row r="3" spans="1:7" x14ac:dyDescent="0.25">
      <c r="A3" t="s">
        <v>8200</v>
      </c>
      <c r="B3" t="s">
        <v>3496</v>
      </c>
      <c r="C3" t="s">
        <v>7889</v>
      </c>
      <c r="D3" t="s">
        <v>8225</v>
      </c>
      <c r="E3" t="s">
        <v>8278</v>
      </c>
      <c r="F3" t="s">
        <v>344</v>
      </c>
      <c r="G3" t="s">
        <v>8200</v>
      </c>
    </row>
    <row r="4" spans="1:7" x14ac:dyDescent="0.25">
      <c r="A4" t="s">
        <v>8191</v>
      </c>
      <c r="B4" t="s">
        <v>41</v>
      </c>
      <c r="C4" t="s">
        <v>3785</v>
      </c>
      <c r="D4" t="s">
        <v>3452</v>
      </c>
      <c r="E4" t="s">
        <v>3452</v>
      </c>
      <c r="F4" t="s">
        <v>344</v>
      </c>
      <c r="G4" t="s">
        <v>8192</v>
      </c>
    </row>
    <row r="5" spans="1:7" x14ac:dyDescent="0.25">
      <c r="A5" t="s">
        <v>8185</v>
      </c>
      <c r="B5" t="s">
        <v>3496</v>
      </c>
      <c r="C5" t="s">
        <v>8187</v>
      </c>
      <c r="D5" t="s">
        <v>8188</v>
      </c>
      <c r="E5" t="s">
        <v>8193</v>
      </c>
      <c r="F5" t="s">
        <v>344</v>
      </c>
      <c r="G5" t="s">
        <v>8189</v>
      </c>
    </row>
    <row r="6" spans="1:7" x14ac:dyDescent="0.25">
      <c r="A6" t="s">
        <v>8186</v>
      </c>
      <c r="B6" t="s">
        <v>3508</v>
      </c>
      <c r="C6" t="s">
        <v>3736</v>
      </c>
      <c r="D6" t="s">
        <v>7460</v>
      </c>
      <c r="E6" t="s">
        <v>3504</v>
      </c>
      <c r="F6" t="s">
        <v>344</v>
      </c>
      <c r="G6" t="s">
        <v>8190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7605</v>
      </c>
      <c r="B3" t="s">
        <v>7608</v>
      </c>
      <c r="C3" t="s">
        <v>7635</v>
      </c>
      <c r="E3" t="s">
        <v>7609</v>
      </c>
      <c r="F3" t="s">
        <v>7605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0"/>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8021</v>
      </c>
      <c r="E1" t="s">
        <v>8022</v>
      </c>
      <c r="F1" t="s">
        <v>8023</v>
      </c>
      <c r="G1" t="s">
        <v>8024</v>
      </c>
      <c r="H1" t="s">
        <v>8047</v>
      </c>
      <c r="I1" t="s">
        <v>8025</v>
      </c>
      <c r="J1" t="s">
        <v>170</v>
      </c>
    </row>
    <row r="2" spans="1:10" x14ac:dyDescent="0.25">
      <c r="A2" t="s">
        <v>14064</v>
      </c>
      <c r="B2" t="s">
        <v>3744</v>
      </c>
      <c r="D2" t="s">
        <v>5748</v>
      </c>
      <c r="E2" t="s">
        <v>14063</v>
      </c>
      <c r="G2" t="s">
        <v>8027</v>
      </c>
      <c r="H2" t="s">
        <v>8048</v>
      </c>
    </row>
    <row r="3" spans="1:10" x14ac:dyDescent="0.25">
      <c r="A3" t="s">
        <v>3889</v>
      </c>
      <c r="B3" t="s">
        <v>3831</v>
      </c>
      <c r="C3" t="s">
        <v>3735</v>
      </c>
      <c r="D3" t="s">
        <v>8028</v>
      </c>
      <c r="E3" t="s">
        <v>3888</v>
      </c>
      <c r="G3" t="s">
        <v>8027</v>
      </c>
      <c r="H3" t="s">
        <v>8048</v>
      </c>
    </row>
    <row r="4" spans="1:10" x14ac:dyDescent="0.25">
      <c r="A4" t="s">
        <v>14068</v>
      </c>
      <c r="D4" t="s">
        <v>8036</v>
      </c>
      <c r="E4" t="s">
        <v>14066</v>
      </c>
      <c r="G4" t="s">
        <v>8027</v>
      </c>
      <c r="H4" t="s">
        <v>8049</v>
      </c>
    </row>
    <row r="5" spans="1:10" x14ac:dyDescent="0.25">
      <c r="A5" t="s">
        <v>3480</v>
      </c>
      <c r="D5" t="s">
        <v>8036</v>
      </c>
      <c r="E5" t="s">
        <v>3479</v>
      </c>
      <c r="G5" t="s">
        <v>8027</v>
      </c>
      <c r="H5" t="s">
        <v>8049</v>
      </c>
    </row>
    <row r="6" spans="1:10" x14ac:dyDescent="0.25">
      <c r="A6" t="s">
        <v>7874</v>
      </c>
      <c r="B6" t="s">
        <v>3744</v>
      </c>
      <c r="C6" t="s">
        <v>3769</v>
      </c>
      <c r="D6" t="s">
        <v>8028</v>
      </c>
      <c r="E6" t="s">
        <v>7873</v>
      </c>
      <c r="G6" t="s">
        <v>8027</v>
      </c>
      <c r="H6" t="s">
        <v>8048</v>
      </c>
    </row>
    <row r="7" spans="1:10" x14ac:dyDescent="0.25">
      <c r="A7" t="s">
        <v>8045</v>
      </c>
      <c r="D7" t="s">
        <v>6452</v>
      </c>
      <c r="E7" t="s">
        <v>5144</v>
      </c>
      <c r="F7" t="s">
        <v>8038</v>
      </c>
      <c r="G7" t="s">
        <v>8039</v>
      </c>
      <c r="H7" t="s">
        <v>8049</v>
      </c>
    </row>
    <row r="8" spans="1:10" x14ac:dyDescent="0.25">
      <c r="A8" t="s">
        <v>8046</v>
      </c>
      <c r="D8" t="s">
        <v>6452</v>
      </c>
      <c r="E8" t="s">
        <v>3995</v>
      </c>
      <c r="F8" t="s">
        <v>8038</v>
      </c>
      <c r="G8" t="s">
        <v>8039</v>
      </c>
      <c r="H8" t="s">
        <v>8049</v>
      </c>
    </row>
    <row r="9" spans="1:10" x14ac:dyDescent="0.25">
      <c r="A9" t="s">
        <v>3925</v>
      </c>
      <c r="B9" t="s">
        <v>3825</v>
      </c>
      <c r="C9" t="s">
        <v>3783</v>
      </c>
      <c r="D9" t="s">
        <v>8028</v>
      </c>
      <c r="E9" t="s">
        <v>3924</v>
      </c>
      <c r="G9" t="s">
        <v>8027</v>
      </c>
      <c r="H9" t="s">
        <v>8049</v>
      </c>
    </row>
    <row r="10" spans="1:10" x14ac:dyDescent="0.25">
      <c r="A10" t="s">
        <v>8075</v>
      </c>
      <c r="D10" t="s">
        <v>6452</v>
      </c>
      <c r="E10" t="s">
        <v>3984</v>
      </c>
      <c r="F10" t="s">
        <v>8038</v>
      </c>
      <c r="G10" t="s">
        <v>8039</v>
      </c>
      <c r="H10" t="s">
        <v>8049</v>
      </c>
    </row>
    <row r="11" spans="1:10" x14ac:dyDescent="0.25">
      <c r="A11" t="s">
        <v>3947</v>
      </c>
      <c r="B11" t="s">
        <v>3748</v>
      </c>
      <c r="C11" t="s">
        <v>3769</v>
      </c>
      <c r="D11" t="s">
        <v>8028</v>
      </c>
      <c r="E11" t="s">
        <v>3946</v>
      </c>
      <c r="G11" t="s">
        <v>8027</v>
      </c>
      <c r="H11" t="s">
        <v>8048</v>
      </c>
    </row>
    <row r="12" spans="1:10" x14ac:dyDescent="0.25">
      <c r="A12" t="s">
        <v>3871</v>
      </c>
      <c r="B12" t="s">
        <v>3744</v>
      </c>
      <c r="C12" t="s">
        <v>3769</v>
      </c>
      <c r="D12" t="s">
        <v>8026</v>
      </c>
      <c r="E12" t="s">
        <v>3870</v>
      </c>
      <c r="G12" t="s">
        <v>8027</v>
      </c>
      <c r="H12" t="s">
        <v>8048</v>
      </c>
    </row>
    <row r="13" spans="1:10" x14ac:dyDescent="0.25">
      <c r="A13" t="s">
        <v>3873</v>
      </c>
      <c r="B13" t="s">
        <v>3744</v>
      </c>
      <c r="C13" t="s">
        <v>3783</v>
      </c>
      <c r="D13" t="s">
        <v>8026</v>
      </c>
      <c r="E13" t="s">
        <v>3872</v>
      </c>
      <c r="G13" t="s">
        <v>8027</v>
      </c>
      <c r="H13" t="s">
        <v>8048</v>
      </c>
    </row>
    <row r="14" spans="1:10" x14ac:dyDescent="0.25">
      <c r="A14" t="s">
        <v>3851</v>
      </c>
      <c r="B14" t="s">
        <v>3744</v>
      </c>
      <c r="C14" t="s">
        <v>3769</v>
      </c>
      <c r="D14" t="s">
        <v>8026</v>
      </c>
      <c r="E14" t="s">
        <v>3850</v>
      </c>
      <c r="G14" t="s">
        <v>8027</v>
      </c>
      <c r="H14" t="s">
        <v>8048</v>
      </c>
    </row>
    <row r="15" spans="1:10" x14ac:dyDescent="0.25">
      <c r="A15" t="s">
        <v>3897</v>
      </c>
      <c r="B15" t="s">
        <v>3744</v>
      </c>
      <c r="C15" t="s">
        <v>3769</v>
      </c>
      <c r="D15" t="s">
        <v>8028</v>
      </c>
      <c r="E15" t="s">
        <v>3896</v>
      </c>
      <c r="G15" t="s">
        <v>8027</v>
      </c>
      <c r="H15" t="s">
        <v>8048</v>
      </c>
    </row>
    <row r="16" spans="1:10" x14ac:dyDescent="0.25">
      <c r="A16" t="s">
        <v>7427</v>
      </c>
      <c r="B16" t="s">
        <v>3744</v>
      </c>
      <c r="C16" t="s">
        <v>3783</v>
      </c>
      <c r="D16" t="s">
        <v>8026</v>
      </c>
      <c r="E16" t="s">
        <v>3782</v>
      </c>
      <c r="G16" t="s">
        <v>8027</v>
      </c>
      <c r="H16" t="s">
        <v>8048</v>
      </c>
    </row>
    <row r="17" spans="1:9" x14ac:dyDescent="0.25">
      <c r="A17" t="s">
        <v>3846</v>
      </c>
      <c r="B17" t="s">
        <v>3744</v>
      </c>
      <c r="C17" t="s">
        <v>3769</v>
      </c>
      <c r="D17" t="s">
        <v>8026</v>
      </c>
      <c r="E17" t="s">
        <v>3845</v>
      </c>
      <c r="G17" t="s">
        <v>8027</v>
      </c>
      <c r="H17" t="s">
        <v>8048</v>
      </c>
    </row>
    <row r="18" spans="1:9" x14ac:dyDescent="0.25">
      <c r="A18" t="s">
        <v>3894</v>
      </c>
      <c r="B18" t="s">
        <v>3744</v>
      </c>
      <c r="C18" t="s">
        <v>3769</v>
      </c>
      <c r="D18" t="s">
        <v>8028</v>
      </c>
      <c r="E18" t="s">
        <v>3893</v>
      </c>
      <c r="G18" t="s">
        <v>8027</v>
      </c>
      <c r="H18" t="s">
        <v>8048</v>
      </c>
    </row>
    <row r="19" spans="1:9" x14ac:dyDescent="0.25">
      <c r="A19" t="s">
        <v>3854</v>
      </c>
      <c r="B19" t="s">
        <v>3744</v>
      </c>
      <c r="C19" t="s">
        <v>3769</v>
      </c>
      <c r="D19" t="s">
        <v>8026</v>
      </c>
      <c r="E19" t="s">
        <v>3853</v>
      </c>
      <c r="G19" t="s">
        <v>8027</v>
      </c>
      <c r="H19" t="s">
        <v>8048</v>
      </c>
    </row>
    <row r="20" spans="1:9" x14ac:dyDescent="0.25">
      <c r="A20" t="s">
        <v>8055</v>
      </c>
      <c r="D20" t="s">
        <v>8036</v>
      </c>
      <c r="E20" t="s">
        <v>3466</v>
      </c>
      <c r="G20" t="s">
        <v>8027</v>
      </c>
      <c r="H20" t="s">
        <v>8049</v>
      </c>
    </row>
    <row r="21" spans="1:9" x14ac:dyDescent="0.25">
      <c r="A21" t="s">
        <v>3917</v>
      </c>
      <c r="B21" t="s">
        <v>3737</v>
      </c>
      <c r="C21" t="s">
        <v>3769</v>
      </c>
      <c r="D21" t="s">
        <v>8028</v>
      </c>
      <c r="E21" t="s">
        <v>8029</v>
      </c>
      <c r="G21" t="s">
        <v>8027</v>
      </c>
      <c r="H21" t="s">
        <v>8048</v>
      </c>
    </row>
    <row r="22" spans="1:9" x14ac:dyDescent="0.25">
      <c r="A22" t="s">
        <v>8056</v>
      </c>
      <c r="D22" t="s">
        <v>8036</v>
      </c>
      <c r="E22" t="s">
        <v>3469</v>
      </c>
      <c r="G22" t="s">
        <v>8027</v>
      </c>
      <c r="H22" t="s">
        <v>8049</v>
      </c>
    </row>
    <row r="23" spans="1:9" x14ac:dyDescent="0.25">
      <c r="A23" t="s">
        <v>3827</v>
      </c>
      <c r="B23" t="s">
        <v>3744</v>
      </c>
      <c r="C23" t="s">
        <v>3769</v>
      </c>
      <c r="D23" t="s">
        <v>8026</v>
      </c>
      <c r="E23" t="s">
        <v>3826</v>
      </c>
      <c r="G23" t="s">
        <v>8027</v>
      </c>
      <c r="H23" t="s">
        <v>8048</v>
      </c>
    </row>
    <row r="24" spans="1:9" x14ac:dyDescent="0.25">
      <c r="A24" t="s">
        <v>3887</v>
      </c>
      <c r="B24" t="s">
        <v>3748</v>
      </c>
      <c r="C24" t="s">
        <v>3735</v>
      </c>
      <c r="D24" t="s">
        <v>8028</v>
      </c>
      <c r="E24" t="s">
        <v>3886</v>
      </c>
      <c r="G24" t="s">
        <v>8027</v>
      </c>
      <c r="H24" t="s">
        <v>8048</v>
      </c>
    </row>
    <row r="25" spans="1:9" x14ac:dyDescent="0.25">
      <c r="A25" t="s">
        <v>8051</v>
      </c>
      <c r="B25" t="s">
        <v>3737</v>
      </c>
      <c r="C25" t="s">
        <v>3735</v>
      </c>
      <c r="D25" t="s">
        <v>8026</v>
      </c>
      <c r="E25" t="s">
        <v>3734</v>
      </c>
      <c r="G25" t="s">
        <v>8027</v>
      </c>
      <c r="H25" t="s">
        <v>8048</v>
      </c>
      <c r="I25">
        <v>3</v>
      </c>
    </row>
    <row r="26" spans="1:9" x14ac:dyDescent="0.25">
      <c r="A26" t="s">
        <v>8052</v>
      </c>
      <c r="B26" t="s">
        <v>3737</v>
      </c>
      <c r="C26" t="s">
        <v>3735</v>
      </c>
      <c r="D26" t="s">
        <v>8026</v>
      </c>
      <c r="E26" t="s">
        <v>3835</v>
      </c>
      <c r="G26" t="s">
        <v>8027</v>
      </c>
      <c r="H26" t="s">
        <v>8048</v>
      </c>
      <c r="I26">
        <v>3</v>
      </c>
    </row>
    <row r="27" spans="1:9" x14ac:dyDescent="0.25">
      <c r="A27" t="s">
        <v>8050</v>
      </c>
      <c r="B27" t="s">
        <v>3737</v>
      </c>
      <c r="C27" t="s">
        <v>3769</v>
      </c>
      <c r="D27" t="s">
        <v>8026</v>
      </c>
      <c r="E27" t="s">
        <v>3768</v>
      </c>
      <c r="G27" t="s">
        <v>8027</v>
      </c>
      <c r="H27" t="s">
        <v>8048</v>
      </c>
      <c r="I27">
        <v>5</v>
      </c>
    </row>
    <row r="28" spans="1:9" x14ac:dyDescent="0.25">
      <c r="A28" t="s">
        <v>8053</v>
      </c>
      <c r="B28" t="s">
        <v>3737</v>
      </c>
      <c r="C28" t="s">
        <v>3735</v>
      </c>
      <c r="D28" t="s">
        <v>8026</v>
      </c>
      <c r="E28" t="s">
        <v>3762</v>
      </c>
      <c r="G28" t="s">
        <v>8027</v>
      </c>
      <c r="H28" t="s">
        <v>8048</v>
      </c>
      <c r="I28">
        <v>3</v>
      </c>
    </row>
    <row r="29" spans="1:9" x14ac:dyDescent="0.25">
      <c r="A29" t="s">
        <v>12699</v>
      </c>
      <c r="B29" t="s">
        <v>3737</v>
      </c>
      <c r="C29" t="s">
        <v>3735</v>
      </c>
      <c r="D29" t="s">
        <v>8028</v>
      </c>
      <c r="E29" t="s">
        <v>12698</v>
      </c>
      <c r="G29" t="s">
        <v>8027</v>
      </c>
      <c r="H29" t="s">
        <v>8048</v>
      </c>
    </row>
    <row r="30" spans="1:9" x14ac:dyDescent="0.25">
      <c r="A30" t="s">
        <v>3931</v>
      </c>
      <c r="B30" t="s">
        <v>3737</v>
      </c>
      <c r="C30" t="s">
        <v>3735</v>
      </c>
      <c r="D30" t="s">
        <v>8028</v>
      </c>
      <c r="E30" t="s">
        <v>3930</v>
      </c>
      <c r="G30" t="s">
        <v>8027</v>
      </c>
      <c r="H30" t="s">
        <v>8048</v>
      </c>
    </row>
    <row r="31" spans="1:9" x14ac:dyDescent="0.25">
      <c r="A31" t="s">
        <v>3771</v>
      </c>
      <c r="B31" t="s">
        <v>3737</v>
      </c>
      <c r="C31" t="s">
        <v>3769</v>
      </c>
      <c r="D31" t="s">
        <v>8026</v>
      </c>
      <c r="E31" t="s">
        <v>3770</v>
      </c>
      <c r="G31" t="s">
        <v>8027</v>
      </c>
      <c r="H31" t="s">
        <v>8048</v>
      </c>
    </row>
    <row r="32" spans="1:9" x14ac:dyDescent="0.25">
      <c r="A32" t="s">
        <v>3942</v>
      </c>
      <c r="B32" t="s">
        <v>3737</v>
      </c>
      <c r="C32" t="s">
        <v>3735</v>
      </c>
      <c r="D32" t="s">
        <v>8028</v>
      </c>
      <c r="E32" t="s">
        <v>3941</v>
      </c>
      <c r="G32" t="s">
        <v>8027</v>
      </c>
      <c r="H32" t="s">
        <v>8048</v>
      </c>
    </row>
    <row r="33" spans="1:9" x14ac:dyDescent="0.25">
      <c r="A33" t="s">
        <v>7971</v>
      </c>
      <c r="B33" t="s">
        <v>3737</v>
      </c>
      <c r="C33" t="s">
        <v>3735</v>
      </c>
      <c r="D33" t="s">
        <v>8026</v>
      </c>
      <c r="E33" t="s">
        <v>5075</v>
      </c>
      <c r="G33" t="s">
        <v>8027</v>
      </c>
      <c r="H33" t="s">
        <v>8048</v>
      </c>
    </row>
    <row r="34" spans="1:9" x14ac:dyDescent="0.25">
      <c r="A34" t="s">
        <v>3786</v>
      </c>
      <c r="B34" t="s">
        <v>3737</v>
      </c>
      <c r="C34" t="s">
        <v>3783</v>
      </c>
      <c r="D34" t="s">
        <v>8026</v>
      </c>
      <c r="E34" t="s">
        <v>3784</v>
      </c>
      <c r="G34" t="s">
        <v>8027</v>
      </c>
      <c r="H34" t="s">
        <v>8048</v>
      </c>
    </row>
    <row r="35" spans="1:9" x14ac:dyDescent="0.25">
      <c r="A35" t="s">
        <v>3904</v>
      </c>
      <c r="B35" t="s">
        <v>3737</v>
      </c>
      <c r="C35" t="s">
        <v>3903</v>
      </c>
      <c r="D35" t="s">
        <v>8028</v>
      </c>
      <c r="E35" t="s">
        <v>3902</v>
      </c>
      <c r="G35" t="s">
        <v>8027</v>
      </c>
      <c r="H35" t="s">
        <v>8048</v>
      </c>
    </row>
    <row r="36" spans="1:9" x14ac:dyDescent="0.25">
      <c r="A36" t="s">
        <v>7677</v>
      </c>
      <c r="B36" t="s">
        <v>3737</v>
      </c>
      <c r="C36" t="s">
        <v>3769</v>
      </c>
      <c r="D36" t="s">
        <v>8026</v>
      </c>
      <c r="E36" t="s">
        <v>7676</v>
      </c>
      <c r="G36" t="s">
        <v>8027</v>
      </c>
      <c r="H36" t="s">
        <v>8048</v>
      </c>
    </row>
    <row r="37" spans="1:9" x14ac:dyDescent="0.25">
      <c r="A37" t="s">
        <v>3848</v>
      </c>
      <c r="B37" t="s">
        <v>3737</v>
      </c>
      <c r="C37" t="s">
        <v>3769</v>
      </c>
      <c r="D37" t="s">
        <v>8026</v>
      </c>
      <c r="E37" t="s">
        <v>3847</v>
      </c>
      <c r="G37" t="s">
        <v>8027</v>
      </c>
      <c r="H37" t="s">
        <v>8048</v>
      </c>
    </row>
    <row r="38" spans="1:9" x14ac:dyDescent="0.25">
      <c r="A38" t="s">
        <v>8034</v>
      </c>
      <c r="B38" t="s">
        <v>3737</v>
      </c>
      <c r="C38" t="s">
        <v>3769</v>
      </c>
      <c r="D38" t="s">
        <v>8028</v>
      </c>
      <c r="E38" t="s">
        <v>7422</v>
      </c>
      <c r="F38" t="s">
        <v>8035</v>
      </c>
      <c r="G38" t="s">
        <v>8027</v>
      </c>
      <c r="H38" t="s">
        <v>8048</v>
      </c>
    </row>
    <row r="39" spans="1:9" x14ac:dyDescent="0.25">
      <c r="A39" t="s">
        <v>7963</v>
      </c>
      <c r="B39" t="s">
        <v>3737</v>
      </c>
      <c r="C39" t="s">
        <v>3783</v>
      </c>
      <c r="D39" t="s">
        <v>8026</v>
      </c>
      <c r="E39" t="s">
        <v>7960</v>
      </c>
      <c r="G39" t="s">
        <v>8027</v>
      </c>
      <c r="H39" t="s">
        <v>8048</v>
      </c>
    </row>
    <row r="40" spans="1:9" x14ac:dyDescent="0.25">
      <c r="A40" t="s">
        <v>3760</v>
      </c>
      <c r="B40" t="s">
        <v>3737</v>
      </c>
      <c r="C40" t="s">
        <v>3735</v>
      </c>
      <c r="D40" t="s">
        <v>8026</v>
      </c>
      <c r="E40" t="s">
        <v>3759</v>
      </c>
      <c r="G40" t="s">
        <v>8027</v>
      </c>
      <c r="H40" t="s">
        <v>8048</v>
      </c>
    </row>
    <row r="41" spans="1:9" x14ac:dyDescent="0.25">
      <c r="A41" t="s">
        <v>8042</v>
      </c>
      <c r="B41" t="s">
        <v>3737</v>
      </c>
      <c r="C41" t="s">
        <v>3769</v>
      </c>
      <c r="D41" t="s">
        <v>8026</v>
      </c>
      <c r="E41" t="s">
        <v>3779</v>
      </c>
      <c r="G41" t="s">
        <v>8027</v>
      </c>
      <c r="H41" t="s">
        <v>8048</v>
      </c>
      <c r="I41">
        <v>2</v>
      </c>
    </row>
    <row r="42" spans="1:9" x14ac:dyDescent="0.25">
      <c r="A42" t="s">
        <v>8043</v>
      </c>
      <c r="B42" t="s">
        <v>3737</v>
      </c>
      <c r="C42" t="s">
        <v>3783</v>
      </c>
      <c r="D42" t="s">
        <v>8026</v>
      </c>
      <c r="E42" t="s">
        <v>3792</v>
      </c>
      <c r="G42" t="s">
        <v>8027</v>
      </c>
      <c r="H42" t="s">
        <v>8048</v>
      </c>
      <c r="I42">
        <v>3</v>
      </c>
    </row>
    <row r="43" spans="1:9" x14ac:dyDescent="0.25">
      <c r="A43" t="s">
        <v>14060</v>
      </c>
      <c r="B43" t="s">
        <v>3737</v>
      </c>
      <c r="C43" t="s">
        <v>3903</v>
      </c>
      <c r="D43" t="s">
        <v>8028</v>
      </c>
      <c r="E43" t="s">
        <v>14061</v>
      </c>
      <c r="G43" t="s">
        <v>8027</v>
      </c>
      <c r="H43" t="s">
        <v>8048</v>
      </c>
    </row>
    <row r="44" spans="1:9" x14ac:dyDescent="0.25">
      <c r="A44" t="s">
        <v>3754</v>
      </c>
      <c r="B44" t="s">
        <v>3737</v>
      </c>
      <c r="C44" t="s">
        <v>3735</v>
      </c>
      <c r="D44" t="s">
        <v>8026</v>
      </c>
      <c r="E44" t="s">
        <v>3753</v>
      </c>
      <c r="G44" t="s">
        <v>8027</v>
      </c>
      <c r="H44" t="s">
        <v>8048</v>
      </c>
    </row>
    <row r="45" spans="1:9" x14ac:dyDescent="0.25">
      <c r="A45" t="s">
        <v>3765</v>
      </c>
      <c r="B45" t="s">
        <v>3737</v>
      </c>
      <c r="C45" t="s">
        <v>3735</v>
      </c>
      <c r="D45" t="s">
        <v>8026</v>
      </c>
      <c r="E45" t="s">
        <v>3764</v>
      </c>
      <c r="G45" t="s">
        <v>8027</v>
      </c>
      <c r="H45" t="s">
        <v>8048</v>
      </c>
    </row>
    <row r="46" spans="1:9" x14ac:dyDescent="0.25">
      <c r="A46" t="s">
        <v>3877</v>
      </c>
      <c r="B46" t="s">
        <v>3737</v>
      </c>
      <c r="C46" t="s">
        <v>3735</v>
      </c>
      <c r="D46" t="s">
        <v>8028</v>
      </c>
      <c r="E46" t="s">
        <v>3876</v>
      </c>
      <c r="G46" t="s">
        <v>8027</v>
      </c>
      <c r="H46" t="s">
        <v>8048</v>
      </c>
    </row>
    <row r="47" spans="1:9" x14ac:dyDescent="0.25">
      <c r="A47" t="s">
        <v>7958</v>
      </c>
      <c r="B47" t="s">
        <v>3737</v>
      </c>
      <c r="C47" t="s">
        <v>3903</v>
      </c>
      <c r="D47" t="s">
        <v>8026</v>
      </c>
      <c r="E47" t="s">
        <v>7957</v>
      </c>
      <c r="G47" t="s">
        <v>8027</v>
      </c>
      <c r="H47" t="s">
        <v>8048</v>
      </c>
    </row>
    <row r="48" spans="1:9" x14ac:dyDescent="0.25">
      <c r="A48" t="s">
        <v>3741</v>
      </c>
      <c r="B48" t="s">
        <v>3737</v>
      </c>
      <c r="C48" t="s">
        <v>3735</v>
      </c>
      <c r="D48" t="s">
        <v>8026</v>
      </c>
      <c r="E48" t="s">
        <v>3740</v>
      </c>
      <c r="G48" t="s">
        <v>8027</v>
      </c>
      <c r="H48" t="s">
        <v>8048</v>
      </c>
    </row>
    <row r="49" spans="1:8" x14ac:dyDescent="0.25">
      <c r="A49" t="s">
        <v>7674</v>
      </c>
      <c r="B49" t="s">
        <v>3737</v>
      </c>
      <c r="C49" t="s">
        <v>3735</v>
      </c>
      <c r="D49" t="s">
        <v>8026</v>
      </c>
      <c r="E49" t="s">
        <v>7673</v>
      </c>
      <c r="G49" t="s">
        <v>8027</v>
      </c>
      <c r="H49" t="s">
        <v>8048</v>
      </c>
    </row>
    <row r="50" spans="1:8" x14ac:dyDescent="0.25">
      <c r="A50" t="s">
        <v>3822</v>
      </c>
      <c r="B50" t="s">
        <v>3737</v>
      </c>
      <c r="C50" t="s">
        <v>3769</v>
      </c>
      <c r="D50" t="s">
        <v>8026</v>
      </c>
      <c r="E50" t="s">
        <v>3821</v>
      </c>
      <c r="G50" t="s">
        <v>8027</v>
      </c>
      <c r="H50" t="s">
        <v>8048</v>
      </c>
    </row>
    <row r="51" spans="1:8" x14ac:dyDescent="0.25">
      <c r="A51" t="s">
        <v>3818</v>
      </c>
      <c r="B51" t="s">
        <v>3737</v>
      </c>
      <c r="C51" t="s">
        <v>3735</v>
      </c>
      <c r="D51" t="s">
        <v>8026</v>
      </c>
      <c r="E51" t="s">
        <v>3817</v>
      </c>
      <c r="G51" t="s">
        <v>8027</v>
      </c>
      <c r="H51" t="s">
        <v>8048</v>
      </c>
    </row>
    <row r="52" spans="1:8" x14ac:dyDescent="0.25">
      <c r="A52" t="s">
        <v>3777</v>
      </c>
      <c r="B52" t="s">
        <v>3737</v>
      </c>
      <c r="C52" t="s">
        <v>3769</v>
      </c>
      <c r="D52" t="s">
        <v>8026</v>
      </c>
      <c r="E52" t="s">
        <v>3776</v>
      </c>
      <c r="G52" t="s">
        <v>8027</v>
      </c>
      <c r="H52" t="s">
        <v>8048</v>
      </c>
    </row>
    <row r="53" spans="1:8" x14ac:dyDescent="0.25">
      <c r="A53" t="s">
        <v>7433</v>
      </c>
      <c r="B53" t="s">
        <v>3737</v>
      </c>
      <c r="C53" t="s">
        <v>3735</v>
      </c>
      <c r="D53" t="s">
        <v>8026</v>
      </c>
      <c r="E53" t="s">
        <v>7432</v>
      </c>
      <c r="G53" t="s">
        <v>8027</v>
      </c>
      <c r="H53" t="s">
        <v>8048</v>
      </c>
    </row>
    <row r="54" spans="1:8" x14ac:dyDescent="0.25">
      <c r="A54" t="s">
        <v>3884</v>
      </c>
      <c r="B54" t="s">
        <v>3737</v>
      </c>
      <c r="C54" t="s">
        <v>3735</v>
      </c>
      <c r="D54" t="s">
        <v>8028</v>
      </c>
      <c r="E54" t="s">
        <v>3883</v>
      </c>
      <c r="G54" t="s">
        <v>8027</v>
      </c>
      <c r="H54" t="s">
        <v>8048</v>
      </c>
    </row>
    <row r="55" spans="1:8" x14ac:dyDescent="0.25">
      <c r="A55" t="s">
        <v>3901</v>
      </c>
      <c r="B55" t="s">
        <v>3737</v>
      </c>
      <c r="C55" t="s">
        <v>3783</v>
      </c>
      <c r="D55" t="s">
        <v>8028</v>
      </c>
      <c r="E55" t="s">
        <v>3462</v>
      </c>
      <c r="G55" t="s">
        <v>8027</v>
      </c>
      <c r="H55" t="s">
        <v>8048</v>
      </c>
    </row>
    <row r="56" spans="1:8" x14ac:dyDescent="0.25">
      <c r="A56" t="s">
        <v>7688</v>
      </c>
      <c r="B56" t="s">
        <v>3744</v>
      </c>
      <c r="C56" t="s">
        <v>3735</v>
      </c>
      <c r="D56" t="s">
        <v>8026</v>
      </c>
      <c r="E56" t="s">
        <v>7687</v>
      </c>
      <c r="G56" t="s">
        <v>8027</v>
      </c>
      <c r="H56" t="s">
        <v>8048</v>
      </c>
    </row>
    <row r="57" spans="1:8" x14ac:dyDescent="0.25">
      <c r="A57" t="s">
        <v>7350</v>
      </c>
      <c r="B57" t="s">
        <v>3744</v>
      </c>
      <c r="C57" t="s">
        <v>3735</v>
      </c>
      <c r="D57" t="s">
        <v>8026</v>
      </c>
      <c r="E57" t="s">
        <v>7349</v>
      </c>
      <c r="G57" t="s">
        <v>8027</v>
      </c>
      <c r="H57" t="s">
        <v>8048</v>
      </c>
    </row>
    <row r="58" spans="1:8" x14ac:dyDescent="0.25">
      <c r="A58" t="s">
        <v>14059</v>
      </c>
      <c r="B58" t="s">
        <v>3744</v>
      </c>
      <c r="C58" t="s">
        <v>3735</v>
      </c>
      <c r="D58" t="s">
        <v>8026</v>
      </c>
      <c r="E58" t="s">
        <v>14057</v>
      </c>
      <c r="G58" t="s">
        <v>8027</v>
      </c>
      <c r="H58" t="s">
        <v>8048</v>
      </c>
    </row>
    <row r="59" spans="1:8" x14ac:dyDescent="0.25">
      <c r="A59" t="s">
        <v>7887</v>
      </c>
      <c r="B59" t="s">
        <v>3744</v>
      </c>
      <c r="C59" t="s">
        <v>3769</v>
      </c>
      <c r="D59" t="s">
        <v>8028</v>
      </c>
      <c r="E59" t="s">
        <v>7888</v>
      </c>
      <c r="G59" t="s">
        <v>8027</v>
      </c>
      <c r="H59" t="s">
        <v>8048</v>
      </c>
    </row>
    <row r="60" spans="1:8" x14ac:dyDescent="0.25">
      <c r="A60" t="s">
        <v>3751</v>
      </c>
      <c r="B60" t="s">
        <v>3744</v>
      </c>
      <c r="C60" t="s">
        <v>3735</v>
      </c>
      <c r="D60" t="s">
        <v>8026</v>
      </c>
      <c r="E60" t="s">
        <v>3750</v>
      </c>
      <c r="G60" t="s">
        <v>8027</v>
      </c>
      <c r="H60" t="s">
        <v>8048</v>
      </c>
    </row>
    <row r="61" spans="1:8" x14ac:dyDescent="0.25">
      <c r="A61" t="s">
        <v>3834</v>
      </c>
      <c r="B61" t="s">
        <v>3737</v>
      </c>
      <c r="C61" t="s">
        <v>3735</v>
      </c>
      <c r="D61" t="s">
        <v>8026</v>
      </c>
      <c r="E61" t="s">
        <v>3833</v>
      </c>
      <c r="G61" t="s">
        <v>8027</v>
      </c>
      <c r="H61" t="s">
        <v>8048</v>
      </c>
    </row>
    <row r="62" spans="1:8" x14ac:dyDescent="0.25">
      <c r="A62" t="s">
        <v>8063</v>
      </c>
      <c r="B62" t="s">
        <v>3825</v>
      </c>
      <c r="C62" t="s">
        <v>3769</v>
      </c>
      <c r="D62" t="s">
        <v>8028</v>
      </c>
      <c r="E62" t="s">
        <v>3910</v>
      </c>
      <c r="G62" t="s">
        <v>8027</v>
      </c>
      <c r="H62" t="s">
        <v>8049</v>
      </c>
    </row>
    <row r="63" spans="1:8" x14ac:dyDescent="0.25">
      <c r="A63" t="s">
        <v>8064</v>
      </c>
      <c r="B63" t="s">
        <v>3825</v>
      </c>
      <c r="C63" t="s">
        <v>3769</v>
      </c>
      <c r="D63" t="s">
        <v>8028</v>
      </c>
      <c r="E63" t="s">
        <v>3914</v>
      </c>
      <c r="G63" t="s">
        <v>8027</v>
      </c>
      <c r="H63" t="s">
        <v>8049</v>
      </c>
    </row>
    <row r="64" spans="1:8" x14ac:dyDescent="0.25">
      <c r="A64" t="s">
        <v>8065</v>
      </c>
      <c r="B64" t="s">
        <v>3825</v>
      </c>
      <c r="C64" t="s">
        <v>3769</v>
      </c>
      <c r="D64" t="s">
        <v>8028</v>
      </c>
      <c r="E64" t="s">
        <v>3919</v>
      </c>
      <c r="G64" t="s">
        <v>8027</v>
      </c>
      <c r="H64" t="s">
        <v>8049</v>
      </c>
    </row>
    <row r="65" spans="1:8" x14ac:dyDescent="0.25">
      <c r="A65" t="s">
        <v>8066</v>
      </c>
      <c r="B65" t="s">
        <v>3825</v>
      </c>
      <c r="C65" t="s">
        <v>3769</v>
      </c>
      <c r="D65" t="s">
        <v>8028</v>
      </c>
      <c r="E65" t="s">
        <v>3912</v>
      </c>
      <c r="G65" t="s">
        <v>8027</v>
      </c>
      <c r="H65" t="s">
        <v>8049</v>
      </c>
    </row>
    <row r="66" spans="1:8" x14ac:dyDescent="0.25">
      <c r="A66" t="s">
        <v>8067</v>
      </c>
      <c r="B66" t="s">
        <v>3825</v>
      </c>
      <c r="C66" t="s">
        <v>3783</v>
      </c>
      <c r="D66" t="s">
        <v>8026</v>
      </c>
      <c r="E66" t="s">
        <v>3829</v>
      </c>
      <c r="G66" t="s">
        <v>8027</v>
      </c>
      <c r="H66" t="s">
        <v>8049</v>
      </c>
    </row>
    <row r="67" spans="1:8" x14ac:dyDescent="0.25">
      <c r="A67" t="s">
        <v>8068</v>
      </c>
      <c r="B67" t="s">
        <v>3825</v>
      </c>
      <c r="C67" t="s">
        <v>3735</v>
      </c>
      <c r="D67" t="s">
        <v>8026</v>
      </c>
      <c r="E67" t="s">
        <v>7880</v>
      </c>
      <c r="G67" t="s">
        <v>8027</v>
      </c>
      <c r="H67" t="s">
        <v>8049</v>
      </c>
    </row>
    <row r="68" spans="1:8" x14ac:dyDescent="0.25">
      <c r="A68" t="s">
        <v>8069</v>
      </c>
      <c r="B68" t="s">
        <v>3825</v>
      </c>
      <c r="C68" t="s">
        <v>3769</v>
      </c>
      <c r="D68" t="s">
        <v>8026</v>
      </c>
      <c r="E68" t="s">
        <v>3868</v>
      </c>
      <c r="G68" t="s">
        <v>8027</v>
      </c>
      <c r="H68" t="s">
        <v>8049</v>
      </c>
    </row>
    <row r="69" spans="1:8" x14ac:dyDescent="0.25">
      <c r="A69" t="s">
        <v>8070</v>
      </c>
      <c r="B69" t="s">
        <v>3825</v>
      </c>
      <c r="C69" t="s">
        <v>3735</v>
      </c>
      <c r="D69" t="s">
        <v>8028</v>
      </c>
      <c r="E69" t="s">
        <v>3882</v>
      </c>
      <c r="G69" t="s">
        <v>8027</v>
      </c>
      <c r="H69" t="s">
        <v>8049</v>
      </c>
    </row>
    <row r="70" spans="1:8" x14ac:dyDescent="0.25">
      <c r="A70" t="s">
        <v>8030</v>
      </c>
      <c r="B70" t="s">
        <v>3744</v>
      </c>
      <c r="C70" t="s">
        <v>3769</v>
      </c>
      <c r="D70" t="s">
        <v>8028</v>
      </c>
      <c r="E70" t="s">
        <v>7422</v>
      </c>
      <c r="F70" t="s">
        <v>8031</v>
      </c>
      <c r="G70" t="s">
        <v>8027</v>
      </c>
      <c r="H70" t="s">
        <v>8048</v>
      </c>
    </row>
    <row r="71" spans="1:8" x14ac:dyDescent="0.25">
      <c r="A71" t="s">
        <v>7898</v>
      </c>
      <c r="B71" t="s">
        <v>3744</v>
      </c>
      <c r="C71" t="s">
        <v>3769</v>
      </c>
      <c r="D71" t="s">
        <v>8028</v>
      </c>
      <c r="E71" t="s">
        <v>7897</v>
      </c>
      <c r="G71" t="s">
        <v>8027</v>
      </c>
      <c r="H71" t="s">
        <v>8048</v>
      </c>
    </row>
    <row r="72" spans="1:8" x14ac:dyDescent="0.25">
      <c r="A72" t="s">
        <v>7894</v>
      </c>
      <c r="B72" t="s">
        <v>3744</v>
      </c>
      <c r="C72" t="s">
        <v>3903</v>
      </c>
      <c r="D72" t="s">
        <v>8028</v>
      </c>
      <c r="E72" t="s">
        <v>7893</v>
      </c>
      <c r="G72" t="s">
        <v>8027</v>
      </c>
      <c r="H72" t="s">
        <v>8048</v>
      </c>
    </row>
    <row r="73" spans="1:8" x14ac:dyDescent="0.25">
      <c r="A73" t="s">
        <v>7956</v>
      </c>
      <c r="B73" t="s">
        <v>3748</v>
      </c>
      <c r="C73" t="s">
        <v>3769</v>
      </c>
      <c r="D73" t="s">
        <v>8026</v>
      </c>
      <c r="E73" t="s">
        <v>7955</v>
      </c>
      <c r="G73" t="s">
        <v>8027</v>
      </c>
      <c r="H73" t="s">
        <v>8048</v>
      </c>
    </row>
    <row r="74" spans="1:8" x14ac:dyDescent="0.25">
      <c r="A74" t="s">
        <v>3858</v>
      </c>
      <c r="B74" t="s">
        <v>3831</v>
      </c>
      <c r="C74" t="s">
        <v>3769</v>
      </c>
      <c r="D74" t="s">
        <v>8026</v>
      </c>
      <c r="E74" t="s">
        <v>3857</v>
      </c>
      <c r="G74" t="s">
        <v>8027</v>
      </c>
      <c r="H74" t="s">
        <v>8048</v>
      </c>
    </row>
    <row r="75" spans="1:8" x14ac:dyDescent="0.25">
      <c r="A75" t="s">
        <v>3945</v>
      </c>
      <c r="B75" t="s">
        <v>3744</v>
      </c>
      <c r="C75" t="s">
        <v>3769</v>
      </c>
      <c r="D75" t="s">
        <v>8028</v>
      </c>
      <c r="E75" t="s">
        <v>3944</v>
      </c>
      <c r="G75" t="s">
        <v>8027</v>
      </c>
      <c r="H75" t="s">
        <v>8048</v>
      </c>
    </row>
    <row r="76" spans="1:8" x14ac:dyDescent="0.25">
      <c r="A76" t="s">
        <v>3802</v>
      </c>
      <c r="B76" t="s">
        <v>3744</v>
      </c>
      <c r="C76" t="s">
        <v>3735</v>
      </c>
      <c r="D76" t="s">
        <v>8026</v>
      </c>
      <c r="E76" t="s">
        <v>3801</v>
      </c>
      <c r="G76" t="s">
        <v>8027</v>
      </c>
      <c r="H76" t="s">
        <v>8048</v>
      </c>
    </row>
    <row r="77" spans="1:8" x14ac:dyDescent="0.25">
      <c r="A77" t="s">
        <v>7878</v>
      </c>
      <c r="B77" t="s">
        <v>3744</v>
      </c>
      <c r="C77" t="s">
        <v>3783</v>
      </c>
      <c r="D77" t="s">
        <v>8026</v>
      </c>
      <c r="E77" t="s">
        <v>7877</v>
      </c>
      <c r="G77" t="s">
        <v>8027</v>
      </c>
      <c r="H77" t="s">
        <v>8048</v>
      </c>
    </row>
    <row r="78" spans="1:8" x14ac:dyDescent="0.25">
      <c r="A78" t="s">
        <v>3950</v>
      </c>
      <c r="B78" t="s">
        <v>3744</v>
      </c>
      <c r="C78" t="s">
        <v>3769</v>
      </c>
      <c r="D78" t="s">
        <v>8028</v>
      </c>
      <c r="E78" t="s">
        <v>3949</v>
      </c>
      <c r="G78" t="s">
        <v>8027</v>
      </c>
      <c r="H78" t="s">
        <v>8048</v>
      </c>
    </row>
    <row r="79" spans="1:8" x14ac:dyDescent="0.25">
      <c r="A79" t="s">
        <v>8057</v>
      </c>
      <c r="D79" t="s">
        <v>8036</v>
      </c>
      <c r="E79" t="s">
        <v>3482</v>
      </c>
      <c r="G79" t="s">
        <v>8027</v>
      </c>
      <c r="H79" t="s">
        <v>8049</v>
      </c>
    </row>
    <row r="80" spans="1:8" x14ac:dyDescent="0.25">
      <c r="A80" t="s">
        <v>3798</v>
      </c>
      <c r="B80" t="s">
        <v>3744</v>
      </c>
      <c r="C80" t="s">
        <v>3735</v>
      </c>
      <c r="D80" t="s">
        <v>8026</v>
      </c>
      <c r="E80" t="s">
        <v>3797</v>
      </c>
      <c r="G80" t="s">
        <v>8027</v>
      </c>
      <c r="H80" t="s">
        <v>8048</v>
      </c>
    </row>
    <row r="81" spans="1:8" x14ac:dyDescent="0.25">
      <c r="A81" t="s">
        <v>3860</v>
      </c>
      <c r="B81" t="s">
        <v>3831</v>
      </c>
      <c r="C81" t="s">
        <v>3783</v>
      </c>
      <c r="D81" t="s">
        <v>8026</v>
      </c>
      <c r="E81" t="s">
        <v>3859</v>
      </c>
      <c r="G81" t="s">
        <v>8027</v>
      </c>
      <c r="H81" t="s">
        <v>8048</v>
      </c>
    </row>
    <row r="82" spans="1:8" x14ac:dyDescent="0.25">
      <c r="A82" t="s">
        <v>3928</v>
      </c>
      <c r="B82" t="s">
        <v>3744</v>
      </c>
      <c r="C82" t="s">
        <v>3903</v>
      </c>
      <c r="D82" t="s">
        <v>8028</v>
      </c>
      <c r="E82" t="s">
        <v>3927</v>
      </c>
      <c r="G82" t="s">
        <v>8027</v>
      </c>
      <c r="H82" t="s">
        <v>8048</v>
      </c>
    </row>
    <row r="83" spans="1:8" x14ac:dyDescent="0.25">
      <c r="A83" t="s">
        <v>3953</v>
      </c>
      <c r="B83" t="s">
        <v>3831</v>
      </c>
      <c r="C83" t="s">
        <v>3783</v>
      </c>
      <c r="D83" t="s">
        <v>8028</v>
      </c>
      <c r="E83" t="s">
        <v>3951</v>
      </c>
      <c r="G83" t="s">
        <v>8027</v>
      </c>
      <c r="H83" t="s">
        <v>8048</v>
      </c>
    </row>
    <row r="84" spans="1:8" x14ac:dyDescent="0.25">
      <c r="A84" t="s">
        <v>3906</v>
      </c>
      <c r="B84" t="s">
        <v>3744</v>
      </c>
      <c r="C84" t="s">
        <v>3735</v>
      </c>
      <c r="D84" t="s">
        <v>8028</v>
      </c>
      <c r="E84" t="s">
        <v>3907</v>
      </c>
      <c r="G84" t="s">
        <v>8027</v>
      </c>
      <c r="H84" t="s">
        <v>8048</v>
      </c>
    </row>
    <row r="85" spans="1:8" x14ac:dyDescent="0.25">
      <c r="A85" t="s">
        <v>3767</v>
      </c>
      <c r="B85" t="s">
        <v>3744</v>
      </c>
      <c r="C85" t="s">
        <v>3735</v>
      </c>
      <c r="D85" t="s">
        <v>8026</v>
      </c>
      <c r="E85" t="s">
        <v>3766</v>
      </c>
      <c r="G85" t="s">
        <v>8027</v>
      </c>
      <c r="H85" t="s">
        <v>8048</v>
      </c>
    </row>
    <row r="86" spans="1:8" x14ac:dyDescent="0.25">
      <c r="A86" t="s">
        <v>3936</v>
      </c>
      <c r="B86" t="s">
        <v>3744</v>
      </c>
      <c r="C86" t="s">
        <v>3735</v>
      </c>
      <c r="D86" t="s">
        <v>8028</v>
      </c>
      <c r="E86" t="s">
        <v>3935</v>
      </c>
      <c r="G86" t="s">
        <v>8027</v>
      </c>
      <c r="H86" t="s">
        <v>8048</v>
      </c>
    </row>
    <row r="87" spans="1:8" x14ac:dyDescent="0.25">
      <c r="A87" t="s">
        <v>3790</v>
      </c>
      <c r="B87" t="s">
        <v>3744</v>
      </c>
      <c r="C87" t="s">
        <v>3783</v>
      </c>
      <c r="D87" t="s">
        <v>8026</v>
      </c>
      <c r="E87" t="s">
        <v>3789</v>
      </c>
      <c r="G87" t="s">
        <v>8027</v>
      </c>
      <c r="H87" t="s">
        <v>8048</v>
      </c>
    </row>
    <row r="88" spans="1:8" x14ac:dyDescent="0.25">
      <c r="A88" t="s">
        <v>8040</v>
      </c>
      <c r="D88" t="s">
        <v>6452</v>
      </c>
      <c r="E88" t="s">
        <v>3980</v>
      </c>
      <c r="F88" t="s">
        <v>8038</v>
      </c>
      <c r="G88" t="s">
        <v>8039</v>
      </c>
      <c r="H88" t="s">
        <v>8049</v>
      </c>
    </row>
    <row r="89" spans="1:8" x14ac:dyDescent="0.25">
      <c r="A89" t="s">
        <v>8041</v>
      </c>
      <c r="D89" t="s">
        <v>6452</v>
      </c>
      <c r="E89" t="s">
        <v>3975</v>
      </c>
      <c r="F89" t="s">
        <v>8038</v>
      </c>
      <c r="G89" t="s">
        <v>8039</v>
      </c>
      <c r="H89" t="s">
        <v>8049</v>
      </c>
    </row>
    <row r="90" spans="1:8" x14ac:dyDescent="0.25">
      <c r="A90" t="s">
        <v>8076</v>
      </c>
      <c r="D90" t="s">
        <v>6452</v>
      </c>
      <c r="E90" t="s">
        <v>3992</v>
      </c>
      <c r="F90" t="s">
        <v>8038</v>
      </c>
      <c r="G90" t="s">
        <v>8039</v>
      </c>
      <c r="H90" t="s">
        <v>8049</v>
      </c>
    </row>
    <row r="91" spans="1:8" x14ac:dyDescent="0.25">
      <c r="A91" t="s">
        <v>8054</v>
      </c>
      <c r="B91" t="s">
        <v>3737</v>
      </c>
      <c r="C91" t="s">
        <v>3903</v>
      </c>
      <c r="D91" t="s">
        <v>8028</v>
      </c>
      <c r="E91" t="s">
        <v>3958</v>
      </c>
      <c r="G91" t="s">
        <v>8027</v>
      </c>
      <c r="H91" t="s">
        <v>8048</v>
      </c>
    </row>
    <row r="92" spans="1:8" x14ac:dyDescent="0.25">
      <c r="A92" t="s">
        <v>8279</v>
      </c>
      <c r="D92" t="s">
        <v>8036</v>
      </c>
      <c r="E92" t="s">
        <v>3449</v>
      </c>
      <c r="G92" t="s">
        <v>8027</v>
      </c>
      <c r="H92" t="s">
        <v>8049</v>
      </c>
    </row>
    <row r="93" spans="1:8" x14ac:dyDescent="0.25">
      <c r="A93" t="s">
        <v>3934</v>
      </c>
      <c r="B93" t="s">
        <v>3744</v>
      </c>
      <c r="C93" t="s">
        <v>3735</v>
      </c>
      <c r="D93" t="s">
        <v>8028</v>
      </c>
      <c r="E93" t="s">
        <v>3933</v>
      </c>
      <c r="G93" t="s">
        <v>8027</v>
      </c>
      <c r="H93" t="s">
        <v>8048</v>
      </c>
    </row>
    <row r="94" spans="1:8" x14ac:dyDescent="0.25">
      <c r="A94" t="s">
        <v>8061</v>
      </c>
      <c r="D94" t="s">
        <v>8036</v>
      </c>
      <c r="E94" t="s">
        <v>3458</v>
      </c>
      <c r="G94" t="s">
        <v>8027</v>
      </c>
      <c r="H94" t="s">
        <v>8049</v>
      </c>
    </row>
    <row r="95" spans="1:8" x14ac:dyDescent="0.25">
      <c r="A95" t="s">
        <v>8060</v>
      </c>
      <c r="D95" t="s">
        <v>8036</v>
      </c>
      <c r="E95" t="s">
        <v>3477</v>
      </c>
      <c r="G95" t="s">
        <v>8027</v>
      </c>
      <c r="H95" t="s">
        <v>8049</v>
      </c>
    </row>
    <row r="96" spans="1:8" x14ac:dyDescent="0.25">
      <c r="A96" t="s">
        <v>8059</v>
      </c>
      <c r="B96" t="s">
        <v>3825</v>
      </c>
      <c r="C96" t="s">
        <v>3735</v>
      </c>
      <c r="D96" t="s">
        <v>8028</v>
      </c>
      <c r="E96" t="s">
        <v>3961</v>
      </c>
      <c r="G96" t="s">
        <v>8027</v>
      </c>
      <c r="H96" t="s">
        <v>8049</v>
      </c>
    </row>
    <row r="97" spans="1:8" x14ac:dyDescent="0.25">
      <c r="A97" t="s">
        <v>8059</v>
      </c>
      <c r="B97" t="s">
        <v>3825</v>
      </c>
      <c r="C97" t="s">
        <v>3769</v>
      </c>
      <c r="D97" t="s">
        <v>8028</v>
      </c>
      <c r="E97" t="s">
        <v>3962</v>
      </c>
      <c r="G97" t="s">
        <v>8027</v>
      </c>
      <c r="H97" t="s">
        <v>8049</v>
      </c>
    </row>
    <row r="98" spans="1:8" x14ac:dyDescent="0.25">
      <c r="A98" t="s">
        <v>3838</v>
      </c>
      <c r="B98" t="s">
        <v>3748</v>
      </c>
      <c r="C98" t="s">
        <v>3735</v>
      </c>
      <c r="D98" t="s">
        <v>8026</v>
      </c>
      <c r="E98" t="s">
        <v>3837</v>
      </c>
      <c r="G98" t="s">
        <v>8027</v>
      </c>
      <c r="H98" t="s">
        <v>8048</v>
      </c>
    </row>
    <row r="99" spans="1:8" x14ac:dyDescent="0.25">
      <c r="A99" t="s">
        <v>8044</v>
      </c>
      <c r="B99" t="s">
        <v>3748</v>
      </c>
      <c r="C99" t="s">
        <v>3735</v>
      </c>
      <c r="D99" t="s">
        <v>8026</v>
      </c>
      <c r="E99" t="s">
        <v>3747</v>
      </c>
      <c r="G99" t="s">
        <v>8027</v>
      </c>
      <c r="H99" t="s">
        <v>8048</v>
      </c>
    </row>
    <row r="100" spans="1:8" x14ac:dyDescent="0.25">
      <c r="A100" t="s">
        <v>8073</v>
      </c>
      <c r="B100" t="s">
        <v>3748</v>
      </c>
      <c r="C100" t="s">
        <v>3735</v>
      </c>
      <c r="D100" t="s">
        <v>8028</v>
      </c>
      <c r="E100" t="s">
        <v>3874</v>
      </c>
      <c r="G100" t="s">
        <v>8027</v>
      </c>
      <c r="H100" t="s">
        <v>8048</v>
      </c>
    </row>
    <row r="101" spans="1:8" x14ac:dyDescent="0.25">
      <c r="A101" t="s">
        <v>3938</v>
      </c>
      <c r="B101" t="s">
        <v>3748</v>
      </c>
      <c r="C101" t="s">
        <v>3735</v>
      </c>
      <c r="D101" t="s">
        <v>8028</v>
      </c>
      <c r="E101" t="s">
        <v>3937</v>
      </c>
      <c r="G101" t="s">
        <v>8027</v>
      </c>
      <c r="H101" t="s">
        <v>8048</v>
      </c>
    </row>
    <row r="102" spans="1:8" x14ac:dyDescent="0.25">
      <c r="A102" t="s">
        <v>8071</v>
      </c>
      <c r="B102" t="s">
        <v>3825</v>
      </c>
      <c r="C102" t="s">
        <v>3783</v>
      </c>
      <c r="D102" t="s">
        <v>8028</v>
      </c>
      <c r="E102" t="s">
        <v>7885</v>
      </c>
      <c r="G102" t="s">
        <v>8027</v>
      </c>
      <c r="H102" t="s">
        <v>8049</v>
      </c>
    </row>
    <row r="103" spans="1:8" x14ac:dyDescent="0.25">
      <c r="A103" t="s">
        <v>8077</v>
      </c>
      <c r="D103" t="s">
        <v>8036</v>
      </c>
      <c r="E103" t="s">
        <v>3485</v>
      </c>
      <c r="G103" t="s">
        <v>8027</v>
      </c>
      <c r="H103" t="s">
        <v>8049</v>
      </c>
    </row>
    <row r="104" spans="1:8" x14ac:dyDescent="0.25">
      <c r="A104" t="s">
        <v>3796</v>
      </c>
      <c r="B104" t="s">
        <v>3744</v>
      </c>
      <c r="C104" t="s">
        <v>3735</v>
      </c>
      <c r="D104" t="s">
        <v>8026</v>
      </c>
      <c r="E104" t="s">
        <v>3795</v>
      </c>
      <c r="G104" t="s">
        <v>8027</v>
      </c>
      <c r="H104" t="s">
        <v>8048</v>
      </c>
    </row>
    <row r="105" spans="1:8" x14ac:dyDescent="0.25">
      <c r="A105" t="s">
        <v>3900</v>
      </c>
      <c r="B105" t="s">
        <v>3744</v>
      </c>
      <c r="C105" t="s">
        <v>3769</v>
      </c>
      <c r="D105" t="s">
        <v>8028</v>
      </c>
      <c r="E105" t="s">
        <v>3899</v>
      </c>
      <c r="G105" t="s">
        <v>8027</v>
      </c>
      <c r="H105" t="s">
        <v>8048</v>
      </c>
    </row>
    <row r="106" spans="1:8" x14ac:dyDescent="0.25">
      <c r="A106" t="s">
        <v>7353</v>
      </c>
      <c r="B106" t="s">
        <v>3744</v>
      </c>
      <c r="C106" t="s">
        <v>3735</v>
      </c>
      <c r="D106" t="s">
        <v>8028</v>
      </c>
      <c r="E106" t="s">
        <v>7352</v>
      </c>
      <c r="G106" t="s">
        <v>8027</v>
      </c>
      <c r="H106" t="s">
        <v>8048</v>
      </c>
    </row>
    <row r="107" spans="1:8" x14ac:dyDescent="0.25">
      <c r="A107" t="s">
        <v>3810</v>
      </c>
      <c r="B107" t="s">
        <v>3744</v>
      </c>
      <c r="C107" t="s">
        <v>3735</v>
      </c>
      <c r="D107" t="s">
        <v>8026</v>
      </c>
      <c r="E107" t="s">
        <v>3809</v>
      </c>
      <c r="G107" t="s">
        <v>8027</v>
      </c>
      <c r="H107" t="s">
        <v>8048</v>
      </c>
    </row>
    <row r="108" spans="1:8" x14ac:dyDescent="0.25">
      <c r="A108" t="s">
        <v>3745</v>
      </c>
      <c r="B108" t="s">
        <v>3744</v>
      </c>
      <c r="C108" t="s">
        <v>3735</v>
      </c>
      <c r="D108" t="s">
        <v>8026</v>
      </c>
      <c r="E108" t="s">
        <v>3743</v>
      </c>
      <c r="G108" t="s">
        <v>8027</v>
      </c>
      <c r="H108" t="s">
        <v>8048</v>
      </c>
    </row>
    <row r="109" spans="1:8" x14ac:dyDescent="0.25">
      <c r="A109" t="s">
        <v>3940</v>
      </c>
      <c r="B109" t="s">
        <v>3744</v>
      </c>
      <c r="C109" t="s">
        <v>3735</v>
      </c>
      <c r="D109" t="s">
        <v>8028</v>
      </c>
      <c r="E109" t="s">
        <v>3939</v>
      </c>
      <c r="G109" t="s">
        <v>8027</v>
      </c>
      <c r="H109" t="s">
        <v>8048</v>
      </c>
    </row>
    <row r="110" spans="1:8" x14ac:dyDescent="0.25">
      <c r="A110" t="s">
        <v>8078</v>
      </c>
      <c r="D110" t="s">
        <v>8036</v>
      </c>
      <c r="E110" t="s">
        <v>3454</v>
      </c>
      <c r="G110" t="s">
        <v>8027</v>
      </c>
      <c r="H110" t="s">
        <v>8049</v>
      </c>
    </row>
    <row r="111" spans="1:8" x14ac:dyDescent="0.25">
      <c r="A111" t="s">
        <v>3841</v>
      </c>
      <c r="B111" t="s">
        <v>3744</v>
      </c>
      <c r="C111" t="s">
        <v>3769</v>
      </c>
      <c r="D111" t="s">
        <v>8026</v>
      </c>
      <c r="E111" t="s">
        <v>3840</v>
      </c>
      <c r="G111" t="s">
        <v>8027</v>
      </c>
      <c r="H111" t="s">
        <v>8048</v>
      </c>
    </row>
    <row r="112" spans="1:8" x14ac:dyDescent="0.25">
      <c r="A112" t="s">
        <v>3867</v>
      </c>
      <c r="B112" t="s">
        <v>3831</v>
      </c>
      <c r="C112" t="s">
        <v>3735</v>
      </c>
      <c r="D112" t="s">
        <v>8026</v>
      </c>
      <c r="E112" t="s">
        <v>3866</v>
      </c>
      <c r="G112" t="s">
        <v>8027</v>
      </c>
      <c r="H112" t="s">
        <v>8048</v>
      </c>
    </row>
    <row r="113" spans="1:9" x14ac:dyDescent="0.25">
      <c r="A113" t="s">
        <v>3773</v>
      </c>
      <c r="B113" t="s">
        <v>3744</v>
      </c>
      <c r="C113" t="s">
        <v>3769</v>
      </c>
      <c r="D113" t="s">
        <v>8026</v>
      </c>
      <c r="E113" t="s">
        <v>3772</v>
      </c>
      <c r="G113" t="s">
        <v>8027</v>
      </c>
      <c r="H113" t="s">
        <v>8048</v>
      </c>
    </row>
    <row r="114" spans="1:9" x14ac:dyDescent="0.25">
      <c r="A114" t="s">
        <v>7872</v>
      </c>
      <c r="B114" t="s">
        <v>3744</v>
      </c>
      <c r="C114" t="s">
        <v>3769</v>
      </c>
      <c r="D114" t="s">
        <v>8026</v>
      </c>
      <c r="E114" t="s">
        <v>7871</v>
      </c>
      <c r="G114" t="s">
        <v>8027</v>
      </c>
      <c r="H114" t="s">
        <v>8048</v>
      </c>
    </row>
    <row r="115" spans="1:9" x14ac:dyDescent="0.25">
      <c r="A115" t="s">
        <v>7866</v>
      </c>
      <c r="B115" t="s">
        <v>3744</v>
      </c>
      <c r="C115" t="s">
        <v>3735</v>
      </c>
      <c r="D115" t="s">
        <v>8026</v>
      </c>
      <c r="E115" t="s">
        <v>7865</v>
      </c>
      <c r="G115" t="s">
        <v>8027</v>
      </c>
      <c r="H115" t="s">
        <v>8048</v>
      </c>
    </row>
    <row r="116" spans="1:9" x14ac:dyDescent="0.25">
      <c r="A116" t="s">
        <v>8074</v>
      </c>
      <c r="B116" t="s">
        <v>3744</v>
      </c>
      <c r="C116" t="s">
        <v>3769</v>
      </c>
      <c r="D116" t="s">
        <v>8026</v>
      </c>
      <c r="E116" t="s">
        <v>7869</v>
      </c>
      <c r="G116" t="s">
        <v>8027</v>
      </c>
      <c r="H116" t="s">
        <v>8048</v>
      </c>
      <c r="I116">
        <v>2</v>
      </c>
    </row>
    <row r="117" spans="1:9" x14ac:dyDescent="0.25">
      <c r="A117" t="s">
        <v>3814</v>
      </c>
      <c r="B117" t="s">
        <v>3744</v>
      </c>
      <c r="C117" t="s">
        <v>3735</v>
      </c>
      <c r="D117" t="s">
        <v>8026</v>
      </c>
      <c r="E117" t="s">
        <v>3813</v>
      </c>
      <c r="G117" t="s">
        <v>8027</v>
      </c>
      <c r="H117" t="s">
        <v>8048</v>
      </c>
    </row>
    <row r="118" spans="1:9" x14ac:dyDescent="0.25">
      <c r="A118" t="s">
        <v>3965</v>
      </c>
      <c r="B118" t="s">
        <v>3737</v>
      </c>
      <c r="C118" t="s">
        <v>3783</v>
      </c>
      <c r="D118" t="s">
        <v>8028</v>
      </c>
      <c r="E118" t="s">
        <v>3964</v>
      </c>
      <c r="G118" t="s">
        <v>8027</v>
      </c>
      <c r="H118" t="s">
        <v>8048</v>
      </c>
    </row>
    <row r="119" spans="1:9" x14ac:dyDescent="0.25">
      <c r="A119" t="s">
        <v>3956</v>
      </c>
      <c r="B119" t="s">
        <v>3748</v>
      </c>
      <c r="C119" t="s">
        <v>3783</v>
      </c>
      <c r="D119" t="s">
        <v>8028</v>
      </c>
      <c r="E119" t="s">
        <v>3955</v>
      </c>
      <c r="G119" t="s">
        <v>8027</v>
      </c>
      <c r="H119" t="s">
        <v>8048</v>
      </c>
    </row>
    <row r="120" spans="1:9" x14ac:dyDescent="0.25">
      <c r="A120" t="s">
        <v>7680</v>
      </c>
      <c r="B120" t="s">
        <v>3744</v>
      </c>
      <c r="C120" t="s">
        <v>3903</v>
      </c>
      <c r="D120" t="s">
        <v>8026</v>
      </c>
      <c r="E120" t="s">
        <v>1168</v>
      </c>
      <c r="G120" t="s">
        <v>8027</v>
      </c>
      <c r="H120" t="s">
        <v>8048</v>
      </c>
    </row>
    <row r="121" spans="1:9" x14ac:dyDescent="0.25">
      <c r="A121" t="s">
        <v>3892</v>
      </c>
      <c r="B121" t="s">
        <v>3748</v>
      </c>
      <c r="C121" t="s">
        <v>3769</v>
      </c>
      <c r="D121" t="s">
        <v>8028</v>
      </c>
      <c r="E121" t="s">
        <v>3890</v>
      </c>
      <c r="G121" t="s">
        <v>8027</v>
      </c>
      <c r="H121" t="s">
        <v>8048</v>
      </c>
    </row>
    <row r="122" spans="1:9" x14ac:dyDescent="0.25">
      <c r="A122" t="s">
        <v>8058</v>
      </c>
      <c r="D122" t="s">
        <v>8036</v>
      </c>
      <c r="E122" t="s">
        <v>3473</v>
      </c>
      <c r="G122" t="s">
        <v>8027</v>
      </c>
      <c r="H122" t="s">
        <v>8049</v>
      </c>
    </row>
    <row r="123" spans="1:9" x14ac:dyDescent="0.25">
      <c r="A123" t="s">
        <v>7891</v>
      </c>
      <c r="B123" t="s">
        <v>3744</v>
      </c>
      <c r="C123" t="s">
        <v>3735</v>
      </c>
      <c r="D123" t="s">
        <v>8028</v>
      </c>
      <c r="E123" t="s">
        <v>7890</v>
      </c>
      <c r="G123" t="s">
        <v>8027</v>
      </c>
      <c r="H123" t="s">
        <v>8048</v>
      </c>
    </row>
    <row r="124" spans="1:9" x14ac:dyDescent="0.25">
      <c r="A124" t="s">
        <v>7882</v>
      </c>
      <c r="B124" t="s">
        <v>3744</v>
      </c>
      <c r="C124" t="s">
        <v>3735</v>
      </c>
      <c r="D124" t="s">
        <v>8028</v>
      </c>
      <c r="E124" t="s">
        <v>7883</v>
      </c>
      <c r="G124" t="s">
        <v>8027</v>
      </c>
      <c r="H124" t="s">
        <v>8048</v>
      </c>
    </row>
    <row r="125" spans="1:9" x14ac:dyDescent="0.25">
      <c r="A125" t="s">
        <v>8032</v>
      </c>
      <c r="B125" t="s">
        <v>3744</v>
      </c>
      <c r="C125" t="s">
        <v>3769</v>
      </c>
      <c r="D125" t="s">
        <v>8028</v>
      </c>
      <c r="E125" t="s">
        <v>7422</v>
      </c>
      <c r="F125" t="s">
        <v>8033</v>
      </c>
      <c r="G125" t="s">
        <v>8027</v>
      </c>
      <c r="H125" t="s">
        <v>8048</v>
      </c>
    </row>
    <row r="126" spans="1:9" x14ac:dyDescent="0.25">
      <c r="A126" t="s">
        <v>3806</v>
      </c>
      <c r="B126" t="s">
        <v>3744</v>
      </c>
      <c r="C126" t="s">
        <v>3735</v>
      </c>
      <c r="D126" t="s">
        <v>8026</v>
      </c>
      <c r="E126" t="s">
        <v>3805</v>
      </c>
      <c r="G126" t="s">
        <v>8027</v>
      </c>
      <c r="H126" t="s">
        <v>8048</v>
      </c>
    </row>
    <row r="127" spans="1:9" x14ac:dyDescent="0.25">
      <c r="A127" t="s">
        <v>3863</v>
      </c>
      <c r="B127" t="s">
        <v>3744</v>
      </c>
      <c r="C127" t="s">
        <v>3783</v>
      </c>
      <c r="D127" t="s">
        <v>8026</v>
      </c>
      <c r="E127" t="s">
        <v>3862</v>
      </c>
      <c r="G127" t="s">
        <v>8027</v>
      </c>
      <c r="H127" t="s">
        <v>8048</v>
      </c>
    </row>
    <row r="128" spans="1:9" x14ac:dyDescent="0.25">
      <c r="A128" t="s">
        <v>3757</v>
      </c>
      <c r="B128" t="s">
        <v>3744</v>
      </c>
      <c r="C128" t="s">
        <v>3735</v>
      </c>
      <c r="D128" t="s">
        <v>8026</v>
      </c>
      <c r="E128" t="s">
        <v>3756</v>
      </c>
      <c r="G128" t="s">
        <v>8027</v>
      </c>
      <c r="H128" t="s">
        <v>8048</v>
      </c>
    </row>
    <row r="129" spans="1:8" x14ac:dyDescent="0.25">
      <c r="A129" t="s">
        <v>3909</v>
      </c>
      <c r="B129" t="s">
        <v>3744</v>
      </c>
      <c r="C129" t="s">
        <v>3735</v>
      </c>
      <c r="D129" t="s">
        <v>8028</v>
      </c>
      <c r="E129" t="s">
        <v>3908</v>
      </c>
      <c r="G129" t="s">
        <v>8027</v>
      </c>
      <c r="H129" t="s">
        <v>8048</v>
      </c>
    </row>
    <row r="130" spans="1:8" x14ac:dyDescent="0.25">
      <c r="A130" t="s">
        <v>8062</v>
      </c>
      <c r="D130" t="s">
        <v>8036</v>
      </c>
      <c r="E130" t="s">
        <v>3462</v>
      </c>
      <c r="G130" t="s">
        <v>8027</v>
      </c>
      <c r="H130" t="s">
        <v>8049</v>
      </c>
    </row>
    <row r="131" spans="1:8" x14ac:dyDescent="0.25">
      <c r="A131" t="s">
        <v>12695</v>
      </c>
      <c r="B131" t="s">
        <v>3744</v>
      </c>
      <c r="C131" t="s">
        <v>3735</v>
      </c>
      <c r="D131" t="s">
        <v>8026</v>
      </c>
      <c r="E131" t="s">
        <v>12694</v>
      </c>
      <c r="G131" t="s">
        <v>8027</v>
      </c>
      <c r="H131" t="s">
        <v>8048</v>
      </c>
    </row>
    <row r="132" spans="1:8" x14ac:dyDescent="0.25">
      <c r="A132" t="s">
        <v>3843</v>
      </c>
      <c r="B132" t="s">
        <v>3744</v>
      </c>
      <c r="C132" t="s">
        <v>3769</v>
      </c>
      <c r="D132" t="s">
        <v>8026</v>
      </c>
      <c r="E132" t="s">
        <v>3842</v>
      </c>
      <c r="G132" t="s">
        <v>8027</v>
      </c>
      <c r="H132" t="s">
        <v>8048</v>
      </c>
    </row>
    <row r="133" spans="1:8" x14ac:dyDescent="0.25">
      <c r="A133" t="s">
        <v>8072</v>
      </c>
      <c r="B133" t="s">
        <v>3825</v>
      </c>
      <c r="C133" t="s">
        <v>3783</v>
      </c>
      <c r="D133" t="s">
        <v>8028</v>
      </c>
      <c r="E133" t="s">
        <v>3921</v>
      </c>
      <c r="G133" t="s">
        <v>8027</v>
      </c>
      <c r="H133" t="s">
        <v>8049</v>
      </c>
    </row>
    <row r="134" spans="1:8" x14ac:dyDescent="0.25">
      <c r="A134" t="s">
        <v>7967</v>
      </c>
      <c r="B134" t="s">
        <v>3831</v>
      </c>
      <c r="C134" t="s">
        <v>3769</v>
      </c>
      <c r="D134" t="s">
        <v>8026</v>
      </c>
      <c r="E134" t="s">
        <v>7966</v>
      </c>
      <c r="G134" t="s">
        <v>8027</v>
      </c>
      <c r="H134" t="s">
        <v>8048</v>
      </c>
    </row>
    <row r="135" spans="1:8" x14ac:dyDescent="0.25">
      <c r="A135" t="s">
        <v>3881</v>
      </c>
      <c r="B135" t="s">
        <v>3831</v>
      </c>
      <c r="C135" t="s">
        <v>3735</v>
      </c>
      <c r="D135" t="s">
        <v>8028</v>
      </c>
      <c r="E135" t="s">
        <v>3880</v>
      </c>
      <c r="G135" t="s">
        <v>8027</v>
      </c>
      <c r="H135" t="s">
        <v>8048</v>
      </c>
    </row>
    <row r="136" spans="1:8" x14ac:dyDescent="0.25">
      <c r="A136" t="s">
        <v>3832</v>
      </c>
      <c r="B136" t="s">
        <v>3831</v>
      </c>
      <c r="C136" t="s">
        <v>3783</v>
      </c>
      <c r="D136" t="s">
        <v>8026</v>
      </c>
      <c r="E136" t="s">
        <v>3830</v>
      </c>
      <c r="G136" t="s">
        <v>8027</v>
      </c>
      <c r="H136" t="s">
        <v>8048</v>
      </c>
    </row>
    <row r="137" spans="1:8" x14ac:dyDescent="0.25">
      <c r="A137" t="s">
        <v>4243</v>
      </c>
      <c r="D137" t="s">
        <v>8037</v>
      </c>
      <c r="E137" t="s">
        <v>4242</v>
      </c>
      <c r="G137" t="s">
        <v>8027</v>
      </c>
      <c r="H137" t="s">
        <v>8049</v>
      </c>
    </row>
    <row r="138" spans="1:8" x14ac:dyDescent="0.25">
      <c r="A138" t="s">
        <v>4247</v>
      </c>
      <c r="D138" t="s">
        <v>8037</v>
      </c>
      <c r="E138" t="s">
        <v>4246</v>
      </c>
      <c r="G138" t="s">
        <v>8027</v>
      </c>
      <c r="H138" t="s">
        <v>8049</v>
      </c>
    </row>
    <row r="139" spans="1:8" x14ac:dyDescent="0.25">
      <c r="A139" t="s">
        <v>8078</v>
      </c>
      <c r="B139" t="s">
        <v>3825</v>
      </c>
      <c r="C139" t="s">
        <v>3769</v>
      </c>
      <c r="D139" t="s">
        <v>8026</v>
      </c>
      <c r="E139" t="s">
        <v>3824</v>
      </c>
      <c r="G139" t="s">
        <v>8027</v>
      </c>
      <c r="H139" t="s">
        <v>8049</v>
      </c>
    </row>
    <row r="140" spans="1:8" x14ac:dyDescent="0.25">
      <c r="A140" t="s">
        <v>4249</v>
      </c>
      <c r="D140" t="s">
        <v>8037</v>
      </c>
      <c r="E140" t="s">
        <v>4248</v>
      </c>
      <c r="G140" t="s">
        <v>8027</v>
      </c>
      <c r="H140" t="s">
        <v>8049</v>
      </c>
    </row>
    <row r="141" spans="1:8" x14ac:dyDescent="0.25">
      <c r="A141" t="s">
        <v>8227</v>
      </c>
      <c r="B141" t="s">
        <v>3744</v>
      </c>
      <c r="D141" t="s">
        <v>5748</v>
      </c>
      <c r="E141" t="s">
        <v>8226</v>
      </c>
      <c r="G141" t="s">
        <v>8027</v>
      </c>
      <c r="H141" t="s">
        <v>8048</v>
      </c>
    </row>
    <row r="142" spans="1:8" x14ac:dyDescent="0.25">
      <c r="A142" t="s">
        <v>8237</v>
      </c>
      <c r="B142" t="s">
        <v>3744</v>
      </c>
      <c r="D142" t="s">
        <v>5748</v>
      </c>
      <c r="E142" t="s">
        <v>8233</v>
      </c>
      <c r="G142" t="s">
        <v>8027</v>
      </c>
      <c r="H142" t="s">
        <v>8048</v>
      </c>
    </row>
    <row r="143" spans="1:8" x14ac:dyDescent="0.25">
      <c r="A143" t="s">
        <v>8240</v>
      </c>
      <c r="B143" t="s">
        <v>3737</v>
      </c>
      <c r="D143" t="s">
        <v>5748</v>
      </c>
      <c r="E143" t="s">
        <v>8238</v>
      </c>
      <c r="G143" t="s">
        <v>8027</v>
      </c>
      <c r="H143" t="s">
        <v>8048</v>
      </c>
    </row>
    <row r="144" spans="1:8" x14ac:dyDescent="0.25">
      <c r="A144" t="s">
        <v>8227</v>
      </c>
      <c r="B144" t="s">
        <v>3744</v>
      </c>
      <c r="D144" t="s">
        <v>5748</v>
      </c>
      <c r="E144" t="s">
        <v>8247</v>
      </c>
      <c r="G144" t="s">
        <v>8027</v>
      </c>
      <c r="H144" t="s">
        <v>8048</v>
      </c>
    </row>
    <row r="145" spans="1:8" x14ac:dyDescent="0.25">
      <c r="A145" t="s">
        <v>8257</v>
      </c>
      <c r="B145" t="s">
        <v>3744</v>
      </c>
      <c r="D145" t="s">
        <v>5748</v>
      </c>
      <c r="E145" t="s">
        <v>4686</v>
      </c>
      <c r="G145" t="s">
        <v>8027</v>
      </c>
      <c r="H145" t="s">
        <v>8048</v>
      </c>
    </row>
    <row r="146" spans="1:8" x14ac:dyDescent="0.25">
      <c r="A146" t="s">
        <v>8257</v>
      </c>
      <c r="B146" t="s">
        <v>3744</v>
      </c>
      <c r="D146" t="s">
        <v>5748</v>
      </c>
      <c r="E146" t="s">
        <v>6825</v>
      </c>
      <c r="G146" t="s">
        <v>8027</v>
      </c>
      <c r="H146" t="s">
        <v>8048</v>
      </c>
    </row>
    <row r="147" spans="1:8" x14ac:dyDescent="0.25">
      <c r="A147" t="s">
        <v>8284</v>
      </c>
      <c r="B147" t="s">
        <v>3737</v>
      </c>
      <c r="D147" t="s">
        <v>5748</v>
      </c>
      <c r="E147" t="s">
        <v>8282</v>
      </c>
      <c r="G147" t="s">
        <v>8027</v>
      </c>
      <c r="H147" t="s">
        <v>8048</v>
      </c>
    </row>
    <row r="148" spans="1:8" x14ac:dyDescent="0.25">
      <c r="A148" t="s">
        <v>8284</v>
      </c>
      <c r="B148" t="s">
        <v>3737</v>
      </c>
      <c r="D148" t="s">
        <v>5748</v>
      </c>
      <c r="E148" t="s">
        <v>8287</v>
      </c>
      <c r="G148" t="s">
        <v>8027</v>
      </c>
      <c r="H148" t="s">
        <v>8048</v>
      </c>
    </row>
    <row r="149" spans="1:8" x14ac:dyDescent="0.25">
      <c r="A149" t="s">
        <v>8298</v>
      </c>
      <c r="B149" t="s">
        <v>3737</v>
      </c>
      <c r="D149" t="s">
        <v>5748</v>
      </c>
      <c r="E149" t="s">
        <v>8297</v>
      </c>
      <c r="G149" t="s">
        <v>8027</v>
      </c>
      <c r="H149" t="s">
        <v>8048</v>
      </c>
    </row>
    <row r="150" spans="1:8" x14ac:dyDescent="0.25">
      <c r="A150" t="s">
        <v>8298</v>
      </c>
      <c r="B150" t="s">
        <v>3737</v>
      </c>
      <c r="D150" t="s">
        <v>5748</v>
      </c>
      <c r="E150" t="s">
        <v>8300</v>
      </c>
      <c r="G150" t="s">
        <v>8027</v>
      </c>
      <c r="H150" t="s">
        <v>8048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4295</v>
      </c>
    </row>
    <row r="2" spans="1:28" x14ac:dyDescent="0.25">
      <c r="A2" s="13" t="s">
        <v>4296</v>
      </c>
    </row>
    <row r="4" spans="1:28" ht="25.5" customHeight="1" x14ac:dyDescent="0.25">
      <c r="A4" s="14" t="s">
        <v>4297</v>
      </c>
      <c r="B4" s="14" t="s">
        <v>4298</v>
      </c>
      <c r="C4" s="14" t="s">
        <v>4299</v>
      </c>
      <c r="E4" s="14" t="s">
        <v>4300</v>
      </c>
      <c r="F4" s="14" t="s">
        <v>4301</v>
      </c>
      <c r="G4" s="14" t="s">
        <v>172</v>
      </c>
      <c r="I4" s="14" t="s">
        <v>4302</v>
      </c>
      <c r="J4" s="14" t="s">
        <v>4301</v>
      </c>
      <c r="K4" s="14" t="s">
        <v>172</v>
      </c>
      <c r="L4" s="14" t="s">
        <v>4303</v>
      </c>
      <c r="N4" s="14" t="s">
        <v>4304</v>
      </c>
      <c r="O4" s="14" t="s">
        <v>1</v>
      </c>
      <c r="P4" s="14" t="s">
        <v>4300</v>
      </c>
      <c r="R4" s="14" t="s">
        <v>4304</v>
      </c>
      <c r="S4" s="14" t="s">
        <v>4305</v>
      </c>
      <c r="T4" s="14" t="s">
        <v>4300</v>
      </c>
      <c r="V4" s="14" t="s">
        <v>166</v>
      </c>
      <c r="W4" s="14" t="s">
        <v>4301</v>
      </c>
      <c r="X4" s="14" t="s">
        <v>172</v>
      </c>
      <c r="Y4" s="14" t="s">
        <v>4306</v>
      </c>
      <c r="AA4" s="14" t="s">
        <v>4307</v>
      </c>
      <c r="AB4" s="14" t="s">
        <v>4306</v>
      </c>
    </row>
    <row r="5" spans="1:28" x14ac:dyDescent="0.25">
      <c r="A5" s="15" t="s">
        <v>4301</v>
      </c>
      <c r="B5" s="16">
        <f>COUNTA(games!$A$2:$A$1200)</f>
        <v>925</v>
      </c>
      <c r="C5" s="17" t="s">
        <v>4308</v>
      </c>
      <c r="E5" t="s">
        <v>4309</v>
      </c>
      <c r="F5">
        <f>COUNTIF('Map Calc'!$D$2:$D$1200,0)</f>
        <v>70</v>
      </c>
      <c r="G5">
        <f>COUNTIFS('Map Calc'!$D$2:$D$1200,0,'Map Calc'!$P$2:$P$1200,"Yes")</f>
        <v>36</v>
      </c>
      <c r="I5" t="s">
        <v>176</v>
      </c>
      <c r="J5">
        <f>COUNTIF(games!$C$2:$C$1200,$I5)</f>
        <v>406</v>
      </c>
      <c r="K5">
        <f>COUNTIFS(games!$C$2:$C$1200,$I5,games!$H$2:$H$1200,"Yes")</f>
        <v>270</v>
      </c>
      <c r="L5" s="18">
        <f>IF($J5=0,0,$K5/$J5)</f>
        <v>0.66502463054187189</v>
      </c>
      <c r="N5">
        <v>1</v>
      </c>
      <c r="O5" t="str">
        <f>IFERROR(INDEX('Map Calc'!$A$2:$A$1200,MATCH(LARGE('Map Calc'!$O$2:$O$1200,1),'Map Calc'!$O$2:$O$1200,0)),"")</f>
        <v>Slay the Spire</v>
      </c>
      <c r="P5">
        <f>IFERROR(INDEX('Map Calc'!$D$2:$D$1200,MATCH(LARGE('Map Calc'!$O$2:$O$1200,1),'Map Calc'!$O$2:$O$1200,0)),"")</f>
        <v>161</v>
      </c>
      <c r="R5">
        <v>1</v>
      </c>
      <c r="S5" t="str">
        <f>IFERROR(INDEX('Map Calc'!$A$2:$A$1200,MATCH(LARGE('Map Calc'!$Q$2:$Q$1200,1),'Map Calc'!$Q$2:$Q$1200,0)),"")</f>
        <v>Slay the Spire</v>
      </c>
      <c r="T5">
        <f>IFERROR(INDEX('Map Calc'!$D$2:$D$1200,MATCH(LARGE('Map Calc'!$Q$2:$Q$1200,1),'Map Calc'!$Q$2:$Q$1200,0)),"")</f>
        <v>161</v>
      </c>
      <c r="V5">
        <v>1978</v>
      </c>
      <c r="W5">
        <f>COUNTIF(games!$B$2:$B$1200,$V5)</f>
        <v>1</v>
      </c>
      <c r="X5">
        <f>COUNTIFS(games!$B$2:$B$1200,$V5,games!$H$2:$H$1200,"Yes")</f>
        <v>1</v>
      </c>
      <c r="Y5">
        <f>COUNTIF('Map Calc'!$T$2:$T$2500,$V5)</f>
        <v>0</v>
      </c>
      <c r="AA5">
        <v>0</v>
      </c>
      <c r="AB5">
        <f>COUNTIF('Map Calc'!$V$2:$V$2500,$AA5)</f>
        <v>14</v>
      </c>
    </row>
    <row r="6" spans="1:28" x14ac:dyDescent="0.25">
      <c r="A6" s="15" t="s">
        <v>4310</v>
      </c>
      <c r="B6" s="16">
        <f>COUNTIF(games!$H$2:$H$1200,"Yes")</f>
        <v>583</v>
      </c>
      <c r="C6" s="17" t="s">
        <v>4311</v>
      </c>
      <c r="E6" t="s">
        <v>4312</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4313</v>
      </c>
      <c r="B7" s="19">
        <f>IF(B5=0,0,B6/B5)</f>
        <v>0.63027027027027027</v>
      </c>
      <c r="C7" s="17" t="s">
        <v>4314</v>
      </c>
      <c r="E7" t="s">
        <v>4315</v>
      </c>
      <c r="F7">
        <f>COUNTIF('Map Calc'!$D$2:$D$1200,2)</f>
        <v>212</v>
      </c>
      <c r="G7">
        <f>COUNTIFS('Map Calc'!$D$2:$D$1200,2,'Map Calc'!$P$2:$P$1200,"Yes")</f>
        <v>125</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4306</v>
      </c>
      <c r="B8" s="25">
        <f>COUNTA(connections!$A$2:$A$2500)</f>
        <v>1532</v>
      </c>
      <c r="C8" s="17" t="s">
        <v>4316</v>
      </c>
      <c r="E8" t="s">
        <v>4317</v>
      </c>
      <c r="F8">
        <f>COUNTIF('Map Calc'!$D$2:$D$1200,3)</f>
        <v>136</v>
      </c>
      <c r="G8">
        <f>COUNTIFS('Map Calc'!$D$2:$D$1200,3,'Map Calc'!$P$2:$P$1200,"Yes")</f>
        <v>91</v>
      </c>
      <c r="I8" t="s">
        <v>179</v>
      </c>
      <c r="J8">
        <f>COUNTIF(games!$C$2:$C$1200,$I8)</f>
        <v>167</v>
      </c>
      <c r="K8">
        <f>COUNTIFS(games!$C$2:$C$1200,$I8,games!$H$2:$H$1200,"Yes")</f>
        <v>108</v>
      </c>
      <c r="L8" s="18">
        <f>IF($J8=0,0,$K8/$J8)</f>
        <v>0.6467065868263473</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4318</v>
      </c>
      <c r="B9" s="20">
        <f>IF(B5=0,0,2*B8/B5)</f>
        <v>3.3124324324324323</v>
      </c>
      <c r="C9" s="17" t="s">
        <v>4319</v>
      </c>
      <c r="E9" t="s">
        <v>4320</v>
      </c>
      <c r="F9">
        <f>COUNTIF('Map Calc'!$D$2:$D$1200,4)</f>
        <v>58</v>
      </c>
      <c r="G9">
        <f>COUNTIFS('Map Calc'!$D$2:$D$1200,4,'Map Calc'!$P$2:$P$1200,"Yes")</f>
        <v>36</v>
      </c>
      <c r="I9" s="21" t="s">
        <v>39</v>
      </c>
      <c r="J9" s="21">
        <f>SUM(J5:J8)</f>
        <v>925</v>
      </c>
      <c r="K9" s="21">
        <f>SUM(K5:K8)</f>
        <v>583</v>
      </c>
      <c r="L9" s="22">
        <f>IF($J9=0,0,$K9/$J9)</f>
        <v>0.63027027027027027</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171</v>
      </c>
    </row>
    <row r="10" spans="1:28" x14ac:dyDescent="0.25">
      <c r="A10" s="15" t="s">
        <v>4321</v>
      </c>
      <c r="B10" s="20">
        <f>IFERROR(SUMIFS('Map Calc'!$D$2:$D$1200,games!$H$2:$H$1200,"Yes")/B6,0)</f>
        <v>4.108061749571184</v>
      </c>
      <c r="C10" s="17" t="s">
        <v>4322</v>
      </c>
      <c r="E10" t="s">
        <v>4323</v>
      </c>
      <c r="F10">
        <f>COUNTIF('Map Calc'!$D$2:$D$1200,5)</f>
        <v>35</v>
      </c>
      <c r="G10">
        <f>COUNTIFS('Map Calc'!$D$2:$D$1200,5,'Map Calc'!$P$2:$P$1200,"Yes")</f>
        <v>20</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4324</v>
      </c>
      <c r="B11" s="16">
        <f>MEDIAN('Map Calc'!$D$2:$D$1200)</f>
        <v>2</v>
      </c>
      <c r="C11" s="17" t="s">
        <v>4325</v>
      </c>
      <c r="E11" t="s">
        <v>4326</v>
      </c>
      <c r="F11">
        <f>COUNTIFS('Map Calc'!$D$2:$D$1200,"&gt;=6",'Map Calc'!$D$2:$D$1200,"&lt;=9")</f>
        <v>43</v>
      </c>
      <c r="G11">
        <f>COUNTIFS('Map Calc'!$D$2:$D$1200,"&gt;=6",'Map Calc'!$D$2:$D$1200,"&lt;=9",'Map Calc'!$P$2:$P$1200,"Yes")</f>
        <v>33</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121</v>
      </c>
    </row>
    <row r="12" spans="1:28" x14ac:dyDescent="0.25">
      <c r="A12" s="15" t="s">
        <v>4327</v>
      </c>
      <c r="B12" s="16">
        <f>MAX('Map Calc'!$D$2:$D$1200)</f>
        <v>161</v>
      </c>
      <c r="C12" s="17" t="s">
        <v>4328</v>
      </c>
      <c r="E12" t="s">
        <v>4329</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4330</v>
      </c>
      <c r="B13" s="16">
        <f>COUNTIF('Map Calc'!$D$2:$D$1200,1)</f>
        <v>332</v>
      </c>
      <c r="C13" s="17" t="s">
        <v>4331</v>
      </c>
      <c r="E13" t="s">
        <v>4332</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4333</v>
      </c>
      <c r="B14" s="16">
        <f>COUNTIF('Map Calc'!$D$2:$D$1200,0)</f>
        <v>70</v>
      </c>
      <c r="C14" s="17" t="s">
        <v>4334</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72</v>
      </c>
    </row>
    <row r="15" spans="1:28" x14ac:dyDescent="0.25">
      <c r="A15" s="15" t="s">
        <v>4335</v>
      </c>
      <c r="B15" s="16">
        <f>B13+B14</f>
        <v>402</v>
      </c>
      <c r="C15" s="17" t="s">
        <v>4336</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4337</v>
      </c>
      <c r="B16" s="16">
        <f>COUNTIFS(games!$H$2:$H$1200,"Yes",'Map Calc'!$D$2:$D$1200,"&gt;1")</f>
        <v>344</v>
      </c>
      <c r="C16" s="17" t="s">
        <v>4338</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4339</v>
      </c>
      <c r="AB16">
        <f>COUNTIFS('Map Calc'!$V$2:$V$2500,"&gt;=11",'Map Calc'!$V$2:$V$2500,"&lt;=20")</f>
        <v>168</v>
      </c>
    </row>
    <row r="17" spans="1:28" x14ac:dyDescent="0.25">
      <c r="A17" s="15" t="s">
        <v>4340</v>
      </c>
      <c r="B17" s="16">
        <f>COUNTIFS(games!$H$2:$H$1200,"Yes",'Map Calc'!$D$2:$D$1200,"&lt;=1")</f>
        <v>239</v>
      </c>
      <c r="C17" s="17" t="s">
        <v>4341</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4342</v>
      </c>
      <c r="AB17">
        <f>COUNTIF('Map Calc'!$V$2:$V$2500,"&gt;=21")</f>
        <v>115</v>
      </c>
    </row>
    <row r="18" spans="1:28" x14ac:dyDescent="0.25">
      <c r="A18" s="15" t="s">
        <v>4343</v>
      </c>
      <c r="B18" s="23">
        <f>SUMPRODUCT(('Map Calc'!$V$2:$V$2500&lt;&gt;"")*('Map Calc'!$V$2:$V$2500&lt;0))</f>
        <v>4</v>
      </c>
      <c r="C18" s="17" t="s">
        <v>4344</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4345</v>
      </c>
      <c r="B19" s="16">
        <f>SUMPRODUCT(('Map Calc'!$V$2:$V$2500&lt;&gt;"")*('Map Calc'!$V$2:$V$2500=0))</f>
        <v>14</v>
      </c>
      <c r="C19" s="17" t="s">
        <v>4346</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2</v>
      </c>
    </row>
    <row r="20" spans="1:28" x14ac:dyDescent="0.25">
      <c r="A20" s="15" t="s">
        <v>4347</v>
      </c>
      <c r="B20" s="24">
        <f>MEDIAN('Map Calc'!$V$2:$V$2500)</f>
        <v>5</v>
      </c>
      <c r="C20" s="17" t="s">
        <v>4348</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4349</v>
      </c>
      <c r="B21" s="25">
        <f>COUNTIF(connections!$D$2:$D$2500,"Yes")</f>
        <v>154</v>
      </c>
      <c r="C21" s="17" t="s">
        <v>4350</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4351</v>
      </c>
      <c r="B22" s="25">
        <f>COUNTA(connections!$E$2:$E$2500)</f>
        <v>1381</v>
      </c>
      <c r="C22" s="17" t="s">
        <v>4352</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4353</v>
      </c>
      <c r="B23" s="16">
        <f>COUNTIFS(games!$H$2:$H$1200,"Yes",games!$J$2:$J$1200,"")</f>
        <v>90</v>
      </c>
      <c r="C23" s="17" t="s">
        <v>4354</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23</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21</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172</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72</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85</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121</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10038</v>
      </c>
      <c r="C1" t="s">
        <v>10039</v>
      </c>
      <c r="D1" t="s">
        <v>166</v>
      </c>
      <c r="E1" t="s">
        <v>1</v>
      </c>
      <c r="F1" t="s">
        <v>171</v>
      </c>
      <c r="G1" t="s">
        <v>170</v>
      </c>
    </row>
    <row r="2" spans="1:7" x14ac:dyDescent="0.25">
      <c r="A2" t="s">
        <v>10040</v>
      </c>
      <c r="B2" t="s">
        <v>10041</v>
      </c>
      <c r="C2" t="s">
        <v>10042</v>
      </c>
      <c r="D2">
        <v>2020</v>
      </c>
      <c r="E2" t="s">
        <v>1294</v>
      </c>
      <c r="F2" t="s">
        <v>10043</v>
      </c>
      <c r="G2" t="s">
        <v>10044</v>
      </c>
    </row>
    <row r="3" spans="1:7" x14ac:dyDescent="0.25">
      <c r="A3" t="s">
        <v>10045</v>
      </c>
      <c r="B3" t="s">
        <v>10046</v>
      </c>
      <c r="C3" t="s">
        <v>10047</v>
      </c>
      <c r="D3">
        <v>2017</v>
      </c>
      <c r="E3" t="s">
        <v>190</v>
      </c>
      <c r="F3" t="s">
        <v>10048</v>
      </c>
    </row>
    <row r="4" spans="1:7" x14ac:dyDescent="0.25">
      <c r="A4" t="s">
        <v>190</v>
      </c>
      <c r="B4" t="s">
        <v>10046</v>
      </c>
      <c r="C4" t="s">
        <v>10047</v>
      </c>
      <c r="D4">
        <v>2017</v>
      </c>
      <c r="E4" t="s">
        <v>190</v>
      </c>
      <c r="F4" t="s">
        <v>10049</v>
      </c>
      <c r="G4" t="s">
        <v>10044</v>
      </c>
    </row>
    <row r="5" spans="1:7" x14ac:dyDescent="0.25">
      <c r="A5" t="s">
        <v>10050</v>
      </c>
      <c r="B5" t="s">
        <v>10046</v>
      </c>
      <c r="C5" t="s">
        <v>10047</v>
      </c>
      <c r="D5">
        <v>2017</v>
      </c>
      <c r="E5" t="s">
        <v>190</v>
      </c>
      <c r="F5" t="s">
        <v>10051</v>
      </c>
    </row>
    <row r="6" spans="1:7" x14ac:dyDescent="0.25">
      <c r="A6" t="s">
        <v>10052</v>
      </c>
      <c r="B6" t="s">
        <v>10046</v>
      </c>
      <c r="C6" t="s">
        <v>10047</v>
      </c>
      <c r="D6">
        <v>2017</v>
      </c>
      <c r="E6" t="s">
        <v>190</v>
      </c>
      <c r="F6" t="s">
        <v>10053</v>
      </c>
    </row>
    <row r="7" spans="1:7" x14ac:dyDescent="0.25">
      <c r="A7" t="s">
        <v>10054</v>
      </c>
      <c r="B7" t="s">
        <v>10046</v>
      </c>
      <c r="C7" t="s">
        <v>10047</v>
      </c>
      <c r="D7">
        <v>2017</v>
      </c>
      <c r="E7" t="s">
        <v>190</v>
      </c>
      <c r="F7" t="s">
        <v>10055</v>
      </c>
    </row>
    <row r="8" spans="1:7" x14ac:dyDescent="0.25">
      <c r="A8" t="s">
        <v>10056</v>
      </c>
      <c r="B8" t="s">
        <v>10046</v>
      </c>
      <c r="C8" t="s">
        <v>10047</v>
      </c>
      <c r="D8">
        <v>2017</v>
      </c>
      <c r="E8" t="s">
        <v>190</v>
      </c>
      <c r="F8" t="s">
        <v>10057</v>
      </c>
    </row>
    <row r="9" spans="1:7" x14ac:dyDescent="0.25">
      <c r="A9" t="s">
        <v>10058</v>
      </c>
      <c r="B9" t="s">
        <v>10046</v>
      </c>
      <c r="C9" t="s">
        <v>10047</v>
      </c>
      <c r="D9">
        <v>2017</v>
      </c>
      <c r="E9" t="s">
        <v>190</v>
      </c>
      <c r="F9" t="s">
        <v>10059</v>
      </c>
    </row>
    <row r="10" spans="1:7" x14ac:dyDescent="0.25">
      <c r="A10" t="s">
        <v>10060</v>
      </c>
      <c r="B10" t="s">
        <v>10046</v>
      </c>
      <c r="C10" t="s">
        <v>10047</v>
      </c>
      <c r="D10">
        <v>2017</v>
      </c>
      <c r="E10" t="s">
        <v>190</v>
      </c>
      <c r="F10" t="s">
        <v>10061</v>
      </c>
    </row>
    <row r="11" spans="1:7" x14ac:dyDescent="0.25">
      <c r="A11" t="s">
        <v>10062</v>
      </c>
      <c r="B11" t="s">
        <v>10046</v>
      </c>
      <c r="C11" t="s">
        <v>10047</v>
      </c>
      <c r="D11">
        <v>2017</v>
      </c>
      <c r="E11" t="s">
        <v>190</v>
      </c>
      <c r="F11" t="s">
        <v>10063</v>
      </c>
    </row>
    <row r="12" spans="1:7" x14ac:dyDescent="0.25">
      <c r="A12" t="s">
        <v>10064</v>
      </c>
      <c r="B12" t="s">
        <v>10046</v>
      </c>
      <c r="C12" t="s">
        <v>10047</v>
      </c>
      <c r="D12">
        <v>2017</v>
      </c>
      <c r="E12" t="s">
        <v>190</v>
      </c>
      <c r="F12" t="s">
        <v>10065</v>
      </c>
    </row>
    <row r="13" spans="1:7" x14ac:dyDescent="0.25">
      <c r="A13" t="s">
        <v>10066</v>
      </c>
      <c r="B13" t="s">
        <v>10046</v>
      </c>
      <c r="C13" t="s">
        <v>10047</v>
      </c>
      <c r="D13">
        <v>2017</v>
      </c>
      <c r="E13" t="s">
        <v>190</v>
      </c>
      <c r="F13" t="s">
        <v>10067</v>
      </c>
    </row>
    <row r="14" spans="1:7" x14ac:dyDescent="0.25">
      <c r="A14" t="s">
        <v>10068</v>
      </c>
      <c r="B14" t="s">
        <v>10046</v>
      </c>
      <c r="C14" t="s">
        <v>10047</v>
      </c>
      <c r="D14">
        <v>2017</v>
      </c>
      <c r="E14" t="s">
        <v>190</v>
      </c>
      <c r="F14" t="s">
        <v>10069</v>
      </c>
    </row>
    <row r="15" spans="1:7" x14ac:dyDescent="0.25">
      <c r="A15" t="s">
        <v>10070</v>
      </c>
      <c r="B15" t="s">
        <v>10046</v>
      </c>
      <c r="C15" t="s">
        <v>10047</v>
      </c>
      <c r="D15">
        <v>2017</v>
      </c>
      <c r="E15" t="s">
        <v>190</v>
      </c>
      <c r="F15" t="s">
        <v>10071</v>
      </c>
    </row>
    <row r="16" spans="1:7" x14ac:dyDescent="0.25">
      <c r="A16" t="s">
        <v>10072</v>
      </c>
      <c r="B16" t="s">
        <v>10046</v>
      </c>
      <c r="C16" t="s">
        <v>10047</v>
      </c>
      <c r="D16">
        <v>2017</v>
      </c>
      <c r="E16" t="s">
        <v>190</v>
      </c>
      <c r="F16" t="s">
        <v>10073</v>
      </c>
    </row>
    <row r="17" spans="1:7" x14ac:dyDescent="0.25">
      <c r="A17" t="s">
        <v>10074</v>
      </c>
      <c r="B17" t="s">
        <v>10046</v>
      </c>
      <c r="C17" t="s">
        <v>10047</v>
      </c>
      <c r="D17">
        <v>2017</v>
      </c>
      <c r="E17" t="s">
        <v>190</v>
      </c>
      <c r="F17" t="s">
        <v>10075</v>
      </c>
    </row>
    <row r="18" spans="1:7" x14ac:dyDescent="0.25">
      <c r="A18" t="s">
        <v>10076</v>
      </c>
      <c r="B18" t="s">
        <v>10046</v>
      </c>
      <c r="C18" t="s">
        <v>10047</v>
      </c>
      <c r="D18">
        <v>2017</v>
      </c>
      <c r="E18" t="s">
        <v>190</v>
      </c>
      <c r="F18" t="s">
        <v>10077</v>
      </c>
    </row>
    <row r="19" spans="1:7" x14ac:dyDescent="0.25">
      <c r="A19" t="s">
        <v>10078</v>
      </c>
      <c r="B19" t="s">
        <v>10046</v>
      </c>
      <c r="C19" t="s">
        <v>10047</v>
      </c>
      <c r="D19">
        <v>2017</v>
      </c>
      <c r="E19" t="s">
        <v>190</v>
      </c>
      <c r="F19" t="s">
        <v>10079</v>
      </c>
    </row>
    <row r="20" spans="1:7" x14ac:dyDescent="0.25">
      <c r="A20" t="s">
        <v>10080</v>
      </c>
      <c r="B20" t="s">
        <v>10081</v>
      </c>
      <c r="C20" t="s">
        <v>10082</v>
      </c>
      <c r="D20">
        <v>2023</v>
      </c>
      <c r="E20" t="s">
        <v>353</v>
      </c>
      <c r="F20" t="s">
        <v>10083</v>
      </c>
      <c r="G20" t="s">
        <v>10044</v>
      </c>
    </row>
    <row r="21" spans="1:7" x14ac:dyDescent="0.25">
      <c r="A21" t="s">
        <v>10084</v>
      </c>
      <c r="B21" t="s">
        <v>10081</v>
      </c>
      <c r="C21" t="s">
        <v>10082</v>
      </c>
      <c r="D21">
        <v>2023</v>
      </c>
      <c r="E21" t="s">
        <v>353</v>
      </c>
      <c r="F21" t="s">
        <v>10085</v>
      </c>
    </row>
    <row r="22" spans="1:7" x14ac:dyDescent="0.25">
      <c r="A22" t="s">
        <v>10086</v>
      </c>
      <c r="B22" t="s">
        <v>10081</v>
      </c>
      <c r="C22" t="s">
        <v>10082</v>
      </c>
      <c r="D22">
        <v>2023</v>
      </c>
      <c r="E22" t="s">
        <v>353</v>
      </c>
      <c r="F22" t="s">
        <v>10087</v>
      </c>
    </row>
    <row r="23" spans="1:7" x14ac:dyDescent="0.25">
      <c r="A23" t="s">
        <v>10088</v>
      </c>
      <c r="B23" t="s">
        <v>10081</v>
      </c>
      <c r="C23" t="s">
        <v>10082</v>
      </c>
      <c r="D23">
        <v>2023</v>
      </c>
      <c r="E23" t="s">
        <v>353</v>
      </c>
      <c r="F23" t="s">
        <v>10089</v>
      </c>
    </row>
    <row r="24" spans="1:7" x14ac:dyDescent="0.25">
      <c r="A24" t="s">
        <v>10090</v>
      </c>
      <c r="B24" t="s">
        <v>10081</v>
      </c>
      <c r="C24" t="s">
        <v>10082</v>
      </c>
      <c r="D24">
        <v>2023</v>
      </c>
      <c r="E24" t="s">
        <v>353</v>
      </c>
      <c r="F24" t="s">
        <v>10091</v>
      </c>
    </row>
    <row r="25" spans="1:7" x14ac:dyDescent="0.25">
      <c r="A25" t="s">
        <v>10092</v>
      </c>
      <c r="B25" t="s">
        <v>10093</v>
      </c>
      <c r="C25" t="s">
        <v>10094</v>
      </c>
      <c r="D25">
        <v>2025</v>
      </c>
      <c r="E25" t="s">
        <v>360</v>
      </c>
      <c r="F25" t="s">
        <v>10095</v>
      </c>
      <c r="G25" t="s">
        <v>10044</v>
      </c>
    </row>
    <row r="26" spans="1:7" x14ac:dyDescent="0.25">
      <c r="A26" t="s">
        <v>10096</v>
      </c>
      <c r="B26" t="s">
        <v>10093</v>
      </c>
      <c r="C26" t="s">
        <v>10094</v>
      </c>
      <c r="D26">
        <v>2025</v>
      </c>
      <c r="E26" t="s">
        <v>360</v>
      </c>
      <c r="F26" t="s">
        <v>10097</v>
      </c>
    </row>
    <row r="27" spans="1:7" x14ac:dyDescent="0.25">
      <c r="A27" t="s">
        <v>10098</v>
      </c>
      <c r="B27" t="s">
        <v>10093</v>
      </c>
      <c r="C27" t="s">
        <v>10094</v>
      </c>
      <c r="D27">
        <v>2025</v>
      </c>
      <c r="E27" t="s">
        <v>360</v>
      </c>
      <c r="F27" t="s">
        <v>10099</v>
      </c>
    </row>
    <row r="28" spans="1:7" x14ac:dyDescent="0.25">
      <c r="A28" t="s">
        <v>10100</v>
      </c>
      <c r="B28" t="s">
        <v>10093</v>
      </c>
      <c r="C28" t="s">
        <v>10094</v>
      </c>
      <c r="D28">
        <v>2025</v>
      </c>
      <c r="E28" t="s">
        <v>360</v>
      </c>
      <c r="F28" t="s">
        <v>10101</v>
      </c>
    </row>
    <row r="29" spans="1:7" x14ac:dyDescent="0.25">
      <c r="A29" t="s">
        <v>10102</v>
      </c>
      <c r="B29" t="s">
        <v>10093</v>
      </c>
      <c r="C29" t="s">
        <v>10094</v>
      </c>
      <c r="D29">
        <v>2025</v>
      </c>
      <c r="E29" t="s">
        <v>360</v>
      </c>
      <c r="F29" t="s">
        <v>10103</v>
      </c>
    </row>
    <row r="30" spans="1:7" x14ac:dyDescent="0.25">
      <c r="A30" t="s">
        <v>10104</v>
      </c>
      <c r="B30" t="s">
        <v>10093</v>
      </c>
      <c r="C30" t="s">
        <v>10094</v>
      </c>
      <c r="D30">
        <v>2025</v>
      </c>
      <c r="E30" t="s">
        <v>360</v>
      </c>
      <c r="F30" t="s">
        <v>10105</v>
      </c>
    </row>
    <row r="31" spans="1:7" x14ac:dyDescent="0.25">
      <c r="A31" t="s">
        <v>10106</v>
      </c>
      <c r="B31" t="s">
        <v>10093</v>
      </c>
      <c r="C31" t="s">
        <v>10094</v>
      </c>
      <c r="D31">
        <v>2025</v>
      </c>
      <c r="E31" t="s">
        <v>360</v>
      </c>
      <c r="F31" t="s">
        <v>10107</v>
      </c>
    </row>
    <row r="32" spans="1:7" x14ac:dyDescent="0.25">
      <c r="A32" t="s">
        <v>10108</v>
      </c>
      <c r="B32" t="s">
        <v>10093</v>
      </c>
      <c r="C32" t="s">
        <v>10094</v>
      </c>
      <c r="D32">
        <v>2025</v>
      </c>
      <c r="E32" t="s">
        <v>360</v>
      </c>
      <c r="F32" t="s">
        <v>10109</v>
      </c>
    </row>
    <row r="33" spans="1:7" x14ac:dyDescent="0.25">
      <c r="A33" t="s">
        <v>10110</v>
      </c>
      <c r="B33" t="s">
        <v>10093</v>
      </c>
      <c r="C33" t="s">
        <v>10094</v>
      </c>
      <c r="D33">
        <v>2025</v>
      </c>
      <c r="E33" t="s">
        <v>360</v>
      </c>
      <c r="F33" t="s">
        <v>10111</v>
      </c>
    </row>
    <row r="34" spans="1:7" x14ac:dyDescent="0.25">
      <c r="A34" t="s">
        <v>10112</v>
      </c>
      <c r="B34" t="s">
        <v>10093</v>
      </c>
      <c r="C34" t="s">
        <v>10094</v>
      </c>
      <c r="D34">
        <v>2025</v>
      </c>
      <c r="E34" t="s">
        <v>360</v>
      </c>
      <c r="F34" t="s">
        <v>10113</v>
      </c>
    </row>
    <row r="35" spans="1:7" x14ac:dyDescent="0.25">
      <c r="A35" t="s">
        <v>10114</v>
      </c>
      <c r="B35" t="s">
        <v>10093</v>
      </c>
      <c r="C35" t="s">
        <v>10094</v>
      </c>
      <c r="D35">
        <v>2025</v>
      </c>
      <c r="E35" t="s">
        <v>360</v>
      </c>
      <c r="F35" t="s">
        <v>10115</v>
      </c>
    </row>
    <row r="36" spans="1:7" x14ac:dyDescent="0.25">
      <c r="A36" t="s">
        <v>10116</v>
      </c>
      <c r="B36" t="s">
        <v>10093</v>
      </c>
      <c r="C36" t="s">
        <v>10094</v>
      </c>
      <c r="D36">
        <v>2025</v>
      </c>
      <c r="E36" t="s">
        <v>360</v>
      </c>
      <c r="F36" t="s">
        <v>10117</v>
      </c>
    </row>
    <row r="37" spans="1:7" x14ac:dyDescent="0.25">
      <c r="A37" t="s">
        <v>10118</v>
      </c>
      <c r="B37" t="s">
        <v>10093</v>
      </c>
      <c r="C37" t="s">
        <v>10094</v>
      </c>
      <c r="D37">
        <v>2025</v>
      </c>
      <c r="E37" t="s">
        <v>360</v>
      </c>
      <c r="F37" t="s">
        <v>10119</v>
      </c>
    </row>
    <row r="38" spans="1:7" x14ac:dyDescent="0.25">
      <c r="A38" t="s">
        <v>7435</v>
      </c>
      <c r="B38" t="s">
        <v>10093</v>
      </c>
      <c r="C38" t="s">
        <v>10094</v>
      </c>
      <c r="D38">
        <v>2025</v>
      </c>
      <c r="E38" t="s">
        <v>360</v>
      </c>
      <c r="F38" t="s">
        <v>10120</v>
      </c>
    </row>
    <row r="39" spans="1:7" x14ac:dyDescent="0.25">
      <c r="A39" t="s">
        <v>10121</v>
      </c>
      <c r="B39" t="s">
        <v>10093</v>
      </c>
      <c r="C39" t="s">
        <v>10094</v>
      </c>
      <c r="D39">
        <v>2025</v>
      </c>
      <c r="E39" t="s">
        <v>360</v>
      </c>
      <c r="F39" t="s">
        <v>10122</v>
      </c>
    </row>
    <row r="40" spans="1:7" x14ac:dyDescent="0.25">
      <c r="A40" t="s">
        <v>10123</v>
      </c>
      <c r="B40" t="s">
        <v>10093</v>
      </c>
      <c r="C40" t="s">
        <v>10094</v>
      </c>
      <c r="D40">
        <v>2025</v>
      </c>
      <c r="E40" t="s">
        <v>360</v>
      </c>
      <c r="F40" t="s">
        <v>10124</v>
      </c>
    </row>
    <row r="41" spans="1:7" x14ac:dyDescent="0.25">
      <c r="A41" t="s">
        <v>10125</v>
      </c>
      <c r="B41" t="s">
        <v>10093</v>
      </c>
      <c r="C41" t="s">
        <v>10094</v>
      </c>
      <c r="D41">
        <v>2025</v>
      </c>
      <c r="E41" t="s">
        <v>360</v>
      </c>
      <c r="F41" t="s">
        <v>10126</v>
      </c>
    </row>
    <row r="42" spans="1:7" x14ac:dyDescent="0.25">
      <c r="A42" t="s">
        <v>10127</v>
      </c>
      <c r="B42" t="s">
        <v>10093</v>
      </c>
      <c r="C42" t="s">
        <v>10094</v>
      </c>
      <c r="D42">
        <v>2025</v>
      </c>
      <c r="E42" t="s">
        <v>360</v>
      </c>
      <c r="F42" t="s">
        <v>10128</v>
      </c>
    </row>
    <row r="43" spans="1:7" x14ac:dyDescent="0.25">
      <c r="A43" t="s">
        <v>10129</v>
      </c>
      <c r="B43" t="s">
        <v>10093</v>
      </c>
      <c r="C43" t="s">
        <v>10094</v>
      </c>
      <c r="D43">
        <v>2025</v>
      </c>
      <c r="E43" t="s">
        <v>360</v>
      </c>
      <c r="F43" t="s">
        <v>10130</v>
      </c>
    </row>
    <row r="44" spans="1:7" x14ac:dyDescent="0.25">
      <c r="A44" t="s">
        <v>10131</v>
      </c>
      <c r="B44" t="s">
        <v>10093</v>
      </c>
      <c r="C44" t="s">
        <v>10094</v>
      </c>
      <c r="D44">
        <v>2025</v>
      </c>
      <c r="E44" t="s">
        <v>360</v>
      </c>
      <c r="F44" t="s">
        <v>10132</v>
      </c>
    </row>
    <row r="45" spans="1:7" x14ac:dyDescent="0.25">
      <c r="A45" t="s">
        <v>10133</v>
      </c>
      <c r="B45" t="s">
        <v>10093</v>
      </c>
      <c r="C45" t="s">
        <v>10094</v>
      </c>
      <c r="D45">
        <v>2025</v>
      </c>
      <c r="E45" t="s">
        <v>360</v>
      </c>
      <c r="F45" t="s">
        <v>10134</v>
      </c>
    </row>
    <row r="46" spans="1:7" x14ac:dyDescent="0.25">
      <c r="A46" t="s">
        <v>10135</v>
      </c>
      <c r="B46" t="s">
        <v>10093</v>
      </c>
      <c r="C46" t="s">
        <v>10094</v>
      </c>
      <c r="D46">
        <v>2025</v>
      </c>
      <c r="E46" t="s">
        <v>360</v>
      </c>
      <c r="F46" t="s">
        <v>10136</v>
      </c>
    </row>
    <row r="47" spans="1:7" x14ac:dyDescent="0.25">
      <c r="A47" t="s">
        <v>10137</v>
      </c>
      <c r="B47" t="s">
        <v>10138</v>
      </c>
      <c r="C47" t="s">
        <v>10139</v>
      </c>
      <c r="D47">
        <v>2024</v>
      </c>
      <c r="E47" t="s">
        <v>497</v>
      </c>
      <c r="F47" t="s">
        <v>10140</v>
      </c>
      <c r="G47" t="s">
        <v>10044</v>
      </c>
    </row>
    <row r="48" spans="1:7" x14ac:dyDescent="0.25">
      <c r="A48" t="s">
        <v>10141</v>
      </c>
      <c r="B48" t="s">
        <v>10138</v>
      </c>
      <c r="C48" t="s">
        <v>10139</v>
      </c>
      <c r="D48">
        <v>2024</v>
      </c>
      <c r="E48" t="s">
        <v>497</v>
      </c>
      <c r="F48" t="s">
        <v>10142</v>
      </c>
    </row>
    <row r="49" spans="1:7" x14ac:dyDescent="0.25">
      <c r="A49" t="s">
        <v>10143</v>
      </c>
      <c r="B49" t="s">
        <v>10144</v>
      </c>
      <c r="C49" t="s">
        <v>10139</v>
      </c>
      <c r="D49">
        <v>2024</v>
      </c>
      <c r="E49" t="s">
        <v>497</v>
      </c>
      <c r="F49" t="s">
        <v>10145</v>
      </c>
    </row>
    <row r="50" spans="1:7" x14ac:dyDescent="0.25">
      <c r="A50" t="s">
        <v>10146</v>
      </c>
      <c r="B50" t="s">
        <v>10144</v>
      </c>
      <c r="C50" t="s">
        <v>10139</v>
      </c>
      <c r="D50">
        <v>2024</v>
      </c>
      <c r="E50" t="s">
        <v>497</v>
      </c>
      <c r="F50" t="s">
        <v>10147</v>
      </c>
    </row>
    <row r="51" spans="1:7" x14ac:dyDescent="0.25">
      <c r="A51" t="s">
        <v>10148</v>
      </c>
      <c r="B51" t="s">
        <v>10149</v>
      </c>
      <c r="C51" t="s">
        <v>10139</v>
      </c>
      <c r="D51">
        <v>2024</v>
      </c>
      <c r="E51" t="s">
        <v>497</v>
      </c>
      <c r="F51" t="s">
        <v>10150</v>
      </c>
    </row>
    <row r="52" spans="1:7" x14ac:dyDescent="0.25">
      <c r="A52" t="s">
        <v>10151</v>
      </c>
      <c r="B52" t="s">
        <v>10138</v>
      </c>
      <c r="C52" t="s">
        <v>10139</v>
      </c>
      <c r="D52">
        <v>2024</v>
      </c>
      <c r="E52" t="s">
        <v>497</v>
      </c>
      <c r="F52" t="s">
        <v>10152</v>
      </c>
    </row>
    <row r="53" spans="1:7" x14ac:dyDescent="0.25">
      <c r="A53" t="s">
        <v>10153</v>
      </c>
      <c r="B53" t="s">
        <v>10138</v>
      </c>
      <c r="C53" t="s">
        <v>10139</v>
      </c>
      <c r="D53">
        <v>2024</v>
      </c>
      <c r="E53" t="s">
        <v>497</v>
      </c>
      <c r="F53" t="s">
        <v>10154</v>
      </c>
    </row>
    <row r="54" spans="1:7" x14ac:dyDescent="0.25">
      <c r="A54" t="s">
        <v>10155</v>
      </c>
      <c r="B54" t="s">
        <v>10138</v>
      </c>
      <c r="C54" t="s">
        <v>10139</v>
      </c>
      <c r="D54">
        <v>2024</v>
      </c>
      <c r="E54" t="s">
        <v>497</v>
      </c>
      <c r="F54" t="s">
        <v>10156</v>
      </c>
    </row>
    <row r="55" spans="1:7" x14ac:dyDescent="0.25">
      <c r="A55" t="s">
        <v>10157</v>
      </c>
      <c r="B55" t="s">
        <v>10144</v>
      </c>
      <c r="C55" t="s">
        <v>10139</v>
      </c>
      <c r="D55">
        <v>2024</v>
      </c>
      <c r="E55" t="s">
        <v>497</v>
      </c>
      <c r="F55" t="s">
        <v>10158</v>
      </c>
    </row>
    <row r="56" spans="1:7" x14ac:dyDescent="0.25">
      <c r="A56" t="s">
        <v>10159</v>
      </c>
      <c r="B56" t="s">
        <v>10144</v>
      </c>
      <c r="C56" t="s">
        <v>10139</v>
      </c>
      <c r="D56">
        <v>2024</v>
      </c>
      <c r="E56" t="s">
        <v>497</v>
      </c>
      <c r="F56" t="s">
        <v>10160</v>
      </c>
    </row>
    <row r="57" spans="1:7" x14ac:dyDescent="0.25">
      <c r="A57" t="s">
        <v>10161</v>
      </c>
      <c r="B57" t="s">
        <v>10149</v>
      </c>
      <c r="C57" t="s">
        <v>10139</v>
      </c>
      <c r="D57">
        <v>2024</v>
      </c>
      <c r="E57" t="s">
        <v>497</v>
      </c>
      <c r="F57" t="s">
        <v>10162</v>
      </c>
    </row>
    <row r="58" spans="1:7" x14ac:dyDescent="0.25">
      <c r="A58" t="s">
        <v>10163</v>
      </c>
      <c r="B58" t="s">
        <v>10164</v>
      </c>
      <c r="C58" t="s">
        <v>10165</v>
      </c>
      <c r="D58">
        <v>2022</v>
      </c>
      <c r="E58" t="s">
        <v>501</v>
      </c>
      <c r="F58" t="s">
        <v>10166</v>
      </c>
      <c r="G58" t="s">
        <v>10044</v>
      </c>
    </row>
    <row r="59" spans="1:7" x14ac:dyDescent="0.25">
      <c r="A59" t="s">
        <v>10167</v>
      </c>
      <c r="B59" t="s">
        <v>10164</v>
      </c>
      <c r="C59" t="s">
        <v>10165</v>
      </c>
      <c r="D59">
        <v>2022</v>
      </c>
      <c r="E59" t="s">
        <v>501</v>
      </c>
      <c r="F59" t="s">
        <v>10168</v>
      </c>
    </row>
    <row r="60" spans="1:7" x14ac:dyDescent="0.25">
      <c r="A60" t="s">
        <v>10169</v>
      </c>
      <c r="B60" t="s">
        <v>10164</v>
      </c>
      <c r="C60" t="s">
        <v>10165</v>
      </c>
      <c r="D60">
        <v>2022</v>
      </c>
      <c r="E60" t="s">
        <v>501</v>
      </c>
      <c r="F60" t="s">
        <v>10170</v>
      </c>
    </row>
    <row r="61" spans="1:7" x14ac:dyDescent="0.25">
      <c r="A61" t="s">
        <v>10171</v>
      </c>
      <c r="B61" t="s">
        <v>10164</v>
      </c>
      <c r="C61" t="s">
        <v>10165</v>
      </c>
      <c r="D61">
        <v>2022</v>
      </c>
      <c r="E61" t="s">
        <v>501</v>
      </c>
      <c r="F61" t="s">
        <v>10172</v>
      </c>
    </row>
    <row r="62" spans="1:7" x14ac:dyDescent="0.25">
      <c r="A62" t="s">
        <v>10173</v>
      </c>
      <c r="B62" t="s">
        <v>10164</v>
      </c>
      <c r="C62" t="s">
        <v>10165</v>
      </c>
      <c r="D62">
        <v>2022</v>
      </c>
      <c r="E62" t="s">
        <v>501</v>
      </c>
      <c r="F62" t="s">
        <v>10174</v>
      </c>
    </row>
    <row r="63" spans="1:7" x14ac:dyDescent="0.25">
      <c r="A63" t="s">
        <v>10175</v>
      </c>
      <c r="B63" t="s">
        <v>10164</v>
      </c>
      <c r="C63" t="s">
        <v>10165</v>
      </c>
      <c r="D63">
        <v>2022</v>
      </c>
      <c r="E63" t="s">
        <v>501</v>
      </c>
      <c r="F63" t="s">
        <v>10176</v>
      </c>
    </row>
    <row r="64" spans="1:7" x14ac:dyDescent="0.25">
      <c r="A64" t="s">
        <v>10177</v>
      </c>
      <c r="B64" t="s">
        <v>10164</v>
      </c>
      <c r="C64" t="s">
        <v>10165</v>
      </c>
      <c r="D64">
        <v>2022</v>
      </c>
      <c r="E64" t="s">
        <v>501</v>
      </c>
      <c r="F64" t="s">
        <v>10178</v>
      </c>
    </row>
    <row r="65" spans="1:6" x14ac:dyDescent="0.25">
      <c r="A65" t="s">
        <v>4412</v>
      </c>
      <c r="B65" t="s">
        <v>10164</v>
      </c>
      <c r="C65" t="s">
        <v>10165</v>
      </c>
      <c r="D65">
        <v>2022</v>
      </c>
      <c r="E65" t="s">
        <v>501</v>
      </c>
      <c r="F65" t="s">
        <v>10179</v>
      </c>
    </row>
    <row r="66" spans="1:6" x14ac:dyDescent="0.25">
      <c r="A66" t="s">
        <v>10180</v>
      </c>
      <c r="B66" t="s">
        <v>10164</v>
      </c>
      <c r="C66" t="s">
        <v>10165</v>
      </c>
      <c r="D66">
        <v>2022</v>
      </c>
      <c r="E66" t="s">
        <v>501</v>
      </c>
      <c r="F66" t="s">
        <v>10181</v>
      </c>
    </row>
    <row r="67" spans="1:6" x14ac:dyDescent="0.25">
      <c r="A67" t="s">
        <v>10182</v>
      </c>
      <c r="B67" t="s">
        <v>10164</v>
      </c>
      <c r="C67" t="s">
        <v>10165</v>
      </c>
      <c r="D67">
        <v>2022</v>
      </c>
      <c r="E67" t="s">
        <v>501</v>
      </c>
      <c r="F67" t="s">
        <v>10183</v>
      </c>
    </row>
    <row r="68" spans="1:6" x14ac:dyDescent="0.25">
      <c r="A68" t="s">
        <v>10184</v>
      </c>
      <c r="B68" t="s">
        <v>10164</v>
      </c>
      <c r="C68" t="s">
        <v>10165</v>
      </c>
      <c r="D68">
        <v>2022</v>
      </c>
      <c r="E68" t="s">
        <v>501</v>
      </c>
      <c r="F68" t="s">
        <v>10185</v>
      </c>
    </row>
    <row r="69" spans="1:6" x14ac:dyDescent="0.25">
      <c r="A69" t="s">
        <v>10186</v>
      </c>
      <c r="B69" t="s">
        <v>10164</v>
      </c>
      <c r="C69" t="s">
        <v>10165</v>
      </c>
      <c r="D69">
        <v>2022</v>
      </c>
      <c r="E69" t="s">
        <v>501</v>
      </c>
      <c r="F69" t="s">
        <v>10187</v>
      </c>
    </row>
    <row r="70" spans="1:6" x14ac:dyDescent="0.25">
      <c r="A70" t="s">
        <v>10188</v>
      </c>
      <c r="B70" t="s">
        <v>10164</v>
      </c>
      <c r="C70" t="s">
        <v>10165</v>
      </c>
      <c r="D70">
        <v>2022</v>
      </c>
      <c r="E70" t="s">
        <v>501</v>
      </c>
      <c r="F70" t="s">
        <v>10189</v>
      </c>
    </row>
    <row r="71" spans="1:6" x14ac:dyDescent="0.25">
      <c r="A71" t="s">
        <v>10190</v>
      </c>
      <c r="B71" t="s">
        <v>10164</v>
      </c>
      <c r="C71" t="s">
        <v>10165</v>
      </c>
      <c r="D71">
        <v>2022</v>
      </c>
      <c r="E71" t="s">
        <v>501</v>
      </c>
      <c r="F71" t="s">
        <v>10191</v>
      </c>
    </row>
    <row r="72" spans="1:6" x14ac:dyDescent="0.25">
      <c r="A72" t="s">
        <v>10192</v>
      </c>
      <c r="B72" t="s">
        <v>10164</v>
      </c>
      <c r="C72" t="s">
        <v>10165</v>
      </c>
      <c r="D72">
        <v>2022</v>
      </c>
      <c r="E72" t="s">
        <v>501</v>
      </c>
      <c r="F72" t="s">
        <v>10193</v>
      </c>
    </row>
    <row r="73" spans="1:6" x14ac:dyDescent="0.25">
      <c r="A73" t="s">
        <v>10194</v>
      </c>
      <c r="B73" t="s">
        <v>10164</v>
      </c>
      <c r="C73" t="s">
        <v>10165</v>
      </c>
      <c r="D73">
        <v>2022</v>
      </c>
      <c r="E73" t="s">
        <v>501</v>
      </c>
      <c r="F73" t="s">
        <v>10195</v>
      </c>
    </row>
    <row r="74" spans="1:6" x14ac:dyDescent="0.25">
      <c r="A74" t="s">
        <v>10196</v>
      </c>
      <c r="B74" t="s">
        <v>10164</v>
      </c>
      <c r="C74" t="s">
        <v>10165</v>
      </c>
      <c r="D74">
        <v>2022</v>
      </c>
      <c r="E74" t="s">
        <v>501</v>
      </c>
      <c r="F74" t="s">
        <v>10197</v>
      </c>
    </row>
    <row r="75" spans="1:6" x14ac:dyDescent="0.25">
      <c r="A75" t="s">
        <v>10198</v>
      </c>
      <c r="B75" t="s">
        <v>10164</v>
      </c>
      <c r="C75" t="s">
        <v>10165</v>
      </c>
      <c r="D75">
        <v>2022</v>
      </c>
      <c r="E75" t="s">
        <v>501</v>
      </c>
      <c r="F75" t="s">
        <v>10199</v>
      </c>
    </row>
    <row r="76" spans="1:6" x14ac:dyDescent="0.25">
      <c r="A76" t="s">
        <v>4414</v>
      </c>
      <c r="B76" t="s">
        <v>10164</v>
      </c>
      <c r="C76" t="s">
        <v>10165</v>
      </c>
      <c r="D76">
        <v>2022</v>
      </c>
      <c r="E76" t="s">
        <v>501</v>
      </c>
      <c r="F76" t="s">
        <v>10200</v>
      </c>
    </row>
    <row r="77" spans="1:6" x14ac:dyDescent="0.25">
      <c r="A77" t="s">
        <v>10201</v>
      </c>
      <c r="B77" t="s">
        <v>10164</v>
      </c>
      <c r="C77" t="s">
        <v>10165</v>
      </c>
      <c r="D77">
        <v>2022</v>
      </c>
      <c r="E77" t="s">
        <v>501</v>
      </c>
      <c r="F77" t="s">
        <v>10202</v>
      </c>
    </row>
    <row r="78" spans="1:6" x14ac:dyDescent="0.25">
      <c r="A78" t="s">
        <v>10203</v>
      </c>
      <c r="B78" t="s">
        <v>10164</v>
      </c>
      <c r="C78" t="s">
        <v>10165</v>
      </c>
      <c r="D78">
        <v>2022</v>
      </c>
      <c r="E78" t="s">
        <v>501</v>
      </c>
      <c r="F78" t="s">
        <v>10204</v>
      </c>
    </row>
    <row r="79" spans="1:6" x14ac:dyDescent="0.25">
      <c r="A79" t="s">
        <v>10205</v>
      </c>
      <c r="B79" t="s">
        <v>10164</v>
      </c>
      <c r="C79" t="s">
        <v>10165</v>
      </c>
      <c r="D79">
        <v>2022</v>
      </c>
      <c r="E79" t="s">
        <v>501</v>
      </c>
      <c r="F79" t="s">
        <v>10206</v>
      </c>
    </row>
    <row r="80" spans="1:6" x14ac:dyDescent="0.25">
      <c r="A80" t="s">
        <v>10207</v>
      </c>
      <c r="B80" t="s">
        <v>10164</v>
      </c>
      <c r="C80" t="s">
        <v>10165</v>
      </c>
      <c r="D80">
        <v>2022</v>
      </c>
      <c r="E80" t="s">
        <v>501</v>
      </c>
      <c r="F80" t="s">
        <v>10208</v>
      </c>
    </row>
    <row r="81" spans="1:6" x14ac:dyDescent="0.25">
      <c r="A81" t="s">
        <v>10209</v>
      </c>
      <c r="B81" t="s">
        <v>10164</v>
      </c>
      <c r="C81" t="s">
        <v>10165</v>
      </c>
      <c r="D81">
        <v>2022</v>
      </c>
      <c r="E81" t="s">
        <v>501</v>
      </c>
      <c r="F81" t="s">
        <v>10210</v>
      </c>
    </row>
    <row r="82" spans="1:6" x14ac:dyDescent="0.25">
      <c r="A82" t="s">
        <v>10211</v>
      </c>
      <c r="B82" t="s">
        <v>10164</v>
      </c>
      <c r="C82" t="s">
        <v>10165</v>
      </c>
      <c r="D82">
        <v>2022</v>
      </c>
      <c r="E82" t="s">
        <v>501</v>
      </c>
      <c r="F82" t="s">
        <v>10212</v>
      </c>
    </row>
    <row r="83" spans="1:6" x14ac:dyDescent="0.25">
      <c r="A83" t="s">
        <v>10213</v>
      </c>
      <c r="B83" t="s">
        <v>10164</v>
      </c>
      <c r="C83" t="s">
        <v>10165</v>
      </c>
      <c r="D83">
        <v>2022</v>
      </c>
      <c r="E83" t="s">
        <v>501</v>
      </c>
      <c r="F83" t="s">
        <v>10214</v>
      </c>
    </row>
    <row r="84" spans="1:6" x14ac:dyDescent="0.25">
      <c r="A84" t="s">
        <v>10215</v>
      </c>
      <c r="B84" t="s">
        <v>10164</v>
      </c>
      <c r="C84" t="s">
        <v>10165</v>
      </c>
      <c r="D84">
        <v>2022</v>
      </c>
      <c r="E84" t="s">
        <v>501</v>
      </c>
      <c r="F84" t="s">
        <v>10216</v>
      </c>
    </row>
    <row r="85" spans="1:6" x14ac:dyDescent="0.25">
      <c r="A85" t="s">
        <v>10217</v>
      </c>
      <c r="B85" t="s">
        <v>10164</v>
      </c>
      <c r="C85" t="s">
        <v>10165</v>
      </c>
      <c r="D85">
        <v>2022</v>
      </c>
      <c r="E85" t="s">
        <v>501</v>
      </c>
      <c r="F85" t="s">
        <v>10218</v>
      </c>
    </row>
    <row r="86" spans="1:6" x14ac:dyDescent="0.25">
      <c r="A86" t="s">
        <v>4415</v>
      </c>
      <c r="B86" t="s">
        <v>10164</v>
      </c>
      <c r="C86" t="s">
        <v>10165</v>
      </c>
      <c r="D86">
        <v>2022</v>
      </c>
      <c r="E86" t="s">
        <v>501</v>
      </c>
      <c r="F86" t="s">
        <v>10219</v>
      </c>
    </row>
    <row r="87" spans="1:6" x14ac:dyDescent="0.25">
      <c r="A87" t="s">
        <v>10220</v>
      </c>
      <c r="B87" t="s">
        <v>10164</v>
      </c>
      <c r="C87" t="s">
        <v>10165</v>
      </c>
      <c r="D87">
        <v>2022</v>
      </c>
      <c r="E87" t="s">
        <v>501</v>
      </c>
      <c r="F87" t="s">
        <v>10221</v>
      </c>
    </row>
    <row r="88" spans="1:6" x14ac:dyDescent="0.25">
      <c r="A88" t="s">
        <v>10222</v>
      </c>
      <c r="B88" t="s">
        <v>10164</v>
      </c>
      <c r="C88" t="s">
        <v>10165</v>
      </c>
      <c r="D88">
        <v>2022</v>
      </c>
      <c r="E88" t="s">
        <v>501</v>
      </c>
      <c r="F88" t="s">
        <v>10223</v>
      </c>
    </row>
    <row r="89" spans="1:6" x14ac:dyDescent="0.25">
      <c r="A89" t="s">
        <v>10224</v>
      </c>
      <c r="B89" t="s">
        <v>10164</v>
      </c>
      <c r="C89" t="s">
        <v>10165</v>
      </c>
      <c r="D89">
        <v>2022</v>
      </c>
      <c r="E89" t="s">
        <v>501</v>
      </c>
      <c r="F89" t="s">
        <v>10225</v>
      </c>
    </row>
    <row r="90" spans="1:6" x14ac:dyDescent="0.25">
      <c r="A90" t="s">
        <v>10226</v>
      </c>
      <c r="B90" t="s">
        <v>10164</v>
      </c>
      <c r="C90" t="s">
        <v>10165</v>
      </c>
      <c r="D90">
        <v>2022</v>
      </c>
      <c r="E90" t="s">
        <v>501</v>
      </c>
      <c r="F90" t="s">
        <v>10227</v>
      </c>
    </row>
    <row r="91" spans="1:6" x14ac:dyDescent="0.25">
      <c r="A91" t="s">
        <v>10228</v>
      </c>
      <c r="B91" t="s">
        <v>10164</v>
      </c>
      <c r="C91" t="s">
        <v>10165</v>
      </c>
      <c r="D91">
        <v>2022</v>
      </c>
      <c r="E91" t="s">
        <v>501</v>
      </c>
      <c r="F91" t="s">
        <v>10229</v>
      </c>
    </row>
    <row r="92" spans="1:6" x14ac:dyDescent="0.25">
      <c r="A92" t="s">
        <v>10230</v>
      </c>
      <c r="B92" t="s">
        <v>10164</v>
      </c>
      <c r="C92" t="s">
        <v>10165</v>
      </c>
      <c r="D92">
        <v>2022</v>
      </c>
      <c r="E92" t="s">
        <v>501</v>
      </c>
      <c r="F92" t="s">
        <v>10231</v>
      </c>
    </row>
    <row r="93" spans="1:6" x14ac:dyDescent="0.25">
      <c r="A93" t="s">
        <v>10232</v>
      </c>
      <c r="B93" t="s">
        <v>10164</v>
      </c>
      <c r="C93" t="s">
        <v>10165</v>
      </c>
      <c r="D93">
        <v>2022</v>
      </c>
      <c r="E93" t="s">
        <v>501</v>
      </c>
      <c r="F93" t="s">
        <v>10233</v>
      </c>
    </row>
    <row r="94" spans="1:6" x14ac:dyDescent="0.25">
      <c r="A94" t="s">
        <v>10234</v>
      </c>
      <c r="B94" t="s">
        <v>10164</v>
      </c>
      <c r="C94" t="s">
        <v>10165</v>
      </c>
      <c r="D94">
        <v>2022</v>
      </c>
      <c r="E94" t="s">
        <v>501</v>
      </c>
      <c r="F94" t="s">
        <v>10235</v>
      </c>
    </row>
    <row r="95" spans="1:6" x14ac:dyDescent="0.25">
      <c r="A95" t="s">
        <v>10236</v>
      </c>
      <c r="B95" t="s">
        <v>10164</v>
      </c>
      <c r="C95" t="s">
        <v>10165</v>
      </c>
      <c r="D95">
        <v>2022</v>
      </c>
      <c r="E95" t="s">
        <v>501</v>
      </c>
      <c r="F95" t="s">
        <v>10237</v>
      </c>
    </row>
    <row r="96" spans="1:6" x14ac:dyDescent="0.25">
      <c r="A96" t="s">
        <v>10238</v>
      </c>
      <c r="B96" t="s">
        <v>10164</v>
      </c>
      <c r="C96" t="s">
        <v>10165</v>
      </c>
      <c r="D96">
        <v>2022</v>
      </c>
      <c r="E96" t="s">
        <v>501</v>
      </c>
      <c r="F96" t="s">
        <v>10239</v>
      </c>
    </row>
    <row r="97" spans="1:7" x14ac:dyDescent="0.25">
      <c r="A97" t="s">
        <v>10240</v>
      </c>
      <c r="B97" t="s">
        <v>10164</v>
      </c>
      <c r="C97" t="s">
        <v>10165</v>
      </c>
      <c r="D97">
        <v>2022</v>
      </c>
      <c r="E97" t="s">
        <v>501</v>
      </c>
      <c r="F97" t="s">
        <v>10241</v>
      </c>
    </row>
    <row r="98" spans="1:7" x14ac:dyDescent="0.25">
      <c r="A98" t="s">
        <v>10242</v>
      </c>
      <c r="B98" t="s">
        <v>10164</v>
      </c>
      <c r="C98" t="s">
        <v>10165</v>
      </c>
      <c r="D98">
        <v>2022</v>
      </c>
      <c r="E98" t="s">
        <v>501</v>
      </c>
      <c r="F98" t="s">
        <v>10243</v>
      </c>
    </row>
    <row r="99" spans="1:7" x14ac:dyDescent="0.25">
      <c r="A99" t="s">
        <v>1918</v>
      </c>
      <c r="B99" t="s">
        <v>10244</v>
      </c>
      <c r="C99" t="s">
        <v>10245</v>
      </c>
      <c r="D99">
        <v>2024</v>
      </c>
      <c r="E99" t="s">
        <v>553</v>
      </c>
      <c r="F99" t="s">
        <v>10246</v>
      </c>
      <c r="G99" t="s">
        <v>10044</v>
      </c>
    </row>
    <row r="100" spans="1:7" x14ac:dyDescent="0.25">
      <c r="A100" t="s">
        <v>10247</v>
      </c>
      <c r="B100" t="s">
        <v>10244</v>
      </c>
      <c r="C100" t="s">
        <v>10245</v>
      </c>
      <c r="D100">
        <v>2024</v>
      </c>
      <c r="E100" t="s">
        <v>553</v>
      </c>
      <c r="F100" t="s">
        <v>10248</v>
      </c>
    </row>
    <row r="101" spans="1:7" x14ac:dyDescent="0.25">
      <c r="A101" t="s">
        <v>10249</v>
      </c>
      <c r="B101" t="s">
        <v>10244</v>
      </c>
      <c r="C101" t="s">
        <v>10245</v>
      </c>
      <c r="D101">
        <v>2024</v>
      </c>
      <c r="E101" t="s">
        <v>553</v>
      </c>
      <c r="F101" t="s">
        <v>10250</v>
      </c>
    </row>
    <row r="102" spans="1:7" x14ac:dyDescent="0.25">
      <c r="A102" t="s">
        <v>10251</v>
      </c>
      <c r="B102" t="s">
        <v>10244</v>
      </c>
      <c r="C102" t="s">
        <v>10245</v>
      </c>
      <c r="D102">
        <v>2024</v>
      </c>
      <c r="E102" t="s">
        <v>553</v>
      </c>
      <c r="F102" t="s">
        <v>10252</v>
      </c>
    </row>
    <row r="103" spans="1:7" x14ac:dyDescent="0.25">
      <c r="A103" t="s">
        <v>10253</v>
      </c>
      <c r="B103" t="s">
        <v>10244</v>
      </c>
      <c r="C103" t="s">
        <v>10245</v>
      </c>
      <c r="D103">
        <v>2024</v>
      </c>
      <c r="E103" t="s">
        <v>553</v>
      </c>
      <c r="F103" t="s">
        <v>10254</v>
      </c>
    </row>
    <row r="104" spans="1:7" x14ac:dyDescent="0.25">
      <c r="A104" t="s">
        <v>10255</v>
      </c>
      <c r="B104" t="s">
        <v>10244</v>
      </c>
      <c r="C104" t="s">
        <v>10245</v>
      </c>
      <c r="D104">
        <v>2024</v>
      </c>
      <c r="E104" t="s">
        <v>553</v>
      </c>
      <c r="F104" t="s">
        <v>10256</v>
      </c>
    </row>
    <row r="105" spans="1:7" x14ac:dyDescent="0.25">
      <c r="A105" t="s">
        <v>10257</v>
      </c>
      <c r="B105" t="s">
        <v>10244</v>
      </c>
      <c r="C105" t="s">
        <v>10245</v>
      </c>
      <c r="D105">
        <v>2024</v>
      </c>
      <c r="E105" t="s">
        <v>553</v>
      </c>
      <c r="F105" t="s">
        <v>10258</v>
      </c>
    </row>
    <row r="106" spans="1:7" x14ac:dyDescent="0.25">
      <c r="A106" t="s">
        <v>10259</v>
      </c>
      <c r="B106" t="s">
        <v>10244</v>
      </c>
      <c r="C106" t="s">
        <v>10245</v>
      </c>
      <c r="D106">
        <v>2024</v>
      </c>
      <c r="E106" t="s">
        <v>553</v>
      </c>
      <c r="F106" t="s">
        <v>10260</v>
      </c>
    </row>
    <row r="107" spans="1:7" x14ac:dyDescent="0.25">
      <c r="A107" t="s">
        <v>10261</v>
      </c>
      <c r="B107" t="s">
        <v>10244</v>
      </c>
      <c r="C107" t="s">
        <v>10245</v>
      </c>
      <c r="D107">
        <v>2024</v>
      </c>
      <c r="E107" t="s">
        <v>553</v>
      </c>
      <c r="F107" t="s">
        <v>10262</v>
      </c>
    </row>
    <row r="108" spans="1:7" x14ac:dyDescent="0.25">
      <c r="A108" t="s">
        <v>10263</v>
      </c>
      <c r="B108" t="s">
        <v>10244</v>
      </c>
      <c r="C108" t="s">
        <v>10245</v>
      </c>
      <c r="D108">
        <v>2024</v>
      </c>
      <c r="E108" t="s">
        <v>553</v>
      </c>
      <c r="F108" t="s">
        <v>10264</v>
      </c>
    </row>
    <row r="109" spans="1:7" x14ac:dyDescent="0.25">
      <c r="A109" t="s">
        <v>10265</v>
      </c>
      <c r="B109" t="s">
        <v>10244</v>
      </c>
      <c r="C109" t="s">
        <v>10245</v>
      </c>
      <c r="D109">
        <v>2024</v>
      </c>
      <c r="E109" t="s">
        <v>553</v>
      </c>
      <c r="F109" t="s">
        <v>10266</v>
      </c>
    </row>
    <row r="110" spans="1:7" x14ac:dyDescent="0.25">
      <c r="A110" t="s">
        <v>10267</v>
      </c>
      <c r="B110" t="s">
        <v>10244</v>
      </c>
      <c r="C110" t="s">
        <v>10245</v>
      </c>
      <c r="D110">
        <v>2024</v>
      </c>
      <c r="E110" t="s">
        <v>553</v>
      </c>
      <c r="F110" t="s">
        <v>10268</v>
      </c>
    </row>
    <row r="111" spans="1:7" x14ac:dyDescent="0.25">
      <c r="A111" t="s">
        <v>10269</v>
      </c>
      <c r="B111" t="s">
        <v>10244</v>
      </c>
      <c r="C111" t="s">
        <v>10245</v>
      </c>
      <c r="D111">
        <v>2024</v>
      </c>
      <c r="E111" t="s">
        <v>553</v>
      </c>
      <c r="F111" t="s">
        <v>10270</v>
      </c>
    </row>
    <row r="112" spans="1:7" x14ac:dyDescent="0.25">
      <c r="A112" t="s">
        <v>10271</v>
      </c>
      <c r="B112" t="s">
        <v>10244</v>
      </c>
      <c r="C112" t="s">
        <v>10245</v>
      </c>
      <c r="D112">
        <v>2024</v>
      </c>
      <c r="E112" t="s">
        <v>553</v>
      </c>
      <c r="F112" t="s">
        <v>10272</v>
      </c>
    </row>
    <row r="113" spans="1:6" x14ac:dyDescent="0.25">
      <c r="A113" t="s">
        <v>10273</v>
      </c>
      <c r="B113" t="s">
        <v>10244</v>
      </c>
      <c r="C113" t="s">
        <v>10245</v>
      </c>
      <c r="D113">
        <v>2024</v>
      </c>
      <c r="E113" t="s">
        <v>553</v>
      </c>
      <c r="F113" t="s">
        <v>10274</v>
      </c>
    </row>
    <row r="114" spans="1:6" x14ac:dyDescent="0.25">
      <c r="A114" t="s">
        <v>10275</v>
      </c>
      <c r="B114" t="s">
        <v>10244</v>
      </c>
      <c r="C114" t="s">
        <v>10245</v>
      </c>
      <c r="D114">
        <v>2024</v>
      </c>
      <c r="E114" t="s">
        <v>553</v>
      </c>
      <c r="F114" t="s">
        <v>10276</v>
      </c>
    </row>
    <row r="115" spans="1:6" x14ac:dyDescent="0.25">
      <c r="A115" t="s">
        <v>10277</v>
      </c>
      <c r="B115" t="s">
        <v>10244</v>
      </c>
      <c r="C115" t="s">
        <v>10245</v>
      </c>
      <c r="D115">
        <v>2024</v>
      </c>
      <c r="E115" t="s">
        <v>553</v>
      </c>
      <c r="F115" t="s">
        <v>10278</v>
      </c>
    </row>
    <row r="116" spans="1:6" x14ac:dyDescent="0.25">
      <c r="A116" t="s">
        <v>10279</v>
      </c>
      <c r="B116" t="s">
        <v>10244</v>
      </c>
      <c r="C116" t="s">
        <v>10245</v>
      </c>
      <c r="D116">
        <v>2024</v>
      </c>
      <c r="E116" t="s">
        <v>553</v>
      </c>
      <c r="F116" t="s">
        <v>10280</v>
      </c>
    </row>
    <row r="117" spans="1:6" x14ac:dyDescent="0.25">
      <c r="A117" t="s">
        <v>10281</v>
      </c>
      <c r="B117" t="s">
        <v>10244</v>
      </c>
      <c r="C117" t="s">
        <v>10245</v>
      </c>
      <c r="D117">
        <v>2024</v>
      </c>
      <c r="E117" t="s">
        <v>553</v>
      </c>
      <c r="F117" t="s">
        <v>10282</v>
      </c>
    </row>
    <row r="118" spans="1:6" x14ac:dyDescent="0.25">
      <c r="A118" t="s">
        <v>10283</v>
      </c>
      <c r="B118" t="s">
        <v>10244</v>
      </c>
      <c r="C118" t="s">
        <v>10245</v>
      </c>
      <c r="D118">
        <v>2024</v>
      </c>
      <c r="E118" t="s">
        <v>553</v>
      </c>
      <c r="F118" t="s">
        <v>10284</v>
      </c>
    </row>
    <row r="119" spans="1:6" x14ac:dyDescent="0.25">
      <c r="A119" t="s">
        <v>10285</v>
      </c>
      <c r="B119" t="s">
        <v>10244</v>
      </c>
      <c r="C119" t="s">
        <v>10245</v>
      </c>
      <c r="D119">
        <v>2024</v>
      </c>
      <c r="E119" t="s">
        <v>553</v>
      </c>
      <c r="F119" t="s">
        <v>10286</v>
      </c>
    </row>
    <row r="120" spans="1:6" x14ac:dyDescent="0.25">
      <c r="A120" t="s">
        <v>10287</v>
      </c>
      <c r="B120" t="s">
        <v>10244</v>
      </c>
      <c r="C120" t="s">
        <v>10245</v>
      </c>
      <c r="D120">
        <v>2024</v>
      </c>
      <c r="E120" t="s">
        <v>553</v>
      </c>
      <c r="F120" t="s">
        <v>10288</v>
      </c>
    </row>
    <row r="121" spans="1:6" x14ac:dyDescent="0.25">
      <c r="A121" t="s">
        <v>10289</v>
      </c>
      <c r="B121" t="s">
        <v>10244</v>
      </c>
      <c r="C121" t="s">
        <v>10245</v>
      </c>
      <c r="D121">
        <v>2024</v>
      </c>
      <c r="E121" t="s">
        <v>553</v>
      </c>
      <c r="F121" t="s">
        <v>10290</v>
      </c>
    </row>
    <row r="122" spans="1:6" x14ac:dyDescent="0.25">
      <c r="A122" t="s">
        <v>10291</v>
      </c>
      <c r="B122" t="s">
        <v>10244</v>
      </c>
      <c r="C122" t="s">
        <v>10245</v>
      </c>
      <c r="D122">
        <v>2024</v>
      </c>
      <c r="E122" t="s">
        <v>553</v>
      </c>
      <c r="F122" t="s">
        <v>10292</v>
      </c>
    </row>
    <row r="123" spans="1:6" x14ac:dyDescent="0.25">
      <c r="A123" t="s">
        <v>10293</v>
      </c>
      <c r="B123" t="s">
        <v>10244</v>
      </c>
      <c r="C123" t="s">
        <v>10245</v>
      </c>
      <c r="D123">
        <v>2024</v>
      </c>
      <c r="E123" t="s">
        <v>553</v>
      </c>
      <c r="F123" t="s">
        <v>10294</v>
      </c>
    </row>
    <row r="124" spans="1:6" x14ac:dyDescent="0.25">
      <c r="A124" t="s">
        <v>10295</v>
      </c>
      <c r="B124" t="s">
        <v>10244</v>
      </c>
      <c r="C124" t="s">
        <v>10245</v>
      </c>
      <c r="D124">
        <v>2024</v>
      </c>
      <c r="E124" t="s">
        <v>553</v>
      </c>
      <c r="F124" t="s">
        <v>10296</v>
      </c>
    </row>
    <row r="125" spans="1:6" x14ac:dyDescent="0.25">
      <c r="A125" t="s">
        <v>10297</v>
      </c>
      <c r="B125" t="s">
        <v>10244</v>
      </c>
      <c r="C125" t="s">
        <v>10245</v>
      </c>
      <c r="D125">
        <v>2024</v>
      </c>
      <c r="E125" t="s">
        <v>553</v>
      </c>
      <c r="F125" t="s">
        <v>10298</v>
      </c>
    </row>
    <row r="126" spans="1:6" x14ac:dyDescent="0.25">
      <c r="A126" t="s">
        <v>10299</v>
      </c>
      <c r="B126" t="s">
        <v>10244</v>
      </c>
      <c r="C126" t="s">
        <v>10245</v>
      </c>
      <c r="D126">
        <v>2024</v>
      </c>
      <c r="E126" t="s">
        <v>553</v>
      </c>
      <c r="F126" t="s">
        <v>10300</v>
      </c>
    </row>
    <row r="127" spans="1:6" x14ac:dyDescent="0.25">
      <c r="A127" t="s">
        <v>10301</v>
      </c>
      <c r="B127" t="s">
        <v>10244</v>
      </c>
      <c r="C127" t="s">
        <v>10245</v>
      </c>
      <c r="D127">
        <v>2024</v>
      </c>
      <c r="E127" t="s">
        <v>553</v>
      </c>
      <c r="F127" t="s">
        <v>10302</v>
      </c>
    </row>
    <row r="128" spans="1:6" x14ac:dyDescent="0.25">
      <c r="A128" t="s">
        <v>10303</v>
      </c>
      <c r="B128" t="s">
        <v>10244</v>
      </c>
      <c r="C128" t="s">
        <v>10245</v>
      </c>
      <c r="D128">
        <v>2024</v>
      </c>
      <c r="E128" t="s">
        <v>553</v>
      </c>
      <c r="F128" t="s">
        <v>10304</v>
      </c>
    </row>
    <row r="129" spans="1:7" x14ac:dyDescent="0.25">
      <c r="A129" t="s">
        <v>10305</v>
      </c>
      <c r="B129" t="s">
        <v>10244</v>
      </c>
      <c r="C129" t="s">
        <v>10245</v>
      </c>
      <c r="D129">
        <v>2024</v>
      </c>
      <c r="E129" t="s">
        <v>553</v>
      </c>
      <c r="F129" t="s">
        <v>10306</v>
      </c>
    </row>
    <row r="130" spans="1:7" x14ac:dyDescent="0.25">
      <c r="A130" t="s">
        <v>10307</v>
      </c>
      <c r="B130" t="s">
        <v>10244</v>
      </c>
      <c r="C130" t="s">
        <v>10245</v>
      </c>
      <c r="D130">
        <v>2024</v>
      </c>
      <c r="E130" t="s">
        <v>553</v>
      </c>
      <c r="F130" t="s">
        <v>10308</v>
      </c>
    </row>
    <row r="131" spans="1:7" x14ac:dyDescent="0.25">
      <c r="A131" t="s">
        <v>10309</v>
      </c>
      <c r="B131" t="s">
        <v>10310</v>
      </c>
      <c r="C131" t="s">
        <v>10311</v>
      </c>
      <c r="D131">
        <v>2014</v>
      </c>
      <c r="E131" t="s">
        <v>689</v>
      </c>
      <c r="F131" t="s">
        <v>10312</v>
      </c>
      <c r="G131" t="s">
        <v>10044</v>
      </c>
    </row>
    <row r="132" spans="1:7" x14ac:dyDescent="0.25">
      <c r="A132" t="s">
        <v>10313</v>
      </c>
      <c r="B132" t="s">
        <v>10310</v>
      </c>
      <c r="C132" t="s">
        <v>10311</v>
      </c>
      <c r="D132">
        <v>2014</v>
      </c>
      <c r="E132" t="s">
        <v>689</v>
      </c>
      <c r="F132" t="s">
        <v>10314</v>
      </c>
    </row>
    <row r="133" spans="1:7" x14ac:dyDescent="0.25">
      <c r="A133" t="s">
        <v>10315</v>
      </c>
      <c r="B133" t="s">
        <v>10310</v>
      </c>
      <c r="C133" t="s">
        <v>10311</v>
      </c>
      <c r="D133">
        <v>2014</v>
      </c>
      <c r="E133" t="s">
        <v>689</v>
      </c>
      <c r="F133" t="s">
        <v>10316</v>
      </c>
    </row>
    <row r="134" spans="1:7" x14ac:dyDescent="0.25">
      <c r="A134" t="s">
        <v>10317</v>
      </c>
      <c r="B134" t="s">
        <v>10310</v>
      </c>
      <c r="C134" t="s">
        <v>10311</v>
      </c>
      <c r="D134">
        <v>2014</v>
      </c>
      <c r="E134" t="s">
        <v>689</v>
      </c>
      <c r="F134" t="s">
        <v>10318</v>
      </c>
    </row>
    <row r="135" spans="1:7" x14ac:dyDescent="0.25">
      <c r="A135" t="s">
        <v>10319</v>
      </c>
      <c r="B135" t="s">
        <v>10310</v>
      </c>
      <c r="C135" t="s">
        <v>10311</v>
      </c>
      <c r="D135">
        <v>2014</v>
      </c>
      <c r="E135" t="s">
        <v>689</v>
      </c>
      <c r="F135" t="s">
        <v>10320</v>
      </c>
    </row>
    <row r="136" spans="1:7" x14ac:dyDescent="0.25">
      <c r="A136" t="s">
        <v>10321</v>
      </c>
      <c r="B136" t="s">
        <v>10310</v>
      </c>
      <c r="C136" t="s">
        <v>10311</v>
      </c>
      <c r="D136">
        <v>2014</v>
      </c>
      <c r="E136" t="s">
        <v>689</v>
      </c>
      <c r="F136" t="s">
        <v>10322</v>
      </c>
    </row>
    <row r="137" spans="1:7" x14ac:dyDescent="0.25">
      <c r="A137" t="s">
        <v>10323</v>
      </c>
      <c r="B137" t="s">
        <v>10310</v>
      </c>
      <c r="C137" t="s">
        <v>10311</v>
      </c>
      <c r="D137">
        <v>2014</v>
      </c>
      <c r="E137" t="s">
        <v>689</v>
      </c>
      <c r="F137" t="s">
        <v>10324</v>
      </c>
    </row>
    <row r="138" spans="1:7" x14ac:dyDescent="0.25">
      <c r="A138" t="s">
        <v>10325</v>
      </c>
      <c r="B138" t="s">
        <v>10310</v>
      </c>
      <c r="C138" t="s">
        <v>10311</v>
      </c>
      <c r="D138">
        <v>2014</v>
      </c>
      <c r="E138" t="s">
        <v>689</v>
      </c>
      <c r="F138" t="s">
        <v>10326</v>
      </c>
    </row>
    <row r="139" spans="1:7" x14ac:dyDescent="0.25">
      <c r="A139" t="s">
        <v>10327</v>
      </c>
      <c r="B139" t="s">
        <v>10310</v>
      </c>
      <c r="C139" t="s">
        <v>10311</v>
      </c>
      <c r="D139">
        <v>2014</v>
      </c>
      <c r="E139" t="s">
        <v>689</v>
      </c>
      <c r="F139" t="s">
        <v>10328</v>
      </c>
    </row>
    <row r="140" spans="1:7" x14ac:dyDescent="0.25">
      <c r="A140" t="s">
        <v>10329</v>
      </c>
      <c r="B140" t="s">
        <v>10310</v>
      </c>
      <c r="C140" t="s">
        <v>10311</v>
      </c>
      <c r="D140">
        <v>2014</v>
      </c>
      <c r="E140" t="s">
        <v>689</v>
      </c>
      <c r="F140" t="s">
        <v>10330</v>
      </c>
    </row>
    <row r="141" spans="1:7" x14ac:dyDescent="0.25">
      <c r="A141" t="s">
        <v>10331</v>
      </c>
      <c r="B141" t="s">
        <v>10310</v>
      </c>
      <c r="C141" t="s">
        <v>10311</v>
      </c>
      <c r="D141">
        <v>2014</v>
      </c>
      <c r="E141" t="s">
        <v>689</v>
      </c>
      <c r="F141" t="s">
        <v>10332</v>
      </c>
    </row>
    <row r="142" spans="1:7" x14ac:dyDescent="0.25">
      <c r="A142" t="s">
        <v>10333</v>
      </c>
      <c r="B142" t="s">
        <v>10310</v>
      </c>
      <c r="C142" t="s">
        <v>10311</v>
      </c>
      <c r="D142">
        <v>2014</v>
      </c>
      <c r="E142" t="s">
        <v>689</v>
      </c>
      <c r="F142" t="s">
        <v>10334</v>
      </c>
    </row>
    <row r="143" spans="1:7" x14ac:dyDescent="0.25">
      <c r="A143" t="s">
        <v>10335</v>
      </c>
      <c r="B143" t="s">
        <v>10310</v>
      </c>
      <c r="C143" t="s">
        <v>10311</v>
      </c>
      <c r="D143">
        <v>2014</v>
      </c>
      <c r="E143" t="s">
        <v>689</v>
      </c>
      <c r="F143" t="s">
        <v>10336</v>
      </c>
    </row>
    <row r="144" spans="1:7" x14ac:dyDescent="0.25">
      <c r="A144" t="s">
        <v>10337</v>
      </c>
      <c r="B144" t="s">
        <v>10310</v>
      </c>
      <c r="C144" t="s">
        <v>10311</v>
      </c>
      <c r="D144">
        <v>2014</v>
      </c>
      <c r="E144" t="s">
        <v>689</v>
      </c>
      <c r="F144" t="s">
        <v>10338</v>
      </c>
    </row>
    <row r="145" spans="1:7" x14ac:dyDescent="0.25">
      <c r="A145" t="s">
        <v>10339</v>
      </c>
      <c r="B145" t="s">
        <v>10310</v>
      </c>
      <c r="C145" t="s">
        <v>10311</v>
      </c>
      <c r="D145">
        <v>2014</v>
      </c>
      <c r="E145" t="s">
        <v>689</v>
      </c>
      <c r="F145" t="s">
        <v>10340</v>
      </c>
    </row>
    <row r="146" spans="1:7" x14ac:dyDescent="0.25">
      <c r="A146" t="s">
        <v>10341</v>
      </c>
      <c r="B146" t="s">
        <v>10310</v>
      </c>
      <c r="C146" t="s">
        <v>10311</v>
      </c>
      <c r="D146">
        <v>2014</v>
      </c>
      <c r="E146" t="s">
        <v>689</v>
      </c>
      <c r="F146" t="s">
        <v>10342</v>
      </c>
    </row>
    <row r="147" spans="1:7" x14ac:dyDescent="0.25">
      <c r="A147" t="s">
        <v>10343</v>
      </c>
      <c r="B147" t="s">
        <v>10310</v>
      </c>
      <c r="C147" t="s">
        <v>10311</v>
      </c>
      <c r="D147">
        <v>2014</v>
      </c>
      <c r="E147" t="s">
        <v>689</v>
      </c>
      <c r="F147" t="s">
        <v>10344</v>
      </c>
    </row>
    <row r="148" spans="1:7" x14ac:dyDescent="0.25">
      <c r="A148" t="s">
        <v>10345</v>
      </c>
      <c r="B148" t="s">
        <v>10310</v>
      </c>
      <c r="C148" t="s">
        <v>10311</v>
      </c>
      <c r="D148">
        <v>2014</v>
      </c>
      <c r="E148" t="s">
        <v>689</v>
      </c>
      <c r="F148" t="s">
        <v>10346</v>
      </c>
    </row>
    <row r="149" spans="1:7" x14ac:dyDescent="0.25">
      <c r="A149" t="s">
        <v>10347</v>
      </c>
      <c r="B149" t="s">
        <v>10310</v>
      </c>
      <c r="C149" t="s">
        <v>10311</v>
      </c>
      <c r="D149">
        <v>2014</v>
      </c>
      <c r="E149" t="s">
        <v>689</v>
      </c>
      <c r="F149" t="s">
        <v>10348</v>
      </c>
    </row>
    <row r="150" spans="1:7" x14ac:dyDescent="0.25">
      <c r="A150" t="s">
        <v>10349</v>
      </c>
      <c r="B150" t="s">
        <v>10310</v>
      </c>
      <c r="C150" t="s">
        <v>10311</v>
      </c>
      <c r="D150">
        <v>2014</v>
      </c>
      <c r="E150" t="s">
        <v>689</v>
      </c>
      <c r="F150" t="s">
        <v>10350</v>
      </c>
    </row>
    <row r="151" spans="1:7" x14ac:dyDescent="0.25">
      <c r="A151" t="s">
        <v>10351</v>
      </c>
      <c r="B151" t="s">
        <v>10310</v>
      </c>
      <c r="C151" t="s">
        <v>10311</v>
      </c>
      <c r="D151">
        <v>2014</v>
      </c>
      <c r="E151" t="s">
        <v>689</v>
      </c>
      <c r="F151" t="s">
        <v>10352</v>
      </c>
    </row>
    <row r="152" spans="1:7" x14ac:dyDescent="0.25">
      <c r="A152" t="s">
        <v>10353</v>
      </c>
      <c r="B152" t="s">
        <v>10310</v>
      </c>
      <c r="C152" t="s">
        <v>10311</v>
      </c>
      <c r="D152">
        <v>2014</v>
      </c>
      <c r="E152" t="s">
        <v>689</v>
      </c>
      <c r="F152" t="s">
        <v>10354</v>
      </c>
    </row>
    <row r="153" spans="1:7" x14ac:dyDescent="0.25">
      <c r="A153" t="s">
        <v>10355</v>
      </c>
      <c r="B153" t="s">
        <v>10310</v>
      </c>
      <c r="C153" t="s">
        <v>10311</v>
      </c>
      <c r="D153">
        <v>2014</v>
      </c>
      <c r="E153" t="s">
        <v>689</v>
      </c>
      <c r="F153" t="s">
        <v>10356</v>
      </c>
    </row>
    <row r="154" spans="1:7" x14ac:dyDescent="0.25">
      <c r="A154" t="s">
        <v>10357</v>
      </c>
      <c r="B154" t="s">
        <v>10310</v>
      </c>
      <c r="C154" t="s">
        <v>10311</v>
      </c>
      <c r="D154">
        <v>2014</v>
      </c>
      <c r="E154" t="s">
        <v>689</v>
      </c>
      <c r="F154" t="s">
        <v>10358</v>
      </c>
    </row>
    <row r="155" spans="1:7" x14ac:dyDescent="0.25">
      <c r="A155" t="s">
        <v>10359</v>
      </c>
      <c r="B155" t="s">
        <v>10310</v>
      </c>
      <c r="C155" t="s">
        <v>10311</v>
      </c>
      <c r="D155">
        <v>2014</v>
      </c>
      <c r="E155" t="s">
        <v>689</v>
      </c>
      <c r="F155" t="s">
        <v>10360</v>
      </c>
    </row>
    <row r="156" spans="1:7" x14ac:dyDescent="0.25">
      <c r="A156" t="s">
        <v>10361</v>
      </c>
      <c r="B156" t="s">
        <v>10310</v>
      </c>
      <c r="C156" t="s">
        <v>10311</v>
      </c>
      <c r="D156">
        <v>2014</v>
      </c>
      <c r="E156" t="s">
        <v>689</v>
      </c>
      <c r="F156" t="s">
        <v>10362</v>
      </c>
    </row>
    <row r="157" spans="1:7" x14ac:dyDescent="0.25">
      <c r="A157" t="s">
        <v>10363</v>
      </c>
      <c r="B157" t="s">
        <v>10310</v>
      </c>
      <c r="C157" t="s">
        <v>10311</v>
      </c>
      <c r="D157">
        <v>2014</v>
      </c>
      <c r="E157" t="s">
        <v>689</v>
      </c>
      <c r="F157" t="s">
        <v>10364</v>
      </c>
    </row>
    <row r="158" spans="1:7" x14ac:dyDescent="0.25">
      <c r="A158" t="s">
        <v>10365</v>
      </c>
      <c r="B158" t="s">
        <v>10366</v>
      </c>
      <c r="C158" t="s">
        <v>10367</v>
      </c>
      <c r="D158">
        <v>2022</v>
      </c>
      <c r="E158" t="s">
        <v>709</v>
      </c>
      <c r="F158" t="s">
        <v>10368</v>
      </c>
      <c r="G158" t="s">
        <v>10044</v>
      </c>
    </row>
    <row r="159" spans="1:7" x14ac:dyDescent="0.25">
      <c r="A159" t="s">
        <v>10369</v>
      </c>
      <c r="B159" t="s">
        <v>10366</v>
      </c>
      <c r="C159" t="s">
        <v>10367</v>
      </c>
      <c r="D159">
        <v>2022</v>
      </c>
      <c r="E159" t="s">
        <v>709</v>
      </c>
      <c r="F159" t="s">
        <v>10370</v>
      </c>
    </row>
    <row r="160" spans="1:7" x14ac:dyDescent="0.25">
      <c r="A160" t="s">
        <v>10371</v>
      </c>
      <c r="B160" t="s">
        <v>10366</v>
      </c>
      <c r="C160" t="s">
        <v>10367</v>
      </c>
      <c r="D160">
        <v>2022</v>
      </c>
      <c r="E160" t="s">
        <v>709</v>
      </c>
      <c r="F160" t="s">
        <v>10372</v>
      </c>
    </row>
    <row r="161" spans="1:6" x14ac:dyDescent="0.25">
      <c r="A161" t="s">
        <v>10373</v>
      </c>
      <c r="B161" t="s">
        <v>10366</v>
      </c>
      <c r="C161" t="s">
        <v>10367</v>
      </c>
      <c r="D161">
        <v>2022</v>
      </c>
      <c r="E161" t="s">
        <v>709</v>
      </c>
      <c r="F161" t="s">
        <v>10374</v>
      </c>
    </row>
    <row r="162" spans="1:6" x14ac:dyDescent="0.25">
      <c r="A162" t="s">
        <v>10375</v>
      </c>
      <c r="B162" t="s">
        <v>10366</v>
      </c>
      <c r="C162" t="s">
        <v>10367</v>
      </c>
      <c r="D162">
        <v>2022</v>
      </c>
      <c r="E162" t="s">
        <v>709</v>
      </c>
      <c r="F162" t="s">
        <v>10376</v>
      </c>
    </row>
    <row r="163" spans="1:6" x14ac:dyDescent="0.25">
      <c r="A163" t="s">
        <v>10377</v>
      </c>
      <c r="B163" t="s">
        <v>10366</v>
      </c>
      <c r="C163" t="s">
        <v>10367</v>
      </c>
      <c r="D163">
        <v>2022</v>
      </c>
      <c r="E163" t="s">
        <v>709</v>
      </c>
      <c r="F163" t="s">
        <v>10378</v>
      </c>
    </row>
    <row r="164" spans="1:6" x14ac:dyDescent="0.25">
      <c r="A164" t="s">
        <v>10379</v>
      </c>
      <c r="B164" t="s">
        <v>10366</v>
      </c>
      <c r="C164" t="s">
        <v>10367</v>
      </c>
      <c r="D164">
        <v>2022</v>
      </c>
      <c r="E164" t="s">
        <v>709</v>
      </c>
      <c r="F164" t="s">
        <v>10380</v>
      </c>
    </row>
    <row r="165" spans="1:6" x14ac:dyDescent="0.25">
      <c r="A165" t="s">
        <v>10381</v>
      </c>
      <c r="B165" t="s">
        <v>10366</v>
      </c>
      <c r="C165" t="s">
        <v>10367</v>
      </c>
      <c r="D165">
        <v>2022</v>
      </c>
      <c r="E165" t="s">
        <v>709</v>
      </c>
      <c r="F165" t="s">
        <v>10382</v>
      </c>
    </row>
    <row r="166" spans="1:6" x14ac:dyDescent="0.25">
      <c r="A166" t="s">
        <v>10383</v>
      </c>
      <c r="B166" t="s">
        <v>10366</v>
      </c>
      <c r="C166" t="s">
        <v>10367</v>
      </c>
      <c r="D166">
        <v>2022</v>
      </c>
      <c r="E166" t="s">
        <v>709</v>
      </c>
      <c r="F166" t="s">
        <v>10384</v>
      </c>
    </row>
    <row r="167" spans="1:6" x14ac:dyDescent="0.25">
      <c r="A167" t="s">
        <v>10385</v>
      </c>
      <c r="B167" t="s">
        <v>10366</v>
      </c>
      <c r="C167" t="s">
        <v>10367</v>
      </c>
      <c r="D167">
        <v>2022</v>
      </c>
      <c r="E167" t="s">
        <v>709</v>
      </c>
      <c r="F167" t="s">
        <v>10386</v>
      </c>
    </row>
    <row r="168" spans="1:6" x14ac:dyDescent="0.25">
      <c r="A168" t="s">
        <v>10387</v>
      </c>
      <c r="B168" t="s">
        <v>10366</v>
      </c>
      <c r="C168" t="s">
        <v>10367</v>
      </c>
      <c r="D168">
        <v>2022</v>
      </c>
      <c r="E168" t="s">
        <v>709</v>
      </c>
      <c r="F168" t="s">
        <v>10388</v>
      </c>
    </row>
    <row r="169" spans="1:6" x14ac:dyDescent="0.25">
      <c r="A169" t="s">
        <v>10389</v>
      </c>
      <c r="B169" t="s">
        <v>10366</v>
      </c>
      <c r="C169" t="s">
        <v>10367</v>
      </c>
      <c r="D169">
        <v>2022</v>
      </c>
      <c r="E169" t="s">
        <v>709</v>
      </c>
      <c r="F169" t="s">
        <v>10390</v>
      </c>
    </row>
    <row r="170" spans="1:6" x14ac:dyDescent="0.25">
      <c r="A170" t="s">
        <v>10391</v>
      </c>
      <c r="B170" t="s">
        <v>10366</v>
      </c>
      <c r="C170" t="s">
        <v>10367</v>
      </c>
      <c r="D170">
        <v>2022</v>
      </c>
      <c r="E170" t="s">
        <v>709</v>
      </c>
      <c r="F170" t="s">
        <v>10392</v>
      </c>
    </row>
    <row r="171" spans="1:6" x14ac:dyDescent="0.25">
      <c r="A171" t="s">
        <v>10393</v>
      </c>
      <c r="B171" t="s">
        <v>10366</v>
      </c>
      <c r="C171" t="s">
        <v>10367</v>
      </c>
      <c r="D171">
        <v>2022</v>
      </c>
      <c r="E171" t="s">
        <v>709</v>
      </c>
      <c r="F171" t="s">
        <v>10394</v>
      </c>
    </row>
    <row r="172" spans="1:6" x14ac:dyDescent="0.25">
      <c r="A172" t="s">
        <v>10395</v>
      </c>
      <c r="B172" t="s">
        <v>10366</v>
      </c>
      <c r="C172" t="s">
        <v>10367</v>
      </c>
      <c r="D172">
        <v>2022</v>
      </c>
      <c r="E172" t="s">
        <v>709</v>
      </c>
      <c r="F172" t="s">
        <v>10396</v>
      </c>
    </row>
    <row r="173" spans="1:6" x14ac:dyDescent="0.25">
      <c r="A173" t="s">
        <v>10397</v>
      </c>
      <c r="B173" t="s">
        <v>10366</v>
      </c>
      <c r="C173" t="s">
        <v>10367</v>
      </c>
      <c r="D173">
        <v>2022</v>
      </c>
      <c r="E173" t="s">
        <v>709</v>
      </c>
      <c r="F173" t="s">
        <v>10398</v>
      </c>
    </row>
    <row r="174" spans="1:6" x14ac:dyDescent="0.25">
      <c r="A174" t="s">
        <v>4981</v>
      </c>
      <c r="B174" t="s">
        <v>10366</v>
      </c>
      <c r="C174" t="s">
        <v>10367</v>
      </c>
      <c r="D174">
        <v>2022</v>
      </c>
      <c r="E174" t="s">
        <v>709</v>
      </c>
      <c r="F174" t="s">
        <v>10399</v>
      </c>
    </row>
    <row r="175" spans="1:6" x14ac:dyDescent="0.25">
      <c r="A175" t="s">
        <v>10400</v>
      </c>
      <c r="B175" t="s">
        <v>10366</v>
      </c>
      <c r="C175" t="s">
        <v>10367</v>
      </c>
      <c r="D175">
        <v>2022</v>
      </c>
      <c r="E175" t="s">
        <v>709</v>
      </c>
      <c r="F175" t="s">
        <v>10401</v>
      </c>
    </row>
    <row r="176" spans="1:6" x14ac:dyDescent="0.25">
      <c r="A176" t="s">
        <v>10402</v>
      </c>
      <c r="B176" t="s">
        <v>10366</v>
      </c>
      <c r="C176" t="s">
        <v>10367</v>
      </c>
      <c r="D176">
        <v>2022</v>
      </c>
      <c r="E176" t="s">
        <v>709</v>
      </c>
      <c r="F176" t="s">
        <v>10403</v>
      </c>
    </row>
    <row r="177" spans="1:6" x14ac:dyDescent="0.25">
      <c r="A177" t="s">
        <v>10404</v>
      </c>
      <c r="B177" t="s">
        <v>10366</v>
      </c>
      <c r="C177" t="s">
        <v>10367</v>
      </c>
      <c r="D177">
        <v>2022</v>
      </c>
      <c r="E177" t="s">
        <v>709</v>
      </c>
      <c r="F177" t="s">
        <v>10405</v>
      </c>
    </row>
    <row r="178" spans="1:6" x14ac:dyDescent="0.25">
      <c r="A178" t="s">
        <v>10406</v>
      </c>
      <c r="B178" t="s">
        <v>10366</v>
      </c>
      <c r="C178" t="s">
        <v>10367</v>
      </c>
      <c r="D178">
        <v>2022</v>
      </c>
      <c r="E178" t="s">
        <v>709</v>
      </c>
      <c r="F178" t="s">
        <v>10407</v>
      </c>
    </row>
    <row r="179" spans="1:6" x14ac:dyDescent="0.25">
      <c r="A179" t="s">
        <v>10408</v>
      </c>
      <c r="B179" t="s">
        <v>10366</v>
      </c>
      <c r="C179" t="s">
        <v>10367</v>
      </c>
      <c r="D179">
        <v>2022</v>
      </c>
      <c r="E179" t="s">
        <v>709</v>
      </c>
      <c r="F179" t="s">
        <v>10409</v>
      </c>
    </row>
    <row r="180" spans="1:6" x14ac:dyDescent="0.25">
      <c r="A180" t="s">
        <v>10410</v>
      </c>
      <c r="B180" t="s">
        <v>10366</v>
      </c>
      <c r="C180" t="s">
        <v>10367</v>
      </c>
      <c r="D180">
        <v>2022</v>
      </c>
      <c r="E180" t="s">
        <v>709</v>
      </c>
      <c r="F180" t="s">
        <v>10411</v>
      </c>
    </row>
    <row r="181" spans="1:6" x14ac:dyDescent="0.25">
      <c r="A181" t="s">
        <v>10412</v>
      </c>
      <c r="B181" t="s">
        <v>10366</v>
      </c>
      <c r="C181" t="s">
        <v>10367</v>
      </c>
      <c r="D181">
        <v>2022</v>
      </c>
      <c r="E181" t="s">
        <v>709</v>
      </c>
      <c r="F181" t="s">
        <v>10413</v>
      </c>
    </row>
    <row r="182" spans="1:6" x14ac:dyDescent="0.25">
      <c r="A182" t="s">
        <v>10414</v>
      </c>
      <c r="B182" t="s">
        <v>10366</v>
      </c>
      <c r="C182" t="s">
        <v>10367</v>
      </c>
      <c r="D182">
        <v>2022</v>
      </c>
      <c r="E182" t="s">
        <v>709</v>
      </c>
      <c r="F182" t="s">
        <v>10415</v>
      </c>
    </row>
    <row r="183" spans="1:6" x14ac:dyDescent="0.25">
      <c r="A183" t="s">
        <v>10416</v>
      </c>
      <c r="B183" t="s">
        <v>10366</v>
      </c>
      <c r="C183" t="s">
        <v>10367</v>
      </c>
      <c r="D183">
        <v>2022</v>
      </c>
      <c r="E183" t="s">
        <v>709</v>
      </c>
      <c r="F183" t="s">
        <v>10417</v>
      </c>
    </row>
    <row r="184" spans="1:6" x14ac:dyDescent="0.25">
      <c r="A184" t="s">
        <v>10418</v>
      </c>
      <c r="B184" t="s">
        <v>10366</v>
      </c>
      <c r="C184" t="s">
        <v>10367</v>
      </c>
      <c r="D184">
        <v>2022</v>
      </c>
      <c r="E184" t="s">
        <v>709</v>
      </c>
      <c r="F184" t="s">
        <v>10419</v>
      </c>
    </row>
    <row r="185" spans="1:6" x14ac:dyDescent="0.25">
      <c r="A185" t="s">
        <v>10420</v>
      </c>
      <c r="B185" t="s">
        <v>10366</v>
      </c>
      <c r="C185" t="s">
        <v>10367</v>
      </c>
      <c r="D185">
        <v>2022</v>
      </c>
      <c r="E185" t="s">
        <v>709</v>
      </c>
      <c r="F185" t="s">
        <v>10421</v>
      </c>
    </row>
    <row r="186" spans="1:6" x14ac:dyDescent="0.25">
      <c r="A186" t="s">
        <v>10422</v>
      </c>
      <c r="B186" t="s">
        <v>10366</v>
      </c>
      <c r="C186" t="s">
        <v>10367</v>
      </c>
      <c r="D186">
        <v>2022</v>
      </c>
      <c r="E186" t="s">
        <v>709</v>
      </c>
      <c r="F186" t="s">
        <v>10423</v>
      </c>
    </row>
    <row r="187" spans="1:6" x14ac:dyDescent="0.25">
      <c r="A187" t="s">
        <v>10424</v>
      </c>
      <c r="B187" t="s">
        <v>10366</v>
      </c>
      <c r="C187" t="s">
        <v>10367</v>
      </c>
      <c r="D187">
        <v>2022</v>
      </c>
      <c r="E187" t="s">
        <v>709</v>
      </c>
      <c r="F187" t="s">
        <v>10425</v>
      </c>
    </row>
    <row r="188" spans="1:6" x14ac:dyDescent="0.25">
      <c r="A188" t="s">
        <v>10426</v>
      </c>
      <c r="B188" t="s">
        <v>10366</v>
      </c>
      <c r="C188" t="s">
        <v>10367</v>
      </c>
      <c r="D188">
        <v>2022</v>
      </c>
      <c r="E188" t="s">
        <v>709</v>
      </c>
      <c r="F188" t="s">
        <v>10427</v>
      </c>
    </row>
    <row r="189" spans="1:6" x14ac:dyDescent="0.25">
      <c r="A189" t="s">
        <v>10428</v>
      </c>
      <c r="B189" t="s">
        <v>10366</v>
      </c>
      <c r="C189" t="s">
        <v>10367</v>
      </c>
      <c r="D189">
        <v>2022</v>
      </c>
      <c r="E189" t="s">
        <v>709</v>
      </c>
      <c r="F189" t="s">
        <v>10429</v>
      </c>
    </row>
    <row r="190" spans="1:6" x14ac:dyDescent="0.25">
      <c r="A190" t="s">
        <v>10430</v>
      </c>
      <c r="B190" t="s">
        <v>10366</v>
      </c>
      <c r="C190" t="s">
        <v>10367</v>
      </c>
      <c r="D190">
        <v>2022</v>
      </c>
      <c r="E190" t="s">
        <v>709</v>
      </c>
      <c r="F190" t="s">
        <v>10431</v>
      </c>
    </row>
    <row r="191" spans="1:6" x14ac:dyDescent="0.25">
      <c r="A191" t="s">
        <v>10432</v>
      </c>
      <c r="B191" t="s">
        <v>10366</v>
      </c>
      <c r="C191" t="s">
        <v>10367</v>
      </c>
      <c r="D191">
        <v>2022</v>
      </c>
      <c r="E191" t="s">
        <v>709</v>
      </c>
      <c r="F191" t="s">
        <v>10433</v>
      </c>
    </row>
    <row r="192" spans="1:6" x14ac:dyDescent="0.25">
      <c r="A192" t="s">
        <v>7893</v>
      </c>
      <c r="B192" t="s">
        <v>10366</v>
      </c>
      <c r="C192" t="s">
        <v>10367</v>
      </c>
      <c r="D192">
        <v>2022</v>
      </c>
      <c r="E192" t="s">
        <v>709</v>
      </c>
      <c r="F192" t="s">
        <v>10434</v>
      </c>
    </row>
    <row r="193" spans="1:6" x14ac:dyDescent="0.25">
      <c r="A193" t="s">
        <v>10435</v>
      </c>
      <c r="B193" t="s">
        <v>10366</v>
      </c>
      <c r="C193" t="s">
        <v>10367</v>
      </c>
      <c r="D193">
        <v>2022</v>
      </c>
      <c r="E193" t="s">
        <v>709</v>
      </c>
      <c r="F193" t="s">
        <v>10436</v>
      </c>
    </row>
    <row r="194" spans="1:6" x14ac:dyDescent="0.25">
      <c r="A194" t="s">
        <v>10437</v>
      </c>
      <c r="B194" t="s">
        <v>10366</v>
      </c>
      <c r="C194" t="s">
        <v>10367</v>
      </c>
      <c r="D194">
        <v>2022</v>
      </c>
      <c r="E194" t="s">
        <v>709</v>
      </c>
      <c r="F194" t="s">
        <v>10438</v>
      </c>
    </row>
    <row r="195" spans="1:6" x14ac:dyDescent="0.25">
      <c r="A195" t="s">
        <v>10439</v>
      </c>
      <c r="B195" t="s">
        <v>10366</v>
      </c>
      <c r="C195" t="s">
        <v>10367</v>
      </c>
      <c r="D195">
        <v>2022</v>
      </c>
      <c r="E195" t="s">
        <v>709</v>
      </c>
      <c r="F195" t="s">
        <v>10440</v>
      </c>
    </row>
    <row r="196" spans="1:6" x14ac:dyDescent="0.25">
      <c r="A196" t="s">
        <v>10441</v>
      </c>
      <c r="B196" t="s">
        <v>10366</v>
      </c>
      <c r="C196" t="s">
        <v>10367</v>
      </c>
      <c r="D196">
        <v>2022</v>
      </c>
      <c r="E196" t="s">
        <v>709</v>
      </c>
      <c r="F196" t="s">
        <v>10442</v>
      </c>
    </row>
    <row r="197" spans="1:6" x14ac:dyDescent="0.25">
      <c r="A197" t="s">
        <v>10443</v>
      </c>
      <c r="B197" t="s">
        <v>10366</v>
      </c>
      <c r="C197" t="s">
        <v>10367</v>
      </c>
      <c r="D197">
        <v>2022</v>
      </c>
      <c r="E197" t="s">
        <v>709</v>
      </c>
      <c r="F197" t="s">
        <v>10444</v>
      </c>
    </row>
    <row r="198" spans="1:6" x14ac:dyDescent="0.25">
      <c r="A198" t="s">
        <v>10445</v>
      </c>
      <c r="B198" t="s">
        <v>10366</v>
      </c>
      <c r="C198" t="s">
        <v>10367</v>
      </c>
      <c r="D198">
        <v>2022</v>
      </c>
      <c r="E198" t="s">
        <v>709</v>
      </c>
      <c r="F198" t="s">
        <v>10446</v>
      </c>
    </row>
    <row r="199" spans="1:6" x14ac:dyDescent="0.25">
      <c r="A199" t="s">
        <v>10447</v>
      </c>
      <c r="B199" t="s">
        <v>10366</v>
      </c>
      <c r="C199" t="s">
        <v>10367</v>
      </c>
      <c r="D199">
        <v>2022</v>
      </c>
      <c r="E199" t="s">
        <v>709</v>
      </c>
      <c r="F199" t="s">
        <v>10448</v>
      </c>
    </row>
    <row r="200" spans="1:6" x14ac:dyDescent="0.25">
      <c r="A200" t="s">
        <v>10449</v>
      </c>
      <c r="B200" t="s">
        <v>10366</v>
      </c>
      <c r="C200" t="s">
        <v>10367</v>
      </c>
      <c r="D200">
        <v>2022</v>
      </c>
      <c r="E200" t="s">
        <v>709</v>
      </c>
      <c r="F200" t="s">
        <v>10450</v>
      </c>
    </row>
    <row r="201" spans="1:6" x14ac:dyDescent="0.25">
      <c r="A201" t="s">
        <v>10451</v>
      </c>
      <c r="B201" t="s">
        <v>10366</v>
      </c>
      <c r="C201" t="s">
        <v>10367</v>
      </c>
      <c r="D201">
        <v>2022</v>
      </c>
      <c r="E201" t="s">
        <v>709</v>
      </c>
      <c r="F201" t="s">
        <v>10452</v>
      </c>
    </row>
    <row r="202" spans="1:6" x14ac:dyDescent="0.25">
      <c r="A202" t="s">
        <v>10453</v>
      </c>
      <c r="B202" t="s">
        <v>10366</v>
      </c>
      <c r="C202" t="s">
        <v>10367</v>
      </c>
      <c r="D202">
        <v>2022</v>
      </c>
      <c r="E202" t="s">
        <v>709</v>
      </c>
      <c r="F202" t="s">
        <v>10454</v>
      </c>
    </row>
    <row r="203" spans="1:6" x14ac:dyDescent="0.25">
      <c r="A203" t="s">
        <v>10455</v>
      </c>
      <c r="B203" t="s">
        <v>10366</v>
      </c>
      <c r="C203" t="s">
        <v>10367</v>
      </c>
      <c r="D203">
        <v>2022</v>
      </c>
      <c r="E203" t="s">
        <v>709</v>
      </c>
      <c r="F203" t="s">
        <v>10456</v>
      </c>
    </row>
    <row r="204" spans="1:6" x14ac:dyDescent="0.25">
      <c r="A204" t="s">
        <v>10457</v>
      </c>
      <c r="B204" t="s">
        <v>10366</v>
      </c>
      <c r="C204" t="s">
        <v>10367</v>
      </c>
      <c r="D204">
        <v>2022</v>
      </c>
      <c r="E204" t="s">
        <v>709</v>
      </c>
      <c r="F204" t="s">
        <v>10458</v>
      </c>
    </row>
    <row r="205" spans="1:6" x14ac:dyDescent="0.25">
      <c r="A205" t="s">
        <v>10459</v>
      </c>
      <c r="B205" t="s">
        <v>10366</v>
      </c>
      <c r="C205" t="s">
        <v>10367</v>
      </c>
      <c r="D205">
        <v>2023</v>
      </c>
      <c r="E205" t="s">
        <v>709</v>
      </c>
      <c r="F205" t="s">
        <v>10460</v>
      </c>
    </row>
    <row r="206" spans="1:6" x14ac:dyDescent="0.25">
      <c r="A206" t="s">
        <v>10461</v>
      </c>
      <c r="B206" t="s">
        <v>10366</v>
      </c>
      <c r="C206" t="s">
        <v>10367</v>
      </c>
      <c r="D206">
        <v>2023</v>
      </c>
      <c r="E206" t="s">
        <v>709</v>
      </c>
      <c r="F206" t="s">
        <v>10462</v>
      </c>
    </row>
    <row r="207" spans="1:6" x14ac:dyDescent="0.25">
      <c r="A207" t="s">
        <v>10463</v>
      </c>
      <c r="B207" t="s">
        <v>10366</v>
      </c>
      <c r="C207" t="s">
        <v>10367</v>
      </c>
      <c r="D207">
        <v>2023</v>
      </c>
      <c r="E207" t="s">
        <v>709</v>
      </c>
      <c r="F207" t="s">
        <v>10464</v>
      </c>
    </row>
    <row r="208" spans="1:6" x14ac:dyDescent="0.25">
      <c r="A208" t="s">
        <v>10465</v>
      </c>
      <c r="B208" t="s">
        <v>10366</v>
      </c>
      <c r="C208" t="s">
        <v>10367</v>
      </c>
      <c r="D208">
        <v>2023</v>
      </c>
      <c r="E208" t="s">
        <v>709</v>
      </c>
      <c r="F208" t="s">
        <v>10466</v>
      </c>
    </row>
    <row r="209" spans="1:7" x14ac:dyDescent="0.25">
      <c r="A209" t="s">
        <v>10467</v>
      </c>
      <c r="B209" t="s">
        <v>10366</v>
      </c>
      <c r="C209" t="s">
        <v>10367</v>
      </c>
      <c r="D209">
        <v>2024</v>
      </c>
      <c r="E209" t="s">
        <v>709</v>
      </c>
      <c r="F209" t="s">
        <v>10468</v>
      </c>
    </row>
    <row r="210" spans="1:7" x14ac:dyDescent="0.25">
      <c r="A210" t="s">
        <v>10469</v>
      </c>
      <c r="B210" t="s">
        <v>10366</v>
      </c>
      <c r="C210" t="s">
        <v>10367</v>
      </c>
      <c r="D210">
        <v>2024</v>
      </c>
      <c r="E210" t="s">
        <v>709</v>
      </c>
      <c r="F210" t="s">
        <v>10470</v>
      </c>
    </row>
    <row r="211" spans="1:7" x14ac:dyDescent="0.25">
      <c r="A211" t="s">
        <v>10471</v>
      </c>
      <c r="B211" t="s">
        <v>10366</v>
      </c>
      <c r="C211" t="s">
        <v>10367</v>
      </c>
      <c r="D211">
        <v>2024</v>
      </c>
      <c r="E211" t="s">
        <v>709</v>
      </c>
      <c r="F211" t="s">
        <v>10472</v>
      </c>
    </row>
    <row r="212" spans="1:7" x14ac:dyDescent="0.25">
      <c r="A212" t="s">
        <v>10473</v>
      </c>
      <c r="B212" t="s">
        <v>10366</v>
      </c>
      <c r="C212" t="s">
        <v>10367</v>
      </c>
      <c r="D212">
        <v>2024</v>
      </c>
      <c r="E212" t="s">
        <v>709</v>
      </c>
      <c r="F212" t="s">
        <v>10474</v>
      </c>
    </row>
    <row r="213" spans="1:7" x14ac:dyDescent="0.25">
      <c r="A213" t="s">
        <v>10475</v>
      </c>
      <c r="B213" t="s">
        <v>10366</v>
      </c>
      <c r="C213" t="s">
        <v>10367</v>
      </c>
      <c r="D213">
        <v>2024</v>
      </c>
      <c r="E213" t="s">
        <v>709</v>
      </c>
      <c r="F213" t="s">
        <v>10476</v>
      </c>
    </row>
    <row r="214" spans="1:7" x14ac:dyDescent="0.25">
      <c r="A214" t="s">
        <v>10477</v>
      </c>
      <c r="B214" t="s">
        <v>10366</v>
      </c>
      <c r="C214" t="s">
        <v>10367</v>
      </c>
      <c r="D214">
        <v>2024</v>
      </c>
      <c r="E214" t="s">
        <v>709</v>
      </c>
      <c r="F214" t="s">
        <v>10478</v>
      </c>
    </row>
    <row r="215" spans="1:7" x14ac:dyDescent="0.25">
      <c r="A215" t="s">
        <v>10479</v>
      </c>
      <c r="B215" t="s">
        <v>10366</v>
      </c>
      <c r="C215" t="s">
        <v>10367</v>
      </c>
      <c r="D215">
        <v>2024</v>
      </c>
      <c r="E215" t="s">
        <v>709</v>
      </c>
      <c r="F215" t="s">
        <v>10480</v>
      </c>
    </row>
    <row r="216" spans="1:7" x14ac:dyDescent="0.25">
      <c r="A216" t="s">
        <v>10481</v>
      </c>
      <c r="B216" t="s">
        <v>10366</v>
      </c>
      <c r="C216" t="s">
        <v>10367</v>
      </c>
      <c r="D216">
        <v>2024</v>
      </c>
      <c r="E216" t="s">
        <v>709</v>
      </c>
      <c r="F216" t="s">
        <v>10482</v>
      </c>
    </row>
    <row r="217" spans="1:7" x14ac:dyDescent="0.25">
      <c r="A217" t="s">
        <v>10483</v>
      </c>
      <c r="B217" t="s">
        <v>10366</v>
      </c>
      <c r="C217" t="s">
        <v>10367</v>
      </c>
      <c r="D217">
        <v>2024</v>
      </c>
      <c r="E217" t="s">
        <v>709</v>
      </c>
      <c r="F217" t="s">
        <v>10484</v>
      </c>
    </row>
    <row r="218" spans="1:7" x14ac:dyDescent="0.25">
      <c r="A218" t="s">
        <v>10485</v>
      </c>
      <c r="B218" t="s">
        <v>10366</v>
      </c>
      <c r="C218" t="s">
        <v>10367</v>
      </c>
      <c r="D218">
        <v>2024</v>
      </c>
      <c r="E218" t="s">
        <v>709</v>
      </c>
      <c r="F218" t="s">
        <v>10486</v>
      </c>
    </row>
    <row r="219" spans="1:7" x14ac:dyDescent="0.25">
      <c r="A219" t="s">
        <v>759</v>
      </c>
      <c r="B219" t="s">
        <v>10487</v>
      </c>
      <c r="C219" t="s">
        <v>10488</v>
      </c>
      <c r="D219">
        <v>2017</v>
      </c>
      <c r="E219" t="s">
        <v>759</v>
      </c>
      <c r="F219" t="s">
        <v>10489</v>
      </c>
      <c r="G219" t="s">
        <v>10044</v>
      </c>
    </row>
    <row r="220" spans="1:7" x14ac:dyDescent="0.25">
      <c r="A220" t="s">
        <v>10490</v>
      </c>
      <c r="B220" t="s">
        <v>10487</v>
      </c>
      <c r="C220" t="s">
        <v>10491</v>
      </c>
      <c r="D220">
        <v>2023</v>
      </c>
      <c r="E220" t="s">
        <v>759</v>
      </c>
      <c r="F220" t="s">
        <v>10492</v>
      </c>
    </row>
    <row r="221" spans="1:7" x14ac:dyDescent="0.25">
      <c r="A221" t="s">
        <v>10493</v>
      </c>
      <c r="B221" t="s">
        <v>10487</v>
      </c>
      <c r="C221" t="s">
        <v>10491</v>
      </c>
      <c r="D221">
        <v>2023</v>
      </c>
      <c r="E221" t="s">
        <v>759</v>
      </c>
      <c r="F221" t="s">
        <v>10494</v>
      </c>
    </row>
    <row r="222" spans="1:7" x14ac:dyDescent="0.25">
      <c r="A222" t="s">
        <v>10495</v>
      </c>
      <c r="B222" t="s">
        <v>10487</v>
      </c>
      <c r="C222" t="s">
        <v>10488</v>
      </c>
      <c r="D222">
        <v>2017</v>
      </c>
      <c r="E222" t="s">
        <v>759</v>
      </c>
      <c r="F222" t="s">
        <v>10496</v>
      </c>
    </row>
    <row r="223" spans="1:7" x14ac:dyDescent="0.25">
      <c r="A223" t="s">
        <v>10497</v>
      </c>
      <c r="B223" t="s">
        <v>10487</v>
      </c>
      <c r="C223" t="s">
        <v>10488</v>
      </c>
      <c r="D223">
        <v>2017</v>
      </c>
      <c r="E223" t="s">
        <v>759</v>
      </c>
      <c r="F223" t="s">
        <v>10498</v>
      </c>
    </row>
    <row r="224" spans="1:7" x14ac:dyDescent="0.25">
      <c r="A224" t="s">
        <v>10499</v>
      </c>
      <c r="B224" t="s">
        <v>10487</v>
      </c>
      <c r="C224" t="s">
        <v>10491</v>
      </c>
      <c r="D224">
        <v>2023</v>
      </c>
      <c r="E224" t="s">
        <v>759</v>
      </c>
      <c r="F224" t="s">
        <v>10500</v>
      </c>
    </row>
    <row r="225" spans="1:6" x14ac:dyDescent="0.25">
      <c r="A225" t="s">
        <v>10501</v>
      </c>
      <c r="B225" t="s">
        <v>10487</v>
      </c>
      <c r="C225" t="s">
        <v>10491</v>
      </c>
      <c r="D225">
        <v>2023</v>
      </c>
      <c r="E225" t="s">
        <v>759</v>
      </c>
      <c r="F225" t="s">
        <v>10502</v>
      </c>
    </row>
    <row r="226" spans="1:6" x14ac:dyDescent="0.25">
      <c r="A226" t="s">
        <v>10503</v>
      </c>
      <c r="B226" t="s">
        <v>10487</v>
      </c>
      <c r="C226" t="s">
        <v>10488</v>
      </c>
      <c r="D226">
        <v>2017</v>
      </c>
      <c r="E226" t="s">
        <v>759</v>
      </c>
      <c r="F226" t="s">
        <v>10504</v>
      </c>
    </row>
    <row r="227" spans="1:6" x14ac:dyDescent="0.25">
      <c r="A227" t="s">
        <v>10505</v>
      </c>
      <c r="B227" t="s">
        <v>10487</v>
      </c>
      <c r="C227" t="s">
        <v>10488</v>
      </c>
      <c r="D227">
        <v>2017</v>
      </c>
      <c r="E227" t="s">
        <v>759</v>
      </c>
      <c r="F227" t="s">
        <v>10506</v>
      </c>
    </row>
    <row r="228" spans="1:6" x14ac:dyDescent="0.25">
      <c r="A228" t="s">
        <v>10507</v>
      </c>
      <c r="B228" t="s">
        <v>10487</v>
      </c>
      <c r="C228" t="s">
        <v>10508</v>
      </c>
      <c r="D228">
        <v>2020</v>
      </c>
      <c r="E228" t="s">
        <v>759</v>
      </c>
      <c r="F228" t="s">
        <v>10509</v>
      </c>
    </row>
    <row r="229" spans="1:6" x14ac:dyDescent="0.25">
      <c r="A229" t="s">
        <v>10510</v>
      </c>
      <c r="B229" t="s">
        <v>10487</v>
      </c>
      <c r="C229" t="s">
        <v>10491</v>
      </c>
      <c r="D229">
        <v>2023</v>
      </c>
      <c r="E229" t="s">
        <v>759</v>
      </c>
      <c r="F229" t="s">
        <v>10511</v>
      </c>
    </row>
    <row r="230" spans="1:6" x14ac:dyDescent="0.25">
      <c r="A230" t="s">
        <v>10512</v>
      </c>
      <c r="B230" t="s">
        <v>10487</v>
      </c>
      <c r="C230" t="s">
        <v>10488</v>
      </c>
      <c r="D230">
        <v>2017</v>
      </c>
      <c r="E230" t="s">
        <v>759</v>
      </c>
      <c r="F230" t="s">
        <v>10513</v>
      </c>
    </row>
    <row r="231" spans="1:6" x14ac:dyDescent="0.25">
      <c r="A231" t="s">
        <v>10514</v>
      </c>
      <c r="B231" t="s">
        <v>10487</v>
      </c>
      <c r="C231" t="s">
        <v>10508</v>
      </c>
      <c r="D231">
        <v>2020</v>
      </c>
      <c r="E231" t="s">
        <v>759</v>
      </c>
      <c r="F231" t="s">
        <v>10515</v>
      </c>
    </row>
    <row r="232" spans="1:6" x14ac:dyDescent="0.25">
      <c r="A232" t="s">
        <v>10516</v>
      </c>
      <c r="B232" t="s">
        <v>10487</v>
      </c>
      <c r="C232" t="s">
        <v>10491</v>
      </c>
      <c r="D232">
        <v>2023</v>
      </c>
      <c r="E232" t="s">
        <v>759</v>
      </c>
      <c r="F232" t="s">
        <v>10517</v>
      </c>
    </row>
    <row r="233" spans="1:6" x14ac:dyDescent="0.25">
      <c r="A233" t="s">
        <v>10518</v>
      </c>
      <c r="B233" t="s">
        <v>10487</v>
      </c>
      <c r="C233" t="s">
        <v>10491</v>
      </c>
      <c r="D233">
        <v>2023</v>
      </c>
      <c r="E233" t="s">
        <v>759</v>
      </c>
      <c r="F233" t="s">
        <v>10519</v>
      </c>
    </row>
    <row r="234" spans="1:6" x14ac:dyDescent="0.25">
      <c r="A234" t="s">
        <v>10520</v>
      </c>
      <c r="B234" t="s">
        <v>10487</v>
      </c>
      <c r="C234" t="s">
        <v>10488</v>
      </c>
      <c r="D234">
        <v>2017</v>
      </c>
      <c r="E234" t="s">
        <v>759</v>
      </c>
      <c r="F234" t="s">
        <v>10521</v>
      </c>
    </row>
    <row r="235" spans="1:6" x14ac:dyDescent="0.25">
      <c r="A235" t="s">
        <v>10522</v>
      </c>
      <c r="B235" t="s">
        <v>10487</v>
      </c>
      <c r="C235" t="s">
        <v>10491</v>
      </c>
      <c r="D235">
        <v>2023</v>
      </c>
      <c r="E235" t="s">
        <v>759</v>
      </c>
      <c r="F235" t="s">
        <v>10523</v>
      </c>
    </row>
    <row r="236" spans="1:6" x14ac:dyDescent="0.25">
      <c r="A236" t="s">
        <v>10524</v>
      </c>
      <c r="B236" t="s">
        <v>10487</v>
      </c>
      <c r="C236" t="s">
        <v>10488</v>
      </c>
      <c r="D236">
        <v>2017</v>
      </c>
      <c r="E236" t="s">
        <v>759</v>
      </c>
      <c r="F236" t="s">
        <v>10525</v>
      </c>
    </row>
    <row r="237" spans="1:6" x14ac:dyDescent="0.25">
      <c r="A237" t="s">
        <v>10526</v>
      </c>
      <c r="B237" t="s">
        <v>10487</v>
      </c>
      <c r="C237" t="s">
        <v>10488</v>
      </c>
      <c r="D237">
        <v>2017</v>
      </c>
      <c r="E237" t="s">
        <v>759</v>
      </c>
      <c r="F237" t="s">
        <v>10527</v>
      </c>
    </row>
    <row r="238" spans="1:6" x14ac:dyDescent="0.25">
      <c r="A238" t="s">
        <v>10528</v>
      </c>
      <c r="B238" t="s">
        <v>10487</v>
      </c>
      <c r="C238" t="s">
        <v>10491</v>
      </c>
      <c r="D238">
        <v>2023</v>
      </c>
      <c r="E238" t="s">
        <v>759</v>
      </c>
      <c r="F238" t="s">
        <v>10529</v>
      </c>
    </row>
    <row r="239" spans="1:6" x14ac:dyDescent="0.25">
      <c r="A239" t="s">
        <v>10530</v>
      </c>
      <c r="B239" t="s">
        <v>10487</v>
      </c>
      <c r="C239" t="s">
        <v>10491</v>
      </c>
      <c r="D239">
        <v>2023</v>
      </c>
      <c r="E239" t="s">
        <v>759</v>
      </c>
      <c r="F239" t="s">
        <v>10531</v>
      </c>
    </row>
    <row r="240" spans="1:6" x14ac:dyDescent="0.25">
      <c r="A240" t="s">
        <v>10532</v>
      </c>
      <c r="B240" t="s">
        <v>10487</v>
      </c>
      <c r="C240" t="s">
        <v>10488</v>
      </c>
      <c r="D240">
        <v>2017</v>
      </c>
      <c r="E240" t="s">
        <v>759</v>
      </c>
      <c r="F240" t="s">
        <v>10533</v>
      </c>
    </row>
    <row r="241" spans="1:6" x14ac:dyDescent="0.25">
      <c r="A241" t="s">
        <v>10534</v>
      </c>
      <c r="B241" t="s">
        <v>10487</v>
      </c>
      <c r="C241" t="s">
        <v>10491</v>
      </c>
      <c r="D241">
        <v>2023</v>
      </c>
      <c r="E241" t="s">
        <v>759</v>
      </c>
      <c r="F241" t="s">
        <v>10535</v>
      </c>
    </row>
    <row r="242" spans="1:6" x14ac:dyDescent="0.25">
      <c r="A242" t="s">
        <v>10536</v>
      </c>
      <c r="B242" t="s">
        <v>10487</v>
      </c>
      <c r="C242" t="s">
        <v>10488</v>
      </c>
      <c r="D242">
        <v>2017</v>
      </c>
      <c r="E242" t="s">
        <v>759</v>
      </c>
      <c r="F242" t="s">
        <v>10537</v>
      </c>
    </row>
    <row r="243" spans="1:6" x14ac:dyDescent="0.25">
      <c r="A243" t="s">
        <v>10538</v>
      </c>
      <c r="B243" t="s">
        <v>10487</v>
      </c>
      <c r="C243" t="s">
        <v>10491</v>
      </c>
      <c r="D243">
        <v>2023</v>
      </c>
      <c r="E243" t="s">
        <v>759</v>
      </c>
      <c r="F243" t="s">
        <v>10539</v>
      </c>
    </row>
    <row r="244" spans="1:6" x14ac:dyDescent="0.25">
      <c r="A244" t="s">
        <v>10540</v>
      </c>
      <c r="B244" t="s">
        <v>10487</v>
      </c>
      <c r="C244" t="s">
        <v>10488</v>
      </c>
      <c r="D244">
        <v>2017</v>
      </c>
      <c r="E244" t="s">
        <v>759</v>
      </c>
      <c r="F244" t="s">
        <v>10541</v>
      </c>
    </row>
    <row r="245" spans="1:6" x14ac:dyDescent="0.25">
      <c r="A245" t="s">
        <v>10542</v>
      </c>
      <c r="B245" t="s">
        <v>10487</v>
      </c>
      <c r="C245" t="s">
        <v>10488</v>
      </c>
      <c r="D245">
        <v>2017</v>
      </c>
      <c r="E245" t="s">
        <v>759</v>
      </c>
      <c r="F245" t="s">
        <v>10543</v>
      </c>
    </row>
    <row r="246" spans="1:6" x14ac:dyDescent="0.25">
      <c r="A246" t="s">
        <v>10544</v>
      </c>
      <c r="B246" t="s">
        <v>10487</v>
      </c>
      <c r="C246" t="s">
        <v>10491</v>
      </c>
      <c r="D246">
        <v>2023</v>
      </c>
      <c r="E246" t="s">
        <v>759</v>
      </c>
      <c r="F246" t="s">
        <v>10545</v>
      </c>
    </row>
    <row r="247" spans="1:6" x14ac:dyDescent="0.25">
      <c r="A247" t="s">
        <v>10546</v>
      </c>
      <c r="B247" t="s">
        <v>10487</v>
      </c>
      <c r="C247" t="s">
        <v>10491</v>
      </c>
      <c r="D247">
        <v>2023</v>
      </c>
      <c r="E247" t="s">
        <v>759</v>
      </c>
      <c r="F247" t="s">
        <v>10547</v>
      </c>
    </row>
    <row r="248" spans="1:6" x14ac:dyDescent="0.25">
      <c r="A248" t="s">
        <v>10548</v>
      </c>
      <c r="B248" t="s">
        <v>10487</v>
      </c>
      <c r="C248" t="s">
        <v>10488</v>
      </c>
      <c r="D248">
        <v>2017</v>
      </c>
      <c r="E248" t="s">
        <v>759</v>
      </c>
      <c r="F248" t="s">
        <v>10549</v>
      </c>
    </row>
    <row r="249" spans="1:6" x14ac:dyDescent="0.25">
      <c r="A249" t="s">
        <v>10550</v>
      </c>
      <c r="B249" t="s">
        <v>10487</v>
      </c>
      <c r="C249" t="s">
        <v>10488</v>
      </c>
      <c r="D249">
        <v>2017</v>
      </c>
      <c r="E249" t="s">
        <v>759</v>
      </c>
      <c r="F249" t="s">
        <v>10551</v>
      </c>
    </row>
    <row r="250" spans="1:6" x14ac:dyDescent="0.25">
      <c r="A250" t="s">
        <v>10552</v>
      </c>
      <c r="B250" t="s">
        <v>10487</v>
      </c>
      <c r="C250" t="s">
        <v>10491</v>
      </c>
      <c r="D250">
        <v>2023</v>
      </c>
      <c r="E250" t="s">
        <v>759</v>
      </c>
      <c r="F250" t="s">
        <v>10553</v>
      </c>
    </row>
    <row r="251" spans="1:6" x14ac:dyDescent="0.25">
      <c r="A251" t="s">
        <v>10554</v>
      </c>
      <c r="B251" t="s">
        <v>10487</v>
      </c>
      <c r="C251" t="s">
        <v>10491</v>
      </c>
      <c r="D251">
        <v>2023</v>
      </c>
      <c r="E251" t="s">
        <v>759</v>
      </c>
      <c r="F251" t="s">
        <v>10555</v>
      </c>
    </row>
    <row r="252" spans="1:6" x14ac:dyDescent="0.25">
      <c r="A252" t="s">
        <v>10556</v>
      </c>
      <c r="B252" t="s">
        <v>10487</v>
      </c>
      <c r="C252" t="s">
        <v>10488</v>
      </c>
      <c r="D252">
        <v>2017</v>
      </c>
      <c r="E252" t="s">
        <v>759</v>
      </c>
      <c r="F252" t="s">
        <v>10557</v>
      </c>
    </row>
    <row r="253" spans="1:6" x14ac:dyDescent="0.25">
      <c r="A253" t="s">
        <v>10558</v>
      </c>
      <c r="B253" t="s">
        <v>10487</v>
      </c>
      <c r="C253" t="s">
        <v>10491</v>
      </c>
      <c r="D253">
        <v>2023</v>
      </c>
      <c r="E253" t="s">
        <v>759</v>
      </c>
      <c r="F253" t="s">
        <v>10559</v>
      </c>
    </row>
    <row r="254" spans="1:6" x14ac:dyDescent="0.25">
      <c r="A254" t="s">
        <v>10560</v>
      </c>
      <c r="B254" t="s">
        <v>10487</v>
      </c>
      <c r="C254" t="s">
        <v>10488</v>
      </c>
      <c r="D254">
        <v>2017</v>
      </c>
      <c r="E254" t="s">
        <v>759</v>
      </c>
      <c r="F254" t="s">
        <v>10561</v>
      </c>
    </row>
    <row r="255" spans="1:6" x14ac:dyDescent="0.25">
      <c r="A255" t="s">
        <v>10562</v>
      </c>
      <c r="B255" t="s">
        <v>10487</v>
      </c>
      <c r="C255" t="s">
        <v>10491</v>
      </c>
      <c r="D255">
        <v>2023</v>
      </c>
      <c r="E255" t="s">
        <v>759</v>
      </c>
      <c r="F255" t="s">
        <v>10563</v>
      </c>
    </row>
    <row r="256" spans="1:6" x14ac:dyDescent="0.25">
      <c r="A256" t="s">
        <v>10564</v>
      </c>
      <c r="B256" t="s">
        <v>10487</v>
      </c>
      <c r="C256" t="s">
        <v>10488</v>
      </c>
      <c r="D256">
        <v>2017</v>
      </c>
      <c r="E256" t="s">
        <v>759</v>
      </c>
      <c r="F256" t="s">
        <v>10565</v>
      </c>
    </row>
    <row r="257" spans="1:6" x14ac:dyDescent="0.25">
      <c r="A257" t="s">
        <v>10566</v>
      </c>
      <c r="B257" t="s">
        <v>10487</v>
      </c>
      <c r="C257" t="s">
        <v>10491</v>
      </c>
      <c r="D257">
        <v>2023</v>
      </c>
      <c r="E257" t="s">
        <v>759</v>
      </c>
      <c r="F257" t="s">
        <v>10567</v>
      </c>
    </row>
    <row r="258" spans="1:6" x14ac:dyDescent="0.25">
      <c r="A258" t="s">
        <v>10568</v>
      </c>
      <c r="B258" t="s">
        <v>10487</v>
      </c>
      <c r="C258" t="s">
        <v>10488</v>
      </c>
      <c r="D258">
        <v>2017</v>
      </c>
      <c r="E258" t="s">
        <v>759</v>
      </c>
      <c r="F258" t="s">
        <v>10569</v>
      </c>
    </row>
    <row r="259" spans="1:6" x14ac:dyDescent="0.25">
      <c r="A259" t="s">
        <v>10570</v>
      </c>
      <c r="B259" t="s">
        <v>10487</v>
      </c>
      <c r="C259" t="s">
        <v>10488</v>
      </c>
      <c r="D259">
        <v>2017</v>
      </c>
      <c r="E259" t="s">
        <v>759</v>
      </c>
      <c r="F259" t="s">
        <v>10571</v>
      </c>
    </row>
    <row r="260" spans="1:6" x14ac:dyDescent="0.25">
      <c r="A260" t="s">
        <v>10572</v>
      </c>
      <c r="B260" t="s">
        <v>10487</v>
      </c>
      <c r="C260" t="s">
        <v>10491</v>
      </c>
      <c r="D260">
        <v>2023</v>
      </c>
      <c r="E260" t="s">
        <v>759</v>
      </c>
      <c r="F260" t="s">
        <v>10573</v>
      </c>
    </row>
    <row r="261" spans="1:6" x14ac:dyDescent="0.25">
      <c r="A261" t="s">
        <v>10574</v>
      </c>
      <c r="B261" t="s">
        <v>10487</v>
      </c>
      <c r="C261" t="s">
        <v>10491</v>
      </c>
      <c r="D261">
        <v>2023</v>
      </c>
      <c r="E261" t="s">
        <v>759</v>
      </c>
      <c r="F261" t="s">
        <v>10575</v>
      </c>
    </row>
    <row r="262" spans="1:6" x14ac:dyDescent="0.25">
      <c r="A262" t="s">
        <v>10576</v>
      </c>
      <c r="B262" t="s">
        <v>10487</v>
      </c>
      <c r="C262" t="s">
        <v>10488</v>
      </c>
      <c r="D262">
        <v>2017</v>
      </c>
      <c r="E262" t="s">
        <v>759</v>
      </c>
      <c r="F262" t="s">
        <v>10577</v>
      </c>
    </row>
    <row r="263" spans="1:6" x14ac:dyDescent="0.25">
      <c r="A263" t="s">
        <v>10578</v>
      </c>
      <c r="B263" t="s">
        <v>10487</v>
      </c>
      <c r="C263" t="s">
        <v>10488</v>
      </c>
      <c r="D263">
        <v>2017</v>
      </c>
      <c r="E263" t="s">
        <v>759</v>
      </c>
      <c r="F263" t="s">
        <v>10579</v>
      </c>
    </row>
    <row r="264" spans="1:6" x14ac:dyDescent="0.25">
      <c r="A264" t="s">
        <v>10580</v>
      </c>
      <c r="B264" t="s">
        <v>10487</v>
      </c>
      <c r="C264" t="s">
        <v>10491</v>
      </c>
      <c r="D264">
        <v>2023</v>
      </c>
      <c r="E264" t="s">
        <v>759</v>
      </c>
      <c r="F264" t="s">
        <v>10581</v>
      </c>
    </row>
    <row r="265" spans="1:6" x14ac:dyDescent="0.25">
      <c r="A265" t="s">
        <v>10582</v>
      </c>
      <c r="B265" t="s">
        <v>10487</v>
      </c>
      <c r="C265" t="s">
        <v>10491</v>
      </c>
      <c r="D265">
        <v>2023</v>
      </c>
      <c r="E265" t="s">
        <v>759</v>
      </c>
      <c r="F265" t="s">
        <v>10583</v>
      </c>
    </row>
    <row r="266" spans="1:6" x14ac:dyDescent="0.25">
      <c r="A266" t="s">
        <v>10584</v>
      </c>
      <c r="B266" t="s">
        <v>10487</v>
      </c>
      <c r="C266" t="s">
        <v>10488</v>
      </c>
      <c r="D266">
        <v>2017</v>
      </c>
      <c r="E266" t="s">
        <v>759</v>
      </c>
      <c r="F266" t="s">
        <v>10585</v>
      </c>
    </row>
    <row r="267" spans="1:6" x14ac:dyDescent="0.25">
      <c r="A267" t="s">
        <v>10586</v>
      </c>
      <c r="B267" t="s">
        <v>10487</v>
      </c>
      <c r="C267" t="s">
        <v>10488</v>
      </c>
      <c r="D267">
        <v>2017</v>
      </c>
      <c r="E267" t="s">
        <v>759</v>
      </c>
      <c r="F267" t="s">
        <v>10587</v>
      </c>
    </row>
    <row r="268" spans="1:6" x14ac:dyDescent="0.25">
      <c r="A268" t="s">
        <v>10588</v>
      </c>
      <c r="B268" t="s">
        <v>10487</v>
      </c>
      <c r="C268" t="s">
        <v>10491</v>
      </c>
      <c r="D268">
        <v>2023</v>
      </c>
      <c r="E268" t="s">
        <v>759</v>
      </c>
      <c r="F268" t="s">
        <v>10589</v>
      </c>
    </row>
    <row r="269" spans="1:6" x14ac:dyDescent="0.25">
      <c r="A269" t="s">
        <v>10590</v>
      </c>
      <c r="B269" t="s">
        <v>10487</v>
      </c>
      <c r="C269" t="s">
        <v>10488</v>
      </c>
      <c r="D269">
        <v>2017</v>
      </c>
      <c r="E269" t="s">
        <v>759</v>
      </c>
      <c r="F269" t="s">
        <v>10591</v>
      </c>
    </row>
    <row r="270" spans="1:6" x14ac:dyDescent="0.25">
      <c r="A270" t="s">
        <v>10592</v>
      </c>
      <c r="B270" t="s">
        <v>10487</v>
      </c>
      <c r="C270" t="s">
        <v>10491</v>
      </c>
      <c r="D270">
        <v>2023</v>
      </c>
      <c r="E270" t="s">
        <v>759</v>
      </c>
      <c r="F270" t="s">
        <v>10593</v>
      </c>
    </row>
    <row r="271" spans="1:6" x14ac:dyDescent="0.25">
      <c r="A271" t="s">
        <v>10594</v>
      </c>
      <c r="B271" t="s">
        <v>10487</v>
      </c>
      <c r="C271" t="s">
        <v>10488</v>
      </c>
      <c r="D271">
        <v>2017</v>
      </c>
      <c r="E271" t="s">
        <v>759</v>
      </c>
      <c r="F271" t="s">
        <v>10595</v>
      </c>
    </row>
    <row r="272" spans="1:6" x14ac:dyDescent="0.25">
      <c r="A272" t="s">
        <v>10596</v>
      </c>
      <c r="B272" t="s">
        <v>10487</v>
      </c>
      <c r="C272" t="s">
        <v>10491</v>
      </c>
      <c r="D272">
        <v>2023</v>
      </c>
      <c r="E272" t="s">
        <v>759</v>
      </c>
      <c r="F272" t="s">
        <v>10597</v>
      </c>
    </row>
    <row r="273" spans="1:6" x14ac:dyDescent="0.25">
      <c r="A273" t="s">
        <v>10598</v>
      </c>
      <c r="B273" t="s">
        <v>10487</v>
      </c>
      <c r="C273" t="s">
        <v>10488</v>
      </c>
      <c r="D273">
        <v>2017</v>
      </c>
      <c r="E273" t="s">
        <v>759</v>
      </c>
      <c r="F273" t="s">
        <v>10599</v>
      </c>
    </row>
    <row r="274" spans="1:6" x14ac:dyDescent="0.25">
      <c r="A274" t="s">
        <v>10600</v>
      </c>
      <c r="B274" t="s">
        <v>10487</v>
      </c>
      <c r="C274" t="s">
        <v>10491</v>
      </c>
      <c r="D274">
        <v>2023</v>
      </c>
      <c r="E274" t="s">
        <v>759</v>
      </c>
      <c r="F274" t="s">
        <v>10601</v>
      </c>
    </row>
    <row r="275" spans="1:6" x14ac:dyDescent="0.25">
      <c r="A275" t="s">
        <v>10602</v>
      </c>
      <c r="B275" t="s">
        <v>10487</v>
      </c>
      <c r="C275" t="s">
        <v>10488</v>
      </c>
      <c r="D275">
        <v>2017</v>
      </c>
      <c r="E275" t="s">
        <v>759</v>
      </c>
      <c r="F275" t="s">
        <v>10603</v>
      </c>
    </row>
    <row r="276" spans="1:6" x14ac:dyDescent="0.25">
      <c r="A276" t="s">
        <v>10604</v>
      </c>
      <c r="B276" t="s">
        <v>10487</v>
      </c>
      <c r="C276" t="s">
        <v>10491</v>
      </c>
      <c r="D276">
        <v>2023</v>
      </c>
      <c r="E276" t="s">
        <v>759</v>
      </c>
      <c r="F276" t="s">
        <v>10605</v>
      </c>
    </row>
    <row r="277" spans="1:6" x14ac:dyDescent="0.25">
      <c r="A277" t="s">
        <v>10606</v>
      </c>
      <c r="B277" t="s">
        <v>10487</v>
      </c>
      <c r="C277" t="s">
        <v>10491</v>
      </c>
      <c r="D277">
        <v>2023</v>
      </c>
      <c r="E277" t="s">
        <v>759</v>
      </c>
      <c r="F277" t="s">
        <v>10607</v>
      </c>
    </row>
    <row r="278" spans="1:6" x14ac:dyDescent="0.25">
      <c r="A278" t="s">
        <v>10608</v>
      </c>
      <c r="B278" t="s">
        <v>10487</v>
      </c>
      <c r="C278" t="s">
        <v>10488</v>
      </c>
      <c r="D278">
        <v>2017</v>
      </c>
      <c r="E278" t="s">
        <v>759</v>
      </c>
      <c r="F278" t="s">
        <v>10609</v>
      </c>
    </row>
    <row r="279" spans="1:6" x14ac:dyDescent="0.25">
      <c r="A279" t="s">
        <v>10610</v>
      </c>
      <c r="B279" t="s">
        <v>10487</v>
      </c>
      <c r="C279" t="s">
        <v>10491</v>
      </c>
      <c r="D279">
        <v>2023</v>
      </c>
      <c r="E279" t="s">
        <v>759</v>
      </c>
      <c r="F279" t="s">
        <v>10611</v>
      </c>
    </row>
    <row r="280" spans="1:6" x14ac:dyDescent="0.25">
      <c r="A280" t="s">
        <v>10612</v>
      </c>
      <c r="B280" t="s">
        <v>10487</v>
      </c>
      <c r="C280" t="s">
        <v>10488</v>
      </c>
      <c r="D280">
        <v>2017</v>
      </c>
      <c r="E280" t="s">
        <v>759</v>
      </c>
      <c r="F280" t="s">
        <v>10613</v>
      </c>
    </row>
    <row r="281" spans="1:6" x14ac:dyDescent="0.25">
      <c r="A281" t="s">
        <v>10614</v>
      </c>
      <c r="B281" t="s">
        <v>10487</v>
      </c>
      <c r="C281" t="s">
        <v>10488</v>
      </c>
      <c r="D281">
        <v>2017</v>
      </c>
      <c r="E281" t="s">
        <v>759</v>
      </c>
      <c r="F281" t="s">
        <v>10615</v>
      </c>
    </row>
    <row r="282" spans="1:6" x14ac:dyDescent="0.25">
      <c r="A282" t="s">
        <v>10616</v>
      </c>
      <c r="B282" t="s">
        <v>10487</v>
      </c>
      <c r="C282" t="s">
        <v>10491</v>
      </c>
      <c r="D282">
        <v>2023</v>
      </c>
      <c r="E282" t="s">
        <v>759</v>
      </c>
      <c r="F282" t="s">
        <v>10617</v>
      </c>
    </row>
    <row r="283" spans="1:6" x14ac:dyDescent="0.25">
      <c r="A283" t="s">
        <v>10618</v>
      </c>
      <c r="B283" t="s">
        <v>10487</v>
      </c>
      <c r="C283" t="s">
        <v>10488</v>
      </c>
      <c r="D283">
        <v>2017</v>
      </c>
      <c r="E283" t="s">
        <v>759</v>
      </c>
      <c r="F283" t="s">
        <v>10619</v>
      </c>
    </row>
    <row r="284" spans="1:6" x14ac:dyDescent="0.25">
      <c r="A284" t="s">
        <v>10620</v>
      </c>
      <c r="B284" t="s">
        <v>10487</v>
      </c>
      <c r="C284" t="s">
        <v>10488</v>
      </c>
      <c r="D284">
        <v>2017</v>
      </c>
      <c r="E284" t="s">
        <v>759</v>
      </c>
      <c r="F284" t="s">
        <v>10621</v>
      </c>
    </row>
    <row r="285" spans="1:6" x14ac:dyDescent="0.25">
      <c r="A285" t="s">
        <v>10622</v>
      </c>
      <c r="B285" t="s">
        <v>10487</v>
      </c>
      <c r="C285" t="s">
        <v>10488</v>
      </c>
      <c r="D285">
        <v>2017</v>
      </c>
      <c r="E285" t="s">
        <v>759</v>
      </c>
      <c r="F285" t="s">
        <v>10623</v>
      </c>
    </row>
    <row r="286" spans="1:6" x14ac:dyDescent="0.25">
      <c r="A286" t="s">
        <v>10624</v>
      </c>
      <c r="B286" t="s">
        <v>10487</v>
      </c>
      <c r="C286" t="s">
        <v>10488</v>
      </c>
      <c r="D286">
        <v>2017</v>
      </c>
      <c r="E286" t="s">
        <v>759</v>
      </c>
      <c r="F286" t="s">
        <v>10625</v>
      </c>
    </row>
    <row r="287" spans="1:6" x14ac:dyDescent="0.25">
      <c r="A287" t="s">
        <v>10626</v>
      </c>
      <c r="B287" t="s">
        <v>10487</v>
      </c>
      <c r="C287" t="s">
        <v>10488</v>
      </c>
      <c r="D287">
        <v>2017</v>
      </c>
      <c r="E287" t="s">
        <v>759</v>
      </c>
      <c r="F287" t="s">
        <v>10627</v>
      </c>
    </row>
    <row r="288" spans="1:6" x14ac:dyDescent="0.25">
      <c r="A288" t="s">
        <v>10628</v>
      </c>
      <c r="B288" t="s">
        <v>10487</v>
      </c>
      <c r="C288" t="s">
        <v>10488</v>
      </c>
      <c r="D288">
        <v>2017</v>
      </c>
      <c r="E288" t="s">
        <v>759</v>
      </c>
      <c r="F288" t="s">
        <v>10629</v>
      </c>
    </row>
    <row r="289" spans="1:7" x14ac:dyDescent="0.25">
      <c r="A289" t="s">
        <v>10630</v>
      </c>
      <c r="B289" t="s">
        <v>10487</v>
      </c>
      <c r="C289" t="s">
        <v>10488</v>
      </c>
      <c r="D289">
        <v>2017</v>
      </c>
      <c r="E289" t="s">
        <v>759</v>
      </c>
      <c r="F289" t="s">
        <v>10631</v>
      </c>
    </row>
    <row r="290" spans="1:7" x14ac:dyDescent="0.25">
      <c r="A290" t="s">
        <v>10632</v>
      </c>
      <c r="B290" t="s">
        <v>10487</v>
      </c>
      <c r="C290" t="s">
        <v>10488</v>
      </c>
      <c r="D290">
        <v>2017</v>
      </c>
      <c r="E290" t="s">
        <v>759</v>
      </c>
      <c r="F290" t="s">
        <v>10633</v>
      </c>
    </row>
    <row r="291" spans="1:7" x14ac:dyDescent="0.25">
      <c r="A291" t="s">
        <v>10634</v>
      </c>
      <c r="B291" t="s">
        <v>10487</v>
      </c>
      <c r="C291" t="s">
        <v>10488</v>
      </c>
      <c r="D291">
        <v>2017</v>
      </c>
      <c r="E291" t="s">
        <v>759</v>
      </c>
      <c r="F291" t="s">
        <v>10635</v>
      </c>
    </row>
    <row r="292" spans="1:7" x14ac:dyDescent="0.25">
      <c r="A292" t="s">
        <v>10636</v>
      </c>
      <c r="B292" t="s">
        <v>10487</v>
      </c>
      <c r="C292" t="s">
        <v>10488</v>
      </c>
      <c r="D292">
        <v>2017</v>
      </c>
      <c r="E292" t="s">
        <v>759</v>
      </c>
      <c r="F292" t="s">
        <v>10637</v>
      </c>
    </row>
    <row r="293" spans="1:7" x14ac:dyDescent="0.25">
      <c r="A293" t="s">
        <v>10638</v>
      </c>
      <c r="B293" t="s">
        <v>10487</v>
      </c>
      <c r="C293" t="s">
        <v>10488</v>
      </c>
      <c r="D293">
        <v>2017</v>
      </c>
      <c r="E293" t="s">
        <v>759</v>
      </c>
      <c r="F293" t="s">
        <v>10639</v>
      </c>
    </row>
    <row r="294" spans="1:7" x14ac:dyDescent="0.25">
      <c r="A294" t="s">
        <v>10640</v>
      </c>
      <c r="B294" t="s">
        <v>10487</v>
      </c>
      <c r="C294" t="s">
        <v>10488</v>
      </c>
      <c r="D294">
        <v>2017</v>
      </c>
      <c r="E294" t="s">
        <v>759</v>
      </c>
      <c r="F294" t="s">
        <v>10641</v>
      </c>
    </row>
    <row r="295" spans="1:7" x14ac:dyDescent="0.25">
      <c r="A295" t="s">
        <v>10642</v>
      </c>
      <c r="B295" t="s">
        <v>10643</v>
      </c>
      <c r="C295" t="s">
        <v>10644</v>
      </c>
      <c r="D295">
        <v>2019</v>
      </c>
      <c r="E295" t="s">
        <v>873</v>
      </c>
      <c r="F295" t="s">
        <v>10645</v>
      </c>
      <c r="G295" t="s">
        <v>10044</v>
      </c>
    </row>
    <row r="296" spans="1:7" x14ac:dyDescent="0.25">
      <c r="A296" t="s">
        <v>10646</v>
      </c>
      <c r="B296" t="s">
        <v>10643</v>
      </c>
      <c r="C296" t="s">
        <v>10644</v>
      </c>
      <c r="D296">
        <v>2019</v>
      </c>
      <c r="E296" t="s">
        <v>873</v>
      </c>
      <c r="F296" t="s">
        <v>10647</v>
      </c>
    </row>
    <row r="297" spans="1:7" x14ac:dyDescent="0.25">
      <c r="A297" t="s">
        <v>10648</v>
      </c>
      <c r="B297" t="s">
        <v>10643</v>
      </c>
      <c r="C297" t="s">
        <v>10644</v>
      </c>
      <c r="D297">
        <v>2019</v>
      </c>
      <c r="E297" t="s">
        <v>873</v>
      </c>
      <c r="F297" t="s">
        <v>10649</v>
      </c>
    </row>
    <row r="298" spans="1:7" x14ac:dyDescent="0.25">
      <c r="A298" t="s">
        <v>10650</v>
      </c>
      <c r="B298" t="s">
        <v>10643</v>
      </c>
      <c r="C298" t="s">
        <v>10644</v>
      </c>
      <c r="D298">
        <v>2019</v>
      </c>
      <c r="E298" t="s">
        <v>873</v>
      </c>
      <c r="F298" t="s">
        <v>10651</v>
      </c>
    </row>
    <row r="299" spans="1:7" x14ac:dyDescent="0.25">
      <c r="A299" t="s">
        <v>10652</v>
      </c>
      <c r="B299" t="s">
        <v>10643</v>
      </c>
      <c r="C299" t="s">
        <v>10644</v>
      </c>
      <c r="D299">
        <v>2019</v>
      </c>
      <c r="E299" t="s">
        <v>873</v>
      </c>
      <c r="F299" t="s">
        <v>10653</v>
      </c>
    </row>
    <row r="300" spans="1:7" x14ac:dyDescent="0.25">
      <c r="A300" t="s">
        <v>10654</v>
      </c>
      <c r="B300" t="s">
        <v>10643</v>
      </c>
      <c r="C300" t="s">
        <v>10644</v>
      </c>
      <c r="D300">
        <v>2019</v>
      </c>
      <c r="E300" t="s">
        <v>873</v>
      </c>
      <c r="F300" t="s">
        <v>10655</v>
      </c>
    </row>
    <row r="301" spans="1:7" x14ac:dyDescent="0.25">
      <c r="A301" t="s">
        <v>10656</v>
      </c>
      <c r="B301" t="s">
        <v>10643</v>
      </c>
      <c r="C301" t="s">
        <v>10644</v>
      </c>
      <c r="D301">
        <v>2019</v>
      </c>
      <c r="E301" t="s">
        <v>873</v>
      </c>
      <c r="F301" t="s">
        <v>10657</v>
      </c>
    </row>
    <row r="302" spans="1:7" x14ac:dyDescent="0.25">
      <c r="A302" t="s">
        <v>10658</v>
      </c>
      <c r="B302" t="s">
        <v>10643</v>
      </c>
      <c r="C302" t="s">
        <v>10644</v>
      </c>
      <c r="D302">
        <v>2019</v>
      </c>
      <c r="E302" t="s">
        <v>873</v>
      </c>
      <c r="F302" t="s">
        <v>10659</v>
      </c>
    </row>
    <row r="303" spans="1:7" x14ac:dyDescent="0.25">
      <c r="A303" t="s">
        <v>10660</v>
      </c>
      <c r="B303" t="s">
        <v>10643</v>
      </c>
      <c r="C303" t="s">
        <v>10644</v>
      </c>
      <c r="D303">
        <v>2019</v>
      </c>
      <c r="E303" t="s">
        <v>873</v>
      </c>
      <c r="F303" t="s">
        <v>10661</v>
      </c>
    </row>
    <row r="304" spans="1:7" x14ac:dyDescent="0.25">
      <c r="A304" t="s">
        <v>10662</v>
      </c>
      <c r="B304" t="s">
        <v>10643</v>
      </c>
      <c r="C304" t="s">
        <v>10644</v>
      </c>
      <c r="D304">
        <v>2019</v>
      </c>
      <c r="E304" t="s">
        <v>873</v>
      </c>
      <c r="F304" t="s">
        <v>10663</v>
      </c>
    </row>
    <row r="305" spans="1:6" x14ac:dyDescent="0.25">
      <c r="A305" t="s">
        <v>10664</v>
      </c>
      <c r="B305" t="s">
        <v>10643</v>
      </c>
      <c r="C305" t="s">
        <v>10644</v>
      </c>
      <c r="D305">
        <v>2019</v>
      </c>
      <c r="E305" t="s">
        <v>873</v>
      </c>
      <c r="F305" t="s">
        <v>10665</v>
      </c>
    </row>
    <row r="306" spans="1:6" x14ac:dyDescent="0.25">
      <c r="A306" t="s">
        <v>10666</v>
      </c>
      <c r="B306" t="s">
        <v>10643</v>
      </c>
      <c r="C306" t="s">
        <v>10644</v>
      </c>
      <c r="D306">
        <v>2019</v>
      </c>
      <c r="E306" t="s">
        <v>873</v>
      </c>
      <c r="F306" t="s">
        <v>10667</v>
      </c>
    </row>
    <row r="307" spans="1:6" x14ac:dyDescent="0.25">
      <c r="A307" t="s">
        <v>10668</v>
      </c>
      <c r="B307" t="s">
        <v>10643</v>
      </c>
      <c r="C307" t="s">
        <v>10644</v>
      </c>
      <c r="D307">
        <v>2019</v>
      </c>
      <c r="E307" t="s">
        <v>873</v>
      </c>
      <c r="F307" t="s">
        <v>10669</v>
      </c>
    </row>
    <row r="308" spans="1:6" x14ac:dyDescent="0.25">
      <c r="A308" t="s">
        <v>10670</v>
      </c>
      <c r="B308" t="s">
        <v>10643</v>
      </c>
      <c r="C308" t="s">
        <v>10644</v>
      </c>
      <c r="D308">
        <v>2019</v>
      </c>
      <c r="E308" t="s">
        <v>873</v>
      </c>
      <c r="F308" t="s">
        <v>10671</v>
      </c>
    </row>
    <row r="309" spans="1:6" x14ac:dyDescent="0.25">
      <c r="A309" t="s">
        <v>10672</v>
      </c>
      <c r="B309" t="s">
        <v>10643</v>
      </c>
      <c r="C309" t="s">
        <v>10644</v>
      </c>
      <c r="D309">
        <v>2019</v>
      </c>
      <c r="E309" t="s">
        <v>873</v>
      </c>
      <c r="F309" t="s">
        <v>10673</v>
      </c>
    </row>
    <row r="310" spans="1:6" x14ac:dyDescent="0.25">
      <c r="A310" t="s">
        <v>10674</v>
      </c>
      <c r="B310" t="s">
        <v>10643</v>
      </c>
      <c r="C310" t="s">
        <v>10644</v>
      </c>
      <c r="D310">
        <v>2019</v>
      </c>
      <c r="E310" t="s">
        <v>873</v>
      </c>
      <c r="F310" t="s">
        <v>10675</v>
      </c>
    </row>
    <row r="311" spans="1:6" x14ac:dyDescent="0.25">
      <c r="A311" t="s">
        <v>10676</v>
      </c>
      <c r="B311" t="s">
        <v>10643</v>
      </c>
      <c r="C311" t="s">
        <v>10644</v>
      </c>
      <c r="D311">
        <v>2019</v>
      </c>
      <c r="E311" t="s">
        <v>873</v>
      </c>
      <c r="F311" t="s">
        <v>10677</v>
      </c>
    </row>
    <row r="312" spans="1:6" x14ac:dyDescent="0.25">
      <c r="A312" t="s">
        <v>10678</v>
      </c>
      <c r="B312" t="s">
        <v>10643</v>
      </c>
      <c r="C312" t="s">
        <v>10644</v>
      </c>
      <c r="D312">
        <v>2019</v>
      </c>
      <c r="E312" t="s">
        <v>873</v>
      </c>
      <c r="F312" t="s">
        <v>10679</v>
      </c>
    </row>
    <row r="313" spans="1:6" x14ac:dyDescent="0.25">
      <c r="A313" t="s">
        <v>10584</v>
      </c>
      <c r="B313" t="s">
        <v>10643</v>
      </c>
      <c r="C313" t="s">
        <v>10644</v>
      </c>
      <c r="D313">
        <v>2019</v>
      </c>
      <c r="E313" t="s">
        <v>873</v>
      </c>
      <c r="F313" t="s">
        <v>10680</v>
      </c>
    </row>
    <row r="314" spans="1:6" x14ac:dyDescent="0.25">
      <c r="A314" t="s">
        <v>10681</v>
      </c>
      <c r="B314" t="s">
        <v>10643</v>
      </c>
      <c r="C314" t="s">
        <v>10644</v>
      </c>
      <c r="D314">
        <v>2019</v>
      </c>
      <c r="E314" t="s">
        <v>873</v>
      </c>
      <c r="F314" t="s">
        <v>10682</v>
      </c>
    </row>
    <row r="315" spans="1:6" x14ac:dyDescent="0.25">
      <c r="A315" t="s">
        <v>10683</v>
      </c>
      <c r="B315" t="s">
        <v>10643</v>
      </c>
      <c r="C315" t="s">
        <v>10644</v>
      </c>
      <c r="D315">
        <v>2019</v>
      </c>
      <c r="E315" t="s">
        <v>873</v>
      </c>
      <c r="F315" t="s">
        <v>10684</v>
      </c>
    </row>
    <row r="316" spans="1:6" x14ac:dyDescent="0.25">
      <c r="A316" t="s">
        <v>10685</v>
      </c>
      <c r="B316" t="s">
        <v>10643</v>
      </c>
      <c r="C316" t="s">
        <v>10644</v>
      </c>
      <c r="D316">
        <v>2019</v>
      </c>
      <c r="E316" t="s">
        <v>873</v>
      </c>
      <c r="F316" t="s">
        <v>10686</v>
      </c>
    </row>
    <row r="317" spans="1:6" x14ac:dyDescent="0.25">
      <c r="A317" t="s">
        <v>10687</v>
      </c>
      <c r="B317" t="s">
        <v>10643</v>
      </c>
      <c r="C317" t="s">
        <v>10644</v>
      </c>
      <c r="D317">
        <v>2019</v>
      </c>
      <c r="E317" t="s">
        <v>873</v>
      </c>
      <c r="F317" t="s">
        <v>10688</v>
      </c>
    </row>
    <row r="318" spans="1:6" x14ac:dyDescent="0.25">
      <c r="A318" t="s">
        <v>10689</v>
      </c>
      <c r="B318" t="s">
        <v>10643</v>
      </c>
      <c r="C318" t="s">
        <v>10644</v>
      </c>
      <c r="D318">
        <v>2019</v>
      </c>
      <c r="E318" t="s">
        <v>873</v>
      </c>
      <c r="F318" t="s">
        <v>10690</v>
      </c>
    </row>
    <row r="319" spans="1:6" x14ac:dyDescent="0.25">
      <c r="A319" t="s">
        <v>10691</v>
      </c>
      <c r="B319" t="s">
        <v>10643</v>
      </c>
      <c r="C319" t="s">
        <v>10644</v>
      </c>
      <c r="D319">
        <v>2019</v>
      </c>
      <c r="E319" t="s">
        <v>873</v>
      </c>
      <c r="F319" t="s">
        <v>10692</v>
      </c>
    </row>
    <row r="320" spans="1:6" x14ac:dyDescent="0.25">
      <c r="A320" t="s">
        <v>10693</v>
      </c>
      <c r="B320" t="s">
        <v>10643</v>
      </c>
      <c r="C320" t="s">
        <v>10644</v>
      </c>
      <c r="D320">
        <v>2019</v>
      </c>
      <c r="E320" t="s">
        <v>873</v>
      </c>
      <c r="F320" t="s">
        <v>10694</v>
      </c>
    </row>
    <row r="321" spans="1:6" x14ac:dyDescent="0.25">
      <c r="A321" t="s">
        <v>10695</v>
      </c>
      <c r="B321" t="s">
        <v>10643</v>
      </c>
      <c r="C321" t="s">
        <v>10644</v>
      </c>
      <c r="D321">
        <v>2019</v>
      </c>
      <c r="E321" t="s">
        <v>873</v>
      </c>
      <c r="F321" t="s">
        <v>10696</v>
      </c>
    </row>
    <row r="322" spans="1:6" x14ac:dyDescent="0.25">
      <c r="A322" t="s">
        <v>10697</v>
      </c>
      <c r="B322" t="s">
        <v>10643</v>
      </c>
      <c r="C322" t="s">
        <v>10644</v>
      </c>
      <c r="D322">
        <v>2019</v>
      </c>
      <c r="E322" t="s">
        <v>873</v>
      </c>
      <c r="F322" t="s">
        <v>10698</v>
      </c>
    </row>
    <row r="323" spans="1:6" x14ac:dyDescent="0.25">
      <c r="A323" t="s">
        <v>10699</v>
      </c>
      <c r="B323" t="s">
        <v>10643</v>
      </c>
      <c r="C323" t="s">
        <v>10644</v>
      </c>
      <c r="D323">
        <v>2019</v>
      </c>
      <c r="E323" t="s">
        <v>873</v>
      </c>
      <c r="F323" t="s">
        <v>10700</v>
      </c>
    </row>
    <row r="324" spans="1:6" x14ac:dyDescent="0.25">
      <c r="A324" t="s">
        <v>10701</v>
      </c>
      <c r="B324" t="s">
        <v>10643</v>
      </c>
      <c r="C324" t="s">
        <v>10644</v>
      </c>
      <c r="D324">
        <v>2019</v>
      </c>
      <c r="E324" t="s">
        <v>873</v>
      </c>
      <c r="F324" t="s">
        <v>10702</v>
      </c>
    </row>
    <row r="325" spans="1:6" x14ac:dyDescent="0.25">
      <c r="A325" t="s">
        <v>10703</v>
      </c>
      <c r="B325" t="s">
        <v>10643</v>
      </c>
      <c r="C325" t="s">
        <v>10644</v>
      </c>
      <c r="D325">
        <v>2019</v>
      </c>
      <c r="E325" t="s">
        <v>873</v>
      </c>
      <c r="F325" t="s">
        <v>10704</v>
      </c>
    </row>
    <row r="326" spans="1:6" x14ac:dyDescent="0.25">
      <c r="A326" t="s">
        <v>10705</v>
      </c>
      <c r="B326" t="s">
        <v>10643</v>
      </c>
      <c r="C326" t="s">
        <v>10644</v>
      </c>
      <c r="D326">
        <v>2019</v>
      </c>
      <c r="E326" t="s">
        <v>873</v>
      </c>
      <c r="F326" t="s">
        <v>10706</v>
      </c>
    </row>
    <row r="327" spans="1:6" x14ac:dyDescent="0.25">
      <c r="A327" t="s">
        <v>10707</v>
      </c>
      <c r="B327" t="s">
        <v>10643</v>
      </c>
      <c r="C327" t="s">
        <v>10708</v>
      </c>
      <c r="D327">
        <v>2022</v>
      </c>
      <c r="E327" t="s">
        <v>873</v>
      </c>
      <c r="F327" t="s">
        <v>10709</v>
      </c>
    </row>
    <row r="328" spans="1:6" x14ac:dyDescent="0.25">
      <c r="A328" t="s">
        <v>10710</v>
      </c>
      <c r="B328" t="s">
        <v>10643</v>
      </c>
      <c r="C328" t="s">
        <v>10708</v>
      </c>
      <c r="D328">
        <v>2022</v>
      </c>
      <c r="E328" t="s">
        <v>873</v>
      </c>
      <c r="F328" t="s">
        <v>10711</v>
      </c>
    </row>
    <row r="329" spans="1:6" x14ac:dyDescent="0.25">
      <c r="A329" t="s">
        <v>10712</v>
      </c>
      <c r="B329" t="s">
        <v>10643</v>
      </c>
      <c r="C329" t="s">
        <v>10708</v>
      </c>
      <c r="D329">
        <v>2022</v>
      </c>
      <c r="E329" t="s">
        <v>873</v>
      </c>
      <c r="F329" t="s">
        <v>10713</v>
      </c>
    </row>
    <row r="330" spans="1:6" x14ac:dyDescent="0.25">
      <c r="A330" t="s">
        <v>10714</v>
      </c>
      <c r="B330" t="s">
        <v>10643</v>
      </c>
      <c r="C330" t="s">
        <v>10708</v>
      </c>
      <c r="D330">
        <v>2022</v>
      </c>
      <c r="E330" t="s">
        <v>873</v>
      </c>
      <c r="F330" t="s">
        <v>10715</v>
      </c>
    </row>
    <row r="331" spans="1:6" x14ac:dyDescent="0.25">
      <c r="A331" t="s">
        <v>10716</v>
      </c>
      <c r="B331" t="s">
        <v>10643</v>
      </c>
      <c r="C331" t="s">
        <v>10708</v>
      </c>
      <c r="D331">
        <v>2022</v>
      </c>
      <c r="E331" t="s">
        <v>873</v>
      </c>
      <c r="F331" t="s">
        <v>10717</v>
      </c>
    </row>
    <row r="332" spans="1:6" x14ac:dyDescent="0.25">
      <c r="A332" t="s">
        <v>10718</v>
      </c>
      <c r="B332" t="s">
        <v>10643</v>
      </c>
      <c r="C332" t="s">
        <v>10708</v>
      </c>
      <c r="D332">
        <v>2022</v>
      </c>
      <c r="E332" t="s">
        <v>873</v>
      </c>
      <c r="F332" t="s">
        <v>10719</v>
      </c>
    </row>
    <row r="333" spans="1:6" x14ac:dyDescent="0.25">
      <c r="A333" t="s">
        <v>10720</v>
      </c>
      <c r="B333" t="s">
        <v>10643</v>
      </c>
      <c r="C333" t="s">
        <v>10708</v>
      </c>
      <c r="D333">
        <v>2022</v>
      </c>
      <c r="E333" t="s">
        <v>873</v>
      </c>
      <c r="F333" t="s">
        <v>10721</v>
      </c>
    </row>
    <row r="334" spans="1:6" x14ac:dyDescent="0.25">
      <c r="A334" t="s">
        <v>10722</v>
      </c>
      <c r="B334" t="s">
        <v>10643</v>
      </c>
      <c r="C334" t="s">
        <v>10708</v>
      </c>
      <c r="D334">
        <v>2022</v>
      </c>
      <c r="E334" t="s">
        <v>873</v>
      </c>
      <c r="F334" t="s">
        <v>10723</v>
      </c>
    </row>
    <row r="335" spans="1:6" x14ac:dyDescent="0.25">
      <c r="A335" t="s">
        <v>10724</v>
      </c>
      <c r="B335" t="s">
        <v>10643</v>
      </c>
      <c r="C335" t="s">
        <v>10708</v>
      </c>
      <c r="D335">
        <v>2022</v>
      </c>
      <c r="E335" t="s">
        <v>873</v>
      </c>
      <c r="F335" t="s">
        <v>10725</v>
      </c>
    </row>
    <row r="336" spans="1:6" x14ac:dyDescent="0.25">
      <c r="A336" t="s">
        <v>10726</v>
      </c>
      <c r="B336" t="s">
        <v>10643</v>
      </c>
      <c r="C336" t="s">
        <v>10708</v>
      </c>
      <c r="D336">
        <v>2022</v>
      </c>
      <c r="E336" t="s">
        <v>873</v>
      </c>
      <c r="F336" t="s">
        <v>10727</v>
      </c>
    </row>
    <row r="337" spans="1:7" x14ac:dyDescent="0.25">
      <c r="A337" t="s">
        <v>10728</v>
      </c>
      <c r="B337" t="s">
        <v>10643</v>
      </c>
      <c r="C337" t="s">
        <v>10708</v>
      </c>
      <c r="D337">
        <v>2022</v>
      </c>
      <c r="E337" t="s">
        <v>873</v>
      </c>
      <c r="F337" t="s">
        <v>10729</v>
      </c>
    </row>
    <row r="338" spans="1:7" x14ac:dyDescent="0.25">
      <c r="A338" t="s">
        <v>10730</v>
      </c>
      <c r="B338" t="s">
        <v>10731</v>
      </c>
      <c r="C338" t="s">
        <v>930</v>
      </c>
      <c r="D338">
        <v>2015</v>
      </c>
      <c r="E338" t="s">
        <v>930</v>
      </c>
      <c r="F338" t="s">
        <v>10732</v>
      </c>
      <c r="G338" t="s">
        <v>10044</v>
      </c>
    </row>
    <row r="339" spans="1:7" x14ac:dyDescent="0.25">
      <c r="A339" t="s">
        <v>10733</v>
      </c>
      <c r="B339" t="s">
        <v>10731</v>
      </c>
      <c r="C339" t="s">
        <v>930</v>
      </c>
      <c r="D339">
        <v>2015</v>
      </c>
      <c r="E339" t="s">
        <v>930</v>
      </c>
      <c r="F339" t="s">
        <v>10734</v>
      </c>
    </row>
    <row r="340" spans="1:7" x14ac:dyDescent="0.25">
      <c r="A340" t="s">
        <v>10735</v>
      </c>
      <c r="B340" t="s">
        <v>10731</v>
      </c>
      <c r="C340" t="s">
        <v>930</v>
      </c>
      <c r="D340">
        <v>2015</v>
      </c>
      <c r="E340" t="s">
        <v>930</v>
      </c>
      <c r="F340" t="s">
        <v>10736</v>
      </c>
    </row>
    <row r="341" spans="1:7" x14ac:dyDescent="0.25">
      <c r="A341" t="s">
        <v>10737</v>
      </c>
      <c r="B341" t="s">
        <v>10731</v>
      </c>
      <c r="C341" t="s">
        <v>930</v>
      </c>
      <c r="D341">
        <v>2015</v>
      </c>
      <c r="E341" t="s">
        <v>930</v>
      </c>
      <c r="F341" t="s">
        <v>10738</v>
      </c>
    </row>
    <row r="342" spans="1:7" x14ac:dyDescent="0.25">
      <c r="A342" t="s">
        <v>10739</v>
      </c>
      <c r="B342" t="s">
        <v>10731</v>
      </c>
      <c r="C342" t="s">
        <v>930</v>
      </c>
      <c r="D342">
        <v>2015</v>
      </c>
      <c r="E342" t="s">
        <v>930</v>
      </c>
      <c r="F342" t="s">
        <v>10740</v>
      </c>
    </row>
    <row r="343" spans="1:7" x14ac:dyDescent="0.25">
      <c r="A343" t="s">
        <v>10590</v>
      </c>
      <c r="B343" t="s">
        <v>10731</v>
      </c>
      <c r="C343" t="s">
        <v>930</v>
      </c>
      <c r="D343">
        <v>2015</v>
      </c>
      <c r="E343" t="s">
        <v>930</v>
      </c>
      <c r="F343" t="s">
        <v>10741</v>
      </c>
    </row>
    <row r="344" spans="1:7" x14ac:dyDescent="0.25">
      <c r="A344" t="s">
        <v>10742</v>
      </c>
      <c r="B344" t="s">
        <v>10731</v>
      </c>
      <c r="C344" t="s">
        <v>930</v>
      </c>
      <c r="D344">
        <v>2015</v>
      </c>
      <c r="E344" t="s">
        <v>930</v>
      </c>
      <c r="F344" t="s">
        <v>10743</v>
      </c>
    </row>
    <row r="345" spans="1:7" x14ac:dyDescent="0.25">
      <c r="A345" t="s">
        <v>10744</v>
      </c>
      <c r="B345" t="s">
        <v>10731</v>
      </c>
      <c r="C345" t="s">
        <v>930</v>
      </c>
      <c r="D345">
        <v>2015</v>
      </c>
      <c r="E345" t="s">
        <v>930</v>
      </c>
      <c r="F345" t="s">
        <v>10745</v>
      </c>
    </row>
    <row r="346" spans="1:7" x14ac:dyDescent="0.25">
      <c r="A346" t="s">
        <v>10746</v>
      </c>
      <c r="B346" t="s">
        <v>10731</v>
      </c>
      <c r="C346" t="s">
        <v>930</v>
      </c>
      <c r="D346">
        <v>2015</v>
      </c>
      <c r="E346" t="s">
        <v>930</v>
      </c>
      <c r="F346" t="s">
        <v>10747</v>
      </c>
    </row>
    <row r="347" spans="1:7" x14ac:dyDescent="0.25">
      <c r="A347" t="s">
        <v>10748</v>
      </c>
      <c r="B347" t="s">
        <v>10749</v>
      </c>
      <c r="C347" t="s">
        <v>930</v>
      </c>
      <c r="D347">
        <v>2015</v>
      </c>
      <c r="E347" t="s">
        <v>930</v>
      </c>
      <c r="F347" t="s">
        <v>10750</v>
      </c>
    </row>
    <row r="348" spans="1:7" x14ac:dyDescent="0.25">
      <c r="A348" t="s">
        <v>10751</v>
      </c>
      <c r="B348" t="s">
        <v>10731</v>
      </c>
      <c r="C348" t="s">
        <v>930</v>
      </c>
      <c r="D348">
        <v>2015</v>
      </c>
      <c r="E348" t="s">
        <v>930</v>
      </c>
      <c r="F348" t="s">
        <v>10752</v>
      </c>
    </row>
    <row r="349" spans="1:7" x14ac:dyDescent="0.25">
      <c r="A349" t="s">
        <v>10753</v>
      </c>
      <c r="B349" t="s">
        <v>10731</v>
      </c>
      <c r="C349" t="s">
        <v>930</v>
      </c>
      <c r="D349">
        <v>2015</v>
      </c>
      <c r="E349" t="s">
        <v>930</v>
      </c>
      <c r="F349" t="s">
        <v>10754</v>
      </c>
    </row>
    <row r="350" spans="1:7" x14ac:dyDescent="0.25">
      <c r="A350" t="s">
        <v>10755</v>
      </c>
      <c r="B350" t="s">
        <v>10749</v>
      </c>
      <c r="C350" t="s">
        <v>930</v>
      </c>
      <c r="D350">
        <v>2015</v>
      </c>
      <c r="E350" t="s">
        <v>930</v>
      </c>
      <c r="F350" t="s">
        <v>10756</v>
      </c>
    </row>
    <row r="351" spans="1:7" x14ac:dyDescent="0.25">
      <c r="A351" t="s">
        <v>10757</v>
      </c>
      <c r="B351" t="s">
        <v>10731</v>
      </c>
      <c r="C351" t="s">
        <v>930</v>
      </c>
      <c r="D351">
        <v>2015</v>
      </c>
      <c r="E351" t="s">
        <v>930</v>
      </c>
      <c r="F351" t="s">
        <v>10758</v>
      </c>
    </row>
    <row r="352" spans="1:7" x14ac:dyDescent="0.25">
      <c r="A352" t="s">
        <v>10759</v>
      </c>
      <c r="B352" t="s">
        <v>10760</v>
      </c>
      <c r="C352" t="s">
        <v>10761</v>
      </c>
      <c r="D352">
        <v>2016</v>
      </c>
      <c r="E352" t="s">
        <v>1046</v>
      </c>
      <c r="F352" t="s">
        <v>10762</v>
      </c>
      <c r="G352" t="s">
        <v>10044</v>
      </c>
    </row>
    <row r="353" spans="1:6" x14ac:dyDescent="0.25">
      <c r="A353" t="s">
        <v>10763</v>
      </c>
      <c r="B353" t="s">
        <v>10760</v>
      </c>
      <c r="C353" t="s">
        <v>10761</v>
      </c>
      <c r="D353">
        <v>2016</v>
      </c>
      <c r="E353" t="s">
        <v>1046</v>
      </c>
      <c r="F353" t="s">
        <v>10764</v>
      </c>
    </row>
    <row r="354" spans="1:6" x14ac:dyDescent="0.25">
      <c r="A354" t="s">
        <v>10765</v>
      </c>
      <c r="B354" t="s">
        <v>10760</v>
      </c>
      <c r="C354" t="s">
        <v>10761</v>
      </c>
      <c r="D354">
        <v>2016</v>
      </c>
      <c r="E354" t="s">
        <v>1046</v>
      </c>
      <c r="F354" t="s">
        <v>10766</v>
      </c>
    </row>
    <row r="355" spans="1:6" x14ac:dyDescent="0.25">
      <c r="A355" t="s">
        <v>10767</v>
      </c>
      <c r="B355" t="s">
        <v>10760</v>
      </c>
      <c r="C355" t="s">
        <v>10761</v>
      </c>
      <c r="D355">
        <v>2016</v>
      </c>
      <c r="E355" t="s">
        <v>1046</v>
      </c>
      <c r="F355" t="s">
        <v>10768</v>
      </c>
    </row>
    <row r="356" spans="1:6" x14ac:dyDescent="0.25">
      <c r="A356" t="s">
        <v>10769</v>
      </c>
      <c r="B356" t="s">
        <v>10760</v>
      </c>
      <c r="C356" t="s">
        <v>10761</v>
      </c>
      <c r="D356">
        <v>2016</v>
      </c>
      <c r="E356" t="s">
        <v>1046</v>
      </c>
      <c r="F356" t="s">
        <v>10770</v>
      </c>
    </row>
    <row r="357" spans="1:6" x14ac:dyDescent="0.25">
      <c r="A357" t="s">
        <v>10771</v>
      </c>
      <c r="B357" t="s">
        <v>10760</v>
      </c>
      <c r="C357" t="s">
        <v>10761</v>
      </c>
      <c r="D357">
        <v>2016</v>
      </c>
      <c r="E357" t="s">
        <v>1046</v>
      </c>
      <c r="F357" t="s">
        <v>10772</v>
      </c>
    </row>
    <row r="358" spans="1:6" x14ac:dyDescent="0.25">
      <c r="A358" t="s">
        <v>10773</v>
      </c>
      <c r="B358" t="s">
        <v>10760</v>
      </c>
      <c r="C358" t="s">
        <v>10761</v>
      </c>
      <c r="D358">
        <v>2016</v>
      </c>
      <c r="E358" t="s">
        <v>1046</v>
      </c>
      <c r="F358" t="s">
        <v>10774</v>
      </c>
    </row>
    <row r="359" spans="1:6" x14ac:dyDescent="0.25">
      <c r="A359" t="s">
        <v>10775</v>
      </c>
      <c r="B359" t="s">
        <v>10760</v>
      </c>
      <c r="C359" t="s">
        <v>10761</v>
      </c>
      <c r="D359">
        <v>2016</v>
      </c>
      <c r="E359" t="s">
        <v>1046</v>
      </c>
      <c r="F359" t="s">
        <v>10776</v>
      </c>
    </row>
    <row r="360" spans="1:6" x14ac:dyDescent="0.25">
      <c r="A360" t="s">
        <v>10777</v>
      </c>
      <c r="B360" t="s">
        <v>10760</v>
      </c>
      <c r="C360" t="s">
        <v>10761</v>
      </c>
      <c r="D360">
        <v>2016</v>
      </c>
      <c r="E360" t="s">
        <v>1046</v>
      </c>
      <c r="F360" t="s">
        <v>10778</v>
      </c>
    </row>
    <row r="361" spans="1:6" x14ac:dyDescent="0.25">
      <c r="A361" t="s">
        <v>10779</v>
      </c>
      <c r="B361" t="s">
        <v>10760</v>
      </c>
      <c r="C361" t="s">
        <v>10761</v>
      </c>
      <c r="D361">
        <v>2016</v>
      </c>
      <c r="E361" t="s">
        <v>1046</v>
      </c>
      <c r="F361" t="s">
        <v>10780</v>
      </c>
    </row>
    <row r="362" spans="1:6" x14ac:dyDescent="0.25">
      <c r="A362" t="s">
        <v>10781</v>
      </c>
      <c r="B362" t="s">
        <v>10760</v>
      </c>
      <c r="C362" t="s">
        <v>10761</v>
      </c>
      <c r="D362">
        <v>2016</v>
      </c>
      <c r="E362" t="s">
        <v>1046</v>
      </c>
      <c r="F362" t="s">
        <v>10782</v>
      </c>
    </row>
    <row r="363" spans="1:6" x14ac:dyDescent="0.25">
      <c r="A363" t="s">
        <v>10783</v>
      </c>
      <c r="B363" t="s">
        <v>10760</v>
      </c>
      <c r="C363" t="s">
        <v>10761</v>
      </c>
      <c r="D363">
        <v>2016</v>
      </c>
      <c r="E363" t="s">
        <v>1046</v>
      </c>
      <c r="F363" t="s">
        <v>10784</v>
      </c>
    </row>
    <row r="364" spans="1:6" x14ac:dyDescent="0.25">
      <c r="A364" t="s">
        <v>10785</v>
      </c>
      <c r="B364" t="s">
        <v>10760</v>
      </c>
      <c r="C364" t="s">
        <v>10761</v>
      </c>
      <c r="D364">
        <v>2016</v>
      </c>
      <c r="E364" t="s">
        <v>1046</v>
      </c>
      <c r="F364" t="s">
        <v>10786</v>
      </c>
    </row>
    <row r="365" spans="1:6" x14ac:dyDescent="0.25">
      <c r="A365" t="s">
        <v>10787</v>
      </c>
      <c r="B365" t="s">
        <v>10760</v>
      </c>
      <c r="C365" t="s">
        <v>10761</v>
      </c>
      <c r="D365">
        <v>2016</v>
      </c>
      <c r="E365" t="s">
        <v>1046</v>
      </c>
      <c r="F365" t="s">
        <v>10788</v>
      </c>
    </row>
    <row r="366" spans="1:6" x14ac:dyDescent="0.25">
      <c r="A366" t="s">
        <v>10789</v>
      </c>
      <c r="B366" t="s">
        <v>10760</v>
      </c>
      <c r="C366" t="s">
        <v>10761</v>
      </c>
      <c r="D366">
        <v>2016</v>
      </c>
      <c r="E366" t="s">
        <v>1046</v>
      </c>
      <c r="F366" t="s">
        <v>10790</v>
      </c>
    </row>
    <row r="367" spans="1:6" x14ac:dyDescent="0.25">
      <c r="A367" t="s">
        <v>10791</v>
      </c>
      <c r="B367" t="s">
        <v>10760</v>
      </c>
      <c r="C367" t="s">
        <v>10761</v>
      </c>
      <c r="D367">
        <v>2016</v>
      </c>
      <c r="E367" t="s">
        <v>1046</v>
      </c>
      <c r="F367" t="s">
        <v>10792</v>
      </c>
    </row>
    <row r="368" spans="1:6" x14ac:dyDescent="0.25">
      <c r="A368" t="s">
        <v>10793</v>
      </c>
      <c r="B368" t="s">
        <v>10760</v>
      </c>
      <c r="C368" t="s">
        <v>10761</v>
      </c>
      <c r="D368">
        <v>2016</v>
      </c>
      <c r="E368" t="s">
        <v>1046</v>
      </c>
      <c r="F368" t="s">
        <v>10794</v>
      </c>
    </row>
    <row r="369" spans="1:6" x14ac:dyDescent="0.25">
      <c r="A369" t="s">
        <v>10795</v>
      </c>
      <c r="B369" t="s">
        <v>10760</v>
      </c>
      <c r="C369" t="s">
        <v>10761</v>
      </c>
      <c r="D369">
        <v>2016</v>
      </c>
      <c r="E369" t="s">
        <v>1046</v>
      </c>
      <c r="F369" t="s">
        <v>10796</v>
      </c>
    </row>
    <row r="370" spans="1:6" x14ac:dyDescent="0.25">
      <c r="A370" t="s">
        <v>10797</v>
      </c>
      <c r="B370" t="s">
        <v>10760</v>
      </c>
      <c r="C370" t="s">
        <v>10761</v>
      </c>
      <c r="D370">
        <v>2016</v>
      </c>
      <c r="E370" t="s">
        <v>1046</v>
      </c>
      <c r="F370" t="s">
        <v>10798</v>
      </c>
    </row>
    <row r="371" spans="1:6" x14ac:dyDescent="0.25">
      <c r="A371" t="s">
        <v>10799</v>
      </c>
      <c r="B371" t="s">
        <v>10760</v>
      </c>
      <c r="C371" t="s">
        <v>10761</v>
      </c>
      <c r="D371">
        <v>2016</v>
      </c>
      <c r="E371" t="s">
        <v>1046</v>
      </c>
      <c r="F371" t="s">
        <v>10800</v>
      </c>
    </row>
    <row r="372" spans="1:6" x14ac:dyDescent="0.25">
      <c r="A372" t="s">
        <v>10801</v>
      </c>
      <c r="B372" t="s">
        <v>10760</v>
      </c>
      <c r="C372" t="s">
        <v>10761</v>
      </c>
      <c r="D372">
        <v>2016</v>
      </c>
      <c r="E372" t="s">
        <v>1046</v>
      </c>
      <c r="F372" t="s">
        <v>10802</v>
      </c>
    </row>
    <row r="373" spans="1:6" x14ac:dyDescent="0.25">
      <c r="A373" t="s">
        <v>10803</v>
      </c>
      <c r="B373" t="s">
        <v>10760</v>
      </c>
      <c r="C373" t="s">
        <v>10761</v>
      </c>
      <c r="D373">
        <v>2016</v>
      </c>
      <c r="E373" t="s">
        <v>1046</v>
      </c>
      <c r="F373" t="s">
        <v>10804</v>
      </c>
    </row>
    <row r="374" spans="1:6" x14ac:dyDescent="0.25">
      <c r="A374" t="s">
        <v>10805</v>
      </c>
      <c r="B374" t="s">
        <v>10760</v>
      </c>
      <c r="C374" t="s">
        <v>10761</v>
      </c>
      <c r="D374">
        <v>2016</v>
      </c>
      <c r="E374" t="s">
        <v>1046</v>
      </c>
      <c r="F374" t="s">
        <v>10806</v>
      </c>
    </row>
    <row r="375" spans="1:6" x14ac:dyDescent="0.25">
      <c r="A375" t="s">
        <v>10807</v>
      </c>
      <c r="B375" t="s">
        <v>10760</v>
      </c>
      <c r="C375" t="s">
        <v>10761</v>
      </c>
      <c r="D375">
        <v>2016</v>
      </c>
      <c r="E375" t="s">
        <v>1046</v>
      </c>
      <c r="F375" t="s">
        <v>10808</v>
      </c>
    </row>
    <row r="376" spans="1:6" x14ac:dyDescent="0.25">
      <c r="A376" t="s">
        <v>10809</v>
      </c>
      <c r="B376" t="s">
        <v>10760</v>
      </c>
      <c r="C376" t="s">
        <v>10761</v>
      </c>
      <c r="D376">
        <v>2016</v>
      </c>
      <c r="E376" t="s">
        <v>1046</v>
      </c>
      <c r="F376" t="s">
        <v>10810</v>
      </c>
    </row>
    <row r="377" spans="1:6" x14ac:dyDescent="0.25">
      <c r="A377" t="s">
        <v>10811</v>
      </c>
      <c r="B377" t="s">
        <v>10760</v>
      </c>
      <c r="C377" t="s">
        <v>10761</v>
      </c>
      <c r="D377">
        <v>2016</v>
      </c>
      <c r="E377" t="s">
        <v>1046</v>
      </c>
      <c r="F377" t="s">
        <v>10812</v>
      </c>
    </row>
    <row r="378" spans="1:6" x14ac:dyDescent="0.25">
      <c r="A378" t="s">
        <v>10813</v>
      </c>
      <c r="B378" t="s">
        <v>10760</v>
      </c>
      <c r="C378" t="s">
        <v>10761</v>
      </c>
      <c r="D378">
        <v>2016</v>
      </c>
      <c r="E378" t="s">
        <v>1046</v>
      </c>
      <c r="F378" t="s">
        <v>10814</v>
      </c>
    </row>
    <row r="379" spans="1:6" x14ac:dyDescent="0.25">
      <c r="A379" t="s">
        <v>10815</v>
      </c>
      <c r="B379" t="s">
        <v>10760</v>
      </c>
      <c r="C379" t="s">
        <v>10761</v>
      </c>
      <c r="D379">
        <v>2016</v>
      </c>
      <c r="E379" t="s">
        <v>1046</v>
      </c>
      <c r="F379" t="s">
        <v>10816</v>
      </c>
    </row>
    <row r="380" spans="1:6" x14ac:dyDescent="0.25">
      <c r="A380" t="s">
        <v>10817</v>
      </c>
      <c r="B380" t="s">
        <v>10760</v>
      </c>
      <c r="C380" t="s">
        <v>10761</v>
      </c>
      <c r="D380">
        <v>2016</v>
      </c>
      <c r="E380" t="s">
        <v>1046</v>
      </c>
      <c r="F380" t="s">
        <v>10818</v>
      </c>
    </row>
    <row r="381" spans="1:6" x14ac:dyDescent="0.25">
      <c r="A381" t="s">
        <v>10819</v>
      </c>
      <c r="B381" t="s">
        <v>10760</v>
      </c>
      <c r="C381" t="s">
        <v>10761</v>
      </c>
      <c r="D381">
        <v>2016</v>
      </c>
      <c r="E381" t="s">
        <v>1046</v>
      </c>
      <c r="F381" t="s">
        <v>10820</v>
      </c>
    </row>
    <row r="382" spans="1:6" x14ac:dyDescent="0.25">
      <c r="A382" t="s">
        <v>10821</v>
      </c>
      <c r="B382" t="s">
        <v>10760</v>
      </c>
      <c r="C382" t="s">
        <v>10761</v>
      </c>
      <c r="D382">
        <v>2016</v>
      </c>
      <c r="E382" t="s">
        <v>1046</v>
      </c>
      <c r="F382" t="s">
        <v>10822</v>
      </c>
    </row>
    <row r="383" spans="1:6" x14ac:dyDescent="0.25">
      <c r="A383" t="s">
        <v>10823</v>
      </c>
      <c r="B383" t="s">
        <v>10760</v>
      </c>
      <c r="C383" t="s">
        <v>10761</v>
      </c>
      <c r="D383">
        <v>2016</v>
      </c>
      <c r="E383" t="s">
        <v>1046</v>
      </c>
      <c r="F383" t="s">
        <v>10824</v>
      </c>
    </row>
    <row r="384" spans="1:6" x14ac:dyDescent="0.25">
      <c r="A384" t="s">
        <v>10825</v>
      </c>
      <c r="B384" t="s">
        <v>10760</v>
      </c>
      <c r="C384" t="s">
        <v>10761</v>
      </c>
      <c r="D384">
        <v>2016</v>
      </c>
      <c r="E384" t="s">
        <v>1046</v>
      </c>
      <c r="F384" t="s">
        <v>10826</v>
      </c>
    </row>
    <row r="385" spans="1:7" x14ac:dyDescent="0.25">
      <c r="A385" t="s">
        <v>10827</v>
      </c>
      <c r="B385" t="s">
        <v>10760</v>
      </c>
      <c r="C385" t="s">
        <v>10761</v>
      </c>
      <c r="D385">
        <v>2016</v>
      </c>
      <c r="E385" t="s">
        <v>1046</v>
      </c>
      <c r="F385" t="s">
        <v>10828</v>
      </c>
    </row>
    <row r="386" spans="1:7" x14ac:dyDescent="0.25">
      <c r="A386" t="s">
        <v>10829</v>
      </c>
      <c r="B386" t="s">
        <v>10760</v>
      </c>
      <c r="C386" t="s">
        <v>10761</v>
      </c>
      <c r="D386">
        <v>2016</v>
      </c>
      <c r="E386" t="s">
        <v>1046</v>
      </c>
      <c r="F386" t="s">
        <v>10830</v>
      </c>
    </row>
    <row r="387" spans="1:7" x14ac:dyDescent="0.25">
      <c r="A387" t="s">
        <v>10831</v>
      </c>
      <c r="B387" t="s">
        <v>10760</v>
      </c>
      <c r="C387" t="s">
        <v>10761</v>
      </c>
      <c r="D387">
        <v>2016</v>
      </c>
      <c r="E387" t="s">
        <v>1046</v>
      </c>
      <c r="F387" t="s">
        <v>10832</v>
      </c>
    </row>
    <row r="388" spans="1:7" x14ac:dyDescent="0.25">
      <c r="A388" t="s">
        <v>10833</v>
      </c>
      <c r="B388" t="s">
        <v>10760</v>
      </c>
      <c r="C388" t="s">
        <v>10761</v>
      </c>
      <c r="D388">
        <v>2016</v>
      </c>
      <c r="E388" t="s">
        <v>1046</v>
      </c>
      <c r="F388" t="s">
        <v>10834</v>
      </c>
    </row>
    <row r="389" spans="1:7" x14ac:dyDescent="0.25">
      <c r="A389" t="s">
        <v>10835</v>
      </c>
      <c r="B389" t="s">
        <v>10760</v>
      </c>
      <c r="C389" t="s">
        <v>10761</v>
      </c>
      <c r="D389">
        <v>2016</v>
      </c>
      <c r="E389" t="s">
        <v>1046</v>
      </c>
      <c r="F389" t="s">
        <v>10836</v>
      </c>
    </row>
    <row r="390" spans="1:7" x14ac:dyDescent="0.25">
      <c r="A390" t="s">
        <v>10837</v>
      </c>
      <c r="B390" t="s">
        <v>10760</v>
      </c>
      <c r="C390" t="s">
        <v>10761</v>
      </c>
      <c r="D390">
        <v>2016</v>
      </c>
      <c r="E390" t="s">
        <v>1046</v>
      </c>
      <c r="F390" t="s">
        <v>10838</v>
      </c>
    </row>
    <row r="391" spans="1:7" x14ac:dyDescent="0.25">
      <c r="A391" t="s">
        <v>10839</v>
      </c>
      <c r="B391" t="s">
        <v>10760</v>
      </c>
      <c r="C391" t="s">
        <v>10761</v>
      </c>
      <c r="D391">
        <v>2016</v>
      </c>
      <c r="E391" t="s">
        <v>1046</v>
      </c>
      <c r="F391" t="s">
        <v>10840</v>
      </c>
    </row>
    <row r="392" spans="1:7" x14ac:dyDescent="0.25">
      <c r="A392" t="s">
        <v>10841</v>
      </c>
      <c r="B392" t="s">
        <v>10760</v>
      </c>
      <c r="C392" t="s">
        <v>10761</v>
      </c>
      <c r="D392">
        <v>2016</v>
      </c>
      <c r="E392" t="s">
        <v>1046</v>
      </c>
      <c r="F392" t="s">
        <v>10842</v>
      </c>
    </row>
    <row r="393" spans="1:7" x14ac:dyDescent="0.25">
      <c r="A393" t="s">
        <v>10843</v>
      </c>
      <c r="B393" t="s">
        <v>10760</v>
      </c>
      <c r="C393" t="s">
        <v>10761</v>
      </c>
      <c r="D393">
        <v>2016</v>
      </c>
      <c r="E393" t="s">
        <v>1046</v>
      </c>
      <c r="F393" t="s">
        <v>10844</v>
      </c>
    </row>
    <row r="394" spans="1:7" x14ac:dyDescent="0.25">
      <c r="A394" t="s">
        <v>10845</v>
      </c>
      <c r="B394" t="s">
        <v>10760</v>
      </c>
      <c r="C394" t="s">
        <v>10761</v>
      </c>
      <c r="D394">
        <v>2016</v>
      </c>
      <c r="E394" t="s">
        <v>1046</v>
      </c>
      <c r="F394" t="s">
        <v>10846</v>
      </c>
    </row>
    <row r="395" spans="1:7" x14ac:dyDescent="0.25">
      <c r="A395" t="s">
        <v>10847</v>
      </c>
      <c r="B395" t="s">
        <v>10760</v>
      </c>
      <c r="C395" t="s">
        <v>10761</v>
      </c>
      <c r="D395">
        <v>2016</v>
      </c>
      <c r="E395" t="s">
        <v>1046</v>
      </c>
      <c r="F395" t="s">
        <v>10848</v>
      </c>
    </row>
    <row r="396" spans="1:7" x14ac:dyDescent="0.25">
      <c r="A396" t="s">
        <v>10849</v>
      </c>
      <c r="B396" t="s">
        <v>10760</v>
      </c>
      <c r="C396" t="s">
        <v>10761</v>
      </c>
      <c r="D396">
        <v>2016</v>
      </c>
      <c r="E396" t="s">
        <v>1046</v>
      </c>
      <c r="F396" t="s">
        <v>10850</v>
      </c>
    </row>
    <row r="397" spans="1:7" x14ac:dyDescent="0.25">
      <c r="A397" t="s">
        <v>10851</v>
      </c>
      <c r="B397" t="s">
        <v>10760</v>
      </c>
      <c r="C397" t="s">
        <v>10761</v>
      </c>
      <c r="D397">
        <v>2016</v>
      </c>
      <c r="E397" t="s">
        <v>1046</v>
      </c>
      <c r="F397" t="s">
        <v>10852</v>
      </c>
    </row>
    <row r="398" spans="1:7" x14ac:dyDescent="0.25">
      <c r="A398" t="s">
        <v>10853</v>
      </c>
      <c r="B398" t="s">
        <v>10854</v>
      </c>
      <c r="C398" t="s">
        <v>10855</v>
      </c>
      <c r="D398">
        <v>2013</v>
      </c>
      <c r="E398" t="s">
        <v>1144</v>
      </c>
      <c r="F398" t="s">
        <v>10856</v>
      </c>
      <c r="G398" t="s">
        <v>10044</v>
      </c>
    </row>
    <row r="399" spans="1:7" x14ac:dyDescent="0.25">
      <c r="A399" t="s">
        <v>10857</v>
      </c>
      <c r="B399" t="s">
        <v>10854</v>
      </c>
      <c r="C399" t="s">
        <v>10855</v>
      </c>
      <c r="D399">
        <v>2013</v>
      </c>
      <c r="E399" t="s">
        <v>1144</v>
      </c>
      <c r="F399" t="s">
        <v>10858</v>
      </c>
    </row>
    <row r="400" spans="1:7" x14ac:dyDescent="0.25">
      <c r="A400" t="s">
        <v>10859</v>
      </c>
      <c r="B400" t="s">
        <v>10854</v>
      </c>
      <c r="C400" t="s">
        <v>10855</v>
      </c>
      <c r="D400">
        <v>2013</v>
      </c>
      <c r="E400" t="s">
        <v>1144</v>
      </c>
      <c r="F400" t="s">
        <v>10860</v>
      </c>
    </row>
    <row r="401" spans="1:6" x14ac:dyDescent="0.25">
      <c r="A401" t="s">
        <v>10861</v>
      </c>
      <c r="B401" t="s">
        <v>10854</v>
      </c>
      <c r="C401" t="s">
        <v>10855</v>
      </c>
      <c r="D401">
        <v>2013</v>
      </c>
      <c r="E401" t="s">
        <v>1144</v>
      </c>
      <c r="F401" t="s">
        <v>10862</v>
      </c>
    </row>
    <row r="402" spans="1:6" x14ac:dyDescent="0.25">
      <c r="A402" t="s">
        <v>10863</v>
      </c>
      <c r="B402" t="s">
        <v>10854</v>
      </c>
      <c r="C402" t="s">
        <v>10855</v>
      </c>
      <c r="D402">
        <v>2013</v>
      </c>
      <c r="E402" t="s">
        <v>1144</v>
      </c>
      <c r="F402" t="s">
        <v>10864</v>
      </c>
    </row>
    <row r="403" spans="1:6" x14ac:dyDescent="0.25">
      <c r="A403" t="s">
        <v>10865</v>
      </c>
      <c r="B403" t="s">
        <v>10854</v>
      </c>
      <c r="C403" t="s">
        <v>10855</v>
      </c>
      <c r="D403">
        <v>2013</v>
      </c>
      <c r="E403" t="s">
        <v>1144</v>
      </c>
      <c r="F403" t="s">
        <v>10866</v>
      </c>
    </row>
    <row r="404" spans="1:6" x14ac:dyDescent="0.25">
      <c r="A404" t="s">
        <v>10867</v>
      </c>
      <c r="B404" t="s">
        <v>10854</v>
      </c>
      <c r="C404" t="s">
        <v>10855</v>
      </c>
      <c r="D404">
        <v>2013</v>
      </c>
      <c r="E404" t="s">
        <v>1144</v>
      </c>
      <c r="F404" t="s">
        <v>10868</v>
      </c>
    </row>
    <row r="405" spans="1:6" x14ac:dyDescent="0.25">
      <c r="A405" t="s">
        <v>10869</v>
      </c>
      <c r="B405" t="s">
        <v>10854</v>
      </c>
      <c r="C405" t="s">
        <v>10855</v>
      </c>
      <c r="D405">
        <v>2013</v>
      </c>
      <c r="E405" t="s">
        <v>1144</v>
      </c>
      <c r="F405" t="s">
        <v>10870</v>
      </c>
    </row>
    <row r="406" spans="1:6" x14ac:dyDescent="0.25">
      <c r="A406" t="s">
        <v>10871</v>
      </c>
      <c r="B406" t="s">
        <v>10854</v>
      </c>
      <c r="C406" t="s">
        <v>10855</v>
      </c>
      <c r="D406">
        <v>2013</v>
      </c>
      <c r="E406" t="s">
        <v>1144</v>
      </c>
      <c r="F406" t="s">
        <v>10872</v>
      </c>
    </row>
    <row r="407" spans="1:6" x14ac:dyDescent="0.25">
      <c r="A407" t="s">
        <v>10873</v>
      </c>
      <c r="B407" t="s">
        <v>10854</v>
      </c>
      <c r="C407" t="s">
        <v>10855</v>
      </c>
      <c r="D407">
        <v>2013</v>
      </c>
      <c r="E407" t="s">
        <v>1144</v>
      </c>
      <c r="F407" t="s">
        <v>10874</v>
      </c>
    </row>
    <row r="408" spans="1:6" x14ac:dyDescent="0.25">
      <c r="A408" t="s">
        <v>10875</v>
      </c>
      <c r="B408" t="s">
        <v>10854</v>
      </c>
      <c r="C408" t="s">
        <v>10855</v>
      </c>
      <c r="D408">
        <v>2013</v>
      </c>
      <c r="E408" t="s">
        <v>1144</v>
      </c>
      <c r="F408" t="s">
        <v>10876</v>
      </c>
    </row>
    <row r="409" spans="1:6" x14ac:dyDescent="0.25">
      <c r="A409" t="s">
        <v>10877</v>
      </c>
      <c r="B409" t="s">
        <v>10854</v>
      </c>
      <c r="C409" t="s">
        <v>10855</v>
      </c>
      <c r="D409">
        <v>2013</v>
      </c>
      <c r="E409" t="s">
        <v>1144</v>
      </c>
      <c r="F409" t="s">
        <v>10878</v>
      </c>
    </row>
    <row r="410" spans="1:6" x14ac:dyDescent="0.25">
      <c r="A410" t="s">
        <v>10879</v>
      </c>
      <c r="B410" t="s">
        <v>10854</v>
      </c>
      <c r="C410" t="s">
        <v>10855</v>
      </c>
      <c r="D410">
        <v>2013</v>
      </c>
      <c r="E410" t="s">
        <v>1144</v>
      </c>
      <c r="F410" t="s">
        <v>10880</v>
      </c>
    </row>
    <row r="411" spans="1:6" x14ac:dyDescent="0.25">
      <c r="A411" t="s">
        <v>10881</v>
      </c>
      <c r="B411" t="s">
        <v>10854</v>
      </c>
      <c r="C411" t="s">
        <v>10855</v>
      </c>
      <c r="D411">
        <v>2013</v>
      </c>
      <c r="E411" t="s">
        <v>1144</v>
      </c>
      <c r="F411" t="s">
        <v>10882</v>
      </c>
    </row>
    <row r="412" spans="1:6" x14ac:dyDescent="0.25">
      <c r="A412" t="s">
        <v>10883</v>
      </c>
      <c r="B412" t="s">
        <v>10854</v>
      </c>
      <c r="C412" t="s">
        <v>10855</v>
      </c>
      <c r="D412">
        <v>2013</v>
      </c>
      <c r="E412" t="s">
        <v>1144</v>
      </c>
      <c r="F412" t="s">
        <v>10884</v>
      </c>
    </row>
    <row r="413" spans="1:6" x14ac:dyDescent="0.25">
      <c r="A413" t="s">
        <v>10885</v>
      </c>
      <c r="B413" t="s">
        <v>10854</v>
      </c>
      <c r="C413" t="s">
        <v>10855</v>
      </c>
      <c r="D413">
        <v>2013</v>
      </c>
      <c r="E413" t="s">
        <v>1144</v>
      </c>
      <c r="F413" t="s">
        <v>10886</v>
      </c>
    </row>
    <row r="414" spans="1:6" x14ac:dyDescent="0.25">
      <c r="A414" t="s">
        <v>10887</v>
      </c>
      <c r="B414" t="s">
        <v>10854</v>
      </c>
      <c r="C414" t="s">
        <v>10855</v>
      </c>
      <c r="D414">
        <v>2013</v>
      </c>
      <c r="E414" t="s">
        <v>1144</v>
      </c>
      <c r="F414" t="s">
        <v>10888</v>
      </c>
    </row>
    <row r="415" spans="1:6" x14ac:dyDescent="0.25">
      <c r="A415" t="s">
        <v>10889</v>
      </c>
      <c r="B415" t="s">
        <v>10854</v>
      </c>
      <c r="C415" t="s">
        <v>10855</v>
      </c>
      <c r="D415">
        <v>2013</v>
      </c>
      <c r="E415" t="s">
        <v>1144</v>
      </c>
      <c r="F415" t="s">
        <v>10890</v>
      </c>
    </row>
    <row r="416" spans="1:6" x14ac:dyDescent="0.25">
      <c r="A416" t="s">
        <v>10891</v>
      </c>
      <c r="B416" t="s">
        <v>10854</v>
      </c>
      <c r="C416" t="s">
        <v>10855</v>
      </c>
      <c r="D416">
        <v>2013</v>
      </c>
      <c r="E416" t="s">
        <v>1144</v>
      </c>
      <c r="F416" t="s">
        <v>10892</v>
      </c>
    </row>
    <row r="417" spans="1:7" x14ac:dyDescent="0.25">
      <c r="A417" t="s">
        <v>10893</v>
      </c>
      <c r="B417" t="s">
        <v>10854</v>
      </c>
      <c r="C417" t="s">
        <v>10855</v>
      </c>
      <c r="D417">
        <v>2013</v>
      </c>
      <c r="E417" t="s">
        <v>1144</v>
      </c>
      <c r="F417" t="s">
        <v>10894</v>
      </c>
    </row>
    <row r="418" spans="1:7" x14ac:dyDescent="0.25">
      <c r="A418" t="s">
        <v>10895</v>
      </c>
      <c r="B418" t="s">
        <v>10854</v>
      </c>
      <c r="C418" t="s">
        <v>10855</v>
      </c>
      <c r="D418">
        <v>2013</v>
      </c>
      <c r="E418" t="s">
        <v>1144</v>
      </c>
      <c r="F418" t="s">
        <v>10896</v>
      </c>
    </row>
    <row r="419" spans="1:7" x14ac:dyDescent="0.25">
      <c r="A419" t="s">
        <v>10897</v>
      </c>
      <c r="B419" t="s">
        <v>10854</v>
      </c>
      <c r="C419" t="s">
        <v>10855</v>
      </c>
      <c r="D419">
        <v>2013</v>
      </c>
      <c r="E419" t="s">
        <v>1144</v>
      </c>
      <c r="F419" t="s">
        <v>10898</v>
      </c>
    </row>
    <row r="420" spans="1:7" x14ac:dyDescent="0.25">
      <c r="A420" t="s">
        <v>10899</v>
      </c>
      <c r="B420" t="s">
        <v>10854</v>
      </c>
      <c r="C420" t="s">
        <v>10855</v>
      </c>
      <c r="D420">
        <v>2013</v>
      </c>
      <c r="E420" t="s">
        <v>1144</v>
      </c>
      <c r="F420" t="s">
        <v>10900</v>
      </c>
    </row>
    <row r="421" spans="1:7" x14ac:dyDescent="0.25">
      <c r="A421" t="s">
        <v>10901</v>
      </c>
      <c r="B421" t="s">
        <v>10854</v>
      </c>
      <c r="C421" t="s">
        <v>10855</v>
      </c>
      <c r="D421">
        <v>2013</v>
      </c>
      <c r="E421" t="s">
        <v>1144</v>
      </c>
      <c r="F421" t="s">
        <v>10902</v>
      </c>
    </row>
    <row r="422" spans="1:7" x14ac:dyDescent="0.25">
      <c r="A422" t="s">
        <v>10903</v>
      </c>
      <c r="B422" t="s">
        <v>10854</v>
      </c>
      <c r="C422" t="s">
        <v>10855</v>
      </c>
      <c r="D422">
        <v>2013</v>
      </c>
      <c r="E422" t="s">
        <v>1144</v>
      </c>
      <c r="F422" t="s">
        <v>10904</v>
      </c>
    </row>
    <row r="423" spans="1:7" x14ac:dyDescent="0.25">
      <c r="A423" t="s">
        <v>10905</v>
      </c>
      <c r="B423" t="s">
        <v>10854</v>
      </c>
      <c r="C423" t="s">
        <v>10855</v>
      </c>
      <c r="D423">
        <v>2013</v>
      </c>
      <c r="E423" t="s">
        <v>1144</v>
      </c>
      <c r="F423" t="s">
        <v>10906</v>
      </c>
    </row>
    <row r="424" spans="1:7" x14ac:dyDescent="0.25">
      <c r="A424" t="s">
        <v>10907</v>
      </c>
      <c r="B424" t="s">
        <v>10854</v>
      </c>
      <c r="C424" t="s">
        <v>10855</v>
      </c>
      <c r="D424">
        <v>2013</v>
      </c>
      <c r="E424" t="s">
        <v>1144</v>
      </c>
      <c r="F424" t="s">
        <v>10908</v>
      </c>
    </row>
    <row r="425" spans="1:7" x14ac:dyDescent="0.25">
      <c r="A425" t="s">
        <v>10909</v>
      </c>
      <c r="B425" t="s">
        <v>10854</v>
      </c>
      <c r="C425" t="s">
        <v>10855</v>
      </c>
      <c r="D425">
        <v>2013</v>
      </c>
      <c r="E425" t="s">
        <v>1144</v>
      </c>
      <c r="F425" t="s">
        <v>10910</v>
      </c>
    </row>
    <row r="426" spans="1:7" x14ac:dyDescent="0.25">
      <c r="A426" t="s">
        <v>10911</v>
      </c>
      <c r="B426" t="s">
        <v>10854</v>
      </c>
      <c r="C426" t="s">
        <v>10855</v>
      </c>
      <c r="D426">
        <v>2013</v>
      </c>
      <c r="E426" t="s">
        <v>1144</v>
      </c>
      <c r="F426" t="s">
        <v>10912</v>
      </c>
    </row>
    <row r="427" spans="1:7" x14ac:dyDescent="0.25">
      <c r="A427" t="s">
        <v>10913</v>
      </c>
      <c r="B427" t="s">
        <v>10914</v>
      </c>
      <c r="C427" t="s">
        <v>10915</v>
      </c>
      <c r="D427">
        <v>2017</v>
      </c>
      <c r="E427" t="s">
        <v>1104</v>
      </c>
      <c r="F427" t="s">
        <v>10916</v>
      </c>
    </row>
    <row r="428" spans="1:7" x14ac:dyDescent="0.25">
      <c r="A428" t="s">
        <v>10917</v>
      </c>
      <c r="B428" t="s">
        <v>10914</v>
      </c>
      <c r="C428" t="s">
        <v>10915</v>
      </c>
      <c r="D428">
        <v>2017</v>
      </c>
      <c r="E428" t="s">
        <v>1104</v>
      </c>
      <c r="F428" t="s">
        <v>10918</v>
      </c>
      <c r="G428" t="s">
        <v>10044</v>
      </c>
    </row>
    <row r="429" spans="1:7" x14ac:dyDescent="0.25">
      <c r="A429" t="s">
        <v>10919</v>
      </c>
      <c r="B429" t="s">
        <v>10914</v>
      </c>
      <c r="C429" t="s">
        <v>10915</v>
      </c>
      <c r="D429">
        <v>2017</v>
      </c>
      <c r="E429" t="s">
        <v>1104</v>
      </c>
      <c r="F429" t="s">
        <v>10920</v>
      </c>
    </row>
    <row r="430" spans="1:7" x14ac:dyDescent="0.25">
      <c r="A430" t="s">
        <v>10921</v>
      </c>
      <c r="B430" t="s">
        <v>10914</v>
      </c>
      <c r="C430" t="s">
        <v>10915</v>
      </c>
      <c r="D430">
        <v>2017</v>
      </c>
      <c r="E430" t="s">
        <v>1104</v>
      </c>
      <c r="F430" t="s">
        <v>10922</v>
      </c>
    </row>
    <row r="431" spans="1:7" x14ac:dyDescent="0.25">
      <c r="A431" t="s">
        <v>10923</v>
      </c>
      <c r="B431" t="s">
        <v>10914</v>
      </c>
      <c r="C431" t="s">
        <v>10915</v>
      </c>
      <c r="D431">
        <v>2017</v>
      </c>
      <c r="E431" t="s">
        <v>1104</v>
      </c>
      <c r="F431" t="s">
        <v>10924</v>
      </c>
    </row>
    <row r="432" spans="1:7" x14ac:dyDescent="0.25">
      <c r="A432" t="s">
        <v>10925</v>
      </c>
      <c r="B432" t="s">
        <v>10914</v>
      </c>
      <c r="C432" t="s">
        <v>10915</v>
      </c>
      <c r="D432">
        <v>2017</v>
      </c>
      <c r="E432" t="s">
        <v>1104</v>
      </c>
      <c r="F432" t="s">
        <v>10926</v>
      </c>
    </row>
    <row r="433" spans="1:6" x14ac:dyDescent="0.25">
      <c r="A433" t="s">
        <v>10927</v>
      </c>
      <c r="B433" t="s">
        <v>10914</v>
      </c>
      <c r="C433" t="s">
        <v>10915</v>
      </c>
      <c r="D433">
        <v>2017</v>
      </c>
      <c r="E433" t="s">
        <v>1104</v>
      </c>
      <c r="F433" t="s">
        <v>10928</v>
      </c>
    </row>
    <row r="434" spans="1:6" x14ac:dyDescent="0.25">
      <c r="A434" t="s">
        <v>10929</v>
      </c>
      <c r="B434" t="s">
        <v>10914</v>
      </c>
      <c r="C434" t="s">
        <v>10915</v>
      </c>
      <c r="D434">
        <v>2017</v>
      </c>
      <c r="E434" t="s">
        <v>1104</v>
      </c>
      <c r="F434" t="s">
        <v>10930</v>
      </c>
    </row>
    <row r="435" spans="1:6" x14ac:dyDescent="0.25">
      <c r="A435" t="s">
        <v>10931</v>
      </c>
      <c r="B435" t="s">
        <v>10914</v>
      </c>
      <c r="C435" t="s">
        <v>10915</v>
      </c>
      <c r="D435">
        <v>2017</v>
      </c>
      <c r="E435" t="s">
        <v>1104</v>
      </c>
      <c r="F435" t="s">
        <v>10932</v>
      </c>
    </row>
    <row r="436" spans="1:6" x14ac:dyDescent="0.25">
      <c r="A436" t="s">
        <v>10933</v>
      </c>
      <c r="B436" t="s">
        <v>10914</v>
      </c>
      <c r="C436" t="s">
        <v>10915</v>
      </c>
      <c r="D436">
        <v>2017</v>
      </c>
      <c r="E436" t="s">
        <v>1104</v>
      </c>
      <c r="F436" t="s">
        <v>10934</v>
      </c>
    </row>
    <row r="437" spans="1:6" x14ac:dyDescent="0.25">
      <c r="A437" t="s">
        <v>10935</v>
      </c>
      <c r="B437" t="s">
        <v>10914</v>
      </c>
      <c r="C437" t="s">
        <v>10915</v>
      </c>
      <c r="D437">
        <v>2017</v>
      </c>
      <c r="E437" t="s">
        <v>1104</v>
      </c>
      <c r="F437" t="s">
        <v>10936</v>
      </c>
    </row>
    <row r="438" spans="1:6" x14ac:dyDescent="0.25">
      <c r="A438" t="s">
        <v>10937</v>
      </c>
      <c r="B438" t="s">
        <v>10914</v>
      </c>
      <c r="C438" t="s">
        <v>10915</v>
      </c>
      <c r="D438">
        <v>2017</v>
      </c>
      <c r="E438" t="s">
        <v>1104</v>
      </c>
      <c r="F438" t="s">
        <v>10938</v>
      </c>
    </row>
    <row r="439" spans="1:6" x14ac:dyDescent="0.25">
      <c r="A439" t="s">
        <v>10939</v>
      </c>
      <c r="B439" t="s">
        <v>10914</v>
      </c>
      <c r="C439" t="s">
        <v>10915</v>
      </c>
      <c r="D439">
        <v>2017</v>
      </c>
      <c r="E439" t="s">
        <v>1104</v>
      </c>
      <c r="F439" t="s">
        <v>10940</v>
      </c>
    </row>
    <row r="440" spans="1:6" x14ac:dyDescent="0.25">
      <c r="A440" t="s">
        <v>10941</v>
      </c>
      <c r="B440" t="s">
        <v>10914</v>
      </c>
      <c r="C440" t="s">
        <v>10915</v>
      </c>
      <c r="D440">
        <v>2017</v>
      </c>
      <c r="E440" t="s">
        <v>1104</v>
      </c>
      <c r="F440" t="s">
        <v>10942</v>
      </c>
    </row>
    <row r="441" spans="1:6" x14ac:dyDescent="0.25">
      <c r="A441" t="s">
        <v>10943</v>
      </c>
      <c r="B441" t="s">
        <v>10914</v>
      </c>
      <c r="C441" t="s">
        <v>10915</v>
      </c>
      <c r="D441">
        <v>2017</v>
      </c>
      <c r="E441" t="s">
        <v>1104</v>
      </c>
      <c r="F441" t="s">
        <v>10944</v>
      </c>
    </row>
    <row r="442" spans="1:6" x14ac:dyDescent="0.25">
      <c r="A442" t="s">
        <v>10945</v>
      </c>
      <c r="B442" t="s">
        <v>10914</v>
      </c>
      <c r="C442" t="s">
        <v>10915</v>
      </c>
      <c r="D442">
        <v>2017</v>
      </c>
      <c r="E442" t="s">
        <v>1104</v>
      </c>
      <c r="F442" t="s">
        <v>10946</v>
      </c>
    </row>
    <row r="443" spans="1:6" x14ac:dyDescent="0.25">
      <c r="A443" t="s">
        <v>10947</v>
      </c>
      <c r="B443" t="s">
        <v>10914</v>
      </c>
      <c r="C443" t="s">
        <v>10915</v>
      </c>
      <c r="D443">
        <v>2017</v>
      </c>
      <c r="E443" t="s">
        <v>1104</v>
      </c>
      <c r="F443" t="s">
        <v>10948</v>
      </c>
    </row>
    <row r="444" spans="1:6" x14ac:dyDescent="0.25">
      <c r="A444" t="s">
        <v>10949</v>
      </c>
      <c r="B444" t="s">
        <v>10914</v>
      </c>
      <c r="C444" t="s">
        <v>10915</v>
      </c>
      <c r="D444">
        <v>2017</v>
      </c>
      <c r="E444" t="s">
        <v>1104</v>
      </c>
      <c r="F444" t="s">
        <v>10950</v>
      </c>
    </row>
    <row r="445" spans="1:6" x14ac:dyDescent="0.25">
      <c r="A445" t="s">
        <v>10951</v>
      </c>
      <c r="B445" t="s">
        <v>10914</v>
      </c>
      <c r="C445" t="s">
        <v>10915</v>
      </c>
      <c r="D445">
        <v>2017</v>
      </c>
      <c r="E445" t="s">
        <v>1104</v>
      </c>
      <c r="F445" t="s">
        <v>10952</v>
      </c>
    </row>
    <row r="446" spans="1:6" x14ac:dyDescent="0.25">
      <c r="A446" t="s">
        <v>10953</v>
      </c>
      <c r="B446" t="s">
        <v>10914</v>
      </c>
      <c r="C446" t="s">
        <v>10915</v>
      </c>
      <c r="D446">
        <v>2017</v>
      </c>
      <c r="E446" t="s">
        <v>1104</v>
      </c>
      <c r="F446" t="s">
        <v>10954</v>
      </c>
    </row>
    <row r="447" spans="1:6" x14ac:dyDescent="0.25">
      <c r="A447" t="s">
        <v>10955</v>
      </c>
      <c r="B447" t="s">
        <v>10914</v>
      </c>
      <c r="C447" t="s">
        <v>10915</v>
      </c>
      <c r="D447">
        <v>2017</v>
      </c>
      <c r="E447" t="s">
        <v>1104</v>
      </c>
      <c r="F447" t="s">
        <v>10956</v>
      </c>
    </row>
    <row r="448" spans="1:6" x14ac:dyDescent="0.25">
      <c r="A448" t="s">
        <v>10957</v>
      </c>
      <c r="B448" t="s">
        <v>10914</v>
      </c>
      <c r="C448" t="s">
        <v>10915</v>
      </c>
      <c r="D448">
        <v>2017</v>
      </c>
      <c r="E448" t="s">
        <v>1104</v>
      </c>
      <c r="F448" t="s">
        <v>10958</v>
      </c>
    </row>
    <row r="449" spans="1:6" x14ac:dyDescent="0.25">
      <c r="A449" t="s">
        <v>10959</v>
      </c>
      <c r="B449" t="s">
        <v>10914</v>
      </c>
      <c r="C449" t="s">
        <v>10915</v>
      </c>
      <c r="D449">
        <v>2017</v>
      </c>
      <c r="E449" t="s">
        <v>1104</v>
      </c>
      <c r="F449" t="s">
        <v>10960</v>
      </c>
    </row>
    <row r="450" spans="1:6" x14ac:dyDescent="0.25">
      <c r="A450" t="s">
        <v>10961</v>
      </c>
      <c r="B450" t="s">
        <v>10041</v>
      </c>
      <c r="C450" t="s">
        <v>10042</v>
      </c>
      <c r="D450">
        <v>2020</v>
      </c>
      <c r="E450" t="s">
        <v>1294</v>
      </c>
      <c r="F450" t="s">
        <v>10962</v>
      </c>
    </row>
    <row r="451" spans="1:6" x14ac:dyDescent="0.25">
      <c r="A451" t="s">
        <v>10963</v>
      </c>
      <c r="B451" t="s">
        <v>10041</v>
      </c>
      <c r="C451" t="s">
        <v>10042</v>
      </c>
      <c r="D451">
        <v>2020</v>
      </c>
      <c r="E451" t="s">
        <v>1294</v>
      </c>
      <c r="F451" t="s">
        <v>10964</v>
      </c>
    </row>
    <row r="452" spans="1:6" x14ac:dyDescent="0.25">
      <c r="A452" t="s">
        <v>10965</v>
      </c>
      <c r="B452" t="s">
        <v>10041</v>
      </c>
      <c r="C452" t="s">
        <v>10042</v>
      </c>
      <c r="D452">
        <v>2020</v>
      </c>
      <c r="E452" t="s">
        <v>1294</v>
      </c>
      <c r="F452" t="s">
        <v>10966</v>
      </c>
    </row>
    <row r="453" spans="1:6" x14ac:dyDescent="0.25">
      <c r="A453" t="s">
        <v>10967</v>
      </c>
      <c r="B453" t="s">
        <v>10041</v>
      </c>
      <c r="C453" t="s">
        <v>10042</v>
      </c>
      <c r="D453">
        <v>2020</v>
      </c>
      <c r="E453" t="s">
        <v>1294</v>
      </c>
      <c r="F453" t="s">
        <v>10968</v>
      </c>
    </row>
    <row r="454" spans="1:6" x14ac:dyDescent="0.25">
      <c r="A454" t="s">
        <v>10969</v>
      </c>
      <c r="B454" t="s">
        <v>10041</v>
      </c>
      <c r="C454" t="s">
        <v>10042</v>
      </c>
      <c r="D454">
        <v>2020</v>
      </c>
      <c r="E454" t="s">
        <v>1294</v>
      </c>
      <c r="F454" t="s">
        <v>10970</v>
      </c>
    </row>
    <row r="455" spans="1:6" x14ac:dyDescent="0.25">
      <c r="A455" t="s">
        <v>10971</v>
      </c>
      <c r="B455" t="s">
        <v>10041</v>
      </c>
      <c r="C455" t="s">
        <v>10042</v>
      </c>
      <c r="D455">
        <v>2020</v>
      </c>
      <c r="E455" t="s">
        <v>1294</v>
      </c>
      <c r="F455" t="s">
        <v>10972</v>
      </c>
    </row>
    <row r="456" spans="1:6" x14ac:dyDescent="0.25">
      <c r="A456" t="s">
        <v>10973</v>
      </c>
      <c r="B456" t="s">
        <v>10041</v>
      </c>
      <c r="C456" t="s">
        <v>10042</v>
      </c>
      <c r="D456">
        <v>2020</v>
      </c>
      <c r="E456" t="s">
        <v>1294</v>
      </c>
      <c r="F456" t="s">
        <v>10974</v>
      </c>
    </row>
    <row r="457" spans="1:6" x14ac:dyDescent="0.25">
      <c r="A457" t="s">
        <v>10975</v>
      </c>
      <c r="B457" t="s">
        <v>10041</v>
      </c>
      <c r="C457" t="s">
        <v>10042</v>
      </c>
      <c r="D457">
        <v>2020</v>
      </c>
      <c r="E457" t="s">
        <v>1294</v>
      </c>
      <c r="F457" t="s">
        <v>10976</v>
      </c>
    </row>
    <row r="458" spans="1:6" x14ac:dyDescent="0.25">
      <c r="A458" t="s">
        <v>10977</v>
      </c>
      <c r="B458" t="s">
        <v>10041</v>
      </c>
      <c r="C458" t="s">
        <v>10042</v>
      </c>
      <c r="D458">
        <v>2020</v>
      </c>
      <c r="E458" t="s">
        <v>1294</v>
      </c>
      <c r="F458" t="s">
        <v>10978</v>
      </c>
    </row>
    <row r="459" spans="1:6" x14ac:dyDescent="0.25">
      <c r="A459" t="s">
        <v>10979</v>
      </c>
      <c r="B459" t="s">
        <v>10041</v>
      </c>
      <c r="C459" t="s">
        <v>10042</v>
      </c>
      <c r="D459">
        <v>2020</v>
      </c>
      <c r="E459" t="s">
        <v>1294</v>
      </c>
      <c r="F459" t="s">
        <v>10980</v>
      </c>
    </row>
    <row r="460" spans="1:6" x14ac:dyDescent="0.25">
      <c r="A460" t="s">
        <v>10981</v>
      </c>
      <c r="B460" t="s">
        <v>10041</v>
      </c>
      <c r="C460" t="s">
        <v>10042</v>
      </c>
      <c r="D460">
        <v>2020</v>
      </c>
      <c r="E460" t="s">
        <v>1294</v>
      </c>
      <c r="F460" t="s">
        <v>10982</v>
      </c>
    </row>
    <row r="461" spans="1:6" x14ac:dyDescent="0.25">
      <c r="A461" t="s">
        <v>10983</v>
      </c>
      <c r="B461" t="s">
        <v>10041</v>
      </c>
      <c r="C461" t="s">
        <v>10042</v>
      </c>
      <c r="D461">
        <v>2020</v>
      </c>
      <c r="E461" t="s">
        <v>1294</v>
      </c>
      <c r="F461" t="s">
        <v>10984</v>
      </c>
    </row>
    <row r="462" spans="1:6" x14ac:dyDescent="0.25">
      <c r="A462" t="s">
        <v>10985</v>
      </c>
      <c r="B462" t="s">
        <v>10041</v>
      </c>
      <c r="C462" t="s">
        <v>10042</v>
      </c>
      <c r="D462">
        <v>2020</v>
      </c>
      <c r="E462" t="s">
        <v>1294</v>
      </c>
      <c r="F462" t="s">
        <v>10986</v>
      </c>
    </row>
    <row r="463" spans="1:6" x14ac:dyDescent="0.25">
      <c r="A463" t="s">
        <v>10987</v>
      </c>
      <c r="B463" t="s">
        <v>10041</v>
      </c>
      <c r="C463" t="s">
        <v>10042</v>
      </c>
      <c r="D463">
        <v>2020</v>
      </c>
      <c r="E463" t="s">
        <v>1294</v>
      </c>
      <c r="F463" t="s">
        <v>10988</v>
      </c>
    </row>
    <row r="464" spans="1:6" x14ac:dyDescent="0.25">
      <c r="A464" t="s">
        <v>10989</v>
      </c>
      <c r="B464" t="s">
        <v>10041</v>
      </c>
      <c r="C464" t="s">
        <v>10042</v>
      </c>
      <c r="D464">
        <v>2020</v>
      </c>
      <c r="E464" t="s">
        <v>1294</v>
      </c>
      <c r="F464" t="s">
        <v>10990</v>
      </c>
    </row>
    <row r="465" spans="1:7" x14ac:dyDescent="0.25">
      <c r="A465" t="s">
        <v>10991</v>
      </c>
      <c r="B465" t="s">
        <v>10041</v>
      </c>
      <c r="C465" t="s">
        <v>10042</v>
      </c>
      <c r="D465">
        <v>2020</v>
      </c>
      <c r="E465" t="s">
        <v>1294</v>
      </c>
      <c r="F465" t="s">
        <v>10992</v>
      </c>
    </row>
    <row r="466" spans="1:7" x14ac:dyDescent="0.25">
      <c r="A466" t="s">
        <v>10993</v>
      </c>
      <c r="B466" t="s">
        <v>10041</v>
      </c>
      <c r="C466" t="s">
        <v>10042</v>
      </c>
      <c r="D466">
        <v>2020</v>
      </c>
      <c r="E466" t="s">
        <v>1294</v>
      </c>
      <c r="F466" t="s">
        <v>10994</v>
      </c>
    </row>
    <row r="467" spans="1:7" x14ac:dyDescent="0.25">
      <c r="A467" t="s">
        <v>10995</v>
      </c>
      <c r="B467" t="s">
        <v>10041</v>
      </c>
      <c r="C467" t="s">
        <v>10042</v>
      </c>
      <c r="D467">
        <v>2020</v>
      </c>
      <c r="E467" t="s">
        <v>1294</v>
      </c>
      <c r="F467" t="s">
        <v>10996</v>
      </c>
    </row>
    <row r="468" spans="1:7" x14ac:dyDescent="0.25">
      <c r="A468" t="s">
        <v>10997</v>
      </c>
      <c r="B468" t="s">
        <v>10041</v>
      </c>
      <c r="C468" t="s">
        <v>10042</v>
      </c>
      <c r="D468">
        <v>2020</v>
      </c>
      <c r="E468" t="s">
        <v>1294</v>
      </c>
      <c r="F468" t="s">
        <v>10998</v>
      </c>
    </row>
    <row r="469" spans="1:7" x14ac:dyDescent="0.25">
      <c r="A469" t="s">
        <v>10999</v>
      </c>
      <c r="B469" t="s">
        <v>10041</v>
      </c>
      <c r="C469" t="s">
        <v>10042</v>
      </c>
      <c r="D469">
        <v>2020</v>
      </c>
      <c r="E469" t="s">
        <v>1294</v>
      </c>
      <c r="F469" t="s">
        <v>11000</v>
      </c>
    </row>
    <row r="470" spans="1:7" x14ac:dyDescent="0.25">
      <c r="A470" t="s">
        <v>11001</v>
      </c>
      <c r="B470" t="s">
        <v>10041</v>
      </c>
      <c r="C470" t="s">
        <v>10042</v>
      </c>
      <c r="D470">
        <v>2020</v>
      </c>
      <c r="E470" t="s">
        <v>1294</v>
      </c>
      <c r="F470" t="s">
        <v>11002</v>
      </c>
    </row>
    <row r="471" spans="1:7" x14ac:dyDescent="0.25">
      <c r="A471" t="s">
        <v>11003</v>
      </c>
      <c r="B471" t="s">
        <v>10041</v>
      </c>
      <c r="C471" t="s">
        <v>10042</v>
      </c>
      <c r="D471">
        <v>2020</v>
      </c>
      <c r="E471" t="s">
        <v>1294</v>
      </c>
      <c r="F471" t="s">
        <v>11004</v>
      </c>
    </row>
    <row r="472" spans="1:7" x14ac:dyDescent="0.25">
      <c r="A472" t="s">
        <v>11005</v>
      </c>
      <c r="B472" t="s">
        <v>10041</v>
      </c>
      <c r="C472" t="s">
        <v>10042</v>
      </c>
      <c r="D472">
        <v>2020</v>
      </c>
      <c r="E472" t="s">
        <v>1294</v>
      </c>
      <c r="F472" t="s">
        <v>11006</v>
      </c>
    </row>
    <row r="473" spans="1:7" x14ac:dyDescent="0.25">
      <c r="A473" t="s">
        <v>11007</v>
      </c>
      <c r="B473" t="s">
        <v>10041</v>
      </c>
      <c r="C473" t="s">
        <v>10042</v>
      </c>
      <c r="D473">
        <v>2020</v>
      </c>
      <c r="E473" t="s">
        <v>1294</v>
      </c>
      <c r="F473" t="s">
        <v>11008</v>
      </c>
    </row>
    <row r="474" spans="1:7" x14ac:dyDescent="0.25">
      <c r="A474" t="s">
        <v>11009</v>
      </c>
      <c r="B474" t="s">
        <v>10041</v>
      </c>
      <c r="C474" t="s">
        <v>10042</v>
      </c>
      <c r="D474">
        <v>2020</v>
      </c>
      <c r="E474" t="s">
        <v>1294</v>
      </c>
      <c r="F474" t="s">
        <v>11010</v>
      </c>
    </row>
    <row r="475" spans="1:7" x14ac:dyDescent="0.25">
      <c r="A475" t="s">
        <v>11011</v>
      </c>
      <c r="B475" t="s">
        <v>10041</v>
      </c>
      <c r="C475" t="s">
        <v>10042</v>
      </c>
      <c r="D475">
        <v>2020</v>
      </c>
      <c r="E475" t="s">
        <v>1294</v>
      </c>
      <c r="F475" t="s">
        <v>11012</v>
      </c>
    </row>
    <row r="476" spans="1:7" x14ac:dyDescent="0.25">
      <c r="A476" t="s">
        <v>11013</v>
      </c>
      <c r="B476" t="s">
        <v>10041</v>
      </c>
      <c r="C476" t="s">
        <v>10042</v>
      </c>
      <c r="D476">
        <v>2020</v>
      </c>
      <c r="E476" t="s">
        <v>1294</v>
      </c>
      <c r="F476" t="s">
        <v>11014</v>
      </c>
    </row>
    <row r="477" spans="1:7" x14ac:dyDescent="0.25">
      <c r="A477" t="s">
        <v>11015</v>
      </c>
      <c r="B477" t="s">
        <v>10041</v>
      </c>
      <c r="C477" t="s">
        <v>10042</v>
      </c>
      <c r="D477">
        <v>2020</v>
      </c>
      <c r="E477" t="s">
        <v>1294</v>
      </c>
      <c r="F477" t="s">
        <v>11016</v>
      </c>
    </row>
    <row r="478" spans="1:7" x14ac:dyDescent="0.25">
      <c r="A478" t="s">
        <v>11017</v>
      </c>
      <c r="B478" t="s">
        <v>10041</v>
      </c>
      <c r="C478" t="s">
        <v>10042</v>
      </c>
      <c r="D478">
        <v>2020</v>
      </c>
      <c r="E478" t="s">
        <v>1294</v>
      </c>
      <c r="F478" t="s">
        <v>11018</v>
      </c>
    </row>
    <row r="479" spans="1:7" x14ac:dyDescent="0.25">
      <c r="A479" t="s">
        <v>11019</v>
      </c>
      <c r="B479" t="s">
        <v>11020</v>
      </c>
      <c r="C479" t="s">
        <v>11021</v>
      </c>
      <c r="D479">
        <v>2025</v>
      </c>
      <c r="E479" t="s">
        <v>1322</v>
      </c>
      <c r="F479" t="s">
        <v>11022</v>
      </c>
      <c r="G479" t="s">
        <v>10044</v>
      </c>
    </row>
    <row r="480" spans="1:7" x14ac:dyDescent="0.25">
      <c r="A480" t="s">
        <v>11023</v>
      </c>
      <c r="B480" t="s">
        <v>11020</v>
      </c>
      <c r="C480" t="s">
        <v>11021</v>
      </c>
      <c r="D480">
        <v>2025</v>
      </c>
      <c r="E480" t="s">
        <v>1322</v>
      </c>
      <c r="F480" t="s">
        <v>11024</v>
      </c>
    </row>
    <row r="481" spans="1:6" x14ac:dyDescent="0.25">
      <c r="A481" t="s">
        <v>11025</v>
      </c>
      <c r="B481" t="s">
        <v>11020</v>
      </c>
      <c r="C481" t="s">
        <v>11021</v>
      </c>
      <c r="D481">
        <v>2025</v>
      </c>
      <c r="E481" t="s">
        <v>1322</v>
      </c>
      <c r="F481" t="s">
        <v>11026</v>
      </c>
    </row>
    <row r="482" spans="1:6" x14ac:dyDescent="0.25">
      <c r="A482" t="s">
        <v>11027</v>
      </c>
      <c r="B482" t="s">
        <v>11020</v>
      </c>
      <c r="C482" t="s">
        <v>11021</v>
      </c>
      <c r="D482">
        <v>2025</v>
      </c>
      <c r="E482" t="s">
        <v>1322</v>
      </c>
      <c r="F482" t="s">
        <v>11028</v>
      </c>
    </row>
    <row r="483" spans="1:6" x14ac:dyDescent="0.25">
      <c r="A483" t="s">
        <v>11029</v>
      </c>
      <c r="B483" t="s">
        <v>11020</v>
      </c>
      <c r="C483" t="s">
        <v>11021</v>
      </c>
      <c r="D483">
        <v>2025</v>
      </c>
      <c r="E483" t="s">
        <v>1322</v>
      </c>
      <c r="F483" t="s">
        <v>11030</v>
      </c>
    </row>
    <row r="484" spans="1:6" x14ac:dyDescent="0.25">
      <c r="A484" t="s">
        <v>11031</v>
      </c>
      <c r="B484" t="s">
        <v>11020</v>
      </c>
      <c r="C484" t="s">
        <v>11021</v>
      </c>
      <c r="D484">
        <v>2025</v>
      </c>
      <c r="E484" t="s">
        <v>1322</v>
      </c>
      <c r="F484" t="s">
        <v>11032</v>
      </c>
    </row>
    <row r="485" spans="1:6" x14ac:dyDescent="0.25">
      <c r="A485" t="s">
        <v>11033</v>
      </c>
      <c r="B485" t="s">
        <v>11020</v>
      </c>
      <c r="C485" t="s">
        <v>11021</v>
      </c>
      <c r="D485">
        <v>2025</v>
      </c>
      <c r="E485" t="s">
        <v>1322</v>
      </c>
      <c r="F485" t="s">
        <v>11034</v>
      </c>
    </row>
    <row r="486" spans="1:6" x14ac:dyDescent="0.25">
      <c r="A486" t="s">
        <v>11035</v>
      </c>
      <c r="B486" t="s">
        <v>11020</v>
      </c>
      <c r="C486" t="s">
        <v>11021</v>
      </c>
      <c r="D486">
        <v>2025</v>
      </c>
      <c r="E486" t="s">
        <v>1322</v>
      </c>
      <c r="F486" t="s">
        <v>11036</v>
      </c>
    </row>
    <row r="487" spans="1:6" x14ac:dyDescent="0.25">
      <c r="A487" t="s">
        <v>11037</v>
      </c>
      <c r="B487" t="s">
        <v>11020</v>
      </c>
      <c r="C487" t="s">
        <v>11021</v>
      </c>
      <c r="D487">
        <v>2025</v>
      </c>
      <c r="E487" t="s">
        <v>1322</v>
      </c>
      <c r="F487" t="s">
        <v>11038</v>
      </c>
    </row>
    <row r="488" spans="1:6" x14ac:dyDescent="0.25">
      <c r="A488" t="s">
        <v>11039</v>
      </c>
      <c r="B488" t="s">
        <v>11020</v>
      </c>
      <c r="C488" t="s">
        <v>11021</v>
      </c>
      <c r="D488">
        <v>2025</v>
      </c>
      <c r="E488" t="s">
        <v>1322</v>
      </c>
      <c r="F488" t="s">
        <v>11040</v>
      </c>
    </row>
    <row r="489" spans="1:6" x14ac:dyDescent="0.25">
      <c r="A489" t="s">
        <v>11041</v>
      </c>
      <c r="B489" t="s">
        <v>11020</v>
      </c>
      <c r="C489" t="s">
        <v>11021</v>
      </c>
      <c r="D489">
        <v>2025</v>
      </c>
      <c r="E489" t="s">
        <v>1322</v>
      </c>
      <c r="F489" t="s">
        <v>11042</v>
      </c>
    </row>
    <row r="490" spans="1:6" x14ac:dyDescent="0.25">
      <c r="A490" t="s">
        <v>11043</v>
      </c>
      <c r="B490" t="s">
        <v>11020</v>
      </c>
      <c r="C490" t="s">
        <v>11021</v>
      </c>
      <c r="D490">
        <v>2025</v>
      </c>
      <c r="E490" t="s">
        <v>1322</v>
      </c>
      <c r="F490" t="s">
        <v>11044</v>
      </c>
    </row>
    <row r="491" spans="1:6" x14ac:dyDescent="0.25">
      <c r="A491" t="s">
        <v>11045</v>
      </c>
      <c r="B491" t="s">
        <v>11020</v>
      </c>
      <c r="C491" t="s">
        <v>11021</v>
      </c>
      <c r="D491">
        <v>2025</v>
      </c>
      <c r="E491" t="s">
        <v>1322</v>
      </c>
      <c r="F491" t="s">
        <v>11046</v>
      </c>
    </row>
    <row r="492" spans="1:6" x14ac:dyDescent="0.25">
      <c r="A492" t="s">
        <v>11047</v>
      </c>
      <c r="B492" t="s">
        <v>11020</v>
      </c>
      <c r="C492" t="s">
        <v>11021</v>
      </c>
      <c r="D492">
        <v>2025</v>
      </c>
      <c r="E492" t="s">
        <v>1322</v>
      </c>
      <c r="F492" t="s">
        <v>11048</v>
      </c>
    </row>
    <row r="493" spans="1:6" x14ac:dyDescent="0.25">
      <c r="A493" t="s">
        <v>11049</v>
      </c>
      <c r="B493" t="s">
        <v>11020</v>
      </c>
      <c r="C493" t="s">
        <v>11021</v>
      </c>
      <c r="D493">
        <v>2025</v>
      </c>
      <c r="E493" t="s">
        <v>1322</v>
      </c>
      <c r="F493" t="s">
        <v>11050</v>
      </c>
    </row>
    <row r="494" spans="1:6" x14ac:dyDescent="0.25">
      <c r="A494" t="s">
        <v>11051</v>
      </c>
      <c r="B494" t="s">
        <v>11020</v>
      </c>
      <c r="C494" t="s">
        <v>11021</v>
      </c>
      <c r="D494">
        <v>2025</v>
      </c>
      <c r="E494" t="s">
        <v>1322</v>
      </c>
      <c r="F494" t="s">
        <v>11052</v>
      </c>
    </row>
    <row r="495" spans="1:6" x14ac:dyDescent="0.25">
      <c r="A495" t="s">
        <v>11053</v>
      </c>
      <c r="B495" t="s">
        <v>11020</v>
      </c>
      <c r="C495" t="s">
        <v>11021</v>
      </c>
      <c r="D495">
        <v>2025</v>
      </c>
      <c r="E495" t="s">
        <v>1322</v>
      </c>
      <c r="F495" t="s">
        <v>11054</v>
      </c>
    </row>
    <row r="496" spans="1:6" x14ac:dyDescent="0.25">
      <c r="A496" t="s">
        <v>11055</v>
      </c>
      <c r="B496" t="s">
        <v>11020</v>
      </c>
      <c r="C496" t="s">
        <v>11021</v>
      </c>
      <c r="D496">
        <v>2025</v>
      </c>
      <c r="E496" t="s">
        <v>1322</v>
      </c>
      <c r="F496" t="s">
        <v>11056</v>
      </c>
    </row>
    <row r="497" spans="1:6" x14ac:dyDescent="0.25">
      <c r="A497" t="s">
        <v>11057</v>
      </c>
      <c r="B497" t="s">
        <v>11020</v>
      </c>
      <c r="C497" t="s">
        <v>11021</v>
      </c>
      <c r="D497">
        <v>2025</v>
      </c>
      <c r="E497" t="s">
        <v>1322</v>
      </c>
      <c r="F497" t="s">
        <v>11058</v>
      </c>
    </row>
    <row r="498" spans="1:6" x14ac:dyDescent="0.25">
      <c r="A498" t="s">
        <v>11059</v>
      </c>
      <c r="B498" t="s">
        <v>11020</v>
      </c>
      <c r="C498" t="s">
        <v>11021</v>
      </c>
      <c r="D498">
        <v>2025</v>
      </c>
      <c r="E498" t="s">
        <v>1322</v>
      </c>
      <c r="F498" t="s">
        <v>11060</v>
      </c>
    </row>
    <row r="499" spans="1:6" x14ac:dyDescent="0.25">
      <c r="A499" t="s">
        <v>11061</v>
      </c>
      <c r="B499" t="s">
        <v>11020</v>
      </c>
      <c r="C499" t="s">
        <v>11021</v>
      </c>
      <c r="D499">
        <v>2025</v>
      </c>
      <c r="E499" t="s">
        <v>1322</v>
      </c>
      <c r="F499" t="s">
        <v>11062</v>
      </c>
    </row>
    <row r="500" spans="1:6" x14ac:dyDescent="0.25">
      <c r="A500" t="s">
        <v>11063</v>
      </c>
      <c r="B500" t="s">
        <v>11020</v>
      </c>
      <c r="C500" t="s">
        <v>11021</v>
      </c>
      <c r="D500">
        <v>2025</v>
      </c>
      <c r="E500" t="s">
        <v>1322</v>
      </c>
      <c r="F500" t="s">
        <v>11064</v>
      </c>
    </row>
    <row r="501" spans="1:6" x14ac:dyDescent="0.25">
      <c r="A501" t="s">
        <v>11065</v>
      </c>
      <c r="B501" t="s">
        <v>11020</v>
      </c>
      <c r="C501" t="s">
        <v>11021</v>
      </c>
      <c r="D501">
        <v>2025</v>
      </c>
      <c r="E501" t="s">
        <v>1322</v>
      </c>
      <c r="F501" t="s">
        <v>11066</v>
      </c>
    </row>
    <row r="502" spans="1:6" x14ac:dyDescent="0.25">
      <c r="A502" t="s">
        <v>11067</v>
      </c>
      <c r="B502" t="s">
        <v>11020</v>
      </c>
      <c r="C502" t="s">
        <v>11021</v>
      </c>
      <c r="D502">
        <v>2025</v>
      </c>
      <c r="E502" t="s">
        <v>1322</v>
      </c>
      <c r="F502" t="s">
        <v>11068</v>
      </c>
    </row>
    <row r="503" spans="1:6" x14ac:dyDescent="0.25">
      <c r="A503" t="s">
        <v>11069</v>
      </c>
      <c r="B503" t="s">
        <v>11020</v>
      </c>
      <c r="C503" t="s">
        <v>11021</v>
      </c>
      <c r="D503">
        <v>2025</v>
      </c>
      <c r="E503" t="s">
        <v>1322</v>
      </c>
      <c r="F503" t="s">
        <v>11070</v>
      </c>
    </row>
    <row r="504" spans="1:6" x14ac:dyDescent="0.25">
      <c r="A504" t="s">
        <v>11071</v>
      </c>
      <c r="B504" t="s">
        <v>11020</v>
      </c>
      <c r="C504" t="s">
        <v>11021</v>
      </c>
      <c r="D504">
        <v>2025</v>
      </c>
      <c r="E504" t="s">
        <v>1322</v>
      </c>
      <c r="F504" t="s">
        <v>11072</v>
      </c>
    </row>
    <row r="505" spans="1:6" x14ac:dyDescent="0.25">
      <c r="A505" t="s">
        <v>11073</v>
      </c>
      <c r="B505" t="s">
        <v>11020</v>
      </c>
      <c r="C505" t="s">
        <v>11021</v>
      </c>
      <c r="D505">
        <v>2025</v>
      </c>
      <c r="E505" t="s">
        <v>1322</v>
      </c>
      <c r="F505" t="s">
        <v>11074</v>
      </c>
    </row>
    <row r="506" spans="1:6" x14ac:dyDescent="0.25">
      <c r="A506" t="s">
        <v>11075</v>
      </c>
      <c r="B506" t="s">
        <v>11020</v>
      </c>
      <c r="C506" t="s">
        <v>11021</v>
      </c>
      <c r="D506">
        <v>2025</v>
      </c>
      <c r="E506" t="s">
        <v>1322</v>
      </c>
      <c r="F506" t="s">
        <v>11076</v>
      </c>
    </row>
    <row r="507" spans="1:6" x14ac:dyDescent="0.25">
      <c r="A507" t="s">
        <v>11077</v>
      </c>
      <c r="B507" t="s">
        <v>11020</v>
      </c>
      <c r="C507" t="s">
        <v>11021</v>
      </c>
      <c r="D507">
        <v>2025</v>
      </c>
      <c r="E507" t="s">
        <v>1322</v>
      </c>
      <c r="F507" t="s">
        <v>11078</v>
      </c>
    </row>
    <row r="508" spans="1:6" x14ac:dyDescent="0.25">
      <c r="A508" t="s">
        <v>11079</v>
      </c>
      <c r="B508" t="s">
        <v>11020</v>
      </c>
      <c r="C508" t="s">
        <v>11021</v>
      </c>
      <c r="D508">
        <v>2025</v>
      </c>
      <c r="E508" t="s">
        <v>1322</v>
      </c>
      <c r="F508" t="s">
        <v>11080</v>
      </c>
    </row>
    <row r="509" spans="1:6" x14ac:dyDescent="0.25">
      <c r="A509" t="s">
        <v>11081</v>
      </c>
      <c r="B509" t="s">
        <v>11020</v>
      </c>
      <c r="C509" t="s">
        <v>11021</v>
      </c>
      <c r="D509">
        <v>2025</v>
      </c>
      <c r="E509" t="s">
        <v>1322</v>
      </c>
      <c r="F509" t="s">
        <v>11082</v>
      </c>
    </row>
    <row r="510" spans="1:6" x14ac:dyDescent="0.25">
      <c r="A510" t="s">
        <v>11083</v>
      </c>
      <c r="B510" t="s">
        <v>11020</v>
      </c>
      <c r="C510" t="s">
        <v>11021</v>
      </c>
      <c r="D510">
        <v>2025</v>
      </c>
      <c r="E510" t="s">
        <v>1322</v>
      </c>
      <c r="F510" t="s">
        <v>11084</v>
      </c>
    </row>
    <row r="511" spans="1:6" x14ac:dyDescent="0.25">
      <c r="A511" t="s">
        <v>11085</v>
      </c>
      <c r="B511" t="s">
        <v>11020</v>
      </c>
      <c r="C511" t="s">
        <v>11021</v>
      </c>
      <c r="D511">
        <v>2025</v>
      </c>
      <c r="E511" t="s">
        <v>1322</v>
      </c>
      <c r="F511" t="s">
        <v>11086</v>
      </c>
    </row>
    <row r="512" spans="1:6" x14ac:dyDescent="0.25">
      <c r="A512" t="s">
        <v>11087</v>
      </c>
      <c r="B512" t="s">
        <v>11020</v>
      </c>
      <c r="C512" t="s">
        <v>11021</v>
      </c>
      <c r="D512">
        <v>2025</v>
      </c>
      <c r="E512" t="s">
        <v>1322</v>
      </c>
      <c r="F512" t="s">
        <v>11088</v>
      </c>
    </row>
    <row r="513" spans="1:6" x14ac:dyDescent="0.25">
      <c r="A513" t="s">
        <v>11089</v>
      </c>
      <c r="B513" t="s">
        <v>11020</v>
      </c>
      <c r="C513" t="s">
        <v>11021</v>
      </c>
      <c r="D513">
        <v>2025</v>
      </c>
      <c r="E513" t="s">
        <v>1322</v>
      </c>
      <c r="F513" t="s">
        <v>11090</v>
      </c>
    </row>
    <row r="514" spans="1:6" x14ac:dyDescent="0.25">
      <c r="A514" t="s">
        <v>11091</v>
      </c>
      <c r="B514" t="s">
        <v>11020</v>
      </c>
      <c r="C514" t="s">
        <v>11021</v>
      </c>
      <c r="D514">
        <v>2025</v>
      </c>
      <c r="E514" t="s">
        <v>1322</v>
      </c>
      <c r="F514" t="s">
        <v>11092</v>
      </c>
    </row>
    <row r="515" spans="1:6" x14ac:dyDescent="0.25">
      <c r="A515" t="s">
        <v>11093</v>
      </c>
      <c r="B515" t="s">
        <v>11020</v>
      </c>
      <c r="C515" t="s">
        <v>11021</v>
      </c>
      <c r="D515">
        <v>2025</v>
      </c>
      <c r="E515" t="s">
        <v>1322</v>
      </c>
      <c r="F515" t="s">
        <v>11094</v>
      </c>
    </row>
    <row r="516" spans="1:6" x14ac:dyDescent="0.25">
      <c r="A516" t="s">
        <v>11095</v>
      </c>
      <c r="B516" t="s">
        <v>11020</v>
      </c>
      <c r="C516" t="s">
        <v>11021</v>
      </c>
      <c r="D516">
        <v>2025</v>
      </c>
      <c r="E516" t="s">
        <v>1322</v>
      </c>
      <c r="F516" t="s">
        <v>11096</v>
      </c>
    </row>
    <row r="517" spans="1:6" x14ac:dyDescent="0.25">
      <c r="A517" t="s">
        <v>11097</v>
      </c>
      <c r="B517" t="s">
        <v>11020</v>
      </c>
      <c r="C517" t="s">
        <v>11021</v>
      </c>
      <c r="D517">
        <v>2025</v>
      </c>
      <c r="E517" t="s">
        <v>1322</v>
      </c>
      <c r="F517" t="s">
        <v>11098</v>
      </c>
    </row>
    <row r="518" spans="1:6" x14ac:dyDescent="0.25">
      <c r="A518" t="s">
        <v>11099</v>
      </c>
      <c r="B518" t="s">
        <v>11020</v>
      </c>
      <c r="C518" t="s">
        <v>11021</v>
      </c>
      <c r="D518">
        <v>2025</v>
      </c>
      <c r="E518" t="s">
        <v>1322</v>
      </c>
      <c r="F518" t="s">
        <v>11100</v>
      </c>
    </row>
    <row r="519" spans="1:6" x14ac:dyDescent="0.25">
      <c r="A519" t="s">
        <v>11101</v>
      </c>
      <c r="B519" t="s">
        <v>11020</v>
      </c>
      <c r="C519" t="s">
        <v>11021</v>
      </c>
      <c r="D519">
        <v>2025</v>
      </c>
      <c r="E519" t="s">
        <v>1322</v>
      </c>
      <c r="F519" t="s">
        <v>11102</v>
      </c>
    </row>
    <row r="520" spans="1:6" x14ac:dyDescent="0.25">
      <c r="A520" t="s">
        <v>11103</v>
      </c>
      <c r="B520" t="s">
        <v>11020</v>
      </c>
      <c r="C520" t="s">
        <v>11021</v>
      </c>
      <c r="D520">
        <v>2025</v>
      </c>
      <c r="E520" t="s">
        <v>1322</v>
      </c>
      <c r="F520" t="s">
        <v>11104</v>
      </c>
    </row>
    <row r="521" spans="1:6" x14ac:dyDescent="0.25">
      <c r="A521" t="s">
        <v>11105</v>
      </c>
      <c r="B521" t="s">
        <v>11020</v>
      </c>
      <c r="C521" t="s">
        <v>11021</v>
      </c>
      <c r="D521">
        <v>2025</v>
      </c>
      <c r="E521" t="s">
        <v>1322</v>
      </c>
      <c r="F521" t="s">
        <v>11106</v>
      </c>
    </row>
    <row r="522" spans="1:6" x14ac:dyDescent="0.25">
      <c r="A522" t="s">
        <v>11107</v>
      </c>
      <c r="B522" t="s">
        <v>11020</v>
      </c>
      <c r="C522" t="s">
        <v>11021</v>
      </c>
      <c r="D522">
        <v>2025</v>
      </c>
      <c r="E522" t="s">
        <v>1322</v>
      </c>
      <c r="F522" t="s">
        <v>11108</v>
      </c>
    </row>
    <row r="523" spans="1:6" x14ac:dyDescent="0.25">
      <c r="A523" t="s">
        <v>11109</v>
      </c>
      <c r="B523" t="s">
        <v>11020</v>
      </c>
      <c r="C523" t="s">
        <v>11021</v>
      </c>
      <c r="D523">
        <v>2025</v>
      </c>
      <c r="E523" t="s">
        <v>1322</v>
      </c>
      <c r="F523" t="s">
        <v>11110</v>
      </c>
    </row>
    <row r="524" spans="1:6" x14ac:dyDescent="0.25">
      <c r="A524" t="s">
        <v>11111</v>
      </c>
      <c r="B524" t="s">
        <v>11020</v>
      </c>
      <c r="C524" t="s">
        <v>11021</v>
      </c>
      <c r="D524">
        <v>2025</v>
      </c>
      <c r="E524" t="s">
        <v>1322</v>
      </c>
      <c r="F524" t="s">
        <v>11112</v>
      </c>
    </row>
    <row r="525" spans="1:6" x14ac:dyDescent="0.25">
      <c r="A525" t="s">
        <v>11113</v>
      </c>
      <c r="B525" t="s">
        <v>11020</v>
      </c>
      <c r="C525" t="s">
        <v>11021</v>
      </c>
      <c r="D525">
        <v>2025</v>
      </c>
      <c r="E525" t="s">
        <v>1322</v>
      </c>
      <c r="F525" t="s">
        <v>11114</v>
      </c>
    </row>
    <row r="526" spans="1:6" x14ac:dyDescent="0.25">
      <c r="A526" t="s">
        <v>11115</v>
      </c>
      <c r="B526" t="s">
        <v>11020</v>
      </c>
      <c r="C526" t="s">
        <v>11021</v>
      </c>
      <c r="D526">
        <v>2025</v>
      </c>
      <c r="E526" t="s">
        <v>1322</v>
      </c>
      <c r="F526" t="s">
        <v>11116</v>
      </c>
    </row>
    <row r="527" spans="1:6" x14ac:dyDescent="0.25">
      <c r="A527" t="s">
        <v>11117</v>
      </c>
      <c r="B527" t="s">
        <v>11020</v>
      </c>
      <c r="C527" t="s">
        <v>11021</v>
      </c>
      <c r="D527">
        <v>2025</v>
      </c>
      <c r="E527" t="s">
        <v>1322</v>
      </c>
      <c r="F527" t="s">
        <v>11118</v>
      </c>
    </row>
    <row r="528" spans="1:6" x14ac:dyDescent="0.25">
      <c r="A528" t="s">
        <v>11119</v>
      </c>
      <c r="B528" t="s">
        <v>11020</v>
      </c>
      <c r="C528" t="s">
        <v>11021</v>
      </c>
      <c r="D528">
        <v>2025</v>
      </c>
      <c r="E528" t="s">
        <v>1322</v>
      </c>
      <c r="F528" t="s">
        <v>11120</v>
      </c>
    </row>
    <row r="529" spans="1:6" x14ac:dyDescent="0.25">
      <c r="A529" t="s">
        <v>11121</v>
      </c>
      <c r="B529" t="s">
        <v>11020</v>
      </c>
      <c r="C529" t="s">
        <v>11021</v>
      </c>
      <c r="D529">
        <v>2025</v>
      </c>
      <c r="E529" t="s">
        <v>1322</v>
      </c>
      <c r="F529" t="s">
        <v>11122</v>
      </c>
    </row>
    <row r="530" spans="1:6" x14ac:dyDescent="0.25">
      <c r="A530" t="s">
        <v>11123</v>
      </c>
      <c r="B530" t="s">
        <v>11020</v>
      </c>
      <c r="C530" t="s">
        <v>11021</v>
      </c>
      <c r="D530">
        <v>2025</v>
      </c>
      <c r="E530" t="s">
        <v>1322</v>
      </c>
      <c r="F530" t="s">
        <v>11124</v>
      </c>
    </row>
    <row r="531" spans="1:6" x14ac:dyDescent="0.25">
      <c r="A531" t="s">
        <v>11125</v>
      </c>
      <c r="B531" t="s">
        <v>11020</v>
      </c>
      <c r="C531" t="s">
        <v>11021</v>
      </c>
      <c r="D531">
        <v>2025</v>
      </c>
      <c r="E531" t="s">
        <v>1322</v>
      </c>
      <c r="F531" t="s">
        <v>11126</v>
      </c>
    </row>
    <row r="532" spans="1:6" x14ac:dyDescent="0.25">
      <c r="A532" t="s">
        <v>11127</v>
      </c>
      <c r="B532" t="s">
        <v>11020</v>
      </c>
      <c r="C532" t="s">
        <v>11021</v>
      </c>
      <c r="D532">
        <v>2025</v>
      </c>
      <c r="E532" t="s">
        <v>1322</v>
      </c>
      <c r="F532" t="s">
        <v>11128</v>
      </c>
    </row>
    <row r="533" spans="1:6" x14ac:dyDescent="0.25">
      <c r="A533" t="s">
        <v>11129</v>
      </c>
      <c r="B533" t="s">
        <v>11020</v>
      </c>
      <c r="C533" t="s">
        <v>11021</v>
      </c>
      <c r="D533">
        <v>2025</v>
      </c>
      <c r="E533" t="s">
        <v>1322</v>
      </c>
      <c r="F533" t="s">
        <v>11130</v>
      </c>
    </row>
    <row r="534" spans="1:6" x14ac:dyDescent="0.25">
      <c r="A534" t="s">
        <v>11131</v>
      </c>
      <c r="B534" t="s">
        <v>11020</v>
      </c>
      <c r="C534" t="s">
        <v>11021</v>
      </c>
      <c r="D534">
        <v>2025</v>
      </c>
      <c r="E534" t="s">
        <v>1322</v>
      </c>
      <c r="F534" t="s">
        <v>11132</v>
      </c>
    </row>
    <row r="535" spans="1:6" x14ac:dyDescent="0.25">
      <c r="A535" t="s">
        <v>11133</v>
      </c>
      <c r="B535" t="s">
        <v>11020</v>
      </c>
      <c r="C535" t="s">
        <v>11021</v>
      </c>
      <c r="D535">
        <v>2025</v>
      </c>
      <c r="E535" t="s">
        <v>1322</v>
      </c>
      <c r="F535" t="s">
        <v>11134</v>
      </c>
    </row>
    <row r="536" spans="1:6" x14ac:dyDescent="0.25">
      <c r="A536" t="s">
        <v>11135</v>
      </c>
      <c r="B536" t="s">
        <v>11020</v>
      </c>
      <c r="C536" t="s">
        <v>11021</v>
      </c>
      <c r="D536">
        <v>2025</v>
      </c>
      <c r="E536" t="s">
        <v>1322</v>
      </c>
      <c r="F536" t="s">
        <v>11136</v>
      </c>
    </row>
    <row r="537" spans="1:6" x14ac:dyDescent="0.25">
      <c r="A537" t="s">
        <v>11137</v>
      </c>
      <c r="B537" t="s">
        <v>11020</v>
      </c>
      <c r="C537" t="s">
        <v>11021</v>
      </c>
      <c r="D537">
        <v>2025</v>
      </c>
      <c r="E537" t="s">
        <v>1322</v>
      </c>
      <c r="F537" t="s">
        <v>11138</v>
      </c>
    </row>
    <row r="538" spans="1:6" x14ac:dyDescent="0.25">
      <c r="A538" t="s">
        <v>11139</v>
      </c>
      <c r="B538" t="s">
        <v>11020</v>
      </c>
      <c r="C538" t="s">
        <v>11021</v>
      </c>
      <c r="D538">
        <v>2025</v>
      </c>
      <c r="E538" t="s">
        <v>1322</v>
      </c>
      <c r="F538" t="s">
        <v>11140</v>
      </c>
    </row>
    <row r="539" spans="1:6" x14ac:dyDescent="0.25">
      <c r="A539" t="s">
        <v>11141</v>
      </c>
      <c r="B539" t="s">
        <v>11020</v>
      </c>
      <c r="C539" t="s">
        <v>11021</v>
      </c>
      <c r="D539">
        <v>2025</v>
      </c>
      <c r="E539" t="s">
        <v>1322</v>
      </c>
      <c r="F539" t="s">
        <v>11142</v>
      </c>
    </row>
    <row r="540" spans="1:6" x14ac:dyDescent="0.25">
      <c r="A540" t="s">
        <v>11143</v>
      </c>
      <c r="B540" t="s">
        <v>11020</v>
      </c>
      <c r="C540" t="s">
        <v>11021</v>
      </c>
      <c r="D540">
        <v>2025</v>
      </c>
      <c r="E540" t="s">
        <v>1322</v>
      </c>
      <c r="F540" t="s">
        <v>11144</v>
      </c>
    </row>
    <row r="541" spans="1:6" x14ac:dyDescent="0.25">
      <c r="A541" t="s">
        <v>11145</v>
      </c>
      <c r="B541" t="s">
        <v>11020</v>
      </c>
      <c r="C541" t="s">
        <v>11021</v>
      </c>
      <c r="D541">
        <v>2025</v>
      </c>
      <c r="E541" t="s">
        <v>1322</v>
      </c>
      <c r="F541" t="s">
        <v>11146</v>
      </c>
    </row>
    <row r="542" spans="1:6" x14ac:dyDescent="0.25">
      <c r="A542" t="s">
        <v>11147</v>
      </c>
      <c r="B542" t="s">
        <v>11020</v>
      </c>
      <c r="C542" t="s">
        <v>11021</v>
      </c>
      <c r="D542">
        <v>2025</v>
      </c>
      <c r="E542" t="s">
        <v>1322</v>
      </c>
      <c r="F542" t="s">
        <v>11148</v>
      </c>
    </row>
    <row r="543" spans="1:6" x14ac:dyDescent="0.25">
      <c r="A543" t="s">
        <v>11149</v>
      </c>
      <c r="B543" t="s">
        <v>11020</v>
      </c>
      <c r="C543" t="s">
        <v>11021</v>
      </c>
      <c r="D543">
        <v>2025</v>
      </c>
      <c r="E543" t="s">
        <v>1322</v>
      </c>
      <c r="F543" t="s">
        <v>11150</v>
      </c>
    </row>
    <row r="544" spans="1:6" x14ac:dyDescent="0.25">
      <c r="A544" t="s">
        <v>11151</v>
      </c>
      <c r="B544" t="s">
        <v>11020</v>
      </c>
      <c r="C544" t="s">
        <v>11021</v>
      </c>
      <c r="D544">
        <v>2025</v>
      </c>
      <c r="E544" t="s">
        <v>1322</v>
      </c>
      <c r="F544" t="s">
        <v>11152</v>
      </c>
    </row>
    <row r="545" spans="1:7" x14ac:dyDescent="0.25">
      <c r="A545" t="s">
        <v>11153</v>
      </c>
      <c r="B545" t="s">
        <v>11020</v>
      </c>
      <c r="C545" t="s">
        <v>11021</v>
      </c>
      <c r="D545">
        <v>2025</v>
      </c>
      <c r="E545" t="s">
        <v>1322</v>
      </c>
      <c r="F545" t="s">
        <v>11154</v>
      </c>
    </row>
    <row r="546" spans="1:7" x14ac:dyDescent="0.25">
      <c r="A546" t="s">
        <v>11155</v>
      </c>
      <c r="B546" t="s">
        <v>11020</v>
      </c>
      <c r="C546" t="s">
        <v>11021</v>
      </c>
      <c r="D546">
        <v>2025</v>
      </c>
      <c r="E546" t="s">
        <v>1322</v>
      </c>
      <c r="F546" t="s">
        <v>11156</v>
      </c>
    </row>
    <row r="547" spans="1:7" x14ac:dyDescent="0.25">
      <c r="A547" t="s">
        <v>11157</v>
      </c>
      <c r="B547" t="s">
        <v>11020</v>
      </c>
      <c r="C547" t="s">
        <v>11021</v>
      </c>
      <c r="D547">
        <v>2025</v>
      </c>
      <c r="E547" t="s">
        <v>1322</v>
      </c>
      <c r="F547" t="s">
        <v>11158</v>
      </c>
    </row>
    <row r="548" spans="1:7" x14ac:dyDescent="0.25">
      <c r="A548" t="s">
        <v>11159</v>
      </c>
      <c r="B548" t="s">
        <v>10854</v>
      </c>
      <c r="C548" t="s">
        <v>11160</v>
      </c>
      <c r="D548">
        <v>2018</v>
      </c>
      <c r="E548" t="s">
        <v>1443</v>
      </c>
      <c r="F548" t="s">
        <v>11161</v>
      </c>
      <c r="G548" t="s">
        <v>10044</v>
      </c>
    </row>
    <row r="549" spans="1:7" x14ac:dyDescent="0.25">
      <c r="A549" t="s">
        <v>11162</v>
      </c>
      <c r="B549" t="s">
        <v>10854</v>
      </c>
      <c r="C549" t="s">
        <v>11160</v>
      </c>
      <c r="D549">
        <v>2018</v>
      </c>
      <c r="E549" t="s">
        <v>1443</v>
      </c>
      <c r="F549" t="s">
        <v>11163</v>
      </c>
    </row>
    <row r="550" spans="1:7" x14ac:dyDescent="0.25">
      <c r="A550" t="s">
        <v>11164</v>
      </c>
      <c r="B550" t="s">
        <v>10854</v>
      </c>
      <c r="C550" t="s">
        <v>11160</v>
      </c>
      <c r="D550">
        <v>2018</v>
      </c>
      <c r="E550" t="s">
        <v>1443</v>
      </c>
      <c r="F550" t="s">
        <v>11165</v>
      </c>
    </row>
    <row r="551" spans="1:7" x14ac:dyDescent="0.25">
      <c r="A551" t="s">
        <v>11166</v>
      </c>
      <c r="B551" t="s">
        <v>10854</v>
      </c>
      <c r="C551" t="s">
        <v>11160</v>
      </c>
      <c r="D551">
        <v>2018</v>
      </c>
      <c r="E551" t="s">
        <v>1443</v>
      </c>
      <c r="F551" t="s">
        <v>11167</v>
      </c>
    </row>
    <row r="552" spans="1:7" x14ac:dyDescent="0.25">
      <c r="A552" t="s">
        <v>11168</v>
      </c>
      <c r="B552" t="s">
        <v>10854</v>
      </c>
      <c r="C552" t="s">
        <v>11160</v>
      </c>
      <c r="D552">
        <v>2018</v>
      </c>
      <c r="E552" t="s">
        <v>1443</v>
      </c>
      <c r="F552" t="s">
        <v>11169</v>
      </c>
    </row>
    <row r="553" spans="1:7" x14ac:dyDescent="0.25">
      <c r="A553" t="s">
        <v>11170</v>
      </c>
      <c r="B553" t="s">
        <v>10854</v>
      </c>
      <c r="C553" t="s">
        <v>11160</v>
      </c>
      <c r="D553">
        <v>2018</v>
      </c>
      <c r="E553" t="s">
        <v>1443</v>
      </c>
      <c r="F553" t="s">
        <v>11171</v>
      </c>
    </row>
    <row r="554" spans="1:7" x14ac:dyDescent="0.25">
      <c r="A554" t="s">
        <v>11172</v>
      </c>
      <c r="B554" t="s">
        <v>10854</v>
      </c>
      <c r="C554" t="s">
        <v>11160</v>
      </c>
      <c r="D554">
        <v>2018</v>
      </c>
      <c r="E554" t="s">
        <v>1443</v>
      </c>
      <c r="F554" t="s">
        <v>11173</v>
      </c>
    </row>
    <row r="555" spans="1:7" x14ac:dyDescent="0.25">
      <c r="A555" t="s">
        <v>11174</v>
      </c>
      <c r="B555" t="s">
        <v>10854</v>
      </c>
      <c r="C555" t="s">
        <v>11160</v>
      </c>
      <c r="D555">
        <v>2018</v>
      </c>
      <c r="E555" t="s">
        <v>1443</v>
      </c>
      <c r="F555" t="s">
        <v>11175</v>
      </c>
    </row>
    <row r="556" spans="1:7" x14ac:dyDescent="0.25">
      <c r="A556" t="s">
        <v>11176</v>
      </c>
      <c r="B556" t="s">
        <v>10854</v>
      </c>
      <c r="C556" t="s">
        <v>11160</v>
      </c>
      <c r="D556">
        <v>2018</v>
      </c>
      <c r="E556" t="s">
        <v>1443</v>
      </c>
      <c r="F556" t="s">
        <v>11177</v>
      </c>
    </row>
    <row r="557" spans="1:7" x14ac:dyDescent="0.25">
      <c r="A557" t="s">
        <v>11178</v>
      </c>
      <c r="B557" t="s">
        <v>10854</v>
      </c>
      <c r="C557" t="s">
        <v>11160</v>
      </c>
      <c r="D557">
        <v>2018</v>
      </c>
      <c r="E557" t="s">
        <v>1443</v>
      </c>
      <c r="F557" t="s">
        <v>11179</v>
      </c>
    </row>
    <row r="558" spans="1:7" x14ac:dyDescent="0.25">
      <c r="A558" t="s">
        <v>531</v>
      </c>
      <c r="B558" t="s">
        <v>10854</v>
      </c>
      <c r="C558" t="s">
        <v>11160</v>
      </c>
      <c r="D558">
        <v>2018</v>
      </c>
      <c r="E558" t="s">
        <v>1443</v>
      </c>
      <c r="F558" t="s">
        <v>11180</v>
      </c>
    </row>
    <row r="559" spans="1:7" x14ac:dyDescent="0.25">
      <c r="A559" t="s">
        <v>11181</v>
      </c>
      <c r="B559" t="s">
        <v>10854</v>
      </c>
      <c r="C559" t="s">
        <v>11160</v>
      </c>
      <c r="D559">
        <v>2018</v>
      </c>
      <c r="E559" t="s">
        <v>1443</v>
      </c>
      <c r="F559" t="s">
        <v>11182</v>
      </c>
    </row>
    <row r="560" spans="1:7" x14ac:dyDescent="0.25">
      <c r="A560" t="s">
        <v>11183</v>
      </c>
      <c r="B560" t="s">
        <v>10854</v>
      </c>
      <c r="C560" t="s">
        <v>11160</v>
      </c>
      <c r="D560">
        <v>2018</v>
      </c>
      <c r="E560" t="s">
        <v>1443</v>
      </c>
      <c r="F560" t="s">
        <v>11184</v>
      </c>
    </row>
    <row r="561" spans="1:6" x14ac:dyDescent="0.25">
      <c r="A561" t="s">
        <v>11185</v>
      </c>
      <c r="B561" t="s">
        <v>10854</v>
      </c>
      <c r="C561" t="s">
        <v>11160</v>
      </c>
      <c r="D561">
        <v>2018</v>
      </c>
      <c r="E561" t="s">
        <v>1443</v>
      </c>
      <c r="F561" t="s">
        <v>11186</v>
      </c>
    </row>
    <row r="562" spans="1:6" x14ac:dyDescent="0.25">
      <c r="A562" t="s">
        <v>11187</v>
      </c>
      <c r="B562" t="s">
        <v>10854</v>
      </c>
      <c r="C562" t="s">
        <v>11160</v>
      </c>
      <c r="D562">
        <v>2018</v>
      </c>
      <c r="E562" t="s">
        <v>1443</v>
      </c>
      <c r="F562" t="s">
        <v>11188</v>
      </c>
    </row>
    <row r="563" spans="1:6" x14ac:dyDescent="0.25">
      <c r="A563" t="s">
        <v>11189</v>
      </c>
      <c r="B563" t="s">
        <v>10854</v>
      </c>
      <c r="C563" t="s">
        <v>11160</v>
      </c>
      <c r="D563">
        <v>2018</v>
      </c>
      <c r="E563" t="s">
        <v>1443</v>
      </c>
      <c r="F563" t="s">
        <v>11190</v>
      </c>
    </row>
    <row r="564" spans="1:6" x14ac:dyDescent="0.25">
      <c r="A564" t="s">
        <v>11191</v>
      </c>
      <c r="B564" t="s">
        <v>10854</v>
      </c>
      <c r="C564" t="s">
        <v>11160</v>
      </c>
      <c r="D564">
        <v>2018</v>
      </c>
      <c r="E564" t="s">
        <v>1443</v>
      </c>
      <c r="F564" t="s">
        <v>11192</v>
      </c>
    </row>
    <row r="565" spans="1:6" x14ac:dyDescent="0.25">
      <c r="A565" t="s">
        <v>11193</v>
      </c>
      <c r="B565" t="s">
        <v>10854</v>
      </c>
      <c r="C565" t="s">
        <v>11160</v>
      </c>
      <c r="D565">
        <v>2018</v>
      </c>
      <c r="E565" t="s">
        <v>1443</v>
      </c>
      <c r="F565" t="s">
        <v>11194</v>
      </c>
    </row>
    <row r="566" spans="1:6" x14ac:dyDescent="0.25">
      <c r="A566" t="s">
        <v>11195</v>
      </c>
      <c r="B566" t="s">
        <v>10854</v>
      </c>
      <c r="C566" t="s">
        <v>11160</v>
      </c>
      <c r="D566">
        <v>2018</v>
      </c>
      <c r="E566" t="s">
        <v>1443</v>
      </c>
      <c r="F566" t="s">
        <v>11196</v>
      </c>
    </row>
    <row r="567" spans="1:6" x14ac:dyDescent="0.25">
      <c r="A567" t="s">
        <v>11197</v>
      </c>
      <c r="B567" t="s">
        <v>10854</v>
      </c>
      <c r="C567" t="s">
        <v>11160</v>
      </c>
      <c r="D567">
        <v>2018</v>
      </c>
      <c r="E567" t="s">
        <v>1443</v>
      </c>
      <c r="F567" t="s">
        <v>11198</v>
      </c>
    </row>
    <row r="568" spans="1:6" x14ac:dyDescent="0.25">
      <c r="A568" t="s">
        <v>11199</v>
      </c>
      <c r="B568" t="s">
        <v>10854</v>
      </c>
      <c r="C568" t="s">
        <v>11160</v>
      </c>
      <c r="D568">
        <v>2018</v>
      </c>
      <c r="E568" t="s">
        <v>1443</v>
      </c>
      <c r="F568" t="s">
        <v>11200</v>
      </c>
    </row>
    <row r="569" spans="1:6" x14ac:dyDescent="0.25">
      <c r="A569" t="s">
        <v>11201</v>
      </c>
      <c r="B569" t="s">
        <v>10854</v>
      </c>
      <c r="C569" t="s">
        <v>11160</v>
      </c>
      <c r="D569">
        <v>2018</v>
      </c>
      <c r="E569" t="s">
        <v>1443</v>
      </c>
      <c r="F569" t="s">
        <v>11202</v>
      </c>
    </row>
    <row r="570" spans="1:6" x14ac:dyDescent="0.25">
      <c r="A570" t="s">
        <v>11203</v>
      </c>
      <c r="B570" t="s">
        <v>10854</v>
      </c>
      <c r="C570" t="s">
        <v>11160</v>
      </c>
      <c r="D570">
        <v>2018</v>
      </c>
      <c r="E570" t="s">
        <v>1443</v>
      </c>
      <c r="F570" t="s">
        <v>11204</v>
      </c>
    </row>
    <row r="571" spans="1:6" x14ac:dyDescent="0.25">
      <c r="A571" t="s">
        <v>1443</v>
      </c>
      <c r="B571" t="s">
        <v>10854</v>
      </c>
      <c r="C571" t="s">
        <v>11160</v>
      </c>
      <c r="D571">
        <v>2018</v>
      </c>
      <c r="E571" t="s">
        <v>1443</v>
      </c>
      <c r="F571" t="s">
        <v>11205</v>
      </c>
    </row>
    <row r="572" spans="1:6" x14ac:dyDescent="0.25">
      <c r="A572" t="s">
        <v>11206</v>
      </c>
      <c r="B572" t="s">
        <v>10854</v>
      </c>
      <c r="C572" t="s">
        <v>11160</v>
      </c>
      <c r="D572">
        <v>2018</v>
      </c>
      <c r="E572" t="s">
        <v>1443</v>
      </c>
      <c r="F572" t="s">
        <v>11207</v>
      </c>
    </row>
    <row r="573" spans="1:6" x14ac:dyDescent="0.25">
      <c r="A573" t="s">
        <v>11208</v>
      </c>
      <c r="B573" t="s">
        <v>10854</v>
      </c>
      <c r="C573" t="s">
        <v>11160</v>
      </c>
      <c r="D573">
        <v>2018</v>
      </c>
      <c r="E573" t="s">
        <v>1443</v>
      </c>
      <c r="F573" t="s">
        <v>11209</v>
      </c>
    </row>
    <row r="574" spans="1:6" x14ac:dyDescent="0.25">
      <c r="A574" t="s">
        <v>11210</v>
      </c>
      <c r="B574" t="s">
        <v>11211</v>
      </c>
      <c r="C574" t="s">
        <v>11212</v>
      </c>
      <c r="D574">
        <v>2023</v>
      </c>
      <c r="E574" t="s">
        <v>1549</v>
      </c>
      <c r="F574" t="s">
        <v>11213</v>
      </c>
    </row>
    <row r="575" spans="1:6" x14ac:dyDescent="0.25">
      <c r="A575" t="s">
        <v>11214</v>
      </c>
      <c r="B575" t="s">
        <v>11211</v>
      </c>
      <c r="C575" t="s">
        <v>11212</v>
      </c>
      <c r="D575">
        <v>2023</v>
      </c>
      <c r="E575" t="s">
        <v>1549</v>
      </c>
      <c r="F575" t="s">
        <v>11215</v>
      </c>
    </row>
    <row r="576" spans="1:6" x14ac:dyDescent="0.25">
      <c r="A576" t="s">
        <v>11216</v>
      </c>
      <c r="B576" t="s">
        <v>11211</v>
      </c>
      <c r="C576" t="s">
        <v>11212</v>
      </c>
      <c r="D576">
        <v>2023</v>
      </c>
      <c r="E576" t="s">
        <v>1549</v>
      </c>
      <c r="F576" t="s">
        <v>11217</v>
      </c>
    </row>
    <row r="577" spans="1:7" x14ac:dyDescent="0.25">
      <c r="A577" t="s">
        <v>11218</v>
      </c>
      <c r="B577" t="s">
        <v>11211</v>
      </c>
      <c r="C577" t="s">
        <v>11212</v>
      </c>
      <c r="D577">
        <v>2023</v>
      </c>
      <c r="E577" t="s">
        <v>1549</v>
      </c>
      <c r="F577" t="s">
        <v>11219</v>
      </c>
    </row>
    <row r="578" spans="1:7" x14ac:dyDescent="0.25">
      <c r="A578" t="s">
        <v>11220</v>
      </c>
      <c r="B578" t="s">
        <v>11211</v>
      </c>
      <c r="C578" t="s">
        <v>11212</v>
      </c>
      <c r="D578">
        <v>2023</v>
      </c>
      <c r="E578" t="s">
        <v>1549</v>
      </c>
      <c r="F578" t="s">
        <v>11221</v>
      </c>
    </row>
    <row r="579" spans="1:7" x14ac:dyDescent="0.25">
      <c r="A579" t="s">
        <v>11222</v>
      </c>
      <c r="B579" t="s">
        <v>11211</v>
      </c>
      <c r="C579" t="s">
        <v>11212</v>
      </c>
      <c r="D579">
        <v>2023</v>
      </c>
      <c r="E579" t="s">
        <v>1549</v>
      </c>
      <c r="F579" t="s">
        <v>11223</v>
      </c>
      <c r="G579" t="s">
        <v>10044</v>
      </c>
    </row>
    <row r="580" spans="1:7" x14ac:dyDescent="0.25">
      <c r="A580" t="s">
        <v>11224</v>
      </c>
      <c r="B580" t="s">
        <v>11211</v>
      </c>
      <c r="C580" t="s">
        <v>11212</v>
      </c>
      <c r="D580">
        <v>2023</v>
      </c>
      <c r="E580" t="s">
        <v>1549</v>
      </c>
      <c r="F580" t="s">
        <v>11225</v>
      </c>
    </row>
    <row r="581" spans="1:7" x14ac:dyDescent="0.25">
      <c r="A581" t="s">
        <v>11226</v>
      </c>
      <c r="B581" t="s">
        <v>11211</v>
      </c>
      <c r="C581" t="s">
        <v>11212</v>
      </c>
      <c r="D581">
        <v>2023</v>
      </c>
      <c r="E581" t="s">
        <v>1549</v>
      </c>
      <c r="F581" t="s">
        <v>11227</v>
      </c>
    </row>
    <row r="582" spans="1:7" x14ac:dyDescent="0.25">
      <c r="A582" t="s">
        <v>11228</v>
      </c>
      <c r="B582" t="s">
        <v>11211</v>
      </c>
      <c r="C582" t="s">
        <v>11212</v>
      </c>
      <c r="D582">
        <v>2023</v>
      </c>
      <c r="E582" t="s">
        <v>1549</v>
      </c>
      <c r="F582" t="s">
        <v>11229</v>
      </c>
    </row>
    <row r="583" spans="1:7" x14ac:dyDescent="0.25">
      <c r="A583" t="s">
        <v>11230</v>
      </c>
      <c r="B583" t="s">
        <v>11211</v>
      </c>
      <c r="C583" t="s">
        <v>11212</v>
      </c>
      <c r="D583">
        <v>2023</v>
      </c>
      <c r="E583" t="s">
        <v>1549</v>
      </c>
      <c r="F583" t="s">
        <v>11231</v>
      </c>
    </row>
    <row r="584" spans="1:7" x14ac:dyDescent="0.25">
      <c r="A584" t="s">
        <v>11232</v>
      </c>
      <c r="B584" t="s">
        <v>11211</v>
      </c>
      <c r="C584" t="s">
        <v>11212</v>
      </c>
      <c r="D584">
        <v>2023</v>
      </c>
      <c r="E584" t="s">
        <v>1549</v>
      </c>
      <c r="F584" t="s">
        <v>11233</v>
      </c>
    </row>
    <row r="585" spans="1:7" x14ac:dyDescent="0.25">
      <c r="A585" t="s">
        <v>11234</v>
      </c>
      <c r="B585" t="s">
        <v>11211</v>
      </c>
      <c r="C585" t="s">
        <v>11212</v>
      </c>
      <c r="D585">
        <v>2023</v>
      </c>
      <c r="E585" t="s">
        <v>1549</v>
      </c>
      <c r="F585" t="s">
        <v>11235</v>
      </c>
    </row>
    <row r="586" spans="1:7" x14ac:dyDescent="0.25">
      <c r="A586" t="s">
        <v>11236</v>
      </c>
      <c r="B586" t="s">
        <v>11211</v>
      </c>
      <c r="C586" t="s">
        <v>11212</v>
      </c>
      <c r="D586">
        <v>2023</v>
      </c>
      <c r="E586" t="s">
        <v>1549</v>
      </c>
      <c r="F586" t="s">
        <v>11237</v>
      </c>
    </row>
    <row r="587" spans="1:7" x14ac:dyDescent="0.25">
      <c r="A587" t="s">
        <v>11238</v>
      </c>
      <c r="B587" t="s">
        <v>11211</v>
      </c>
      <c r="C587" t="s">
        <v>11212</v>
      </c>
      <c r="D587">
        <v>2023</v>
      </c>
      <c r="E587" t="s">
        <v>1549</v>
      </c>
      <c r="F587" t="s">
        <v>11239</v>
      </c>
    </row>
    <row r="588" spans="1:7" x14ac:dyDescent="0.25">
      <c r="A588" t="s">
        <v>11240</v>
      </c>
      <c r="B588" t="s">
        <v>11211</v>
      </c>
      <c r="C588" t="s">
        <v>11212</v>
      </c>
      <c r="D588">
        <v>2023</v>
      </c>
      <c r="E588" t="s">
        <v>1549</v>
      </c>
      <c r="F588" t="s">
        <v>11241</v>
      </c>
    </row>
    <row r="589" spans="1:7" x14ac:dyDescent="0.25">
      <c r="A589" t="s">
        <v>11242</v>
      </c>
      <c r="B589" t="s">
        <v>11211</v>
      </c>
      <c r="C589" t="s">
        <v>11212</v>
      </c>
      <c r="D589">
        <v>2023</v>
      </c>
      <c r="E589" t="s">
        <v>1549</v>
      </c>
      <c r="F589" t="s">
        <v>11243</v>
      </c>
    </row>
    <row r="590" spans="1:7" x14ac:dyDescent="0.25">
      <c r="A590" t="s">
        <v>11244</v>
      </c>
      <c r="B590" t="s">
        <v>11211</v>
      </c>
      <c r="C590" t="s">
        <v>11212</v>
      </c>
      <c r="D590">
        <v>2023</v>
      </c>
      <c r="E590" t="s">
        <v>1549</v>
      </c>
      <c r="F590" t="s">
        <v>11245</v>
      </c>
    </row>
    <row r="591" spans="1:7" x14ac:dyDescent="0.25">
      <c r="A591" t="s">
        <v>11246</v>
      </c>
      <c r="B591" t="s">
        <v>11211</v>
      </c>
      <c r="C591" t="s">
        <v>11212</v>
      </c>
      <c r="D591">
        <v>2023</v>
      </c>
      <c r="E591" t="s">
        <v>1549</v>
      </c>
      <c r="F591" t="s">
        <v>11247</v>
      </c>
    </row>
    <row r="592" spans="1:7" x14ac:dyDescent="0.25">
      <c r="A592" t="s">
        <v>11248</v>
      </c>
      <c r="B592" t="s">
        <v>11211</v>
      </c>
      <c r="C592" t="s">
        <v>11212</v>
      </c>
      <c r="D592">
        <v>2023</v>
      </c>
      <c r="E592" t="s">
        <v>1549</v>
      </c>
      <c r="F592" t="s">
        <v>11249</v>
      </c>
    </row>
    <row r="593" spans="1:7" x14ac:dyDescent="0.25">
      <c r="A593" t="s">
        <v>11250</v>
      </c>
      <c r="B593" t="s">
        <v>11211</v>
      </c>
      <c r="C593" t="s">
        <v>11212</v>
      </c>
      <c r="D593">
        <v>2023</v>
      </c>
      <c r="E593" t="s">
        <v>1549</v>
      </c>
      <c r="F593" t="s">
        <v>11251</v>
      </c>
    </row>
    <row r="594" spans="1:7" x14ac:dyDescent="0.25">
      <c r="A594" t="s">
        <v>11252</v>
      </c>
      <c r="B594" t="s">
        <v>11211</v>
      </c>
      <c r="C594" t="s">
        <v>11212</v>
      </c>
      <c r="D594">
        <v>2023</v>
      </c>
      <c r="E594" t="s">
        <v>1549</v>
      </c>
      <c r="F594" t="s">
        <v>11253</v>
      </c>
    </row>
    <row r="595" spans="1:7" x14ac:dyDescent="0.25">
      <c r="A595" t="s">
        <v>11254</v>
      </c>
      <c r="B595" t="s">
        <v>11211</v>
      </c>
      <c r="C595" t="s">
        <v>11212</v>
      </c>
      <c r="D595">
        <v>2023</v>
      </c>
      <c r="E595" t="s">
        <v>1549</v>
      </c>
      <c r="F595" t="s">
        <v>11255</v>
      </c>
    </row>
    <row r="596" spans="1:7" x14ac:dyDescent="0.25">
      <c r="A596" t="s">
        <v>11256</v>
      </c>
      <c r="B596" t="s">
        <v>11211</v>
      </c>
      <c r="C596" t="s">
        <v>11212</v>
      </c>
      <c r="D596">
        <v>2023</v>
      </c>
      <c r="E596" t="s">
        <v>1549</v>
      </c>
      <c r="F596" t="s">
        <v>11257</v>
      </c>
    </row>
    <row r="597" spans="1:7" x14ac:dyDescent="0.25">
      <c r="A597" t="s">
        <v>11258</v>
      </c>
      <c r="B597" t="s">
        <v>11211</v>
      </c>
      <c r="C597" t="s">
        <v>11212</v>
      </c>
      <c r="D597">
        <v>2023</v>
      </c>
      <c r="E597" t="s">
        <v>1549</v>
      </c>
      <c r="F597" t="s">
        <v>11259</v>
      </c>
    </row>
    <row r="598" spans="1:7" x14ac:dyDescent="0.25">
      <c r="A598" t="s">
        <v>11260</v>
      </c>
      <c r="B598" t="s">
        <v>11211</v>
      </c>
      <c r="C598" t="s">
        <v>11212</v>
      </c>
      <c r="D598">
        <v>2023</v>
      </c>
      <c r="E598" t="s">
        <v>1549</v>
      </c>
      <c r="F598" t="s">
        <v>11261</v>
      </c>
    </row>
    <row r="599" spans="1:7" x14ac:dyDescent="0.25">
      <c r="A599" t="s">
        <v>11262</v>
      </c>
      <c r="B599" t="s">
        <v>11211</v>
      </c>
      <c r="C599" t="s">
        <v>11212</v>
      </c>
      <c r="D599">
        <v>2023</v>
      </c>
      <c r="E599" t="s">
        <v>1549</v>
      </c>
      <c r="F599" t="s">
        <v>11263</v>
      </c>
    </row>
    <row r="600" spans="1:7" x14ac:dyDescent="0.25">
      <c r="A600" t="s">
        <v>11264</v>
      </c>
      <c r="B600" t="s">
        <v>11211</v>
      </c>
      <c r="C600" t="s">
        <v>11212</v>
      </c>
      <c r="D600">
        <v>2023</v>
      </c>
      <c r="E600" t="s">
        <v>1549</v>
      </c>
      <c r="F600" t="s">
        <v>11265</v>
      </c>
    </row>
    <row r="601" spans="1:7" x14ac:dyDescent="0.25">
      <c r="A601" t="s">
        <v>11266</v>
      </c>
      <c r="B601" t="s">
        <v>11211</v>
      </c>
      <c r="C601" t="s">
        <v>11212</v>
      </c>
      <c r="D601">
        <v>2023</v>
      </c>
      <c r="E601" t="s">
        <v>1549</v>
      </c>
      <c r="F601" t="s">
        <v>11267</v>
      </c>
    </row>
    <row r="602" spans="1:7" x14ac:dyDescent="0.25">
      <c r="A602" t="s">
        <v>11268</v>
      </c>
      <c r="B602" t="s">
        <v>11211</v>
      </c>
      <c r="C602" t="s">
        <v>11212</v>
      </c>
      <c r="D602">
        <v>2023</v>
      </c>
      <c r="E602" t="s">
        <v>1549</v>
      </c>
      <c r="F602" t="s">
        <v>11269</v>
      </c>
    </row>
    <row r="603" spans="1:7" x14ac:dyDescent="0.25">
      <c r="A603" t="s">
        <v>11270</v>
      </c>
      <c r="B603" t="s">
        <v>11211</v>
      </c>
      <c r="C603" t="s">
        <v>11212</v>
      </c>
      <c r="D603">
        <v>2023</v>
      </c>
      <c r="E603" t="s">
        <v>1549</v>
      </c>
      <c r="F603" t="s">
        <v>11271</v>
      </c>
    </row>
    <row r="604" spans="1:7" x14ac:dyDescent="0.25">
      <c r="A604" t="s">
        <v>11272</v>
      </c>
      <c r="B604" t="s">
        <v>11273</v>
      </c>
      <c r="C604" t="s">
        <v>11274</v>
      </c>
      <c r="D604">
        <v>2021</v>
      </c>
      <c r="E604" t="s">
        <v>1576</v>
      </c>
      <c r="F604" t="s">
        <v>11275</v>
      </c>
      <c r="G604" t="s">
        <v>10044</v>
      </c>
    </row>
    <row r="605" spans="1:7" x14ac:dyDescent="0.25">
      <c r="A605" t="s">
        <v>11276</v>
      </c>
      <c r="B605" t="s">
        <v>11273</v>
      </c>
      <c r="C605" t="s">
        <v>11274</v>
      </c>
      <c r="D605">
        <v>2021</v>
      </c>
      <c r="E605" t="s">
        <v>1576</v>
      </c>
      <c r="F605" t="s">
        <v>11277</v>
      </c>
    </row>
    <row r="606" spans="1:7" x14ac:dyDescent="0.25">
      <c r="A606" t="s">
        <v>11278</v>
      </c>
      <c r="B606" t="s">
        <v>11273</v>
      </c>
      <c r="C606" t="s">
        <v>11274</v>
      </c>
      <c r="D606">
        <v>2021</v>
      </c>
      <c r="E606" t="s">
        <v>1576</v>
      </c>
      <c r="F606" t="s">
        <v>11279</v>
      </c>
    </row>
    <row r="607" spans="1:7" x14ac:dyDescent="0.25">
      <c r="A607" t="s">
        <v>11280</v>
      </c>
      <c r="B607" t="s">
        <v>11273</v>
      </c>
      <c r="C607" t="s">
        <v>11274</v>
      </c>
      <c r="D607">
        <v>2021</v>
      </c>
      <c r="E607" t="s">
        <v>1576</v>
      </c>
      <c r="F607" t="s">
        <v>11281</v>
      </c>
    </row>
    <row r="608" spans="1:7" x14ac:dyDescent="0.25">
      <c r="A608" t="s">
        <v>11282</v>
      </c>
      <c r="B608" t="s">
        <v>11273</v>
      </c>
      <c r="C608" t="s">
        <v>11274</v>
      </c>
      <c r="D608">
        <v>2021</v>
      </c>
      <c r="E608" t="s">
        <v>1576</v>
      </c>
      <c r="F608" t="s">
        <v>11283</v>
      </c>
    </row>
    <row r="609" spans="1:6" x14ac:dyDescent="0.25">
      <c r="A609" t="s">
        <v>11284</v>
      </c>
      <c r="B609" t="s">
        <v>11273</v>
      </c>
      <c r="C609" t="s">
        <v>11274</v>
      </c>
      <c r="D609">
        <v>2021</v>
      </c>
      <c r="E609" t="s">
        <v>1576</v>
      </c>
      <c r="F609" t="s">
        <v>11285</v>
      </c>
    </row>
    <row r="610" spans="1:6" x14ac:dyDescent="0.25">
      <c r="A610" t="s">
        <v>11286</v>
      </c>
      <c r="B610" t="s">
        <v>11273</v>
      </c>
      <c r="C610" t="s">
        <v>11274</v>
      </c>
      <c r="D610">
        <v>2021</v>
      </c>
      <c r="E610" t="s">
        <v>1576</v>
      </c>
      <c r="F610" t="s">
        <v>11287</v>
      </c>
    </row>
    <row r="611" spans="1:6" x14ac:dyDescent="0.25">
      <c r="A611" t="s">
        <v>11288</v>
      </c>
      <c r="B611" t="s">
        <v>11273</v>
      </c>
      <c r="C611" t="s">
        <v>11274</v>
      </c>
      <c r="D611">
        <v>2021</v>
      </c>
      <c r="E611" t="s">
        <v>1576</v>
      </c>
      <c r="F611" t="s">
        <v>11289</v>
      </c>
    </row>
    <row r="612" spans="1:6" x14ac:dyDescent="0.25">
      <c r="A612" t="s">
        <v>11290</v>
      </c>
      <c r="B612" t="s">
        <v>11273</v>
      </c>
      <c r="C612" t="s">
        <v>11274</v>
      </c>
      <c r="D612">
        <v>2021</v>
      </c>
      <c r="E612" t="s">
        <v>1576</v>
      </c>
      <c r="F612" t="s">
        <v>11291</v>
      </c>
    </row>
    <row r="613" spans="1:6" x14ac:dyDescent="0.25">
      <c r="A613" t="s">
        <v>11292</v>
      </c>
      <c r="B613" t="s">
        <v>11273</v>
      </c>
      <c r="C613" t="s">
        <v>11274</v>
      </c>
      <c r="D613">
        <v>2021</v>
      </c>
      <c r="E613" t="s">
        <v>1576</v>
      </c>
      <c r="F613" t="s">
        <v>11293</v>
      </c>
    </row>
    <row r="614" spans="1:6" x14ac:dyDescent="0.25">
      <c r="A614" t="s">
        <v>11294</v>
      </c>
      <c r="B614" t="s">
        <v>11273</v>
      </c>
      <c r="C614" t="s">
        <v>11274</v>
      </c>
      <c r="D614">
        <v>2021</v>
      </c>
      <c r="E614" t="s">
        <v>1576</v>
      </c>
      <c r="F614" t="s">
        <v>11295</v>
      </c>
    </row>
    <row r="615" spans="1:6" x14ac:dyDescent="0.25">
      <c r="A615" t="s">
        <v>11296</v>
      </c>
      <c r="B615" t="s">
        <v>11273</v>
      </c>
      <c r="C615" t="s">
        <v>11274</v>
      </c>
      <c r="D615">
        <v>2021</v>
      </c>
      <c r="E615" t="s">
        <v>1576</v>
      </c>
      <c r="F615" t="s">
        <v>11297</v>
      </c>
    </row>
    <row r="616" spans="1:6" x14ac:dyDescent="0.25">
      <c r="A616" t="s">
        <v>11298</v>
      </c>
      <c r="B616" t="s">
        <v>11273</v>
      </c>
      <c r="C616" t="s">
        <v>11274</v>
      </c>
      <c r="D616">
        <v>2021</v>
      </c>
      <c r="E616" t="s">
        <v>1576</v>
      </c>
      <c r="F616" t="s">
        <v>11299</v>
      </c>
    </row>
    <row r="617" spans="1:6" x14ac:dyDescent="0.25">
      <c r="A617" t="s">
        <v>11300</v>
      </c>
      <c r="B617" t="s">
        <v>11273</v>
      </c>
      <c r="C617" t="s">
        <v>11274</v>
      </c>
      <c r="D617">
        <v>2021</v>
      </c>
      <c r="E617" t="s">
        <v>1576</v>
      </c>
      <c r="F617" t="s">
        <v>11301</v>
      </c>
    </row>
    <row r="618" spans="1:6" x14ac:dyDescent="0.25">
      <c r="A618" t="s">
        <v>11302</v>
      </c>
      <c r="B618" t="s">
        <v>11273</v>
      </c>
      <c r="C618" t="s">
        <v>11274</v>
      </c>
      <c r="D618">
        <v>2021</v>
      </c>
      <c r="E618" t="s">
        <v>1576</v>
      </c>
      <c r="F618" t="s">
        <v>11303</v>
      </c>
    </row>
    <row r="619" spans="1:6" x14ac:dyDescent="0.25">
      <c r="A619" t="s">
        <v>11304</v>
      </c>
      <c r="B619" t="s">
        <v>11273</v>
      </c>
      <c r="C619" t="s">
        <v>11274</v>
      </c>
      <c r="D619">
        <v>2021</v>
      </c>
      <c r="E619" t="s">
        <v>1576</v>
      </c>
      <c r="F619" t="s">
        <v>11305</v>
      </c>
    </row>
    <row r="620" spans="1:6" x14ac:dyDescent="0.25">
      <c r="A620" t="s">
        <v>11306</v>
      </c>
      <c r="B620" t="s">
        <v>11273</v>
      </c>
      <c r="C620" t="s">
        <v>11274</v>
      </c>
      <c r="D620">
        <v>2021</v>
      </c>
      <c r="E620" t="s">
        <v>1576</v>
      </c>
      <c r="F620" t="s">
        <v>11307</v>
      </c>
    </row>
    <row r="621" spans="1:6" x14ac:dyDescent="0.25">
      <c r="A621" t="s">
        <v>11308</v>
      </c>
      <c r="B621" t="s">
        <v>11273</v>
      </c>
      <c r="C621" t="s">
        <v>11274</v>
      </c>
      <c r="D621">
        <v>2021</v>
      </c>
      <c r="E621" t="s">
        <v>1576</v>
      </c>
      <c r="F621" t="s">
        <v>11309</v>
      </c>
    </row>
    <row r="622" spans="1:6" x14ac:dyDescent="0.25">
      <c r="A622" t="s">
        <v>11310</v>
      </c>
      <c r="B622" t="s">
        <v>11273</v>
      </c>
      <c r="C622" t="s">
        <v>11274</v>
      </c>
      <c r="D622">
        <v>2021</v>
      </c>
      <c r="E622" t="s">
        <v>1576</v>
      </c>
      <c r="F622" t="s">
        <v>11311</v>
      </c>
    </row>
    <row r="623" spans="1:6" x14ac:dyDescent="0.25">
      <c r="A623" t="s">
        <v>11312</v>
      </c>
      <c r="B623" t="s">
        <v>11273</v>
      </c>
      <c r="C623" t="s">
        <v>11274</v>
      </c>
      <c r="D623">
        <v>2021</v>
      </c>
      <c r="E623" t="s">
        <v>1576</v>
      </c>
      <c r="F623" t="s">
        <v>11313</v>
      </c>
    </row>
    <row r="624" spans="1:6" x14ac:dyDescent="0.25">
      <c r="A624" t="s">
        <v>11314</v>
      </c>
      <c r="B624" t="s">
        <v>11273</v>
      </c>
      <c r="C624" t="s">
        <v>11274</v>
      </c>
      <c r="D624">
        <v>2021</v>
      </c>
      <c r="E624" t="s">
        <v>1576</v>
      </c>
      <c r="F624" t="s">
        <v>11315</v>
      </c>
    </row>
    <row r="625" spans="1:7" x14ac:dyDescent="0.25">
      <c r="A625" t="s">
        <v>11316</v>
      </c>
      <c r="B625" t="s">
        <v>11273</v>
      </c>
      <c r="C625" t="s">
        <v>11274</v>
      </c>
      <c r="D625">
        <v>2021</v>
      </c>
      <c r="E625" t="s">
        <v>1576</v>
      </c>
      <c r="F625" t="s">
        <v>11317</v>
      </c>
    </row>
    <row r="626" spans="1:7" x14ac:dyDescent="0.25">
      <c r="A626" t="s">
        <v>11318</v>
      </c>
      <c r="B626" t="s">
        <v>11319</v>
      </c>
      <c r="C626" t="s">
        <v>11320</v>
      </c>
      <c r="D626">
        <v>2025</v>
      </c>
      <c r="E626" t="s">
        <v>1621</v>
      </c>
      <c r="F626" t="s">
        <v>11321</v>
      </c>
      <c r="G626" t="s">
        <v>10044</v>
      </c>
    </row>
    <row r="627" spans="1:7" x14ac:dyDescent="0.25">
      <c r="A627" t="s">
        <v>11322</v>
      </c>
      <c r="B627" t="s">
        <v>11319</v>
      </c>
      <c r="C627" t="s">
        <v>11320</v>
      </c>
      <c r="D627">
        <v>2025</v>
      </c>
      <c r="E627" t="s">
        <v>1621</v>
      </c>
      <c r="F627" t="s">
        <v>11323</v>
      </c>
    </row>
    <row r="628" spans="1:7" x14ac:dyDescent="0.25">
      <c r="A628" t="s">
        <v>11324</v>
      </c>
      <c r="B628" t="s">
        <v>11319</v>
      </c>
      <c r="C628" t="s">
        <v>11320</v>
      </c>
      <c r="D628">
        <v>2025</v>
      </c>
      <c r="E628" t="s">
        <v>1621</v>
      </c>
      <c r="F628" t="s">
        <v>11325</v>
      </c>
    </row>
    <row r="629" spans="1:7" x14ac:dyDescent="0.25">
      <c r="A629" t="s">
        <v>11326</v>
      </c>
      <c r="B629" t="s">
        <v>11319</v>
      </c>
      <c r="C629" t="s">
        <v>11320</v>
      </c>
      <c r="D629">
        <v>2025</v>
      </c>
      <c r="E629" t="s">
        <v>1621</v>
      </c>
      <c r="F629" t="s">
        <v>11327</v>
      </c>
    </row>
    <row r="630" spans="1:7" x14ac:dyDescent="0.25">
      <c r="A630" t="s">
        <v>11328</v>
      </c>
      <c r="B630" t="s">
        <v>11319</v>
      </c>
      <c r="C630" t="s">
        <v>11320</v>
      </c>
      <c r="D630">
        <v>2025</v>
      </c>
      <c r="E630" t="s">
        <v>1621</v>
      </c>
      <c r="F630" t="s">
        <v>11329</v>
      </c>
    </row>
    <row r="631" spans="1:7" x14ac:dyDescent="0.25">
      <c r="A631" t="s">
        <v>11330</v>
      </c>
      <c r="B631" t="s">
        <v>11319</v>
      </c>
      <c r="C631" t="s">
        <v>11320</v>
      </c>
      <c r="D631">
        <v>2025</v>
      </c>
      <c r="E631" t="s">
        <v>1621</v>
      </c>
      <c r="F631" t="s">
        <v>11331</v>
      </c>
    </row>
    <row r="632" spans="1:7" x14ac:dyDescent="0.25">
      <c r="A632" t="s">
        <v>11332</v>
      </c>
      <c r="B632" t="s">
        <v>11319</v>
      </c>
      <c r="C632" t="s">
        <v>11320</v>
      </c>
      <c r="D632">
        <v>2025</v>
      </c>
      <c r="E632" t="s">
        <v>1621</v>
      </c>
      <c r="F632" t="s">
        <v>11333</v>
      </c>
    </row>
    <row r="633" spans="1:7" x14ac:dyDescent="0.25">
      <c r="A633" t="s">
        <v>11334</v>
      </c>
      <c r="B633" t="s">
        <v>11319</v>
      </c>
      <c r="C633" t="s">
        <v>11320</v>
      </c>
      <c r="D633">
        <v>2025</v>
      </c>
      <c r="E633" t="s">
        <v>1621</v>
      </c>
      <c r="F633" t="s">
        <v>11335</v>
      </c>
    </row>
    <row r="634" spans="1:7" x14ac:dyDescent="0.25">
      <c r="A634" t="s">
        <v>11336</v>
      </c>
      <c r="B634" t="s">
        <v>11319</v>
      </c>
      <c r="C634" t="s">
        <v>11320</v>
      </c>
      <c r="D634">
        <v>2025</v>
      </c>
      <c r="E634" t="s">
        <v>1621</v>
      </c>
      <c r="F634" t="s">
        <v>11337</v>
      </c>
    </row>
    <row r="635" spans="1:7" x14ac:dyDescent="0.25">
      <c r="A635" t="s">
        <v>11338</v>
      </c>
      <c r="B635" t="s">
        <v>11319</v>
      </c>
      <c r="C635" t="s">
        <v>11320</v>
      </c>
      <c r="D635">
        <v>2025</v>
      </c>
      <c r="E635" t="s">
        <v>1621</v>
      </c>
      <c r="F635" t="s">
        <v>11339</v>
      </c>
    </row>
    <row r="636" spans="1:7" x14ac:dyDescent="0.25">
      <c r="A636" t="s">
        <v>11340</v>
      </c>
      <c r="B636" t="s">
        <v>11319</v>
      </c>
      <c r="C636" t="s">
        <v>11320</v>
      </c>
      <c r="D636">
        <v>2025</v>
      </c>
      <c r="E636" t="s">
        <v>1621</v>
      </c>
      <c r="F636" t="s">
        <v>11341</v>
      </c>
    </row>
    <row r="637" spans="1:7" x14ac:dyDescent="0.25">
      <c r="A637" t="s">
        <v>11342</v>
      </c>
      <c r="B637" t="s">
        <v>11319</v>
      </c>
      <c r="C637" t="s">
        <v>11320</v>
      </c>
      <c r="D637">
        <v>2025</v>
      </c>
      <c r="E637" t="s">
        <v>1621</v>
      </c>
      <c r="F637" t="s">
        <v>11343</v>
      </c>
    </row>
    <row r="638" spans="1:7" x14ac:dyDescent="0.25">
      <c r="A638" t="s">
        <v>11344</v>
      </c>
      <c r="B638" t="s">
        <v>11319</v>
      </c>
      <c r="C638" t="s">
        <v>11320</v>
      </c>
      <c r="D638">
        <v>2025</v>
      </c>
      <c r="E638" t="s">
        <v>1621</v>
      </c>
      <c r="F638" t="s">
        <v>11345</v>
      </c>
    </row>
    <row r="639" spans="1:7" x14ac:dyDescent="0.25">
      <c r="A639" t="s">
        <v>11346</v>
      </c>
      <c r="B639" t="s">
        <v>11319</v>
      </c>
      <c r="C639" t="s">
        <v>11320</v>
      </c>
      <c r="D639">
        <v>2025</v>
      </c>
      <c r="E639" t="s">
        <v>1621</v>
      </c>
      <c r="F639" t="s">
        <v>11347</v>
      </c>
    </row>
    <row r="640" spans="1:7" x14ac:dyDescent="0.25">
      <c r="A640" t="s">
        <v>11348</v>
      </c>
      <c r="B640" t="s">
        <v>11319</v>
      </c>
      <c r="C640" t="s">
        <v>11320</v>
      </c>
      <c r="D640">
        <v>2025</v>
      </c>
      <c r="E640" t="s">
        <v>1621</v>
      </c>
      <c r="F640" t="s">
        <v>11349</v>
      </c>
    </row>
    <row r="641" spans="1:6" x14ac:dyDescent="0.25">
      <c r="A641" t="s">
        <v>11350</v>
      </c>
      <c r="B641" t="s">
        <v>11319</v>
      </c>
      <c r="C641" t="s">
        <v>11320</v>
      </c>
      <c r="D641">
        <v>2025</v>
      </c>
      <c r="E641" t="s">
        <v>1621</v>
      </c>
      <c r="F641" t="s">
        <v>11351</v>
      </c>
    </row>
    <row r="642" spans="1:6" x14ac:dyDescent="0.25">
      <c r="A642" t="s">
        <v>11352</v>
      </c>
      <c r="B642" t="s">
        <v>11319</v>
      </c>
      <c r="C642" t="s">
        <v>11320</v>
      </c>
      <c r="D642">
        <v>2025</v>
      </c>
      <c r="E642" t="s">
        <v>1621</v>
      </c>
      <c r="F642" t="s">
        <v>11353</v>
      </c>
    </row>
    <row r="643" spans="1:6" x14ac:dyDescent="0.25">
      <c r="A643" t="s">
        <v>11354</v>
      </c>
      <c r="B643" t="s">
        <v>11319</v>
      </c>
      <c r="C643" t="s">
        <v>11320</v>
      </c>
      <c r="D643">
        <v>2025</v>
      </c>
      <c r="E643" t="s">
        <v>1621</v>
      </c>
      <c r="F643" t="s">
        <v>11355</v>
      </c>
    </row>
    <row r="644" spans="1:6" x14ac:dyDescent="0.25">
      <c r="A644" t="s">
        <v>11356</v>
      </c>
      <c r="B644" t="s">
        <v>11319</v>
      </c>
      <c r="C644" t="s">
        <v>11320</v>
      </c>
      <c r="D644">
        <v>2025</v>
      </c>
      <c r="E644" t="s">
        <v>1621</v>
      </c>
      <c r="F644" t="s">
        <v>11357</v>
      </c>
    </row>
    <row r="645" spans="1:6" x14ac:dyDescent="0.25">
      <c r="A645" t="s">
        <v>11358</v>
      </c>
      <c r="B645" t="s">
        <v>11319</v>
      </c>
      <c r="C645" t="s">
        <v>11320</v>
      </c>
      <c r="D645">
        <v>2025</v>
      </c>
      <c r="E645" t="s">
        <v>1621</v>
      </c>
      <c r="F645" t="s">
        <v>11359</v>
      </c>
    </row>
    <row r="646" spans="1:6" x14ac:dyDescent="0.25">
      <c r="A646" t="s">
        <v>11360</v>
      </c>
      <c r="B646" t="s">
        <v>11319</v>
      </c>
      <c r="C646" t="s">
        <v>11320</v>
      </c>
      <c r="D646">
        <v>2025</v>
      </c>
      <c r="E646" t="s">
        <v>1621</v>
      </c>
      <c r="F646" t="s">
        <v>11361</v>
      </c>
    </row>
    <row r="647" spans="1:6" x14ac:dyDescent="0.25">
      <c r="A647" t="s">
        <v>11362</v>
      </c>
      <c r="B647" t="s">
        <v>11319</v>
      </c>
      <c r="C647" t="s">
        <v>11320</v>
      </c>
      <c r="D647">
        <v>2025</v>
      </c>
      <c r="E647" t="s">
        <v>1621</v>
      </c>
      <c r="F647" t="s">
        <v>11363</v>
      </c>
    </row>
    <row r="648" spans="1:6" x14ac:dyDescent="0.25">
      <c r="A648" t="s">
        <v>11364</v>
      </c>
      <c r="B648" t="s">
        <v>11319</v>
      </c>
      <c r="C648" t="s">
        <v>11320</v>
      </c>
      <c r="D648">
        <v>2025</v>
      </c>
      <c r="E648" t="s">
        <v>1621</v>
      </c>
      <c r="F648" t="s">
        <v>11365</v>
      </c>
    </row>
    <row r="649" spans="1:6" x14ac:dyDescent="0.25">
      <c r="A649" t="s">
        <v>11366</v>
      </c>
      <c r="B649" t="s">
        <v>11319</v>
      </c>
      <c r="C649" t="s">
        <v>11320</v>
      </c>
      <c r="D649">
        <v>2025</v>
      </c>
      <c r="E649" t="s">
        <v>1621</v>
      </c>
      <c r="F649" t="s">
        <v>11367</v>
      </c>
    </row>
    <row r="650" spans="1:6" x14ac:dyDescent="0.25">
      <c r="A650" t="s">
        <v>11368</v>
      </c>
      <c r="B650" t="s">
        <v>11319</v>
      </c>
      <c r="C650" t="s">
        <v>11320</v>
      </c>
      <c r="D650">
        <v>2025</v>
      </c>
      <c r="E650" t="s">
        <v>1621</v>
      </c>
      <c r="F650" t="s">
        <v>11369</v>
      </c>
    </row>
    <row r="651" spans="1:6" x14ac:dyDescent="0.25">
      <c r="A651" t="s">
        <v>11370</v>
      </c>
      <c r="B651" t="s">
        <v>11319</v>
      </c>
      <c r="C651" t="s">
        <v>11320</v>
      </c>
      <c r="D651">
        <v>2025</v>
      </c>
      <c r="E651" t="s">
        <v>1621</v>
      </c>
      <c r="F651" t="s">
        <v>11371</v>
      </c>
    </row>
    <row r="652" spans="1:6" x14ac:dyDescent="0.25">
      <c r="A652" t="s">
        <v>11372</v>
      </c>
      <c r="B652" t="s">
        <v>11373</v>
      </c>
      <c r="C652" t="s">
        <v>11374</v>
      </c>
      <c r="D652">
        <v>2026</v>
      </c>
      <c r="E652" t="s">
        <v>1649</v>
      </c>
      <c r="F652" t="s">
        <v>11375</v>
      </c>
    </row>
    <row r="653" spans="1:6" x14ac:dyDescent="0.25">
      <c r="A653" t="s">
        <v>11376</v>
      </c>
      <c r="B653" t="s">
        <v>11373</v>
      </c>
      <c r="C653" t="s">
        <v>11374</v>
      </c>
      <c r="D653">
        <v>2026</v>
      </c>
      <c r="E653" t="s">
        <v>1649</v>
      </c>
      <c r="F653" t="s">
        <v>11377</v>
      </c>
    </row>
    <row r="654" spans="1:6" x14ac:dyDescent="0.25">
      <c r="A654" t="s">
        <v>11378</v>
      </c>
      <c r="B654" t="s">
        <v>11373</v>
      </c>
      <c r="C654" t="s">
        <v>11374</v>
      </c>
      <c r="D654">
        <v>2026</v>
      </c>
      <c r="E654" t="s">
        <v>1649</v>
      </c>
      <c r="F654" t="s">
        <v>11379</v>
      </c>
    </row>
    <row r="655" spans="1:6" x14ac:dyDescent="0.25">
      <c r="A655" t="s">
        <v>11380</v>
      </c>
      <c r="B655" t="s">
        <v>11373</v>
      </c>
      <c r="C655" t="s">
        <v>11374</v>
      </c>
      <c r="D655">
        <v>2026</v>
      </c>
      <c r="E655" t="s">
        <v>1649</v>
      </c>
      <c r="F655" t="s">
        <v>11381</v>
      </c>
    </row>
    <row r="656" spans="1:6" x14ac:dyDescent="0.25">
      <c r="A656" t="s">
        <v>11382</v>
      </c>
      <c r="B656" t="s">
        <v>11373</v>
      </c>
      <c r="C656" t="s">
        <v>11374</v>
      </c>
      <c r="D656">
        <v>2026</v>
      </c>
      <c r="E656" t="s">
        <v>1649</v>
      </c>
      <c r="F656" t="s">
        <v>11383</v>
      </c>
    </row>
    <row r="657" spans="1:6" x14ac:dyDescent="0.25">
      <c r="A657" t="s">
        <v>11384</v>
      </c>
      <c r="B657" t="s">
        <v>11373</v>
      </c>
      <c r="C657" t="s">
        <v>11374</v>
      </c>
      <c r="D657">
        <v>2026</v>
      </c>
      <c r="E657" t="s">
        <v>1649</v>
      </c>
      <c r="F657" t="s">
        <v>11385</v>
      </c>
    </row>
    <row r="658" spans="1:6" x14ac:dyDescent="0.25">
      <c r="A658" t="s">
        <v>11386</v>
      </c>
      <c r="B658" t="s">
        <v>11373</v>
      </c>
      <c r="C658" t="s">
        <v>11374</v>
      </c>
      <c r="D658">
        <v>2026</v>
      </c>
      <c r="E658" t="s">
        <v>1649</v>
      </c>
      <c r="F658" t="s">
        <v>11387</v>
      </c>
    </row>
    <row r="659" spans="1:6" x14ac:dyDescent="0.25">
      <c r="A659" t="s">
        <v>11388</v>
      </c>
      <c r="B659" t="s">
        <v>11373</v>
      </c>
      <c r="C659" t="s">
        <v>11374</v>
      </c>
      <c r="D659">
        <v>2026</v>
      </c>
      <c r="E659" t="s">
        <v>1649</v>
      </c>
      <c r="F659" t="s">
        <v>11389</v>
      </c>
    </row>
    <row r="660" spans="1:6" x14ac:dyDescent="0.25">
      <c r="A660" t="s">
        <v>11390</v>
      </c>
      <c r="B660" t="s">
        <v>11373</v>
      </c>
      <c r="C660" t="s">
        <v>11374</v>
      </c>
      <c r="D660">
        <v>2026</v>
      </c>
      <c r="E660" t="s">
        <v>1649</v>
      </c>
      <c r="F660" t="s">
        <v>11391</v>
      </c>
    </row>
    <row r="661" spans="1:6" x14ac:dyDescent="0.25">
      <c r="A661" t="s">
        <v>11392</v>
      </c>
      <c r="B661" t="s">
        <v>11373</v>
      </c>
      <c r="C661" t="s">
        <v>11374</v>
      </c>
      <c r="D661">
        <v>2026</v>
      </c>
      <c r="E661" t="s">
        <v>1649</v>
      </c>
      <c r="F661" t="s">
        <v>11393</v>
      </c>
    </row>
    <row r="662" spans="1:6" x14ac:dyDescent="0.25">
      <c r="A662" t="s">
        <v>11394</v>
      </c>
      <c r="B662" t="s">
        <v>11373</v>
      </c>
      <c r="C662" t="s">
        <v>11374</v>
      </c>
      <c r="D662">
        <v>2026</v>
      </c>
      <c r="E662" t="s">
        <v>1649</v>
      </c>
      <c r="F662" t="s">
        <v>11395</v>
      </c>
    </row>
    <row r="663" spans="1:6" x14ac:dyDescent="0.25">
      <c r="A663" t="s">
        <v>11396</v>
      </c>
      <c r="B663" t="s">
        <v>11373</v>
      </c>
      <c r="C663" t="s">
        <v>11374</v>
      </c>
      <c r="D663">
        <v>2026</v>
      </c>
      <c r="E663" t="s">
        <v>1649</v>
      </c>
      <c r="F663" t="s">
        <v>11397</v>
      </c>
    </row>
    <row r="664" spans="1:6" x14ac:dyDescent="0.25">
      <c r="A664" t="s">
        <v>11398</v>
      </c>
      <c r="B664" t="s">
        <v>11373</v>
      </c>
      <c r="C664" t="s">
        <v>11374</v>
      </c>
      <c r="D664">
        <v>2026</v>
      </c>
      <c r="E664" t="s">
        <v>1649</v>
      </c>
      <c r="F664" t="s">
        <v>11399</v>
      </c>
    </row>
    <row r="665" spans="1:6" x14ac:dyDescent="0.25">
      <c r="A665" t="s">
        <v>11400</v>
      </c>
      <c r="B665" t="s">
        <v>11373</v>
      </c>
      <c r="C665" t="s">
        <v>11374</v>
      </c>
      <c r="D665">
        <v>2026</v>
      </c>
      <c r="E665" t="s">
        <v>1649</v>
      </c>
      <c r="F665" t="s">
        <v>11401</v>
      </c>
    </row>
    <row r="666" spans="1:6" x14ac:dyDescent="0.25">
      <c r="A666" t="s">
        <v>3955</v>
      </c>
      <c r="B666" t="s">
        <v>11373</v>
      </c>
      <c r="C666" t="s">
        <v>11374</v>
      </c>
      <c r="D666">
        <v>2026</v>
      </c>
      <c r="E666" t="s">
        <v>1649</v>
      </c>
      <c r="F666" t="s">
        <v>11402</v>
      </c>
    </row>
    <row r="667" spans="1:6" x14ac:dyDescent="0.25">
      <c r="A667" t="s">
        <v>11403</v>
      </c>
      <c r="B667" t="s">
        <v>11373</v>
      </c>
      <c r="C667" t="s">
        <v>11374</v>
      </c>
      <c r="D667">
        <v>2026</v>
      </c>
      <c r="E667" t="s">
        <v>1649</v>
      </c>
      <c r="F667" t="s">
        <v>11404</v>
      </c>
    </row>
    <row r="668" spans="1:6" x14ac:dyDescent="0.25">
      <c r="A668" t="s">
        <v>11405</v>
      </c>
      <c r="B668" t="s">
        <v>11373</v>
      </c>
      <c r="C668" t="s">
        <v>11374</v>
      </c>
      <c r="D668">
        <v>2026</v>
      </c>
      <c r="E668" t="s">
        <v>1649</v>
      </c>
      <c r="F668" t="s">
        <v>11406</v>
      </c>
    </row>
    <row r="669" spans="1:6" x14ac:dyDescent="0.25">
      <c r="A669" t="s">
        <v>11407</v>
      </c>
      <c r="B669" t="s">
        <v>11373</v>
      </c>
      <c r="C669" t="s">
        <v>11374</v>
      </c>
      <c r="D669">
        <v>2026</v>
      </c>
      <c r="E669" t="s">
        <v>1649</v>
      </c>
      <c r="F669" t="s">
        <v>11408</v>
      </c>
    </row>
    <row r="670" spans="1:6" x14ac:dyDescent="0.25">
      <c r="A670" t="s">
        <v>11409</v>
      </c>
      <c r="B670" t="s">
        <v>11373</v>
      </c>
      <c r="C670" t="s">
        <v>11374</v>
      </c>
      <c r="D670">
        <v>2026</v>
      </c>
      <c r="E670" t="s">
        <v>1649</v>
      </c>
      <c r="F670" t="s">
        <v>11410</v>
      </c>
    </row>
    <row r="671" spans="1:6" x14ac:dyDescent="0.25">
      <c r="A671" t="s">
        <v>11411</v>
      </c>
      <c r="B671" t="s">
        <v>11373</v>
      </c>
      <c r="C671" t="s">
        <v>11374</v>
      </c>
      <c r="D671">
        <v>2026</v>
      </c>
      <c r="E671" t="s">
        <v>1649</v>
      </c>
      <c r="F671" t="s">
        <v>11412</v>
      </c>
    </row>
    <row r="672" spans="1:6" x14ac:dyDescent="0.25">
      <c r="A672" t="s">
        <v>11413</v>
      </c>
      <c r="B672" t="s">
        <v>11373</v>
      </c>
      <c r="C672" t="s">
        <v>11374</v>
      </c>
      <c r="D672">
        <v>2026</v>
      </c>
      <c r="E672" t="s">
        <v>1649</v>
      </c>
      <c r="F672" t="s">
        <v>11414</v>
      </c>
    </row>
    <row r="673" spans="1:6" x14ac:dyDescent="0.25">
      <c r="A673" t="s">
        <v>4382</v>
      </c>
      <c r="B673" t="s">
        <v>11373</v>
      </c>
      <c r="C673" t="s">
        <v>11374</v>
      </c>
      <c r="D673">
        <v>2026</v>
      </c>
      <c r="E673" t="s">
        <v>1649</v>
      </c>
      <c r="F673" t="s">
        <v>11415</v>
      </c>
    </row>
    <row r="674" spans="1:6" x14ac:dyDescent="0.25">
      <c r="A674" t="s">
        <v>11416</v>
      </c>
      <c r="B674" t="s">
        <v>11373</v>
      </c>
      <c r="C674" t="s">
        <v>11374</v>
      </c>
      <c r="D674">
        <v>2026</v>
      </c>
      <c r="E674" t="s">
        <v>1649</v>
      </c>
      <c r="F674" t="s">
        <v>11417</v>
      </c>
    </row>
    <row r="675" spans="1:6" x14ac:dyDescent="0.25">
      <c r="A675" t="s">
        <v>11418</v>
      </c>
      <c r="B675" t="s">
        <v>11373</v>
      </c>
      <c r="C675" t="s">
        <v>11374</v>
      </c>
      <c r="D675">
        <v>2026</v>
      </c>
      <c r="E675" t="s">
        <v>1649</v>
      </c>
      <c r="F675" t="s">
        <v>11419</v>
      </c>
    </row>
    <row r="676" spans="1:6" x14ac:dyDescent="0.25">
      <c r="A676" t="s">
        <v>11420</v>
      </c>
      <c r="B676" t="s">
        <v>11373</v>
      </c>
      <c r="C676" t="s">
        <v>11374</v>
      </c>
      <c r="D676">
        <v>2026</v>
      </c>
      <c r="E676" t="s">
        <v>1649</v>
      </c>
      <c r="F676" t="s">
        <v>11421</v>
      </c>
    </row>
    <row r="677" spans="1:6" x14ac:dyDescent="0.25">
      <c r="A677" t="s">
        <v>11422</v>
      </c>
      <c r="B677" t="s">
        <v>11373</v>
      </c>
      <c r="C677" t="s">
        <v>11374</v>
      </c>
      <c r="D677">
        <v>2026</v>
      </c>
      <c r="E677" t="s">
        <v>1649</v>
      </c>
      <c r="F677" t="s">
        <v>11423</v>
      </c>
    </row>
    <row r="678" spans="1:6" x14ac:dyDescent="0.25">
      <c r="A678" t="s">
        <v>11424</v>
      </c>
      <c r="B678" t="s">
        <v>11373</v>
      </c>
      <c r="C678" t="s">
        <v>11374</v>
      </c>
      <c r="D678">
        <v>2026</v>
      </c>
      <c r="E678" t="s">
        <v>1649</v>
      </c>
      <c r="F678" t="s">
        <v>11425</v>
      </c>
    </row>
    <row r="679" spans="1:6" x14ac:dyDescent="0.25">
      <c r="A679" t="s">
        <v>11426</v>
      </c>
      <c r="B679" t="s">
        <v>11373</v>
      </c>
      <c r="C679" t="s">
        <v>11374</v>
      </c>
      <c r="D679">
        <v>2026</v>
      </c>
      <c r="E679" t="s">
        <v>1649</v>
      </c>
      <c r="F679" t="s">
        <v>11427</v>
      </c>
    </row>
    <row r="680" spans="1:6" x14ac:dyDescent="0.25">
      <c r="A680" t="s">
        <v>11428</v>
      </c>
      <c r="B680" t="s">
        <v>11373</v>
      </c>
      <c r="C680" t="s">
        <v>11374</v>
      </c>
      <c r="D680">
        <v>2026</v>
      </c>
      <c r="E680" t="s">
        <v>1649</v>
      </c>
      <c r="F680" t="s">
        <v>11429</v>
      </c>
    </row>
    <row r="681" spans="1:6" x14ac:dyDescent="0.25">
      <c r="A681" t="s">
        <v>11430</v>
      </c>
      <c r="B681" t="s">
        <v>11373</v>
      </c>
      <c r="C681" t="s">
        <v>11374</v>
      </c>
      <c r="D681">
        <v>2026</v>
      </c>
      <c r="E681" t="s">
        <v>1649</v>
      </c>
      <c r="F681" t="s">
        <v>11431</v>
      </c>
    </row>
    <row r="682" spans="1:6" x14ac:dyDescent="0.25">
      <c r="A682" t="s">
        <v>11432</v>
      </c>
      <c r="B682" t="s">
        <v>11373</v>
      </c>
      <c r="C682" t="s">
        <v>11374</v>
      </c>
      <c r="D682">
        <v>2026</v>
      </c>
      <c r="E682" t="s">
        <v>1649</v>
      </c>
      <c r="F682" t="s">
        <v>11433</v>
      </c>
    </row>
    <row r="683" spans="1:6" x14ac:dyDescent="0.25">
      <c r="A683" t="s">
        <v>11434</v>
      </c>
      <c r="B683" t="s">
        <v>11373</v>
      </c>
      <c r="C683" t="s">
        <v>11374</v>
      </c>
      <c r="D683">
        <v>2026</v>
      </c>
      <c r="E683" t="s">
        <v>1649</v>
      </c>
      <c r="F683" t="s">
        <v>11435</v>
      </c>
    </row>
    <row r="684" spans="1:6" x14ac:dyDescent="0.25">
      <c r="A684" t="s">
        <v>11436</v>
      </c>
      <c r="B684" t="s">
        <v>11373</v>
      </c>
      <c r="C684" t="s">
        <v>11374</v>
      </c>
      <c r="D684">
        <v>2026</v>
      </c>
      <c r="E684" t="s">
        <v>1649</v>
      </c>
      <c r="F684" t="s">
        <v>11437</v>
      </c>
    </row>
    <row r="685" spans="1:6" x14ac:dyDescent="0.25">
      <c r="A685" t="s">
        <v>11438</v>
      </c>
      <c r="B685" t="s">
        <v>11373</v>
      </c>
      <c r="C685" t="s">
        <v>11374</v>
      </c>
      <c r="D685">
        <v>2026</v>
      </c>
      <c r="E685" t="s">
        <v>1649</v>
      </c>
      <c r="F685" t="s">
        <v>11439</v>
      </c>
    </row>
    <row r="686" spans="1:6" x14ac:dyDescent="0.25">
      <c r="A686" t="s">
        <v>11440</v>
      </c>
      <c r="B686" t="s">
        <v>11373</v>
      </c>
      <c r="C686" t="s">
        <v>11374</v>
      </c>
      <c r="D686">
        <v>2026</v>
      </c>
      <c r="E686" t="s">
        <v>1649</v>
      </c>
      <c r="F686" t="s">
        <v>11441</v>
      </c>
    </row>
    <row r="687" spans="1:6" x14ac:dyDescent="0.25">
      <c r="A687" t="s">
        <v>11442</v>
      </c>
      <c r="B687" t="s">
        <v>11373</v>
      </c>
      <c r="C687" t="s">
        <v>11374</v>
      </c>
      <c r="D687">
        <v>2026</v>
      </c>
      <c r="E687" t="s">
        <v>1649</v>
      </c>
      <c r="F687" t="s">
        <v>11443</v>
      </c>
    </row>
    <row r="688" spans="1:6" x14ac:dyDescent="0.25">
      <c r="A688" t="s">
        <v>11444</v>
      </c>
      <c r="B688" t="s">
        <v>11373</v>
      </c>
      <c r="C688" t="s">
        <v>11374</v>
      </c>
      <c r="D688">
        <v>2026</v>
      </c>
      <c r="E688" t="s">
        <v>1649</v>
      </c>
      <c r="F688" t="s">
        <v>11445</v>
      </c>
    </row>
    <row r="689" spans="1:7" x14ac:dyDescent="0.25">
      <c r="A689" t="s">
        <v>11446</v>
      </c>
      <c r="B689" t="s">
        <v>11373</v>
      </c>
      <c r="C689" t="s">
        <v>11374</v>
      </c>
      <c r="D689">
        <v>2026</v>
      </c>
      <c r="E689" t="s">
        <v>1649</v>
      </c>
      <c r="F689" t="s">
        <v>11447</v>
      </c>
    </row>
    <row r="690" spans="1:7" x14ac:dyDescent="0.25">
      <c r="A690" t="s">
        <v>11448</v>
      </c>
      <c r="B690" t="s">
        <v>11373</v>
      </c>
      <c r="C690" t="s">
        <v>11374</v>
      </c>
      <c r="D690">
        <v>2026</v>
      </c>
      <c r="E690" t="s">
        <v>1649</v>
      </c>
      <c r="F690" t="s">
        <v>11449</v>
      </c>
    </row>
    <row r="691" spans="1:7" x14ac:dyDescent="0.25">
      <c r="A691" t="s">
        <v>11450</v>
      </c>
      <c r="B691" t="s">
        <v>11373</v>
      </c>
      <c r="C691" t="s">
        <v>11374</v>
      </c>
      <c r="D691">
        <v>2026</v>
      </c>
      <c r="E691" t="s">
        <v>1649</v>
      </c>
      <c r="F691" t="s">
        <v>11451</v>
      </c>
    </row>
    <row r="692" spans="1:7" x14ac:dyDescent="0.25">
      <c r="A692" t="s">
        <v>11452</v>
      </c>
      <c r="B692" t="s">
        <v>11373</v>
      </c>
      <c r="C692" t="s">
        <v>11374</v>
      </c>
      <c r="D692">
        <v>2026</v>
      </c>
      <c r="E692" t="s">
        <v>1649</v>
      </c>
      <c r="F692" t="s">
        <v>11453</v>
      </c>
    </row>
    <row r="693" spans="1:7" x14ac:dyDescent="0.25">
      <c r="A693" t="s">
        <v>11454</v>
      </c>
      <c r="B693" t="s">
        <v>11373</v>
      </c>
      <c r="C693" t="s">
        <v>11374</v>
      </c>
      <c r="D693">
        <v>2026</v>
      </c>
      <c r="E693" t="s">
        <v>1649</v>
      </c>
      <c r="F693" t="s">
        <v>11455</v>
      </c>
    </row>
    <row r="694" spans="1:7" x14ac:dyDescent="0.25">
      <c r="A694" t="s">
        <v>11456</v>
      </c>
      <c r="B694" t="s">
        <v>11373</v>
      </c>
      <c r="C694" t="s">
        <v>11374</v>
      </c>
      <c r="D694">
        <v>2026</v>
      </c>
      <c r="E694" t="s">
        <v>1649</v>
      </c>
      <c r="F694" t="s">
        <v>11457</v>
      </c>
    </row>
    <row r="695" spans="1:7" x14ac:dyDescent="0.25">
      <c r="A695" t="s">
        <v>11458</v>
      </c>
      <c r="B695" t="s">
        <v>11373</v>
      </c>
      <c r="C695" t="s">
        <v>11374</v>
      </c>
      <c r="D695">
        <v>2026</v>
      </c>
      <c r="E695" t="s">
        <v>1649</v>
      </c>
      <c r="F695" t="s">
        <v>11459</v>
      </c>
    </row>
    <row r="696" spans="1:7" x14ac:dyDescent="0.25">
      <c r="A696" t="s">
        <v>11460</v>
      </c>
      <c r="B696" t="s">
        <v>11373</v>
      </c>
      <c r="C696" t="s">
        <v>11374</v>
      </c>
      <c r="D696">
        <v>2026</v>
      </c>
      <c r="E696" t="s">
        <v>1649</v>
      </c>
      <c r="F696" t="s">
        <v>11461</v>
      </c>
    </row>
    <row r="697" spans="1:7" x14ac:dyDescent="0.25">
      <c r="A697" t="s">
        <v>11462</v>
      </c>
      <c r="B697" t="s">
        <v>11373</v>
      </c>
      <c r="C697" t="s">
        <v>11374</v>
      </c>
      <c r="D697">
        <v>2026</v>
      </c>
      <c r="E697" t="s">
        <v>1649</v>
      </c>
      <c r="F697" t="s">
        <v>11463</v>
      </c>
    </row>
    <row r="698" spans="1:7" x14ac:dyDescent="0.25">
      <c r="A698" t="s">
        <v>11464</v>
      </c>
      <c r="B698" t="s">
        <v>11373</v>
      </c>
      <c r="C698" t="s">
        <v>11374</v>
      </c>
      <c r="D698">
        <v>2026</v>
      </c>
      <c r="E698" t="s">
        <v>1649</v>
      </c>
      <c r="F698" t="s">
        <v>11465</v>
      </c>
    </row>
    <row r="699" spans="1:7" x14ac:dyDescent="0.25">
      <c r="A699" t="s">
        <v>11466</v>
      </c>
      <c r="B699" t="s">
        <v>11373</v>
      </c>
      <c r="C699" t="s">
        <v>11374</v>
      </c>
      <c r="D699">
        <v>2026</v>
      </c>
      <c r="E699" t="s">
        <v>1649</v>
      </c>
      <c r="F699" t="s">
        <v>11467</v>
      </c>
      <c r="G699" t="s">
        <v>10044</v>
      </c>
    </row>
    <row r="700" spans="1:7" x14ac:dyDescent="0.25">
      <c r="A700" t="s">
        <v>11468</v>
      </c>
      <c r="B700" t="s">
        <v>11373</v>
      </c>
      <c r="C700" t="s">
        <v>11374</v>
      </c>
      <c r="D700">
        <v>2026</v>
      </c>
      <c r="E700" t="s">
        <v>1649</v>
      </c>
      <c r="F700" t="s">
        <v>11469</v>
      </c>
    </row>
    <row r="701" spans="1:7" x14ac:dyDescent="0.25">
      <c r="A701" t="s">
        <v>11470</v>
      </c>
      <c r="B701" t="s">
        <v>11373</v>
      </c>
      <c r="C701" t="s">
        <v>11374</v>
      </c>
      <c r="D701">
        <v>2026</v>
      </c>
      <c r="E701" t="s">
        <v>1649</v>
      </c>
      <c r="F701" t="s">
        <v>11471</v>
      </c>
    </row>
    <row r="702" spans="1:7" x14ac:dyDescent="0.25">
      <c r="A702" t="s">
        <v>11472</v>
      </c>
      <c r="B702" t="s">
        <v>11373</v>
      </c>
      <c r="C702" t="s">
        <v>11374</v>
      </c>
      <c r="D702">
        <v>2026</v>
      </c>
      <c r="E702" t="s">
        <v>1649</v>
      </c>
      <c r="F702" t="s">
        <v>11473</v>
      </c>
    </row>
    <row r="703" spans="1:7" x14ac:dyDescent="0.25">
      <c r="A703" t="s">
        <v>11474</v>
      </c>
      <c r="B703" t="s">
        <v>11373</v>
      </c>
      <c r="C703" t="s">
        <v>11374</v>
      </c>
      <c r="D703">
        <v>2026</v>
      </c>
      <c r="E703" t="s">
        <v>1649</v>
      </c>
      <c r="F703" t="s">
        <v>11475</v>
      </c>
    </row>
    <row r="704" spans="1:7" x14ac:dyDescent="0.25">
      <c r="A704" t="s">
        <v>11476</v>
      </c>
      <c r="B704" t="s">
        <v>11373</v>
      </c>
      <c r="C704" t="s">
        <v>11374</v>
      </c>
      <c r="D704">
        <v>2026</v>
      </c>
      <c r="E704" t="s">
        <v>1649</v>
      </c>
      <c r="F704" t="s">
        <v>11477</v>
      </c>
    </row>
    <row r="705" spans="1:6" x14ac:dyDescent="0.25">
      <c r="A705" t="s">
        <v>11478</v>
      </c>
      <c r="B705" t="s">
        <v>11373</v>
      </c>
      <c r="C705" t="s">
        <v>11374</v>
      </c>
      <c r="D705">
        <v>2026</v>
      </c>
      <c r="E705" t="s">
        <v>1649</v>
      </c>
      <c r="F705" t="s">
        <v>11479</v>
      </c>
    </row>
    <row r="706" spans="1:6" x14ac:dyDescent="0.25">
      <c r="A706" t="s">
        <v>11480</v>
      </c>
      <c r="B706" t="s">
        <v>11373</v>
      </c>
      <c r="C706" t="s">
        <v>11374</v>
      </c>
      <c r="D706">
        <v>2026</v>
      </c>
      <c r="E706" t="s">
        <v>1649</v>
      </c>
      <c r="F706" t="s">
        <v>11481</v>
      </c>
    </row>
    <row r="707" spans="1:6" x14ac:dyDescent="0.25">
      <c r="A707" t="s">
        <v>11482</v>
      </c>
      <c r="B707" t="s">
        <v>11373</v>
      </c>
      <c r="C707" t="s">
        <v>11374</v>
      </c>
      <c r="D707">
        <v>2026</v>
      </c>
      <c r="E707" t="s">
        <v>1649</v>
      </c>
      <c r="F707" t="s">
        <v>11483</v>
      </c>
    </row>
    <row r="708" spans="1:6" x14ac:dyDescent="0.25">
      <c r="A708" t="s">
        <v>11484</v>
      </c>
      <c r="B708" t="s">
        <v>11373</v>
      </c>
      <c r="C708" t="s">
        <v>11374</v>
      </c>
      <c r="D708">
        <v>2026</v>
      </c>
      <c r="E708" t="s">
        <v>1649</v>
      </c>
      <c r="F708" t="s">
        <v>11485</v>
      </c>
    </row>
    <row r="709" spans="1:6" x14ac:dyDescent="0.25">
      <c r="A709" t="s">
        <v>11486</v>
      </c>
      <c r="B709" t="s">
        <v>11373</v>
      </c>
      <c r="C709" t="s">
        <v>11374</v>
      </c>
      <c r="D709">
        <v>2026</v>
      </c>
      <c r="E709" t="s">
        <v>1649</v>
      </c>
      <c r="F709" t="s">
        <v>11487</v>
      </c>
    </row>
    <row r="710" spans="1:6" x14ac:dyDescent="0.25">
      <c r="A710" t="s">
        <v>11488</v>
      </c>
      <c r="B710" t="s">
        <v>11373</v>
      </c>
      <c r="C710" t="s">
        <v>11374</v>
      </c>
      <c r="D710">
        <v>2026</v>
      </c>
      <c r="E710" t="s">
        <v>1649</v>
      </c>
      <c r="F710" t="s">
        <v>11489</v>
      </c>
    </row>
    <row r="711" spans="1:6" x14ac:dyDescent="0.25">
      <c r="A711" t="s">
        <v>11490</v>
      </c>
      <c r="B711" t="s">
        <v>11373</v>
      </c>
      <c r="C711" t="s">
        <v>11374</v>
      </c>
      <c r="D711">
        <v>2026</v>
      </c>
      <c r="E711" t="s">
        <v>1649</v>
      </c>
      <c r="F711" t="s">
        <v>11491</v>
      </c>
    </row>
    <row r="712" spans="1:6" x14ac:dyDescent="0.25">
      <c r="A712" t="s">
        <v>11492</v>
      </c>
      <c r="B712" t="s">
        <v>11373</v>
      </c>
      <c r="C712" t="s">
        <v>11374</v>
      </c>
      <c r="D712">
        <v>2026</v>
      </c>
      <c r="E712" t="s">
        <v>1649</v>
      </c>
      <c r="F712" t="s">
        <v>11493</v>
      </c>
    </row>
    <row r="713" spans="1:6" x14ac:dyDescent="0.25">
      <c r="A713" t="s">
        <v>11494</v>
      </c>
      <c r="B713" t="s">
        <v>11373</v>
      </c>
      <c r="C713" t="s">
        <v>11374</v>
      </c>
      <c r="D713">
        <v>2026</v>
      </c>
      <c r="E713" t="s">
        <v>1649</v>
      </c>
      <c r="F713" t="s">
        <v>11495</v>
      </c>
    </row>
    <row r="714" spans="1:6" x14ac:dyDescent="0.25">
      <c r="A714" t="s">
        <v>11496</v>
      </c>
      <c r="B714" t="s">
        <v>11373</v>
      </c>
      <c r="C714" t="s">
        <v>11374</v>
      </c>
      <c r="D714">
        <v>2026</v>
      </c>
      <c r="E714" t="s">
        <v>1649</v>
      </c>
      <c r="F714" t="s">
        <v>11497</v>
      </c>
    </row>
    <row r="715" spans="1:6" x14ac:dyDescent="0.25">
      <c r="A715" t="s">
        <v>11498</v>
      </c>
      <c r="B715" t="s">
        <v>11373</v>
      </c>
      <c r="C715" t="s">
        <v>11374</v>
      </c>
      <c r="D715">
        <v>2026</v>
      </c>
      <c r="E715" t="s">
        <v>1649</v>
      </c>
      <c r="F715" t="s">
        <v>11499</v>
      </c>
    </row>
    <row r="716" spans="1:6" x14ac:dyDescent="0.25">
      <c r="A716" t="s">
        <v>11500</v>
      </c>
      <c r="B716" t="s">
        <v>11373</v>
      </c>
      <c r="C716" t="s">
        <v>11374</v>
      </c>
      <c r="D716">
        <v>2026</v>
      </c>
      <c r="E716" t="s">
        <v>1649</v>
      </c>
      <c r="F716" t="s">
        <v>11501</v>
      </c>
    </row>
    <row r="717" spans="1:6" x14ac:dyDescent="0.25">
      <c r="A717" t="s">
        <v>11502</v>
      </c>
      <c r="B717" t="s">
        <v>11373</v>
      </c>
      <c r="C717" t="s">
        <v>11374</v>
      </c>
      <c r="D717">
        <v>2026</v>
      </c>
      <c r="E717" t="s">
        <v>1649</v>
      </c>
      <c r="F717" t="s">
        <v>11503</v>
      </c>
    </row>
    <row r="718" spans="1:6" x14ac:dyDescent="0.25">
      <c r="A718" t="s">
        <v>11504</v>
      </c>
      <c r="B718" t="s">
        <v>11373</v>
      </c>
      <c r="C718" t="s">
        <v>11374</v>
      </c>
      <c r="D718">
        <v>2026</v>
      </c>
      <c r="E718" t="s">
        <v>1649</v>
      </c>
      <c r="F718" t="s">
        <v>11505</v>
      </c>
    </row>
    <row r="719" spans="1:6" x14ac:dyDescent="0.25">
      <c r="A719" t="s">
        <v>11506</v>
      </c>
      <c r="B719" t="s">
        <v>11373</v>
      </c>
      <c r="C719" t="s">
        <v>11374</v>
      </c>
      <c r="D719">
        <v>2026</v>
      </c>
      <c r="E719" t="s">
        <v>1649</v>
      </c>
      <c r="F719" t="s">
        <v>11507</v>
      </c>
    </row>
    <row r="720" spans="1:6" x14ac:dyDescent="0.25">
      <c r="A720" t="s">
        <v>11508</v>
      </c>
      <c r="B720" t="s">
        <v>11373</v>
      </c>
      <c r="C720" t="s">
        <v>11374</v>
      </c>
      <c r="D720">
        <v>2026</v>
      </c>
      <c r="E720" t="s">
        <v>1649</v>
      </c>
      <c r="F720" t="s">
        <v>11509</v>
      </c>
    </row>
    <row r="721" spans="1:7" x14ac:dyDescent="0.25">
      <c r="A721" t="s">
        <v>11510</v>
      </c>
      <c r="B721" t="s">
        <v>11373</v>
      </c>
      <c r="C721" t="s">
        <v>11374</v>
      </c>
      <c r="D721">
        <v>2026</v>
      </c>
      <c r="E721" t="s">
        <v>1649</v>
      </c>
      <c r="F721" t="s">
        <v>11511</v>
      </c>
    </row>
    <row r="722" spans="1:7" x14ac:dyDescent="0.25">
      <c r="A722" t="s">
        <v>11512</v>
      </c>
      <c r="B722" t="s">
        <v>11373</v>
      </c>
      <c r="C722" t="s">
        <v>11374</v>
      </c>
      <c r="D722">
        <v>2026</v>
      </c>
      <c r="E722" t="s">
        <v>1649</v>
      </c>
      <c r="F722" t="s">
        <v>11513</v>
      </c>
    </row>
    <row r="723" spans="1:7" x14ac:dyDescent="0.25">
      <c r="A723" t="s">
        <v>11514</v>
      </c>
      <c r="B723" t="s">
        <v>11373</v>
      </c>
      <c r="C723" t="s">
        <v>11374</v>
      </c>
      <c r="D723">
        <v>2026</v>
      </c>
      <c r="E723" t="s">
        <v>1649</v>
      </c>
      <c r="F723" t="s">
        <v>11515</v>
      </c>
    </row>
    <row r="724" spans="1:7" x14ac:dyDescent="0.25">
      <c r="A724" t="s">
        <v>11516</v>
      </c>
      <c r="B724" t="s">
        <v>11373</v>
      </c>
      <c r="C724" t="s">
        <v>11374</v>
      </c>
      <c r="D724">
        <v>2026</v>
      </c>
      <c r="E724" t="s">
        <v>1649</v>
      </c>
      <c r="F724" t="s">
        <v>11517</v>
      </c>
    </row>
    <row r="725" spans="1:7" x14ac:dyDescent="0.25">
      <c r="A725" t="s">
        <v>11518</v>
      </c>
      <c r="B725" t="s">
        <v>11373</v>
      </c>
      <c r="C725" t="s">
        <v>11374</v>
      </c>
      <c r="D725">
        <v>2026</v>
      </c>
      <c r="E725" t="s">
        <v>1649</v>
      </c>
      <c r="F725" t="s">
        <v>11519</v>
      </c>
    </row>
    <row r="726" spans="1:7" x14ac:dyDescent="0.25">
      <c r="A726" t="s">
        <v>11520</v>
      </c>
      <c r="B726" t="s">
        <v>11373</v>
      </c>
      <c r="C726" t="s">
        <v>11374</v>
      </c>
      <c r="D726">
        <v>2026</v>
      </c>
      <c r="E726" t="s">
        <v>1649</v>
      </c>
      <c r="F726" t="s">
        <v>11521</v>
      </c>
    </row>
    <row r="727" spans="1:7" x14ac:dyDescent="0.25">
      <c r="A727" t="s">
        <v>11522</v>
      </c>
      <c r="B727" t="s">
        <v>11373</v>
      </c>
      <c r="C727" t="s">
        <v>11374</v>
      </c>
      <c r="D727">
        <v>2026</v>
      </c>
      <c r="E727" t="s">
        <v>1649</v>
      </c>
      <c r="F727" t="s">
        <v>11523</v>
      </c>
    </row>
    <row r="728" spans="1:7" x14ac:dyDescent="0.25">
      <c r="A728" t="s">
        <v>11524</v>
      </c>
      <c r="B728" t="s">
        <v>11373</v>
      </c>
      <c r="C728" t="s">
        <v>11374</v>
      </c>
      <c r="D728">
        <v>2026</v>
      </c>
      <c r="E728" t="s">
        <v>1649</v>
      </c>
      <c r="F728" t="s">
        <v>11525</v>
      </c>
    </row>
    <row r="729" spans="1:7" x14ac:dyDescent="0.25">
      <c r="A729" t="s">
        <v>11526</v>
      </c>
      <c r="B729" t="s">
        <v>11373</v>
      </c>
      <c r="C729" t="s">
        <v>11374</v>
      </c>
      <c r="D729">
        <v>2026</v>
      </c>
      <c r="E729" t="s">
        <v>1649</v>
      </c>
      <c r="F729" t="s">
        <v>11527</v>
      </c>
    </row>
    <row r="730" spans="1:7" x14ac:dyDescent="0.25">
      <c r="A730" t="s">
        <v>11528</v>
      </c>
      <c r="B730" t="s">
        <v>11373</v>
      </c>
      <c r="C730" t="s">
        <v>11374</v>
      </c>
      <c r="D730">
        <v>2026</v>
      </c>
      <c r="E730" t="s">
        <v>1649</v>
      </c>
      <c r="F730" t="s">
        <v>11529</v>
      </c>
    </row>
    <row r="731" spans="1:7" x14ac:dyDescent="0.25">
      <c r="A731" t="s">
        <v>11530</v>
      </c>
      <c r="B731" t="s">
        <v>11373</v>
      </c>
      <c r="C731" t="s">
        <v>11374</v>
      </c>
      <c r="D731">
        <v>2026</v>
      </c>
      <c r="E731" t="s">
        <v>1649</v>
      </c>
      <c r="F731" t="s">
        <v>11531</v>
      </c>
    </row>
    <row r="732" spans="1:7" x14ac:dyDescent="0.25">
      <c r="A732" t="s">
        <v>11532</v>
      </c>
      <c r="B732" t="s">
        <v>11373</v>
      </c>
      <c r="C732" t="s">
        <v>11374</v>
      </c>
      <c r="D732">
        <v>2026</v>
      </c>
      <c r="E732" t="s">
        <v>1649</v>
      </c>
      <c r="F732" t="s">
        <v>11533</v>
      </c>
    </row>
    <row r="733" spans="1:7" x14ac:dyDescent="0.25">
      <c r="A733" t="s">
        <v>11534</v>
      </c>
      <c r="B733" t="s">
        <v>11373</v>
      </c>
      <c r="C733" t="s">
        <v>11374</v>
      </c>
      <c r="D733">
        <v>2026</v>
      </c>
      <c r="E733" t="s">
        <v>1649</v>
      </c>
      <c r="F733" t="s">
        <v>11535</v>
      </c>
    </row>
    <row r="734" spans="1:7" x14ac:dyDescent="0.25">
      <c r="A734" t="s">
        <v>11536</v>
      </c>
      <c r="B734" t="s">
        <v>11537</v>
      </c>
      <c r="C734" t="s">
        <v>11538</v>
      </c>
      <c r="D734">
        <v>2025</v>
      </c>
      <c r="E734" t="s">
        <v>1851</v>
      </c>
      <c r="F734" t="s">
        <v>11539</v>
      </c>
      <c r="G734" t="s">
        <v>10044</v>
      </c>
    </row>
    <row r="735" spans="1:7" x14ac:dyDescent="0.25">
      <c r="A735" t="s">
        <v>11540</v>
      </c>
      <c r="B735" t="s">
        <v>11537</v>
      </c>
      <c r="C735" t="s">
        <v>11538</v>
      </c>
      <c r="D735">
        <v>2025</v>
      </c>
      <c r="E735" t="s">
        <v>1851</v>
      </c>
      <c r="F735" t="s">
        <v>11541</v>
      </c>
    </row>
    <row r="736" spans="1:7" x14ac:dyDescent="0.25">
      <c r="A736" t="s">
        <v>11542</v>
      </c>
      <c r="B736" t="s">
        <v>11537</v>
      </c>
      <c r="C736" t="s">
        <v>11538</v>
      </c>
      <c r="D736">
        <v>2025</v>
      </c>
      <c r="E736" t="s">
        <v>1851</v>
      </c>
      <c r="F736" t="s">
        <v>11543</v>
      </c>
    </row>
    <row r="737" spans="1:7" x14ac:dyDescent="0.25">
      <c r="A737" t="s">
        <v>11544</v>
      </c>
      <c r="B737" t="s">
        <v>11537</v>
      </c>
      <c r="C737" t="s">
        <v>11538</v>
      </c>
      <c r="D737">
        <v>2025</v>
      </c>
      <c r="E737" t="s">
        <v>1851</v>
      </c>
      <c r="F737" t="s">
        <v>11545</v>
      </c>
    </row>
    <row r="738" spans="1:7" x14ac:dyDescent="0.25">
      <c r="A738" t="s">
        <v>11546</v>
      </c>
      <c r="B738" t="s">
        <v>11537</v>
      </c>
      <c r="C738" t="s">
        <v>11538</v>
      </c>
      <c r="D738">
        <v>2025</v>
      </c>
      <c r="E738" t="s">
        <v>1851</v>
      </c>
      <c r="F738" t="s">
        <v>11547</v>
      </c>
    </row>
    <row r="739" spans="1:7" x14ac:dyDescent="0.25">
      <c r="A739" t="s">
        <v>11548</v>
      </c>
      <c r="B739" t="s">
        <v>11537</v>
      </c>
      <c r="C739" t="s">
        <v>11538</v>
      </c>
      <c r="D739">
        <v>2025</v>
      </c>
      <c r="E739" t="s">
        <v>1851</v>
      </c>
      <c r="F739" t="s">
        <v>11549</v>
      </c>
    </row>
    <row r="740" spans="1:7" x14ac:dyDescent="0.25">
      <c r="A740" t="s">
        <v>11550</v>
      </c>
      <c r="B740" t="s">
        <v>11537</v>
      </c>
      <c r="C740" t="s">
        <v>11538</v>
      </c>
      <c r="D740">
        <v>2025</v>
      </c>
      <c r="E740" t="s">
        <v>1851</v>
      </c>
      <c r="F740" t="s">
        <v>11551</v>
      </c>
    </row>
    <row r="741" spans="1:7" x14ac:dyDescent="0.25">
      <c r="A741" t="s">
        <v>11552</v>
      </c>
      <c r="B741" t="s">
        <v>11537</v>
      </c>
      <c r="C741" t="s">
        <v>11538</v>
      </c>
      <c r="D741">
        <v>2025</v>
      </c>
      <c r="E741" t="s">
        <v>1851</v>
      </c>
      <c r="F741" t="s">
        <v>11553</v>
      </c>
    </row>
    <row r="742" spans="1:7" x14ac:dyDescent="0.25">
      <c r="A742" t="s">
        <v>11554</v>
      </c>
      <c r="B742" t="s">
        <v>11537</v>
      </c>
      <c r="C742" t="s">
        <v>11538</v>
      </c>
      <c r="D742">
        <v>2025</v>
      </c>
      <c r="E742" t="s">
        <v>1851</v>
      </c>
      <c r="F742" t="s">
        <v>11555</v>
      </c>
    </row>
    <row r="743" spans="1:7" x14ac:dyDescent="0.25">
      <c r="A743" t="s">
        <v>11556</v>
      </c>
      <c r="B743" t="s">
        <v>11537</v>
      </c>
      <c r="C743" t="s">
        <v>11538</v>
      </c>
      <c r="D743">
        <v>2025</v>
      </c>
      <c r="E743" t="s">
        <v>1851</v>
      </c>
      <c r="F743" t="s">
        <v>11557</v>
      </c>
    </row>
    <row r="744" spans="1:7" x14ac:dyDescent="0.25">
      <c r="A744" t="s">
        <v>11558</v>
      </c>
      <c r="B744" t="s">
        <v>11537</v>
      </c>
      <c r="C744" t="s">
        <v>11538</v>
      </c>
      <c r="D744">
        <v>2025</v>
      </c>
      <c r="E744" t="s">
        <v>1851</v>
      </c>
      <c r="F744" t="s">
        <v>11559</v>
      </c>
    </row>
    <row r="745" spans="1:7" x14ac:dyDescent="0.25">
      <c r="A745" t="s">
        <v>11560</v>
      </c>
      <c r="B745" t="s">
        <v>11537</v>
      </c>
      <c r="C745" t="s">
        <v>11538</v>
      </c>
      <c r="D745">
        <v>2025</v>
      </c>
      <c r="E745" t="s">
        <v>1851</v>
      </c>
      <c r="F745" t="s">
        <v>11561</v>
      </c>
    </row>
    <row r="746" spans="1:7" x14ac:dyDescent="0.25">
      <c r="A746" t="s">
        <v>11562</v>
      </c>
      <c r="B746" t="s">
        <v>11537</v>
      </c>
      <c r="C746" t="s">
        <v>11538</v>
      </c>
      <c r="D746">
        <v>2025</v>
      </c>
      <c r="E746" t="s">
        <v>1851</v>
      </c>
      <c r="F746" t="s">
        <v>11563</v>
      </c>
    </row>
    <row r="747" spans="1:7" x14ac:dyDescent="0.25">
      <c r="A747" t="s">
        <v>11564</v>
      </c>
      <c r="B747" t="s">
        <v>11537</v>
      </c>
      <c r="C747" t="s">
        <v>11538</v>
      </c>
      <c r="D747">
        <v>2025</v>
      </c>
      <c r="E747" t="s">
        <v>1851</v>
      </c>
      <c r="F747" t="s">
        <v>11565</v>
      </c>
    </row>
    <row r="748" spans="1:7" x14ac:dyDescent="0.25">
      <c r="A748" t="s">
        <v>11566</v>
      </c>
      <c r="B748" t="s">
        <v>11537</v>
      </c>
      <c r="C748" t="s">
        <v>11538</v>
      </c>
      <c r="D748">
        <v>2025</v>
      </c>
      <c r="E748" t="s">
        <v>1851</v>
      </c>
      <c r="F748" t="s">
        <v>11567</v>
      </c>
    </row>
    <row r="749" spans="1:7" x14ac:dyDescent="0.25">
      <c r="A749" t="s">
        <v>11568</v>
      </c>
      <c r="B749" t="s">
        <v>11537</v>
      </c>
      <c r="C749" t="s">
        <v>11538</v>
      </c>
      <c r="D749">
        <v>2025</v>
      </c>
      <c r="E749" t="s">
        <v>1851</v>
      </c>
      <c r="F749" t="s">
        <v>11569</v>
      </c>
    </row>
    <row r="750" spans="1:7" x14ac:dyDescent="0.25">
      <c r="A750" t="s">
        <v>6872</v>
      </c>
      <c r="B750" t="s">
        <v>11537</v>
      </c>
      <c r="C750" t="s">
        <v>11538</v>
      </c>
      <c r="D750">
        <v>2025</v>
      </c>
      <c r="E750" t="s">
        <v>1851</v>
      </c>
      <c r="F750" t="s">
        <v>11570</v>
      </c>
    </row>
    <row r="751" spans="1:7" x14ac:dyDescent="0.25">
      <c r="A751" t="s">
        <v>11571</v>
      </c>
      <c r="B751" t="s">
        <v>11572</v>
      </c>
      <c r="C751" t="s">
        <v>11573</v>
      </c>
      <c r="D751">
        <v>2015</v>
      </c>
      <c r="E751" t="s">
        <v>1855</v>
      </c>
      <c r="F751" t="s">
        <v>11574</v>
      </c>
      <c r="G751" t="s">
        <v>10044</v>
      </c>
    </row>
    <row r="752" spans="1:7" x14ac:dyDescent="0.25">
      <c r="A752" t="s">
        <v>11575</v>
      </c>
      <c r="B752" t="s">
        <v>11572</v>
      </c>
      <c r="C752" t="s">
        <v>11573</v>
      </c>
      <c r="D752">
        <v>2015</v>
      </c>
      <c r="E752" t="s">
        <v>1855</v>
      </c>
      <c r="F752" t="s">
        <v>11576</v>
      </c>
    </row>
    <row r="753" spans="1:6" x14ac:dyDescent="0.25">
      <c r="A753" t="s">
        <v>11577</v>
      </c>
      <c r="B753" t="s">
        <v>11572</v>
      </c>
      <c r="C753" t="s">
        <v>11573</v>
      </c>
      <c r="D753">
        <v>2015</v>
      </c>
      <c r="E753" t="s">
        <v>1855</v>
      </c>
      <c r="F753" t="s">
        <v>11578</v>
      </c>
    </row>
    <row r="754" spans="1:6" x14ac:dyDescent="0.25">
      <c r="A754" t="s">
        <v>11579</v>
      </c>
      <c r="B754" t="s">
        <v>11572</v>
      </c>
      <c r="C754" t="s">
        <v>11573</v>
      </c>
      <c r="D754">
        <v>2015</v>
      </c>
      <c r="E754" t="s">
        <v>1855</v>
      </c>
      <c r="F754" t="s">
        <v>11580</v>
      </c>
    </row>
    <row r="755" spans="1:6" x14ac:dyDescent="0.25">
      <c r="A755" t="s">
        <v>11581</v>
      </c>
      <c r="B755" t="s">
        <v>11572</v>
      </c>
      <c r="C755" t="s">
        <v>11573</v>
      </c>
      <c r="D755">
        <v>2015</v>
      </c>
      <c r="E755" t="s">
        <v>1855</v>
      </c>
      <c r="F755" t="s">
        <v>11582</v>
      </c>
    </row>
    <row r="756" spans="1:6" x14ac:dyDescent="0.25">
      <c r="A756" t="s">
        <v>11583</v>
      </c>
      <c r="B756" t="s">
        <v>11572</v>
      </c>
      <c r="C756" t="s">
        <v>11573</v>
      </c>
      <c r="D756">
        <v>2015</v>
      </c>
      <c r="E756" t="s">
        <v>1855</v>
      </c>
      <c r="F756" t="s">
        <v>11584</v>
      </c>
    </row>
    <row r="757" spans="1:6" x14ac:dyDescent="0.25">
      <c r="A757" t="s">
        <v>11585</v>
      </c>
      <c r="B757" t="s">
        <v>11572</v>
      </c>
      <c r="C757" t="s">
        <v>11573</v>
      </c>
      <c r="D757">
        <v>2015</v>
      </c>
      <c r="E757" t="s">
        <v>1855</v>
      </c>
      <c r="F757" t="s">
        <v>11586</v>
      </c>
    </row>
    <row r="758" spans="1:6" x14ac:dyDescent="0.25">
      <c r="A758" t="s">
        <v>11587</v>
      </c>
      <c r="B758" t="s">
        <v>11572</v>
      </c>
      <c r="C758" t="s">
        <v>11573</v>
      </c>
      <c r="D758">
        <v>2015</v>
      </c>
      <c r="E758" t="s">
        <v>1855</v>
      </c>
      <c r="F758" t="s">
        <v>11588</v>
      </c>
    </row>
    <row r="759" spans="1:6" x14ac:dyDescent="0.25">
      <c r="A759" t="s">
        <v>11589</v>
      </c>
      <c r="B759" t="s">
        <v>11572</v>
      </c>
      <c r="C759" t="s">
        <v>11573</v>
      </c>
      <c r="D759">
        <v>2015</v>
      </c>
      <c r="E759" t="s">
        <v>1855</v>
      </c>
      <c r="F759" t="s">
        <v>11590</v>
      </c>
    </row>
    <row r="760" spans="1:6" x14ac:dyDescent="0.25">
      <c r="A760" t="s">
        <v>11591</v>
      </c>
      <c r="B760" t="s">
        <v>11572</v>
      </c>
      <c r="C760" t="s">
        <v>11573</v>
      </c>
      <c r="D760">
        <v>2015</v>
      </c>
      <c r="E760" t="s">
        <v>1855</v>
      </c>
      <c r="F760" t="s">
        <v>11592</v>
      </c>
    </row>
    <row r="761" spans="1:6" x14ac:dyDescent="0.25">
      <c r="A761" t="s">
        <v>11593</v>
      </c>
      <c r="B761" t="s">
        <v>11572</v>
      </c>
      <c r="C761" t="s">
        <v>11573</v>
      </c>
      <c r="D761">
        <v>2015</v>
      </c>
      <c r="E761" t="s">
        <v>1855</v>
      </c>
      <c r="F761" t="s">
        <v>11594</v>
      </c>
    </row>
    <row r="762" spans="1:6" x14ac:dyDescent="0.25">
      <c r="A762" t="s">
        <v>11595</v>
      </c>
      <c r="B762" t="s">
        <v>11572</v>
      </c>
      <c r="C762" t="s">
        <v>11573</v>
      </c>
      <c r="D762">
        <v>2015</v>
      </c>
      <c r="E762" t="s">
        <v>1855</v>
      </c>
      <c r="F762" t="s">
        <v>11596</v>
      </c>
    </row>
    <row r="763" spans="1:6" x14ac:dyDescent="0.25">
      <c r="A763" t="s">
        <v>1855</v>
      </c>
      <c r="B763" t="s">
        <v>11572</v>
      </c>
      <c r="C763" t="s">
        <v>11573</v>
      </c>
      <c r="D763">
        <v>2015</v>
      </c>
      <c r="E763" t="s">
        <v>1855</v>
      </c>
      <c r="F763" t="s">
        <v>11597</v>
      </c>
    </row>
    <row r="764" spans="1:6" x14ac:dyDescent="0.25">
      <c r="A764" t="s">
        <v>11598</v>
      </c>
      <c r="B764" t="s">
        <v>11572</v>
      </c>
      <c r="C764" t="s">
        <v>11573</v>
      </c>
      <c r="D764">
        <v>2015</v>
      </c>
      <c r="E764" t="s">
        <v>1855</v>
      </c>
      <c r="F764" t="s">
        <v>11599</v>
      </c>
    </row>
    <row r="765" spans="1:6" x14ac:dyDescent="0.25">
      <c r="A765" t="s">
        <v>11600</v>
      </c>
      <c r="B765" t="s">
        <v>11572</v>
      </c>
      <c r="C765" t="s">
        <v>11573</v>
      </c>
      <c r="D765">
        <v>2015</v>
      </c>
      <c r="E765" t="s">
        <v>1855</v>
      </c>
      <c r="F765" t="s">
        <v>11601</v>
      </c>
    </row>
    <row r="766" spans="1:6" x14ac:dyDescent="0.25">
      <c r="A766" t="s">
        <v>11602</v>
      </c>
      <c r="B766" t="s">
        <v>11572</v>
      </c>
      <c r="C766" t="s">
        <v>11573</v>
      </c>
      <c r="D766">
        <v>2015</v>
      </c>
      <c r="E766" t="s">
        <v>1855</v>
      </c>
      <c r="F766" t="s">
        <v>11603</v>
      </c>
    </row>
    <row r="767" spans="1:6" x14ac:dyDescent="0.25">
      <c r="A767" t="s">
        <v>11604</v>
      </c>
      <c r="B767" t="s">
        <v>11572</v>
      </c>
      <c r="C767" t="s">
        <v>11573</v>
      </c>
      <c r="D767">
        <v>2015</v>
      </c>
      <c r="E767" t="s">
        <v>1855</v>
      </c>
      <c r="F767" t="s">
        <v>11605</v>
      </c>
    </row>
    <row r="768" spans="1:6" x14ac:dyDescent="0.25">
      <c r="A768" t="s">
        <v>4527</v>
      </c>
      <c r="B768" t="s">
        <v>11572</v>
      </c>
      <c r="C768" t="s">
        <v>11573</v>
      </c>
      <c r="D768">
        <v>2015</v>
      </c>
      <c r="E768" t="s">
        <v>1855</v>
      </c>
      <c r="F768" t="s">
        <v>11606</v>
      </c>
    </row>
    <row r="769" spans="1:6" x14ac:dyDescent="0.25">
      <c r="A769" t="s">
        <v>11607</v>
      </c>
      <c r="B769" t="s">
        <v>11572</v>
      </c>
      <c r="C769" t="s">
        <v>11573</v>
      </c>
      <c r="D769">
        <v>2015</v>
      </c>
      <c r="E769" t="s">
        <v>1855</v>
      </c>
      <c r="F769" t="s">
        <v>11608</v>
      </c>
    </row>
    <row r="770" spans="1:6" x14ac:dyDescent="0.25">
      <c r="A770" t="s">
        <v>11609</v>
      </c>
      <c r="B770" t="s">
        <v>11572</v>
      </c>
      <c r="C770" t="s">
        <v>11573</v>
      </c>
      <c r="D770">
        <v>2015</v>
      </c>
      <c r="E770" t="s">
        <v>1855</v>
      </c>
      <c r="F770" t="s">
        <v>11610</v>
      </c>
    </row>
    <row r="771" spans="1:6" x14ac:dyDescent="0.25">
      <c r="A771" t="s">
        <v>11611</v>
      </c>
      <c r="B771" t="s">
        <v>11572</v>
      </c>
      <c r="C771" t="s">
        <v>11573</v>
      </c>
      <c r="D771">
        <v>2015</v>
      </c>
      <c r="E771" t="s">
        <v>1855</v>
      </c>
      <c r="F771" t="s">
        <v>11612</v>
      </c>
    </row>
    <row r="772" spans="1:6" x14ac:dyDescent="0.25">
      <c r="A772" t="s">
        <v>11613</v>
      </c>
      <c r="B772" t="s">
        <v>11572</v>
      </c>
      <c r="C772" t="s">
        <v>11573</v>
      </c>
      <c r="D772">
        <v>2015</v>
      </c>
      <c r="E772" t="s">
        <v>1855</v>
      </c>
      <c r="F772" t="s">
        <v>11614</v>
      </c>
    </row>
    <row r="773" spans="1:6" x14ac:dyDescent="0.25">
      <c r="A773" t="s">
        <v>11615</v>
      </c>
      <c r="B773" t="s">
        <v>11572</v>
      </c>
      <c r="C773" t="s">
        <v>11573</v>
      </c>
      <c r="D773">
        <v>2015</v>
      </c>
      <c r="E773" t="s">
        <v>1855</v>
      </c>
      <c r="F773" t="s">
        <v>11616</v>
      </c>
    </row>
    <row r="774" spans="1:6" x14ac:dyDescent="0.25">
      <c r="A774" t="s">
        <v>11617</v>
      </c>
      <c r="B774" t="s">
        <v>11572</v>
      </c>
      <c r="C774" t="s">
        <v>11573</v>
      </c>
      <c r="D774">
        <v>2015</v>
      </c>
      <c r="E774" t="s">
        <v>1855</v>
      </c>
      <c r="F774" t="s">
        <v>11618</v>
      </c>
    </row>
    <row r="775" spans="1:6" x14ac:dyDescent="0.25">
      <c r="A775" t="s">
        <v>11619</v>
      </c>
      <c r="B775" t="s">
        <v>11572</v>
      </c>
      <c r="C775" t="s">
        <v>11573</v>
      </c>
      <c r="D775">
        <v>2015</v>
      </c>
      <c r="E775" t="s">
        <v>1855</v>
      </c>
      <c r="F775" t="s">
        <v>11620</v>
      </c>
    </row>
    <row r="776" spans="1:6" x14ac:dyDescent="0.25">
      <c r="A776" t="s">
        <v>11621</v>
      </c>
      <c r="B776" t="s">
        <v>11572</v>
      </c>
      <c r="C776" t="s">
        <v>11573</v>
      </c>
      <c r="D776">
        <v>2015</v>
      </c>
      <c r="E776" t="s">
        <v>1855</v>
      </c>
      <c r="F776" t="s">
        <v>11622</v>
      </c>
    </row>
    <row r="777" spans="1:6" x14ac:dyDescent="0.25">
      <c r="A777" t="s">
        <v>11623</v>
      </c>
      <c r="B777" t="s">
        <v>11572</v>
      </c>
      <c r="C777" t="s">
        <v>11573</v>
      </c>
      <c r="D777">
        <v>2015</v>
      </c>
      <c r="E777" t="s">
        <v>1855</v>
      </c>
      <c r="F777" t="s">
        <v>11624</v>
      </c>
    </row>
    <row r="778" spans="1:6" x14ac:dyDescent="0.25">
      <c r="A778" t="s">
        <v>11625</v>
      </c>
      <c r="B778" t="s">
        <v>11572</v>
      </c>
      <c r="C778" t="s">
        <v>11573</v>
      </c>
      <c r="D778">
        <v>2015</v>
      </c>
      <c r="E778" t="s">
        <v>1855</v>
      </c>
      <c r="F778" t="s">
        <v>11626</v>
      </c>
    </row>
    <row r="779" spans="1:6" x14ac:dyDescent="0.25">
      <c r="A779" t="s">
        <v>11627</v>
      </c>
      <c r="B779" t="s">
        <v>11572</v>
      </c>
      <c r="C779" t="s">
        <v>11573</v>
      </c>
      <c r="D779">
        <v>2015</v>
      </c>
      <c r="E779" t="s">
        <v>1855</v>
      </c>
      <c r="F779" t="s">
        <v>11628</v>
      </c>
    </row>
    <row r="780" spans="1:6" x14ac:dyDescent="0.25">
      <c r="A780" t="s">
        <v>11629</v>
      </c>
      <c r="B780" t="s">
        <v>11572</v>
      </c>
      <c r="C780" t="s">
        <v>11573</v>
      </c>
      <c r="D780">
        <v>2015</v>
      </c>
      <c r="E780" t="s">
        <v>1855</v>
      </c>
      <c r="F780" t="s">
        <v>11630</v>
      </c>
    </row>
    <row r="781" spans="1:6" x14ac:dyDescent="0.25">
      <c r="A781" t="s">
        <v>11631</v>
      </c>
      <c r="B781" t="s">
        <v>11572</v>
      </c>
      <c r="C781" t="s">
        <v>11573</v>
      </c>
      <c r="D781">
        <v>2015</v>
      </c>
      <c r="E781" t="s">
        <v>1855</v>
      </c>
      <c r="F781" t="s">
        <v>11632</v>
      </c>
    </row>
    <row r="782" spans="1:6" x14ac:dyDescent="0.25">
      <c r="A782" t="s">
        <v>11633</v>
      </c>
      <c r="B782" t="s">
        <v>11572</v>
      </c>
      <c r="C782" t="s">
        <v>11573</v>
      </c>
      <c r="D782">
        <v>2015</v>
      </c>
      <c r="E782" t="s">
        <v>1855</v>
      </c>
      <c r="F782" t="s">
        <v>11634</v>
      </c>
    </row>
    <row r="783" spans="1:6" x14ac:dyDescent="0.25">
      <c r="A783" t="s">
        <v>11635</v>
      </c>
      <c r="B783" t="s">
        <v>11572</v>
      </c>
      <c r="C783" t="s">
        <v>11573</v>
      </c>
      <c r="D783">
        <v>2015</v>
      </c>
      <c r="E783" t="s">
        <v>1855</v>
      </c>
      <c r="F783" t="s">
        <v>11636</v>
      </c>
    </row>
    <row r="784" spans="1:6" x14ac:dyDescent="0.25">
      <c r="A784" t="s">
        <v>11637</v>
      </c>
      <c r="B784" t="s">
        <v>11572</v>
      </c>
      <c r="C784" t="s">
        <v>11573</v>
      </c>
      <c r="D784">
        <v>2015</v>
      </c>
      <c r="E784" t="s">
        <v>1855</v>
      </c>
      <c r="F784" t="s">
        <v>11638</v>
      </c>
    </row>
    <row r="785" spans="1:7" x14ac:dyDescent="0.25">
      <c r="A785" t="s">
        <v>11639</v>
      </c>
      <c r="B785" t="s">
        <v>11572</v>
      </c>
      <c r="C785" t="s">
        <v>11573</v>
      </c>
      <c r="D785">
        <v>2015</v>
      </c>
      <c r="E785" t="s">
        <v>1855</v>
      </c>
      <c r="F785" t="s">
        <v>11640</v>
      </c>
    </row>
    <row r="786" spans="1:7" x14ac:dyDescent="0.25">
      <c r="A786" t="s">
        <v>11641</v>
      </c>
      <c r="B786" t="s">
        <v>11572</v>
      </c>
      <c r="C786" t="s">
        <v>11573</v>
      </c>
      <c r="D786">
        <v>2025</v>
      </c>
      <c r="E786" t="s">
        <v>1855</v>
      </c>
      <c r="F786" t="s">
        <v>11642</v>
      </c>
    </row>
    <row r="787" spans="1:7" x14ac:dyDescent="0.25">
      <c r="A787" t="s">
        <v>11643</v>
      </c>
      <c r="B787" t="s">
        <v>11572</v>
      </c>
      <c r="C787" t="s">
        <v>11644</v>
      </c>
      <c r="D787">
        <v>2015</v>
      </c>
      <c r="E787" t="s">
        <v>1855</v>
      </c>
      <c r="F787" t="s">
        <v>11645</v>
      </c>
    </row>
    <row r="788" spans="1:7" x14ac:dyDescent="0.25">
      <c r="A788" t="s">
        <v>11646</v>
      </c>
      <c r="B788" t="s">
        <v>11572</v>
      </c>
      <c r="C788" t="s">
        <v>11644</v>
      </c>
      <c r="D788">
        <v>2015</v>
      </c>
      <c r="E788" t="s">
        <v>1855</v>
      </c>
      <c r="F788" t="s">
        <v>11647</v>
      </c>
    </row>
    <row r="789" spans="1:7" x14ac:dyDescent="0.25">
      <c r="A789" t="s">
        <v>11648</v>
      </c>
      <c r="B789" t="s">
        <v>11572</v>
      </c>
      <c r="C789" t="s">
        <v>11644</v>
      </c>
      <c r="D789">
        <v>2015</v>
      </c>
      <c r="E789" t="s">
        <v>1855</v>
      </c>
      <c r="F789" t="s">
        <v>11649</v>
      </c>
    </row>
    <row r="790" spans="1:7" x14ac:dyDescent="0.25">
      <c r="A790" t="s">
        <v>11650</v>
      </c>
      <c r="B790" t="s">
        <v>11572</v>
      </c>
      <c r="C790" t="s">
        <v>11644</v>
      </c>
      <c r="D790">
        <v>2015</v>
      </c>
      <c r="E790" t="s">
        <v>1855</v>
      </c>
      <c r="F790" t="s">
        <v>11651</v>
      </c>
    </row>
    <row r="791" spans="1:7" x14ac:dyDescent="0.25">
      <c r="A791" t="s">
        <v>11652</v>
      </c>
      <c r="B791" t="s">
        <v>11572</v>
      </c>
      <c r="C791" t="s">
        <v>11644</v>
      </c>
      <c r="D791">
        <v>2015</v>
      </c>
      <c r="E791" t="s">
        <v>1855</v>
      </c>
      <c r="F791" t="s">
        <v>11653</v>
      </c>
    </row>
    <row r="792" spans="1:7" x14ac:dyDescent="0.25">
      <c r="A792" t="s">
        <v>11654</v>
      </c>
      <c r="B792" t="s">
        <v>11572</v>
      </c>
      <c r="C792" t="s">
        <v>11644</v>
      </c>
      <c r="D792">
        <v>2015</v>
      </c>
      <c r="E792" t="s">
        <v>1855</v>
      </c>
      <c r="F792" t="s">
        <v>11655</v>
      </c>
    </row>
    <row r="793" spans="1:7" x14ac:dyDescent="0.25">
      <c r="A793" t="s">
        <v>11656</v>
      </c>
      <c r="B793" t="s">
        <v>11572</v>
      </c>
      <c r="C793" t="s">
        <v>11644</v>
      </c>
      <c r="D793">
        <v>2015</v>
      </c>
      <c r="E793" t="s">
        <v>1855</v>
      </c>
      <c r="F793" t="s">
        <v>11657</v>
      </c>
    </row>
    <row r="794" spans="1:7" x14ac:dyDescent="0.25">
      <c r="A794" t="s">
        <v>11658</v>
      </c>
      <c r="B794" t="s">
        <v>11572</v>
      </c>
      <c r="C794" t="s">
        <v>11644</v>
      </c>
      <c r="D794">
        <v>2015</v>
      </c>
      <c r="E794" t="s">
        <v>1855</v>
      </c>
      <c r="F794" t="s">
        <v>11659</v>
      </c>
    </row>
    <row r="795" spans="1:7" x14ac:dyDescent="0.25">
      <c r="A795" t="s">
        <v>11660</v>
      </c>
      <c r="B795" t="s">
        <v>11572</v>
      </c>
      <c r="C795" t="s">
        <v>11644</v>
      </c>
      <c r="D795">
        <v>2015</v>
      </c>
      <c r="E795" t="s">
        <v>1855</v>
      </c>
      <c r="F795" t="s">
        <v>11661</v>
      </c>
    </row>
    <row r="796" spans="1:7" x14ac:dyDescent="0.25">
      <c r="A796" t="s">
        <v>11662</v>
      </c>
      <c r="B796" t="s">
        <v>11572</v>
      </c>
      <c r="C796" t="s">
        <v>11644</v>
      </c>
      <c r="D796">
        <v>2015</v>
      </c>
      <c r="E796" t="s">
        <v>1855</v>
      </c>
      <c r="F796" t="s">
        <v>11663</v>
      </c>
    </row>
    <row r="797" spans="1:7" x14ac:dyDescent="0.25">
      <c r="A797" t="s">
        <v>11664</v>
      </c>
      <c r="B797" t="s">
        <v>11572</v>
      </c>
      <c r="C797" t="s">
        <v>11644</v>
      </c>
      <c r="D797">
        <v>2015</v>
      </c>
      <c r="E797" t="s">
        <v>1855</v>
      </c>
      <c r="F797" t="s">
        <v>11665</v>
      </c>
    </row>
    <row r="798" spans="1:7" x14ac:dyDescent="0.25">
      <c r="A798" t="s">
        <v>11666</v>
      </c>
      <c r="B798" t="s">
        <v>11572</v>
      </c>
      <c r="C798" t="s">
        <v>11644</v>
      </c>
      <c r="D798">
        <v>2015</v>
      </c>
      <c r="E798" t="s">
        <v>1855</v>
      </c>
      <c r="F798" t="s">
        <v>11667</v>
      </c>
    </row>
    <row r="799" spans="1:7" x14ac:dyDescent="0.25">
      <c r="A799" t="s">
        <v>11668</v>
      </c>
      <c r="B799" t="s">
        <v>11572</v>
      </c>
      <c r="C799" t="s">
        <v>11644</v>
      </c>
      <c r="D799">
        <v>2015</v>
      </c>
      <c r="E799" t="s">
        <v>1855</v>
      </c>
      <c r="F799" t="s">
        <v>11669</v>
      </c>
    </row>
    <row r="800" spans="1:7" x14ac:dyDescent="0.25">
      <c r="A800" t="s">
        <v>10080</v>
      </c>
      <c r="B800" t="s">
        <v>11670</v>
      </c>
      <c r="C800" t="s">
        <v>11671</v>
      </c>
      <c r="D800">
        <v>2020</v>
      </c>
      <c r="E800" t="s">
        <v>1895</v>
      </c>
      <c r="F800" t="s">
        <v>11672</v>
      </c>
      <c r="G800" t="s">
        <v>10044</v>
      </c>
    </row>
    <row r="801" spans="1:6" x14ac:dyDescent="0.25">
      <c r="A801" t="s">
        <v>11673</v>
      </c>
      <c r="B801" t="s">
        <v>11670</v>
      </c>
      <c r="C801" t="s">
        <v>11671</v>
      </c>
      <c r="D801">
        <v>2020</v>
      </c>
      <c r="E801" t="s">
        <v>1895</v>
      </c>
      <c r="F801" t="s">
        <v>11674</v>
      </c>
    </row>
    <row r="802" spans="1:6" x14ac:dyDescent="0.25">
      <c r="A802" t="s">
        <v>11675</v>
      </c>
      <c r="B802" t="s">
        <v>11670</v>
      </c>
      <c r="C802" t="s">
        <v>11671</v>
      </c>
      <c r="D802">
        <v>2020</v>
      </c>
      <c r="E802" t="s">
        <v>1895</v>
      </c>
      <c r="F802" t="s">
        <v>11676</v>
      </c>
    </row>
    <row r="803" spans="1:6" x14ac:dyDescent="0.25">
      <c r="A803" t="s">
        <v>11677</v>
      </c>
      <c r="B803" t="s">
        <v>11670</v>
      </c>
      <c r="C803" t="s">
        <v>11671</v>
      </c>
      <c r="D803">
        <v>2020</v>
      </c>
      <c r="E803" t="s">
        <v>1895</v>
      </c>
      <c r="F803" t="s">
        <v>11678</v>
      </c>
    </row>
    <row r="804" spans="1:6" x14ac:dyDescent="0.25">
      <c r="A804" t="s">
        <v>11679</v>
      </c>
      <c r="B804" t="s">
        <v>11670</v>
      </c>
      <c r="C804" t="s">
        <v>11671</v>
      </c>
      <c r="D804">
        <v>2020</v>
      </c>
      <c r="E804" t="s">
        <v>1895</v>
      </c>
      <c r="F804" t="s">
        <v>11680</v>
      </c>
    </row>
    <row r="805" spans="1:6" x14ac:dyDescent="0.25">
      <c r="A805" t="s">
        <v>11681</v>
      </c>
      <c r="B805" t="s">
        <v>11670</v>
      </c>
      <c r="C805" t="s">
        <v>11671</v>
      </c>
      <c r="D805">
        <v>2020</v>
      </c>
      <c r="E805" t="s">
        <v>1895</v>
      </c>
      <c r="F805" t="s">
        <v>11682</v>
      </c>
    </row>
    <row r="806" spans="1:6" x14ac:dyDescent="0.25">
      <c r="A806" t="s">
        <v>11683</v>
      </c>
      <c r="B806" t="s">
        <v>11670</v>
      </c>
      <c r="C806" t="s">
        <v>11671</v>
      </c>
      <c r="D806">
        <v>2020</v>
      </c>
      <c r="E806" t="s">
        <v>1895</v>
      </c>
      <c r="F806" t="s">
        <v>11684</v>
      </c>
    </row>
    <row r="807" spans="1:6" x14ac:dyDescent="0.25">
      <c r="A807" t="s">
        <v>11685</v>
      </c>
      <c r="B807" t="s">
        <v>11670</v>
      </c>
      <c r="C807" t="s">
        <v>11671</v>
      </c>
      <c r="D807">
        <v>2020</v>
      </c>
      <c r="E807" t="s">
        <v>1895</v>
      </c>
      <c r="F807" t="s">
        <v>11686</v>
      </c>
    </row>
    <row r="808" spans="1:6" x14ac:dyDescent="0.25">
      <c r="A808" t="s">
        <v>11687</v>
      </c>
      <c r="B808" t="s">
        <v>11670</v>
      </c>
      <c r="C808" t="s">
        <v>11671</v>
      </c>
      <c r="D808">
        <v>2020</v>
      </c>
      <c r="E808" t="s">
        <v>1895</v>
      </c>
      <c r="F808" t="s">
        <v>11688</v>
      </c>
    </row>
    <row r="809" spans="1:6" x14ac:dyDescent="0.25">
      <c r="A809" t="s">
        <v>11689</v>
      </c>
      <c r="B809" t="s">
        <v>11670</v>
      </c>
      <c r="C809" t="s">
        <v>11671</v>
      </c>
      <c r="D809">
        <v>2020</v>
      </c>
      <c r="E809" t="s">
        <v>1895</v>
      </c>
      <c r="F809" t="s">
        <v>11690</v>
      </c>
    </row>
    <row r="810" spans="1:6" x14ac:dyDescent="0.25">
      <c r="A810" t="s">
        <v>10909</v>
      </c>
      <c r="B810" t="s">
        <v>11670</v>
      </c>
      <c r="C810" t="s">
        <v>11671</v>
      </c>
      <c r="D810">
        <v>2020</v>
      </c>
      <c r="E810" t="s">
        <v>1895</v>
      </c>
      <c r="F810" t="s">
        <v>11691</v>
      </c>
    </row>
    <row r="811" spans="1:6" x14ac:dyDescent="0.25">
      <c r="A811" t="s">
        <v>11692</v>
      </c>
      <c r="B811" t="s">
        <v>11670</v>
      </c>
      <c r="C811" t="s">
        <v>11671</v>
      </c>
      <c r="D811">
        <v>2020</v>
      </c>
      <c r="E811" t="s">
        <v>1895</v>
      </c>
      <c r="F811" t="s">
        <v>11693</v>
      </c>
    </row>
    <row r="812" spans="1:6" x14ac:dyDescent="0.25">
      <c r="A812" t="s">
        <v>11694</v>
      </c>
      <c r="B812" t="s">
        <v>11670</v>
      </c>
      <c r="C812" t="s">
        <v>11671</v>
      </c>
      <c r="D812">
        <v>2020</v>
      </c>
      <c r="E812" t="s">
        <v>1895</v>
      </c>
      <c r="F812" t="s">
        <v>11695</v>
      </c>
    </row>
    <row r="813" spans="1:6" x14ac:dyDescent="0.25">
      <c r="A813" t="s">
        <v>11696</v>
      </c>
      <c r="B813" t="s">
        <v>11670</v>
      </c>
      <c r="C813" t="s">
        <v>11671</v>
      </c>
      <c r="D813">
        <v>2020</v>
      </c>
      <c r="E813" t="s">
        <v>1895</v>
      </c>
      <c r="F813" t="s">
        <v>11697</v>
      </c>
    </row>
    <row r="814" spans="1:6" x14ac:dyDescent="0.25">
      <c r="A814" t="s">
        <v>11698</v>
      </c>
      <c r="B814" t="s">
        <v>11670</v>
      </c>
      <c r="C814" t="s">
        <v>11671</v>
      </c>
      <c r="D814">
        <v>2020</v>
      </c>
      <c r="E814" t="s">
        <v>1895</v>
      </c>
      <c r="F814" t="s">
        <v>11699</v>
      </c>
    </row>
    <row r="815" spans="1:6" x14ac:dyDescent="0.25">
      <c r="A815" t="s">
        <v>11700</v>
      </c>
      <c r="B815" t="s">
        <v>11701</v>
      </c>
      <c r="C815" t="s">
        <v>11671</v>
      </c>
      <c r="D815">
        <v>2020</v>
      </c>
      <c r="E815" t="s">
        <v>1895</v>
      </c>
      <c r="F815" t="s">
        <v>11702</v>
      </c>
    </row>
    <row r="816" spans="1:6" x14ac:dyDescent="0.25">
      <c r="A816" t="s">
        <v>11703</v>
      </c>
      <c r="B816" t="s">
        <v>11670</v>
      </c>
      <c r="C816" t="s">
        <v>11671</v>
      </c>
      <c r="D816">
        <v>2020</v>
      </c>
      <c r="E816" t="s">
        <v>1895</v>
      </c>
      <c r="F816" t="s">
        <v>11704</v>
      </c>
    </row>
    <row r="817" spans="1:6" x14ac:dyDescent="0.25">
      <c r="A817" t="s">
        <v>11705</v>
      </c>
      <c r="B817" t="s">
        <v>11670</v>
      </c>
      <c r="C817" t="s">
        <v>11671</v>
      </c>
      <c r="D817">
        <v>2020</v>
      </c>
      <c r="E817" t="s">
        <v>1895</v>
      </c>
      <c r="F817" t="s">
        <v>11706</v>
      </c>
    </row>
    <row r="818" spans="1:6" x14ac:dyDescent="0.25">
      <c r="A818" t="s">
        <v>11707</v>
      </c>
      <c r="B818" t="s">
        <v>11670</v>
      </c>
      <c r="C818" t="s">
        <v>11671</v>
      </c>
      <c r="D818">
        <v>2020</v>
      </c>
      <c r="E818" t="s">
        <v>1895</v>
      </c>
      <c r="F818" t="s">
        <v>11708</v>
      </c>
    </row>
    <row r="819" spans="1:6" x14ac:dyDescent="0.25">
      <c r="A819" t="s">
        <v>11709</v>
      </c>
      <c r="B819" t="s">
        <v>11670</v>
      </c>
      <c r="C819" t="s">
        <v>11671</v>
      </c>
      <c r="D819">
        <v>2020</v>
      </c>
      <c r="E819" t="s">
        <v>1895</v>
      </c>
      <c r="F819" t="s">
        <v>11710</v>
      </c>
    </row>
    <row r="820" spans="1:6" x14ac:dyDescent="0.25">
      <c r="A820" t="s">
        <v>11711</v>
      </c>
      <c r="B820" t="s">
        <v>11670</v>
      </c>
      <c r="C820" t="s">
        <v>11671</v>
      </c>
      <c r="D820">
        <v>2020</v>
      </c>
      <c r="E820" t="s">
        <v>1895</v>
      </c>
      <c r="F820" t="s">
        <v>11712</v>
      </c>
    </row>
    <row r="821" spans="1:6" x14ac:dyDescent="0.25">
      <c r="A821" t="s">
        <v>11713</v>
      </c>
      <c r="B821" t="s">
        <v>11670</v>
      </c>
      <c r="C821" t="s">
        <v>11671</v>
      </c>
      <c r="D821">
        <v>2020</v>
      </c>
      <c r="E821" t="s">
        <v>1895</v>
      </c>
      <c r="F821" t="s">
        <v>11714</v>
      </c>
    </row>
    <row r="822" spans="1:6" x14ac:dyDescent="0.25">
      <c r="A822" t="s">
        <v>11715</v>
      </c>
      <c r="B822" t="s">
        <v>11670</v>
      </c>
      <c r="C822" t="s">
        <v>11671</v>
      </c>
      <c r="D822">
        <v>2020</v>
      </c>
      <c r="E822" t="s">
        <v>1895</v>
      </c>
      <c r="F822" t="s">
        <v>11716</v>
      </c>
    </row>
    <row r="823" spans="1:6" x14ac:dyDescent="0.25">
      <c r="A823" t="s">
        <v>11717</v>
      </c>
      <c r="B823" t="s">
        <v>11670</v>
      </c>
      <c r="C823" t="s">
        <v>11671</v>
      </c>
      <c r="D823">
        <v>2020</v>
      </c>
      <c r="E823" t="s">
        <v>1895</v>
      </c>
      <c r="F823" t="s">
        <v>11718</v>
      </c>
    </row>
    <row r="824" spans="1:6" x14ac:dyDescent="0.25">
      <c r="A824" t="s">
        <v>11719</v>
      </c>
      <c r="B824" t="s">
        <v>11670</v>
      </c>
      <c r="C824" t="s">
        <v>11671</v>
      </c>
      <c r="D824">
        <v>2020</v>
      </c>
      <c r="E824" t="s">
        <v>1895</v>
      </c>
      <c r="F824" t="s">
        <v>11720</v>
      </c>
    </row>
    <row r="825" spans="1:6" x14ac:dyDescent="0.25">
      <c r="A825" t="s">
        <v>11721</v>
      </c>
      <c r="B825" t="s">
        <v>11670</v>
      </c>
      <c r="C825" t="s">
        <v>11671</v>
      </c>
      <c r="D825">
        <v>2020</v>
      </c>
      <c r="E825" t="s">
        <v>1895</v>
      </c>
      <c r="F825" t="s">
        <v>11722</v>
      </c>
    </row>
    <row r="826" spans="1:6" x14ac:dyDescent="0.25">
      <c r="A826" t="s">
        <v>11723</v>
      </c>
      <c r="B826" t="s">
        <v>11670</v>
      </c>
      <c r="C826" t="s">
        <v>11671</v>
      </c>
      <c r="D826">
        <v>2020</v>
      </c>
      <c r="E826" t="s">
        <v>1895</v>
      </c>
      <c r="F826" t="s">
        <v>11724</v>
      </c>
    </row>
    <row r="827" spans="1:6" x14ac:dyDescent="0.25">
      <c r="A827" t="s">
        <v>11725</v>
      </c>
      <c r="B827" t="s">
        <v>11670</v>
      </c>
      <c r="C827" t="s">
        <v>11671</v>
      </c>
      <c r="D827">
        <v>2020</v>
      </c>
      <c r="E827" t="s">
        <v>1895</v>
      </c>
      <c r="F827" t="s">
        <v>11726</v>
      </c>
    </row>
    <row r="828" spans="1:6" x14ac:dyDescent="0.25">
      <c r="A828" t="s">
        <v>11727</v>
      </c>
      <c r="B828" t="s">
        <v>11670</v>
      </c>
      <c r="C828" t="s">
        <v>11671</v>
      </c>
      <c r="D828">
        <v>2020</v>
      </c>
      <c r="E828" t="s">
        <v>1895</v>
      </c>
      <c r="F828" t="s">
        <v>11728</v>
      </c>
    </row>
    <row r="829" spans="1:6" x14ac:dyDescent="0.25">
      <c r="A829" t="s">
        <v>11729</v>
      </c>
      <c r="B829" t="s">
        <v>11670</v>
      </c>
      <c r="C829" t="s">
        <v>11671</v>
      </c>
      <c r="D829">
        <v>2020</v>
      </c>
      <c r="E829" t="s">
        <v>1895</v>
      </c>
      <c r="F829" t="s">
        <v>11730</v>
      </c>
    </row>
    <row r="830" spans="1:6" x14ac:dyDescent="0.25">
      <c r="A830" t="s">
        <v>11731</v>
      </c>
      <c r="B830" t="s">
        <v>11670</v>
      </c>
      <c r="C830" t="s">
        <v>11671</v>
      </c>
      <c r="D830">
        <v>2020</v>
      </c>
      <c r="E830" t="s">
        <v>1895</v>
      </c>
      <c r="F830" t="s">
        <v>11732</v>
      </c>
    </row>
    <row r="831" spans="1:6" x14ac:dyDescent="0.25">
      <c r="A831" t="s">
        <v>11733</v>
      </c>
      <c r="B831" t="s">
        <v>11670</v>
      </c>
      <c r="C831" t="s">
        <v>11671</v>
      </c>
      <c r="D831">
        <v>2020</v>
      </c>
      <c r="E831" t="s">
        <v>1895</v>
      </c>
      <c r="F831" t="s">
        <v>11734</v>
      </c>
    </row>
    <row r="832" spans="1:6" x14ac:dyDescent="0.25">
      <c r="A832" t="s">
        <v>11735</v>
      </c>
      <c r="B832" t="s">
        <v>11701</v>
      </c>
      <c r="C832" t="s">
        <v>11671</v>
      </c>
      <c r="D832">
        <v>2020</v>
      </c>
      <c r="E832" t="s">
        <v>1895</v>
      </c>
      <c r="F832" t="s">
        <v>11736</v>
      </c>
    </row>
    <row r="833" spans="1:7" x14ac:dyDescent="0.25">
      <c r="A833" t="s">
        <v>11737</v>
      </c>
      <c r="B833" t="s">
        <v>11701</v>
      </c>
      <c r="C833" t="s">
        <v>11671</v>
      </c>
      <c r="D833">
        <v>2020</v>
      </c>
      <c r="E833" t="s">
        <v>1895</v>
      </c>
      <c r="F833" t="s">
        <v>11738</v>
      </c>
    </row>
    <row r="834" spans="1:7" x14ac:dyDescent="0.25">
      <c r="A834" t="s">
        <v>11739</v>
      </c>
      <c r="B834" t="s">
        <v>11670</v>
      </c>
      <c r="C834" t="s">
        <v>11671</v>
      </c>
      <c r="D834">
        <v>2020</v>
      </c>
      <c r="E834" t="s">
        <v>1895</v>
      </c>
      <c r="F834" t="s">
        <v>11740</v>
      </c>
    </row>
    <row r="835" spans="1:7" x14ac:dyDescent="0.25">
      <c r="A835" t="s">
        <v>11741</v>
      </c>
      <c r="B835" t="s">
        <v>11670</v>
      </c>
      <c r="C835" t="s">
        <v>11671</v>
      </c>
      <c r="D835">
        <v>2020</v>
      </c>
      <c r="E835" t="s">
        <v>1895</v>
      </c>
      <c r="F835" t="s">
        <v>11742</v>
      </c>
    </row>
    <row r="836" spans="1:7" x14ac:dyDescent="0.25">
      <c r="A836" t="s">
        <v>11743</v>
      </c>
      <c r="B836" t="s">
        <v>11670</v>
      </c>
      <c r="C836" t="s">
        <v>11671</v>
      </c>
      <c r="D836">
        <v>2020</v>
      </c>
      <c r="E836" t="s">
        <v>1895</v>
      </c>
      <c r="F836" t="s">
        <v>11744</v>
      </c>
    </row>
    <row r="837" spans="1:7" x14ac:dyDescent="0.25">
      <c r="A837" t="s">
        <v>11745</v>
      </c>
      <c r="B837" t="s">
        <v>11670</v>
      </c>
      <c r="C837" t="s">
        <v>11671</v>
      </c>
      <c r="D837">
        <v>2020</v>
      </c>
      <c r="E837" t="s">
        <v>1895</v>
      </c>
      <c r="F837" t="s">
        <v>11746</v>
      </c>
    </row>
    <row r="838" spans="1:7" x14ac:dyDescent="0.25">
      <c r="A838" t="s">
        <v>7435</v>
      </c>
      <c r="B838" t="s">
        <v>11670</v>
      </c>
      <c r="C838" t="s">
        <v>11671</v>
      </c>
      <c r="D838">
        <v>2020</v>
      </c>
      <c r="E838" t="s">
        <v>1895</v>
      </c>
      <c r="F838" t="s">
        <v>11747</v>
      </c>
    </row>
    <row r="839" spans="1:7" x14ac:dyDescent="0.25">
      <c r="A839" t="s">
        <v>11748</v>
      </c>
      <c r="B839" t="s">
        <v>11670</v>
      </c>
      <c r="C839" t="s">
        <v>11671</v>
      </c>
      <c r="D839">
        <v>2020</v>
      </c>
      <c r="E839" t="s">
        <v>1895</v>
      </c>
      <c r="F839" t="s">
        <v>11749</v>
      </c>
    </row>
    <row r="840" spans="1:7" x14ac:dyDescent="0.25">
      <c r="A840" t="s">
        <v>11750</v>
      </c>
      <c r="B840" t="s">
        <v>11751</v>
      </c>
      <c r="C840" t="s">
        <v>11671</v>
      </c>
      <c r="D840">
        <v>2020</v>
      </c>
      <c r="E840" t="s">
        <v>1895</v>
      </c>
      <c r="F840" t="s">
        <v>11752</v>
      </c>
    </row>
    <row r="841" spans="1:7" x14ac:dyDescent="0.25">
      <c r="A841" t="s">
        <v>11753</v>
      </c>
      <c r="B841" t="s">
        <v>11670</v>
      </c>
      <c r="C841" t="s">
        <v>11671</v>
      </c>
      <c r="D841">
        <v>2020</v>
      </c>
      <c r="E841" t="s">
        <v>1895</v>
      </c>
      <c r="F841" t="s">
        <v>11754</v>
      </c>
    </row>
    <row r="842" spans="1:7" x14ac:dyDescent="0.25">
      <c r="A842" t="s">
        <v>1951</v>
      </c>
      <c r="B842" t="s">
        <v>11755</v>
      </c>
      <c r="C842" t="s">
        <v>11756</v>
      </c>
      <c r="D842">
        <v>2023</v>
      </c>
      <c r="E842" t="s">
        <v>1951</v>
      </c>
      <c r="F842" t="s">
        <v>11757</v>
      </c>
      <c r="G842" t="s">
        <v>10044</v>
      </c>
    </row>
    <row r="843" spans="1:7" x14ac:dyDescent="0.25">
      <c r="A843" t="s">
        <v>11758</v>
      </c>
      <c r="B843" t="s">
        <v>11755</v>
      </c>
      <c r="C843" t="s">
        <v>11756</v>
      </c>
      <c r="D843">
        <v>2023</v>
      </c>
      <c r="E843" t="s">
        <v>1951</v>
      </c>
      <c r="F843" t="s">
        <v>11759</v>
      </c>
    </row>
    <row r="844" spans="1:7" x14ac:dyDescent="0.25">
      <c r="A844" t="s">
        <v>11760</v>
      </c>
      <c r="B844" t="s">
        <v>11755</v>
      </c>
      <c r="C844" t="s">
        <v>11756</v>
      </c>
      <c r="D844">
        <v>2023</v>
      </c>
      <c r="E844" t="s">
        <v>1951</v>
      </c>
      <c r="F844" t="s">
        <v>11761</v>
      </c>
    </row>
    <row r="845" spans="1:7" x14ac:dyDescent="0.25">
      <c r="A845" t="s">
        <v>11762</v>
      </c>
      <c r="B845" t="s">
        <v>11755</v>
      </c>
      <c r="C845" t="s">
        <v>11756</v>
      </c>
      <c r="D845">
        <v>2023</v>
      </c>
      <c r="E845" t="s">
        <v>1951</v>
      </c>
      <c r="F845" t="s">
        <v>11763</v>
      </c>
    </row>
    <row r="846" spans="1:7" x14ac:dyDescent="0.25">
      <c r="A846" t="s">
        <v>11764</v>
      </c>
      <c r="B846" t="s">
        <v>11755</v>
      </c>
      <c r="C846" t="s">
        <v>11756</v>
      </c>
      <c r="D846">
        <v>2023</v>
      </c>
      <c r="E846" t="s">
        <v>1951</v>
      </c>
      <c r="F846" t="s">
        <v>11765</v>
      </c>
    </row>
    <row r="847" spans="1:7" x14ac:dyDescent="0.25">
      <c r="A847" t="s">
        <v>11766</v>
      </c>
      <c r="B847" t="s">
        <v>11755</v>
      </c>
      <c r="C847" t="s">
        <v>11756</v>
      </c>
      <c r="D847">
        <v>2023</v>
      </c>
      <c r="E847" t="s">
        <v>1951</v>
      </c>
      <c r="F847" t="s">
        <v>11767</v>
      </c>
    </row>
    <row r="848" spans="1:7" x14ac:dyDescent="0.25">
      <c r="A848" t="s">
        <v>11768</v>
      </c>
      <c r="B848" t="s">
        <v>11755</v>
      </c>
      <c r="C848" t="s">
        <v>11756</v>
      </c>
      <c r="D848">
        <v>2023</v>
      </c>
      <c r="E848" t="s">
        <v>1951</v>
      </c>
      <c r="F848" t="s">
        <v>11769</v>
      </c>
    </row>
    <row r="849" spans="1:6" x14ac:dyDescent="0.25">
      <c r="A849" t="s">
        <v>11770</v>
      </c>
      <c r="B849" t="s">
        <v>11755</v>
      </c>
      <c r="C849" t="s">
        <v>11756</v>
      </c>
      <c r="D849">
        <v>2023</v>
      </c>
      <c r="E849" t="s">
        <v>1951</v>
      </c>
      <c r="F849" t="s">
        <v>11771</v>
      </c>
    </row>
    <row r="850" spans="1:6" x14ac:dyDescent="0.25">
      <c r="A850" t="s">
        <v>11772</v>
      </c>
      <c r="B850" t="s">
        <v>11755</v>
      </c>
      <c r="C850" t="s">
        <v>11756</v>
      </c>
      <c r="D850">
        <v>2023</v>
      </c>
      <c r="E850" t="s">
        <v>1951</v>
      </c>
      <c r="F850" t="s">
        <v>11773</v>
      </c>
    </row>
    <row r="851" spans="1:6" x14ac:dyDescent="0.25">
      <c r="A851" t="s">
        <v>11774</v>
      </c>
      <c r="B851" t="s">
        <v>11755</v>
      </c>
      <c r="C851" t="s">
        <v>11756</v>
      </c>
      <c r="D851">
        <v>2023</v>
      </c>
      <c r="E851" t="s">
        <v>1951</v>
      </c>
      <c r="F851" t="s">
        <v>11775</v>
      </c>
    </row>
    <row r="852" spans="1:6" x14ac:dyDescent="0.25">
      <c r="A852" t="s">
        <v>11776</v>
      </c>
      <c r="B852" t="s">
        <v>11755</v>
      </c>
      <c r="C852" t="s">
        <v>11756</v>
      </c>
      <c r="D852">
        <v>2023</v>
      </c>
      <c r="E852" t="s">
        <v>1951</v>
      </c>
      <c r="F852" t="s">
        <v>11777</v>
      </c>
    </row>
    <row r="853" spans="1:6" x14ac:dyDescent="0.25">
      <c r="A853" t="s">
        <v>11778</v>
      </c>
      <c r="B853" t="s">
        <v>11755</v>
      </c>
      <c r="C853" t="s">
        <v>11756</v>
      </c>
      <c r="D853">
        <v>2023</v>
      </c>
      <c r="E853" t="s">
        <v>1951</v>
      </c>
      <c r="F853" t="s">
        <v>11779</v>
      </c>
    </row>
    <row r="854" spans="1:6" x14ac:dyDescent="0.25">
      <c r="A854" t="s">
        <v>11780</v>
      </c>
      <c r="B854" t="s">
        <v>11755</v>
      </c>
      <c r="C854" t="s">
        <v>11756</v>
      </c>
      <c r="D854">
        <v>2026</v>
      </c>
      <c r="E854" t="s">
        <v>1951</v>
      </c>
      <c r="F854" t="s">
        <v>11781</v>
      </c>
    </row>
    <row r="855" spans="1:6" x14ac:dyDescent="0.25">
      <c r="A855" t="s">
        <v>11782</v>
      </c>
      <c r="B855" t="s">
        <v>11755</v>
      </c>
      <c r="C855" t="s">
        <v>11756</v>
      </c>
      <c r="D855">
        <v>2026</v>
      </c>
      <c r="E855" t="s">
        <v>1951</v>
      </c>
      <c r="F855" t="s">
        <v>11783</v>
      </c>
    </row>
    <row r="856" spans="1:6" x14ac:dyDescent="0.25">
      <c r="A856" t="s">
        <v>11784</v>
      </c>
      <c r="B856" t="s">
        <v>11755</v>
      </c>
      <c r="C856" t="s">
        <v>11756</v>
      </c>
      <c r="D856">
        <v>2026</v>
      </c>
      <c r="E856" t="s">
        <v>1951</v>
      </c>
      <c r="F856" t="s">
        <v>11785</v>
      </c>
    </row>
    <row r="857" spans="1:6" x14ac:dyDescent="0.25">
      <c r="A857" t="s">
        <v>11786</v>
      </c>
      <c r="B857" t="s">
        <v>11755</v>
      </c>
      <c r="C857" t="s">
        <v>11756</v>
      </c>
      <c r="D857">
        <v>2026</v>
      </c>
      <c r="E857" t="s">
        <v>1951</v>
      </c>
      <c r="F857" t="s">
        <v>11787</v>
      </c>
    </row>
    <row r="858" spans="1:6" x14ac:dyDescent="0.25">
      <c r="A858" t="s">
        <v>11788</v>
      </c>
      <c r="B858" t="s">
        <v>11755</v>
      </c>
      <c r="C858" t="s">
        <v>11756</v>
      </c>
      <c r="D858">
        <v>2026</v>
      </c>
      <c r="E858" t="s">
        <v>1951</v>
      </c>
      <c r="F858" t="s">
        <v>11789</v>
      </c>
    </row>
    <row r="859" spans="1:6" x14ac:dyDescent="0.25">
      <c r="A859" t="s">
        <v>11790</v>
      </c>
      <c r="B859" t="s">
        <v>11755</v>
      </c>
      <c r="C859" t="s">
        <v>11756</v>
      </c>
      <c r="D859">
        <v>2026</v>
      </c>
      <c r="E859" t="s">
        <v>1951</v>
      </c>
      <c r="F859" t="s">
        <v>11791</v>
      </c>
    </row>
    <row r="860" spans="1:6" x14ac:dyDescent="0.25">
      <c r="A860" t="s">
        <v>11792</v>
      </c>
      <c r="B860" t="s">
        <v>11755</v>
      </c>
      <c r="C860" t="s">
        <v>11756</v>
      </c>
      <c r="D860">
        <v>2026</v>
      </c>
      <c r="E860" t="s">
        <v>1951</v>
      </c>
      <c r="F860" t="s">
        <v>11793</v>
      </c>
    </row>
    <row r="861" spans="1:6" x14ac:dyDescent="0.25">
      <c r="A861" t="s">
        <v>11794</v>
      </c>
      <c r="B861" t="s">
        <v>11755</v>
      </c>
      <c r="C861" t="s">
        <v>11756</v>
      </c>
      <c r="D861">
        <v>2026</v>
      </c>
      <c r="E861" t="s">
        <v>1951</v>
      </c>
      <c r="F861" t="s">
        <v>11795</v>
      </c>
    </row>
    <row r="862" spans="1:6" x14ac:dyDescent="0.25">
      <c r="A862" t="s">
        <v>11796</v>
      </c>
      <c r="B862" t="s">
        <v>11755</v>
      </c>
      <c r="C862" t="s">
        <v>11756</v>
      </c>
      <c r="D862">
        <v>2026</v>
      </c>
      <c r="E862" t="s">
        <v>1951</v>
      </c>
      <c r="F862" t="s">
        <v>11797</v>
      </c>
    </row>
    <row r="863" spans="1:6" x14ac:dyDescent="0.25">
      <c r="A863" t="s">
        <v>11798</v>
      </c>
      <c r="B863" t="s">
        <v>11755</v>
      </c>
      <c r="C863" t="s">
        <v>11756</v>
      </c>
      <c r="D863">
        <v>2026</v>
      </c>
      <c r="E863" t="s">
        <v>1951</v>
      </c>
      <c r="F863" t="s">
        <v>11799</v>
      </c>
    </row>
    <row r="864" spans="1:6" x14ac:dyDescent="0.25">
      <c r="A864" t="s">
        <v>11800</v>
      </c>
      <c r="B864" t="s">
        <v>11801</v>
      </c>
      <c r="C864" t="s">
        <v>11802</v>
      </c>
      <c r="D864">
        <v>2005</v>
      </c>
      <c r="E864" t="s">
        <v>2009</v>
      </c>
      <c r="F864" t="s">
        <v>11803</v>
      </c>
    </row>
    <row r="865" spans="1:7" x14ac:dyDescent="0.25">
      <c r="A865" t="s">
        <v>11804</v>
      </c>
      <c r="B865" t="s">
        <v>11801</v>
      </c>
      <c r="C865" t="s">
        <v>11802</v>
      </c>
      <c r="D865">
        <v>2005</v>
      </c>
      <c r="E865" t="s">
        <v>2009</v>
      </c>
      <c r="F865" t="s">
        <v>11805</v>
      </c>
    </row>
    <row r="866" spans="1:7" x14ac:dyDescent="0.25">
      <c r="A866" t="s">
        <v>11806</v>
      </c>
      <c r="B866" t="s">
        <v>11801</v>
      </c>
      <c r="C866" t="s">
        <v>11802</v>
      </c>
      <c r="D866">
        <v>2005</v>
      </c>
      <c r="E866" t="s">
        <v>2009</v>
      </c>
      <c r="F866" t="s">
        <v>11807</v>
      </c>
      <c r="G866" t="s">
        <v>10044</v>
      </c>
    </row>
    <row r="867" spans="1:7" x14ac:dyDescent="0.25">
      <c r="A867" t="s">
        <v>11808</v>
      </c>
      <c r="B867" t="s">
        <v>11801</v>
      </c>
      <c r="C867" t="s">
        <v>11802</v>
      </c>
      <c r="D867">
        <v>2005</v>
      </c>
      <c r="E867" t="s">
        <v>2009</v>
      </c>
      <c r="F867" t="s">
        <v>11809</v>
      </c>
    </row>
    <row r="868" spans="1:7" x14ac:dyDescent="0.25">
      <c r="A868" t="s">
        <v>11810</v>
      </c>
      <c r="B868" t="s">
        <v>11801</v>
      </c>
      <c r="C868" t="s">
        <v>11802</v>
      </c>
      <c r="D868">
        <v>2005</v>
      </c>
      <c r="E868" t="s">
        <v>2009</v>
      </c>
      <c r="F868" t="s">
        <v>11811</v>
      </c>
    </row>
    <row r="869" spans="1:7" x14ac:dyDescent="0.25">
      <c r="A869" t="s">
        <v>11812</v>
      </c>
      <c r="B869" t="s">
        <v>11801</v>
      </c>
      <c r="C869" t="s">
        <v>11802</v>
      </c>
      <c r="D869">
        <v>2005</v>
      </c>
      <c r="E869" t="s">
        <v>2009</v>
      </c>
      <c r="F869" t="s">
        <v>11813</v>
      </c>
    </row>
    <row r="870" spans="1:7" x14ac:dyDescent="0.25">
      <c r="A870" t="s">
        <v>11814</v>
      </c>
      <c r="B870" t="s">
        <v>11801</v>
      </c>
      <c r="C870" t="s">
        <v>11802</v>
      </c>
      <c r="D870">
        <v>2005</v>
      </c>
      <c r="E870" t="s">
        <v>2009</v>
      </c>
      <c r="F870" t="s">
        <v>11815</v>
      </c>
    </row>
    <row r="871" spans="1:7" x14ac:dyDescent="0.25">
      <c r="A871" t="s">
        <v>11816</v>
      </c>
      <c r="B871" t="s">
        <v>11801</v>
      </c>
      <c r="C871" t="s">
        <v>11802</v>
      </c>
      <c r="D871">
        <v>2005</v>
      </c>
      <c r="E871" t="s">
        <v>2009</v>
      </c>
      <c r="F871" t="s">
        <v>11817</v>
      </c>
    </row>
    <row r="872" spans="1:7" x14ac:dyDescent="0.25">
      <c r="A872" t="s">
        <v>11818</v>
      </c>
      <c r="B872" t="s">
        <v>11801</v>
      </c>
      <c r="C872" t="s">
        <v>11802</v>
      </c>
      <c r="D872">
        <v>2005</v>
      </c>
      <c r="E872" t="s">
        <v>2009</v>
      </c>
      <c r="F872" t="s">
        <v>11819</v>
      </c>
    </row>
    <row r="873" spans="1:7" x14ac:dyDescent="0.25">
      <c r="A873" t="s">
        <v>11820</v>
      </c>
      <c r="B873" t="s">
        <v>11801</v>
      </c>
      <c r="C873" t="s">
        <v>11802</v>
      </c>
      <c r="D873">
        <v>2005</v>
      </c>
      <c r="E873" t="s">
        <v>2009</v>
      </c>
      <c r="F873" t="s">
        <v>11821</v>
      </c>
    </row>
    <row r="874" spans="1:7" x14ac:dyDescent="0.25">
      <c r="A874" t="s">
        <v>11822</v>
      </c>
      <c r="B874" t="s">
        <v>11801</v>
      </c>
      <c r="C874" t="s">
        <v>11802</v>
      </c>
      <c r="D874">
        <v>2005</v>
      </c>
      <c r="E874" t="s">
        <v>2009</v>
      </c>
      <c r="F874" t="s">
        <v>11823</v>
      </c>
    </row>
    <row r="875" spans="1:7" x14ac:dyDescent="0.25">
      <c r="A875" t="s">
        <v>11824</v>
      </c>
      <c r="B875" t="s">
        <v>11801</v>
      </c>
      <c r="C875" t="s">
        <v>11802</v>
      </c>
      <c r="D875">
        <v>2005</v>
      </c>
      <c r="E875" t="s">
        <v>2009</v>
      </c>
      <c r="F875" t="s">
        <v>11825</v>
      </c>
    </row>
    <row r="876" spans="1:7" x14ac:dyDescent="0.25">
      <c r="A876" t="s">
        <v>11826</v>
      </c>
      <c r="B876" t="s">
        <v>11801</v>
      </c>
      <c r="C876" t="s">
        <v>11802</v>
      </c>
      <c r="D876">
        <v>2005</v>
      </c>
      <c r="E876" t="s">
        <v>2009</v>
      </c>
      <c r="F876" t="s">
        <v>11827</v>
      </c>
    </row>
    <row r="877" spans="1:7" x14ac:dyDescent="0.25">
      <c r="A877" t="s">
        <v>11828</v>
      </c>
      <c r="B877" t="s">
        <v>11801</v>
      </c>
      <c r="C877" t="s">
        <v>11802</v>
      </c>
      <c r="D877">
        <v>2005</v>
      </c>
      <c r="E877" t="s">
        <v>2009</v>
      </c>
      <c r="F877" t="s">
        <v>11829</v>
      </c>
    </row>
    <row r="878" spans="1:7" x14ac:dyDescent="0.25">
      <c r="A878" t="s">
        <v>11830</v>
      </c>
      <c r="B878" t="s">
        <v>11801</v>
      </c>
      <c r="C878" t="s">
        <v>11802</v>
      </c>
      <c r="D878">
        <v>2005</v>
      </c>
      <c r="E878" t="s">
        <v>2009</v>
      </c>
      <c r="F878" t="s">
        <v>11831</v>
      </c>
    </row>
    <row r="879" spans="1:7" x14ac:dyDescent="0.25">
      <c r="A879" t="s">
        <v>11832</v>
      </c>
      <c r="B879" t="s">
        <v>11801</v>
      </c>
      <c r="C879" t="s">
        <v>11802</v>
      </c>
      <c r="D879">
        <v>2005</v>
      </c>
      <c r="E879" t="s">
        <v>2009</v>
      </c>
      <c r="F879" t="s">
        <v>11833</v>
      </c>
    </row>
    <row r="880" spans="1:7" x14ac:dyDescent="0.25">
      <c r="A880" t="s">
        <v>11834</v>
      </c>
      <c r="B880" t="s">
        <v>11801</v>
      </c>
      <c r="C880" t="s">
        <v>11802</v>
      </c>
      <c r="D880">
        <v>2005</v>
      </c>
      <c r="E880" t="s">
        <v>2009</v>
      </c>
      <c r="F880" t="s">
        <v>11835</v>
      </c>
    </row>
    <row r="881" spans="1:6" x14ac:dyDescent="0.25">
      <c r="A881" t="s">
        <v>11836</v>
      </c>
      <c r="B881" t="s">
        <v>11801</v>
      </c>
      <c r="C881" t="s">
        <v>11802</v>
      </c>
      <c r="D881">
        <v>2005</v>
      </c>
      <c r="E881" t="s">
        <v>2009</v>
      </c>
      <c r="F881" t="s">
        <v>11837</v>
      </c>
    </row>
    <row r="882" spans="1:6" x14ac:dyDescent="0.25">
      <c r="A882" t="s">
        <v>11838</v>
      </c>
      <c r="B882" t="s">
        <v>11801</v>
      </c>
      <c r="C882" t="s">
        <v>11802</v>
      </c>
      <c r="D882">
        <v>2005</v>
      </c>
      <c r="E882" t="s">
        <v>2009</v>
      </c>
      <c r="F882" t="s">
        <v>11839</v>
      </c>
    </row>
    <row r="883" spans="1:6" x14ac:dyDescent="0.25">
      <c r="A883" t="s">
        <v>11840</v>
      </c>
      <c r="B883" t="s">
        <v>11801</v>
      </c>
      <c r="C883" t="s">
        <v>11802</v>
      </c>
      <c r="D883">
        <v>2005</v>
      </c>
      <c r="E883" t="s">
        <v>2009</v>
      </c>
      <c r="F883" t="s">
        <v>11841</v>
      </c>
    </row>
    <row r="884" spans="1:6" x14ac:dyDescent="0.25">
      <c r="A884" t="s">
        <v>11842</v>
      </c>
      <c r="B884" t="s">
        <v>11801</v>
      </c>
      <c r="C884" t="s">
        <v>11802</v>
      </c>
      <c r="D884">
        <v>2005</v>
      </c>
      <c r="E884" t="s">
        <v>2009</v>
      </c>
      <c r="F884" t="s">
        <v>11843</v>
      </c>
    </row>
    <row r="885" spans="1:6" x14ac:dyDescent="0.25">
      <c r="A885" t="s">
        <v>11844</v>
      </c>
      <c r="B885" t="s">
        <v>11801</v>
      </c>
      <c r="C885" t="s">
        <v>11802</v>
      </c>
      <c r="D885">
        <v>2005</v>
      </c>
      <c r="E885" t="s">
        <v>2009</v>
      </c>
      <c r="F885" t="s">
        <v>11845</v>
      </c>
    </row>
    <row r="886" spans="1:6" x14ac:dyDescent="0.25">
      <c r="A886" t="s">
        <v>11846</v>
      </c>
      <c r="B886" t="s">
        <v>11801</v>
      </c>
      <c r="C886" t="s">
        <v>11802</v>
      </c>
      <c r="D886">
        <v>2005</v>
      </c>
      <c r="E886" t="s">
        <v>2009</v>
      </c>
      <c r="F886" t="s">
        <v>11847</v>
      </c>
    </row>
    <row r="887" spans="1:6" x14ac:dyDescent="0.25">
      <c r="A887" t="s">
        <v>11848</v>
      </c>
      <c r="B887" t="s">
        <v>11801</v>
      </c>
      <c r="C887" t="s">
        <v>11802</v>
      </c>
      <c r="D887">
        <v>2005</v>
      </c>
      <c r="E887" t="s">
        <v>2009</v>
      </c>
      <c r="F887" t="s">
        <v>11849</v>
      </c>
    </row>
    <row r="888" spans="1:6" x14ac:dyDescent="0.25">
      <c r="A888" t="s">
        <v>11850</v>
      </c>
      <c r="B888" t="s">
        <v>11801</v>
      </c>
      <c r="C888" t="s">
        <v>11802</v>
      </c>
      <c r="D888">
        <v>2005</v>
      </c>
      <c r="E888" t="s">
        <v>2009</v>
      </c>
      <c r="F888" t="s">
        <v>11851</v>
      </c>
    </row>
    <row r="889" spans="1:6" x14ac:dyDescent="0.25">
      <c r="A889" t="s">
        <v>11852</v>
      </c>
      <c r="B889" t="s">
        <v>11801</v>
      </c>
      <c r="C889" t="s">
        <v>11802</v>
      </c>
      <c r="D889">
        <v>2005</v>
      </c>
      <c r="E889" t="s">
        <v>2009</v>
      </c>
      <c r="F889" t="s">
        <v>11853</v>
      </c>
    </row>
    <row r="890" spans="1:6" x14ac:dyDescent="0.25">
      <c r="A890" t="s">
        <v>11854</v>
      </c>
      <c r="B890" t="s">
        <v>11801</v>
      </c>
      <c r="C890" t="s">
        <v>11802</v>
      </c>
      <c r="D890">
        <v>2005</v>
      </c>
      <c r="E890" t="s">
        <v>2009</v>
      </c>
      <c r="F890" t="s">
        <v>11855</v>
      </c>
    </row>
    <row r="891" spans="1:6" x14ac:dyDescent="0.25">
      <c r="A891" t="s">
        <v>11856</v>
      </c>
      <c r="B891" t="s">
        <v>11801</v>
      </c>
      <c r="C891" t="s">
        <v>11802</v>
      </c>
      <c r="D891">
        <v>2005</v>
      </c>
      <c r="E891" t="s">
        <v>2009</v>
      </c>
      <c r="F891" t="s">
        <v>11857</v>
      </c>
    </row>
    <row r="892" spans="1:6" x14ac:dyDescent="0.25">
      <c r="A892" t="s">
        <v>11858</v>
      </c>
      <c r="B892" t="s">
        <v>11801</v>
      </c>
      <c r="C892" t="s">
        <v>11802</v>
      </c>
      <c r="D892">
        <v>2005</v>
      </c>
      <c r="E892" t="s">
        <v>2009</v>
      </c>
      <c r="F892" t="s">
        <v>11859</v>
      </c>
    </row>
    <row r="893" spans="1:6" x14ac:dyDescent="0.25">
      <c r="A893" t="s">
        <v>11860</v>
      </c>
      <c r="B893" t="s">
        <v>11801</v>
      </c>
      <c r="C893" t="s">
        <v>11802</v>
      </c>
      <c r="D893">
        <v>2005</v>
      </c>
      <c r="E893" t="s">
        <v>2009</v>
      </c>
      <c r="F893" t="s">
        <v>11861</v>
      </c>
    </row>
    <row r="894" spans="1:6" x14ac:dyDescent="0.25">
      <c r="A894" t="s">
        <v>11862</v>
      </c>
      <c r="B894" t="s">
        <v>11801</v>
      </c>
      <c r="C894" t="s">
        <v>11802</v>
      </c>
      <c r="D894">
        <v>2005</v>
      </c>
      <c r="E894" t="s">
        <v>2009</v>
      </c>
      <c r="F894" t="s">
        <v>11863</v>
      </c>
    </row>
    <row r="895" spans="1:6" x14ac:dyDescent="0.25">
      <c r="A895" t="s">
        <v>11864</v>
      </c>
      <c r="B895" t="s">
        <v>11801</v>
      </c>
      <c r="C895" t="s">
        <v>11802</v>
      </c>
      <c r="D895">
        <v>2005</v>
      </c>
      <c r="E895" t="s">
        <v>2009</v>
      </c>
      <c r="F895" t="s">
        <v>11865</v>
      </c>
    </row>
    <row r="896" spans="1:6" x14ac:dyDescent="0.25">
      <c r="A896" t="s">
        <v>11866</v>
      </c>
      <c r="B896" t="s">
        <v>11801</v>
      </c>
      <c r="C896" t="s">
        <v>11802</v>
      </c>
      <c r="D896">
        <v>2005</v>
      </c>
      <c r="E896" t="s">
        <v>2009</v>
      </c>
      <c r="F896" t="s">
        <v>11867</v>
      </c>
    </row>
    <row r="897" spans="1:6" x14ac:dyDescent="0.25">
      <c r="A897" t="s">
        <v>11868</v>
      </c>
      <c r="B897" t="s">
        <v>11801</v>
      </c>
      <c r="C897" t="s">
        <v>11802</v>
      </c>
      <c r="D897">
        <v>2005</v>
      </c>
      <c r="E897" t="s">
        <v>2009</v>
      </c>
      <c r="F897" t="s">
        <v>11869</v>
      </c>
    </row>
    <row r="898" spans="1:6" x14ac:dyDescent="0.25">
      <c r="A898" t="s">
        <v>11870</v>
      </c>
      <c r="B898" t="s">
        <v>11801</v>
      </c>
      <c r="C898" t="s">
        <v>11802</v>
      </c>
      <c r="D898">
        <v>2005</v>
      </c>
      <c r="E898" t="s">
        <v>2009</v>
      </c>
      <c r="F898" t="s">
        <v>11871</v>
      </c>
    </row>
    <row r="899" spans="1:6" x14ac:dyDescent="0.25">
      <c r="A899" t="s">
        <v>11872</v>
      </c>
      <c r="B899" t="s">
        <v>11801</v>
      </c>
      <c r="C899" t="s">
        <v>11802</v>
      </c>
      <c r="D899">
        <v>2005</v>
      </c>
      <c r="E899" t="s">
        <v>2009</v>
      </c>
      <c r="F899" t="s">
        <v>11873</v>
      </c>
    </row>
    <row r="900" spans="1:6" x14ac:dyDescent="0.25">
      <c r="A900" t="s">
        <v>11874</v>
      </c>
      <c r="B900" t="s">
        <v>11801</v>
      </c>
      <c r="C900" t="s">
        <v>11802</v>
      </c>
      <c r="D900">
        <v>2005</v>
      </c>
      <c r="E900" t="s">
        <v>2009</v>
      </c>
      <c r="F900" t="s">
        <v>11875</v>
      </c>
    </row>
    <row r="901" spans="1:6" x14ac:dyDescent="0.25">
      <c r="A901" t="s">
        <v>11876</v>
      </c>
      <c r="B901" t="s">
        <v>11801</v>
      </c>
      <c r="C901" t="s">
        <v>11802</v>
      </c>
      <c r="D901">
        <v>2005</v>
      </c>
      <c r="E901" t="s">
        <v>2009</v>
      </c>
      <c r="F901" t="s">
        <v>11877</v>
      </c>
    </row>
    <row r="902" spans="1:6" x14ac:dyDescent="0.25">
      <c r="A902" t="s">
        <v>11878</v>
      </c>
      <c r="B902" t="s">
        <v>11801</v>
      </c>
      <c r="C902" t="s">
        <v>11802</v>
      </c>
      <c r="D902">
        <v>2005</v>
      </c>
      <c r="E902" t="s">
        <v>2009</v>
      </c>
      <c r="F902" t="s">
        <v>11879</v>
      </c>
    </row>
    <row r="903" spans="1:6" x14ac:dyDescent="0.25">
      <c r="A903" t="s">
        <v>11880</v>
      </c>
      <c r="B903" t="s">
        <v>11801</v>
      </c>
      <c r="C903" t="s">
        <v>11802</v>
      </c>
      <c r="D903">
        <v>2005</v>
      </c>
      <c r="E903" t="s">
        <v>2009</v>
      </c>
      <c r="F903" t="s">
        <v>11881</v>
      </c>
    </row>
    <row r="904" spans="1:6" x14ac:dyDescent="0.25">
      <c r="A904" t="s">
        <v>11882</v>
      </c>
      <c r="B904" t="s">
        <v>11801</v>
      </c>
      <c r="C904" t="s">
        <v>11802</v>
      </c>
      <c r="D904">
        <v>2005</v>
      </c>
      <c r="E904" t="s">
        <v>2009</v>
      </c>
      <c r="F904" t="s">
        <v>11883</v>
      </c>
    </row>
    <row r="905" spans="1:6" x14ac:dyDescent="0.25">
      <c r="A905" t="s">
        <v>11884</v>
      </c>
      <c r="B905" t="s">
        <v>11801</v>
      </c>
      <c r="C905" t="s">
        <v>11802</v>
      </c>
      <c r="D905">
        <v>2005</v>
      </c>
      <c r="E905" t="s">
        <v>2009</v>
      </c>
      <c r="F905" t="s">
        <v>11885</v>
      </c>
    </row>
    <row r="906" spans="1:6" x14ac:dyDescent="0.25">
      <c r="A906" t="s">
        <v>11886</v>
      </c>
      <c r="B906" t="s">
        <v>11801</v>
      </c>
      <c r="C906" t="s">
        <v>11802</v>
      </c>
      <c r="D906">
        <v>2005</v>
      </c>
      <c r="E906" t="s">
        <v>2009</v>
      </c>
      <c r="F906" t="s">
        <v>11887</v>
      </c>
    </row>
    <row r="907" spans="1:6" x14ac:dyDescent="0.25">
      <c r="A907" t="s">
        <v>11888</v>
      </c>
      <c r="B907" t="s">
        <v>11801</v>
      </c>
      <c r="C907" t="s">
        <v>11802</v>
      </c>
      <c r="D907">
        <v>2005</v>
      </c>
      <c r="E907" t="s">
        <v>2009</v>
      </c>
      <c r="F907" t="s">
        <v>11889</v>
      </c>
    </row>
    <row r="908" spans="1:6" x14ac:dyDescent="0.25">
      <c r="A908" t="s">
        <v>11890</v>
      </c>
      <c r="B908" t="s">
        <v>11801</v>
      </c>
      <c r="C908" t="s">
        <v>11802</v>
      </c>
      <c r="D908">
        <v>2005</v>
      </c>
      <c r="E908" t="s">
        <v>2009</v>
      </c>
      <c r="F908" t="s">
        <v>11891</v>
      </c>
    </row>
    <row r="909" spans="1:6" x14ac:dyDescent="0.25">
      <c r="A909" t="s">
        <v>11892</v>
      </c>
      <c r="B909" t="s">
        <v>11801</v>
      </c>
      <c r="C909" t="s">
        <v>11802</v>
      </c>
      <c r="D909">
        <v>2005</v>
      </c>
      <c r="E909" t="s">
        <v>2009</v>
      </c>
      <c r="F909" t="s">
        <v>11893</v>
      </c>
    </row>
    <row r="910" spans="1:6" x14ac:dyDescent="0.25">
      <c r="A910" t="s">
        <v>11894</v>
      </c>
      <c r="B910" t="s">
        <v>11801</v>
      </c>
      <c r="C910" t="s">
        <v>11802</v>
      </c>
      <c r="D910">
        <v>2005</v>
      </c>
      <c r="E910" t="s">
        <v>2009</v>
      </c>
      <c r="F910" t="s">
        <v>11895</v>
      </c>
    </row>
    <row r="911" spans="1:6" x14ac:dyDescent="0.25">
      <c r="A911" t="s">
        <v>11896</v>
      </c>
      <c r="B911" t="s">
        <v>11801</v>
      </c>
      <c r="C911" t="s">
        <v>11802</v>
      </c>
      <c r="D911">
        <v>2005</v>
      </c>
      <c r="E911" t="s">
        <v>2009</v>
      </c>
      <c r="F911" t="s">
        <v>11897</v>
      </c>
    </row>
    <row r="912" spans="1:6" x14ac:dyDescent="0.25">
      <c r="A912" t="s">
        <v>11898</v>
      </c>
      <c r="B912" t="s">
        <v>11801</v>
      </c>
      <c r="C912" t="s">
        <v>11802</v>
      </c>
      <c r="D912">
        <v>2005</v>
      </c>
      <c r="E912" t="s">
        <v>2009</v>
      </c>
      <c r="F912" t="s">
        <v>11899</v>
      </c>
    </row>
    <row r="913" spans="1:6" x14ac:dyDescent="0.25">
      <c r="A913" t="s">
        <v>11900</v>
      </c>
      <c r="B913" t="s">
        <v>11801</v>
      </c>
      <c r="C913" t="s">
        <v>11802</v>
      </c>
      <c r="D913">
        <v>2005</v>
      </c>
      <c r="E913" t="s">
        <v>2009</v>
      </c>
      <c r="F913" t="s">
        <v>11901</v>
      </c>
    </row>
    <row r="914" spans="1:6" x14ac:dyDescent="0.25">
      <c r="A914" t="s">
        <v>11902</v>
      </c>
      <c r="B914" t="s">
        <v>11801</v>
      </c>
      <c r="C914" t="s">
        <v>11802</v>
      </c>
      <c r="D914">
        <v>2005</v>
      </c>
      <c r="E914" t="s">
        <v>2009</v>
      </c>
      <c r="F914" t="s">
        <v>11903</v>
      </c>
    </row>
    <row r="915" spans="1:6" x14ac:dyDescent="0.25">
      <c r="A915" t="s">
        <v>11904</v>
      </c>
      <c r="B915" t="s">
        <v>11801</v>
      </c>
      <c r="C915" t="s">
        <v>11802</v>
      </c>
      <c r="D915">
        <v>2005</v>
      </c>
      <c r="E915" t="s">
        <v>2009</v>
      </c>
      <c r="F915" t="s">
        <v>11905</v>
      </c>
    </row>
    <row r="916" spans="1:6" x14ac:dyDescent="0.25">
      <c r="A916" t="s">
        <v>11906</v>
      </c>
      <c r="B916" t="s">
        <v>11801</v>
      </c>
      <c r="C916" t="s">
        <v>11802</v>
      </c>
      <c r="D916">
        <v>2005</v>
      </c>
      <c r="E916" t="s">
        <v>2009</v>
      </c>
      <c r="F916" t="s">
        <v>11907</v>
      </c>
    </row>
    <row r="917" spans="1:6" x14ac:dyDescent="0.25">
      <c r="A917" t="s">
        <v>11908</v>
      </c>
      <c r="B917" t="s">
        <v>11801</v>
      </c>
      <c r="C917" t="s">
        <v>11802</v>
      </c>
      <c r="D917">
        <v>2005</v>
      </c>
      <c r="E917" t="s">
        <v>2009</v>
      </c>
      <c r="F917" t="s">
        <v>11909</v>
      </c>
    </row>
    <row r="918" spans="1:6" x14ac:dyDescent="0.25">
      <c r="A918" t="s">
        <v>11910</v>
      </c>
      <c r="B918" t="s">
        <v>11801</v>
      </c>
      <c r="C918" t="s">
        <v>11802</v>
      </c>
      <c r="D918">
        <v>2005</v>
      </c>
      <c r="E918" t="s">
        <v>2009</v>
      </c>
      <c r="F918" t="s">
        <v>11911</v>
      </c>
    </row>
    <row r="919" spans="1:6" x14ac:dyDescent="0.25">
      <c r="A919" t="s">
        <v>11912</v>
      </c>
      <c r="B919" t="s">
        <v>11801</v>
      </c>
      <c r="C919" t="s">
        <v>11802</v>
      </c>
      <c r="D919">
        <v>2005</v>
      </c>
      <c r="E919" t="s">
        <v>2009</v>
      </c>
      <c r="F919" t="s">
        <v>11913</v>
      </c>
    </row>
    <row r="920" spans="1:6" x14ac:dyDescent="0.25">
      <c r="A920" t="s">
        <v>11914</v>
      </c>
      <c r="B920" t="s">
        <v>11801</v>
      </c>
      <c r="C920" t="s">
        <v>11802</v>
      </c>
      <c r="D920">
        <v>2005</v>
      </c>
      <c r="E920" t="s">
        <v>2009</v>
      </c>
      <c r="F920" t="s">
        <v>11915</v>
      </c>
    </row>
    <row r="921" spans="1:6" x14ac:dyDescent="0.25">
      <c r="A921" t="s">
        <v>11916</v>
      </c>
      <c r="B921" t="s">
        <v>11801</v>
      </c>
      <c r="C921" t="s">
        <v>11802</v>
      </c>
      <c r="D921">
        <v>2005</v>
      </c>
      <c r="E921" t="s">
        <v>2009</v>
      </c>
      <c r="F921" t="s">
        <v>11917</v>
      </c>
    </row>
    <row r="922" spans="1:6" x14ac:dyDescent="0.25">
      <c r="A922" t="s">
        <v>11918</v>
      </c>
      <c r="B922" t="s">
        <v>11801</v>
      </c>
      <c r="C922" t="s">
        <v>11802</v>
      </c>
      <c r="D922">
        <v>2005</v>
      </c>
      <c r="E922" t="s">
        <v>2009</v>
      </c>
      <c r="F922" t="s">
        <v>11919</v>
      </c>
    </row>
    <row r="923" spans="1:6" x14ac:dyDescent="0.25">
      <c r="A923" t="s">
        <v>11920</v>
      </c>
      <c r="B923" t="s">
        <v>11801</v>
      </c>
      <c r="C923" t="s">
        <v>11802</v>
      </c>
      <c r="D923">
        <v>2005</v>
      </c>
      <c r="E923" t="s">
        <v>2009</v>
      </c>
      <c r="F923" t="s">
        <v>11921</v>
      </c>
    </row>
    <row r="924" spans="1:6" x14ac:dyDescent="0.25">
      <c r="A924" t="s">
        <v>11922</v>
      </c>
      <c r="B924" t="s">
        <v>11801</v>
      </c>
      <c r="C924" t="s">
        <v>11802</v>
      </c>
      <c r="D924">
        <v>2005</v>
      </c>
      <c r="E924" t="s">
        <v>2009</v>
      </c>
      <c r="F924" t="s">
        <v>11923</v>
      </c>
    </row>
    <row r="925" spans="1:6" x14ac:dyDescent="0.25">
      <c r="A925" t="s">
        <v>11924</v>
      </c>
      <c r="B925" t="s">
        <v>11801</v>
      </c>
      <c r="C925" t="s">
        <v>11802</v>
      </c>
      <c r="D925">
        <v>2005</v>
      </c>
      <c r="E925" t="s">
        <v>2009</v>
      </c>
      <c r="F925" t="s">
        <v>11925</v>
      </c>
    </row>
    <row r="926" spans="1:6" x14ac:dyDescent="0.25">
      <c r="A926" t="s">
        <v>3445</v>
      </c>
      <c r="B926" t="s">
        <v>11801</v>
      </c>
      <c r="C926" t="s">
        <v>11802</v>
      </c>
      <c r="D926">
        <v>2005</v>
      </c>
      <c r="E926" t="s">
        <v>2009</v>
      </c>
      <c r="F926" t="s">
        <v>11926</v>
      </c>
    </row>
    <row r="927" spans="1:6" x14ac:dyDescent="0.25">
      <c r="A927" t="s">
        <v>11927</v>
      </c>
      <c r="B927" t="s">
        <v>11801</v>
      </c>
      <c r="C927" t="s">
        <v>11802</v>
      </c>
      <c r="D927">
        <v>2005</v>
      </c>
      <c r="E927" t="s">
        <v>2009</v>
      </c>
      <c r="F927" t="s">
        <v>11928</v>
      </c>
    </row>
    <row r="928" spans="1:6" x14ac:dyDescent="0.25">
      <c r="A928" t="s">
        <v>11929</v>
      </c>
      <c r="B928" t="s">
        <v>11801</v>
      </c>
      <c r="C928" t="s">
        <v>11802</v>
      </c>
      <c r="D928">
        <v>2005</v>
      </c>
      <c r="E928" t="s">
        <v>2009</v>
      </c>
      <c r="F928" t="s">
        <v>11930</v>
      </c>
    </row>
    <row r="929" spans="1:6" x14ac:dyDescent="0.25">
      <c r="A929" t="s">
        <v>3446</v>
      </c>
      <c r="B929" t="s">
        <v>11801</v>
      </c>
      <c r="C929" t="s">
        <v>11802</v>
      </c>
      <c r="D929">
        <v>2005</v>
      </c>
      <c r="E929" t="s">
        <v>2009</v>
      </c>
      <c r="F929" t="s">
        <v>11931</v>
      </c>
    </row>
    <row r="930" spans="1:6" x14ac:dyDescent="0.25">
      <c r="A930" t="s">
        <v>11932</v>
      </c>
      <c r="B930" t="s">
        <v>11801</v>
      </c>
      <c r="C930" t="s">
        <v>11802</v>
      </c>
      <c r="D930">
        <v>2005</v>
      </c>
      <c r="E930" t="s">
        <v>2009</v>
      </c>
      <c r="F930" t="s">
        <v>11933</v>
      </c>
    </row>
    <row r="931" spans="1:6" x14ac:dyDescent="0.25">
      <c r="A931" t="s">
        <v>11934</v>
      </c>
      <c r="B931" t="s">
        <v>11801</v>
      </c>
      <c r="C931" t="s">
        <v>11802</v>
      </c>
      <c r="D931">
        <v>2005</v>
      </c>
      <c r="E931" t="s">
        <v>2009</v>
      </c>
      <c r="F931" t="s">
        <v>11935</v>
      </c>
    </row>
    <row r="932" spans="1:6" x14ac:dyDescent="0.25">
      <c r="A932" t="s">
        <v>11936</v>
      </c>
      <c r="B932" t="s">
        <v>11801</v>
      </c>
      <c r="C932" t="s">
        <v>11802</v>
      </c>
      <c r="D932">
        <v>2005</v>
      </c>
      <c r="E932" t="s">
        <v>2009</v>
      </c>
      <c r="F932" t="s">
        <v>11937</v>
      </c>
    </row>
    <row r="933" spans="1:6" x14ac:dyDescent="0.25">
      <c r="A933" t="s">
        <v>11938</v>
      </c>
      <c r="B933" t="s">
        <v>11801</v>
      </c>
      <c r="C933" t="s">
        <v>11802</v>
      </c>
      <c r="D933">
        <v>2005</v>
      </c>
      <c r="E933" t="s">
        <v>2009</v>
      </c>
      <c r="F933" t="s">
        <v>11939</v>
      </c>
    </row>
    <row r="934" spans="1:6" x14ac:dyDescent="0.25">
      <c r="A934" t="s">
        <v>11940</v>
      </c>
      <c r="B934" t="s">
        <v>11801</v>
      </c>
      <c r="C934" t="s">
        <v>11802</v>
      </c>
      <c r="D934">
        <v>2005</v>
      </c>
      <c r="E934" t="s">
        <v>2009</v>
      </c>
      <c r="F934" t="s">
        <v>11941</v>
      </c>
    </row>
    <row r="935" spans="1:6" x14ac:dyDescent="0.25">
      <c r="A935" t="s">
        <v>11942</v>
      </c>
      <c r="B935" t="s">
        <v>11801</v>
      </c>
      <c r="C935" t="s">
        <v>11802</v>
      </c>
      <c r="D935">
        <v>2005</v>
      </c>
      <c r="E935" t="s">
        <v>2009</v>
      </c>
      <c r="F935" t="s">
        <v>11943</v>
      </c>
    </row>
    <row r="936" spans="1:6" x14ac:dyDescent="0.25">
      <c r="A936" t="s">
        <v>11944</v>
      </c>
      <c r="B936" t="s">
        <v>11801</v>
      </c>
      <c r="C936" t="s">
        <v>11802</v>
      </c>
      <c r="D936">
        <v>2005</v>
      </c>
      <c r="E936" t="s">
        <v>2009</v>
      </c>
      <c r="F936" t="s">
        <v>11945</v>
      </c>
    </row>
    <row r="937" spans="1:6" x14ac:dyDescent="0.25">
      <c r="A937" t="s">
        <v>11946</v>
      </c>
      <c r="B937" t="s">
        <v>11801</v>
      </c>
      <c r="C937" t="s">
        <v>11802</v>
      </c>
      <c r="D937">
        <v>2005</v>
      </c>
      <c r="E937" t="s">
        <v>2009</v>
      </c>
      <c r="F937" t="s">
        <v>11947</v>
      </c>
    </row>
    <row r="938" spans="1:6" x14ac:dyDescent="0.25">
      <c r="A938" t="s">
        <v>11948</v>
      </c>
      <c r="B938" t="s">
        <v>11801</v>
      </c>
      <c r="C938" t="s">
        <v>11802</v>
      </c>
      <c r="D938">
        <v>2005</v>
      </c>
      <c r="E938" t="s">
        <v>2009</v>
      </c>
      <c r="F938" t="s">
        <v>11949</v>
      </c>
    </row>
    <row r="939" spans="1:6" x14ac:dyDescent="0.25">
      <c r="A939" t="s">
        <v>11950</v>
      </c>
      <c r="B939" t="s">
        <v>11801</v>
      </c>
      <c r="C939" t="s">
        <v>11802</v>
      </c>
      <c r="D939">
        <v>2005</v>
      </c>
      <c r="E939" t="s">
        <v>2009</v>
      </c>
      <c r="F939" t="s">
        <v>11951</v>
      </c>
    </row>
    <row r="940" spans="1:6" x14ac:dyDescent="0.25">
      <c r="A940" t="s">
        <v>11952</v>
      </c>
      <c r="B940" t="s">
        <v>11801</v>
      </c>
      <c r="C940" t="s">
        <v>11802</v>
      </c>
      <c r="D940">
        <v>2005</v>
      </c>
      <c r="E940" t="s">
        <v>2009</v>
      </c>
      <c r="F940" t="s">
        <v>11953</v>
      </c>
    </row>
    <row r="941" spans="1:6" x14ac:dyDescent="0.25">
      <c r="A941" t="s">
        <v>11954</v>
      </c>
      <c r="B941" t="s">
        <v>11801</v>
      </c>
      <c r="C941" t="s">
        <v>11802</v>
      </c>
      <c r="D941">
        <v>2005</v>
      </c>
      <c r="E941" t="s">
        <v>2009</v>
      </c>
      <c r="F941" t="s">
        <v>11955</v>
      </c>
    </row>
    <row r="942" spans="1:6" x14ac:dyDescent="0.25">
      <c r="A942" t="s">
        <v>11956</v>
      </c>
      <c r="B942" t="s">
        <v>11801</v>
      </c>
      <c r="C942" t="s">
        <v>11802</v>
      </c>
      <c r="D942">
        <v>2005</v>
      </c>
      <c r="E942" t="s">
        <v>2009</v>
      </c>
      <c r="F942" t="s">
        <v>11957</v>
      </c>
    </row>
    <row r="943" spans="1:6" x14ac:dyDescent="0.25">
      <c r="A943" t="s">
        <v>11958</v>
      </c>
      <c r="B943" t="s">
        <v>11801</v>
      </c>
      <c r="C943" t="s">
        <v>11802</v>
      </c>
      <c r="D943">
        <v>2005</v>
      </c>
      <c r="E943" t="s">
        <v>2009</v>
      </c>
      <c r="F943" t="s">
        <v>11959</v>
      </c>
    </row>
    <row r="944" spans="1:6" x14ac:dyDescent="0.25">
      <c r="A944" t="s">
        <v>11960</v>
      </c>
      <c r="B944" t="s">
        <v>11801</v>
      </c>
      <c r="C944" t="s">
        <v>11802</v>
      </c>
      <c r="D944">
        <v>2005</v>
      </c>
      <c r="E944" t="s">
        <v>2009</v>
      </c>
      <c r="F944" t="s">
        <v>11961</v>
      </c>
    </row>
    <row r="945" spans="1:7" x14ac:dyDescent="0.25">
      <c r="A945" t="s">
        <v>11962</v>
      </c>
      <c r="B945" t="s">
        <v>11801</v>
      </c>
      <c r="C945" t="s">
        <v>11802</v>
      </c>
      <c r="D945">
        <v>2005</v>
      </c>
      <c r="E945" t="s">
        <v>2009</v>
      </c>
      <c r="F945" t="s">
        <v>11963</v>
      </c>
    </row>
    <row r="946" spans="1:7" x14ac:dyDescent="0.25">
      <c r="A946" t="s">
        <v>11964</v>
      </c>
      <c r="B946" t="s">
        <v>11801</v>
      </c>
      <c r="C946" t="s">
        <v>11802</v>
      </c>
      <c r="D946">
        <v>2005</v>
      </c>
      <c r="E946" t="s">
        <v>2009</v>
      </c>
      <c r="F946" t="s">
        <v>11965</v>
      </c>
    </row>
    <row r="947" spans="1:7" x14ac:dyDescent="0.25">
      <c r="A947" t="s">
        <v>11966</v>
      </c>
      <c r="B947" t="s">
        <v>11801</v>
      </c>
      <c r="C947" t="s">
        <v>11802</v>
      </c>
      <c r="D947">
        <v>2005</v>
      </c>
      <c r="E947" t="s">
        <v>2009</v>
      </c>
      <c r="F947" t="s">
        <v>11967</v>
      </c>
    </row>
    <row r="948" spans="1:7" x14ac:dyDescent="0.25">
      <c r="A948" t="s">
        <v>11968</v>
      </c>
      <c r="B948" t="s">
        <v>11801</v>
      </c>
      <c r="C948" t="s">
        <v>11802</v>
      </c>
      <c r="D948">
        <v>2005</v>
      </c>
      <c r="E948" t="s">
        <v>2009</v>
      </c>
      <c r="F948" t="s">
        <v>11969</v>
      </c>
    </row>
    <row r="949" spans="1:7" x14ac:dyDescent="0.25">
      <c r="A949" t="s">
        <v>11970</v>
      </c>
      <c r="B949" t="s">
        <v>11801</v>
      </c>
      <c r="C949" t="s">
        <v>11802</v>
      </c>
      <c r="D949">
        <v>2005</v>
      </c>
      <c r="E949" t="s">
        <v>2009</v>
      </c>
      <c r="F949" t="s">
        <v>11971</v>
      </c>
    </row>
    <row r="950" spans="1:7" x14ac:dyDescent="0.25">
      <c r="A950" t="s">
        <v>11972</v>
      </c>
      <c r="B950" t="s">
        <v>11801</v>
      </c>
      <c r="C950" t="s">
        <v>11802</v>
      </c>
      <c r="D950">
        <v>2005</v>
      </c>
      <c r="E950" t="s">
        <v>2009</v>
      </c>
      <c r="F950" t="s">
        <v>11973</v>
      </c>
    </row>
    <row r="951" spans="1:7" x14ac:dyDescent="0.25">
      <c r="A951" t="s">
        <v>11974</v>
      </c>
      <c r="B951" t="s">
        <v>11801</v>
      </c>
      <c r="C951" t="s">
        <v>11802</v>
      </c>
      <c r="D951">
        <v>2005</v>
      </c>
      <c r="E951" t="s">
        <v>2009</v>
      </c>
      <c r="F951" t="s">
        <v>11975</v>
      </c>
    </row>
    <row r="952" spans="1:7" x14ac:dyDescent="0.25">
      <c r="A952" t="s">
        <v>11976</v>
      </c>
      <c r="B952" t="s">
        <v>11801</v>
      </c>
      <c r="C952" t="s">
        <v>11802</v>
      </c>
      <c r="D952">
        <v>2005</v>
      </c>
      <c r="E952" t="s">
        <v>2009</v>
      </c>
      <c r="F952" t="s">
        <v>11977</v>
      </c>
    </row>
    <row r="953" spans="1:7" x14ac:dyDescent="0.25">
      <c r="A953" t="s">
        <v>11978</v>
      </c>
      <c r="B953" t="s">
        <v>11801</v>
      </c>
      <c r="C953" t="s">
        <v>11802</v>
      </c>
      <c r="D953">
        <v>2005</v>
      </c>
      <c r="E953" t="s">
        <v>2009</v>
      </c>
      <c r="F953" t="s">
        <v>11979</v>
      </c>
    </row>
    <row r="954" spans="1:7" x14ac:dyDescent="0.25">
      <c r="A954" t="s">
        <v>11980</v>
      </c>
      <c r="B954" t="s">
        <v>11801</v>
      </c>
      <c r="C954" t="s">
        <v>11802</v>
      </c>
      <c r="D954">
        <v>2005</v>
      </c>
      <c r="E954" t="s">
        <v>2009</v>
      </c>
      <c r="F954" t="s">
        <v>11981</v>
      </c>
    </row>
    <row r="955" spans="1:7" x14ac:dyDescent="0.25">
      <c r="A955" t="s">
        <v>11982</v>
      </c>
      <c r="B955" t="s">
        <v>11983</v>
      </c>
      <c r="C955" t="s">
        <v>11984</v>
      </c>
      <c r="D955">
        <v>2024</v>
      </c>
      <c r="E955" t="s">
        <v>2136</v>
      </c>
      <c r="F955" t="s">
        <v>11985</v>
      </c>
    </row>
    <row r="956" spans="1:7" x14ac:dyDescent="0.25">
      <c r="A956" t="s">
        <v>11986</v>
      </c>
      <c r="B956" t="s">
        <v>11983</v>
      </c>
      <c r="C956" t="s">
        <v>11987</v>
      </c>
      <c r="D956">
        <v>2022</v>
      </c>
      <c r="E956" t="s">
        <v>2136</v>
      </c>
      <c r="F956" t="s">
        <v>11988</v>
      </c>
    </row>
    <row r="957" spans="1:7" x14ac:dyDescent="0.25">
      <c r="A957" t="s">
        <v>11989</v>
      </c>
      <c r="B957" t="s">
        <v>11983</v>
      </c>
      <c r="C957" t="s">
        <v>2136</v>
      </c>
      <c r="D957">
        <v>2020</v>
      </c>
      <c r="E957" t="s">
        <v>2136</v>
      </c>
      <c r="F957" t="s">
        <v>11990</v>
      </c>
    </row>
    <row r="958" spans="1:7" x14ac:dyDescent="0.25">
      <c r="A958" t="s">
        <v>11991</v>
      </c>
      <c r="B958" t="s">
        <v>11983</v>
      </c>
      <c r="C958" t="s">
        <v>11987</v>
      </c>
      <c r="D958">
        <v>2022</v>
      </c>
      <c r="E958" t="s">
        <v>2136</v>
      </c>
      <c r="F958" t="s">
        <v>11992</v>
      </c>
    </row>
    <row r="959" spans="1:7" x14ac:dyDescent="0.25">
      <c r="A959" t="s">
        <v>11993</v>
      </c>
      <c r="B959" t="s">
        <v>11983</v>
      </c>
      <c r="C959" t="s">
        <v>11984</v>
      </c>
      <c r="D959">
        <v>2024</v>
      </c>
      <c r="E959" t="s">
        <v>2136</v>
      </c>
      <c r="F959" t="s">
        <v>11994</v>
      </c>
    </row>
    <row r="960" spans="1:7" x14ac:dyDescent="0.25">
      <c r="A960" t="s">
        <v>2136</v>
      </c>
      <c r="B960" t="s">
        <v>11983</v>
      </c>
      <c r="C960" t="s">
        <v>2136</v>
      </c>
      <c r="D960">
        <v>2020</v>
      </c>
      <c r="E960" t="s">
        <v>2136</v>
      </c>
      <c r="F960" t="s">
        <v>11995</v>
      </c>
      <c r="G960" t="s">
        <v>10044</v>
      </c>
    </row>
    <row r="961" spans="1:6" x14ac:dyDescent="0.25">
      <c r="A961" t="s">
        <v>11996</v>
      </c>
      <c r="B961" t="s">
        <v>11983</v>
      </c>
      <c r="C961" t="s">
        <v>2136</v>
      </c>
      <c r="D961">
        <v>2020</v>
      </c>
      <c r="E961" t="s">
        <v>2136</v>
      </c>
      <c r="F961" t="s">
        <v>11997</v>
      </c>
    </row>
    <row r="962" spans="1:6" x14ac:dyDescent="0.25">
      <c r="A962" t="s">
        <v>11998</v>
      </c>
      <c r="B962" t="s">
        <v>11983</v>
      </c>
      <c r="C962" t="s">
        <v>11987</v>
      </c>
      <c r="D962">
        <v>2022</v>
      </c>
      <c r="E962" t="s">
        <v>2136</v>
      </c>
      <c r="F962" t="s">
        <v>11999</v>
      </c>
    </row>
    <row r="963" spans="1:6" x14ac:dyDescent="0.25">
      <c r="A963" t="s">
        <v>12000</v>
      </c>
      <c r="B963" t="s">
        <v>11983</v>
      </c>
      <c r="C963" t="s">
        <v>11984</v>
      </c>
      <c r="D963">
        <v>2024</v>
      </c>
      <c r="E963" t="s">
        <v>2136</v>
      </c>
      <c r="F963" t="s">
        <v>12001</v>
      </c>
    </row>
    <row r="964" spans="1:6" x14ac:dyDescent="0.25">
      <c r="A964" t="s">
        <v>12002</v>
      </c>
      <c r="B964" t="s">
        <v>11983</v>
      </c>
      <c r="C964" t="s">
        <v>11987</v>
      </c>
      <c r="D964">
        <v>2022</v>
      </c>
      <c r="E964" t="s">
        <v>2136</v>
      </c>
      <c r="F964" t="s">
        <v>12003</v>
      </c>
    </row>
    <row r="965" spans="1:6" x14ac:dyDescent="0.25">
      <c r="A965" t="s">
        <v>12004</v>
      </c>
      <c r="B965" t="s">
        <v>11983</v>
      </c>
      <c r="C965" t="s">
        <v>2136</v>
      </c>
      <c r="D965">
        <v>2020</v>
      </c>
      <c r="E965" t="s">
        <v>2136</v>
      </c>
      <c r="F965" t="s">
        <v>12005</v>
      </c>
    </row>
    <row r="966" spans="1:6" x14ac:dyDescent="0.25">
      <c r="A966" t="s">
        <v>12006</v>
      </c>
      <c r="B966" t="s">
        <v>11983</v>
      </c>
      <c r="C966" t="s">
        <v>11984</v>
      </c>
      <c r="D966">
        <v>2024</v>
      </c>
      <c r="E966" t="s">
        <v>2136</v>
      </c>
      <c r="F966" t="s">
        <v>12007</v>
      </c>
    </row>
    <row r="967" spans="1:6" x14ac:dyDescent="0.25">
      <c r="A967" t="s">
        <v>12008</v>
      </c>
      <c r="B967" t="s">
        <v>11983</v>
      </c>
      <c r="C967" t="s">
        <v>11987</v>
      </c>
      <c r="D967">
        <v>2022</v>
      </c>
      <c r="E967" t="s">
        <v>2136</v>
      </c>
      <c r="F967" t="s">
        <v>12009</v>
      </c>
    </row>
    <row r="968" spans="1:6" x14ac:dyDescent="0.25">
      <c r="A968" t="s">
        <v>12010</v>
      </c>
      <c r="B968" t="s">
        <v>11983</v>
      </c>
      <c r="C968" t="s">
        <v>11984</v>
      </c>
      <c r="D968">
        <v>2024</v>
      </c>
      <c r="E968" t="s">
        <v>2136</v>
      </c>
      <c r="F968" t="s">
        <v>12011</v>
      </c>
    </row>
    <row r="969" spans="1:6" x14ac:dyDescent="0.25">
      <c r="A969" t="s">
        <v>12012</v>
      </c>
      <c r="B969" t="s">
        <v>11983</v>
      </c>
      <c r="C969" t="s">
        <v>2136</v>
      </c>
      <c r="D969">
        <v>2020</v>
      </c>
      <c r="E969" t="s">
        <v>2136</v>
      </c>
      <c r="F969" t="s">
        <v>12013</v>
      </c>
    </row>
    <row r="970" spans="1:6" x14ac:dyDescent="0.25">
      <c r="A970" t="s">
        <v>12014</v>
      </c>
      <c r="B970" t="s">
        <v>11983</v>
      </c>
      <c r="C970" t="s">
        <v>11987</v>
      </c>
      <c r="D970">
        <v>2022</v>
      </c>
      <c r="E970" t="s">
        <v>2136</v>
      </c>
      <c r="F970" t="s">
        <v>12015</v>
      </c>
    </row>
    <row r="971" spans="1:6" x14ac:dyDescent="0.25">
      <c r="A971" t="s">
        <v>12016</v>
      </c>
      <c r="B971" t="s">
        <v>12017</v>
      </c>
      <c r="C971" t="s">
        <v>11984</v>
      </c>
      <c r="D971">
        <v>2024</v>
      </c>
      <c r="E971" t="s">
        <v>2136</v>
      </c>
      <c r="F971" t="s">
        <v>12018</v>
      </c>
    </row>
    <row r="972" spans="1:6" x14ac:dyDescent="0.25">
      <c r="A972" t="s">
        <v>12019</v>
      </c>
      <c r="B972" t="s">
        <v>11983</v>
      </c>
      <c r="C972" t="s">
        <v>2136</v>
      </c>
      <c r="D972">
        <v>2020</v>
      </c>
      <c r="E972" t="s">
        <v>2136</v>
      </c>
      <c r="F972" t="s">
        <v>12020</v>
      </c>
    </row>
    <row r="973" spans="1:6" x14ac:dyDescent="0.25">
      <c r="A973" t="s">
        <v>12021</v>
      </c>
      <c r="B973" t="s">
        <v>11983</v>
      </c>
      <c r="C973" t="s">
        <v>2136</v>
      </c>
      <c r="D973">
        <v>2020</v>
      </c>
      <c r="E973" t="s">
        <v>2136</v>
      </c>
      <c r="F973" t="s">
        <v>12022</v>
      </c>
    </row>
    <row r="974" spans="1:6" x14ac:dyDescent="0.25">
      <c r="A974" t="s">
        <v>12023</v>
      </c>
      <c r="B974" t="s">
        <v>11983</v>
      </c>
      <c r="C974" t="s">
        <v>11984</v>
      </c>
      <c r="D974">
        <v>2024</v>
      </c>
      <c r="E974" t="s">
        <v>2136</v>
      </c>
      <c r="F974" t="s">
        <v>12024</v>
      </c>
    </row>
    <row r="975" spans="1:6" x14ac:dyDescent="0.25">
      <c r="A975" t="s">
        <v>12025</v>
      </c>
      <c r="B975" t="s">
        <v>11983</v>
      </c>
      <c r="C975" t="s">
        <v>11987</v>
      </c>
      <c r="D975">
        <v>2022</v>
      </c>
      <c r="E975" t="s">
        <v>2136</v>
      </c>
      <c r="F975" t="s">
        <v>12026</v>
      </c>
    </row>
    <row r="976" spans="1:6" x14ac:dyDescent="0.25">
      <c r="A976" t="s">
        <v>12027</v>
      </c>
      <c r="B976" t="s">
        <v>11983</v>
      </c>
      <c r="C976" t="s">
        <v>2136</v>
      </c>
      <c r="D976">
        <v>2020</v>
      </c>
      <c r="E976" t="s">
        <v>2136</v>
      </c>
      <c r="F976" t="s">
        <v>12028</v>
      </c>
    </row>
    <row r="977" spans="1:6" x14ac:dyDescent="0.25">
      <c r="A977" t="s">
        <v>12029</v>
      </c>
      <c r="B977" t="s">
        <v>11983</v>
      </c>
      <c r="C977" t="s">
        <v>11984</v>
      </c>
      <c r="D977">
        <v>2024</v>
      </c>
      <c r="E977" t="s">
        <v>2136</v>
      </c>
      <c r="F977" t="s">
        <v>12030</v>
      </c>
    </row>
    <row r="978" spans="1:6" x14ac:dyDescent="0.25">
      <c r="A978" t="s">
        <v>12031</v>
      </c>
      <c r="B978" t="s">
        <v>11983</v>
      </c>
      <c r="C978" t="s">
        <v>11987</v>
      </c>
      <c r="D978">
        <v>2022</v>
      </c>
      <c r="E978" t="s">
        <v>2136</v>
      </c>
      <c r="F978" t="s">
        <v>12032</v>
      </c>
    </row>
    <row r="979" spans="1:6" x14ac:dyDescent="0.25">
      <c r="A979" t="s">
        <v>12033</v>
      </c>
      <c r="B979" t="s">
        <v>11983</v>
      </c>
      <c r="C979" t="s">
        <v>11984</v>
      </c>
      <c r="D979">
        <v>2024</v>
      </c>
      <c r="E979" t="s">
        <v>2136</v>
      </c>
      <c r="F979" t="s">
        <v>12034</v>
      </c>
    </row>
    <row r="980" spans="1:6" x14ac:dyDescent="0.25">
      <c r="A980" t="s">
        <v>12035</v>
      </c>
      <c r="B980" t="s">
        <v>11983</v>
      </c>
      <c r="C980" t="s">
        <v>2136</v>
      </c>
      <c r="D980">
        <v>2020</v>
      </c>
      <c r="E980" t="s">
        <v>2136</v>
      </c>
      <c r="F980" t="s">
        <v>12036</v>
      </c>
    </row>
    <row r="981" spans="1:6" x14ac:dyDescent="0.25">
      <c r="A981" t="s">
        <v>12037</v>
      </c>
      <c r="B981" t="s">
        <v>11983</v>
      </c>
      <c r="C981" t="s">
        <v>11987</v>
      </c>
      <c r="D981">
        <v>2022</v>
      </c>
      <c r="E981" t="s">
        <v>2136</v>
      </c>
      <c r="F981" t="s">
        <v>12038</v>
      </c>
    </row>
    <row r="982" spans="1:6" x14ac:dyDescent="0.25">
      <c r="A982" t="s">
        <v>12039</v>
      </c>
      <c r="B982" t="s">
        <v>11983</v>
      </c>
      <c r="C982" t="s">
        <v>11984</v>
      </c>
      <c r="D982">
        <v>2024</v>
      </c>
      <c r="E982" t="s">
        <v>2136</v>
      </c>
      <c r="F982" t="s">
        <v>12040</v>
      </c>
    </row>
    <row r="983" spans="1:6" x14ac:dyDescent="0.25">
      <c r="A983" t="s">
        <v>12041</v>
      </c>
      <c r="B983" t="s">
        <v>11983</v>
      </c>
      <c r="C983" t="s">
        <v>2136</v>
      </c>
      <c r="D983">
        <v>2020</v>
      </c>
      <c r="E983" t="s">
        <v>2136</v>
      </c>
      <c r="F983" t="s">
        <v>12042</v>
      </c>
    </row>
    <row r="984" spans="1:6" x14ac:dyDescent="0.25">
      <c r="A984" t="s">
        <v>12043</v>
      </c>
      <c r="B984" t="s">
        <v>11983</v>
      </c>
      <c r="C984" t="s">
        <v>2136</v>
      </c>
      <c r="D984">
        <v>2020</v>
      </c>
      <c r="E984" t="s">
        <v>2136</v>
      </c>
      <c r="F984" t="s">
        <v>12044</v>
      </c>
    </row>
    <row r="985" spans="1:6" x14ac:dyDescent="0.25">
      <c r="A985" t="s">
        <v>12045</v>
      </c>
      <c r="B985" t="s">
        <v>11983</v>
      </c>
      <c r="C985" t="s">
        <v>2136</v>
      </c>
      <c r="D985">
        <v>2020</v>
      </c>
      <c r="E985" t="s">
        <v>2136</v>
      </c>
      <c r="F985" t="s">
        <v>12046</v>
      </c>
    </row>
    <row r="986" spans="1:6" x14ac:dyDescent="0.25">
      <c r="A986" t="s">
        <v>12047</v>
      </c>
      <c r="B986" t="s">
        <v>11983</v>
      </c>
      <c r="C986" t="s">
        <v>2136</v>
      </c>
      <c r="D986">
        <v>2020</v>
      </c>
      <c r="E986" t="s">
        <v>2136</v>
      </c>
      <c r="F986" t="s">
        <v>12048</v>
      </c>
    </row>
    <row r="987" spans="1:6" x14ac:dyDescent="0.25">
      <c r="A987" t="s">
        <v>12049</v>
      </c>
      <c r="B987" t="s">
        <v>11983</v>
      </c>
      <c r="C987" t="s">
        <v>2136</v>
      </c>
      <c r="D987">
        <v>2020</v>
      </c>
      <c r="E987" t="s">
        <v>2136</v>
      </c>
      <c r="F987" t="s">
        <v>12050</v>
      </c>
    </row>
    <row r="988" spans="1:6" x14ac:dyDescent="0.25">
      <c r="A988" t="s">
        <v>12051</v>
      </c>
      <c r="B988" t="s">
        <v>11983</v>
      </c>
      <c r="C988" t="s">
        <v>2136</v>
      </c>
      <c r="D988">
        <v>2020</v>
      </c>
      <c r="E988" t="s">
        <v>2136</v>
      </c>
      <c r="F988" t="s">
        <v>12052</v>
      </c>
    </row>
    <row r="989" spans="1:6" x14ac:dyDescent="0.25">
      <c r="A989" t="s">
        <v>12053</v>
      </c>
      <c r="B989" t="s">
        <v>11983</v>
      </c>
      <c r="C989" t="s">
        <v>2136</v>
      </c>
      <c r="D989">
        <v>2020</v>
      </c>
      <c r="E989" t="s">
        <v>2136</v>
      </c>
      <c r="F989" t="s">
        <v>12054</v>
      </c>
    </row>
    <row r="990" spans="1:6" x14ac:dyDescent="0.25">
      <c r="A990" t="s">
        <v>12055</v>
      </c>
      <c r="B990" t="s">
        <v>11983</v>
      </c>
      <c r="C990" t="s">
        <v>2136</v>
      </c>
      <c r="D990">
        <v>2020</v>
      </c>
      <c r="E990" t="s">
        <v>2136</v>
      </c>
      <c r="F990" t="s">
        <v>12056</v>
      </c>
    </row>
    <row r="991" spans="1:6" x14ac:dyDescent="0.25">
      <c r="A991" t="s">
        <v>12057</v>
      </c>
      <c r="B991" t="s">
        <v>11983</v>
      </c>
      <c r="C991" t="s">
        <v>2136</v>
      </c>
      <c r="D991">
        <v>2020</v>
      </c>
      <c r="E991" t="s">
        <v>2136</v>
      </c>
      <c r="F991" t="s">
        <v>12058</v>
      </c>
    </row>
    <row r="992" spans="1:6" x14ac:dyDescent="0.25">
      <c r="A992" t="s">
        <v>12059</v>
      </c>
      <c r="B992" t="s">
        <v>11983</v>
      </c>
      <c r="C992" t="s">
        <v>2136</v>
      </c>
      <c r="D992">
        <v>2020</v>
      </c>
      <c r="E992" t="s">
        <v>2136</v>
      </c>
      <c r="F992" t="s">
        <v>12060</v>
      </c>
    </row>
    <row r="993" spans="1:7" x14ac:dyDescent="0.25">
      <c r="A993" t="s">
        <v>12061</v>
      </c>
      <c r="B993" t="s">
        <v>11983</v>
      </c>
      <c r="C993" t="s">
        <v>2136</v>
      </c>
      <c r="D993">
        <v>2020</v>
      </c>
      <c r="E993" t="s">
        <v>2136</v>
      </c>
      <c r="F993" t="s">
        <v>12062</v>
      </c>
    </row>
    <row r="994" spans="1:7" x14ac:dyDescent="0.25">
      <c r="A994" t="s">
        <v>12063</v>
      </c>
      <c r="B994" t="s">
        <v>11983</v>
      </c>
      <c r="C994" t="s">
        <v>2136</v>
      </c>
      <c r="D994">
        <v>2020</v>
      </c>
      <c r="E994" t="s">
        <v>2136</v>
      </c>
      <c r="F994" t="s">
        <v>12064</v>
      </c>
    </row>
    <row r="995" spans="1:7" x14ac:dyDescent="0.25">
      <c r="A995" t="s">
        <v>12065</v>
      </c>
      <c r="B995" t="s">
        <v>11983</v>
      </c>
      <c r="C995" t="s">
        <v>2136</v>
      </c>
      <c r="D995">
        <v>2020</v>
      </c>
      <c r="E995" t="s">
        <v>2136</v>
      </c>
      <c r="F995" t="s">
        <v>12066</v>
      </c>
    </row>
    <row r="996" spans="1:7" x14ac:dyDescent="0.25">
      <c r="A996" t="s">
        <v>12067</v>
      </c>
      <c r="B996" t="s">
        <v>11983</v>
      </c>
      <c r="C996" t="s">
        <v>2136</v>
      </c>
      <c r="D996">
        <v>2020</v>
      </c>
      <c r="E996" t="s">
        <v>2136</v>
      </c>
      <c r="F996" t="s">
        <v>12068</v>
      </c>
    </row>
    <row r="997" spans="1:7" x14ac:dyDescent="0.25">
      <c r="A997" t="s">
        <v>12069</v>
      </c>
      <c r="B997" t="s">
        <v>11983</v>
      </c>
      <c r="C997" t="s">
        <v>2136</v>
      </c>
      <c r="D997">
        <v>2020</v>
      </c>
      <c r="E997" t="s">
        <v>2136</v>
      </c>
      <c r="F997" t="s">
        <v>12070</v>
      </c>
    </row>
    <row r="998" spans="1:7" x14ac:dyDescent="0.25">
      <c r="A998" t="s">
        <v>2132</v>
      </c>
      <c r="B998" t="s">
        <v>11983</v>
      </c>
      <c r="C998" t="s">
        <v>2132</v>
      </c>
      <c r="D998">
        <v>2013</v>
      </c>
      <c r="E998" t="s">
        <v>2132</v>
      </c>
      <c r="F998" t="s">
        <v>12071</v>
      </c>
      <c r="G998" t="s">
        <v>10044</v>
      </c>
    </row>
    <row r="999" spans="1:7" x14ac:dyDescent="0.25">
      <c r="A999" t="s">
        <v>12072</v>
      </c>
      <c r="B999" t="s">
        <v>11983</v>
      </c>
      <c r="C999" t="s">
        <v>2132</v>
      </c>
      <c r="D999">
        <v>2013</v>
      </c>
      <c r="E999" t="s">
        <v>2132</v>
      </c>
      <c r="F999" t="s">
        <v>12073</v>
      </c>
    </row>
    <row r="1000" spans="1:7" x14ac:dyDescent="0.25">
      <c r="A1000" t="s">
        <v>12074</v>
      </c>
      <c r="B1000" t="s">
        <v>11983</v>
      </c>
      <c r="C1000" t="s">
        <v>2132</v>
      </c>
      <c r="D1000">
        <v>2013</v>
      </c>
      <c r="E1000" t="s">
        <v>2132</v>
      </c>
      <c r="F1000" t="s">
        <v>12075</v>
      </c>
    </row>
    <row r="1001" spans="1:7" x14ac:dyDescent="0.25">
      <c r="A1001" t="s">
        <v>12076</v>
      </c>
      <c r="B1001" t="s">
        <v>11983</v>
      </c>
      <c r="C1001" t="s">
        <v>2132</v>
      </c>
      <c r="D1001">
        <v>2013</v>
      </c>
      <c r="E1001" t="s">
        <v>2132</v>
      </c>
      <c r="F1001" t="s">
        <v>12077</v>
      </c>
    </row>
    <row r="1002" spans="1:7" x14ac:dyDescent="0.25">
      <c r="A1002" t="s">
        <v>12078</v>
      </c>
      <c r="B1002" t="s">
        <v>11983</v>
      </c>
      <c r="C1002" t="s">
        <v>2132</v>
      </c>
      <c r="D1002">
        <v>2013</v>
      </c>
      <c r="E1002" t="s">
        <v>2132</v>
      </c>
      <c r="F1002" t="s">
        <v>12079</v>
      </c>
    </row>
    <row r="1003" spans="1:7" x14ac:dyDescent="0.25">
      <c r="A1003" t="s">
        <v>12080</v>
      </c>
      <c r="B1003" t="s">
        <v>11983</v>
      </c>
      <c r="C1003" t="s">
        <v>2132</v>
      </c>
      <c r="D1003">
        <v>2013</v>
      </c>
      <c r="E1003" t="s">
        <v>2132</v>
      </c>
      <c r="F1003" t="s">
        <v>12081</v>
      </c>
    </row>
    <row r="1004" spans="1:7" x14ac:dyDescent="0.25">
      <c r="A1004" t="s">
        <v>12082</v>
      </c>
      <c r="B1004" t="s">
        <v>11983</v>
      </c>
      <c r="C1004" t="s">
        <v>2132</v>
      </c>
      <c r="D1004">
        <v>2013</v>
      </c>
      <c r="E1004" t="s">
        <v>2132</v>
      </c>
      <c r="F1004" t="s">
        <v>12083</v>
      </c>
    </row>
    <row r="1005" spans="1:7" x14ac:dyDescent="0.25">
      <c r="A1005" t="s">
        <v>12084</v>
      </c>
      <c r="B1005" t="s">
        <v>11983</v>
      </c>
      <c r="C1005" t="s">
        <v>2132</v>
      </c>
      <c r="D1005">
        <v>2013</v>
      </c>
      <c r="E1005" t="s">
        <v>2132</v>
      </c>
      <c r="F1005" t="s">
        <v>12085</v>
      </c>
    </row>
    <row r="1006" spans="1:7" x14ac:dyDescent="0.25">
      <c r="A1006" t="s">
        <v>12086</v>
      </c>
      <c r="B1006" t="s">
        <v>11983</v>
      </c>
      <c r="C1006" t="s">
        <v>2132</v>
      </c>
      <c r="D1006">
        <v>2013</v>
      </c>
      <c r="E1006" t="s">
        <v>2132</v>
      </c>
      <c r="F1006" t="s">
        <v>12087</v>
      </c>
    </row>
    <row r="1007" spans="1:7" x14ac:dyDescent="0.25">
      <c r="A1007" t="s">
        <v>12088</v>
      </c>
      <c r="B1007" t="s">
        <v>11983</v>
      </c>
      <c r="C1007" t="s">
        <v>2132</v>
      </c>
      <c r="D1007">
        <v>2013</v>
      </c>
      <c r="E1007" t="s">
        <v>2132</v>
      </c>
      <c r="F1007" t="s">
        <v>12089</v>
      </c>
    </row>
    <row r="1008" spans="1:7" x14ac:dyDescent="0.25">
      <c r="A1008" t="s">
        <v>12090</v>
      </c>
      <c r="B1008" t="s">
        <v>11983</v>
      </c>
      <c r="C1008" t="s">
        <v>2132</v>
      </c>
      <c r="D1008">
        <v>2013</v>
      </c>
      <c r="E1008" t="s">
        <v>2132</v>
      </c>
      <c r="F1008" t="s">
        <v>12091</v>
      </c>
    </row>
    <row r="1009" spans="1:7" x14ac:dyDescent="0.25">
      <c r="A1009" t="s">
        <v>12092</v>
      </c>
      <c r="B1009" t="s">
        <v>11983</v>
      </c>
      <c r="C1009" t="s">
        <v>2132</v>
      </c>
      <c r="D1009">
        <v>2013</v>
      </c>
      <c r="E1009" t="s">
        <v>2132</v>
      </c>
      <c r="F1009" t="s">
        <v>12093</v>
      </c>
    </row>
    <row r="1010" spans="1:7" x14ac:dyDescent="0.25">
      <c r="A1010" t="s">
        <v>12094</v>
      </c>
      <c r="B1010" t="s">
        <v>11983</v>
      </c>
      <c r="C1010" t="s">
        <v>2132</v>
      </c>
      <c r="D1010">
        <v>2013</v>
      </c>
      <c r="E1010" t="s">
        <v>2132</v>
      </c>
      <c r="F1010" t="s">
        <v>12095</v>
      </c>
    </row>
    <row r="1011" spans="1:7" x14ac:dyDescent="0.25">
      <c r="A1011" t="s">
        <v>12096</v>
      </c>
      <c r="B1011" t="s">
        <v>11983</v>
      </c>
      <c r="C1011" t="s">
        <v>2132</v>
      </c>
      <c r="D1011">
        <v>2013</v>
      </c>
      <c r="E1011" t="s">
        <v>2132</v>
      </c>
      <c r="F1011" t="s">
        <v>12097</v>
      </c>
    </row>
    <row r="1012" spans="1:7" x14ac:dyDescent="0.25">
      <c r="A1012" t="s">
        <v>12098</v>
      </c>
      <c r="B1012" t="s">
        <v>11983</v>
      </c>
      <c r="C1012" t="s">
        <v>2132</v>
      </c>
      <c r="D1012">
        <v>2013</v>
      </c>
      <c r="E1012" t="s">
        <v>2132</v>
      </c>
      <c r="F1012" t="s">
        <v>12099</v>
      </c>
    </row>
    <row r="1013" spans="1:7" x14ac:dyDescent="0.25">
      <c r="A1013" t="s">
        <v>12100</v>
      </c>
      <c r="B1013" t="s">
        <v>11983</v>
      </c>
      <c r="C1013" t="s">
        <v>2132</v>
      </c>
      <c r="D1013">
        <v>2013</v>
      </c>
      <c r="E1013" t="s">
        <v>2132</v>
      </c>
      <c r="F1013" t="s">
        <v>12101</v>
      </c>
    </row>
    <row r="1014" spans="1:7" x14ac:dyDescent="0.25">
      <c r="A1014" t="s">
        <v>12102</v>
      </c>
      <c r="B1014" t="s">
        <v>11983</v>
      </c>
      <c r="C1014" t="s">
        <v>2132</v>
      </c>
      <c r="D1014">
        <v>2013</v>
      </c>
      <c r="E1014" t="s">
        <v>2132</v>
      </c>
      <c r="F1014" t="s">
        <v>12103</v>
      </c>
    </row>
    <row r="1015" spans="1:7" x14ac:dyDescent="0.25">
      <c r="A1015" t="s">
        <v>12104</v>
      </c>
      <c r="B1015" t="s">
        <v>11983</v>
      </c>
      <c r="C1015" t="s">
        <v>2132</v>
      </c>
      <c r="D1015">
        <v>2013</v>
      </c>
      <c r="E1015" t="s">
        <v>2132</v>
      </c>
      <c r="F1015" t="s">
        <v>12105</v>
      </c>
    </row>
    <row r="1016" spans="1:7" x14ac:dyDescent="0.25">
      <c r="A1016" t="s">
        <v>12106</v>
      </c>
      <c r="B1016" t="s">
        <v>12107</v>
      </c>
      <c r="C1016" t="s">
        <v>12108</v>
      </c>
      <c r="D1016">
        <v>2013</v>
      </c>
      <c r="E1016" t="s">
        <v>2173</v>
      </c>
      <c r="F1016" t="s">
        <v>12109</v>
      </c>
    </row>
    <row r="1017" spans="1:7" x14ac:dyDescent="0.25">
      <c r="A1017" t="s">
        <v>2173</v>
      </c>
      <c r="B1017" t="s">
        <v>12107</v>
      </c>
      <c r="C1017" t="s">
        <v>12108</v>
      </c>
      <c r="D1017">
        <v>2013</v>
      </c>
      <c r="E1017" t="s">
        <v>2173</v>
      </c>
      <c r="F1017" t="s">
        <v>12110</v>
      </c>
      <c r="G1017" t="s">
        <v>10044</v>
      </c>
    </row>
    <row r="1018" spans="1:7" x14ac:dyDescent="0.25">
      <c r="A1018" t="s">
        <v>12111</v>
      </c>
      <c r="B1018" t="s">
        <v>12107</v>
      </c>
      <c r="C1018" t="s">
        <v>12108</v>
      </c>
      <c r="D1018">
        <v>2013</v>
      </c>
      <c r="E1018" t="s">
        <v>2173</v>
      </c>
      <c r="F1018" t="s">
        <v>12112</v>
      </c>
    </row>
    <row r="1019" spans="1:7" x14ac:dyDescent="0.25">
      <c r="A1019" t="s">
        <v>12113</v>
      </c>
      <c r="B1019" t="s">
        <v>12107</v>
      </c>
      <c r="C1019" t="s">
        <v>12108</v>
      </c>
      <c r="D1019">
        <v>2013</v>
      </c>
      <c r="E1019" t="s">
        <v>2173</v>
      </c>
      <c r="F1019" t="s">
        <v>12114</v>
      </c>
    </row>
    <row r="1020" spans="1:7" x14ac:dyDescent="0.25">
      <c r="A1020" t="s">
        <v>12115</v>
      </c>
      <c r="B1020" t="s">
        <v>12107</v>
      </c>
      <c r="C1020" t="s">
        <v>12108</v>
      </c>
      <c r="D1020">
        <v>2013</v>
      </c>
      <c r="E1020" t="s">
        <v>2173</v>
      </c>
      <c r="F1020" t="s">
        <v>12116</v>
      </c>
    </row>
    <row r="1021" spans="1:7" x14ac:dyDescent="0.25">
      <c r="A1021" t="s">
        <v>12117</v>
      </c>
      <c r="B1021" t="s">
        <v>12107</v>
      </c>
      <c r="C1021" t="s">
        <v>12108</v>
      </c>
      <c r="D1021">
        <v>2013</v>
      </c>
      <c r="E1021" t="s">
        <v>2173</v>
      </c>
      <c r="F1021" t="s">
        <v>12118</v>
      </c>
    </row>
    <row r="1022" spans="1:7" x14ac:dyDescent="0.25">
      <c r="A1022" t="s">
        <v>12119</v>
      </c>
      <c r="B1022" t="s">
        <v>12107</v>
      </c>
      <c r="C1022" t="s">
        <v>12108</v>
      </c>
      <c r="D1022">
        <v>2013</v>
      </c>
      <c r="E1022" t="s">
        <v>2173</v>
      </c>
      <c r="F1022" t="s">
        <v>12120</v>
      </c>
    </row>
    <row r="1023" spans="1:7" x14ac:dyDescent="0.25">
      <c r="A1023" t="s">
        <v>12121</v>
      </c>
      <c r="B1023" t="s">
        <v>12107</v>
      </c>
      <c r="C1023" t="s">
        <v>12108</v>
      </c>
      <c r="D1023">
        <v>2013</v>
      </c>
      <c r="E1023" t="s">
        <v>2173</v>
      </c>
      <c r="F1023" t="s">
        <v>12122</v>
      </c>
    </row>
    <row r="1024" spans="1:7" x14ac:dyDescent="0.25">
      <c r="A1024" t="s">
        <v>12123</v>
      </c>
      <c r="B1024" t="s">
        <v>12107</v>
      </c>
      <c r="C1024" t="s">
        <v>12108</v>
      </c>
      <c r="D1024">
        <v>2013</v>
      </c>
      <c r="E1024" t="s">
        <v>2173</v>
      </c>
      <c r="F1024" t="s">
        <v>12124</v>
      </c>
    </row>
    <row r="1025" spans="1:7" x14ac:dyDescent="0.25">
      <c r="A1025" t="s">
        <v>12125</v>
      </c>
      <c r="B1025" t="s">
        <v>12107</v>
      </c>
      <c r="C1025" t="s">
        <v>12108</v>
      </c>
      <c r="D1025">
        <v>2013</v>
      </c>
      <c r="E1025" t="s">
        <v>2173</v>
      </c>
      <c r="F1025" t="s">
        <v>12126</v>
      </c>
    </row>
    <row r="1026" spans="1:7" x14ac:dyDescent="0.25">
      <c r="A1026" t="s">
        <v>12127</v>
      </c>
      <c r="B1026" t="s">
        <v>12107</v>
      </c>
      <c r="C1026" t="s">
        <v>12108</v>
      </c>
      <c r="D1026">
        <v>2013</v>
      </c>
      <c r="E1026" t="s">
        <v>2173</v>
      </c>
      <c r="F1026" t="s">
        <v>12128</v>
      </c>
    </row>
    <row r="1027" spans="1:7" x14ac:dyDescent="0.25">
      <c r="A1027" t="s">
        <v>12129</v>
      </c>
      <c r="B1027" t="s">
        <v>12107</v>
      </c>
      <c r="C1027" t="s">
        <v>12108</v>
      </c>
      <c r="D1027">
        <v>2013</v>
      </c>
      <c r="E1027" t="s">
        <v>2173</v>
      </c>
      <c r="F1027" t="s">
        <v>12130</v>
      </c>
    </row>
    <row r="1028" spans="1:7" x14ac:dyDescent="0.25">
      <c r="A1028" t="s">
        <v>12131</v>
      </c>
      <c r="B1028" t="s">
        <v>12107</v>
      </c>
      <c r="C1028" t="s">
        <v>12108</v>
      </c>
      <c r="D1028">
        <v>2013</v>
      </c>
      <c r="E1028" t="s">
        <v>2173</v>
      </c>
      <c r="F1028" t="s">
        <v>12132</v>
      </c>
    </row>
    <row r="1029" spans="1:7" x14ac:dyDescent="0.25">
      <c r="A1029" t="s">
        <v>12133</v>
      </c>
      <c r="B1029" t="s">
        <v>12107</v>
      </c>
      <c r="C1029" t="s">
        <v>12108</v>
      </c>
      <c r="D1029">
        <v>2013</v>
      </c>
      <c r="E1029" t="s">
        <v>2173</v>
      </c>
      <c r="F1029" t="s">
        <v>12134</v>
      </c>
    </row>
    <row r="1030" spans="1:7" x14ac:dyDescent="0.25">
      <c r="A1030" t="s">
        <v>12135</v>
      </c>
      <c r="B1030" t="s">
        <v>12107</v>
      </c>
      <c r="C1030" t="s">
        <v>12108</v>
      </c>
      <c r="D1030">
        <v>2013</v>
      </c>
      <c r="E1030" t="s">
        <v>2173</v>
      </c>
      <c r="F1030" t="s">
        <v>12136</v>
      </c>
    </row>
    <row r="1031" spans="1:7" x14ac:dyDescent="0.25">
      <c r="A1031" t="s">
        <v>12137</v>
      </c>
      <c r="B1031" t="s">
        <v>12107</v>
      </c>
      <c r="C1031" t="s">
        <v>12108</v>
      </c>
      <c r="D1031">
        <v>2013</v>
      </c>
      <c r="E1031" t="s">
        <v>2173</v>
      </c>
      <c r="F1031" t="s">
        <v>12138</v>
      </c>
    </row>
    <row r="1032" spans="1:7" x14ac:dyDescent="0.25">
      <c r="A1032" t="s">
        <v>12139</v>
      </c>
      <c r="B1032" t="s">
        <v>12107</v>
      </c>
      <c r="C1032" t="s">
        <v>12108</v>
      </c>
      <c r="D1032">
        <v>2013</v>
      </c>
      <c r="E1032" t="s">
        <v>2173</v>
      </c>
      <c r="F1032" t="s">
        <v>12140</v>
      </c>
    </row>
    <row r="1033" spans="1:7" x14ac:dyDescent="0.25">
      <c r="A1033" t="s">
        <v>12141</v>
      </c>
      <c r="B1033" t="s">
        <v>12107</v>
      </c>
      <c r="C1033" t="s">
        <v>12108</v>
      </c>
      <c r="D1033">
        <v>2013</v>
      </c>
      <c r="E1033" t="s">
        <v>2173</v>
      </c>
      <c r="F1033" t="s">
        <v>12142</v>
      </c>
    </row>
    <row r="1034" spans="1:7" x14ac:dyDescent="0.25">
      <c r="A1034" t="s">
        <v>12143</v>
      </c>
      <c r="B1034" t="s">
        <v>12107</v>
      </c>
      <c r="C1034" t="s">
        <v>12108</v>
      </c>
      <c r="D1034">
        <v>2013</v>
      </c>
      <c r="E1034" t="s">
        <v>2173</v>
      </c>
      <c r="F1034" t="s">
        <v>12144</v>
      </c>
    </row>
    <row r="1035" spans="1:7" x14ac:dyDescent="0.25">
      <c r="A1035" t="s">
        <v>12145</v>
      </c>
      <c r="B1035" t="s">
        <v>12146</v>
      </c>
      <c r="C1035" t="s">
        <v>12147</v>
      </c>
      <c r="D1035">
        <v>2020</v>
      </c>
      <c r="E1035" t="s">
        <v>2254</v>
      </c>
      <c r="F1035" t="s">
        <v>12148</v>
      </c>
      <c r="G1035" t="s">
        <v>10044</v>
      </c>
    </row>
    <row r="1036" spans="1:7" x14ac:dyDescent="0.25">
      <c r="A1036" t="s">
        <v>12149</v>
      </c>
      <c r="B1036" t="s">
        <v>12146</v>
      </c>
      <c r="C1036" t="s">
        <v>12147</v>
      </c>
      <c r="D1036">
        <v>2020</v>
      </c>
      <c r="E1036" t="s">
        <v>2254</v>
      </c>
      <c r="F1036" t="s">
        <v>12150</v>
      </c>
    </row>
    <row r="1037" spans="1:7" x14ac:dyDescent="0.25">
      <c r="A1037" t="s">
        <v>12151</v>
      </c>
      <c r="B1037" t="s">
        <v>12146</v>
      </c>
      <c r="C1037" t="s">
        <v>12147</v>
      </c>
      <c r="D1037">
        <v>2020</v>
      </c>
      <c r="E1037" t="s">
        <v>2254</v>
      </c>
      <c r="F1037" t="s">
        <v>12152</v>
      </c>
    </row>
    <row r="1038" spans="1:7" x14ac:dyDescent="0.25">
      <c r="A1038" t="s">
        <v>12153</v>
      </c>
      <c r="B1038" t="s">
        <v>12146</v>
      </c>
      <c r="C1038" t="s">
        <v>12147</v>
      </c>
      <c r="D1038">
        <v>2020</v>
      </c>
      <c r="E1038" t="s">
        <v>2254</v>
      </c>
      <c r="F1038" t="s">
        <v>12154</v>
      </c>
    </row>
    <row r="1039" spans="1:7" x14ac:dyDescent="0.25">
      <c r="A1039" t="s">
        <v>12155</v>
      </c>
      <c r="B1039" t="s">
        <v>12146</v>
      </c>
      <c r="C1039" t="s">
        <v>12147</v>
      </c>
      <c r="D1039">
        <v>2020</v>
      </c>
      <c r="E1039" t="s">
        <v>2254</v>
      </c>
      <c r="F1039" t="s">
        <v>12156</v>
      </c>
    </row>
    <row r="1040" spans="1:7" x14ac:dyDescent="0.25">
      <c r="A1040" t="s">
        <v>12157</v>
      </c>
      <c r="B1040" t="s">
        <v>12146</v>
      </c>
      <c r="C1040" t="s">
        <v>12147</v>
      </c>
      <c r="D1040">
        <v>2020</v>
      </c>
      <c r="E1040" t="s">
        <v>2254</v>
      </c>
      <c r="F1040" t="s">
        <v>12158</v>
      </c>
    </row>
    <row r="1041" spans="1:6" x14ac:dyDescent="0.25">
      <c r="A1041" t="s">
        <v>12159</v>
      </c>
      <c r="B1041" t="s">
        <v>12146</v>
      </c>
      <c r="C1041" t="s">
        <v>12147</v>
      </c>
      <c r="D1041">
        <v>2020</v>
      </c>
      <c r="E1041" t="s">
        <v>2254</v>
      </c>
      <c r="F1041" t="s">
        <v>12160</v>
      </c>
    </row>
    <row r="1042" spans="1:6" x14ac:dyDescent="0.25">
      <c r="A1042" t="s">
        <v>12161</v>
      </c>
      <c r="B1042" t="s">
        <v>12146</v>
      </c>
      <c r="C1042" t="s">
        <v>12147</v>
      </c>
      <c r="D1042">
        <v>2020</v>
      </c>
      <c r="E1042" t="s">
        <v>2254</v>
      </c>
      <c r="F1042" t="s">
        <v>12162</v>
      </c>
    </row>
    <row r="1043" spans="1:6" x14ac:dyDescent="0.25">
      <c r="A1043" t="s">
        <v>12163</v>
      </c>
      <c r="B1043" t="s">
        <v>12146</v>
      </c>
      <c r="C1043" t="s">
        <v>12147</v>
      </c>
      <c r="D1043">
        <v>2020</v>
      </c>
      <c r="E1043" t="s">
        <v>2254</v>
      </c>
      <c r="F1043" t="s">
        <v>12164</v>
      </c>
    </row>
    <row r="1044" spans="1:6" x14ac:dyDescent="0.25">
      <c r="A1044" t="s">
        <v>12165</v>
      </c>
      <c r="B1044" t="s">
        <v>12146</v>
      </c>
      <c r="C1044" t="s">
        <v>12147</v>
      </c>
      <c r="D1044">
        <v>2020</v>
      </c>
      <c r="E1044" t="s">
        <v>2254</v>
      </c>
      <c r="F1044" t="s">
        <v>12166</v>
      </c>
    </row>
    <row r="1045" spans="1:6" x14ac:dyDescent="0.25">
      <c r="A1045" t="s">
        <v>12167</v>
      </c>
      <c r="B1045" t="s">
        <v>12146</v>
      </c>
      <c r="C1045" t="s">
        <v>12147</v>
      </c>
      <c r="D1045">
        <v>2020</v>
      </c>
      <c r="E1045" t="s">
        <v>2254</v>
      </c>
      <c r="F1045" t="s">
        <v>12168</v>
      </c>
    </row>
    <row r="1046" spans="1:6" x14ac:dyDescent="0.25">
      <c r="A1046" t="s">
        <v>5109</v>
      </c>
      <c r="B1046" t="s">
        <v>12146</v>
      </c>
      <c r="C1046" t="s">
        <v>12147</v>
      </c>
      <c r="D1046">
        <v>2020</v>
      </c>
      <c r="E1046" t="s">
        <v>2254</v>
      </c>
      <c r="F1046" t="s">
        <v>12169</v>
      </c>
    </row>
    <row r="1047" spans="1:6" x14ac:dyDescent="0.25">
      <c r="A1047" t="s">
        <v>12170</v>
      </c>
      <c r="B1047" t="s">
        <v>12146</v>
      </c>
      <c r="C1047" t="s">
        <v>12147</v>
      </c>
      <c r="D1047">
        <v>2020</v>
      </c>
      <c r="E1047" t="s">
        <v>2254</v>
      </c>
      <c r="F1047" t="s">
        <v>12171</v>
      </c>
    </row>
    <row r="1048" spans="1:6" x14ac:dyDescent="0.25">
      <c r="A1048" t="s">
        <v>12172</v>
      </c>
      <c r="B1048" t="s">
        <v>12146</v>
      </c>
      <c r="C1048" t="s">
        <v>12147</v>
      </c>
      <c r="D1048">
        <v>2020</v>
      </c>
      <c r="E1048" t="s">
        <v>2254</v>
      </c>
      <c r="F1048" t="s">
        <v>12173</v>
      </c>
    </row>
    <row r="1049" spans="1:6" x14ac:dyDescent="0.25">
      <c r="A1049" t="s">
        <v>12174</v>
      </c>
      <c r="B1049" t="s">
        <v>12146</v>
      </c>
      <c r="C1049" t="s">
        <v>12147</v>
      </c>
      <c r="D1049">
        <v>2020</v>
      </c>
      <c r="E1049" t="s">
        <v>2254</v>
      </c>
      <c r="F1049" t="s">
        <v>12175</v>
      </c>
    </row>
    <row r="1050" spans="1:6" x14ac:dyDescent="0.25">
      <c r="A1050" t="s">
        <v>12176</v>
      </c>
      <c r="B1050" t="s">
        <v>12146</v>
      </c>
      <c r="C1050" t="s">
        <v>12147</v>
      </c>
      <c r="D1050">
        <v>2020</v>
      </c>
      <c r="E1050" t="s">
        <v>2254</v>
      </c>
      <c r="F1050" t="s">
        <v>12177</v>
      </c>
    </row>
    <row r="1051" spans="1:6" x14ac:dyDescent="0.25">
      <c r="A1051" t="s">
        <v>12178</v>
      </c>
      <c r="B1051" t="s">
        <v>12146</v>
      </c>
      <c r="C1051" t="s">
        <v>12147</v>
      </c>
      <c r="D1051">
        <v>2020</v>
      </c>
      <c r="E1051" t="s">
        <v>2254</v>
      </c>
      <c r="F1051" t="s">
        <v>12179</v>
      </c>
    </row>
    <row r="1052" spans="1:6" x14ac:dyDescent="0.25">
      <c r="A1052" t="s">
        <v>12180</v>
      </c>
      <c r="B1052" t="s">
        <v>12146</v>
      </c>
      <c r="C1052" t="s">
        <v>12147</v>
      </c>
      <c r="D1052">
        <v>2020</v>
      </c>
      <c r="E1052" t="s">
        <v>2254</v>
      </c>
      <c r="F1052" t="s">
        <v>12181</v>
      </c>
    </row>
    <row r="1053" spans="1:6" x14ac:dyDescent="0.25">
      <c r="A1053" t="s">
        <v>12182</v>
      </c>
      <c r="B1053" t="s">
        <v>12146</v>
      </c>
      <c r="C1053" t="s">
        <v>12147</v>
      </c>
      <c r="D1053">
        <v>2020</v>
      </c>
      <c r="E1053" t="s">
        <v>2254</v>
      </c>
      <c r="F1053" t="s">
        <v>12183</v>
      </c>
    </row>
    <row r="1054" spans="1:6" x14ac:dyDescent="0.25">
      <c r="A1054" t="s">
        <v>12184</v>
      </c>
      <c r="B1054" t="s">
        <v>12146</v>
      </c>
      <c r="C1054" t="s">
        <v>12147</v>
      </c>
      <c r="D1054">
        <v>2020</v>
      </c>
      <c r="E1054" t="s">
        <v>2254</v>
      </c>
      <c r="F1054" t="s">
        <v>12185</v>
      </c>
    </row>
    <row r="1055" spans="1:6" x14ac:dyDescent="0.25">
      <c r="A1055" t="s">
        <v>12186</v>
      </c>
      <c r="B1055" t="s">
        <v>12146</v>
      </c>
      <c r="C1055" t="s">
        <v>12147</v>
      </c>
      <c r="D1055">
        <v>2020</v>
      </c>
      <c r="E1055" t="s">
        <v>2254</v>
      </c>
      <c r="F1055" t="s">
        <v>12187</v>
      </c>
    </row>
    <row r="1056" spans="1:6" x14ac:dyDescent="0.25">
      <c r="A1056" t="s">
        <v>12188</v>
      </c>
      <c r="B1056" t="s">
        <v>12146</v>
      </c>
      <c r="C1056" t="s">
        <v>12147</v>
      </c>
      <c r="D1056">
        <v>2020</v>
      </c>
      <c r="E1056" t="s">
        <v>2254</v>
      </c>
      <c r="F1056" t="s">
        <v>12189</v>
      </c>
    </row>
    <row r="1057" spans="1:7" x14ac:dyDescent="0.25">
      <c r="A1057" t="s">
        <v>10377</v>
      </c>
      <c r="B1057" t="s">
        <v>12146</v>
      </c>
      <c r="C1057" t="s">
        <v>12147</v>
      </c>
      <c r="D1057">
        <v>2020</v>
      </c>
      <c r="E1057" t="s">
        <v>2254</v>
      </c>
      <c r="F1057" t="s">
        <v>12190</v>
      </c>
    </row>
    <row r="1058" spans="1:7" x14ac:dyDescent="0.25">
      <c r="A1058" t="s">
        <v>12191</v>
      </c>
      <c r="B1058" t="s">
        <v>12146</v>
      </c>
      <c r="C1058" t="s">
        <v>12147</v>
      </c>
      <c r="D1058">
        <v>2020</v>
      </c>
      <c r="E1058" t="s">
        <v>2254</v>
      </c>
      <c r="F1058" t="s">
        <v>12192</v>
      </c>
    </row>
    <row r="1059" spans="1:7" x14ac:dyDescent="0.25">
      <c r="A1059" t="s">
        <v>12193</v>
      </c>
      <c r="B1059" t="s">
        <v>12146</v>
      </c>
      <c r="C1059" t="s">
        <v>12147</v>
      </c>
      <c r="D1059">
        <v>2020</v>
      </c>
      <c r="E1059" t="s">
        <v>2254</v>
      </c>
      <c r="F1059" t="s">
        <v>12194</v>
      </c>
    </row>
    <row r="1060" spans="1:7" x14ac:dyDescent="0.25">
      <c r="A1060" t="s">
        <v>12195</v>
      </c>
      <c r="B1060" t="s">
        <v>12146</v>
      </c>
      <c r="C1060" t="s">
        <v>12147</v>
      </c>
      <c r="D1060">
        <v>2020</v>
      </c>
      <c r="E1060" t="s">
        <v>2254</v>
      </c>
      <c r="F1060" t="s">
        <v>12196</v>
      </c>
    </row>
    <row r="1061" spans="1:7" x14ac:dyDescent="0.25">
      <c r="A1061" t="s">
        <v>12197</v>
      </c>
      <c r="B1061" t="s">
        <v>12146</v>
      </c>
      <c r="C1061" t="s">
        <v>12147</v>
      </c>
      <c r="D1061">
        <v>2020</v>
      </c>
      <c r="E1061" t="s">
        <v>2254</v>
      </c>
      <c r="F1061" t="s">
        <v>12198</v>
      </c>
    </row>
    <row r="1062" spans="1:7" x14ac:dyDescent="0.25">
      <c r="A1062" t="s">
        <v>12199</v>
      </c>
      <c r="B1062" t="s">
        <v>12146</v>
      </c>
      <c r="C1062" t="s">
        <v>12147</v>
      </c>
      <c r="D1062">
        <v>2020</v>
      </c>
      <c r="E1062" t="s">
        <v>2254</v>
      </c>
      <c r="F1062" t="s">
        <v>12200</v>
      </c>
    </row>
    <row r="1063" spans="1:7" x14ac:dyDescent="0.25">
      <c r="A1063" t="s">
        <v>90</v>
      </c>
      <c r="B1063" t="s">
        <v>12201</v>
      </c>
      <c r="C1063" t="s">
        <v>12202</v>
      </c>
      <c r="D1063">
        <v>2018</v>
      </c>
      <c r="E1063" t="s">
        <v>90</v>
      </c>
      <c r="F1063" t="s">
        <v>12203</v>
      </c>
      <c r="G1063" t="s">
        <v>10044</v>
      </c>
    </row>
    <row r="1064" spans="1:7" x14ac:dyDescent="0.25">
      <c r="A1064" t="s">
        <v>12204</v>
      </c>
      <c r="B1064" t="s">
        <v>12201</v>
      </c>
      <c r="C1064" t="s">
        <v>12202</v>
      </c>
      <c r="D1064">
        <v>2018</v>
      </c>
      <c r="E1064" t="s">
        <v>90</v>
      </c>
      <c r="F1064" t="s">
        <v>12205</v>
      </c>
    </row>
    <row r="1065" spans="1:7" x14ac:dyDescent="0.25">
      <c r="A1065" t="s">
        <v>5752</v>
      </c>
      <c r="B1065" t="s">
        <v>12201</v>
      </c>
      <c r="C1065" t="s">
        <v>12202</v>
      </c>
      <c r="D1065">
        <v>2018</v>
      </c>
      <c r="E1065" t="s">
        <v>90</v>
      </c>
      <c r="F1065" t="s">
        <v>12206</v>
      </c>
    </row>
    <row r="1066" spans="1:7" x14ac:dyDescent="0.25">
      <c r="A1066" t="s">
        <v>12207</v>
      </c>
      <c r="B1066" t="s">
        <v>12201</v>
      </c>
      <c r="C1066" t="s">
        <v>12202</v>
      </c>
      <c r="D1066">
        <v>2018</v>
      </c>
      <c r="E1066" t="s">
        <v>90</v>
      </c>
      <c r="F1066" t="s">
        <v>12208</v>
      </c>
    </row>
    <row r="1067" spans="1:7" x14ac:dyDescent="0.25">
      <c r="A1067" t="s">
        <v>12209</v>
      </c>
      <c r="B1067" t="s">
        <v>12201</v>
      </c>
      <c r="C1067" t="s">
        <v>12202</v>
      </c>
      <c r="D1067">
        <v>2018</v>
      </c>
      <c r="E1067" t="s">
        <v>90</v>
      </c>
      <c r="F1067" t="s">
        <v>12210</v>
      </c>
    </row>
    <row r="1068" spans="1:7" x14ac:dyDescent="0.25">
      <c r="A1068" t="s">
        <v>12211</v>
      </c>
      <c r="B1068" t="s">
        <v>12201</v>
      </c>
      <c r="C1068" t="s">
        <v>12202</v>
      </c>
      <c r="D1068">
        <v>2018</v>
      </c>
      <c r="E1068" t="s">
        <v>90</v>
      </c>
      <c r="F1068" t="s">
        <v>12212</v>
      </c>
    </row>
    <row r="1069" spans="1:7" x14ac:dyDescent="0.25">
      <c r="A1069" t="s">
        <v>12213</v>
      </c>
      <c r="B1069" t="s">
        <v>12201</v>
      </c>
      <c r="C1069" t="s">
        <v>12202</v>
      </c>
      <c r="D1069">
        <v>2018</v>
      </c>
      <c r="E1069" t="s">
        <v>90</v>
      </c>
      <c r="F1069" t="s">
        <v>12214</v>
      </c>
    </row>
    <row r="1070" spans="1:7" x14ac:dyDescent="0.25">
      <c r="A1070" t="s">
        <v>5967</v>
      </c>
      <c r="B1070" t="s">
        <v>12201</v>
      </c>
      <c r="C1070" t="s">
        <v>12202</v>
      </c>
      <c r="D1070">
        <v>2018</v>
      </c>
      <c r="E1070" t="s">
        <v>90</v>
      </c>
      <c r="F1070" t="s">
        <v>12215</v>
      </c>
    </row>
    <row r="1071" spans="1:7" x14ac:dyDescent="0.25">
      <c r="A1071" t="s">
        <v>12216</v>
      </c>
      <c r="B1071" t="s">
        <v>12201</v>
      </c>
      <c r="C1071" t="s">
        <v>12202</v>
      </c>
      <c r="D1071">
        <v>2018</v>
      </c>
      <c r="E1071" t="s">
        <v>90</v>
      </c>
      <c r="F1071" t="s">
        <v>12217</v>
      </c>
    </row>
    <row r="1072" spans="1:7" x14ac:dyDescent="0.25">
      <c r="A1072" t="s">
        <v>12218</v>
      </c>
      <c r="B1072" t="s">
        <v>12201</v>
      </c>
      <c r="C1072" t="s">
        <v>12202</v>
      </c>
      <c r="D1072">
        <v>2018</v>
      </c>
      <c r="E1072" t="s">
        <v>90</v>
      </c>
      <c r="F1072" t="s">
        <v>12219</v>
      </c>
    </row>
    <row r="1073" spans="1:6" x14ac:dyDescent="0.25">
      <c r="A1073" t="s">
        <v>12220</v>
      </c>
      <c r="B1073" t="s">
        <v>12201</v>
      </c>
      <c r="C1073" t="s">
        <v>12202</v>
      </c>
      <c r="D1073">
        <v>2018</v>
      </c>
      <c r="E1073" t="s">
        <v>90</v>
      </c>
      <c r="F1073" t="s">
        <v>12221</v>
      </c>
    </row>
    <row r="1074" spans="1:6" x14ac:dyDescent="0.25">
      <c r="A1074" t="s">
        <v>5706</v>
      </c>
      <c r="B1074" t="s">
        <v>12201</v>
      </c>
      <c r="C1074" t="s">
        <v>12202</v>
      </c>
      <c r="D1074">
        <v>2018</v>
      </c>
      <c r="E1074" t="s">
        <v>90</v>
      </c>
      <c r="F1074" t="s">
        <v>12222</v>
      </c>
    </row>
    <row r="1075" spans="1:6" x14ac:dyDescent="0.25">
      <c r="A1075" t="s">
        <v>12223</v>
      </c>
      <c r="B1075" t="s">
        <v>12201</v>
      </c>
      <c r="C1075" t="s">
        <v>12202</v>
      </c>
      <c r="D1075">
        <v>2018</v>
      </c>
      <c r="E1075" t="s">
        <v>90</v>
      </c>
      <c r="F1075" t="s">
        <v>12224</v>
      </c>
    </row>
    <row r="1076" spans="1:6" x14ac:dyDescent="0.25">
      <c r="A1076" t="s">
        <v>12225</v>
      </c>
      <c r="B1076" t="s">
        <v>12201</v>
      </c>
      <c r="C1076" t="s">
        <v>12202</v>
      </c>
      <c r="D1076">
        <v>2018</v>
      </c>
      <c r="E1076" t="s">
        <v>90</v>
      </c>
      <c r="F1076" t="s">
        <v>12226</v>
      </c>
    </row>
    <row r="1077" spans="1:6" x14ac:dyDescent="0.25">
      <c r="A1077" t="s">
        <v>12227</v>
      </c>
      <c r="B1077" t="s">
        <v>12201</v>
      </c>
      <c r="C1077" t="s">
        <v>12202</v>
      </c>
      <c r="D1077">
        <v>2018</v>
      </c>
      <c r="E1077" t="s">
        <v>90</v>
      </c>
      <c r="F1077" t="s">
        <v>12228</v>
      </c>
    </row>
    <row r="1078" spans="1:6" x14ac:dyDescent="0.25">
      <c r="A1078" t="s">
        <v>12186</v>
      </c>
      <c r="B1078" t="s">
        <v>12201</v>
      </c>
      <c r="C1078" t="s">
        <v>12202</v>
      </c>
      <c r="D1078">
        <v>2018</v>
      </c>
      <c r="E1078" t="s">
        <v>90</v>
      </c>
      <c r="F1078" t="s">
        <v>12229</v>
      </c>
    </row>
    <row r="1079" spans="1:6" x14ac:dyDescent="0.25">
      <c r="A1079" t="s">
        <v>12230</v>
      </c>
      <c r="B1079" t="s">
        <v>12201</v>
      </c>
      <c r="C1079" t="s">
        <v>12202</v>
      </c>
      <c r="D1079">
        <v>2018</v>
      </c>
      <c r="E1079" t="s">
        <v>90</v>
      </c>
      <c r="F1079" t="s">
        <v>12231</v>
      </c>
    </row>
    <row r="1080" spans="1:6" x14ac:dyDescent="0.25">
      <c r="A1080" t="s">
        <v>12232</v>
      </c>
      <c r="B1080" t="s">
        <v>12201</v>
      </c>
      <c r="C1080" t="s">
        <v>12202</v>
      </c>
      <c r="D1080">
        <v>2018</v>
      </c>
      <c r="E1080" t="s">
        <v>90</v>
      </c>
      <c r="F1080" t="s">
        <v>12233</v>
      </c>
    </row>
    <row r="1081" spans="1:6" x14ac:dyDescent="0.25">
      <c r="A1081" t="s">
        <v>12234</v>
      </c>
      <c r="B1081" t="s">
        <v>12201</v>
      </c>
      <c r="C1081" t="s">
        <v>12202</v>
      </c>
      <c r="D1081">
        <v>2018</v>
      </c>
      <c r="E1081" t="s">
        <v>90</v>
      </c>
      <c r="F1081" t="s">
        <v>12235</v>
      </c>
    </row>
    <row r="1082" spans="1:6" x14ac:dyDescent="0.25">
      <c r="A1082" t="s">
        <v>12236</v>
      </c>
      <c r="B1082" t="s">
        <v>12201</v>
      </c>
      <c r="C1082" t="s">
        <v>12202</v>
      </c>
      <c r="D1082">
        <v>2018</v>
      </c>
      <c r="E1082" t="s">
        <v>90</v>
      </c>
      <c r="F1082" t="s">
        <v>12237</v>
      </c>
    </row>
    <row r="1083" spans="1:6" x14ac:dyDescent="0.25">
      <c r="A1083" t="s">
        <v>12238</v>
      </c>
      <c r="B1083" t="s">
        <v>12201</v>
      </c>
      <c r="C1083" t="s">
        <v>12202</v>
      </c>
      <c r="D1083">
        <v>2018</v>
      </c>
      <c r="E1083" t="s">
        <v>90</v>
      </c>
      <c r="F1083" t="s">
        <v>12239</v>
      </c>
    </row>
    <row r="1084" spans="1:6" x14ac:dyDescent="0.25">
      <c r="A1084" t="s">
        <v>12240</v>
      </c>
      <c r="B1084" t="s">
        <v>12201</v>
      </c>
      <c r="C1084" t="s">
        <v>12202</v>
      </c>
      <c r="D1084">
        <v>2018</v>
      </c>
      <c r="E1084" t="s">
        <v>90</v>
      </c>
      <c r="F1084" t="s">
        <v>12241</v>
      </c>
    </row>
    <row r="1085" spans="1:6" x14ac:dyDescent="0.25">
      <c r="A1085" t="s">
        <v>12242</v>
      </c>
      <c r="B1085" t="s">
        <v>12201</v>
      </c>
      <c r="C1085" t="s">
        <v>12202</v>
      </c>
      <c r="D1085">
        <v>2018</v>
      </c>
      <c r="E1085" t="s">
        <v>90</v>
      </c>
      <c r="F1085" t="s">
        <v>12243</v>
      </c>
    </row>
    <row r="1086" spans="1:6" x14ac:dyDescent="0.25">
      <c r="A1086" t="s">
        <v>12244</v>
      </c>
      <c r="B1086" t="s">
        <v>12201</v>
      </c>
      <c r="C1086" t="s">
        <v>12202</v>
      </c>
      <c r="D1086">
        <v>2018</v>
      </c>
      <c r="E1086" t="s">
        <v>90</v>
      </c>
      <c r="F1086" t="s">
        <v>12245</v>
      </c>
    </row>
    <row r="1087" spans="1:6" x14ac:dyDescent="0.25">
      <c r="A1087" t="s">
        <v>12246</v>
      </c>
      <c r="B1087" t="s">
        <v>12201</v>
      </c>
      <c r="C1087" t="s">
        <v>12202</v>
      </c>
      <c r="D1087">
        <v>2018</v>
      </c>
      <c r="E1087" t="s">
        <v>90</v>
      </c>
      <c r="F1087" t="s">
        <v>12247</v>
      </c>
    </row>
    <row r="1088" spans="1:6" x14ac:dyDescent="0.25">
      <c r="A1088" t="s">
        <v>12248</v>
      </c>
      <c r="B1088" t="s">
        <v>11373</v>
      </c>
      <c r="C1088" t="s">
        <v>12249</v>
      </c>
      <c r="D1088">
        <v>2015</v>
      </c>
      <c r="E1088" t="s">
        <v>2619</v>
      </c>
      <c r="F1088" t="s">
        <v>12250</v>
      </c>
    </row>
    <row r="1089" spans="1:7" x14ac:dyDescent="0.25">
      <c r="A1089" t="s">
        <v>12251</v>
      </c>
      <c r="B1089" t="s">
        <v>11373</v>
      </c>
      <c r="C1089" t="s">
        <v>12252</v>
      </c>
      <c r="D1089">
        <v>2017</v>
      </c>
      <c r="E1089" t="s">
        <v>2619</v>
      </c>
      <c r="F1089" t="s">
        <v>12253</v>
      </c>
    </row>
    <row r="1090" spans="1:7" x14ac:dyDescent="0.25">
      <c r="A1090" t="s">
        <v>12254</v>
      </c>
      <c r="B1090" t="s">
        <v>11373</v>
      </c>
      <c r="C1090" t="s">
        <v>12255</v>
      </c>
      <c r="D1090">
        <v>2014</v>
      </c>
      <c r="E1090" t="s">
        <v>2619</v>
      </c>
      <c r="F1090" t="s">
        <v>12256</v>
      </c>
      <c r="G1090" t="s">
        <v>10044</v>
      </c>
    </row>
    <row r="1091" spans="1:7" x14ac:dyDescent="0.25">
      <c r="A1091" t="s">
        <v>12257</v>
      </c>
      <c r="B1091" t="s">
        <v>11373</v>
      </c>
      <c r="C1091" t="s">
        <v>12258</v>
      </c>
      <c r="D1091">
        <v>2021</v>
      </c>
      <c r="E1091" t="s">
        <v>2619</v>
      </c>
      <c r="F1091" t="s">
        <v>12259</v>
      </c>
    </row>
    <row r="1092" spans="1:7" x14ac:dyDescent="0.25">
      <c r="A1092" t="s">
        <v>12260</v>
      </c>
      <c r="B1092" t="s">
        <v>11373</v>
      </c>
      <c r="C1092" t="s">
        <v>12249</v>
      </c>
      <c r="D1092">
        <v>2015</v>
      </c>
      <c r="E1092" t="s">
        <v>2619</v>
      </c>
      <c r="F1092" t="s">
        <v>12261</v>
      </c>
    </row>
    <row r="1093" spans="1:7" x14ac:dyDescent="0.25">
      <c r="A1093" t="s">
        <v>12262</v>
      </c>
      <c r="B1093" t="s">
        <v>11373</v>
      </c>
      <c r="C1093" t="s">
        <v>12252</v>
      </c>
      <c r="D1093">
        <v>2017</v>
      </c>
      <c r="E1093" t="s">
        <v>2619</v>
      </c>
      <c r="F1093" t="s">
        <v>12263</v>
      </c>
    </row>
    <row r="1094" spans="1:7" x14ac:dyDescent="0.25">
      <c r="A1094" t="s">
        <v>12264</v>
      </c>
      <c r="B1094" t="s">
        <v>11373</v>
      </c>
      <c r="C1094" t="s">
        <v>12255</v>
      </c>
      <c r="D1094">
        <v>2014</v>
      </c>
      <c r="E1094" t="s">
        <v>2619</v>
      </c>
      <c r="F1094" t="s">
        <v>12265</v>
      </c>
    </row>
    <row r="1095" spans="1:7" x14ac:dyDescent="0.25">
      <c r="A1095" t="s">
        <v>12266</v>
      </c>
      <c r="B1095" t="s">
        <v>11373</v>
      </c>
      <c r="C1095" t="s">
        <v>12258</v>
      </c>
      <c r="D1095">
        <v>2021</v>
      </c>
      <c r="E1095" t="s">
        <v>2619</v>
      </c>
      <c r="F1095" t="s">
        <v>12267</v>
      </c>
    </row>
    <row r="1096" spans="1:7" x14ac:dyDescent="0.25">
      <c r="A1096" t="s">
        <v>12268</v>
      </c>
      <c r="B1096" t="s">
        <v>11373</v>
      </c>
      <c r="C1096" t="s">
        <v>12249</v>
      </c>
      <c r="D1096">
        <v>2015</v>
      </c>
      <c r="E1096" t="s">
        <v>2619</v>
      </c>
      <c r="F1096" t="s">
        <v>12269</v>
      </c>
    </row>
    <row r="1097" spans="1:7" x14ac:dyDescent="0.25">
      <c r="A1097" t="s">
        <v>12270</v>
      </c>
      <c r="B1097" t="s">
        <v>11373</v>
      </c>
      <c r="C1097" t="s">
        <v>12252</v>
      </c>
      <c r="D1097">
        <v>2017</v>
      </c>
      <c r="E1097" t="s">
        <v>2619</v>
      </c>
      <c r="F1097" t="s">
        <v>12271</v>
      </c>
    </row>
    <row r="1098" spans="1:7" x14ac:dyDescent="0.25">
      <c r="A1098" t="s">
        <v>12272</v>
      </c>
      <c r="B1098" t="s">
        <v>11373</v>
      </c>
      <c r="C1098" t="s">
        <v>12255</v>
      </c>
      <c r="D1098">
        <v>2014</v>
      </c>
      <c r="E1098" t="s">
        <v>2619</v>
      </c>
      <c r="F1098" t="s">
        <v>12273</v>
      </c>
    </row>
    <row r="1099" spans="1:7" x14ac:dyDescent="0.25">
      <c r="A1099" t="s">
        <v>12274</v>
      </c>
      <c r="B1099" t="s">
        <v>11373</v>
      </c>
      <c r="C1099" t="s">
        <v>12258</v>
      </c>
      <c r="D1099">
        <v>2021</v>
      </c>
      <c r="E1099" t="s">
        <v>2619</v>
      </c>
      <c r="F1099" t="s">
        <v>12275</v>
      </c>
    </row>
    <row r="1100" spans="1:7" x14ac:dyDescent="0.25">
      <c r="A1100" t="s">
        <v>12276</v>
      </c>
      <c r="B1100" t="s">
        <v>11373</v>
      </c>
      <c r="C1100" t="s">
        <v>12252</v>
      </c>
      <c r="D1100">
        <v>2017</v>
      </c>
      <c r="E1100" t="s">
        <v>2619</v>
      </c>
      <c r="F1100" t="s">
        <v>12277</v>
      </c>
    </row>
    <row r="1101" spans="1:7" x14ac:dyDescent="0.25">
      <c r="A1101" t="s">
        <v>12278</v>
      </c>
      <c r="B1101" t="s">
        <v>11373</v>
      </c>
      <c r="C1101" t="s">
        <v>12249</v>
      </c>
      <c r="D1101">
        <v>2015</v>
      </c>
      <c r="E1101" t="s">
        <v>2619</v>
      </c>
      <c r="F1101" t="s">
        <v>12279</v>
      </c>
    </row>
    <row r="1102" spans="1:7" x14ac:dyDescent="0.25">
      <c r="A1102" t="s">
        <v>12280</v>
      </c>
      <c r="B1102" t="s">
        <v>11373</v>
      </c>
      <c r="C1102" t="s">
        <v>12258</v>
      </c>
      <c r="D1102">
        <v>2021</v>
      </c>
      <c r="E1102" t="s">
        <v>2619</v>
      </c>
      <c r="F1102" t="s">
        <v>12281</v>
      </c>
    </row>
    <row r="1103" spans="1:7" x14ac:dyDescent="0.25">
      <c r="A1103" t="s">
        <v>12282</v>
      </c>
      <c r="B1103" t="s">
        <v>11373</v>
      </c>
      <c r="C1103" t="s">
        <v>12255</v>
      </c>
      <c r="D1103">
        <v>2014</v>
      </c>
      <c r="E1103" t="s">
        <v>2619</v>
      </c>
      <c r="F1103" t="s">
        <v>12283</v>
      </c>
    </row>
    <row r="1104" spans="1:7" x14ac:dyDescent="0.25">
      <c r="A1104" t="s">
        <v>12284</v>
      </c>
      <c r="B1104" t="s">
        <v>11373</v>
      </c>
      <c r="C1104" t="s">
        <v>12249</v>
      </c>
      <c r="D1104">
        <v>2015</v>
      </c>
      <c r="E1104" t="s">
        <v>2619</v>
      </c>
      <c r="F1104" t="s">
        <v>12285</v>
      </c>
    </row>
    <row r="1105" spans="1:6" x14ac:dyDescent="0.25">
      <c r="A1105" t="s">
        <v>12286</v>
      </c>
      <c r="B1105" t="s">
        <v>11373</v>
      </c>
      <c r="C1105" t="s">
        <v>12258</v>
      </c>
      <c r="D1105">
        <v>2021</v>
      </c>
      <c r="E1105" t="s">
        <v>2619</v>
      </c>
      <c r="F1105" t="s">
        <v>12287</v>
      </c>
    </row>
    <row r="1106" spans="1:6" x14ac:dyDescent="0.25">
      <c r="A1106" t="s">
        <v>12288</v>
      </c>
      <c r="B1106" t="s">
        <v>11373</v>
      </c>
      <c r="C1106" t="s">
        <v>12255</v>
      </c>
      <c r="D1106">
        <v>2014</v>
      </c>
      <c r="E1106" t="s">
        <v>2619</v>
      </c>
      <c r="F1106" t="s">
        <v>12289</v>
      </c>
    </row>
    <row r="1107" spans="1:6" x14ac:dyDescent="0.25">
      <c r="A1107" t="s">
        <v>12290</v>
      </c>
      <c r="B1107" t="s">
        <v>11373</v>
      </c>
      <c r="C1107" t="s">
        <v>12255</v>
      </c>
      <c r="D1107">
        <v>2014</v>
      </c>
      <c r="E1107" t="s">
        <v>2619</v>
      </c>
      <c r="F1107" t="s">
        <v>12291</v>
      </c>
    </row>
    <row r="1108" spans="1:6" x14ac:dyDescent="0.25">
      <c r="A1108" t="s">
        <v>12292</v>
      </c>
      <c r="B1108" t="s">
        <v>11373</v>
      </c>
      <c r="C1108" t="s">
        <v>12249</v>
      </c>
      <c r="D1108">
        <v>2015</v>
      </c>
      <c r="E1108" t="s">
        <v>2619</v>
      </c>
      <c r="F1108" t="s">
        <v>12293</v>
      </c>
    </row>
    <row r="1109" spans="1:6" x14ac:dyDescent="0.25">
      <c r="A1109" t="s">
        <v>12294</v>
      </c>
      <c r="B1109" t="s">
        <v>11373</v>
      </c>
      <c r="C1109" t="s">
        <v>12258</v>
      </c>
      <c r="D1109">
        <v>2021</v>
      </c>
      <c r="E1109" t="s">
        <v>2619</v>
      </c>
      <c r="F1109" t="s">
        <v>12295</v>
      </c>
    </row>
    <row r="1110" spans="1:6" x14ac:dyDescent="0.25">
      <c r="A1110" t="s">
        <v>12296</v>
      </c>
      <c r="B1110" t="s">
        <v>11373</v>
      </c>
      <c r="C1110" t="s">
        <v>12249</v>
      </c>
      <c r="D1110">
        <v>2015</v>
      </c>
      <c r="E1110" t="s">
        <v>2619</v>
      </c>
      <c r="F1110" t="s">
        <v>12297</v>
      </c>
    </row>
    <row r="1111" spans="1:6" x14ac:dyDescent="0.25">
      <c r="A1111" t="s">
        <v>12298</v>
      </c>
      <c r="B1111" t="s">
        <v>11373</v>
      </c>
      <c r="C1111" t="s">
        <v>12258</v>
      </c>
      <c r="D1111">
        <v>2021</v>
      </c>
      <c r="E1111" t="s">
        <v>2619</v>
      </c>
      <c r="F1111" t="s">
        <v>12299</v>
      </c>
    </row>
    <row r="1112" spans="1:6" x14ac:dyDescent="0.25">
      <c r="A1112" t="s">
        <v>12300</v>
      </c>
      <c r="B1112" t="s">
        <v>11373</v>
      </c>
      <c r="C1112" t="s">
        <v>12255</v>
      </c>
      <c r="D1112">
        <v>2014</v>
      </c>
      <c r="E1112" t="s">
        <v>2619</v>
      </c>
      <c r="F1112" t="s">
        <v>12301</v>
      </c>
    </row>
    <row r="1113" spans="1:6" x14ac:dyDescent="0.25">
      <c r="A1113" t="s">
        <v>12302</v>
      </c>
      <c r="B1113" t="s">
        <v>11373</v>
      </c>
      <c r="C1113" t="s">
        <v>12249</v>
      </c>
      <c r="D1113">
        <v>2015</v>
      </c>
      <c r="E1113" t="s">
        <v>2619</v>
      </c>
      <c r="F1113" t="s">
        <v>12303</v>
      </c>
    </row>
    <row r="1114" spans="1:6" x14ac:dyDescent="0.25">
      <c r="A1114" t="s">
        <v>12304</v>
      </c>
      <c r="B1114" t="s">
        <v>11373</v>
      </c>
      <c r="C1114" t="s">
        <v>12258</v>
      </c>
      <c r="D1114">
        <v>2021</v>
      </c>
      <c r="E1114" t="s">
        <v>2619</v>
      </c>
      <c r="F1114" t="s">
        <v>12305</v>
      </c>
    </row>
    <row r="1115" spans="1:6" x14ac:dyDescent="0.25">
      <c r="A1115" t="s">
        <v>12306</v>
      </c>
      <c r="B1115" t="s">
        <v>11373</v>
      </c>
      <c r="C1115" t="s">
        <v>12255</v>
      </c>
      <c r="D1115">
        <v>2014</v>
      </c>
      <c r="E1115" t="s">
        <v>2619</v>
      </c>
      <c r="F1115" t="s">
        <v>12307</v>
      </c>
    </row>
    <row r="1116" spans="1:6" x14ac:dyDescent="0.25">
      <c r="A1116" t="s">
        <v>12308</v>
      </c>
      <c r="B1116" t="s">
        <v>11373</v>
      </c>
      <c r="C1116" t="s">
        <v>12249</v>
      </c>
      <c r="D1116">
        <v>2015</v>
      </c>
      <c r="E1116" t="s">
        <v>2619</v>
      </c>
      <c r="F1116" t="s">
        <v>12309</v>
      </c>
    </row>
    <row r="1117" spans="1:6" x14ac:dyDescent="0.25">
      <c r="A1117" t="s">
        <v>12310</v>
      </c>
      <c r="B1117" t="s">
        <v>11373</v>
      </c>
      <c r="C1117" t="s">
        <v>12258</v>
      </c>
      <c r="D1117">
        <v>2021</v>
      </c>
      <c r="E1117" t="s">
        <v>2619</v>
      </c>
      <c r="F1117" t="s">
        <v>12311</v>
      </c>
    </row>
    <row r="1118" spans="1:6" x14ac:dyDescent="0.25">
      <c r="A1118" t="s">
        <v>12312</v>
      </c>
      <c r="B1118" t="s">
        <v>11373</v>
      </c>
      <c r="C1118" t="s">
        <v>12255</v>
      </c>
      <c r="D1118">
        <v>2014</v>
      </c>
      <c r="E1118" t="s">
        <v>2619</v>
      </c>
      <c r="F1118" t="s">
        <v>12313</v>
      </c>
    </row>
    <row r="1119" spans="1:6" x14ac:dyDescent="0.25">
      <c r="A1119" t="s">
        <v>12314</v>
      </c>
      <c r="B1119" t="s">
        <v>11373</v>
      </c>
      <c r="C1119" t="s">
        <v>12258</v>
      </c>
      <c r="D1119">
        <v>2021</v>
      </c>
      <c r="E1119" t="s">
        <v>2619</v>
      </c>
      <c r="F1119" t="s">
        <v>12315</v>
      </c>
    </row>
    <row r="1120" spans="1:6" x14ac:dyDescent="0.25">
      <c r="A1120" t="s">
        <v>12316</v>
      </c>
      <c r="B1120" t="s">
        <v>11373</v>
      </c>
      <c r="C1120" t="s">
        <v>12255</v>
      </c>
      <c r="D1120">
        <v>2014</v>
      </c>
      <c r="E1120" t="s">
        <v>2619</v>
      </c>
      <c r="F1120" t="s">
        <v>12317</v>
      </c>
    </row>
    <row r="1121" spans="1:6" x14ac:dyDescent="0.25">
      <c r="A1121" t="s">
        <v>12318</v>
      </c>
      <c r="B1121" t="s">
        <v>11373</v>
      </c>
      <c r="C1121" t="s">
        <v>12255</v>
      </c>
      <c r="D1121">
        <v>2014</v>
      </c>
      <c r="E1121" t="s">
        <v>2619</v>
      </c>
      <c r="F1121" t="s">
        <v>12319</v>
      </c>
    </row>
    <row r="1122" spans="1:6" x14ac:dyDescent="0.25">
      <c r="A1122" t="s">
        <v>12320</v>
      </c>
      <c r="B1122" t="s">
        <v>11373</v>
      </c>
      <c r="C1122" t="s">
        <v>12258</v>
      </c>
      <c r="D1122">
        <v>2021</v>
      </c>
      <c r="E1122" t="s">
        <v>2619</v>
      </c>
      <c r="F1122" t="s">
        <v>12321</v>
      </c>
    </row>
    <row r="1123" spans="1:6" x14ac:dyDescent="0.25">
      <c r="A1123" t="s">
        <v>12322</v>
      </c>
      <c r="B1123" t="s">
        <v>11373</v>
      </c>
      <c r="C1123" t="s">
        <v>12255</v>
      </c>
      <c r="D1123">
        <v>2014</v>
      </c>
      <c r="E1123" t="s">
        <v>2619</v>
      </c>
      <c r="F1123" t="s">
        <v>12323</v>
      </c>
    </row>
    <row r="1124" spans="1:6" x14ac:dyDescent="0.25">
      <c r="A1124" t="s">
        <v>12324</v>
      </c>
      <c r="B1124" t="s">
        <v>11373</v>
      </c>
      <c r="C1124" t="s">
        <v>12258</v>
      </c>
      <c r="D1124">
        <v>2021</v>
      </c>
      <c r="E1124" t="s">
        <v>2619</v>
      </c>
      <c r="F1124" t="s">
        <v>12325</v>
      </c>
    </row>
    <row r="1125" spans="1:6" x14ac:dyDescent="0.25">
      <c r="A1125" t="s">
        <v>12326</v>
      </c>
      <c r="B1125" t="s">
        <v>11373</v>
      </c>
      <c r="C1125" t="s">
        <v>12255</v>
      </c>
      <c r="D1125">
        <v>2014</v>
      </c>
      <c r="E1125" t="s">
        <v>2619</v>
      </c>
      <c r="F1125" t="s">
        <v>12327</v>
      </c>
    </row>
    <row r="1126" spans="1:6" x14ac:dyDescent="0.25">
      <c r="A1126" t="s">
        <v>12328</v>
      </c>
      <c r="B1126" t="s">
        <v>11373</v>
      </c>
      <c r="C1126" t="s">
        <v>12258</v>
      </c>
      <c r="D1126">
        <v>2021</v>
      </c>
      <c r="E1126" t="s">
        <v>2619</v>
      </c>
      <c r="F1126" t="s">
        <v>12329</v>
      </c>
    </row>
    <row r="1127" spans="1:6" x14ac:dyDescent="0.25">
      <c r="A1127" t="s">
        <v>12330</v>
      </c>
      <c r="B1127" t="s">
        <v>11373</v>
      </c>
      <c r="C1127" t="s">
        <v>12258</v>
      </c>
      <c r="D1127">
        <v>2021</v>
      </c>
      <c r="E1127" t="s">
        <v>2619</v>
      </c>
      <c r="F1127" t="s">
        <v>12331</v>
      </c>
    </row>
    <row r="1128" spans="1:6" x14ac:dyDescent="0.25">
      <c r="A1128" t="s">
        <v>12332</v>
      </c>
      <c r="B1128" t="s">
        <v>11373</v>
      </c>
      <c r="C1128" t="s">
        <v>12255</v>
      </c>
      <c r="D1128">
        <v>2014</v>
      </c>
      <c r="E1128" t="s">
        <v>2619</v>
      </c>
      <c r="F1128" t="s">
        <v>12333</v>
      </c>
    </row>
    <row r="1129" spans="1:6" x14ac:dyDescent="0.25">
      <c r="A1129" t="s">
        <v>12334</v>
      </c>
      <c r="B1129" t="s">
        <v>11373</v>
      </c>
      <c r="C1129" t="s">
        <v>12258</v>
      </c>
      <c r="D1129">
        <v>2021</v>
      </c>
      <c r="E1129" t="s">
        <v>2619</v>
      </c>
      <c r="F1129" t="s">
        <v>12335</v>
      </c>
    </row>
    <row r="1130" spans="1:6" x14ac:dyDescent="0.25">
      <c r="A1130" t="s">
        <v>12336</v>
      </c>
      <c r="B1130" t="s">
        <v>11373</v>
      </c>
      <c r="C1130" t="s">
        <v>12255</v>
      </c>
      <c r="D1130">
        <v>2014</v>
      </c>
      <c r="E1130" t="s">
        <v>2619</v>
      </c>
      <c r="F1130" t="s">
        <v>12337</v>
      </c>
    </row>
    <row r="1131" spans="1:6" x14ac:dyDescent="0.25">
      <c r="A1131" t="s">
        <v>12338</v>
      </c>
      <c r="B1131" t="s">
        <v>11373</v>
      </c>
      <c r="C1131" t="s">
        <v>12258</v>
      </c>
      <c r="D1131">
        <v>2021</v>
      </c>
      <c r="E1131" t="s">
        <v>2619</v>
      </c>
      <c r="F1131" t="s">
        <v>12339</v>
      </c>
    </row>
    <row r="1132" spans="1:6" x14ac:dyDescent="0.25">
      <c r="A1132" t="s">
        <v>12340</v>
      </c>
      <c r="B1132" t="s">
        <v>11373</v>
      </c>
      <c r="C1132" t="s">
        <v>12255</v>
      </c>
      <c r="D1132">
        <v>2014</v>
      </c>
      <c r="E1132" t="s">
        <v>2619</v>
      </c>
      <c r="F1132" t="s">
        <v>12341</v>
      </c>
    </row>
    <row r="1133" spans="1:6" x14ac:dyDescent="0.25">
      <c r="A1133" t="s">
        <v>12342</v>
      </c>
      <c r="B1133" t="s">
        <v>11373</v>
      </c>
      <c r="C1133" t="s">
        <v>12255</v>
      </c>
      <c r="D1133">
        <v>2014</v>
      </c>
      <c r="E1133" t="s">
        <v>2619</v>
      </c>
      <c r="F1133" t="s">
        <v>12343</v>
      </c>
    </row>
    <row r="1134" spans="1:6" x14ac:dyDescent="0.25">
      <c r="A1134" t="s">
        <v>12344</v>
      </c>
      <c r="B1134" t="s">
        <v>11373</v>
      </c>
      <c r="C1134" t="s">
        <v>12258</v>
      </c>
      <c r="D1134">
        <v>2021</v>
      </c>
      <c r="E1134" t="s">
        <v>2619</v>
      </c>
      <c r="F1134" t="s">
        <v>12345</v>
      </c>
    </row>
    <row r="1135" spans="1:6" x14ac:dyDescent="0.25">
      <c r="A1135" t="s">
        <v>12346</v>
      </c>
      <c r="B1135" t="s">
        <v>11373</v>
      </c>
      <c r="C1135" t="s">
        <v>12255</v>
      </c>
      <c r="D1135">
        <v>2014</v>
      </c>
      <c r="E1135" t="s">
        <v>2619</v>
      </c>
      <c r="F1135" t="s">
        <v>12347</v>
      </c>
    </row>
    <row r="1136" spans="1:6" x14ac:dyDescent="0.25">
      <c r="A1136" t="s">
        <v>12348</v>
      </c>
      <c r="B1136" t="s">
        <v>11373</v>
      </c>
      <c r="C1136" t="s">
        <v>12258</v>
      </c>
      <c r="D1136">
        <v>2021</v>
      </c>
      <c r="E1136" t="s">
        <v>2619</v>
      </c>
      <c r="F1136" t="s">
        <v>12349</v>
      </c>
    </row>
    <row r="1137" spans="1:6" x14ac:dyDescent="0.25">
      <c r="A1137" t="s">
        <v>12350</v>
      </c>
      <c r="B1137" t="s">
        <v>11373</v>
      </c>
      <c r="C1137" t="s">
        <v>12255</v>
      </c>
      <c r="D1137">
        <v>2014</v>
      </c>
      <c r="E1137" t="s">
        <v>2619</v>
      </c>
      <c r="F1137" t="s">
        <v>12351</v>
      </c>
    </row>
    <row r="1138" spans="1:6" x14ac:dyDescent="0.25">
      <c r="A1138" t="s">
        <v>12352</v>
      </c>
      <c r="B1138" t="s">
        <v>11373</v>
      </c>
      <c r="C1138" t="s">
        <v>12258</v>
      </c>
      <c r="D1138">
        <v>2021</v>
      </c>
      <c r="E1138" t="s">
        <v>2619</v>
      </c>
      <c r="F1138" t="s">
        <v>12353</v>
      </c>
    </row>
    <row r="1139" spans="1:6" x14ac:dyDescent="0.25">
      <c r="A1139" t="s">
        <v>12354</v>
      </c>
      <c r="B1139" t="s">
        <v>11373</v>
      </c>
      <c r="C1139" t="s">
        <v>12258</v>
      </c>
      <c r="D1139">
        <v>2021</v>
      </c>
      <c r="E1139" t="s">
        <v>2619</v>
      </c>
      <c r="F1139" t="s">
        <v>12355</v>
      </c>
    </row>
    <row r="1140" spans="1:6" x14ac:dyDescent="0.25">
      <c r="A1140" t="s">
        <v>12356</v>
      </c>
      <c r="B1140" t="s">
        <v>11373</v>
      </c>
      <c r="C1140" t="s">
        <v>12255</v>
      </c>
      <c r="D1140">
        <v>2014</v>
      </c>
      <c r="E1140" t="s">
        <v>2619</v>
      </c>
      <c r="F1140" t="s">
        <v>12357</v>
      </c>
    </row>
    <row r="1141" spans="1:6" x14ac:dyDescent="0.25">
      <c r="A1141" t="s">
        <v>12358</v>
      </c>
      <c r="B1141" t="s">
        <v>11373</v>
      </c>
      <c r="C1141" t="s">
        <v>12255</v>
      </c>
      <c r="D1141">
        <v>2014</v>
      </c>
      <c r="E1141" t="s">
        <v>2619</v>
      </c>
      <c r="F1141" t="s">
        <v>12359</v>
      </c>
    </row>
    <row r="1142" spans="1:6" x14ac:dyDescent="0.25">
      <c r="A1142" t="s">
        <v>12360</v>
      </c>
      <c r="B1142" t="s">
        <v>11373</v>
      </c>
      <c r="C1142" t="s">
        <v>12255</v>
      </c>
      <c r="D1142">
        <v>2014</v>
      </c>
      <c r="E1142" t="s">
        <v>2619</v>
      </c>
      <c r="F1142" t="s">
        <v>12361</v>
      </c>
    </row>
    <row r="1143" spans="1:6" x14ac:dyDescent="0.25">
      <c r="A1143" t="s">
        <v>12362</v>
      </c>
      <c r="B1143" t="s">
        <v>11373</v>
      </c>
      <c r="C1143" t="s">
        <v>12255</v>
      </c>
      <c r="D1143">
        <v>2014</v>
      </c>
      <c r="E1143" t="s">
        <v>2619</v>
      </c>
      <c r="F1143" t="s">
        <v>12363</v>
      </c>
    </row>
    <row r="1144" spans="1:6" x14ac:dyDescent="0.25">
      <c r="A1144" t="s">
        <v>12364</v>
      </c>
      <c r="B1144" t="s">
        <v>11373</v>
      </c>
      <c r="C1144" t="s">
        <v>12255</v>
      </c>
      <c r="D1144">
        <v>2014</v>
      </c>
      <c r="E1144" t="s">
        <v>2619</v>
      </c>
      <c r="F1144" t="s">
        <v>12365</v>
      </c>
    </row>
    <row r="1145" spans="1:6" x14ac:dyDescent="0.25">
      <c r="A1145" t="s">
        <v>12366</v>
      </c>
      <c r="B1145" t="s">
        <v>11373</v>
      </c>
      <c r="C1145" t="s">
        <v>12255</v>
      </c>
      <c r="D1145">
        <v>2014</v>
      </c>
      <c r="E1145" t="s">
        <v>2619</v>
      </c>
      <c r="F1145" t="s">
        <v>12367</v>
      </c>
    </row>
    <row r="1146" spans="1:6" x14ac:dyDescent="0.25">
      <c r="A1146" t="s">
        <v>12368</v>
      </c>
      <c r="B1146" t="s">
        <v>11373</v>
      </c>
      <c r="C1146" t="s">
        <v>12255</v>
      </c>
      <c r="D1146">
        <v>2014</v>
      </c>
      <c r="E1146" t="s">
        <v>2619</v>
      </c>
      <c r="F1146" t="s">
        <v>12369</v>
      </c>
    </row>
    <row r="1147" spans="1:6" x14ac:dyDescent="0.25">
      <c r="A1147" t="s">
        <v>12370</v>
      </c>
      <c r="B1147" t="s">
        <v>11373</v>
      </c>
      <c r="C1147" t="s">
        <v>12255</v>
      </c>
      <c r="D1147">
        <v>2014</v>
      </c>
      <c r="E1147" t="s">
        <v>2619</v>
      </c>
      <c r="F1147" t="s">
        <v>12371</v>
      </c>
    </row>
    <row r="1148" spans="1:6" x14ac:dyDescent="0.25">
      <c r="A1148" t="s">
        <v>12372</v>
      </c>
      <c r="B1148" t="s">
        <v>11373</v>
      </c>
      <c r="C1148" t="s">
        <v>12255</v>
      </c>
      <c r="D1148">
        <v>2014</v>
      </c>
      <c r="E1148" t="s">
        <v>2619</v>
      </c>
      <c r="F1148" t="s">
        <v>12373</v>
      </c>
    </row>
    <row r="1149" spans="1:6" x14ac:dyDescent="0.25">
      <c r="A1149" t="s">
        <v>12374</v>
      </c>
      <c r="B1149" t="s">
        <v>11373</v>
      </c>
      <c r="C1149" t="s">
        <v>12255</v>
      </c>
      <c r="D1149">
        <v>2014</v>
      </c>
      <c r="E1149" t="s">
        <v>2619</v>
      </c>
      <c r="F1149" t="s">
        <v>12375</v>
      </c>
    </row>
    <row r="1150" spans="1:6" x14ac:dyDescent="0.25">
      <c r="A1150" t="s">
        <v>12376</v>
      </c>
      <c r="B1150" t="s">
        <v>11373</v>
      </c>
      <c r="C1150" t="s">
        <v>12255</v>
      </c>
      <c r="D1150">
        <v>2014</v>
      </c>
      <c r="E1150" t="s">
        <v>2619</v>
      </c>
      <c r="F1150" t="s">
        <v>12377</v>
      </c>
    </row>
    <row r="1151" spans="1:6" x14ac:dyDescent="0.25">
      <c r="A1151" t="s">
        <v>12378</v>
      </c>
      <c r="B1151" t="s">
        <v>11373</v>
      </c>
      <c r="C1151" t="s">
        <v>12255</v>
      </c>
      <c r="D1151">
        <v>2014</v>
      </c>
      <c r="E1151" t="s">
        <v>2619</v>
      </c>
      <c r="F1151" t="s">
        <v>12379</v>
      </c>
    </row>
    <row r="1152" spans="1:6" x14ac:dyDescent="0.25">
      <c r="A1152" t="s">
        <v>12380</v>
      </c>
      <c r="B1152" t="s">
        <v>11373</v>
      </c>
      <c r="C1152" t="s">
        <v>12255</v>
      </c>
      <c r="D1152">
        <v>2014</v>
      </c>
      <c r="E1152" t="s">
        <v>2619</v>
      </c>
      <c r="F1152" t="s">
        <v>12381</v>
      </c>
    </row>
    <row r="1153" spans="1:7" x14ac:dyDescent="0.25">
      <c r="A1153" t="s">
        <v>12382</v>
      </c>
      <c r="B1153" t="s">
        <v>10310</v>
      </c>
      <c r="C1153" t="s">
        <v>160</v>
      </c>
      <c r="D1153">
        <v>2012</v>
      </c>
      <c r="E1153" t="s">
        <v>160</v>
      </c>
      <c r="F1153" t="s">
        <v>12383</v>
      </c>
    </row>
    <row r="1154" spans="1:7" x14ac:dyDescent="0.25">
      <c r="A1154" t="s">
        <v>12384</v>
      </c>
      <c r="B1154" t="s">
        <v>10310</v>
      </c>
      <c r="C1154" t="s">
        <v>160</v>
      </c>
      <c r="D1154">
        <v>2012</v>
      </c>
      <c r="E1154" t="s">
        <v>160</v>
      </c>
      <c r="F1154" t="s">
        <v>12385</v>
      </c>
    </row>
    <row r="1155" spans="1:7" x14ac:dyDescent="0.25">
      <c r="A1155" t="s">
        <v>160</v>
      </c>
      <c r="B1155" t="s">
        <v>10310</v>
      </c>
      <c r="C1155" t="s">
        <v>160</v>
      </c>
      <c r="D1155">
        <v>2012</v>
      </c>
      <c r="E1155" t="s">
        <v>160</v>
      </c>
      <c r="F1155" t="s">
        <v>12386</v>
      </c>
      <c r="G1155" t="s">
        <v>10044</v>
      </c>
    </row>
    <row r="1156" spans="1:7" x14ac:dyDescent="0.25">
      <c r="A1156" t="s">
        <v>12387</v>
      </c>
      <c r="B1156" t="s">
        <v>10310</v>
      </c>
      <c r="C1156" t="s">
        <v>160</v>
      </c>
      <c r="D1156">
        <v>2012</v>
      </c>
      <c r="E1156" t="s">
        <v>160</v>
      </c>
      <c r="F1156" t="s">
        <v>12388</v>
      </c>
    </row>
    <row r="1157" spans="1:7" x14ac:dyDescent="0.25">
      <c r="A1157" t="s">
        <v>12389</v>
      </c>
      <c r="B1157" t="s">
        <v>10310</v>
      </c>
      <c r="C1157" t="s">
        <v>160</v>
      </c>
      <c r="D1157">
        <v>2012</v>
      </c>
      <c r="E1157" t="s">
        <v>160</v>
      </c>
      <c r="F1157" t="s">
        <v>12390</v>
      </c>
    </row>
    <row r="1158" spans="1:7" x14ac:dyDescent="0.25">
      <c r="A1158" t="s">
        <v>12391</v>
      </c>
      <c r="B1158" t="s">
        <v>10310</v>
      </c>
      <c r="C1158" t="s">
        <v>160</v>
      </c>
      <c r="D1158">
        <v>2012</v>
      </c>
      <c r="E1158" t="s">
        <v>160</v>
      </c>
      <c r="F1158" t="s">
        <v>12392</v>
      </c>
    </row>
    <row r="1159" spans="1:7" x14ac:dyDescent="0.25">
      <c r="A1159" t="s">
        <v>12393</v>
      </c>
      <c r="B1159" t="s">
        <v>10310</v>
      </c>
      <c r="C1159" t="s">
        <v>160</v>
      </c>
      <c r="D1159">
        <v>2012</v>
      </c>
      <c r="E1159" t="s">
        <v>160</v>
      </c>
      <c r="F1159" t="s">
        <v>12394</v>
      </c>
    </row>
    <row r="1160" spans="1:7" x14ac:dyDescent="0.25">
      <c r="A1160" t="s">
        <v>5112</v>
      </c>
      <c r="B1160" t="s">
        <v>10310</v>
      </c>
      <c r="C1160" t="s">
        <v>160</v>
      </c>
      <c r="D1160">
        <v>2012</v>
      </c>
      <c r="E1160" t="s">
        <v>160</v>
      </c>
      <c r="F1160" t="s">
        <v>12395</v>
      </c>
    </row>
    <row r="1161" spans="1:7" x14ac:dyDescent="0.25">
      <c r="A1161" t="s">
        <v>12396</v>
      </c>
      <c r="B1161" t="s">
        <v>10310</v>
      </c>
      <c r="C1161" t="s">
        <v>160</v>
      </c>
      <c r="D1161">
        <v>2012</v>
      </c>
      <c r="E1161" t="s">
        <v>160</v>
      </c>
      <c r="F1161" t="s">
        <v>12397</v>
      </c>
    </row>
    <row r="1162" spans="1:7" x14ac:dyDescent="0.25">
      <c r="A1162" t="s">
        <v>12398</v>
      </c>
      <c r="B1162" t="s">
        <v>10310</v>
      </c>
      <c r="C1162" t="s">
        <v>160</v>
      </c>
      <c r="D1162">
        <v>2012</v>
      </c>
      <c r="E1162" t="s">
        <v>160</v>
      </c>
      <c r="F1162" t="s">
        <v>12399</v>
      </c>
    </row>
    <row r="1163" spans="1:7" x14ac:dyDescent="0.25">
      <c r="A1163" t="s">
        <v>12400</v>
      </c>
      <c r="B1163" t="s">
        <v>10310</v>
      </c>
      <c r="C1163" t="s">
        <v>160</v>
      </c>
      <c r="D1163">
        <v>2012</v>
      </c>
      <c r="E1163" t="s">
        <v>160</v>
      </c>
      <c r="F1163" t="s">
        <v>12401</v>
      </c>
    </row>
    <row r="1164" spans="1:7" x14ac:dyDescent="0.25">
      <c r="A1164" t="s">
        <v>12402</v>
      </c>
      <c r="B1164" t="s">
        <v>10310</v>
      </c>
      <c r="C1164" t="s">
        <v>160</v>
      </c>
      <c r="D1164">
        <v>2012</v>
      </c>
      <c r="E1164" t="s">
        <v>160</v>
      </c>
      <c r="F1164" t="s">
        <v>12403</v>
      </c>
    </row>
    <row r="1165" spans="1:7" x14ac:dyDescent="0.25">
      <c r="A1165" t="s">
        <v>12404</v>
      </c>
      <c r="B1165" t="s">
        <v>10310</v>
      </c>
      <c r="C1165" t="s">
        <v>160</v>
      </c>
      <c r="D1165">
        <v>2012</v>
      </c>
      <c r="E1165" t="s">
        <v>160</v>
      </c>
      <c r="F1165" t="s">
        <v>12405</v>
      </c>
    </row>
    <row r="1166" spans="1:7" x14ac:dyDescent="0.25">
      <c r="A1166" t="s">
        <v>12406</v>
      </c>
      <c r="B1166" t="s">
        <v>10310</v>
      </c>
      <c r="C1166" t="s">
        <v>160</v>
      </c>
      <c r="D1166">
        <v>2012</v>
      </c>
      <c r="E1166" t="s">
        <v>160</v>
      </c>
      <c r="F1166" t="s">
        <v>12407</v>
      </c>
    </row>
    <row r="1167" spans="1:7" x14ac:dyDescent="0.25">
      <c r="A1167" t="s">
        <v>12408</v>
      </c>
      <c r="B1167" t="s">
        <v>10310</v>
      </c>
      <c r="C1167" t="s">
        <v>160</v>
      </c>
      <c r="D1167">
        <v>2012</v>
      </c>
      <c r="E1167" t="s">
        <v>160</v>
      </c>
      <c r="F1167" t="s">
        <v>12409</v>
      </c>
    </row>
    <row r="1168" spans="1:7" x14ac:dyDescent="0.25">
      <c r="A1168" t="s">
        <v>5109</v>
      </c>
      <c r="B1168" t="s">
        <v>10310</v>
      </c>
      <c r="C1168" t="s">
        <v>160</v>
      </c>
      <c r="D1168">
        <v>2012</v>
      </c>
      <c r="E1168" t="s">
        <v>160</v>
      </c>
      <c r="F1168" t="s">
        <v>12410</v>
      </c>
    </row>
    <row r="1169" spans="1:6" x14ac:dyDescent="0.25">
      <c r="A1169" t="s">
        <v>12411</v>
      </c>
      <c r="B1169" t="s">
        <v>10310</v>
      </c>
      <c r="C1169" t="s">
        <v>160</v>
      </c>
      <c r="D1169">
        <v>2012</v>
      </c>
      <c r="E1169" t="s">
        <v>160</v>
      </c>
      <c r="F1169" t="s">
        <v>12412</v>
      </c>
    </row>
    <row r="1170" spans="1:6" x14ac:dyDescent="0.25">
      <c r="A1170" t="s">
        <v>12413</v>
      </c>
      <c r="B1170" t="s">
        <v>10310</v>
      </c>
      <c r="C1170" t="s">
        <v>160</v>
      </c>
      <c r="D1170">
        <v>2012</v>
      </c>
      <c r="E1170" t="s">
        <v>160</v>
      </c>
      <c r="F1170" t="s">
        <v>12414</v>
      </c>
    </row>
    <row r="1171" spans="1:6" x14ac:dyDescent="0.25">
      <c r="A1171" t="s">
        <v>12415</v>
      </c>
      <c r="B1171" t="s">
        <v>10310</v>
      </c>
      <c r="C1171" t="s">
        <v>160</v>
      </c>
      <c r="D1171">
        <v>2012</v>
      </c>
      <c r="E1171" t="s">
        <v>160</v>
      </c>
      <c r="F1171" t="s">
        <v>12416</v>
      </c>
    </row>
    <row r="1172" spans="1:6" x14ac:dyDescent="0.25">
      <c r="A1172" t="s">
        <v>10481</v>
      </c>
      <c r="B1172" t="s">
        <v>10310</v>
      </c>
      <c r="C1172" t="s">
        <v>160</v>
      </c>
      <c r="D1172">
        <v>2012</v>
      </c>
      <c r="E1172" t="s">
        <v>160</v>
      </c>
      <c r="F1172" t="s">
        <v>12417</v>
      </c>
    </row>
    <row r="1173" spans="1:6" x14ac:dyDescent="0.25">
      <c r="A1173" t="s">
        <v>12418</v>
      </c>
      <c r="B1173" t="s">
        <v>10310</v>
      </c>
      <c r="C1173" t="s">
        <v>160</v>
      </c>
      <c r="D1173">
        <v>2012</v>
      </c>
      <c r="E1173" t="s">
        <v>160</v>
      </c>
      <c r="F1173" t="s">
        <v>12419</v>
      </c>
    </row>
    <row r="1174" spans="1:6" x14ac:dyDescent="0.25">
      <c r="A1174" t="s">
        <v>12420</v>
      </c>
      <c r="B1174" t="s">
        <v>10310</v>
      </c>
      <c r="C1174" t="s">
        <v>160</v>
      </c>
      <c r="D1174">
        <v>2012</v>
      </c>
      <c r="E1174" t="s">
        <v>160</v>
      </c>
      <c r="F1174" t="s">
        <v>12421</v>
      </c>
    </row>
    <row r="1175" spans="1:6" x14ac:dyDescent="0.25">
      <c r="A1175" t="s">
        <v>12422</v>
      </c>
      <c r="B1175" t="s">
        <v>10310</v>
      </c>
      <c r="C1175" t="s">
        <v>160</v>
      </c>
      <c r="D1175">
        <v>2012</v>
      </c>
      <c r="E1175" t="s">
        <v>160</v>
      </c>
      <c r="F1175" t="s">
        <v>12423</v>
      </c>
    </row>
    <row r="1176" spans="1:6" x14ac:dyDescent="0.25">
      <c r="A1176" t="s">
        <v>12424</v>
      </c>
      <c r="B1176" t="s">
        <v>10310</v>
      </c>
      <c r="C1176" t="s">
        <v>160</v>
      </c>
      <c r="D1176">
        <v>2012</v>
      </c>
      <c r="E1176" t="s">
        <v>160</v>
      </c>
      <c r="F1176" t="s">
        <v>12425</v>
      </c>
    </row>
    <row r="1177" spans="1:6" x14ac:dyDescent="0.25">
      <c r="A1177" t="s">
        <v>12426</v>
      </c>
      <c r="B1177" t="s">
        <v>10310</v>
      </c>
      <c r="C1177" t="s">
        <v>160</v>
      </c>
      <c r="D1177">
        <v>2012</v>
      </c>
      <c r="E1177" t="s">
        <v>160</v>
      </c>
      <c r="F1177" t="s">
        <v>12427</v>
      </c>
    </row>
    <row r="1178" spans="1:6" x14ac:dyDescent="0.25">
      <c r="A1178" t="s">
        <v>12428</v>
      </c>
      <c r="B1178" t="s">
        <v>10310</v>
      </c>
      <c r="C1178" t="s">
        <v>160</v>
      </c>
      <c r="D1178">
        <v>2012</v>
      </c>
      <c r="E1178" t="s">
        <v>160</v>
      </c>
      <c r="F1178" t="s">
        <v>12429</v>
      </c>
    </row>
    <row r="1179" spans="1:6" x14ac:dyDescent="0.25">
      <c r="A1179" t="s">
        <v>12430</v>
      </c>
      <c r="B1179" t="s">
        <v>12431</v>
      </c>
      <c r="C1179" t="s">
        <v>160</v>
      </c>
      <c r="D1179">
        <v>2012</v>
      </c>
      <c r="E1179" t="s">
        <v>160</v>
      </c>
      <c r="F1179" t="s">
        <v>12432</v>
      </c>
    </row>
    <row r="1180" spans="1:6" x14ac:dyDescent="0.25">
      <c r="A1180" t="s">
        <v>12433</v>
      </c>
      <c r="B1180" t="s">
        <v>12434</v>
      </c>
      <c r="C1180" t="s">
        <v>160</v>
      </c>
      <c r="D1180">
        <v>2012</v>
      </c>
      <c r="E1180" t="s">
        <v>160</v>
      </c>
      <c r="F1180" t="s">
        <v>12435</v>
      </c>
    </row>
    <row r="1181" spans="1:6" x14ac:dyDescent="0.25">
      <c r="A1181" t="s">
        <v>12436</v>
      </c>
      <c r="B1181" t="s">
        <v>10310</v>
      </c>
      <c r="C1181" t="s">
        <v>160</v>
      </c>
      <c r="D1181">
        <v>2012</v>
      </c>
      <c r="E1181" t="s">
        <v>160</v>
      </c>
      <c r="F1181" t="s">
        <v>12437</v>
      </c>
    </row>
    <row r="1182" spans="1:6" x14ac:dyDescent="0.25">
      <c r="A1182" t="s">
        <v>12438</v>
      </c>
      <c r="B1182" t="s">
        <v>10310</v>
      </c>
      <c r="C1182" t="s">
        <v>160</v>
      </c>
      <c r="D1182">
        <v>2012</v>
      </c>
      <c r="E1182" t="s">
        <v>160</v>
      </c>
      <c r="F1182" t="s">
        <v>12439</v>
      </c>
    </row>
    <row r="1183" spans="1:6" x14ac:dyDescent="0.25">
      <c r="A1183" t="s">
        <v>12440</v>
      </c>
      <c r="B1183" t="s">
        <v>10310</v>
      </c>
      <c r="C1183" t="s">
        <v>160</v>
      </c>
      <c r="D1183">
        <v>2012</v>
      </c>
      <c r="E1183" t="s">
        <v>160</v>
      </c>
      <c r="F1183" t="s">
        <v>12441</v>
      </c>
    </row>
    <row r="1184" spans="1:6" x14ac:dyDescent="0.25">
      <c r="A1184" t="s">
        <v>12442</v>
      </c>
      <c r="B1184" t="s">
        <v>10310</v>
      </c>
      <c r="C1184" t="s">
        <v>160</v>
      </c>
      <c r="D1184">
        <v>2012</v>
      </c>
      <c r="E1184" t="s">
        <v>160</v>
      </c>
      <c r="F1184" t="s">
        <v>12443</v>
      </c>
    </row>
    <row r="1185" spans="1:7" x14ac:dyDescent="0.25">
      <c r="A1185" t="s">
        <v>12444</v>
      </c>
      <c r="B1185" t="s">
        <v>10310</v>
      </c>
      <c r="C1185" t="s">
        <v>160</v>
      </c>
      <c r="D1185">
        <v>2012</v>
      </c>
      <c r="E1185" t="s">
        <v>160</v>
      </c>
      <c r="F1185" t="s">
        <v>12445</v>
      </c>
    </row>
    <row r="1186" spans="1:7" x14ac:dyDescent="0.25">
      <c r="A1186" t="s">
        <v>12446</v>
      </c>
      <c r="B1186" t="s">
        <v>10310</v>
      </c>
      <c r="C1186" t="s">
        <v>160</v>
      </c>
      <c r="D1186">
        <v>2012</v>
      </c>
      <c r="E1186" t="s">
        <v>160</v>
      </c>
      <c r="F1186" t="s">
        <v>12447</v>
      </c>
    </row>
    <row r="1187" spans="1:7" x14ac:dyDescent="0.25">
      <c r="A1187" t="s">
        <v>12448</v>
      </c>
      <c r="B1187" t="s">
        <v>10310</v>
      </c>
      <c r="C1187" t="s">
        <v>160</v>
      </c>
      <c r="D1187">
        <v>2012</v>
      </c>
      <c r="E1187" t="s">
        <v>160</v>
      </c>
      <c r="F1187" t="s">
        <v>12449</v>
      </c>
    </row>
    <row r="1188" spans="1:7" x14ac:dyDescent="0.25">
      <c r="A1188" t="s">
        <v>12450</v>
      </c>
      <c r="B1188" t="s">
        <v>10310</v>
      </c>
      <c r="C1188" t="s">
        <v>160</v>
      </c>
      <c r="D1188">
        <v>2012</v>
      </c>
      <c r="E1188" t="s">
        <v>160</v>
      </c>
      <c r="F1188" t="s">
        <v>12451</v>
      </c>
    </row>
    <row r="1189" spans="1:7" x14ac:dyDescent="0.25">
      <c r="A1189" t="s">
        <v>12452</v>
      </c>
      <c r="B1189" t="s">
        <v>10310</v>
      </c>
      <c r="C1189" t="s">
        <v>160</v>
      </c>
      <c r="D1189">
        <v>2012</v>
      </c>
      <c r="E1189" t="s">
        <v>160</v>
      </c>
      <c r="F1189" t="s">
        <v>12453</v>
      </c>
    </row>
    <row r="1190" spans="1:7" x14ac:dyDescent="0.25">
      <c r="A1190" t="s">
        <v>12454</v>
      </c>
      <c r="B1190" t="s">
        <v>10310</v>
      </c>
      <c r="C1190" t="s">
        <v>160</v>
      </c>
      <c r="D1190">
        <v>2012</v>
      </c>
      <c r="E1190" t="s">
        <v>160</v>
      </c>
      <c r="F1190" t="s">
        <v>12455</v>
      </c>
    </row>
    <row r="1191" spans="1:7" x14ac:dyDescent="0.25">
      <c r="A1191" t="s">
        <v>12456</v>
      </c>
      <c r="B1191" t="s">
        <v>10310</v>
      </c>
      <c r="C1191" t="s">
        <v>160</v>
      </c>
      <c r="D1191">
        <v>2012</v>
      </c>
      <c r="E1191" t="s">
        <v>160</v>
      </c>
      <c r="F1191" t="s">
        <v>12457</v>
      </c>
    </row>
    <row r="1192" spans="1:7" x14ac:dyDescent="0.25">
      <c r="A1192" t="s">
        <v>12458</v>
      </c>
      <c r="B1192" t="s">
        <v>10310</v>
      </c>
      <c r="C1192" t="s">
        <v>160</v>
      </c>
      <c r="D1192">
        <v>2012</v>
      </c>
      <c r="E1192" t="s">
        <v>160</v>
      </c>
      <c r="F1192" t="s">
        <v>12459</v>
      </c>
    </row>
    <row r="1193" spans="1:7" x14ac:dyDescent="0.25">
      <c r="A1193" t="s">
        <v>12460</v>
      </c>
      <c r="B1193" t="s">
        <v>11373</v>
      </c>
      <c r="C1193" t="s">
        <v>12461</v>
      </c>
      <c r="D1193">
        <v>2019</v>
      </c>
      <c r="E1193" t="s">
        <v>2652</v>
      </c>
      <c r="F1193" t="s">
        <v>12462</v>
      </c>
      <c r="G1193" t="s">
        <v>10044</v>
      </c>
    </row>
    <row r="1194" spans="1:7" x14ac:dyDescent="0.25">
      <c r="A1194" t="s">
        <v>12463</v>
      </c>
      <c r="B1194" t="s">
        <v>11373</v>
      </c>
      <c r="C1194" t="s">
        <v>12461</v>
      </c>
      <c r="D1194">
        <v>2019</v>
      </c>
      <c r="E1194" t="s">
        <v>2652</v>
      </c>
      <c r="F1194" t="s">
        <v>12464</v>
      </c>
    </row>
    <row r="1195" spans="1:7" x14ac:dyDescent="0.25">
      <c r="A1195" t="s">
        <v>12465</v>
      </c>
      <c r="B1195" t="s">
        <v>11373</v>
      </c>
      <c r="C1195" t="s">
        <v>12461</v>
      </c>
      <c r="D1195">
        <v>2019</v>
      </c>
      <c r="E1195" t="s">
        <v>2652</v>
      </c>
      <c r="F1195" t="s">
        <v>12466</v>
      </c>
    </row>
    <row r="1196" spans="1:7" x14ac:dyDescent="0.25">
      <c r="A1196" t="s">
        <v>12467</v>
      </c>
      <c r="B1196" t="s">
        <v>11373</v>
      </c>
      <c r="C1196" t="s">
        <v>12461</v>
      </c>
      <c r="D1196">
        <v>2019</v>
      </c>
      <c r="E1196" t="s">
        <v>2652</v>
      </c>
      <c r="F1196" t="s">
        <v>12468</v>
      </c>
    </row>
    <row r="1197" spans="1:7" x14ac:dyDescent="0.25">
      <c r="A1197" t="s">
        <v>12469</v>
      </c>
      <c r="B1197" t="s">
        <v>11373</v>
      </c>
      <c r="C1197" t="s">
        <v>12461</v>
      </c>
      <c r="D1197">
        <v>2019</v>
      </c>
      <c r="E1197" t="s">
        <v>2652</v>
      </c>
      <c r="F1197" t="s">
        <v>12470</v>
      </c>
    </row>
    <row r="1198" spans="1:7" x14ac:dyDescent="0.25">
      <c r="A1198" t="s">
        <v>12471</v>
      </c>
      <c r="B1198" t="s">
        <v>11373</v>
      </c>
      <c r="C1198" t="s">
        <v>12461</v>
      </c>
      <c r="D1198">
        <v>2019</v>
      </c>
      <c r="E1198" t="s">
        <v>2652</v>
      </c>
      <c r="F1198" t="s">
        <v>12472</v>
      </c>
    </row>
    <row r="1199" spans="1:7" x14ac:dyDescent="0.25">
      <c r="A1199" t="s">
        <v>12473</v>
      </c>
      <c r="B1199" t="s">
        <v>11373</v>
      </c>
      <c r="C1199" t="s">
        <v>12461</v>
      </c>
      <c r="D1199">
        <v>2019</v>
      </c>
      <c r="E1199" t="s">
        <v>2652</v>
      </c>
      <c r="F1199" t="s">
        <v>12474</v>
      </c>
    </row>
    <row r="1200" spans="1:7" x14ac:dyDescent="0.25">
      <c r="A1200" t="s">
        <v>12475</v>
      </c>
      <c r="B1200" t="s">
        <v>11373</v>
      </c>
      <c r="C1200" t="s">
        <v>12461</v>
      </c>
      <c r="D1200">
        <v>2019</v>
      </c>
      <c r="E1200" t="s">
        <v>2652</v>
      </c>
      <c r="F1200" t="s">
        <v>12476</v>
      </c>
    </row>
    <row r="1201" spans="1:7" x14ac:dyDescent="0.25">
      <c r="A1201" t="s">
        <v>12477</v>
      </c>
      <c r="B1201" t="s">
        <v>11373</v>
      </c>
      <c r="C1201" t="s">
        <v>12461</v>
      </c>
      <c r="D1201">
        <v>2019</v>
      </c>
      <c r="E1201" t="s">
        <v>2652</v>
      </c>
      <c r="F1201" t="s">
        <v>12478</v>
      </c>
    </row>
    <row r="1202" spans="1:7" x14ac:dyDescent="0.25">
      <c r="A1202" t="s">
        <v>12479</v>
      </c>
      <c r="B1202" t="s">
        <v>11373</v>
      </c>
      <c r="C1202" t="s">
        <v>12461</v>
      </c>
      <c r="D1202">
        <v>2019</v>
      </c>
      <c r="E1202" t="s">
        <v>2652</v>
      </c>
      <c r="F1202" t="s">
        <v>12480</v>
      </c>
    </row>
    <row r="1203" spans="1:7" x14ac:dyDescent="0.25">
      <c r="A1203" t="s">
        <v>12481</v>
      </c>
      <c r="B1203" t="s">
        <v>11373</v>
      </c>
      <c r="C1203" t="s">
        <v>12461</v>
      </c>
      <c r="D1203">
        <v>2019</v>
      </c>
      <c r="E1203" t="s">
        <v>2652</v>
      </c>
      <c r="F1203" t="s">
        <v>12482</v>
      </c>
    </row>
    <row r="1204" spans="1:7" x14ac:dyDescent="0.25">
      <c r="A1204" t="s">
        <v>12483</v>
      </c>
      <c r="B1204" t="s">
        <v>11373</v>
      </c>
      <c r="C1204" t="s">
        <v>12461</v>
      </c>
      <c r="D1204">
        <v>2019</v>
      </c>
      <c r="E1204" t="s">
        <v>2652</v>
      </c>
      <c r="F1204" t="s">
        <v>12484</v>
      </c>
    </row>
    <row r="1205" spans="1:7" x14ac:dyDescent="0.25">
      <c r="A1205" t="s">
        <v>12485</v>
      </c>
      <c r="B1205" t="s">
        <v>12486</v>
      </c>
      <c r="C1205" t="s">
        <v>12487</v>
      </c>
      <c r="D1205">
        <v>2022</v>
      </c>
      <c r="E1205" t="s">
        <v>2804</v>
      </c>
      <c r="F1205" t="s">
        <v>12488</v>
      </c>
      <c r="G1205" t="s">
        <v>10044</v>
      </c>
    </row>
    <row r="1206" spans="1:7" x14ac:dyDescent="0.25">
      <c r="A1206" t="s">
        <v>12489</v>
      </c>
      <c r="B1206" t="s">
        <v>12490</v>
      </c>
      <c r="C1206" t="s">
        <v>12487</v>
      </c>
      <c r="D1206">
        <v>2022</v>
      </c>
      <c r="E1206" t="s">
        <v>2804</v>
      </c>
      <c r="F1206" t="s">
        <v>12491</v>
      </c>
    </row>
    <row r="1207" spans="1:7" x14ac:dyDescent="0.25">
      <c r="A1207" t="s">
        <v>12492</v>
      </c>
      <c r="B1207" t="s">
        <v>12490</v>
      </c>
      <c r="C1207" t="s">
        <v>12487</v>
      </c>
      <c r="D1207">
        <v>2022</v>
      </c>
      <c r="E1207" t="s">
        <v>2804</v>
      </c>
      <c r="F1207" t="s">
        <v>12493</v>
      </c>
    </row>
    <row r="1208" spans="1:7" x14ac:dyDescent="0.25">
      <c r="A1208" t="s">
        <v>12494</v>
      </c>
      <c r="B1208" t="s">
        <v>12490</v>
      </c>
      <c r="C1208" t="s">
        <v>12487</v>
      </c>
      <c r="D1208">
        <v>2022</v>
      </c>
      <c r="E1208" t="s">
        <v>2804</v>
      </c>
      <c r="F1208" t="s">
        <v>12495</v>
      </c>
    </row>
    <row r="1209" spans="1:7" x14ac:dyDescent="0.25">
      <c r="A1209" t="s">
        <v>12496</v>
      </c>
      <c r="B1209" t="s">
        <v>12490</v>
      </c>
      <c r="C1209" t="s">
        <v>12487</v>
      </c>
      <c r="D1209">
        <v>2022</v>
      </c>
      <c r="E1209" t="s">
        <v>2804</v>
      </c>
      <c r="F1209" t="s">
        <v>12497</v>
      </c>
    </row>
    <row r="1210" spans="1:7" x14ac:dyDescent="0.25">
      <c r="A1210" t="s">
        <v>12498</v>
      </c>
      <c r="B1210" t="s">
        <v>12490</v>
      </c>
      <c r="C1210" t="s">
        <v>12487</v>
      </c>
      <c r="D1210">
        <v>2022</v>
      </c>
      <c r="E1210" t="s">
        <v>2804</v>
      </c>
      <c r="F1210" t="s">
        <v>12499</v>
      </c>
    </row>
    <row r="1211" spans="1:7" x14ac:dyDescent="0.25">
      <c r="A1211" t="s">
        <v>12500</v>
      </c>
      <c r="B1211" t="s">
        <v>12490</v>
      </c>
      <c r="C1211" t="s">
        <v>12487</v>
      </c>
      <c r="D1211">
        <v>2022</v>
      </c>
      <c r="E1211" t="s">
        <v>2804</v>
      </c>
      <c r="F1211" t="s">
        <v>12501</v>
      </c>
    </row>
    <row r="1212" spans="1:7" x14ac:dyDescent="0.25">
      <c r="A1212" t="s">
        <v>12502</v>
      </c>
      <c r="B1212" t="s">
        <v>12490</v>
      </c>
      <c r="C1212" t="s">
        <v>12487</v>
      </c>
      <c r="D1212">
        <v>2022</v>
      </c>
      <c r="E1212" t="s">
        <v>2804</v>
      </c>
      <c r="F1212" t="s">
        <v>12503</v>
      </c>
    </row>
    <row r="1213" spans="1:7" x14ac:dyDescent="0.25">
      <c r="A1213" t="s">
        <v>12504</v>
      </c>
      <c r="B1213" t="s">
        <v>12490</v>
      </c>
      <c r="C1213" t="s">
        <v>12487</v>
      </c>
      <c r="D1213">
        <v>2022</v>
      </c>
      <c r="E1213" t="s">
        <v>2804</v>
      </c>
      <c r="F1213" t="s">
        <v>12505</v>
      </c>
    </row>
    <row r="1214" spans="1:7" x14ac:dyDescent="0.25">
      <c r="A1214" t="s">
        <v>12506</v>
      </c>
      <c r="B1214" t="s">
        <v>12490</v>
      </c>
      <c r="C1214" t="s">
        <v>12487</v>
      </c>
      <c r="D1214">
        <v>2022</v>
      </c>
      <c r="E1214" t="s">
        <v>2804</v>
      </c>
      <c r="F1214" t="s">
        <v>12507</v>
      </c>
    </row>
    <row r="1215" spans="1:7" x14ac:dyDescent="0.25">
      <c r="A1215" t="s">
        <v>12508</v>
      </c>
      <c r="B1215" t="s">
        <v>12486</v>
      </c>
      <c r="C1215" t="s">
        <v>12487</v>
      </c>
      <c r="D1215">
        <v>2022</v>
      </c>
      <c r="E1215" t="s">
        <v>2804</v>
      </c>
      <c r="F1215" t="s">
        <v>12509</v>
      </c>
    </row>
    <row r="1216" spans="1:7" x14ac:dyDescent="0.25">
      <c r="A1216" t="s">
        <v>12510</v>
      </c>
      <c r="B1216" t="s">
        <v>12490</v>
      </c>
      <c r="C1216" t="s">
        <v>12487</v>
      </c>
      <c r="D1216">
        <v>2022</v>
      </c>
      <c r="E1216" t="s">
        <v>2804</v>
      </c>
      <c r="F1216" t="s">
        <v>12511</v>
      </c>
    </row>
    <row r="1217" spans="1:6" x14ac:dyDescent="0.25">
      <c r="A1217" t="s">
        <v>12512</v>
      </c>
      <c r="B1217" t="s">
        <v>12490</v>
      </c>
      <c r="C1217" t="s">
        <v>12487</v>
      </c>
      <c r="D1217">
        <v>2022</v>
      </c>
      <c r="E1217" t="s">
        <v>2804</v>
      </c>
      <c r="F1217" t="s">
        <v>12513</v>
      </c>
    </row>
    <row r="1218" spans="1:6" x14ac:dyDescent="0.25">
      <c r="A1218" t="s">
        <v>12514</v>
      </c>
      <c r="B1218" t="s">
        <v>12490</v>
      </c>
      <c r="C1218" t="s">
        <v>12487</v>
      </c>
      <c r="D1218">
        <v>2022</v>
      </c>
      <c r="E1218" t="s">
        <v>2804</v>
      </c>
      <c r="F1218" t="s">
        <v>12515</v>
      </c>
    </row>
    <row r="1219" spans="1:6" x14ac:dyDescent="0.25">
      <c r="A1219" t="s">
        <v>12516</v>
      </c>
      <c r="B1219" t="s">
        <v>12490</v>
      </c>
      <c r="C1219" t="s">
        <v>12487</v>
      </c>
      <c r="D1219">
        <v>2022</v>
      </c>
      <c r="E1219" t="s">
        <v>2804</v>
      </c>
      <c r="F1219" t="s">
        <v>12517</v>
      </c>
    </row>
    <row r="1220" spans="1:6" x14ac:dyDescent="0.25">
      <c r="A1220" t="s">
        <v>12518</v>
      </c>
      <c r="B1220" t="s">
        <v>12490</v>
      </c>
      <c r="C1220" t="s">
        <v>12487</v>
      </c>
      <c r="D1220">
        <v>2022</v>
      </c>
      <c r="E1220" t="s">
        <v>2804</v>
      </c>
      <c r="F1220" t="s">
        <v>12519</v>
      </c>
    </row>
    <row r="1221" spans="1:6" x14ac:dyDescent="0.25">
      <c r="A1221" t="s">
        <v>12520</v>
      </c>
      <c r="B1221" t="s">
        <v>12490</v>
      </c>
      <c r="C1221" t="s">
        <v>12487</v>
      </c>
      <c r="D1221">
        <v>2022</v>
      </c>
      <c r="E1221" t="s">
        <v>2804</v>
      </c>
      <c r="F1221" t="s">
        <v>12521</v>
      </c>
    </row>
    <row r="1222" spans="1:6" x14ac:dyDescent="0.25">
      <c r="A1222" t="s">
        <v>12522</v>
      </c>
      <c r="B1222" t="s">
        <v>12490</v>
      </c>
      <c r="C1222" t="s">
        <v>12487</v>
      </c>
      <c r="D1222">
        <v>2022</v>
      </c>
      <c r="E1222" t="s">
        <v>2804</v>
      </c>
      <c r="F1222" t="s">
        <v>12523</v>
      </c>
    </row>
    <row r="1223" spans="1:6" x14ac:dyDescent="0.25">
      <c r="A1223" t="s">
        <v>12524</v>
      </c>
      <c r="B1223" t="s">
        <v>12490</v>
      </c>
      <c r="C1223" t="s">
        <v>12487</v>
      </c>
      <c r="D1223">
        <v>2022</v>
      </c>
      <c r="E1223" t="s">
        <v>2804</v>
      </c>
      <c r="F1223" t="s">
        <v>12525</v>
      </c>
    </row>
    <row r="1224" spans="1:6" x14ac:dyDescent="0.25">
      <c r="A1224" t="s">
        <v>12526</v>
      </c>
      <c r="B1224" t="s">
        <v>12490</v>
      </c>
      <c r="C1224" t="s">
        <v>12487</v>
      </c>
      <c r="D1224">
        <v>2022</v>
      </c>
      <c r="E1224" t="s">
        <v>2804</v>
      </c>
      <c r="F1224" t="s">
        <v>12527</v>
      </c>
    </row>
    <row r="1225" spans="1:6" x14ac:dyDescent="0.25">
      <c r="A1225" t="s">
        <v>12528</v>
      </c>
      <c r="B1225" t="s">
        <v>12490</v>
      </c>
      <c r="C1225" t="s">
        <v>12487</v>
      </c>
      <c r="D1225">
        <v>2022</v>
      </c>
      <c r="E1225" t="s">
        <v>2804</v>
      </c>
      <c r="F1225" t="s">
        <v>12529</v>
      </c>
    </row>
    <row r="1226" spans="1:6" x14ac:dyDescent="0.25">
      <c r="A1226" t="s">
        <v>12530</v>
      </c>
      <c r="B1226" t="s">
        <v>12490</v>
      </c>
      <c r="C1226" t="s">
        <v>12487</v>
      </c>
      <c r="D1226">
        <v>2022</v>
      </c>
      <c r="E1226" t="s">
        <v>2804</v>
      </c>
      <c r="F1226" t="s">
        <v>12531</v>
      </c>
    </row>
    <row r="1227" spans="1:6" x14ac:dyDescent="0.25">
      <c r="A1227" t="s">
        <v>12532</v>
      </c>
      <c r="B1227" t="s">
        <v>12490</v>
      </c>
      <c r="C1227" t="s">
        <v>12487</v>
      </c>
      <c r="D1227">
        <v>2022</v>
      </c>
      <c r="E1227" t="s">
        <v>2804</v>
      </c>
      <c r="F1227" t="s">
        <v>12533</v>
      </c>
    </row>
    <row r="1228" spans="1:6" x14ac:dyDescent="0.25">
      <c r="A1228" t="s">
        <v>12534</v>
      </c>
      <c r="B1228" t="s">
        <v>12535</v>
      </c>
      <c r="C1228" t="s">
        <v>12487</v>
      </c>
      <c r="D1228">
        <v>2022</v>
      </c>
      <c r="E1228" t="s">
        <v>2804</v>
      </c>
      <c r="F1228" t="s">
        <v>12536</v>
      </c>
    </row>
    <row r="1229" spans="1:6" x14ac:dyDescent="0.25">
      <c r="A1229" t="s">
        <v>12537</v>
      </c>
      <c r="B1229" t="s">
        <v>12535</v>
      </c>
      <c r="C1229" t="s">
        <v>12487</v>
      </c>
      <c r="D1229">
        <v>2022</v>
      </c>
      <c r="E1229" t="s">
        <v>2804</v>
      </c>
      <c r="F1229" t="s">
        <v>12538</v>
      </c>
    </row>
    <row r="1230" spans="1:6" x14ac:dyDescent="0.25">
      <c r="A1230" t="s">
        <v>12539</v>
      </c>
      <c r="B1230" t="s">
        <v>12535</v>
      </c>
      <c r="C1230" t="s">
        <v>12487</v>
      </c>
      <c r="D1230">
        <v>2022</v>
      </c>
      <c r="E1230" t="s">
        <v>2804</v>
      </c>
      <c r="F1230" t="s">
        <v>12540</v>
      </c>
    </row>
    <row r="1231" spans="1:6" x14ac:dyDescent="0.25">
      <c r="A1231" t="s">
        <v>12541</v>
      </c>
      <c r="B1231" t="s">
        <v>12535</v>
      </c>
      <c r="C1231" t="s">
        <v>12487</v>
      </c>
      <c r="D1231">
        <v>2022</v>
      </c>
      <c r="E1231" t="s">
        <v>2804</v>
      </c>
      <c r="F1231" t="s">
        <v>12542</v>
      </c>
    </row>
    <row r="1232" spans="1:6" x14ac:dyDescent="0.25">
      <c r="A1232" t="s">
        <v>12543</v>
      </c>
      <c r="B1232" t="s">
        <v>12535</v>
      </c>
      <c r="C1232" t="s">
        <v>12487</v>
      </c>
      <c r="D1232">
        <v>2022</v>
      </c>
      <c r="E1232" t="s">
        <v>2804</v>
      </c>
      <c r="F1232" t="s">
        <v>12544</v>
      </c>
    </row>
    <row r="1233" spans="1:6" x14ac:dyDescent="0.25">
      <c r="A1233" t="s">
        <v>12545</v>
      </c>
      <c r="B1233" t="s">
        <v>12535</v>
      </c>
      <c r="C1233" t="s">
        <v>12487</v>
      </c>
      <c r="D1233">
        <v>2022</v>
      </c>
      <c r="E1233" t="s">
        <v>2804</v>
      </c>
      <c r="F1233" t="s">
        <v>12546</v>
      </c>
    </row>
    <row r="1234" spans="1:6" x14ac:dyDescent="0.25">
      <c r="A1234" t="s">
        <v>12547</v>
      </c>
      <c r="B1234" t="s">
        <v>12535</v>
      </c>
      <c r="C1234" t="s">
        <v>12487</v>
      </c>
      <c r="D1234">
        <v>2022</v>
      </c>
      <c r="E1234" t="s">
        <v>2804</v>
      </c>
      <c r="F1234" t="s">
        <v>12548</v>
      </c>
    </row>
    <row r="1235" spans="1:6" x14ac:dyDescent="0.25">
      <c r="A1235" t="s">
        <v>12549</v>
      </c>
      <c r="B1235" t="s">
        <v>12535</v>
      </c>
      <c r="C1235" t="s">
        <v>12487</v>
      </c>
      <c r="D1235">
        <v>2022</v>
      </c>
      <c r="E1235" t="s">
        <v>2804</v>
      </c>
      <c r="F1235" t="s">
        <v>12550</v>
      </c>
    </row>
    <row r="1236" spans="1:6" x14ac:dyDescent="0.25">
      <c r="A1236" t="s">
        <v>12551</v>
      </c>
      <c r="B1236" t="s">
        <v>12535</v>
      </c>
      <c r="C1236" t="s">
        <v>12487</v>
      </c>
      <c r="D1236">
        <v>2022</v>
      </c>
      <c r="E1236" t="s">
        <v>2804</v>
      </c>
      <c r="F1236" t="s">
        <v>12552</v>
      </c>
    </row>
    <row r="1237" spans="1:6" x14ac:dyDescent="0.25">
      <c r="A1237" t="s">
        <v>12553</v>
      </c>
      <c r="B1237" t="s">
        <v>12535</v>
      </c>
      <c r="C1237" t="s">
        <v>12487</v>
      </c>
      <c r="D1237">
        <v>2023</v>
      </c>
      <c r="E1237" t="s">
        <v>2804</v>
      </c>
      <c r="F1237" t="s">
        <v>12554</v>
      </c>
    </row>
    <row r="1238" spans="1:6" x14ac:dyDescent="0.25">
      <c r="A1238" t="s">
        <v>12555</v>
      </c>
      <c r="B1238" t="s">
        <v>12535</v>
      </c>
      <c r="C1238" t="s">
        <v>12487</v>
      </c>
      <c r="D1238">
        <v>2023</v>
      </c>
      <c r="E1238" t="s">
        <v>2804</v>
      </c>
      <c r="F1238" t="s">
        <v>12556</v>
      </c>
    </row>
    <row r="1239" spans="1:6" x14ac:dyDescent="0.25">
      <c r="A1239" t="s">
        <v>12557</v>
      </c>
      <c r="B1239" t="s">
        <v>12535</v>
      </c>
      <c r="C1239" t="s">
        <v>12487</v>
      </c>
      <c r="D1239">
        <v>2023</v>
      </c>
      <c r="E1239" t="s">
        <v>2804</v>
      </c>
      <c r="F1239" t="s">
        <v>12558</v>
      </c>
    </row>
    <row r="1240" spans="1:6" x14ac:dyDescent="0.25">
      <c r="A1240" t="s">
        <v>12559</v>
      </c>
      <c r="B1240" t="s">
        <v>12486</v>
      </c>
      <c r="C1240" t="s">
        <v>12487</v>
      </c>
      <c r="D1240">
        <v>2022</v>
      </c>
      <c r="E1240" t="s">
        <v>2804</v>
      </c>
      <c r="F1240" t="s">
        <v>12560</v>
      </c>
    </row>
    <row r="1241" spans="1:6" x14ac:dyDescent="0.25">
      <c r="A1241" t="s">
        <v>12561</v>
      </c>
      <c r="B1241" t="s">
        <v>12486</v>
      </c>
      <c r="C1241" t="s">
        <v>12487</v>
      </c>
      <c r="D1241">
        <v>2022</v>
      </c>
      <c r="E1241" t="s">
        <v>2804</v>
      </c>
      <c r="F1241" t="s">
        <v>12562</v>
      </c>
    </row>
    <row r="1242" spans="1:6" x14ac:dyDescent="0.25">
      <c r="A1242" t="s">
        <v>12563</v>
      </c>
      <c r="B1242" t="s">
        <v>12486</v>
      </c>
      <c r="C1242" t="s">
        <v>12487</v>
      </c>
      <c r="D1242">
        <v>2022</v>
      </c>
      <c r="E1242" t="s">
        <v>2804</v>
      </c>
      <c r="F1242" t="s">
        <v>12564</v>
      </c>
    </row>
    <row r="1243" spans="1:6" x14ac:dyDescent="0.25">
      <c r="A1243" t="s">
        <v>12565</v>
      </c>
      <c r="B1243" t="s">
        <v>12535</v>
      </c>
      <c r="C1243" t="s">
        <v>12487</v>
      </c>
      <c r="D1243">
        <v>2022</v>
      </c>
      <c r="E1243" t="s">
        <v>2804</v>
      </c>
      <c r="F1243" t="s">
        <v>12566</v>
      </c>
    </row>
    <row r="1244" spans="1:6" x14ac:dyDescent="0.25">
      <c r="A1244" t="s">
        <v>12567</v>
      </c>
      <c r="B1244" t="s">
        <v>12535</v>
      </c>
      <c r="C1244" t="s">
        <v>12487</v>
      </c>
      <c r="D1244">
        <v>2022</v>
      </c>
      <c r="E1244" t="s">
        <v>2804</v>
      </c>
      <c r="F1244" t="s">
        <v>12568</v>
      </c>
    </row>
    <row r="1245" spans="1:6" x14ac:dyDescent="0.25">
      <c r="A1245" t="s">
        <v>12569</v>
      </c>
      <c r="B1245" t="s">
        <v>12535</v>
      </c>
      <c r="C1245" t="s">
        <v>12487</v>
      </c>
      <c r="D1245">
        <v>2022</v>
      </c>
      <c r="E1245" t="s">
        <v>2804</v>
      </c>
      <c r="F1245" t="s">
        <v>12570</v>
      </c>
    </row>
    <row r="1246" spans="1:6" x14ac:dyDescent="0.25">
      <c r="A1246" t="s">
        <v>12571</v>
      </c>
      <c r="B1246" t="s">
        <v>12490</v>
      </c>
      <c r="C1246" t="s">
        <v>12487</v>
      </c>
      <c r="D1246">
        <v>2022</v>
      </c>
      <c r="E1246" t="s">
        <v>2804</v>
      </c>
      <c r="F1246" t="s">
        <v>12572</v>
      </c>
    </row>
    <row r="1247" spans="1:6" x14ac:dyDescent="0.25">
      <c r="A1247" t="s">
        <v>12573</v>
      </c>
      <c r="B1247" t="s">
        <v>12490</v>
      </c>
      <c r="C1247" t="s">
        <v>12487</v>
      </c>
      <c r="D1247">
        <v>2023</v>
      </c>
      <c r="E1247" t="s">
        <v>2804</v>
      </c>
      <c r="F1247" t="s">
        <v>12574</v>
      </c>
    </row>
    <row r="1248" spans="1:6" x14ac:dyDescent="0.25">
      <c r="A1248" t="s">
        <v>12575</v>
      </c>
      <c r="B1248" t="s">
        <v>12490</v>
      </c>
      <c r="C1248" t="s">
        <v>12487</v>
      </c>
      <c r="D1248">
        <v>2024</v>
      </c>
      <c r="E1248" t="s">
        <v>2804</v>
      </c>
      <c r="F1248" t="s">
        <v>12576</v>
      </c>
    </row>
    <row r="1249" spans="1:6" x14ac:dyDescent="0.25">
      <c r="A1249" t="s">
        <v>12577</v>
      </c>
      <c r="B1249" t="s">
        <v>12490</v>
      </c>
      <c r="C1249" t="s">
        <v>12487</v>
      </c>
      <c r="D1249">
        <v>2024</v>
      </c>
      <c r="E1249" t="s">
        <v>2804</v>
      </c>
      <c r="F1249" t="s">
        <v>12578</v>
      </c>
    </row>
    <row r="1250" spans="1:6" x14ac:dyDescent="0.25">
      <c r="A1250" t="s">
        <v>12579</v>
      </c>
      <c r="B1250" t="s">
        <v>12490</v>
      </c>
      <c r="C1250" t="s">
        <v>12487</v>
      </c>
      <c r="D1250">
        <v>2024</v>
      </c>
      <c r="E1250" t="s">
        <v>2804</v>
      </c>
      <c r="F1250" t="s">
        <v>12580</v>
      </c>
    </row>
    <row r="1251" spans="1:6" x14ac:dyDescent="0.25">
      <c r="A1251" t="s">
        <v>12581</v>
      </c>
      <c r="B1251" t="s">
        <v>12490</v>
      </c>
      <c r="C1251" t="s">
        <v>12487</v>
      </c>
      <c r="D1251">
        <v>2024</v>
      </c>
      <c r="E1251" t="s">
        <v>2804</v>
      </c>
      <c r="F1251" t="s">
        <v>12582</v>
      </c>
    </row>
    <row r="1252" spans="1:6" x14ac:dyDescent="0.25">
      <c r="A1252" t="s">
        <v>12583</v>
      </c>
      <c r="B1252" t="s">
        <v>12490</v>
      </c>
      <c r="C1252" t="s">
        <v>12487</v>
      </c>
      <c r="D1252">
        <v>2025</v>
      </c>
      <c r="E1252" t="s">
        <v>2804</v>
      </c>
      <c r="F1252" t="s">
        <v>12584</v>
      </c>
    </row>
    <row r="1253" spans="1:6" x14ac:dyDescent="0.25">
      <c r="A1253" t="s">
        <v>12585</v>
      </c>
      <c r="B1253" t="s">
        <v>12586</v>
      </c>
      <c r="C1253" t="s">
        <v>12487</v>
      </c>
      <c r="D1253">
        <v>2022</v>
      </c>
      <c r="E1253" t="s">
        <v>2804</v>
      </c>
      <c r="F1253" t="s">
        <v>12587</v>
      </c>
    </row>
    <row r="1254" spans="1:6" x14ac:dyDescent="0.25">
      <c r="A1254" t="s">
        <v>12588</v>
      </c>
      <c r="B1254" t="s">
        <v>12490</v>
      </c>
      <c r="C1254" t="s">
        <v>12487</v>
      </c>
      <c r="D1254">
        <v>2022</v>
      </c>
      <c r="E1254" t="s">
        <v>2804</v>
      </c>
      <c r="F1254" t="s">
        <v>12589</v>
      </c>
    </row>
    <row r="1255" spans="1:6" x14ac:dyDescent="0.25">
      <c r="A1255" t="s">
        <v>12590</v>
      </c>
      <c r="B1255" t="s">
        <v>12490</v>
      </c>
      <c r="C1255" t="s">
        <v>12487</v>
      </c>
      <c r="D1255">
        <v>2022</v>
      </c>
      <c r="E1255" t="s">
        <v>2804</v>
      </c>
      <c r="F1255" t="s">
        <v>12591</v>
      </c>
    </row>
    <row r="1256" spans="1:6" x14ac:dyDescent="0.25">
      <c r="A1256" t="s">
        <v>12592</v>
      </c>
      <c r="B1256" t="s">
        <v>12490</v>
      </c>
      <c r="C1256" t="s">
        <v>12487</v>
      </c>
      <c r="D1256">
        <v>2022</v>
      </c>
      <c r="E1256" t="s">
        <v>2804</v>
      </c>
      <c r="F1256" t="s">
        <v>12593</v>
      </c>
    </row>
    <row r="1257" spans="1:6" x14ac:dyDescent="0.25">
      <c r="A1257" t="s">
        <v>12594</v>
      </c>
      <c r="B1257" t="s">
        <v>12490</v>
      </c>
      <c r="C1257" t="s">
        <v>12487</v>
      </c>
      <c r="D1257">
        <v>2022</v>
      </c>
      <c r="E1257" t="s">
        <v>2804</v>
      </c>
      <c r="F1257" t="s">
        <v>12595</v>
      </c>
    </row>
    <row r="1258" spans="1:6" x14ac:dyDescent="0.25">
      <c r="A1258" t="s">
        <v>12596</v>
      </c>
      <c r="B1258" t="s">
        <v>12597</v>
      </c>
      <c r="C1258" t="s">
        <v>12487</v>
      </c>
      <c r="D1258">
        <v>2022</v>
      </c>
      <c r="E1258" t="s">
        <v>2804</v>
      </c>
      <c r="F1258" t="s">
        <v>12598</v>
      </c>
    </row>
    <row r="1259" spans="1:6" x14ac:dyDescent="0.25">
      <c r="A1259" t="s">
        <v>12599</v>
      </c>
      <c r="B1259" t="s">
        <v>12600</v>
      </c>
      <c r="C1259" t="s">
        <v>12487</v>
      </c>
      <c r="D1259">
        <v>2023</v>
      </c>
      <c r="E1259" t="s">
        <v>2804</v>
      </c>
      <c r="F1259" t="s">
        <v>12601</v>
      </c>
    </row>
    <row r="1260" spans="1:6" x14ac:dyDescent="0.25">
      <c r="A1260" t="s">
        <v>12602</v>
      </c>
      <c r="B1260" t="s">
        <v>12490</v>
      </c>
      <c r="C1260" t="s">
        <v>12487</v>
      </c>
      <c r="D1260">
        <v>2023</v>
      </c>
      <c r="E1260" t="s">
        <v>2804</v>
      </c>
      <c r="F1260" t="s">
        <v>12603</v>
      </c>
    </row>
    <row r="1261" spans="1:6" x14ac:dyDescent="0.25">
      <c r="A1261" t="s">
        <v>12604</v>
      </c>
      <c r="B1261" t="s">
        <v>12605</v>
      </c>
      <c r="C1261" t="s">
        <v>12487</v>
      </c>
      <c r="D1261">
        <v>2023</v>
      </c>
      <c r="E1261" t="s">
        <v>2804</v>
      </c>
      <c r="F1261" t="s">
        <v>12606</v>
      </c>
    </row>
    <row r="1262" spans="1:6" x14ac:dyDescent="0.25">
      <c r="A1262" t="s">
        <v>12607</v>
      </c>
      <c r="B1262" t="s">
        <v>12490</v>
      </c>
      <c r="C1262" t="s">
        <v>12487</v>
      </c>
      <c r="D1262">
        <v>2023</v>
      </c>
      <c r="E1262" t="s">
        <v>2804</v>
      </c>
      <c r="F1262" t="s">
        <v>12608</v>
      </c>
    </row>
    <row r="1263" spans="1:6" x14ac:dyDescent="0.25">
      <c r="A1263" t="s">
        <v>12609</v>
      </c>
      <c r="B1263" t="s">
        <v>12490</v>
      </c>
      <c r="C1263" t="s">
        <v>12487</v>
      </c>
      <c r="D1263">
        <v>2023</v>
      </c>
      <c r="E1263" t="s">
        <v>2804</v>
      </c>
      <c r="F1263" t="s">
        <v>12610</v>
      </c>
    </row>
    <row r="1264" spans="1:6" x14ac:dyDescent="0.25">
      <c r="A1264" t="s">
        <v>12611</v>
      </c>
      <c r="B1264" t="s">
        <v>12490</v>
      </c>
      <c r="C1264" t="s">
        <v>12487</v>
      </c>
      <c r="D1264">
        <v>2023</v>
      </c>
      <c r="E1264" t="s">
        <v>2804</v>
      </c>
      <c r="F1264" t="s">
        <v>12612</v>
      </c>
    </row>
    <row r="1265" spans="1:7" x14ac:dyDescent="0.25">
      <c r="A1265" t="s">
        <v>12613</v>
      </c>
      <c r="B1265" t="s">
        <v>12490</v>
      </c>
      <c r="C1265" t="s">
        <v>12487</v>
      </c>
      <c r="D1265">
        <v>2023</v>
      </c>
      <c r="E1265" t="s">
        <v>2804</v>
      </c>
      <c r="F1265" t="s">
        <v>12614</v>
      </c>
    </row>
    <row r="1266" spans="1:7" x14ac:dyDescent="0.25">
      <c r="A1266" t="s">
        <v>12615</v>
      </c>
      <c r="B1266" t="s">
        <v>12616</v>
      </c>
      <c r="C1266" t="s">
        <v>12487</v>
      </c>
      <c r="D1266">
        <v>2023</v>
      </c>
      <c r="E1266" t="s">
        <v>2804</v>
      </c>
      <c r="F1266" t="s">
        <v>12617</v>
      </c>
    </row>
    <row r="1267" spans="1:7" x14ac:dyDescent="0.25">
      <c r="A1267" t="s">
        <v>12618</v>
      </c>
      <c r="B1267" t="s">
        <v>12490</v>
      </c>
      <c r="C1267" t="s">
        <v>12487</v>
      </c>
      <c r="D1267">
        <v>2023</v>
      </c>
      <c r="E1267" t="s">
        <v>2804</v>
      </c>
      <c r="F1267" t="s">
        <v>12619</v>
      </c>
    </row>
    <row r="1268" spans="1:7" x14ac:dyDescent="0.25">
      <c r="A1268" t="s">
        <v>12620</v>
      </c>
      <c r="B1268" t="s">
        <v>12621</v>
      </c>
      <c r="C1268" t="s">
        <v>12487</v>
      </c>
      <c r="D1268">
        <v>2023</v>
      </c>
      <c r="E1268" t="s">
        <v>2804</v>
      </c>
      <c r="F1268" t="s">
        <v>12622</v>
      </c>
    </row>
    <row r="1269" spans="1:7" x14ac:dyDescent="0.25">
      <c r="A1269" t="s">
        <v>12623</v>
      </c>
      <c r="B1269" t="s">
        <v>12490</v>
      </c>
      <c r="C1269" t="s">
        <v>12487</v>
      </c>
      <c r="D1269">
        <v>2023</v>
      </c>
      <c r="E1269" t="s">
        <v>2804</v>
      </c>
      <c r="F1269" t="s">
        <v>12624</v>
      </c>
    </row>
    <row r="1270" spans="1:7" x14ac:dyDescent="0.25">
      <c r="A1270" t="s">
        <v>12625</v>
      </c>
      <c r="B1270" t="s">
        <v>12535</v>
      </c>
      <c r="C1270" t="s">
        <v>12487</v>
      </c>
      <c r="D1270">
        <v>2023</v>
      </c>
      <c r="E1270" t="s">
        <v>2804</v>
      </c>
      <c r="F1270" t="s">
        <v>12626</v>
      </c>
    </row>
    <row r="1271" spans="1:7" x14ac:dyDescent="0.25">
      <c r="A1271" t="s">
        <v>12627</v>
      </c>
      <c r="B1271" t="s">
        <v>12535</v>
      </c>
      <c r="C1271" t="s">
        <v>12487</v>
      </c>
      <c r="D1271">
        <v>2023</v>
      </c>
      <c r="E1271" t="s">
        <v>2804</v>
      </c>
      <c r="F1271" t="s">
        <v>12628</v>
      </c>
    </row>
    <row r="1272" spans="1:7" x14ac:dyDescent="0.25">
      <c r="A1272" t="s">
        <v>12629</v>
      </c>
      <c r="B1272" t="s">
        <v>12535</v>
      </c>
      <c r="C1272" t="s">
        <v>12487</v>
      </c>
      <c r="D1272">
        <v>2023</v>
      </c>
      <c r="E1272" t="s">
        <v>2804</v>
      </c>
      <c r="F1272" t="s">
        <v>12630</v>
      </c>
    </row>
    <row r="1273" spans="1:7" x14ac:dyDescent="0.25">
      <c r="A1273" t="s">
        <v>12631</v>
      </c>
      <c r="B1273" t="s">
        <v>12535</v>
      </c>
      <c r="C1273" t="s">
        <v>12487</v>
      </c>
      <c r="D1273">
        <v>2023</v>
      </c>
      <c r="E1273" t="s">
        <v>2804</v>
      </c>
      <c r="F1273" t="s">
        <v>12632</v>
      </c>
    </row>
    <row r="1274" spans="1:7" x14ac:dyDescent="0.25">
      <c r="A1274" t="s">
        <v>12633</v>
      </c>
      <c r="B1274" t="s">
        <v>12535</v>
      </c>
      <c r="C1274" t="s">
        <v>12487</v>
      </c>
      <c r="D1274">
        <v>2023</v>
      </c>
      <c r="E1274" t="s">
        <v>2804</v>
      </c>
      <c r="F1274" t="s">
        <v>12634</v>
      </c>
    </row>
    <row r="1275" spans="1:7" x14ac:dyDescent="0.25">
      <c r="A1275" t="s">
        <v>12635</v>
      </c>
      <c r="B1275" t="s">
        <v>12535</v>
      </c>
      <c r="C1275" t="s">
        <v>12487</v>
      </c>
      <c r="D1275">
        <v>2023</v>
      </c>
      <c r="E1275" t="s">
        <v>2804</v>
      </c>
      <c r="F1275" t="s">
        <v>12636</v>
      </c>
    </row>
    <row r="1276" spans="1:7" x14ac:dyDescent="0.25">
      <c r="A1276" t="s">
        <v>12637</v>
      </c>
      <c r="B1276" t="s">
        <v>12638</v>
      </c>
      <c r="C1276" t="s">
        <v>12639</v>
      </c>
      <c r="D1276">
        <v>2023</v>
      </c>
      <c r="E1276" t="s">
        <v>2890</v>
      </c>
      <c r="F1276" t="s">
        <v>12640</v>
      </c>
      <c r="G1276" t="s">
        <v>10044</v>
      </c>
    </row>
    <row r="1277" spans="1:7" x14ac:dyDescent="0.25">
      <c r="A1277" t="s">
        <v>12641</v>
      </c>
      <c r="B1277" t="s">
        <v>12638</v>
      </c>
      <c r="C1277" t="s">
        <v>12639</v>
      </c>
      <c r="D1277">
        <v>2023</v>
      </c>
      <c r="E1277" t="s">
        <v>2890</v>
      </c>
      <c r="F1277" t="s">
        <v>12642</v>
      </c>
    </row>
    <row r="1278" spans="1:7" x14ac:dyDescent="0.25">
      <c r="A1278" t="s">
        <v>12643</v>
      </c>
      <c r="B1278" t="s">
        <v>12638</v>
      </c>
      <c r="C1278" t="s">
        <v>12639</v>
      </c>
      <c r="D1278">
        <v>2023</v>
      </c>
      <c r="E1278" t="s">
        <v>2890</v>
      </c>
      <c r="F1278" t="s">
        <v>12644</v>
      </c>
    </row>
    <row r="1279" spans="1:7" x14ac:dyDescent="0.25">
      <c r="A1279" t="s">
        <v>12645</v>
      </c>
      <c r="B1279" t="s">
        <v>12638</v>
      </c>
      <c r="C1279" t="s">
        <v>12639</v>
      </c>
      <c r="D1279">
        <v>2023</v>
      </c>
      <c r="E1279" t="s">
        <v>2890</v>
      </c>
      <c r="F1279" t="s">
        <v>12646</v>
      </c>
    </row>
    <row r="1280" spans="1:7" x14ac:dyDescent="0.25">
      <c r="A1280" t="s">
        <v>12647</v>
      </c>
      <c r="B1280" t="s">
        <v>12638</v>
      </c>
      <c r="C1280" t="s">
        <v>12639</v>
      </c>
      <c r="D1280">
        <v>2023</v>
      </c>
      <c r="E1280" t="s">
        <v>2890</v>
      </c>
      <c r="F1280" t="s">
        <v>12648</v>
      </c>
    </row>
    <row r="1281" spans="1:6" x14ac:dyDescent="0.25">
      <c r="A1281" t="s">
        <v>12649</v>
      </c>
      <c r="B1281" t="s">
        <v>12638</v>
      </c>
      <c r="C1281" t="s">
        <v>12639</v>
      </c>
      <c r="D1281">
        <v>2023</v>
      </c>
      <c r="E1281" t="s">
        <v>2890</v>
      </c>
      <c r="F1281" t="s">
        <v>12650</v>
      </c>
    </row>
    <row r="1282" spans="1:6" x14ac:dyDescent="0.25">
      <c r="A1282" t="s">
        <v>12651</v>
      </c>
      <c r="B1282" t="s">
        <v>12638</v>
      </c>
      <c r="C1282" t="s">
        <v>12639</v>
      </c>
      <c r="D1282">
        <v>2023</v>
      </c>
      <c r="E1282" t="s">
        <v>2890</v>
      </c>
      <c r="F1282" t="s">
        <v>12652</v>
      </c>
    </row>
    <row r="1283" spans="1:6" x14ac:dyDescent="0.25">
      <c r="A1283" t="s">
        <v>12653</v>
      </c>
      <c r="B1283" t="s">
        <v>12638</v>
      </c>
      <c r="C1283" t="s">
        <v>12639</v>
      </c>
      <c r="D1283">
        <v>2023</v>
      </c>
      <c r="E1283" t="s">
        <v>2890</v>
      </c>
      <c r="F1283" t="s">
        <v>12654</v>
      </c>
    </row>
    <row r="1284" spans="1:6" x14ac:dyDescent="0.25">
      <c r="A1284" t="s">
        <v>12655</v>
      </c>
      <c r="B1284" t="s">
        <v>12638</v>
      </c>
      <c r="C1284" t="s">
        <v>12639</v>
      </c>
      <c r="D1284">
        <v>2023</v>
      </c>
      <c r="E1284" t="s">
        <v>2890</v>
      </c>
      <c r="F1284" t="s">
        <v>12656</v>
      </c>
    </row>
    <row r="1285" spans="1:6" x14ac:dyDescent="0.25">
      <c r="A1285" t="s">
        <v>12657</v>
      </c>
      <c r="B1285" t="s">
        <v>12638</v>
      </c>
      <c r="C1285" t="s">
        <v>12639</v>
      </c>
      <c r="D1285">
        <v>2023</v>
      </c>
      <c r="E1285" t="s">
        <v>2890</v>
      </c>
      <c r="F1285" t="s">
        <v>12658</v>
      </c>
    </row>
    <row r="1286" spans="1:6" x14ac:dyDescent="0.25">
      <c r="A1286" t="s">
        <v>12659</v>
      </c>
      <c r="B1286" t="s">
        <v>12638</v>
      </c>
      <c r="C1286" t="s">
        <v>12639</v>
      </c>
      <c r="D1286">
        <v>2023</v>
      </c>
      <c r="E1286" t="s">
        <v>2890</v>
      </c>
      <c r="F1286" t="s">
        <v>12660</v>
      </c>
    </row>
    <row r="1287" spans="1:6" x14ac:dyDescent="0.25">
      <c r="A1287" t="s">
        <v>12661</v>
      </c>
      <c r="B1287" t="s">
        <v>12638</v>
      </c>
      <c r="C1287" t="s">
        <v>12639</v>
      </c>
      <c r="D1287">
        <v>2023</v>
      </c>
      <c r="E1287" t="s">
        <v>2890</v>
      </c>
      <c r="F1287" t="s">
        <v>12662</v>
      </c>
    </row>
    <row r="1288" spans="1:6" x14ac:dyDescent="0.25">
      <c r="A1288" t="s">
        <v>12663</v>
      </c>
      <c r="B1288" t="s">
        <v>12638</v>
      </c>
      <c r="C1288" t="s">
        <v>12639</v>
      </c>
      <c r="D1288">
        <v>2023</v>
      </c>
      <c r="E1288" t="s">
        <v>2890</v>
      </c>
      <c r="F1288" t="s">
        <v>12664</v>
      </c>
    </row>
    <row r="1289" spans="1:6" x14ac:dyDescent="0.25">
      <c r="A1289" t="s">
        <v>2890</v>
      </c>
      <c r="B1289" t="s">
        <v>12638</v>
      </c>
      <c r="C1289" t="s">
        <v>12639</v>
      </c>
      <c r="D1289">
        <v>2023</v>
      </c>
      <c r="E1289" t="s">
        <v>2890</v>
      </c>
      <c r="F1289" t="s">
        <v>12665</v>
      </c>
    </row>
    <row r="1290" spans="1:6" x14ac:dyDescent="0.25">
      <c r="A1290" t="s">
        <v>12718</v>
      </c>
      <c r="B1290" t="s">
        <v>12719</v>
      </c>
      <c r="C1290" t="s">
        <v>12720</v>
      </c>
      <c r="D1290">
        <v>1997</v>
      </c>
      <c r="E1290" t="s">
        <v>341</v>
      </c>
      <c r="F1290" t="s">
        <v>12721</v>
      </c>
    </row>
    <row r="1291" spans="1:6" x14ac:dyDescent="0.25">
      <c r="A1291" t="s">
        <v>12722</v>
      </c>
      <c r="B1291" t="s">
        <v>12719</v>
      </c>
      <c r="C1291" t="s">
        <v>12720</v>
      </c>
      <c r="D1291">
        <v>1997</v>
      </c>
      <c r="E1291" t="s">
        <v>341</v>
      </c>
      <c r="F1291" t="s">
        <v>12723</v>
      </c>
    </row>
    <row r="1292" spans="1:6" x14ac:dyDescent="0.25">
      <c r="A1292" t="s">
        <v>12724</v>
      </c>
      <c r="B1292" t="s">
        <v>12719</v>
      </c>
      <c r="C1292" t="s">
        <v>12720</v>
      </c>
      <c r="D1292">
        <v>1997</v>
      </c>
      <c r="E1292" t="s">
        <v>341</v>
      </c>
      <c r="F1292" t="s">
        <v>12725</v>
      </c>
    </row>
    <row r="1293" spans="1:6" x14ac:dyDescent="0.25">
      <c r="A1293" t="s">
        <v>12726</v>
      </c>
      <c r="B1293" t="s">
        <v>12719</v>
      </c>
      <c r="C1293" t="s">
        <v>12720</v>
      </c>
      <c r="D1293">
        <v>1997</v>
      </c>
      <c r="E1293" t="s">
        <v>341</v>
      </c>
      <c r="F1293" t="s">
        <v>12727</v>
      </c>
    </row>
    <row r="1294" spans="1:6" x14ac:dyDescent="0.25">
      <c r="A1294" t="s">
        <v>12728</v>
      </c>
      <c r="B1294" t="s">
        <v>12719</v>
      </c>
      <c r="C1294" t="s">
        <v>12720</v>
      </c>
      <c r="D1294">
        <v>1997</v>
      </c>
      <c r="E1294" t="s">
        <v>341</v>
      </c>
      <c r="F1294" t="s">
        <v>12729</v>
      </c>
    </row>
    <row r="1295" spans="1:6" x14ac:dyDescent="0.25">
      <c r="A1295" t="s">
        <v>12730</v>
      </c>
      <c r="B1295" t="s">
        <v>12719</v>
      </c>
      <c r="C1295" t="s">
        <v>12720</v>
      </c>
      <c r="D1295">
        <v>1997</v>
      </c>
      <c r="E1295" t="s">
        <v>341</v>
      </c>
      <c r="F1295" t="s">
        <v>12731</v>
      </c>
    </row>
    <row r="1296" spans="1:6" x14ac:dyDescent="0.25">
      <c r="A1296" t="s">
        <v>12732</v>
      </c>
      <c r="B1296" t="s">
        <v>12719</v>
      </c>
      <c r="C1296" t="s">
        <v>12720</v>
      </c>
      <c r="D1296">
        <v>1997</v>
      </c>
      <c r="E1296" t="s">
        <v>341</v>
      </c>
      <c r="F1296" t="s">
        <v>12733</v>
      </c>
    </row>
    <row r="1297" spans="1:6" x14ac:dyDescent="0.25">
      <c r="A1297" t="s">
        <v>12734</v>
      </c>
      <c r="B1297" t="s">
        <v>12719</v>
      </c>
      <c r="C1297" t="s">
        <v>12720</v>
      </c>
      <c r="D1297">
        <v>1997</v>
      </c>
      <c r="E1297" t="s">
        <v>341</v>
      </c>
      <c r="F1297" t="s">
        <v>12735</v>
      </c>
    </row>
    <row r="1298" spans="1:6" x14ac:dyDescent="0.25">
      <c r="A1298" t="s">
        <v>12736</v>
      </c>
      <c r="B1298" t="s">
        <v>12719</v>
      </c>
      <c r="C1298" t="s">
        <v>12720</v>
      </c>
      <c r="D1298">
        <v>1997</v>
      </c>
      <c r="E1298" t="s">
        <v>341</v>
      </c>
      <c r="F1298" t="s">
        <v>12737</v>
      </c>
    </row>
    <row r="1299" spans="1:6" x14ac:dyDescent="0.25">
      <c r="A1299" t="s">
        <v>12738</v>
      </c>
      <c r="B1299" t="s">
        <v>12719</v>
      </c>
      <c r="C1299" t="s">
        <v>12720</v>
      </c>
      <c r="D1299">
        <v>1997</v>
      </c>
      <c r="E1299" t="s">
        <v>341</v>
      </c>
      <c r="F1299" t="s">
        <v>12739</v>
      </c>
    </row>
    <row r="1300" spans="1:6" x14ac:dyDescent="0.25">
      <c r="A1300" t="s">
        <v>12740</v>
      </c>
      <c r="B1300" t="s">
        <v>12719</v>
      </c>
      <c r="C1300" t="s">
        <v>12720</v>
      </c>
      <c r="D1300">
        <v>1997</v>
      </c>
      <c r="E1300" t="s">
        <v>341</v>
      </c>
      <c r="F1300" t="s">
        <v>12741</v>
      </c>
    </row>
    <row r="1301" spans="1:6" x14ac:dyDescent="0.25">
      <c r="A1301" t="s">
        <v>12742</v>
      </c>
      <c r="B1301" t="s">
        <v>12719</v>
      </c>
      <c r="C1301" t="s">
        <v>12720</v>
      </c>
      <c r="D1301">
        <v>1997</v>
      </c>
      <c r="E1301" t="s">
        <v>341</v>
      </c>
      <c r="F1301" t="s">
        <v>12743</v>
      </c>
    </row>
    <row r="1302" spans="1:6" x14ac:dyDescent="0.25">
      <c r="A1302" t="s">
        <v>12744</v>
      </c>
      <c r="B1302" t="s">
        <v>12719</v>
      </c>
      <c r="C1302" t="s">
        <v>12720</v>
      </c>
      <c r="D1302">
        <v>1997</v>
      </c>
      <c r="E1302" t="s">
        <v>341</v>
      </c>
      <c r="F1302" t="s">
        <v>12745</v>
      </c>
    </row>
    <row r="1303" spans="1:6" x14ac:dyDescent="0.25">
      <c r="A1303" t="s">
        <v>12746</v>
      </c>
      <c r="B1303" t="s">
        <v>12719</v>
      </c>
      <c r="C1303" t="s">
        <v>12720</v>
      </c>
      <c r="D1303">
        <v>1997</v>
      </c>
      <c r="E1303" t="s">
        <v>341</v>
      </c>
      <c r="F1303" t="s">
        <v>12747</v>
      </c>
    </row>
    <row r="1304" spans="1:6" x14ac:dyDescent="0.25">
      <c r="A1304" t="s">
        <v>12748</v>
      </c>
      <c r="B1304" t="s">
        <v>12719</v>
      </c>
      <c r="C1304" t="s">
        <v>12720</v>
      </c>
      <c r="D1304">
        <v>1997</v>
      </c>
      <c r="E1304" t="s">
        <v>341</v>
      </c>
      <c r="F1304" t="s">
        <v>12749</v>
      </c>
    </row>
    <row r="1305" spans="1:6" x14ac:dyDescent="0.25">
      <c r="A1305" t="s">
        <v>12750</v>
      </c>
      <c r="B1305" t="s">
        <v>12719</v>
      </c>
      <c r="C1305" t="s">
        <v>12720</v>
      </c>
      <c r="D1305">
        <v>1997</v>
      </c>
      <c r="E1305" t="s">
        <v>341</v>
      </c>
      <c r="F1305" t="s">
        <v>12751</v>
      </c>
    </row>
    <row r="1306" spans="1:6" x14ac:dyDescent="0.25">
      <c r="A1306" t="s">
        <v>12752</v>
      </c>
      <c r="B1306" t="s">
        <v>12719</v>
      </c>
      <c r="C1306" t="s">
        <v>12720</v>
      </c>
      <c r="D1306">
        <v>1997</v>
      </c>
      <c r="E1306" t="s">
        <v>341</v>
      </c>
      <c r="F1306" t="s">
        <v>12753</v>
      </c>
    </row>
    <row r="1307" spans="1:6" x14ac:dyDescent="0.25">
      <c r="A1307" t="s">
        <v>12754</v>
      </c>
      <c r="B1307" t="s">
        <v>12719</v>
      </c>
      <c r="C1307" t="s">
        <v>12720</v>
      </c>
      <c r="D1307">
        <v>1997</v>
      </c>
      <c r="E1307" t="s">
        <v>341</v>
      </c>
      <c r="F1307" t="s">
        <v>12755</v>
      </c>
    </row>
    <row r="1308" spans="1:6" x14ac:dyDescent="0.25">
      <c r="A1308" t="s">
        <v>12756</v>
      </c>
      <c r="B1308" t="s">
        <v>12719</v>
      </c>
      <c r="C1308" t="s">
        <v>12720</v>
      </c>
      <c r="D1308">
        <v>1997</v>
      </c>
      <c r="E1308" t="s">
        <v>341</v>
      </c>
      <c r="F1308" t="s">
        <v>12757</v>
      </c>
    </row>
    <row r="1309" spans="1:6" x14ac:dyDescent="0.25">
      <c r="A1309" t="s">
        <v>12758</v>
      </c>
      <c r="B1309" t="s">
        <v>12719</v>
      </c>
      <c r="C1309" t="s">
        <v>12720</v>
      </c>
      <c r="D1309">
        <v>1997</v>
      </c>
      <c r="E1309" t="s">
        <v>341</v>
      </c>
      <c r="F1309" t="s">
        <v>12759</v>
      </c>
    </row>
    <row r="1310" spans="1:6" x14ac:dyDescent="0.25">
      <c r="A1310" t="s">
        <v>12760</v>
      </c>
      <c r="B1310" t="s">
        <v>12719</v>
      </c>
      <c r="C1310" t="s">
        <v>12720</v>
      </c>
      <c r="D1310">
        <v>1997</v>
      </c>
      <c r="E1310" t="s">
        <v>341</v>
      </c>
      <c r="F1310" t="s">
        <v>12761</v>
      </c>
    </row>
    <row r="1311" spans="1:6" x14ac:dyDescent="0.25">
      <c r="A1311" t="s">
        <v>12762</v>
      </c>
      <c r="B1311" t="s">
        <v>12719</v>
      </c>
      <c r="C1311" t="s">
        <v>12720</v>
      </c>
      <c r="D1311">
        <v>1997</v>
      </c>
      <c r="E1311" t="s">
        <v>341</v>
      </c>
      <c r="F1311" t="s">
        <v>12763</v>
      </c>
    </row>
    <row r="1312" spans="1:6" x14ac:dyDescent="0.25">
      <c r="A1312" t="s">
        <v>12764</v>
      </c>
      <c r="B1312" t="s">
        <v>12719</v>
      </c>
      <c r="C1312" t="s">
        <v>12720</v>
      </c>
      <c r="D1312">
        <v>1997</v>
      </c>
      <c r="E1312" t="s">
        <v>341</v>
      </c>
      <c r="F1312" t="s">
        <v>12765</v>
      </c>
    </row>
    <row r="1313" spans="1:6" x14ac:dyDescent="0.25">
      <c r="A1313" t="s">
        <v>12766</v>
      </c>
      <c r="B1313" t="s">
        <v>12719</v>
      </c>
      <c r="C1313" t="s">
        <v>12720</v>
      </c>
      <c r="D1313">
        <v>1997</v>
      </c>
      <c r="E1313" t="s">
        <v>341</v>
      </c>
      <c r="F1313" t="s">
        <v>12767</v>
      </c>
    </row>
    <row r="1314" spans="1:6" x14ac:dyDescent="0.25">
      <c r="A1314" t="s">
        <v>12768</v>
      </c>
      <c r="B1314" t="s">
        <v>12719</v>
      </c>
      <c r="C1314" t="s">
        <v>12720</v>
      </c>
      <c r="D1314">
        <v>1997</v>
      </c>
      <c r="E1314" t="s">
        <v>341</v>
      </c>
      <c r="F1314" t="s">
        <v>12769</v>
      </c>
    </row>
    <row r="1315" spans="1:6" x14ac:dyDescent="0.25">
      <c r="A1315" t="s">
        <v>12770</v>
      </c>
      <c r="B1315" t="s">
        <v>12719</v>
      </c>
      <c r="C1315" t="s">
        <v>12720</v>
      </c>
      <c r="D1315">
        <v>1997</v>
      </c>
      <c r="E1315" t="s">
        <v>341</v>
      </c>
      <c r="F1315" t="s">
        <v>12771</v>
      </c>
    </row>
    <row r="1316" spans="1:6" x14ac:dyDescent="0.25">
      <c r="A1316" t="s">
        <v>12772</v>
      </c>
      <c r="B1316" t="s">
        <v>12719</v>
      </c>
      <c r="C1316" t="s">
        <v>12720</v>
      </c>
      <c r="D1316">
        <v>1997</v>
      </c>
      <c r="E1316" t="s">
        <v>341</v>
      </c>
      <c r="F1316" t="s">
        <v>12773</v>
      </c>
    </row>
    <row r="1317" spans="1:6" x14ac:dyDescent="0.25">
      <c r="A1317" t="s">
        <v>12774</v>
      </c>
      <c r="B1317" t="s">
        <v>12719</v>
      </c>
      <c r="C1317" t="s">
        <v>12720</v>
      </c>
      <c r="D1317">
        <v>1997</v>
      </c>
      <c r="E1317" t="s">
        <v>341</v>
      </c>
      <c r="F1317" t="s">
        <v>12775</v>
      </c>
    </row>
    <row r="1318" spans="1:6" x14ac:dyDescent="0.25">
      <c r="A1318" t="s">
        <v>12776</v>
      </c>
      <c r="B1318" t="s">
        <v>12719</v>
      </c>
      <c r="C1318" t="s">
        <v>12720</v>
      </c>
      <c r="D1318">
        <v>1997</v>
      </c>
      <c r="E1318" t="s">
        <v>341</v>
      </c>
      <c r="F1318" t="s">
        <v>12777</v>
      </c>
    </row>
    <row r="1319" spans="1:6" x14ac:dyDescent="0.25">
      <c r="A1319" t="s">
        <v>12778</v>
      </c>
      <c r="B1319" t="s">
        <v>12719</v>
      </c>
      <c r="C1319" t="s">
        <v>12720</v>
      </c>
      <c r="D1319">
        <v>1997</v>
      </c>
      <c r="E1319" t="s">
        <v>341</v>
      </c>
      <c r="F1319" t="s">
        <v>12779</v>
      </c>
    </row>
    <row r="1320" spans="1:6" x14ac:dyDescent="0.25">
      <c r="A1320" t="s">
        <v>12780</v>
      </c>
      <c r="B1320" t="s">
        <v>12719</v>
      </c>
      <c r="C1320" t="s">
        <v>12720</v>
      </c>
      <c r="D1320">
        <v>1997</v>
      </c>
      <c r="E1320" t="s">
        <v>341</v>
      </c>
      <c r="F1320" t="s">
        <v>12781</v>
      </c>
    </row>
    <row r="1321" spans="1:6" x14ac:dyDescent="0.25">
      <c r="A1321" t="s">
        <v>12782</v>
      </c>
      <c r="B1321" t="s">
        <v>12719</v>
      </c>
      <c r="C1321" t="s">
        <v>12720</v>
      </c>
      <c r="D1321">
        <v>1997</v>
      </c>
      <c r="E1321" t="s">
        <v>341</v>
      </c>
      <c r="F1321" t="s">
        <v>12783</v>
      </c>
    </row>
    <row r="1322" spans="1:6" x14ac:dyDescent="0.25">
      <c r="A1322" t="s">
        <v>12784</v>
      </c>
      <c r="B1322" t="s">
        <v>12719</v>
      </c>
      <c r="C1322" t="s">
        <v>12720</v>
      </c>
      <c r="D1322">
        <v>1997</v>
      </c>
      <c r="E1322" t="s">
        <v>341</v>
      </c>
      <c r="F1322" t="s">
        <v>12785</v>
      </c>
    </row>
    <row r="1323" spans="1:6" x14ac:dyDescent="0.25">
      <c r="A1323" t="s">
        <v>12786</v>
      </c>
      <c r="B1323" t="s">
        <v>12719</v>
      </c>
      <c r="C1323" t="s">
        <v>12720</v>
      </c>
      <c r="D1323">
        <v>1997</v>
      </c>
      <c r="E1323" t="s">
        <v>341</v>
      </c>
      <c r="F1323" t="s">
        <v>12787</v>
      </c>
    </row>
    <row r="1324" spans="1:6" x14ac:dyDescent="0.25">
      <c r="A1324" t="s">
        <v>12788</v>
      </c>
      <c r="B1324" t="s">
        <v>12719</v>
      </c>
      <c r="C1324" t="s">
        <v>12720</v>
      </c>
      <c r="D1324">
        <v>1997</v>
      </c>
      <c r="E1324" t="s">
        <v>341</v>
      </c>
      <c r="F1324" t="s">
        <v>12789</v>
      </c>
    </row>
    <row r="1325" spans="1:6" x14ac:dyDescent="0.25">
      <c r="A1325" t="s">
        <v>12790</v>
      </c>
      <c r="B1325" t="s">
        <v>12719</v>
      </c>
      <c r="C1325" t="s">
        <v>12720</v>
      </c>
      <c r="D1325">
        <v>1997</v>
      </c>
      <c r="E1325" t="s">
        <v>341</v>
      </c>
      <c r="F1325" t="s">
        <v>12791</v>
      </c>
    </row>
    <row r="1326" spans="1:6" x14ac:dyDescent="0.25">
      <c r="A1326" t="s">
        <v>12792</v>
      </c>
      <c r="B1326" t="s">
        <v>12719</v>
      </c>
      <c r="C1326" t="s">
        <v>12720</v>
      </c>
      <c r="D1326">
        <v>1997</v>
      </c>
      <c r="E1326" t="s">
        <v>341</v>
      </c>
      <c r="F1326" t="s">
        <v>12793</v>
      </c>
    </row>
    <row r="1327" spans="1:6" x14ac:dyDescent="0.25">
      <c r="A1327" t="s">
        <v>12794</v>
      </c>
      <c r="B1327" t="s">
        <v>12719</v>
      </c>
      <c r="C1327" t="s">
        <v>12720</v>
      </c>
      <c r="D1327">
        <v>1997</v>
      </c>
      <c r="E1327" t="s">
        <v>341</v>
      </c>
      <c r="F1327" t="s">
        <v>12795</v>
      </c>
    </row>
    <row r="1328" spans="1:6" x14ac:dyDescent="0.25">
      <c r="A1328" t="s">
        <v>12796</v>
      </c>
      <c r="B1328" t="s">
        <v>12719</v>
      </c>
      <c r="C1328" t="s">
        <v>12720</v>
      </c>
      <c r="D1328">
        <v>1997</v>
      </c>
      <c r="E1328" t="s">
        <v>341</v>
      </c>
      <c r="F1328" t="s">
        <v>12797</v>
      </c>
    </row>
    <row r="1329" spans="1:7" x14ac:dyDescent="0.25">
      <c r="A1329" t="s">
        <v>12798</v>
      </c>
      <c r="B1329" t="s">
        <v>12719</v>
      </c>
      <c r="C1329" t="s">
        <v>12720</v>
      </c>
      <c r="D1329">
        <v>1997</v>
      </c>
      <c r="E1329" t="s">
        <v>341</v>
      </c>
      <c r="F1329" t="s">
        <v>12799</v>
      </c>
    </row>
    <row r="1330" spans="1:7" x14ac:dyDescent="0.25">
      <c r="A1330" t="s">
        <v>12800</v>
      </c>
      <c r="B1330" t="s">
        <v>12719</v>
      </c>
      <c r="C1330" t="s">
        <v>12720</v>
      </c>
      <c r="D1330">
        <v>1997</v>
      </c>
      <c r="E1330" t="s">
        <v>341</v>
      </c>
      <c r="F1330" t="s">
        <v>12801</v>
      </c>
    </row>
    <row r="1331" spans="1:7" x14ac:dyDescent="0.25">
      <c r="A1331" t="s">
        <v>12802</v>
      </c>
      <c r="B1331" t="s">
        <v>12719</v>
      </c>
      <c r="C1331" t="s">
        <v>12720</v>
      </c>
      <c r="D1331">
        <v>1997</v>
      </c>
      <c r="E1331" t="s">
        <v>341</v>
      </c>
      <c r="F1331" t="s">
        <v>12803</v>
      </c>
    </row>
    <row r="1332" spans="1:7" x14ac:dyDescent="0.25">
      <c r="A1332" t="s">
        <v>12804</v>
      </c>
      <c r="B1332" t="s">
        <v>12719</v>
      </c>
      <c r="C1332" t="s">
        <v>12720</v>
      </c>
      <c r="D1332">
        <v>1997</v>
      </c>
      <c r="E1332" t="s">
        <v>341</v>
      </c>
      <c r="F1332" t="s">
        <v>12805</v>
      </c>
    </row>
    <row r="1333" spans="1:7" x14ac:dyDescent="0.25">
      <c r="A1333" t="s">
        <v>12806</v>
      </c>
      <c r="B1333" t="s">
        <v>12719</v>
      </c>
      <c r="C1333" t="s">
        <v>12720</v>
      </c>
      <c r="D1333">
        <v>1997</v>
      </c>
      <c r="E1333" t="s">
        <v>341</v>
      </c>
      <c r="F1333" t="s">
        <v>12807</v>
      </c>
    </row>
    <row r="1334" spans="1:7" x14ac:dyDescent="0.25">
      <c r="A1334" t="s">
        <v>12808</v>
      </c>
      <c r="B1334" t="s">
        <v>12719</v>
      </c>
      <c r="C1334" t="s">
        <v>12720</v>
      </c>
      <c r="D1334">
        <v>1997</v>
      </c>
      <c r="E1334" t="s">
        <v>341</v>
      </c>
      <c r="F1334" t="s">
        <v>12809</v>
      </c>
    </row>
    <row r="1335" spans="1:7" x14ac:dyDescent="0.25">
      <c r="A1335" t="s">
        <v>12810</v>
      </c>
      <c r="B1335" t="s">
        <v>12719</v>
      </c>
      <c r="C1335" t="s">
        <v>12720</v>
      </c>
      <c r="D1335">
        <v>1997</v>
      </c>
      <c r="E1335" t="s">
        <v>341</v>
      </c>
      <c r="F1335" t="s">
        <v>12811</v>
      </c>
    </row>
    <row r="1336" spans="1:7" x14ac:dyDescent="0.25">
      <c r="A1336" t="s">
        <v>12812</v>
      </c>
      <c r="B1336" t="s">
        <v>12719</v>
      </c>
      <c r="C1336" t="s">
        <v>12720</v>
      </c>
      <c r="D1336">
        <v>1997</v>
      </c>
      <c r="E1336" t="s">
        <v>341</v>
      </c>
      <c r="F1336" t="s">
        <v>12813</v>
      </c>
    </row>
    <row r="1337" spans="1:7" x14ac:dyDescent="0.25">
      <c r="A1337" t="s">
        <v>12814</v>
      </c>
      <c r="B1337" t="s">
        <v>12719</v>
      </c>
      <c r="C1337" t="s">
        <v>12720</v>
      </c>
      <c r="D1337">
        <v>1997</v>
      </c>
      <c r="E1337" t="s">
        <v>341</v>
      </c>
      <c r="F1337" t="s">
        <v>12815</v>
      </c>
    </row>
    <row r="1338" spans="1:7" x14ac:dyDescent="0.25">
      <c r="A1338" t="s">
        <v>12816</v>
      </c>
      <c r="B1338" t="s">
        <v>12719</v>
      </c>
      <c r="C1338" t="s">
        <v>12720</v>
      </c>
      <c r="D1338">
        <v>1997</v>
      </c>
      <c r="E1338" t="s">
        <v>341</v>
      </c>
      <c r="F1338" t="s">
        <v>12817</v>
      </c>
    </row>
    <row r="1339" spans="1:7" x14ac:dyDescent="0.25">
      <c r="A1339" t="s">
        <v>12818</v>
      </c>
      <c r="B1339" t="s">
        <v>12719</v>
      </c>
      <c r="C1339" t="s">
        <v>12720</v>
      </c>
      <c r="D1339">
        <v>1997</v>
      </c>
      <c r="E1339" t="s">
        <v>341</v>
      </c>
      <c r="F1339" t="s">
        <v>12819</v>
      </c>
    </row>
    <row r="1340" spans="1:7" x14ac:dyDescent="0.25">
      <c r="A1340" t="s">
        <v>10701</v>
      </c>
      <c r="B1340" t="s">
        <v>12719</v>
      </c>
      <c r="C1340" t="s">
        <v>12720</v>
      </c>
      <c r="D1340">
        <v>1997</v>
      </c>
      <c r="E1340" t="s">
        <v>341</v>
      </c>
      <c r="F1340" t="s">
        <v>12820</v>
      </c>
    </row>
    <row r="1341" spans="1:7" x14ac:dyDescent="0.25">
      <c r="A1341" t="s">
        <v>12821</v>
      </c>
      <c r="B1341" t="s">
        <v>12822</v>
      </c>
      <c r="C1341" t="s">
        <v>12823</v>
      </c>
      <c r="D1341">
        <v>2022</v>
      </c>
      <c r="E1341" t="s">
        <v>1004</v>
      </c>
      <c r="F1341" t="s">
        <v>12824</v>
      </c>
      <c r="G1341" t="s">
        <v>10044</v>
      </c>
    </row>
    <row r="1342" spans="1:7" x14ac:dyDescent="0.25">
      <c r="A1342" t="s">
        <v>12825</v>
      </c>
      <c r="B1342" t="s">
        <v>12822</v>
      </c>
      <c r="C1342" t="s">
        <v>12826</v>
      </c>
      <c r="D1342">
        <v>2024</v>
      </c>
      <c r="E1342" t="s">
        <v>1004</v>
      </c>
      <c r="F1342" t="s">
        <v>12827</v>
      </c>
    </row>
    <row r="1343" spans="1:7" x14ac:dyDescent="0.25">
      <c r="A1343" t="s">
        <v>12828</v>
      </c>
      <c r="B1343" t="s">
        <v>12822</v>
      </c>
      <c r="C1343" t="s">
        <v>12823</v>
      </c>
      <c r="D1343">
        <v>2022</v>
      </c>
      <c r="E1343" t="s">
        <v>1004</v>
      </c>
      <c r="F1343" t="s">
        <v>12829</v>
      </c>
    </row>
    <row r="1344" spans="1:7" x14ac:dyDescent="0.25">
      <c r="A1344" t="s">
        <v>12830</v>
      </c>
      <c r="B1344" t="s">
        <v>12822</v>
      </c>
      <c r="C1344" t="s">
        <v>12826</v>
      </c>
      <c r="D1344">
        <v>2024</v>
      </c>
      <c r="E1344" t="s">
        <v>1004</v>
      </c>
      <c r="F1344" t="s">
        <v>12831</v>
      </c>
    </row>
    <row r="1345" spans="1:6" x14ac:dyDescent="0.25">
      <c r="A1345" t="s">
        <v>12832</v>
      </c>
      <c r="B1345" t="s">
        <v>12822</v>
      </c>
      <c r="C1345" t="s">
        <v>12826</v>
      </c>
      <c r="D1345">
        <v>2024</v>
      </c>
      <c r="E1345" t="s">
        <v>1004</v>
      </c>
      <c r="F1345" t="s">
        <v>12833</v>
      </c>
    </row>
    <row r="1346" spans="1:6" x14ac:dyDescent="0.25">
      <c r="A1346" t="s">
        <v>12834</v>
      </c>
      <c r="B1346" t="s">
        <v>12822</v>
      </c>
      <c r="C1346" t="s">
        <v>12823</v>
      </c>
      <c r="D1346">
        <v>2022</v>
      </c>
      <c r="E1346" t="s">
        <v>1004</v>
      </c>
      <c r="F1346" t="s">
        <v>12835</v>
      </c>
    </row>
    <row r="1347" spans="1:6" x14ac:dyDescent="0.25">
      <c r="A1347" t="s">
        <v>12836</v>
      </c>
      <c r="B1347" t="s">
        <v>12822</v>
      </c>
      <c r="C1347" t="s">
        <v>12826</v>
      </c>
      <c r="D1347">
        <v>2024</v>
      </c>
      <c r="E1347" t="s">
        <v>1004</v>
      </c>
      <c r="F1347" t="s">
        <v>12837</v>
      </c>
    </row>
    <row r="1348" spans="1:6" x14ac:dyDescent="0.25">
      <c r="A1348" t="s">
        <v>12838</v>
      </c>
      <c r="B1348" t="s">
        <v>12822</v>
      </c>
      <c r="C1348" t="s">
        <v>12823</v>
      </c>
      <c r="D1348">
        <v>2022</v>
      </c>
      <c r="E1348" t="s">
        <v>1004</v>
      </c>
      <c r="F1348" t="s">
        <v>12839</v>
      </c>
    </row>
    <row r="1349" spans="1:6" x14ac:dyDescent="0.25">
      <c r="A1349" t="s">
        <v>12840</v>
      </c>
      <c r="B1349" t="s">
        <v>12822</v>
      </c>
      <c r="C1349" t="s">
        <v>12826</v>
      </c>
      <c r="D1349">
        <v>2024</v>
      </c>
      <c r="E1349" t="s">
        <v>1004</v>
      </c>
      <c r="F1349" t="s">
        <v>12841</v>
      </c>
    </row>
    <row r="1350" spans="1:6" x14ac:dyDescent="0.25">
      <c r="A1350" t="s">
        <v>12842</v>
      </c>
      <c r="B1350" t="s">
        <v>12822</v>
      </c>
      <c r="C1350" t="s">
        <v>12823</v>
      </c>
      <c r="D1350">
        <v>2022</v>
      </c>
      <c r="E1350" t="s">
        <v>1004</v>
      </c>
      <c r="F1350" t="s">
        <v>12843</v>
      </c>
    </row>
    <row r="1351" spans="1:6" x14ac:dyDescent="0.25">
      <c r="A1351" t="s">
        <v>12844</v>
      </c>
      <c r="B1351" t="s">
        <v>12822</v>
      </c>
      <c r="C1351" t="s">
        <v>12826</v>
      </c>
      <c r="D1351">
        <v>2024</v>
      </c>
      <c r="E1351" t="s">
        <v>1004</v>
      </c>
      <c r="F1351" t="s">
        <v>12845</v>
      </c>
    </row>
    <row r="1352" spans="1:6" x14ac:dyDescent="0.25">
      <c r="A1352" t="s">
        <v>12846</v>
      </c>
      <c r="B1352" t="s">
        <v>12822</v>
      </c>
      <c r="C1352" t="s">
        <v>12823</v>
      </c>
      <c r="D1352">
        <v>2022</v>
      </c>
      <c r="E1352" t="s">
        <v>1004</v>
      </c>
      <c r="F1352" t="s">
        <v>12847</v>
      </c>
    </row>
    <row r="1353" spans="1:6" x14ac:dyDescent="0.25">
      <c r="A1353" t="s">
        <v>12848</v>
      </c>
      <c r="B1353" t="s">
        <v>12822</v>
      </c>
      <c r="C1353" t="s">
        <v>12826</v>
      </c>
      <c r="D1353">
        <v>2024</v>
      </c>
      <c r="E1353" t="s">
        <v>1004</v>
      </c>
      <c r="F1353" t="s">
        <v>12849</v>
      </c>
    </row>
    <row r="1354" spans="1:6" x14ac:dyDescent="0.25">
      <c r="A1354" t="s">
        <v>12850</v>
      </c>
      <c r="B1354" t="s">
        <v>12822</v>
      </c>
      <c r="C1354" t="s">
        <v>12823</v>
      </c>
      <c r="D1354">
        <v>2022</v>
      </c>
      <c r="E1354" t="s">
        <v>1004</v>
      </c>
      <c r="F1354" t="s">
        <v>12851</v>
      </c>
    </row>
    <row r="1355" spans="1:6" x14ac:dyDescent="0.25">
      <c r="A1355" t="s">
        <v>12852</v>
      </c>
      <c r="B1355" t="s">
        <v>12822</v>
      </c>
      <c r="C1355" t="s">
        <v>12823</v>
      </c>
      <c r="D1355">
        <v>2022</v>
      </c>
      <c r="E1355" t="s">
        <v>1004</v>
      </c>
      <c r="F1355" t="s">
        <v>12853</v>
      </c>
    </row>
    <row r="1356" spans="1:6" x14ac:dyDescent="0.25">
      <c r="A1356" t="s">
        <v>12854</v>
      </c>
      <c r="B1356" t="s">
        <v>12822</v>
      </c>
      <c r="C1356" t="s">
        <v>12826</v>
      </c>
      <c r="D1356">
        <v>2024</v>
      </c>
      <c r="E1356" t="s">
        <v>1004</v>
      </c>
      <c r="F1356" t="s">
        <v>12855</v>
      </c>
    </row>
    <row r="1357" spans="1:6" x14ac:dyDescent="0.25">
      <c r="A1357" t="s">
        <v>12856</v>
      </c>
      <c r="B1357" t="s">
        <v>12822</v>
      </c>
      <c r="C1357" t="s">
        <v>12823</v>
      </c>
      <c r="D1357">
        <v>2022</v>
      </c>
      <c r="E1357" t="s">
        <v>1004</v>
      </c>
      <c r="F1357" t="s">
        <v>12857</v>
      </c>
    </row>
    <row r="1358" spans="1:6" x14ac:dyDescent="0.25">
      <c r="A1358" t="s">
        <v>12858</v>
      </c>
      <c r="B1358" t="s">
        <v>12822</v>
      </c>
      <c r="C1358" t="s">
        <v>12826</v>
      </c>
      <c r="D1358">
        <v>2024</v>
      </c>
      <c r="E1358" t="s">
        <v>1004</v>
      </c>
      <c r="F1358" t="s">
        <v>12859</v>
      </c>
    </row>
    <row r="1359" spans="1:6" x14ac:dyDescent="0.25">
      <c r="A1359" t="s">
        <v>12860</v>
      </c>
      <c r="B1359" t="s">
        <v>12822</v>
      </c>
      <c r="C1359" t="s">
        <v>12826</v>
      </c>
      <c r="D1359">
        <v>2024</v>
      </c>
      <c r="E1359" t="s">
        <v>1004</v>
      </c>
      <c r="F1359" t="s">
        <v>12861</v>
      </c>
    </row>
    <row r="1360" spans="1:6" x14ac:dyDescent="0.25">
      <c r="A1360" t="s">
        <v>12862</v>
      </c>
      <c r="B1360" t="s">
        <v>12822</v>
      </c>
      <c r="C1360" t="s">
        <v>12823</v>
      </c>
      <c r="D1360">
        <v>2022</v>
      </c>
      <c r="E1360" t="s">
        <v>1004</v>
      </c>
      <c r="F1360" t="s">
        <v>12863</v>
      </c>
    </row>
    <row r="1361" spans="1:6" x14ac:dyDescent="0.25">
      <c r="A1361" t="s">
        <v>12864</v>
      </c>
      <c r="B1361" t="s">
        <v>12822</v>
      </c>
      <c r="C1361" t="s">
        <v>12823</v>
      </c>
      <c r="D1361">
        <v>2022</v>
      </c>
      <c r="E1361" t="s">
        <v>1004</v>
      </c>
      <c r="F1361" t="s">
        <v>12865</v>
      </c>
    </row>
    <row r="1362" spans="1:6" x14ac:dyDescent="0.25">
      <c r="A1362" t="s">
        <v>12866</v>
      </c>
      <c r="B1362" t="s">
        <v>12822</v>
      </c>
      <c r="C1362" t="s">
        <v>12826</v>
      </c>
      <c r="D1362">
        <v>2024</v>
      </c>
      <c r="E1362" t="s">
        <v>1004</v>
      </c>
      <c r="F1362" t="s">
        <v>12867</v>
      </c>
    </row>
    <row r="1363" spans="1:6" x14ac:dyDescent="0.25">
      <c r="A1363" t="s">
        <v>12868</v>
      </c>
      <c r="B1363" t="s">
        <v>12822</v>
      </c>
      <c r="C1363" t="s">
        <v>12823</v>
      </c>
      <c r="D1363">
        <v>2022</v>
      </c>
      <c r="E1363" t="s">
        <v>1004</v>
      </c>
      <c r="F1363" t="s">
        <v>12869</v>
      </c>
    </row>
    <row r="1364" spans="1:6" x14ac:dyDescent="0.25">
      <c r="A1364" t="s">
        <v>12870</v>
      </c>
      <c r="B1364" t="s">
        <v>12822</v>
      </c>
      <c r="C1364" t="s">
        <v>12826</v>
      </c>
      <c r="D1364">
        <v>2024</v>
      </c>
      <c r="E1364" t="s">
        <v>1004</v>
      </c>
      <c r="F1364" t="s">
        <v>12871</v>
      </c>
    </row>
    <row r="1365" spans="1:6" x14ac:dyDescent="0.25">
      <c r="A1365" t="s">
        <v>12872</v>
      </c>
      <c r="B1365" t="s">
        <v>12822</v>
      </c>
      <c r="C1365" t="s">
        <v>12826</v>
      </c>
      <c r="D1365">
        <v>2024</v>
      </c>
      <c r="E1365" t="s">
        <v>1004</v>
      </c>
      <c r="F1365" t="s">
        <v>12873</v>
      </c>
    </row>
    <row r="1366" spans="1:6" x14ac:dyDescent="0.25">
      <c r="A1366" t="s">
        <v>12874</v>
      </c>
      <c r="B1366" t="s">
        <v>12822</v>
      </c>
      <c r="C1366" t="s">
        <v>12823</v>
      </c>
      <c r="D1366">
        <v>2022</v>
      </c>
      <c r="E1366" t="s">
        <v>1004</v>
      </c>
      <c r="F1366" t="s">
        <v>12875</v>
      </c>
    </row>
    <row r="1367" spans="1:6" x14ac:dyDescent="0.25">
      <c r="A1367" t="s">
        <v>12876</v>
      </c>
      <c r="B1367" t="s">
        <v>12822</v>
      </c>
      <c r="C1367" t="s">
        <v>12823</v>
      </c>
      <c r="D1367">
        <v>2022</v>
      </c>
      <c r="E1367" t="s">
        <v>1004</v>
      </c>
      <c r="F1367" t="s">
        <v>12877</v>
      </c>
    </row>
    <row r="1368" spans="1:6" x14ac:dyDescent="0.25">
      <c r="A1368" t="s">
        <v>12878</v>
      </c>
      <c r="B1368" t="s">
        <v>12822</v>
      </c>
      <c r="C1368" t="s">
        <v>12823</v>
      </c>
      <c r="D1368">
        <v>2022</v>
      </c>
      <c r="E1368" t="s">
        <v>1004</v>
      </c>
      <c r="F1368" t="s">
        <v>12879</v>
      </c>
    </row>
    <row r="1369" spans="1:6" x14ac:dyDescent="0.25">
      <c r="A1369" t="s">
        <v>12880</v>
      </c>
      <c r="B1369" t="s">
        <v>12822</v>
      </c>
      <c r="C1369" t="s">
        <v>12823</v>
      </c>
      <c r="D1369">
        <v>2022</v>
      </c>
      <c r="E1369" t="s">
        <v>1004</v>
      </c>
      <c r="F1369" t="s">
        <v>12881</v>
      </c>
    </row>
    <row r="1370" spans="1:6" x14ac:dyDescent="0.25">
      <c r="A1370" t="s">
        <v>12882</v>
      </c>
      <c r="B1370" t="s">
        <v>12822</v>
      </c>
      <c r="C1370" t="s">
        <v>12823</v>
      </c>
      <c r="D1370">
        <v>2022</v>
      </c>
      <c r="E1370" t="s">
        <v>1004</v>
      </c>
      <c r="F1370" t="s">
        <v>12883</v>
      </c>
    </row>
    <row r="1371" spans="1:6" x14ac:dyDescent="0.25">
      <c r="A1371" t="s">
        <v>12884</v>
      </c>
      <c r="B1371" t="s">
        <v>12822</v>
      </c>
      <c r="C1371" t="s">
        <v>12823</v>
      </c>
      <c r="D1371">
        <v>2022</v>
      </c>
      <c r="E1371" t="s">
        <v>1004</v>
      </c>
      <c r="F1371" t="s">
        <v>12885</v>
      </c>
    </row>
    <row r="1372" spans="1:6" x14ac:dyDescent="0.25">
      <c r="A1372" t="s">
        <v>12886</v>
      </c>
      <c r="B1372" t="s">
        <v>12887</v>
      </c>
      <c r="C1372" t="s">
        <v>12888</v>
      </c>
      <c r="D1372">
        <v>2021</v>
      </c>
      <c r="E1372" t="s">
        <v>1435</v>
      </c>
      <c r="F1372" t="s">
        <v>12889</v>
      </c>
    </row>
    <row r="1373" spans="1:6" x14ac:dyDescent="0.25">
      <c r="A1373" t="s">
        <v>12890</v>
      </c>
      <c r="B1373" t="s">
        <v>12887</v>
      </c>
      <c r="C1373" t="s">
        <v>12888</v>
      </c>
      <c r="D1373">
        <v>2021</v>
      </c>
      <c r="E1373" t="s">
        <v>1435</v>
      </c>
      <c r="F1373" t="s">
        <v>12891</v>
      </c>
    </row>
    <row r="1374" spans="1:6" x14ac:dyDescent="0.25">
      <c r="A1374" t="s">
        <v>12892</v>
      </c>
      <c r="B1374" t="s">
        <v>12887</v>
      </c>
      <c r="C1374" t="s">
        <v>12888</v>
      </c>
      <c r="D1374">
        <v>2021</v>
      </c>
      <c r="E1374" t="s">
        <v>1435</v>
      </c>
      <c r="F1374" t="s">
        <v>12893</v>
      </c>
    </row>
    <row r="1375" spans="1:6" x14ac:dyDescent="0.25">
      <c r="A1375" t="s">
        <v>12894</v>
      </c>
      <c r="B1375" t="s">
        <v>12887</v>
      </c>
      <c r="C1375" t="s">
        <v>12888</v>
      </c>
      <c r="D1375">
        <v>2021</v>
      </c>
      <c r="E1375" t="s">
        <v>1435</v>
      </c>
      <c r="F1375" t="s">
        <v>12895</v>
      </c>
    </row>
    <row r="1376" spans="1:6" x14ac:dyDescent="0.25">
      <c r="A1376" t="s">
        <v>12896</v>
      </c>
      <c r="B1376" t="s">
        <v>12887</v>
      </c>
      <c r="C1376" t="s">
        <v>12888</v>
      </c>
      <c r="D1376">
        <v>2021</v>
      </c>
      <c r="E1376" t="s">
        <v>1435</v>
      </c>
      <c r="F1376" t="s">
        <v>12897</v>
      </c>
    </row>
    <row r="1377" spans="1:6" x14ac:dyDescent="0.25">
      <c r="A1377" t="s">
        <v>12898</v>
      </c>
      <c r="B1377" t="s">
        <v>12887</v>
      </c>
      <c r="C1377" t="s">
        <v>12888</v>
      </c>
      <c r="D1377">
        <v>2021</v>
      </c>
      <c r="E1377" t="s">
        <v>1435</v>
      </c>
      <c r="F1377" t="s">
        <v>12899</v>
      </c>
    </row>
    <row r="1378" spans="1:6" x14ac:dyDescent="0.25">
      <c r="A1378" t="s">
        <v>10131</v>
      </c>
      <c r="B1378" t="s">
        <v>12887</v>
      </c>
      <c r="C1378" t="s">
        <v>12888</v>
      </c>
      <c r="D1378">
        <v>2021</v>
      </c>
      <c r="E1378" t="s">
        <v>1435</v>
      </c>
      <c r="F1378" t="s">
        <v>12900</v>
      </c>
    </row>
    <row r="1379" spans="1:6" x14ac:dyDescent="0.25">
      <c r="A1379" t="s">
        <v>12901</v>
      </c>
      <c r="B1379" t="s">
        <v>12887</v>
      </c>
      <c r="C1379" t="s">
        <v>12888</v>
      </c>
      <c r="D1379">
        <v>2021</v>
      </c>
      <c r="E1379" t="s">
        <v>1435</v>
      </c>
      <c r="F1379" t="s">
        <v>12902</v>
      </c>
    </row>
    <row r="1380" spans="1:6" x14ac:dyDescent="0.25">
      <c r="A1380" t="s">
        <v>12903</v>
      </c>
      <c r="B1380" t="s">
        <v>12887</v>
      </c>
      <c r="C1380" t="s">
        <v>12888</v>
      </c>
      <c r="D1380">
        <v>2021</v>
      </c>
      <c r="E1380" t="s">
        <v>1435</v>
      </c>
      <c r="F1380" t="s">
        <v>12904</v>
      </c>
    </row>
    <row r="1381" spans="1:6" x14ac:dyDescent="0.25">
      <c r="A1381" t="s">
        <v>12905</v>
      </c>
      <c r="B1381" t="s">
        <v>12887</v>
      </c>
      <c r="C1381" t="s">
        <v>12888</v>
      </c>
      <c r="D1381">
        <v>2021</v>
      </c>
      <c r="E1381" t="s">
        <v>1435</v>
      </c>
      <c r="F1381" t="s">
        <v>12906</v>
      </c>
    </row>
    <row r="1382" spans="1:6" x14ac:dyDescent="0.25">
      <c r="A1382" t="s">
        <v>12907</v>
      </c>
      <c r="B1382" t="s">
        <v>12887</v>
      </c>
      <c r="C1382" t="s">
        <v>12888</v>
      </c>
      <c r="D1382">
        <v>2021</v>
      </c>
      <c r="E1382" t="s">
        <v>1435</v>
      </c>
      <c r="F1382" t="s">
        <v>12908</v>
      </c>
    </row>
    <row r="1383" spans="1:6" x14ac:dyDescent="0.25">
      <c r="A1383" t="s">
        <v>12909</v>
      </c>
      <c r="B1383" t="s">
        <v>12887</v>
      </c>
      <c r="C1383" t="s">
        <v>12888</v>
      </c>
      <c r="D1383">
        <v>2021</v>
      </c>
      <c r="E1383" t="s">
        <v>1435</v>
      </c>
      <c r="F1383" t="s">
        <v>12910</v>
      </c>
    </row>
    <row r="1384" spans="1:6" x14ac:dyDescent="0.25">
      <c r="A1384" t="s">
        <v>12911</v>
      </c>
      <c r="B1384" t="s">
        <v>12887</v>
      </c>
      <c r="C1384" t="s">
        <v>12888</v>
      </c>
      <c r="D1384">
        <v>2021</v>
      </c>
      <c r="E1384" t="s">
        <v>1435</v>
      </c>
      <c r="F1384" t="s">
        <v>12912</v>
      </c>
    </row>
    <row r="1385" spans="1:6" x14ac:dyDescent="0.25">
      <c r="A1385" t="s">
        <v>12913</v>
      </c>
      <c r="B1385" t="s">
        <v>12887</v>
      </c>
      <c r="C1385" t="s">
        <v>12888</v>
      </c>
      <c r="D1385">
        <v>2021</v>
      </c>
      <c r="E1385" t="s">
        <v>1435</v>
      </c>
      <c r="F1385" t="s">
        <v>12914</v>
      </c>
    </row>
    <row r="1386" spans="1:6" x14ac:dyDescent="0.25">
      <c r="A1386" t="s">
        <v>12915</v>
      </c>
      <c r="B1386" t="s">
        <v>12887</v>
      </c>
      <c r="C1386" t="s">
        <v>12888</v>
      </c>
      <c r="D1386">
        <v>2021</v>
      </c>
      <c r="E1386" t="s">
        <v>1435</v>
      </c>
      <c r="F1386" t="s">
        <v>12916</v>
      </c>
    </row>
    <row r="1387" spans="1:6" x14ac:dyDescent="0.25">
      <c r="A1387" t="s">
        <v>12917</v>
      </c>
      <c r="B1387" t="s">
        <v>12887</v>
      </c>
      <c r="C1387" t="s">
        <v>12888</v>
      </c>
      <c r="D1387">
        <v>2021</v>
      </c>
      <c r="E1387" t="s">
        <v>1435</v>
      </c>
      <c r="F1387" t="s">
        <v>12918</v>
      </c>
    </row>
    <row r="1388" spans="1:6" x14ac:dyDescent="0.25">
      <c r="A1388" t="s">
        <v>12919</v>
      </c>
      <c r="B1388" t="s">
        <v>12887</v>
      </c>
      <c r="C1388" t="s">
        <v>12888</v>
      </c>
      <c r="D1388">
        <v>2021</v>
      </c>
      <c r="E1388" t="s">
        <v>1435</v>
      </c>
      <c r="F1388" t="s">
        <v>12920</v>
      </c>
    </row>
    <row r="1389" spans="1:6" x14ac:dyDescent="0.25">
      <c r="A1389" t="s">
        <v>12921</v>
      </c>
      <c r="B1389" t="s">
        <v>12887</v>
      </c>
      <c r="C1389" t="s">
        <v>12888</v>
      </c>
      <c r="D1389">
        <v>2021</v>
      </c>
      <c r="E1389" t="s">
        <v>1435</v>
      </c>
      <c r="F1389" t="s">
        <v>12922</v>
      </c>
    </row>
    <row r="1390" spans="1:6" x14ac:dyDescent="0.25">
      <c r="A1390" t="s">
        <v>12923</v>
      </c>
      <c r="B1390" t="s">
        <v>12887</v>
      </c>
      <c r="C1390" t="s">
        <v>12888</v>
      </c>
      <c r="D1390">
        <v>2021</v>
      </c>
      <c r="E1390" t="s">
        <v>1435</v>
      </c>
      <c r="F1390" t="s">
        <v>12924</v>
      </c>
    </row>
    <row r="1391" spans="1:6" x14ac:dyDescent="0.25">
      <c r="A1391" t="s">
        <v>12925</v>
      </c>
      <c r="B1391" t="s">
        <v>12887</v>
      </c>
      <c r="C1391" t="s">
        <v>12888</v>
      </c>
      <c r="D1391">
        <v>2021</v>
      </c>
      <c r="E1391" t="s">
        <v>1435</v>
      </c>
      <c r="F1391" t="s">
        <v>12926</v>
      </c>
    </row>
    <row r="1392" spans="1:6" x14ac:dyDescent="0.25">
      <c r="A1392" t="s">
        <v>12927</v>
      </c>
      <c r="B1392" t="s">
        <v>12887</v>
      </c>
      <c r="C1392" t="s">
        <v>12888</v>
      </c>
      <c r="D1392">
        <v>2021</v>
      </c>
      <c r="E1392" t="s">
        <v>1435</v>
      </c>
      <c r="F1392" t="s">
        <v>12928</v>
      </c>
    </row>
    <row r="1393" spans="1:7" x14ac:dyDescent="0.25">
      <c r="A1393" t="s">
        <v>12929</v>
      </c>
      <c r="B1393" t="s">
        <v>12887</v>
      </c>
      <c r="C1393" t="s">
        <v>12888</v>
      </c>
      <c r="D1393">
        <v>2021</v>
      </c>
      <c r="E1393" t="s">
        <v>1435</v>
      </c>
      <c r="F1393" t="s">
        <v>12930</v>
      </c>
    </row>
    <row r="1394" spans="1:7" x14ac:dyDescent="0.25">
      <c r="A1394" t="s">
        <v>12931</v>
      </c>
      <c r="B1394" t="s">
        <v>12887</v>
      </c>
      <c r="C1394" t="s">
        <v>12888</v>
      </c>
      <c r="D1394">
        <v>2021</v>
      </c>
      <c r="E1394" t="s">
        <v>1435</v>
      </c>
      <c r="F1394" t="s">
        <v>12932</v>
      </c>
    </row>
    <row r="1395" spans="1:7" x14ac:dyDescent="0.25">
      <c r="A1395" t="s">
        <v>12933</v>
      </c>
      <c r="B1395" t="s">
        <v>12887</v>
      </c>
      <c r="C1395" t="s">
        <v>12888</v>
      </c>
      <c r="D1395">
        <v>2021</v>
      </c>
      <c r="E1395" t="s">
        <v>1435</v>
      </c>
      <c r="F1395" t="s">
        <v>12934</v>
      </c>
    </row>
    <row r="1396" spans="1:7" x14ac:dyDescent="0.25">
      <c r="A1396" t="s">
        <v>12935</v>
      </c>
      <c r="B1396" t="s">
        <v>12887</v>
      </c>
      <c r="C1396" t="s">
        <v>12888</v>
      </c>
      <c r="D1396">
        <v>2021</v>
      </c>
      <c r="E1396" t="s">
        <v>1435</v>
      </c>
      <c r="F1396" t="s">
        <v>12936</v>
      </c>
    </row>
    <row r="1397" spans="1:7" x14ac:dyDescent="0.25">
      <c r="A1397" t="s">
        <v>12937</v>
      </c>
      <c r="B1397" t="s">
        <v>12887</v>
      </c>
      <c r="C1397" t="s">
        <v>12888</v>
      </c>
      <c r="D1397">
        <v>2021</v>
      </c>
      <c r="E1397" t="s">
        <v>1435</v>
      </c>
      <c r="F1397" t="s">
        <v>12938</v>
      </c>
    </row>
    <row r="1398" spans="1:7" x14ac:dyDescent="0.25">
      <c r="A1398" t="s">
        <v>12939</v>
      </c>
      <c r="B1398" t="s">
        <v>12887</v>
      </c>
      <c r="C1398" t="s">
        <v>12888</v>
      </c>
      <c r="D1398">
        <v>2021</v>
      </c>
      <c r="E1398" t="s">
        <v>1435</v>
      </c>
      <c r="F1398" t="s">
        <v>12940</v>
      </c>
    </row>
    <row r="1399" spans="1:7" x14ac:dyDescent="0.25">
      <c r="A1399" t="s">
        <v>12941</v>
      </c>
      <c r="B1399" t="s">
        <v>12887</v>
      </c>
      <c r="C1399" t="s">
        <v>12888</v>
      </c>
      <c r="D1399">
        <v>2021</v>
      </c>
      <c r="E1399" t="s">
        <v>1435</v>
      </c>
      <c r="F1399" t="s">
        <v>12942</v>
      </c>
    </row>
    <row r="1400" spans="1:7" x14ac:dyDescent="0.25">
      <c r="A1400" t="s">
        <v>12943</v>
      </c>
      <c r="B1400" t="s">
        <v>12887</v>
      </c>
      <c r="C1400" t="s">
        <v>12888</v>
      </c>
      <c r="D1400">
        <v>2021</v>
      </c>
      <c r="E1400" t="s">
        <v>1435</v>
      </c>
      <c r="F1400" t="s">
        <v>12944</v>
      </c>
    </row>
    <row r="1401" spans="1:7" x14ac:dyDescent="0.25">
      <c r="A1401" t="s">
        <v>12945</v>
      </c>
      <c r="B1401" t="s">
        <v>12887</v>
      </c>
      <c r="C1401" t="s">
        <v>12888</v>
      </c>
      <c r="D1401">
        <v>2021</v>
      </c>
      <c r="E1401" t="s">
        <v>1435</v>
      </c>
      <c r="F1401" t="s">
        <v>12946</v>
      </c>
    </row>
    <row r="1402" spans="1:7" x14ac:dyDescent="0.25">
      <c r="A1402" t="s">
        <v>10080</v>
      </c>
      <c r="B1402" t="s">
        <v>12947</v>
      </c>
      <c r="C1402" t="s">
        <v>12948</v>
      </c>
      <c r="D1402">
        <v>2025</v>
      </c>
      <c r="E1402" t="s">
        <v>2045</v>
      </c>
      <c r="F1402" t="s">
        <v>12949</v>
      </c>
      <c r="G1402" t="s">
        <v>10044</v>
      </c>
    </row>
    <row r="1403" spans="1:7" x14ac:dyDescent="0.25">
      <c r="A1403" t="s">
        <v>3731</v>
      </c>
      <c r="B1403" t="s">
        <v>12947</v>
      </c>
      <c r="C1403" t="s">
        <v>12948</v>
      </c>
      <c r="D1403">
        <v>2025</v>
      </c>
      <c r="E1403" t="s">
        <v>2045</v>
      </c>
      <c r="F1403" t="s">
        <v>12950</v>
      </c>
    </row>
    <row r="1404" spans="1:7" x14ac:dyDescent="0.25">
      <c r="A1404" t="s">
        <v>3446</v>
      </c>
      <c r="B1404" t="s">
        <v>12947</v>
      </c>
      <c r="C1404" t="s">
        <v>12948</v>
      </c>
      <c r="D1404">
        <v>2025</v>
      </c>
      <c r="E1404" t="s">
        <v>2045</v>
      </c>
      <c r="F1404" t="s">
        <v>12951</v>
      </c>
    </row>
    <row r="1405" spans="1:7" x14ac:dyDescent="0.25">
      <c r="A1405" t="s">
        <v>12952</v>
      </c>
      <c r="B1405" t="s">
        <v>12947</v>
      </c>
      <c r="C1405" t="s">
        <v>12948</v>
      </c>
      <c r="D1405">
        <v>2025</v>
      </c>
      <c r="E1405" t="s">
        <v>2045</v>
      </c>
      <c r="F1405" t="s">
        <v>12953</v>
      </c>
    </row>
    <row r="1406" spans="1:7" x14ac:dyDescent="0.25">
      <c r="A1406" t="s">
        <v>12954</v>
      </c>
      <c r="B1406" t="s">
        <v>12947</v>
      </c>
      <c r="C1406" t="s">
        <v>12948</v>
      </c>
      <c r="D1406">
        <v>2025</v>
      </c>
      <c r="E1406" t="s">
        <v>2045</v>
      </c>
      <c r="F1406" t="s">
        <v>12955</v>
      </c>
    </row>
    <row r="1407" spans="1:7" x14ac:dyDescent="0.25">
      <c r="A1407" t="s">
        <v>12956</v>
      </c>
      <c r="B1407" t="s">
        <v>12947</v>
      </c>
      <c r="C1407" t="s">
        <v>12948</v>
      </c>
      <c r="D1407">
        <v>2025</v>
      </c>
      <c r="E1407" t="s">
        <v>2045</v>
      </c>
      <c r="F1407" t="s">
        <v>12957</v>
      </c>
    </row>
    <row r="1408" spans="1:7" x14ac:dyDescent="0.25">
      <c r="A1408" t="s">
        <v>12958</v>
      </c>
      <c r="B1408" t="s">
        <v>12959</v>
      </c>
      <c r="C1408" t="s">
        <v>12960</v>
      </c>
      <c r="D1408">
        <v>2017</v>
      </c>
      <c r="E1408" t="s">
        <v>2341</v>
      </c>
      <c r="F1408" t="s">
        <v>12961</v>
      </c>
    </row>
    <row r="1409" spans="1:6" x14ac:dyDescent="0.25">
      <c r="A1409" t="s">
        <v>12962</v>
      </c>
      <c r="B1409" t="s">
        <v>12959</v>
      </c>
      <c r="C1409" t="s">
        <v>12960</v>
      </c>
      <c r="D1409">
        <v>2017</v>
      </c>
      <c r="E1409" t="s">
        <v>2341</v>
      </c>
      <c r="F1409" t="s">
        <v>12963</v>
      </c>
    </row>
    <row r="1410" spans="1:6" x14ac:dyDescent="0.25">
      <c r="A1410" t="s">
        <v>12964</v>
      </c>
      <c r="B1410" t="s">
        <v>12959</v>
      </c>
      <c r="C1410" t="s">
        <v>12960</v>
      </c>
      <c r="D1410">
        <v>2017</v>
      </c>
      <c r="E1410" t="s">
        <v>2341</v>
      </c>
      <c r="F1410" t="s">
        <v>12965</v>
      </c>
    </row>
    <row r="1411" spans="1:6" x14ac:dyDescent="0.25">
      <c r="A1411" t="s">
        <v>12966</v>
      </c>
      <c r="B1411" t="s">
        <v>12959</v>
      </c>
      <c r="C1411" t="s">
        <v>12960</v>
      </c>
      <c r="D1411">
        <v>2017</v>
      </c>
      <c r="E1411" t="s">
        <v>2341</v>
      </c>
      <c r="F1411" t="s">
        <v>12967</v>
      </c>
    </row>
    <row r="1412" spans="1:6" x14ac:dyDescent="0.25">
      <c r="A1412" t="s">
        <v>12968</v>
      </c>
      <c r="B1412" t="s">
        <v>12959</v>
      </c>
      <c r="C1412" t="s">
        <v>12960</v>
      </c>
      <c r="D1412">
        <v>2017</v>
      </c>
      <c r="E1412" t="s">
        <v>2341</v>
      </c>
      <c r="F1412" t="s">
        <v>12969</v>
      </c>
    </row>
    <row r="1413" spans="1:6" x14ac:dyDescent="0.25">
      <c r="A1413" t="s">
        <v>12970</v>
      </c>
      <c r="B1413" t="s">
        <v>12959</v>
      </c>
      <c r="C1413" t="s">
        <v>12960</v>
      </c>
      <c r="D1413">
        <v>2017</v>
      </c>
      <c r="E1413" t="s">
        <v>2341</v>
      </c>
      <c r="F1413" t="s">
        <v>12971</v>
      </c>
    </row>
    <row r="1414" spans="1:6" x14ac:dyDescent="0.25">
      <c r="A1414" t="s">
        <v>12972</v>
      </c>
      <c r="B1414" t="s">
        <v>12959</v>
      </c>
      <c r="C1414" t="s">
        <v>12960</v>
      </c>
      <c r="D1414">
        <v>2017</v>
      </c>
      <c r="E1414" t="s">
        <v>2341</v>
      </c>
      <c r="F1414" t="s">
        <v>12973</v>
      </c>
    </row>
    <row r="1415" spans="1:6" x14ac:dyDescent="0.25">
      <c r="A1415" t="s">
        <v>12974</v>
      </c>
      <c r="B1415" t="s">
        <v>12975</v>
      </c>
      <c r="C1415" t="s">
        <v>12960</v>
      </c>
      <c r="D1415">
        <v>2017</v>
      </c>
      <c r="E1415" t="s">
        <v>2341</v>
      </c>
      <c r="F1415" t="s">
        <v>12976</v>
      </c>
    </row>
    <row r="1416" spans="1:6" x14ac:dyDescent="0.25">
      <c r="A1416" t="s">
        <v>12977</v>
      </c>
      <c r="B1416" t="s">
        <v>12975</v>
      </c>
      <c r="C1416" t="s">
        <v>12960</v>
      </c>
      <c r="D1416">
        <v>2017</v>
      </c>
      <c r="E1416" t="s">
        <v>2341</v>
      </c>
      <c r="F1416" t="s">
        <v>12978</v>
      </c>
    </row>
    <row r="1417" spans="1:6" x14ac:dyDescent="0.25">
      <c r="A1417" t="s">
        <v>12979</v>
      </c>
      <c r="B1417" t="s">
        <v>12959</v>
      </c>
      <c r="C1417" t="s">
        <v>12960</v>
      </c>
      <c r="D1417">
        <v>2017</v>
      </c>
      <c r="E1417" t="s">
        <v>2341</v>
      </c>
      <c r="F1417" t="s">
        <v>12980</v>
      </c>
    </row>
    <row r="1418" spans="1:6" x14ac:dyDescent="0.25">
      <c r="A1418" t="s">
        <v>12981</v>
      </c>
      <c r="B1418" t="s">
        <v>12959</v>
      </c>
      <c r="C1418" t="s">
        <v>12960</v>
      </c>
      <c r="D1418">
        <v>2017</v>
      </c>
      <c r="E1418" t="s">
        <v>2341</v>
      </c>
      <c r="F1418" t="s">
        <v>12982</v>
      </c>
    </row>
    <row r="1419" spans="1:6" x14ac:dyDescent="0.25">
      <c r="A1419" t="s">
        <v>11536</v>
      </c>
      <c r="B1419" t="s">
        <v>12983</v>
      </c>
      <c r="C1419" t="s">
        <v>12984</v>
      </c>
      <c r="E1419" t="s">
        <v>2439</v>
      </c>
      <c r="F1419" t="s">
        <v>12985</v>
      </c>
    </row>
    <row r="1420" spans="1:6" x14ac:dyDescent="0.25">
      <c r="A1420" t="s">
        <v>12986</v>
      </c>
      <c r="B1420" t="s">
        <v>12983</v>
      </c>
      <c r="C1420" t="s">
        <v>12984</v>
      </c>
      <c r="E1420" t="s">
        <v>2439</v>
      </c>
      <c r="F1420" t="s">
        <v>12987</v>
      </c>
    </row>
    <row r="1421" spans="1:6" x14ac:dyDescent="0.25">
      <c r="A1421" t="s">
        <v>12988</v>
      </c>
      <c r="B1421" t="s">
        <v>12983</v>
      </c>
      <c r="C1421" t="s">
        <v>12984</v>
      </c>
      <c r="E1421" t="s">
        <v>2439</v>
      </c>
      <c r="F1421" t="s">
        <v>12989</v>
      </c>
    </row>
    <row r="1422" spans="1:6" x14ac:dyDescent="0.25">
      <c r="A1422" t="s">
        <v>12990</v>
      </c>
      <c r="B1422" t="s">
        <v>12983</v>
      </c>
      <c r="C1422" t="s">
        <v>12984</v>
      </c>
      <c r="E1422" t="s">
        <v>2439</v>
      </c>
      <c r="F1422" t="s">
        <v>12991</v>
      </c>
    </row>
    <row r="1423" spans="1:6" x14ac:dyDescent="0.25">
      <c r="A1423" t="s">
        <v>12992</v>
      </c>
      <c r="B1423" t="s">
        <v>12983</v>
      </c>
      <c r="C1423" t="s">
        <v>12984</v>
      </c>
      <c r="E1423" t="s">
        <v>2439</v>
      </c>
      <c r="F1423" t="s">
        <v>12993</v>
      </c>
    </row>
    <row r="1424" spans="1:6" x14ac:dyDescent="0.25">
      <c r="A1424" t="s">
        <v>12994</v>
      </c>
      <c r="B1424" t="s">
        <v>12983</v>
      </c>
      <c r="C1424" t="s">
        <v>12984</v>
      </c>
      <c r="E1424" t="s">
        <v>2439</v>
      </c>
      <c r="F1424" t="s">
        <v>12995</v>
      </c>
    </row>
    <row r="1425" spans="1:6" x14ac:dyDescent="0.25">
      <c r="A1425" t="s">
        <v>12996</v>
      </c>
      <c r="B1425" t="s">
        <v>12983</v>
      </c>
      <c r="C1425" t="s">
        <v>12984</v>
      </c>
      <c r="E1425" t="s">
        <v>2439</v>
      </c>
      <c r="F1425" t="s">
        <v>12997</v>
      </c>
    </row>
    <row r="1426" spans="1:6" x14ac:dyDescent="0.25">
      <c r="A1426" t="s">
        <v>12998</v>
      </c>
      <c r="B1426" t="s">
        <v>12983</v>
      </c>
      <c r="C1426" t="s">
        <v>12984</v>
      </c>
      <c r="E1426" t="s">
        <v>2439</v>
      </c>
      <c r="F1426" t="s">
        <v>12999</v>
      </c>
    </row>
    <row r="1427" spans="1:6" x14ac:dyDescent="0.25">
      <c r="A1427" t="s">
        <v>13000</v>
      </c>
      <c r="B1427" t="s">
        <v>12983</v>
      </c>
      <c r="C1427" t="s">
        <v>12984</v>
      </c>
      <c r="E1427" t="s">
        <v>2439</v>
      </c>
      <c r="F1427" t="s">
        <v>13001</v>
      </c>
    </row>
    <row r="1428" spans="1:6" x14ac:dyDescent="0.25">
      <c r="A1428" t="s">
        <v>13002</v>
      </c>
      <c r="B1428" t="s">
        <v>12983</v>
      </c>
      <c r="C1428" t="s">
        <v>12984</v>
      </c>
      <c r="E1428" t="s">
        <v>2439</v>
      </c>
      <c r="F1428" t="s">
        <v>13003</v>
      </c>
    </row>
    <row r="1429" spans="1:6" x14ac:dyDescent="0.25">
      <c r="A1429" t="s">
        <v>13004</v>
      </c>
      <c r="B1429" t="s">
        <v>12983</v>
      </c>
      <c r="C1429" t="s">
        <v>12984</v>
      </c>
      <c r="E1429" t="s">
        <v>2439</v>
      </c>
      <c r="F1429" t="s">
        <v>13005</v>
      </c>
    </row>
    <row r="1430" spans="1:6" x14ac:dyDescent="0.25">
      <c r="A1430" t="s">
        <v>13006</v>
      </c>
      <c r="B1430" t="s">
        <v>12983</v>
      </c>
      <c r="C1430" t="s">
        <v>12984</v>
      </c>
      <c r="E1430" t="s">
        <v>2439</v>
      </c>
      <c r="F1430" t="s">
        <v>13007</v>
      </c>
    </row>
    <row r="1431" spans="1:6" x14ac:dyDescent="0.25">
      <c r="A1431" t="s">
        <v>13008</v>
      </c>
      <c r="B1431" t="s">
        <v>12983</v>
      </c>
      <c r="C1431" t="s">
        <v>12984</v>
      </c>
      <c r="E1431" t="s">
        <v>2439</v>
      </c>
      <c r="F1431" t="s">
        <v>13009</v>
      </c>
    </row>
    <row r="1432" spans="1:6" x14ac:dyDescent="0.25">
      <c r="A1432" t="s">
        <v>13010</v>
      </c>
      <c r="B1432" t="s">
        <v>12983</v>
      </c>
      <c r="C1432" t="s">
        <v>12984</v>
      </c>
      <c r="E1432" t="s">
        <v>2439</v>
      </c>
      <c r="F1432" t="s">
        <v>13011</v>
      </c>
    </row>
    <row r="1433" spans="1:6" x14ac:dyDescent="0.25">
      <c r="A1433" t="s">
        <v>13012</v>
      </c>
      <c r="B1433" t="s">
        <v>12983</v>
      </c>
      <c r="C1433" t="s">
        <v>12984</v>
      </c>
      <c r="E1433" t="s">
        <v>2439</v>
      </c>
      <c r="F1433" t="s">
        <v>13013</v>
      </c>
    </row>
    <row r="1434" spans="1:6" x14ac:dyDescent="0.25">
      <c r="A1434" t="s">
        <v>13014</v>
      </c>
      <c r="B1434" t="s">
        <v>12983</v>
      </c>
      <c r="C1434" t="s">
        <v>12984</v>
      </c>
      <c r="E1434" t="s">
        <v>2439</v>
      </c>
      <c r="F1434" t="s">
        <v>13015</v>
      </c>
    </row>
    <row r="1435" spans="1:6" x14ac:dyDescent="0.25">
      <c r="A1435" t="s">
        <v>13016</v>
      </c>
      <c r="B1435" t="s">
        <v>12983</v>
      </c>
      <c r="C1435" t="s">
        <v>12984</v>
      </c>
      <c r="E1435" t="s">
        <v>2439</v>
      </c>
      <c r="F1435" t="s">
        <v>13017</v>
      </c>
    </row>
    <row r="1436" spans="1:6" x14ac:dyDescent="0.25">
      <c r="A1436" t="s">
        <v>13018</v>
      </c>
      <c r="B1436" t="s">
        <v>12983</v>
      </c>
      <c r="C1436" t="s">
        <v>12984</v>
      </c>
      <c r="E1436" t="s">
        <v>2439</v>
      </c>
      <c r="F1436" t="s">
        <v>13019</v>
      </c>
    </row>
    <row r="1437" spans="1:6" x14ac:dyDescent="0.25">
      <c r="A1437" t="s">
        <v>13020</v>
      </c>
      <c r="B1437" t="s">
        <v>12983</v>
      </c>
      <c r="C1437" t="s">
        <v>12984</v>
      </c>
      <c r="E1437" t="s">
        <v>2439</v>
      </c>
      <c r="F1437" t="s">
        <v>13021</v>
      </c>
    </row>
    <row r="1438" spans="1:6" x14ac:dyDescent="0.25">
      <c r="A1438" t="s">
        <v>13022</v>
      </c>
      <c r="B1438" t="s">
        <v>12983</v>
      </c>
      <c r="C1438" t="s">
        <v>12984</v>
      </c>
      <c r="E1438" t="s">
        <v>2439</v>
      </c>
      <c r="F1438" t="s">
        <v>13023</v>
      </c>
    </row>
    <row r="1439" spans="1:6" x14ac:dyDescent="0.25">
      <c r="A1439" t="s">
        <v>13024</v>
      </c>
      <c r="B1439" t="s">
        <v>13025</v>
      </c>
      <c r="C1439" t="s">
        <v>13026</v>
      </c>
      <c r="D1439">
        <v>2019</v>
      </c>
      <c r="E1439" t="s">
        <v>2492</v>
      </c>
      <c r="F1439" t="s">
        <v>13027</v>
      </c>
    </row>
    <row r="1440" spans="1:6" x14ac:dyDescent="0.25">
      <c r="A1440" t="s">
        <v>13028</v>
      </c>
      <c r="B1440" t="s">
        <v>13025</v>
      </c>
      <c r="C1440" t="s">
        <v>13026</v>
      </c>
      <c r="D1440">
        <v>2019</v>
      </c>
      <c r="E1440" t="s">
        <v>2492</v>
      </c>
      <c r="F1440" t="s">
        <v>13029</v>
      </c>
    </row>
    <row r="1441" spans="1:6" x14ac:dyDescent="0.25">
      <c r="A1441" t="s">
        <v>13030</v>
      </c>
      <c r="B1441" t="s">
        <v>13025</v>
      </c>
      <c r="C1441" t="s">
        <v>13026</v>
      </c>
      <c r="D1441">
        <v>2019</v>
      </c>
      <c r="E1441" t="s">
        <v>2492</v>
      </c>
      <c r="F1441" t="s">
        <v>13031</v>
      </c>
    </row>
    <row r="1442" spans="1:6" x14ac:dyDescent="0.25">
      <c r="A1442" t="s">
        <v>13032</v>
      </c>
      <c r="B1442" t="s">
        <v>13025</v>
      </c>
      <c r="C1442" t="s">
        <v>13026</v>
      </c>
      <c r="D1442">
        <v>2019</v>
      </c>
      <c r="E1442" t="s">
        <v>2492</v>
      </c>
      <c r="F1442" t="s">
        <v>13033</v>
      </c>
    </row>
    <row r="1443" spans="1:6" x14ac:dyDescent="0.25">
      <c r="A1443" t="s">
        <v>13034</v>
      </c>
      <c r="B1443" t="s">
        <v>13025</v>
      </c>
      <c r="C1443" t="s">
        <v>13026</v>
      </c>
      <c r="D1443">
        <v>2019</v>
      </c>
      <c r="E1443" t="s">
        <v>2492</v>
      </c>
      <c r="F1443" t="s">
        <v>13035</v>
      </c>
    </row>
    <row r="1444" spans="1:6" x14ac:dyDescent="0.25">
      <c r="A1444" t="s">
        <v>13036</v>
      </c>
      <c r="B1444" t="s">
        <v>13025</v>
      </c>
      <c r="C1444" t="s">
        <v>13026</v>
      </c>
      <c r="D1444">
        <v>2019</v>
      </c>
      <c r="E1444" t="s">
        <v>2492</v>
      </c>
      <c r="F1444" t="s">
        <v>13037</v>
      </c>
    </row>
    <row r="1445" spans="1:6" x14ac:dyDescent="0.25">
      <c r="A1445" t="s">
        <v>13038</v>
      </c>
      <c r="B1445" t="s">
        <v>13025</v>
      </c>
      <c r="C1445" t="s">
        <v>13026</v>
      </c>
      <c r="D1445">
        <v>2019</v>
      </c>
      <c r="E1445" t="s">
        <v>2492</v>
      </c>
      <c r="F1445" t="s">
        <v>13039</v>
      </c>
    </row>
    <row r="1446" spans="1:6" x14ac:dyDescent="0.25">
      <c r="A1446" t="s">
        <v>13040</v>
      </c>
      <c r="B1446" t="s">
        <v>13025</v>
      </c>
      <c r="C1446" t="s">
        <v>13026</v>
      </c>
      <c r="D1446">
        <v>2019</v>
      </c>
      <c r="E1446" t="s">
        <v>2492</v>
      </c>
      <c r="F1446" t="s">
        <v>13041</v>
      </c>
    </row>
    <row r="1447" spans="1:6" x14ac:dyDescent="0.25">
      <c r="A1447" t="s">
        <v>13042</v>
      </c>
      <c r="B1447" t="s">
        <v>13025</v>
      </c>
      <c r="C1447" t="s">
        <v>13026</v>
      </c>
      <c r="D1447">
        <v>2019</v>
      </c>
      <c r="E1447" t="s">
        <v>2492</v>
      </c>
      <c r="F1447" t="s">
        <v>13043</v>
      </c>
    </row>
    <row r="1448" spans="1:6" x14ac:dyDescent="0.25">
      <c r="A1448" t="s">
        <v>13044</v>
      </c>
      <c r="B1448" t="s">
        <v>13025</v>
      </c>
      <c r="C1448" t="s">
        <v>13026</v>
      </c>
      <c r="D1448">
        <v>2019</v>
      </c>
      <c r="E1448" t="s">
        <v>2492</v>
      </c>
      <c r="F1448" t="s">
        <v>13045</v>
      </c>
    </row>
    <row r="1449" spans="1:6" x14ac:dyDescent="0.25">
      <c r="A1449" t="s">
        <v>13046</v>
      </c>
      <c r="B1449" t="s">
        <v>13025</v>
      </c>
      <c r="C1449" t="s">
        <v>13026</v>
      </c>
      <c r="D1449">
        <v>2019</v>
      </c>
      <c r="E1449" t="s">
        <v>2492</v>
      </c>
      <c r="F1449" t="s">
        <v>13047</v>
      </c>
    </row>
    <row r="1450" spans="1:6" x14ac:dyDescent="0.25">
      <c r="A1450" t="s">
        <v>13048</v>
      </c>
      <c r="B1450" t="s">
        <v>13025</v>
      </c>
      <c r="C1450" t="s">
        <v>13026</v>
      </c>
      <c r="D1450">
        <v>2019</v>
      </c>
      <c r="E1450" t="s">
        <v>2492</v>
      </c>
      <c r="F1450" t="s">
        <v>13049</v>
      </c>
    </row>
    <row r="1451" spans="1:6" x14ac:dyDescent="0.25">
      <c r="A1451" t="s">
        <v>13050</v>
      </c>
      <c r="B1451" t="s">
        <v>13025</v>
      </c>
      <c r="C1451" t="s">
        <v>13026</v>
      </c>
      <c r="D1451">
        <v>2019</v>
      </c>
      <c r="E1451" t="s">
        <v>2492</v>
      </c>
      <c r="F1451" t="s">
        <v>13051</v>
      </c>
    </row>
    <row r="1452" spans="1:6" x14ac:dyDescent="0.25">
      <c r="A1452" t="s">
        <v>13052</v>
      </c>
      <c r="B1452" t="s">
        <v>13025</v>
      </c>
      <c r="C1452" t="s">
        <v>13026</v>
      </c>
      <c r="D1452">
        <v>2019</v>
      </c>
      <c r="E1452" t="s">
        <v>2492</v>
      </c>
      <c r="F1452" t="s">
        <v>13053</v>
      </c>
    </row>
    <row r="1453" spans="1:6" x14ac:dyDescent="0.25">
      <c r="A1453" t="s">
        <v>13054</v>
      </c>
      <c r="B1453" t="s">
        <v>13025</v>
      </c>
      <c r="C1453" t="s">
        <v>13026</v>
      </c>
      <c r="D1453">
        <v>2019</v>
      </c>
      <c r="E1453" t="s">
        <v>2492</v>
      </c>
      <c r="F1453" t="s">
        <v>13055</v>
      </c>
    </row>
    <row r="1454" spans="1:6" x14ac:dyDescent="0.25">
      <c r="A1454" t="s">
        <v>13056</v>
      </c>
      <c r="B1454" t="s">
        <v>13025</v>
      </c>
      <c r="C1454" t="s">
        <v>13026</v>
      </c>
      <c r="D1454">
        <v>2019</v>
      </c>
      <c r="E1454" t="s">
        <v>2492</v>
      </c>
      <c r="F1454" t="s">
        <v>13057</v>
      </c>
    </row>
    <row r="1455" spans="1:6" x14ac:dyDescent="0.25">
      <c r="A1455" t="s">
        <v>13058</v>
      </c>
      <c r="B1455" t="s">
        <v>13025</v>
      </c>
      <c r="C1455" t="s">
        <v>13026</v>
      </c>
      <c r="D1455">
        <v>2019</v>
      </c>
      <c r="E1455" t="s">
        <v>2492</v>
      </c>
      <c r="F1455" t="s">
        <v>13059</v>
      </c>
    </row>
    <row r="1456" spans="1:6" x14ac:dyDescent="0.25">
      <c r="A1456" t="s">
        <v>13060</v>
      </c>
      <c r="B1456" t="s">
        <v>13025</v>
      </c>
      <c r="C1456" t="s">
        <v>13026</v>
      </c>
      <c r="D1456">
        <v>2019</v>
      </c>
      <c r="E1456" t="s">
        <v>2492</v>
      </c>
      <c r="F1456" t="s">
        <v>13061</v>
      </c>
    </row>
    <row r="1457" spans="1:6" x14ac:dyDescent="0.25">
      <c r="A1457" t="s">
        <v>13062</v>
      </c>
      <c r="B1457" t="s">
        <v>13025</v>
      </c>
      <c r="C1457" t="s">
        <v>13026</v>
      </c>
      <c r="D1457">
        <v>2019</v>
      </c>
      <c r="E1457" t="s">
        <v>2492</v>
      </c>
      <c r="F1457" t="s">
        <v>13063</v>
      </c>
    </row>
    <row r="1458" spans="1:6" x14ac:dyDescent="0.25">
      <c r="A1458" t="s">
        <v>13064</v>
      </c>
      <c r="B1458" t="s">
        <v>13025</v>
      </c>
      <c r="C1458" t="s">
        <v>13026</v>
      </c>
      <c r="D1458">
        <v>2019</v>
      </c>
      <c r="E1458" t="s">
        <v>2492</v>
      </c>
      <c r="F1458" t="s">
        <v>13065</v>
      </c>
    </row>
    <row r="1459" spans="1:6" x14ac:dyDescent="0.25">
      <c r="A1459" t="s">
        <v>13066</v>
      </c>
      <c r="B1459" t="s">
        <v>13025</v>
      </c>
      <c r="C1459" t="s">
        <v>13026</v>
      </c>
      <c r="D1459">
        <v>2019</v>
      </c>
      <c r="E1459" t="s">
        <v>2492</v>
      </c>
      <c r="F1459" t="s">
        <v>13067</v>
      </c>
    </row>
    <row r="1460" spans="1:6" x14ac:dyDescent="0.25">
      <c r="A1460" t="s">
        <v>13068</v>
      </c>
      <c r="B1460" t="s">
        <v>13025</v>
      </c>
      <c r="C1460" t="s">
        <v>13026</v>
      </c>
      <c r="D1460">
        <v>2019</v>
      </c>
      <c r="E1460" t="s">
        <v>2492</v>
      </c>
      <c r="F1460" t="s">
        <v>13069</v>
      </c>
    </row>
    <row r="1461" spans="1:6" x14ac:dyDescent="0.25">
      <c r="A1461" t="s">
        <v>2663</v>
      </c>
      <c r="B1461" t="s">
        <v>13070</v>
      </c>
      <c r="C1461" t="s">
        <v>13071</v>
      </c>
      <c r="D1461">
        <v>2025</v>
      </c>
      <c r="E1461" t="s">
        <v>2663</v>
      </c>
      <c r="F1461" t="s">
        <v>13072</v>
      </c>
    </row>
    <row r="1462" spans="1:6" x14ac:dyDescent="0.25">
      <c r="A1462" t="s">
        <v>13073</v>
      </c>
      <c r="B1462" t="s">
        <v>13070</v>
      </c>
      <c r="C1462" t="s">
        <v>13071</v>
      </c>
      <c r="D1462">
        <v>2025</v>
      </c>
      <c r="E1462" t="s">
        <v>2663</v>
      </c>
      <c r="F1462" t="s">
        <v>13074</v>
      </c>
    </row>
    <row r="1463" spans="1:6" x14ac:dyDescent="0.25">
      <c r="A1463" t="s">
        <v>13075</v>
      </c>
      <c r="B1463" t="s">
        <v>13070</v>
      </c>
      <c r="C1463" t="s">
        <v>13071</v>
      </c>
      <c r="D1463">
        <v>2025</v>
      </c>
      <c r="E1463" t="s">
        <v>2663</v>
      </c>
      <c r="F1463" t="s">
        <v>13076</v>
      </c>
    </row>
    <row r="1464" spans="1:6" x14ac:dyDescent="0.25">
      <c r="A1464" t="s">
        <v>13077</v>
      </c>
      <c r="B1464" t="s">
        <v>13070</v>
      </c>
      <c r="C1464" t="s">
        <v>13071</v>
      </c>
      <c r="D1464">
        <v>2025</v>
      </c>
      <c r="E1464" t="s">
        <v>2663</v>
      </c>
      <c r="F1464" t="s">
        <v>13078</v>
      </c>
    </row>
    <row r="1465" spans="1:6" x14ac:dyDescent="0.25">
      <c r="A1465" t="s">
        <v>13079</v>
      </c>
      <c r="B1465" t="s">
        <v>13070</v>
      </c>
      <c r="C1465" t="s">
        <v>13071</v>
      </c>
      <c r="D1465">
        <v>2025</v>
      </c>
      <c r="E1465" t="s">
        <v>2663</v>
      </c>
      <c r="F1465" t="s">
        <v>13080</v>
      </c>
    </row>
    <row r="1466" spans="1:6" x14ac:dyDescent="0.25">
      <c r="A1466" t="s">
        <v>13081</v>
      </c>
      <c r="B1466" t="s">
        <v>13070</v>
      </c>
      <c r="C1466" t="s">
        <v>13071</v>
      </c>
      <c r="D1466">
        <v>2025</v>
      </c>
      <c r="E1466" t="s">
        <v>2663</v>
      </c>
      <c r="F1466" t="s">
        <v>13082</v>
      </c>
    </row>
    <row r="1467" spans="1:6" x14ac:dyDescent="0.25">
      <c r="A1467" t="s">
        <v>13083</v>
      </c>
      <c r="B1467" t="s">
        <v>13070</v>
      </c>
      <c r="C1467" t="s">
        <v>13071</v>
      </c>
      <c r="D1467">
        <v>2025</v>
      </c>
      <c r="E1467" t="s">
        <v>2663</v>
      </c>
      <c r="F1467" t="s">
        <v>13084</v>
      </c>
    </row>
    <row r="1468" spans="1:6" x14ac:dyDescent="0.25">
      <c r="A1468" t="s">
        <v>13085</v>
      </c>
      <c r="B1468" t="s">
        <v>13070</v>
      </c>
      <c r="C1468" t="s">
        <v>13071</v>
      </c>
      <c r="D1468">
        <v>2025</v>
      </c>
      <c r="E1468" t="s">
        <v>2663</v>
      </c>
      <c r="F1468" t="s">
        <v>13086</v>
      </c>
    </row>
    <row r="1469" spans="1:6" x14ac:dyDescent="0.25">
      <c r="A1469" t="s">
        <v>13087</v>
      </c>
      <c r="B1469" t="s">
        <v>13070</v>
      </c>
      <c r="C1469" t="s">
        <v>13071</v>
      </c>
      <c r="D1469">
        <v>2025</v>
      </c>
      <c r="E1469" t="s">
        <v>2663</v>
      </c>
      <c r="F1469" t="s">
        <v>13088</v>
      </c>
    </row>
    <row r="1470" spans="1:6" x14ac:dyDescent="0.25">
      <c r="A1470" t="s">
        <v>13089</v>
      </c>
      <c r="B1470" t="s">
        <v>13070</v>
      </c>
      <c r="C1470" t="s">
        <v>13071</v>
      </c>
      <c r="D1470">
        <v>2025</v>
      </c>
      <c r="E1470" t="s">
        <v>2663</v>
      </c>
      <c r="F1470" t="s">
        <v>13090</v>
      </c>
    </row>
    <row r="1471" spans="1:6" x14ac:dyDescent="0.25">
      <c r="A1471" t="s">
        <v>13091</v>
      </c>
      <c r="B1471" t="s">
        <v>13070</v>
      </c>
      <c r="C1471" t="s">
        <v>13071</v>
      </c>
      <c r="D1471">
        <v>2025</v>
      </c>
      <c r="E1471" t="s">
        <v>2663</v>
      </c>
      <c r="F1471" t="s">
        <v>13092</v>
      </c>
    </row>
    <row r="1472" spans="1:6" x14ac:dyDescent="0.25">
      <c r="A1472" t="s">
        <v>13093</v>
      </c>
      <c r="B1472" t="s">
        <v>13070</v>
      </c>
      <c r="C1472" t="s">
        <v>13071</v>
      </c>
      <c r="D1472">
        <v>2025</v>
      </c>
      <c r="E1472" t="s">
        <v>2663</v>
      </c>
      <c r="F1472" t="s">
        <v>13094</v>
      </c>
    </row>
    <row r="1473" spans="1:6" x14ac:dyDescent="0.25">
      <c r="A1473" t="s">
        <v>13095</v>
      </c>
      <c r="B1473" t="s">
        <v>13070</v>
      </c>
      <c r="C1473" t="s">
        <v>13071</v>
      </c>
      <c r="D1473">
        <v>2025</v>
      </c>
      <c r="E1473" t="s">
        <v>2663</v>
      </c>
      <c r="F1473" t="s">
        <v>13096</v>
      </c>
    </row>
    <row r="1474" spans="1:6" x14ac:dyDescent="0.25">
      <c r="A1474" t="s">
        <v>13097</v>
      </c>
      <c r="B1474" t="s">
        <v>13070</v>
      </c>
      <c r="C1474" t="s">
        <v>13071</v>
      </c>
      <c r="D1474">
        <v>2025</v>
      </c>
      <c r="E1474" t="s">
        <v>2663</v>
      </c>
      <c r="F1474" t="s">
        <v>13098</v>
      </c>
    </row>
    <row r="1475" spans="1:6" x14ac:dyDescent="0.25">
      <c r="A1475" t="s">
        <v>13099</v>
      </c>
      <c r="B1475" t="s">
        <v>13070</v>
      </c>
      <c r="C1475" t="s">
        <v>13071</v>
      </c>
      <c r="D1475">
        <v>2025</v>
      </c>
      <c r="E1475" t="s">
        <v>2663</v>
      </c>
      <c r="F1475" t="s">
        <v>13100</v>
      </c>
    </row>
    <row r="1476" spans="1:6" x14ac:dyDescent="0.25">
      <c r="A1476" t="s">
        <v>13101</v>
      </c>
      <c r="B1476" t="s">
        <v>13070</v>
      </c>
      <c r="C1476" t="s">
        <v>13071</v>
      </c>
      <c r="D1476">
        <v>2025</v>
      </c>
      <c r="E1476" t="s">
        <v>2663</v>
      </c>
      <c r="F1476" t="s">
        <v>13102</v>
      </c>
    </row>
    <row r="1477" spans="1:6" x14ac:dyDescent="0.25">
      <c r="A1477" t="s">
        <v>13103</v>
      </c>
      <c r="B1477" t="s">
        <v>13070</v>
      </c>
      <c r="C1477" t="s">
        <v>13071</v>
      </c>
      <c r="D1477">
        <v>2025</v>
      </c>
      <c r="E1477" t="s">
        <v>2663</v>
      </c>
      <c r="F1477" t="s">
        <v>13104</v>
      </c>
    </row>
    <row r="1478" spans="1:6" x14ac:dyDescent="0.25">
      <c r="A1478" t="s">
        <v>13105</v>
      </c>
      <c r="B1478" t="s">
        <v>13070</v>
      </c>
      <c r="C1478" t="s">
        <v>13071</v>
      </c>
      <c r="D1478">
        <v>2025</v>
      </c>
      <c r="E1478" t="s">
        <v>2663</v>
      </c>
      <c r="F1478" t="s">
        <v>13106</v>
      </c>
    </row>
    <row r="1479" spans="1:6" x14ac:dyDescent="0.25">
      <c r="A1479" t="s">
        <v>13107</v>
      </c>
      <c r="B1479" t="s">
        <v>13070</v>
      </c>
      <c r="C1479" t="s">
        <v>13071</v>
      </c>
      <c r="D1479">
        <v>2025</v>
      </c>
      <c r="E1479" t="s">
        <v>2663</v>
      </c>
      <c r="F1479" t="s">
        <v>13108</v>
      </c>
    </row>
    <row r="1480" spans="1:6" x14ac:dyDescent="0.25">
      <c r="A1480" t="s">
        <v>13109</v>
      </c>
      <c r="B1480" t="s">
        <v>13070</v>
      </c>
      <c r="C1480" t="s">
        <v>13071</v>
      </c>
      <c r="D1480">
        <v>2025</v>
      </c>
      <c r="E1480" t="s">
        <v>2663</v>
      </c>
      <c r="F1480" t="s">
        <v>13110</v>
      </c>
    </row>
    <row r="1481" spans="1:6" x14ac:dyDescent="0.25">
      <c r="A1481" t="s">
        <v>13111</v>
      </c>
      <c r="B1481" t="s">
        <v>13070</v>
      </c>
      <c r="C1481" t="s">
        <v>13071</v>
      </c>
      <c r="D1481">
        <v>2025</v>
      </c>
      <c r="E1481" t="s">
        <v>2663</v>
      </c>
      <c r="F1481" t="s">
        <v>13112</v>
      </c>
    </row>
    <row r="1482" spans="1:6" x14ac:dyDescent="0.25">
      <c r="A1482" t="s">
        <v>13113</v>
      </c>
      <c r="B1482" t="s">
        <v>13070</v>
      </c>
      <c r="C1482" t="s">
        <v>13071</v>
      </c>
      <c r="D1482">
        <v>2025</v>
      </c>
      <c r="E1482" t="s">
        <v>2663</v>
      </c>
      <c r="F1482" t="s">
        <v>13114</v>
      </c>
    </row>
    <row r="1483" spans="1:6" x14ac:dyDescent="0.25">
      <c r="A1483" t="s">
        <v>13115</v>
      </c>
      <c r="B1483" t="s">
        <v>13070</v>
      </c>
      <c r="C1483" t="s">
        <v>13071</v>
      </c>
      <c r="D1483">
        <v>2025</v>
      </c>
      <c r="E1483" t="s">
        <v>2663</v>
      </c>
      <c r="F1483" t="s">
        <v>13116</v>
      </c>
    </row>
    <row r="1484" spans="1:6" x14ac:dyDescent="0.25">
      <c r="A1484" t="s">
        <v>13117</v>
      </c>
      <c r="B1484" t="s">
        <v>13070</v>
      </c>
      <c r="C1484" t="s">
        <v>13071</v>
      </c>
      <c r="D1484">
        <v>2025</v>
      </c>
      <c r="E1484" t="s">
        <v>2663</v>
      </c>
      <c r="F1484" t="s">
        <v>13118</v>
      </c>
    </row>
    <row r="1485" spans="1:6" x14ac:dyDescent="0.25">
      <c r="A1485" t="s">
        <v>13119</v>
      </c>
      <c r="B1485" t="s">
        <v>12146</v>
      </c>
      <c r="C1485" t="s">
        <v>13120</v>
      </c>
      <c r="D1485">
        <v>2020</v>
      </c>
      <c r="E1485" t="s">
        <v>333</v>
      </c>
      <c r="F1485" t="s">
        <v>13121</v>
      </c>
    </row>
    <row r="1486" spans="1:6" x14ac:dyDescent="0.25">
      <c r="A1486" t="s">
        <v>13122</v>
      </c>
      <c r="B1486" t="s">
        <v>12146</v>
      </c>
      <c r="C1486" t="s">
        <v>13120</v>
      </c>
      <c r="D1486">
        <v>2020</v>
      </c>
      <c r="E1486" t="s">
        <v>333</v>
      </c>
      <c r="F1486" t="s">
        <v>13123</v>
      </c>
    </row>
    <row r="1487" spans="1:6" x14ac:dyDescent="0.25">
      <c r="A1487" t="s">
        <v>13124</v>
      </c>
      <c r="B1487" t="s">
        <v>12146</v>
      </c>
      <c r="C1487" t="s">
        <v>13120</v>
      </c>
      <c r="D1487">
        <v>2020</v>
      </c>
      <c r="E1487" t="s">
        <v>333</v>
      </c>
      <c r="F1487" t="s">
        <v>13125</v>
      </c>
    </row>
    <row r="1488" spans="1:6" x14ac:dyDescent="0.25">
      <c r="A1488" t="s">
        <v>13126</v>
      </c>
      <c r="B1488" t="s">
        <v>12146</v>
      </c>
      <c r="C1488" t="s">
        <v>13120</v>
      </c>
      <c r="D1488">
        <v>2020</v>
      </c>
      <c r="E1488" t="s">
        <v>333</v>
      </c>
      <c r="F1488" t="s">
        <v>13127</v>
      </c>
    </row>
    <row r="1489" spans="1:6" x14ac:dyDescent="0.25">
      <c r="A1489" t="s">
        <v>13128</v>
      </c>
      <c r="B1489" t="s">
        <v>12146</v>
      </c>
      <c r="C1489" t="s">
        <v>13120</v>
      </c>
      <c r="D1489">
        <v>2020</v>
      </c>
      <c r="E1489" t="s">
        <v>333</v>
      </c>
      <c r="F1489" t="s">
        <v>13129</v>
      </c>
    </row>
    <row r="1490" spans="1:6" x14ac:dyDescent="0.25">
      <c r="A1490" t="s">
        <v>13130</v>
      </c>
      <c r="B1490" t="s">
        <v>12146</v>
      </c>
      <c r="C1490" t="s">
        <v>13120</v>
      </c>
      <c r="D1490">
        <v>2020</v>
      </c>
      <c r="E1490" t="s">
        <v>333</v>
      </c>
      <c r="F1490" t="s">
        <v>13131</v>
      </c>
    </row>
    <row r="1491" spans="1:6" x14ac:dyDescent="0.25">
      <c r="A1491" t="s">
        <v>13132</v>
      </c>
      <c r="B1491" t="s">
        <v>12146</v>
      </c>
      <c r="C1491" t="s">
        <v>13120</v>
      </c>
      <c r="D1491">
        <v>2020</v>
      </c>
      <c r="E1491" t="s">
        <v>333</v>
      </c>
      <c r="F1491" t="s">
        <v>13133</v>
      </c>
    </row>
    <row r="1492" spans="1:6" x14ac:dyDescent="0.25">
      <c r="A1492" t="s">
        <v>13134</v>
      </c>
      <c r="B1492" t="s">
        <v>12146</v>
      </c>
      <c r="C1492" t="s">
        <v>13120</v>
      </c>
      <c r="D1492">
        <v>2020</v>
      </c>
      <c r="E1492" t="s">
        <v>333</v>
      </c>
      <c r="F1492" t="s">
        <v>13135</v>
      </c>
    </row>
    <row r="1493" spans="1:6" x14ac:dyDescent="0.25">
      <c r="A1493" t="s">
        <v>4392</v>
      </c>
      <c r="B1493" t="s">
        <v>12146</v>
      </c>
      <c r="C1493" t="s">
        <v>13120</v>
      </c>
      <c r="D1493">
        <v>2020</v>
      </c>
      <c r="E1493" t="s">
        <v>333</v>
      </c>
      <c r="F1493" t="s">
        <v>13136</v>
      </c>
    </row>
    <row r="1494" spans="1:6" x14ac:dyDescent="0.25">
      <c r="A1494" t="s">
        <v>13137</v>
      </c>
      <c r="B1494" t="s">
        <v>12146</v>
      </c>
      <c r="C1494" t="s">
        <v>13120</v>
      </c>
      <c r="D1494">
        <v>2020</v>
      </c>
      <c r="E1494" t="s">
        <v>333</v>
      </c>
      <c r="F1494" t="s">
        <v>13138</v>
      </c>
    </row>
    <row r="1495" spans="1:6" x14ac:dyDescent="0.25">
      <c r="A1495" t="s">
        <v>13139</v>
      </c>
      <c r="B1495" t="s">
        <v>12146</v>
      </c>
      <c r="C1495" t="s">
        <v>13120</v>
      </c>
      <c r="D1495">
        <v>2020</v>
      </c>
      <c r="E1495" t="s">
        <v>333</v>
      </c>
      <c r="F1495" t="s">
        <v>13140</v>
      </c>
    </row>
    <row r="1496" spans="1:6" x14ac:dyDescent="0.25">
      <c r="A1496" t="s">
        <v>13141</v>
      </c>
      <c r="B1496" t="s">
        <v>12146</v>
      </c>
      <c r="C1496" t="s">
        <v>13120</v>
      </c>
      <c r="D1496">
        <v>2020</v>
      </c>
      <c r="E1496" t="s">
        <v>333</v>
      </c>
      <c r="F1496" t="s">
        <v>13142</v>
      </c>
    </row>
    <row r="1497" spans="1:6" x14ac:dyDescent="0.25">
      <c r="A1497" t="s">
        <v>13143</v>
      </c>
      <c r="B1497" t="s">
        <v>12146</v>
      </c>
      <c r="C1497" t="s">
        <v>13120</v>
      </c>
      <c r="D1497">
        <v>2020</v>
      </c>
      <c r="E1497" t="s">
        <v>333</v>
      </c>
      <c r="F1497" t="s">
        <v>13144</v>
      </c>
    </row>
    <row r="1498" spans="1:6" x14ac:dyDescent="0.25">
      <c r="A1498" t="s">
        <v>13145</v>
      </c>
      <c r="B1498" t="s">
        <v>12146</v>
      </c>
      <c r="C1498" t="s">
        <v>13120</v>
      </c>
      <c r="D1498">
        <v>2020</v>
      </c>
      <c r="E1498" t="s">
        <v>333</v>
      </c>
      <c r="F1498" t="s">
        <v>13146</v>
      </c>
    </row>
    <row r="1499" spans="1:6" x14ac:dyDescent="0.25">
      <c r="A1499" t="s">
        <v>13147</v>
      </c>
      <c r="B1499" t="s">
        <v>12146</v>
      </c>
      <c r="C1499" t="s">
        <v>13120</v>
      </c>
      <c r="D1499">
        <v>2020</v>
      </c>
      <c r="E1499" t="s">
        <v>333</v>
      </c>
      <c r="F1499" t="s">
        <v>13148</v>
      </c>
    </row>
    <row r="1500" spans="1:6" x14ac:dyDescent="0.25">
      <c r="A1500" t="s">
        <v>13149</v>
      </c>
      <c r="B1500" t="s">
        <v>12146</v>
      </c>
      <c r="C1500" t="s">
        <v>13120</v>
      </c>
      <c r="D1500">
        <v>2020</v>
      </c>
      <c r="E1500" t="s">
        <v>333</v>
      </c>
      <c r="F1500" t="s">
        <v>13150</v>
      </c>
    </row>
    <row r="1501" spans="1:6" x14ac:dyDescent="0.25">
      <c r="A1501" t="s">
        <v>13151</v>
      </c>
      <c r="B1501" t="s">
        <v>12146</v>
      </c>
      <c r="C1501" t="s">
        <v>13120</v>
      </c>
      <c r="D1501">
        <v>2020</v>
      </c>
      <c r="E1501" t="s">
        <v>333</v>
      </c>
      <c r="F1501" t="s">
        <v>13152</v>
      </c>
    </row>
    <row r="1502" spans="1:6" x14ac:dyDescent="0.25">
      <c r="A1502" t="s">
        <v>13153</v>
      </c>
      <c r="B1502" t="s">
        <v>12146</v>
      </c>
      <c r="C1502" t="s">
        <v>13120</v>
      </c>
      <c r="D1502">
        <v>2020</v>
      </c>
      <c r="E1502" t="s">
        <v>333</v>
      </c>
      <c r="F1502" t="s">
        <v>13154</v>
      </c>
    </row>
    <row r="1503" spans="1:6" x14ac:dyDescent="0.25">
      <c r="A1503" t="s">
        <v>13155</v>
      </c>
      <c r="B1503" t="s">
        <v>12146</v>
      </c>
      <c r="C1503" t="s">
        <v>13120</v>
      </c>
      <c r="D1503">
        <v>2020</v>
      </c>
      <c r="E1503" t="s">
        <v>333</v>
      </c>
      <c r="F1503" t="s">
        <v>13156</v>
      </c>
    </row>
    <row r="1504" spans="1:6" x14ac:dyDescent="0.25">
      <c r="A1504" t="s">
        <v>13157</v>
      </c>
      <c r="B1504" t="s">
        <v>12146</v>
      </c>
      <c r="C1504" t="s">
        <v>13120</v>
      </c>
      <c r="D1504">
        <v>2020</v>
      </c>
      <c r="E1504" t="s">
        <v>333</v>
      </c>
      <c r="F1504" t="s">
        <v>13158</v>
      </c>
    </row>
    <row r="1505" spans="1:6" x14ac:dyDescent="0.25">
      <c r="A1505" t="s">
        <v>13159</v>
      </c>
      <c r="B1505" t="s">
        <v>12146</v>
      </c>
      <c r="C1505" t="s">
        <v>13120</v>
      </c>
      <c r="D1505">
        <v>2020</v>
      </c>
      <c r="E1505" t="s">
        <v>333</v>
      </c>
      <c r="F1505" t="s">
        <v>13160</v>
      </c>
    </row>
    <row r="1506" spans="1:6" x14ac:dyDescent="0.25">
      <c r="A1506" t="s">
        <v>13161</v>
      </c>
      <c r="B1506" t="s">
        <v>12146</v>
      </c>
      <c r="C1506" t="s">
        <v>13120</v>
      </c>
      <c r="D1506">
        <v>2020</v>
      </c>
      <c r="E1506" t="s">
        <v>333</v>
      </c>
      <c r="F1506" t="s">
        <v>13162</v>
      </c>
    </row>
    <row r="1507" spans="1:6" x14ac:dyDescent="0.25">
      <c r="A1507" t="s">
        <v>10909</v>
      </c>
      <c r="B1507" t="s">
        <v>12146</v>
      </c>
      <c r="C1507" t="s">
        <v>13120</v>
      </c>
      <c r="D1507">
        <v>2020</v>
      </c>
      <c r="E1507" t="s">
        <v>333</v>
      </c>
      <c r="F1507" t="s">
        <v>13163</v>
      </c>
    </row>
    <row r="1508" spans="1:6" x14ac:dyDescent="0.25">
      <c r="A1508" t="s">
        <v>13164</v>
      </c>
      <c r="B1508" t="s">
        <v>12146</v>
      </c>
      <c r="C1508" t="s">
        <v>13120</v>
      </c>
      <c r="D1508">
        <v>2020</v>
      </c>
      <c r="E1508" t="s">
        <v>333</v>
      </c>
      <c r="F1508" t="s">
        <v>13165</v>
      </c>
    </row>
    <row r="1509" spans="1:6" x14ac:dyDescent="0.25">
      <c r="A1509" t="s">
        <v>13166</v>
      </c>
      <c r="B1509" t="s">
        <v>12146</v>
      </c>
      <c r="C1509" t="s">
        <v>13120</v>
      </c>
      <c r="D1509">
        <v>2020</v>
      </c>
      <c r="E1509" t="s">
        <v>333</v>
      </c>
      <c r="F1509" t="s">
        <v>13167</v>
      </c>
    </row>
    <row r="1510" spans="1:6" x14ac:dyDescent="0.25">
      <c r="A1510" t="s">
        <v>13168</v>
      </c>
      <c r="B1510" t="s">
        <v>12146</v>
      </c>
      <c r="C1510" t="s">
        <v>13120</v>
      </c>
      <c r="D1510">
        <v>2020</v>
      </c>
      <c r="E1510" t="s">
        <v>333</v>
      </c>
      <c r="F1510" t="s">
        <v>13169</v>
      </c>
    </row>
    <row r="1511" spans="1:6" x14ac:dyDescent="0.25">
      <c r="A1511" t="s">
        <v>13170</v>
      </c>
      <c r="B1511" t="s">
        <v>12146</v>
      </c>
      <c r="C1511" t="s">
        <v>13120</v>
      </c>
      <c r="D1511">
        <v>2020</v>
      </c>
      <c r="E1511" t="s">
        <v>333</v>
      </c>
      <c r="F1511" t="s">
        <v>13171</v>
      </c>
    </row>
    <row r="1512" spans="1:6" x14ac:dyDescent="0.25">
      <c r="A1512" t="s">
        <v>13172</v>
      </c>
      <c r="B1512" t="s">
        <v>12146</v>
      </c>
      <c r="C1512" t="s">
        <v>13120</v>
      </c>
      <c r="D1512">
        <v>2020</v>
      </c>
      <c r="E1512" t="s">
        <v>333</v>
      </c>
      <c r="F1512" t="s">
        <v>13173</v>
      </c>
    </row>
    <row r="1513" spans="1:6" x14ac:dyDescent="0.25">
      <c r="A1513" t="s">
        <v>13174</v>
      </c>
      <c r="B1513" t="s">
        <v>12146</v>
      </c>
      <c r="C1513" t="s">
        <v>13120</v>
      </c>
      <c r="D1513">
        <v>2020</v>
      </c>
      <c r="E1513" t="s">
        <v>333</v>
      </c>
      <c r="F1513" t="s">
        <v>13175</v>
      </c>
    </row>
    <row r="1514" spans="1:6" x14ac:dyDescent="0.25">
      <c r="A1514" t="s">
        <v>13176</v>
      </c>
      <c r="B1514" t="s">
        <v>12146</v>
      </c>
      <c r="C1514" t="s">
        <v>13120</v>
      </c>
      <c r="D1514">
        <v>2020</v>
      </c>
      <c r="E1514" t="s">
        <v>333</v>
      </c>
      <c r="F1514" t="s">
        <v>13177</v>
      </c>
    </row>
    <row r="1515" spans="1:6" x14ac:dyDescent="0.25">
      <c r="A1515" t="s">
        <v>13178</v>
      </c>
      <c r="B1515" t="s">
        <v>12146</v>
      </c>
      <c r="C1515" t="s">
        <v>13120</v>
      </c>
      <c r="D1515">
        <v>2020</v>
      </c>
      <c r="E1515" t="s">
        <v>333</v>
      </c>
      <c r="F1515" t="s">
        <v>13179</v>
      </c>
    </row>
    <row r="1516" spans="1:6" x14ac:dyDescent="0.25">
      <c r="A1516" t="s">
        <v>13180</v>
      </c>
      <c r="B1516" t="s">
        <v>12146</v>
      </c>
      <c r="C1516" t="s">
        <v>13120</v>
      </c>
      <c r="D1516">
        <v>2020</v>
      </c>
      <c r="E1516" t="s">
        <v>333</v>
      </c>
      <c r="F1516" t="s">
        <v>13181</v>
      </c>
    </row>
    <row r="1517" spans="1:6" x14ac:dyDescent="0.25">
      <c r="A1517" t="s">
        <v>13182</v>
      </c>
      <c r="B1517" t="s">
        <v>12146</v>
      </c>
      <c r="C1517" t="s">
        <v>13120</v>
      </c>
      <c r="D1517">
        <v>2020</v>
      </c>
      <c r="E1517" t="s">
        <v>333</v>
      </c>
      <c r="F1517" t="s">
        <v>13183</v>
      </c>
    </row>
    <row r="1518" spans="1:6" x14ac:dyDescent="0.25">
      <c r="A1518" t="s">
        <v>13184</v>
      </c>
      <c r="B1518" t="s">
        <v>12146</v>
      </c>
      <c r="C1518" t="s">
        <v>13120</v>
      </c>
      <c r="D1518">
        <v>2020</v>
      </c>
      <c r="E1518" t="s">
        <v>333</v>
      </c>
      <c r="F1518" t="s">
        <v>13185</v>
      </c>
    </row>
    <row r="1519" spans="1:6" x14ac:dyDescent="0.25">
      <c r="A1519" t="s">
        <v>13186</v>
      </c>
      <c r="B1519" t="s">
        <v>12146</v>
      </c>
      <c r="C1519" t="s">
        <v>13120</v>
      </c>
      <c r="D1519">
        <v>2020</v>
      </c>
      <c r="E1519" t="s">
        <v>333</v>
      </c>
      <c r="F1519" t="s">
        <v>13187</v>
      </c>
    </row>
    <row r="1520" spans="1:6" x14ac:dyDescent="0.25">
      <c r="A1520" t="s">
        <v>13188</v>
      </c>
      <c r="B1520" t="s">
        <v>12146</v>
      </c>
      <c r="C1520" t="s">
        <v>13120</v>
      </c>
      <c r="D1520">
        <v>2020</v>
      </c>
      <c r="E1520" t="s">
        <v>333</v>
      </c>
      <c r="F1520" t="s">
        <v>13189</v>
      </c>
    </row>
    <row r="1521" spans="1:6" x14ac:dyDescent="0.25">
      <c r="A1521" t="s">
        <v>13190</v>
      </c>
      <c r="B1521" t="s">
        <v>12146</v>
      </c>
      <c r="C1521" t="s">
        <v>13120</v>
      </c>
      <c r="D1521">
        <v>2020</v>
      </c>
      <c r="E1521" t="s">
        <v>333</v>
      </c>
      <c r="F1521" t="s">
        <v>13191</v>
      </c>
    </row>
    <row r="1522" spans="1:6" x14ac:dyDescent="0.25">
      <c r="A1522" t="s">
        <v>13192</v>
      </c>
      <c r="B1522" t="s">
        <v>12146</v>
      </c>
      <c r="C1522" t="s">
        <v>13120</v>
      </c>
      <c r="D1522">
        <v>2020</v>
      </c>
      <c r="E1522" t="s">
        <v>333</v>
      </c>
      <c r="F1522" t="s">
        <v>13193</v>
      </c>
    </row>
    <row r="1523" spans="1:6" x14ac:dyDescent="0.25">
      <c r="A1523" t="s">
        <v>13194</v>
      </c>
      <c r="B1523" t="s">
        <v>12146</v>
      </c>
      <c r="C1523" t="s">
        <v>13120</v>
      </c>
      <c r="D1523">
        <v>2020</v>
      </c>
      <c r="E1523" t="s">
        <v>333</v>
      </c>
      <c r="F1523" t="s">
        <v>13195</v>
      </c>
    </row>
    <row r="1524" spans="1:6" x14ac:dyDescent="0.25">
      <c r="A1524" t="s">
        <v>13196</v>
      </c>
      <c r="B1524" t="s">
        <v>12146</v>
      </c>
      <c r="C1524" t="s">
        <v>13120</v>
      </c>
      <c r="D1524">
        <v>2020</v>
      </c>
      <c r="E1524" t="s">
        <v>333</v>
      </c>
      <c r="F1524" t="s">
        <v>13197</v>
      </c>
    </row>
    <row r="1525" spans="1:6" x14ac:dyDescent="0.25">
      <c r="A1525" t="s">
        <v>13198</v>
      </c>
      <c r="B1525" t="s">
        <v>12146</v>
      </c>
      <c r="C1525" t="s">
        <v>13120</v>
      </c>
      <c r="D1525">
        <v>2020</v>
      </c>
      <c r="E1525" t="s">
        <v>333</v>
      </c>
      <c r="F1525" t="s">
        <v>13199</v>
      </c>
    </row>
    <row r="1526" spans="1:6" x14ac:dyDescent="0.25">
      <c r="A1526" t="s">
        <v>13200</v>
      </c>
      <c r="B1526" t="s">
        <v>12146</v>
      </c>
      <c r="C1526" t="s">
        <v>13120</v>
      </c>
      <c r="D1526">
        <v>2021</v>
      </c>
      <c r="E1526" t="s">
        <v>333</v>
      </c>
      <c r="F1526" t="s">
        <v>13201</v>
      </c>
    </row>
    <row r="1527" spans="1:6" x14ac:dyDescent="0.25">
      <c r="A1527" t="s">
        <v>383</v>
      </c>
      <c r="B1527" t="s">
        <v>13202</v>
      </c>
      <c r="C1527" t="s">
        <v>13203</v>
      </c>
      <c r="D1527">
        <v>2017</v>
      </c>
      <c r="E1527" t="s">
        <v>383</v>
      </c>
      <c r="F1527" t="s">
        <v>13204</v>
      </c>
    </row>
    <row r="1528" spans="1:6" x14ac:dyDescent="0.25">
      <c r="A1528" t="s">
        <v>13205</v>
      </c>
      <c r="B1528" t="s">
        <v>13202</v>
      </c>
      <c r="C1528" t="s">
        <v>13203</v>
      </c>
      <c r="D1528">
        <v>2017</v>
      </c>
      <c r="E1528" t="s">
        <v>383</v>
      </c>
      <c r="F1528" t="s">
        <v>13206</v>
      </c>
    </row>
    <row r="1529" spans="1:6" x14ac:dyDescent="0.25">
      <c r="A1529" t="s">
        <v>13207</v>
      </c>
      <c r="B1529" t="s">
        <v>13202</v>
      </c>
      <c r="C1529" t="s">
        <v>13203</v>
      </c>
      <c r="D1529">
        <v>2017</v>
      </c>
      <c r="E1529" t="s">
        <v>383</v>
      </c>
      <c r="F1529" t="s">
        <v>13208</v>
      </c>
    </row>
    <row r="1530" spans="1:6" x14ac:dyDescent="0.25">
      <c r="A1530" t="s">
        <v>13209</v>
      </c>
      <c r="B1530" t="s">
        <v>13202</v>
      </c>
      <c r="C1530" t="s">
        <v>13203</v>
      </c>
      <c r="D1530">
        <v>2017</v>
      </c>
      <c r="E1530" t="s">
        <v>383</v>
      </c>
      <c r="F1530" t="s">
        <v>13210</v>
      </c>
    </row>
    <row r="1531" spans="1:6" x14ac:dyDescent="0.25">
      <c r="A1531" t="s">
        <v>13211</v>
      </c>
      <c r="B1531" t="s">
        <v>13202</v>
      </c>
      <c r="C1531" t="s">
        <v>13203</v>
      </c>
      <c r="D1531">
        <v>2017</v>
      </c>
      <c r="E1531" t="s">
        <v>383</v>
      </c>
      <c r="F1531" t="s">
        <v>13212</v>
      </c>
    </row>
    <row r="1532" spans="1:6" x14ac:dyDescent="0.25">
      <c r="A1532" t="s">
        <v>13213</v>
      </c>
      <c r="B1532" t="s">
        <v>13202</v>
      </c>
      <c r="C1532" t="s">
        <v>13203</v>
      </c>
      <c r="D1532">
        <v>2017</v>
      </c>
      <c r="E1532" t="s">
        <v>383</v>
      </c>
      <c r="F1532" t="s">
        <v>13214</v>
      </c>
    </row>
    <row r="1533" spans="1:6" x14ac:dyDescent="0.25">
      <c r="A1533" t="s">
        <v>13215</v>
      </c>
      <c r="B1533" t="s">
        <v>13202</v>
      </c>
      <c r="C1533" t="s">
        <v>13203</v>
      </c>
      <c r="D1533">
        <v>2017</v>
      </c>
      <c r="E1533" t="s">
        <v>383</v>
      </c>
      <c r="F1533" t="s">
        <v>13216</v>
      </c>
    </row>
    <row r="1534" spans="1:6" x14ac:dyDescent="0.25">
      <c r="A1534" t="s">
        <v>13217</v>
      </c>
      <c r="B1534" t="s">
        <v>13202</v>
      </c>
      <c r="C1534" t="s">
        <v>13203</v>
      </c>
      <c r="D1534">
        <v>2017</v>
      </c>
      <c r="E1534" t="s">
        <v>383</v>
      </c>
      <c r="F1534" t="s">
        <v>13218</v>
      </c>
    </row>
    <row r="1535" spans="1:6" x14ac:dyDescent="0.25">
      <c r="A1535" t="s">
        <v>13219</v>
      </c>
      <c r="B1535" t="s">
        <v>13202</v>
      </c>
      <c r="C1535" t="s">
        <v>13203</v>
      </c>
      <c r="D1535">
        <v>2017</v>
      </c>
      <c r="E1535" t="s">
        <v>383</v>
      </c>
      <c r="F1535" t="s">
        <v>13220</v>
      </c>
    </row>
    <row r="1536" spans="1:6" x14ac:dyDescent="0.25">
      <c r="A1536" t="s">
        <v>13221</v>
      </c>
      <c r="B1536" t="s">
        <v>13202</v>
      </c>
      <c r="C1536" t="s">
        <v>13203</v>
      </c>
      <c r="D1536">
        <v>2017</v>
      </c>
      <c r="E1536" t="s">
        <v>383</v>
      </c>
      <c r="F1536" t="s">
        <v>13222</v>
      </c>
    </row>
    <row r="1537" spans="1:6" x14ac:dyDescent="0.25">
      <c r="A1537" t="s">
        <v>13223</v>
      </c>
      <c r="B1537" t="s">
        <v>13202</v>
      </c>
      <c r="C1537" t="s">
        <v>13203</v>
      </c>
      <c r="D1537">
        <v>2017</v>
      </c>
      <c r="E1537" t="s">
        <v>383</v>
      </c>
      <c r="F1537" t="s">
        <v>13224</v>
      </c>
    </row>
    <row r="1538" spans="1:6" x14ac:dyDescent="0.25">
      <c r="A1538" t="s">
        <v>13225</v>
      </c>
      <c r="B1538" t="s">
        <v>13202</v>
      </c>
      <c r="C1538" t="s">
        <v>13203</v>
      </c>
      <c r="D1538">
        <v>2017</v>
      </c>
      <c r="E1538" t="s">
        <v>383</v>
      </c>
      <c r="F1538" t="s">
        <v>13226</v>
      </c>
    </row>
    <row r="1539" spans="1:6" x14ac:dyDescent="0.25">
      <c r="A1539" t="s">
        <v>13227</v>
      </c>
      <c r="B1539" t="s">
        <v>13202</v>
      </c>
      <c r="C1539" t="s">
        <v>13203</v>
      </c>
      <c r="D1539">
        <v>2017</v>
      </c>
      <c r="E1539" t="s">
        <v>383</v>
      </c>
      <c r="F1539" t="s">
        <v>13228</v>
      </c>
    </row>
    <row r="1540" spans="1:6" x14ac:dyDescent="0.25">
      <c r="A1540" t="s">
        <v>13229</v>
      </c>
      <c r="B1540" t="s">
        <v>13202</v>
      </c>
      <c r="C1540" t="s">
        <v>13203</v>
      </c>
      <c r="D1540">
        <v>2017</v>
      </c>
      <c r="E1540" t="s">
        <v>383</v>
      </c>
      <c r="F1540" t="s">
        <v>13230</v>
      </c>
    </row>
    <row r="1541" spans="1:6" x14ac:dyDescent="0.25">
      <c r="A1541" t="s">
        <v>13231</v>
      </c>
      <c r="B1541" t="s">
        <v>13202</v>
      </c>
      <c r="C1541" t="s">
        <v>13203</v>
      </c>
      <c r="D1541">
        <v>2017</v>
      </c>
      <c r="E1541" t="s">
        <v>383</v>
      </c>
      <c r="F1541" t="s">
        <v>13232</v>
      </c>
    </row>
    <row r="1542" spans="1:6" x14ac:dyDescent="0.25">
      <c r="A1542" t="s">
        <v>13233</v>
      </c>
      <c r="B1542" t="s">
        <v>13202</v>
      </c>
      <c r="C1542" t="s">
        <v>13203</v>
      </c>
      <c r="D1542">
        <v>2017</v>
      </c>
      <c r="E1542" t="s">
        <v>383</v>
      </c>
      <c r="F1542" t="s">
        <v>13234</v>
      </c>
    </row>
    <row r="1543" spans="1:6" x14ac:dyDescent="0.25">
      <c r="A1543" t="s">
        <v>13235</v>
      </c>
      <c r="B1543" t="s">
        <v>13202</v>
      </c>
      <c r="C1543" t="s">
        <v>13203</v>
      </c>
      <c r="D1543">
        <v>2017</v>
      </c>
      <c r="E1543" t="s">
        <v>383</v>
      </c>
      <c r="F1543" t="s">
        <v>13236</v>
      </c>
    </row>
    <row r="1544" spans="1:6" x14ac:dyDescent="0.25">
      <c r="A1544" t="s">
        <v>13237</v>
      </c>
      <c r="B1544" t="s">
        <v>13202</v>
      </c>
      <c r="C1544" t="s">
        <v>13203</v>
      </c>
      <c r="D1544">
        <v>2017</v>
      </c>
      <c r="E1544" t="s">
        <v>383</v>
      </c>
      <c r="F1544" t="s">
        <v>13238</v>
      </c>
    </row>
    <row r="1545" spans="1:6" x14ac:dyDescent="0.25">
      <c r="A1545" t="s">
        <v>13239</v>
      </c>
      <c r="B1545" t="s">
        <v>13202</v>
      </c>
      <c r="C1545" t="s">
        <v>13203</v>
      </c>
      <c r="D1545">
        <v>2017</v>
      </c>
      <c r="E1545" t="s">
        <v>383</v>
      </c>
      <c r="F1545" t="s">
        <v>13240</v>
      </c>
    </row>
    <row r="1546" spans="1:6" x14ac:dyDescent="0.25">
      <c r="A1546" t="s">
        <v>13241</v>
      </c>
      <c r="B1546" t="s">
        <v>13202</v>
      </c>
      <c r="C1546" t="s">
        <v>13203</v>
      </c>
      <c r="D1546">
        <v>2017</v>
      </c>
      <c r="E1546" t="s">
        <v>383</v>
      </c>
      <c r="F1546" t="s">
        <v>13242</v>
      </c>
    </row>
    <row r="1547" spans="1:6" x14ac:dyDescent="0.25">
      <c r="A1547" t="s">
        <v>13243</v>
      </c>
      <c r="B1547" t="s">
        <v>13202</v>
      </c>
      <c r="C1547" t="s">
        <v>13203</v>
      </c>
      <c r="D1547">
        <v>2017</v>
      </c>
      <c r="E1547" t="s">
        <v>383</v>
      </c>
      <c r="F1547" t="s">
        <v>13244</v>
      </c>
    </row>
    <row r="1548" spans="1:6" x14ac:dyDescent="0.25">
      <c r="A1548" t="s">
        <v>13245</v>
      </c>
      <c r="B1548" t="s">
        <v>13202</v>
      </c>
      <c r="C1548" t="s">
        <v>13203</v>
      </c>
      <c r="D1548">
        <v>2017</v>
      </c>
      <c r="E1548" t="s">
        <v>383</v>
      </c>
      <c r="F1548" t="s">
        <v>13246</v>
      </c>
    </row>
    <row r="1549" spans="1:6" x14ac:dyDescent="0.25">
      <c r="A1549" t="s">
        <v>13247</v>
      </c>
      <c r="B1549" t="s">
        <v>13202</v>
      </c>
      <c r="C1549" t="s">
        <v>13203</v>
      </c>
      <c r="D1549">
        <v>2017</v>
      </c>
      <c r="E1549" t="s">
        <v>383</v>
      </c>
      <c r="F1549" t="s">
        <v>13248</v>
      </c>
    </row>
    <row r="1550" spans="1:6" x14ac:dyDescent="0.25">
      <c r="A1550" t="s">
        <v>13249</v>
      </c>
      <c r="B1550" t="s">
        <v>13202</v>
      </c>
      <c r="C1550" t="s">
        <v>13203</v>
      </c>
      <c r="D1550">
        <v>2017</v>
      </c>
      <c r="E1550" t="s">
        <v>383</v>
      </c>
      <c r="F1550" t="s">
        <v>13250</v>
      </c>
    </row>
    <row r="1551" spans="1:6" x14ac:dyDescent="0.25">
      <c r="A1551" t="s">
        <v>13251</v>
      </c>
      <c r="B1551" t="s">
        <v>13202</v>
      </c>
      <c r="C1551" t="s">
        <v>13203</v>
      </c>
      <c r="D1551">
        <v>2017</v>
      </c>
      <c r="E1551" t="s">
        <v>383</v>
      </c>
      <c r="F1551" t="s">
        <v>13252</v>
      </c>
    </row>
    <row r="1552" spans="1:6" x14ac:dyDescent="0.25">
      <c r="A1552" t="s">
        <v>13253</v>
      </c>
      <c r="B1552" t="s">
        <v>13202</v>
      </c>
      <c r="C1552" t="s">
        <v>13203</v>
      </c>
      <c r="D1552">
        <v>2017</v>
      </c>
      <c r="E1552" t="s">
        <v>383</v>
      </c>
      <c r="F1552" t="s">
        <v>13254</v>
      </c>
    </row>
    <row r="1553" spans="1:7" x14ac:dyDescent="0.25">
      <c r="A1553" t="s">
        <v>13255</v>
      </c>
      <c r="B1553" t="s">
        <v>13202</v>
      </c>
      <c r="C1553" t="s">
        <v>13203</v>
      </c>
      <c r="D1553">
        <v>2017</v>
      </c>
      <c r="E1553" t="s">
        <v>383</v>
      </c>
      <c r="F1553" t="s">
        <v>13256</v>
      </c>
    </row>
    <row r="1554" spans="1:7" x14ac:dyDescent="0.25">
      <c r="A1554" t="s">
        <v>13257</v>
      </c>
      <c r="B1554" t="s">
        <v>13202</v>
      </c>
      <c r="C1554" t="s">
        <v>13203</v>
      </c>
      <c r="D1554">
        <v>2017</v>
      </c>
      <c r="E1554" t="s">
        <v>383</v>
      </c>
      <c r="F1554" t="s">
        <v>13258</v>
      </c>
    </row>
    <row r="1555" spans="1:7" x14ac:dyDescent="0.25">
      <c r="A1555" t="s">
        <v>13259</v>
      </c>
      <c r="B1555" t="s">
        <v>13202</v>
      </c>
      <c r="C1555" t="s">
        <v>13203</v>
      </c>
      <c r="D1555">
        <v>2017</v>
      </c>
      <c r="E1555" t="s">
        <v>383</v>
      </c>
      <c r="F1555" t="s">
        <v>13260</v>
      </c>
    </row>
    <row r="1556" spans="1:7" x14ac:dyDescent="0.25">
      <c r="A1556" t="s">
        <v>13261</v>
      </c>
      <c r="B1556" t="s">
        <v>13202</v>
      </c>
      <c r="C1556" t="s">
        <v>13203</v>
      </c>
      <c r="D1556">
        <v>2017</v>
      </c>
      <c r="E1556" t="s">
        <v>383</v>
      </c>
      <c r="F1556" t="s">
        <v>13262</v>
      </c>
    </row>
    <row r="1557" spans="1:7" x14ac:dyDescent="0.25">
      <c r="A1557" t="s">
        <v>13263</v>
      </c>
      <c r="B1557" t="s">
        <v>13264</v>
      </c>
      <c r="C1557" t="s">
        <v>13265</v>
      </c>
      <c r="D1557">
        <v>2023</v>
      </c>
      <c r="E1557" t="s">
        <v>750</v>
      </c>
      <c r="F1557" t="s">
        <v>13266</v>
      </c>
      <c r="G1557" t="s">
        <v>10044</v>
      </c>
    </row>
    <row r="1558" spans="1:7" x14ac:dyDescent="0.25">
      <c r="A1558" t="s">
        <v>13267</v>
      </c>
      <c r="B1558" t="s">
        <v>13264</v>
      </c>
      <c r="C1558" t="s">
        <v>13265</v>
      </c>
      <c r="D1558">
        <v>2023</v>
      </c>
      <c r="E1558" t="s">
        <v>750</v>
      </c>
      <c r="F1558" t="s">
        <v>13268</v>
      </c>
    </row>
    <row r="1559" spans="1:7" x14ac:dyDescent="0.25">
      <c r="A1559" t="s">
        <v>13269</v>
      </c>
      <c r="B1559" t="s">
        <v>13264</v>
      </c>
      <c r="C1559" t="s">
        <v>13265</v>
      </c>
      <c r="D1559">
        <v>2023</v>
      </c>
      <c r="E1559" t="s">
        <v>750</v>
      </c>
      <c r="F1559" t="s">
        <v>13270</v>
      </c>
    </row>
    <row r="1560" spans="1:7" x14ac:dyDescent="0.25">
      <c r="A1560" t="s">
        <v>13271</v>
      </c>
      <c r="B1560" t="s">
        <v>13264</v>
      </c>
      <c r="C1560" t="s">
        <v>13265</v>
      </c>
      <c r="D1560">
        <v>2023</v>
      </c>
      <c r="E1560" t="s">
        <v>750</v>
      </c>
      <c r="F1560" t="s">
        <v>13272</v>
      </c>
    </row>
    <row r="1561" spans="1:7" x14ac:dyDescent="0.25">
      <c r="A1561" t="s">
        <v>13273</v>
      </c>
      <c r="B1561" t="s">
        <v>13264</v>
      </c>
      <c r="C1561" t="s">
        <v>13265</v>
      </c>
      <c r="D1561">
        <v>2023</v>
      </c>
      <c r="E1561" t="s">
        <v>750</v>
      </c>
      <c r="F1561" t="s">
        <v>13274</v>
      </c>
    </row>
    <row r="1562" spans="1:7" x14ac:dyDescent="0.25">
      <c r="A1562" t="s">
        <v>13275</v>
      </c>
      <c r="B1562" t="s">
        <v>13264</v>
      </c>
      <c r="C1562" t="s">
        <v>13265</v>
      </c>
      <c r="D1562">
        <v>2023</v>
      </c>
      <c r="E1562" t="s">
        <v>750</v>
      </c>
      <c r="F1562" t="s">
        <v>13276</v>
      </c>
    </row>
    <row r="1563" spans="1:7" x14ac:dyDescent="0.25">
      <c r="A1563" t="s">
        <v>13277</v>
      </c>
      <c r="B1563" t="s">
        <v>13264</v>
      </c>
      <c r="C1563" t="s">
        <v>13265</v>
      </c>
      <c r="D1563">
        <v>2023</v>
      </c>
      <c r="E1563" t="s">
        <v>750</v>
      </c>
      <c r="F1563" t="s">
        <v>13278</v>
      </c>
    </row>
    <row r="1564" spans="1:7" x14ac:dyDescent="0.25">
      <c r="A1564" t="s">
        <v>13279</v>
      </c>
      <c r="B1564" t="s">
        <v>13264</v>
      </c>
      <c r="C1564" t="s">
        <v>13265</v>
      </c>
      <c r="D1564">
        <v>2023</v>
      </c>
      <c r="E1564" t="s">
        <v>750</v>
      </c>
      <c r="F1564" t="s">
        <v>13280</v>
      </c>
    </row>
    <row r="1565" spans="1:7" x14ac:dyDescent="0.25">
      <c r="A1565" t="s">
        <v>13281</v>
      </c>
      <c r="B1565" t="s">
        <v>13264</v>
      </c>
      <c r="C1565" t="s">
        <v>13265</v>
      </c>
      <c r="D1565">
        <v>2023</v>
      </c>
      <c r="E1565" t="s">
        <v>750</v>
      </c>
      <c r="F1565" t="s">
        <v>13282</v>
      </c>
    </row>
    <row r="1566" spans="1:7" x14ac:dyDescent="0.25">
      <c r="A1566" t="s">
        <v>13283</v>
      </c>
      <c r="B1566" t="s">
        <v>13264</v>
      </c>
      <c r="C1566" t="s">
        <v>13265</v>
      </c>
      <c r="D1566">
        <v>2023</v>
      </c>
      <c r="E1566" t="s">
        <v>750</v>
      </c>
      <c r="F1566" t="s">
        <v>13284</v>
      </c>
    </row>
    <row r="1567" spans="1:7" x14ac:dyDescent="0.25">
      <c r="A1567" t="s">
        <v>13285</v>
      </c>
      <c r="B1567" t="s">
        <v>13264</v>
      </c>
      <c r="C1567" t="s">
        <v>13265</v>
      </c>
      <c r="D1567">
        <v>2023</v>
      </c>
      <c r="E1567" t="s">
        <v>750</v>
      </c>
      <c r="F1567" t="s">
        <v>13286</v>
      </c>
    </row>
    <row r="1568" spans="1:7" x14ac:dyDescent="0.25">
      <c r="A1568" t="s">
        <v>13287</v>
      </c>
      <c r="B1568" t="s">
        <v>13264</v>
      </c>
      <c r="C1568" t="s">
        <v>13265</v>
      </c>
      <c r="D1568">
        <v>2023</v>
      </c>
      <c r="E1568" t="s">
        <v>750</v>
      </c>
      <c r="F1568" t="s">
        <v>13288</v>
      </c>
    </row>
    <row r="1569" spans="1:6" x14ac:dyDescent="0.25">
      <c r="A1569" t="s">
        <v>13289</v>
      </c>
      <c r="B1569" t="s">
        <v>13264</v>
      </c>
      <c r="C1569" t="s">
        <v>13265</v>
      </c>
      <c r="D1569">
        <v>2023</v>
      </c>
      <c r="E1569" t="s">
        <v>750</v>
      </c>
      <c r="F1569" t="s">
        <v>13290</v>
      </c>
    </row>
    <row r="1570" spans="1:6" x14ac:dyDescent="0.25">
      <c r="A1570" t="s">
        <v>13291</v>
      </c>
      <c r="B1570" t="s">
        <v>13264</v>
      </c>
      <c r="C1570" t="s">
        <v>13265</v>
      </c>
      <c r="D1570">
        <v>2023</v>
      </c>
      <c r="E1570" t="s">
        <v>750</v>
      </c>
      <c r="F1570" t="s">
        <v>13292</v>
      </c>
    </row>
    <row r="1571" spans="1:6" x14ac:dyDescent="0.25">
      <c r="A1571" t="s">
        <v>13293</v>
      </c>
      <c r="B1571" t="s">
        <v>13264</v>
      </c>
      <c r="C1571" t="s">
        <v>13265</v>
      </c>
      <c r="D1571">
        <v>2023</v>
      </c>
      <c r="E1571" t="s">
        <v>750</v>
      </c>
      <c r="F1571" t="s">
        <v>13294</v>
      </c>
    </row>
    <row r="1572" spans="1:6" x14ac:dyDescent="0.25">
      <c r="A1572" t="s">
        <v>13295</v>
      </c>
      <c r="B1572" t="s">
        <v>13264</v>
      </c>
      <c r="C1572" t="s">
        <v>13265</v>
      </c>
      <c r="D1572">
        <v>2023</v>
      </c>
      <c r="E1572" t="s">
        <v>750</v>
      </c>
      <c r="F1572" t="s">
        <v>13296</v>
      </c>
    </row>
    <row r="1573" spans="1:6" x14ac:dyDescent="0.25">
      <c r="A1573" t="s">
        <v>13297</v>
      </c>
      <c r="B1573" t="s">
        <v>13264</v>
      </c>
      <c r="C1573" t="s">
        <v>13265</v>
      </c>
      <c r="D1573">
        <v>2023</v>
      </c>
      <c r="E1573" t="s">
        <v>750</v>
      </c>
      <c r="F1573" t="s">
        <v>13298</v>
      </c>
    </row>
    <row r="1574" spans="1:6" x14ac:dyDescent="0.25">
      <c r="A1574" t="s">
        <v>13299</v>
      </c>
      <c r="B1574" t="s">
        <v>13264</v>
      </c>
      <c r="C1574" t="s">
        <v>13265</v>
      </c>
      <c r="D1574">
        <v>2023</v>
      </c>
      <c r="E1574" t="s">
        <v>750</v>
      </c>
      <c r="F1574" t="s">
        <v>13300</v>
      </c>
    </row>
    <row r="1575" spans="1:6" x14ac:dyDescent="0.25">
      <c r="A1575" t="s">
        <v>13301</v>
      </c>
      <c r="B1575" t="s">
        <v>13264</v>
      </c>
      <c r="C1575" t="s">
        <v>13265</v>
      </c>
      <c r="D1575">
        <v>2023</v>
      </c>
      <c r="E1575" t="s">
        <v>750</v>
      </c>
      <c r="F1575" t="s">
        <v>13302</v>
      </c>
    </row>
    <row r="1576" spans="1:6" x14ac:dyDescent="0.25">
      <c r="A1576" t="s">
        <v>13303</v>
      </c>
      <c r="B1576" t="s">
        <v>13264</v>
      </c>
      <c r="C1576" t="s">
        <v>13265</v>
      </c>
      <c r="D1576">
        <v>2023</v>
      </c>
      <c r="E1576" t="s">
        <v>750</v>
      </c>
      <c r="F1576" t="s">
        <v>13304</v>
      </c>
    </row>
    <row r="1577" spans="1:6" x14ac:dyDescent="0.25">
      <c r="A1577" t="s">
        <v>13305</v>
      </c>
      <c r="B1577" t="s">
        <v>13264</v>
      </c>
      <c r="C1577" t="s">
        <v>13265</v>
      </c>
      <c r="D1577">
        <v>2023</v>
      </c>
      <c r="E1577" t="s">
        <v>750</v>
      </c>
      <c r="F1577" t="s">
        <v>13306</v>
      </c>
    </row>
    <row r="1578" spans="1:6" x14ac:dyDescent="0.25">
      <c r="A1578" t="s">
        <v>13307</v>
      </c>
      <c r="B1578" t="s">
        <v>13264</v>
      </c>
      <c r="C1578" t="s">
        <v>13265</v>
      </c>
      <c r="D1578">
        <v>2023</v>
      </c>
      <c r="E1578" t="s">
        <v>750</v>
      </c>
      <c r="F1578" t="s">
        <v>13308</v>
      </c>
    </row>
    <row r="1579" spans="1:6" x14ac:dyDescent="0.25">
      <c r="A1579" t="s">
        <v>13309</v>
      </c>
      <c r="B1579" t="s">
        <v>13264</v>
      </c>
      <c r="C1579" t="s">
        <v>13265</v>
      </c>
      <c r="D1579">
        <v>2023</v>
      </c>
      <c r="E1579" t="s">
        <v>750</v>
      </c>
      <c r="F1579" t="s">
        <v>13310</v>
      </c>
    </row>
    <row r="1580" spans="1:6" x14ac:dyDescent="0.25">
      <c r="A1580" t="s">
        <v>13311</v>
      </c>
      <c r="B1580" t="s">
        <v>13264</v>
      </c>
      <c r="C1580" t="s">
        <v>13265</v>
      </c>
      <c r="D1580">
        <v>2023</v>
      </c>
      <c r="E1580" t="s">
        <v>750</v>
      </c>
      <c r="F1580" t="s">
        <v>13312</v>
      </c>
    </row>
    <row r="1581" spans="1:6" x14ac:dyDescent="0.25">
      <c r="A1581" t="s">
        <v>13313</v>
      </c>
      <c r="B1581" t="s">
        <v>13314</v>
      </c>
      <c r="C1581" t="s">
        <v>13315</v>
      </c>
      <c r="D1581">
        <v>2025</v>
      </c>
      <c r="E1581" t="s">
        <v>750</v>
      </c>
      <c r="F1581" t="s">
        <v>13316</v>
      </c>
    </row>
    <row r="1582" spans="1:6" x14ac:dyDescent="0.25">
      <c r="A1582" t="s">
        <v>13317</v>
      </c>
      <c r="B1582" t="s">
        <v>13314</v>
      </c>
      <c r="C1582" t="s">
        <v>13315</v>
      </c>
      <c r="D1582">
        <v>2025</v>
      </c>
      <c r="E1582" t="s">
        <v>750</v>
      </c>
      <c r="F1582" t="s">
        <v>13318</v>
      </c>
    </row>
    <row r="1583" spans="1:6" x14ac:dyDescent="0.25">
      <c r="A1583" t="s">
        <v>13319</v>
      </c>
      <c r="B1583" t="s">
        <v>13264</v>
      </c>
      <c r="C1583" t="s">
        <v>13315</v>
      </c>
      <c r="D1583">
        <v>2025</v>
      </c>
      <c r="E1583" t="s">
        <v>750</v>
      </c>
      <c r="F1583" t="s">
        <v>13320</v>
      </c>
    </row>
    <row r="1584" spans="1:6" x14ac:dyDescent="0.25">
      <c r="A1584" t="s">
        <v>13321</v>
      </c>
      <c r="B1584" t="s">
        <v>13264</v>
      </c>
      <c r="C1584" t="s">
        <v>13315</v>
      </c>
      <c r="D1584">
        <v>2025</v>
      </c>
      <c r="E1584" t="s">
        <v>750</v>
      </c>
      <c r="F1584" t="s">
        <v>13322</v>
      </c>
    </row>
    <row r="1585" spans="1:6" x14ac:dyDescent="0.25">
      <c r="A1585" t="s">
        <v>746</v>
      </c>
      <c r="B1585" t="s">
        <v>13264</v>
      </c>
      <c r="C1585" t="s">
        <v>13323</v>
      </c>
      <c r="D1585">
        <v>2019</v>
      </c>
      <c r="E1585" t="s">
        <v>746</v>
      </c>
      <c r="F1585" t="s">
        <v>13324</v>
      </c>
    </row>
    <row r="1586" spans="1:6" x14ac:dyDescent="0.25">
      <c r="A1586" t="s">
        <v>13325</v>
      </c>
      <c r="B1586" t="s">
        <v>13264</v>
      </c>
      <c r="C1586" t="s">
        <v>13323</v>
      </c>
      <c r="D1586">
        <v>2019</v>
      </c>
      <c r="E1586" t="s">
        <v>746</v>
      </c>
      <c r="F1586" t="s">
        <v>13326</v>
      </c>
    </row>
    <row r="1587" spans="1:6" x14ac:dyDescent="0.25">
      <c r="A1587" t="s">
        <v>13327</v>
      </c>
      <c r="B1587" t="s">
        <v>13264</v>
      </c>
      <c r="C1587" t="s">
        <v>13323</v>
      </c>
      <c r="D1587">
        <v>2019</v>
      </c>
      <c r="E1587" t="s">
        <v>746</v>
      </c>
      <c r="F1587" t="s">
        <v>13328</v>
      </c>
    </row>
    <row r="1588" spans="1:6" x14ac:dyDescent="0.25">
      <c r="A1588" t="s">
        <v>13329</v>
      </c>
      <c r="B1588" t="s">
        <v>13264</v>
      </c>
      <c r="C1588" t="s">
        <v>13323</v>
      </c>
      <c r="D1588">
        <v>2019</v>
      </c>
      <c r="E1588" t="s">
        <v>746</v>
      </c>
      <c r="F1588" t="s">
        <v>13330</v>
      </c>
    </row>
    <row r="1589" spans="1:6" x14ac:dyDescent="0.25">
      <c r="A1589" t="s">
        <v>13331</v>
      </c>
      <c r="B1589" t="s">
        <v>13264</v>
      </c>
      <c r="C1589" t="s">
        <v>13323</v>
      </c>
      <c r="D1589">
        <v>2019</v>
      </c>
      <c r="E1589" t="s">
        <v>746</v>
      </c>
      <c r="F1589" t="s">
        <v>13332</v>
      </c>
    </row>
    <row r="1590" spans="1:6" x14ac:dyDescent="0.25">
      <c r="A1590" t="s">
        <v>13333</v>
      </c>
      <c r="B1590" t="s">
        <v>13264</v>
      </c>
      <c r="C1590" t="s">
        <v>13323</v>
      </c>
      <c r="D1590">
        <v>2019</v>
      </c>
      <c r="E1590" t="s">
        <v>746</v>
      </c>
      <c r="F1590" t="s">
        <v>13334</v>
      </c>
    </row>
    <row r="1591" spans="1:6" x14ac:dyDescent="0.25">
      <c r="A1591" t="s">
        <v>13335</v>
      </c>
      <c r="B1591" t="s">
        <v>13264</v>
      </c>
      <c r="C1591" t="s">
        <v>13323</v>
      </c>
      <c r="D1591">
        <v>2019</v>
      </c>
      <c r="E1591" t="s">
        <v>746</v>
      </c>
      <c r="F1591" t="s">
        <v>13336</v>
      </c>
    </row>
    <row r="1592" spans="1:6" x14ac:dyDescent="0.25">
      <c r="A1592" t="s">
        <v>13337</v>
      </c>
      <c r="B1592" t="s">
        <v>13264</v>
      </c>
      <c r="C1592" t="s">
        <v>13323</v>
      </c>
      <c r="D1592">
        <v>2019</v>
      </c>
      <c r="E1592" t="s">
        <v>746</v>
      </c>
      <c r="F1592" t="s">
        <v>13338</v>
      </c>
    </row>
    <row r="1593" spans="1:6" x14ac:dyDescent="0.25">
      <c r="A1593" t="s">
        <v>13339</v>
      </c>
      <c r="B1593" t="s">
        <v>13264</v>
      </c>
      <c r="C1593" t="s">
        <v>13323</v>
      </c>
      <c r="D1593">
        <v>2019</v>
      </c>
      <c r="E1593" t="s">
        <v>746</v>
      </c>
      <c r="F1593" t="s">
        <v>13340</v>
      </c>
    </row>
    <row r="1594" spans="1:6" x14ac:dyDescent="0.25">
      <c r="A1594" t="s">
        <v>13341</v>
      </c>
      <c r="B1594" t="s">
        <v>13264</v>
      </c>
      <c r="C1594" t="s">
        <v>13323</v>
      </c>
      <c r="D1594">
        <v>2019</v>
      </c>
      <c r="E1594" t="s">
        <v>746</v>
      </c>
      <c r="F1594" t="s">
        <v>13342</v>
      </c>
    </row>
    <row r="1595" spans="1:6" x14ac:dyDescent="0.25">
      <c r="A1595" t="s">
        <v>13343</v>
      </c>
      <c r="B1595" t="s">
        <v>13264</v>
      </c>
      <c r="C1595" t="s">
        <v>13323</v>
      </c>
      <c r="D1595">
        <v>2019</v>
      </c>
      <c r="E1595" t="s">
        <v>746</v>
      </c>
      <c r="F1595" t="s">
        <v>13344</v>
      </c>
    </row>
    <row r="1596" spans="1:6" x14ac:dyDescent="0.25">
      <c r="A1596" t="s">
        <v>13345</v>
      </c>
      <c r="B1596" t="s">
        <v>13264</v>
      </c>
      <c r="C1596" t="s">
        <v>13323</v>
      </c>
      <c r="D1596">
        <v>2019</v>
      </c>
      <c r="E1596" t="s">
        <v>746</v>
      </c>
      <c r="F1596" t="s">
        <v>13346</v>
      </c>
    </row>
    <row r="1597" spans="1:6" x14ac:dyDescent="0.25">
      <c r="A1597" t="s">
        <v>13347</v>
      </c>
      <c r="B1597" t="s">
        <v>13264</v>
      </c>
      <c r="C1597" t="s">
        <v>13323</v>
      </c>
      <c r="D1597">
        <v>2019</v>
      </c>
      <c r="E1597" t="s">
        <v>746</v>
      </c>
      <c r="F1597" t="s">
        <v>13348</v>
      </c>
    </row>
    <row r="1598" spans="1:6" x14ac:dyDescent="0.25">
      <c r="A1598" t="s">
        <v>13349</v>
      </c>
      <c r="B1598" t="s">
        <v>13264</v>
      </c>
      <c r="C1598" t="s">
        <v>13323</v>
      </c>
      <c r="D1598">
        <v>2019</v>
      </c>
      <c r="E1598" t="s">
        <v>746</v>
      </c>
      <c r="F1598" t="s">
        <v>13350</v>
      </c>
    </row>
    <row r="1599" spans="1:6" x14ac:dyDescent="0.25">
      <c r="A1599" t="s">
        <v>13351</v>
      </c>
      <c r="B1599" t="s">
        <v>13264</v>
      </c>
      <c r="C1599" t="s">
        <v>13323</v>
      </c>
      <c r="D1599">
        <v>2019</v>
      </c>
      <c r="E1599" t="s">
        <v>746</v>
      </c>
      <c r="F1599" t="s">
        <v>13352</v>
      </c>
    </row>
    <row r="1600" spans="1:6" x14ac:dyDescent="0.25">
      <c r="A1600" t="s">
        <v>13353</v>
      </c>
      <c r="B1600" t="s">
        <v>13264</v>
      </c>
      <c r="C1600" t="s">
        <v>13323</v>
      </c>
      <c r="D1600">
        <v>2019</v>
      </c>
      <c r="E1600" t="s">
        <v>746</v>
      </c>
      <c r="F1600" t="s">
        <v>13354</v>
      </c>
    </row>
    <row r="1601" spans="1:6" x14ac:dyDescent="0.25">
      <c r="A1601" t="s">
        <v>13355</v>
      </c>
      <c r="B1601" t="s">
        <v>13264</v>
      </c>
      <c r="C1601" t="s">
        <v>13323</v>
      </c>
      <c r="D1601">
        <v>2019</v>
      </c>
      <c r="E1601" t="s">
        <v>746</v>
      </c>
      <c r="F1601" t="s">
        <v>13356</v>
      </c>
    </row>
    <row r="1602" spans="1:6" x14ac:dyDescent="0.25">
      <c r="A1602" t="s">
        <v>13357</v>
      </c>
      <c r="B1602" t="s">
        <v>13264</v>
      </c>
      <c r="C1602" t="s">
        <v>13323</v>
      </c>
      <c r="D1602">
        <v>2019</v>
      </c>
      <c r="E1602" t="s">
        <v>746</v>
      </c>
      <c r="F1602" t="s">
        <v>13358</v>
      </c>
    </row>
    <row r="1603" spans="1:6" x14ac:dyDescent="0.25">
      <c r="A1603" t="s">
        <v>13359</v>
      </c>
      <c r="B1603" t="s">
        <v>13264</v>
      </c>
      <c r="C1603" t="s">
        <v>13323</v>
      </c>
      <c r="D1603">
        <v>2019</v>
      </c>
      <c r="E1603" t="s">
        <v>746</v>
      </c>
      <c r="F1603" t="s">
        <v>13360</v>
      </c>
    </row>
    <row r="1604" spans="1:6" x14ac:dyDescent="0.25">
      <c r="A1604" t="s">
        <v>13361</v>
      </c>
      <c r="B1604" t="s">
        <v>13264</v>
      </c>
      <c r="C1604" t="s">
        <v>13323</v>
      </c>
      <c r="D1604">
        <v>2019</v>
      </c>
      <c r="E1604" t="s">
        <v>746</v>
      </c>
      <c r="F1604" t="s">
        <v>13362</v>
      </c>
    </row>
    <row r="1605" spans="1:6" x14ac:dyDescent="0.25">
      <c r="A1605" t="s">
        <v>13363</v>
      </c>
      <c r="B1605" t="s">
        <v>13264</v>
      </c>
      <c r="C1605" t="s">
        <v>13323</v>
      </c>
      <c r="D1605">
        <v>2019</v>
      </c>
      <c r="E1605" t="s">
        <v>746</v>
      </c>
      <c r="F1605" t="s">
        <v>13364</v>
      </c>
    </row>
    <row r="1606" spans="1:6" x14ac:dyDescent="0.25">
      <c r="A1606" t="s">
        <v>13365</v>
      </c>
      <c r="B1606" t="s">
        <v>13264</v>
      </c>
      <c r="C1606" t="s">
        <v>13323</v>
      </c>
      <c r="D1606">
        <v>2019</v>
      </c>
      <c r="E1606" t="s">
        <v>746</v>
      </c>
      <c r="F1606" t="s">
        <v>13366</v>
      </c>
    </row>
    <row r="1607" spans="1:6" x14ac:dyDescent="0.25">
      <c r="A1607" t="s">
        <v>13367</v>
      </c>
      <c r="B1607" t="s">
        <v>13264</v>
      </c>
      <c r="C1607" t="s">
        <v>13323</v>
      </c>
      <c r="D1607">
        <v>2019</v>
      </c>
      <c r="E1607" t="s">
        <v>746</v>
      </c>
      <c r="F1607" t="s">
        <v>13368</v>
      </c>
    </row>
    <row r="1608" spans="1:6" x14ac:dyDescent="0.25">
      <c r="A1608" t="s">
        <v>763</v>
      </c>
      <c r="B1608" t="s">
        <v>13369</v>
      </c>
      <c r="C1608" t="s">
        <v>13370</v>
      </c>
      <c r="D1608">
        <v>2021</v>
      </c>
      <c r="E1608" t="s">
        <v>763</v>
      </c>
      <c r="F1608" t="s">
        <v>13371</v>
      </c>
    </row>
    <row r="1609" spans="1:6" x14ac:dyDescent="0.25">
      <c r="A1609" t="s">
        <v>13372</v>
      </c>
      <c r="B1609" t="s">
        <v>13369</v>
      </c>
      <c r="C1609" t="s">
        <v>13370</v>
      </c>
      <c r="D1609">
        <v>2021</v>
      </c>
      <c r="E1609" t="s">
        <v>763</v>
      </c>
      <c r="F1609" t="s">
        <v>13373</v>
      </c>
    </row>
    <row r="1610" spans="1:6" x14ac:dyDescent="0.25">
      <c r="A1610" t="s">
        <v>13374</v>
      </c>
      <c r="B1610" t="s">
        <v>13369</v>
      </c>
      <c r="C1610" t="s">
        <v>13370</v>
      </c>
      <c r="D1610">
        <v>2021</v>
      </c>
      <c r="E1610" t="s">
        <v>763</v>
      </c>
      <c r="F1610" t="s">
        <v>13375</v>
      </c>
    </row>
    <row r="1611" spans="1:6" x14ac:dyDescent="0.25">
      <c r="A1611" t="s">
        <v>13376</v>
      </c>
      <c r="B1611" t="s">
        <v>13369</v>
      </c>
      <c r="C1611" t="s">
        <v>13370</v>
      </c>
      <c r="D1611">
        <v>2021</v>
      </c>
      <c r="E1611" t="s">
        <v>763</v>
      </c>
      <c r="F1611" t="s">
        <v>13377</v>
      </c>
    </row>
    <row r="1612" spans="1:6" x14ac:dyDescent="0.25">
      <c r="A1612" t="s">
        <v>13378</v>
      </c>
      <c r="B1612" t="s">
        <v>13369</v>
      </c>
      <c r="C1612" t="s">
        <v>13370</v>
      </c>
      <c r="D1612">
        <v>2021</v>
      </c>
      <c r="E1612" t="s">
        <v>763</v>
      </c>
      <c r="F1612" t="s">
        <v>13379</v>
      </c>
    </row>
    <row r="1613" spans="1:6" x14ac:dyDescent="0.25">
      <c r="A1613" t="s">
        <v>13380</v>
      </c>
      <c r="B1613" t="s">
        <v>13369</v>
      </c>
      <c r="C1613" t="s">
        <v>13370</v>
      </c>
      <c r="D1613">
        <v>2021</v>
      </c>
      <c r="E1613" t="s">
        <v>763</v>
      </c>
      <c r="F1613" t="s">
        <v>13381</v>
      </c>
    </row>
    <row r="1614" spans="1:6" x14ac:dyDescent="0.25">
      <c r="A1614" t="s">
        <v>13382</v>
      </c>
      <c r="B1614" t="s">
        <v>13369</v>
      </c>
      <c r="C1614" t="s">
        <v>13370</v>
      </c>
      <c r="D1614">
        <v>2021</v>
      </c>
      <c r="E1614" t="s">
        <v>763</v>
      </c>
      <c r="F1614" t="s">
        <v>13383</v>
      </c>
    </row>
    <row r="1615" spans="1:6" x14ac:dyDescent="0.25">
      <c r="A1615" t="s">
        <v>13384</v>
      </c>
      <c r="B1615" t="s">
        <v>13369</v>
      </c>
      <c r="C1615" t="s">
        <v>13370</v>
      </c>
      <c r="D1615">
        <v>2021</v>
      </c>
      <c r="E1615" t="s">
        <v>763</v>
      </c>
      <c r="F1615" t="s">
        <v>13385</v>
      </c>
    </row>
    <row r="1616" spans="1:6" x14ac:dyDescent="0.25">
      <c r="A1616" t="s">
        <v>13386</v>
      </c>
      <c r="B1616" t="s">
        <v>13369</v>
      </c>
      <c r="C1616" t="s">
        <v>13370</v>
      </c>
      <c r="D1616">
        <v>2021</v>
      </c>
      <c r="E1616" t="s">
        <v>763</v>
      </c>
      <c r="F1616" t="s">
        <v>13387</v>
      </c>
    </row>
    <row r="1617" spans="1:6" x14ac:dyDescent="0.25">
      <c r="A1617" t="s">
        <v>13388</v>
      </c>
      <c r="B1617" t="s">
        <v>13369</v>
      </c>
      <c r="C1617" t="s">
        <v>13370</v>
      </c>
      <c r="D1617">
        <v>2021</v>
      </c>
      <c r="E1617" t="s">
        <v>763</v>
      </c>
      <c r="F1617" t="s">
        <v>13389</v>
      </c>
    </row>
    <row r="1618" spans="1:6" x14ac:dyDescent="0.25">
      <c r="A1618" t="s">
        <v>13390</v>
      </c>
      <c r="B1618" t="s">
        <v>13369</v>
      </c>
      <c r="C1618" t="s">
        <v>13370</v>
      </c>
      <c r="D1618">
        <v>2021</v>
      </c>
      <c r="E1618" t="s">
        <v>763</v>
      </c>
      <c r="F1618" t="s">
        <v>13391</v>
      </c>
    </row>
    <row r="1619" spans="1:6" x14ac:dyDescent="0.25">
      <c r="A1619" t="s">
        <v>13392</v>
      </c>
      <c r="B1619" t="s">
        <v>13369</v>
      </c>
      <c r="C1619" t="s">
        <v>13370</v>
      </c>
      <c r="D1619">
        <v>2021</v>
      </c>
      <c r="E1619" t="s">
        <v>763</v>
      </c>
      <c r="F1619" t="s">
        <v>13393</v>
      </c>
    </row>
    <row r="1620" spans="1:6" x14ac:dyDescent="0.25">
      <c r="A1620" t="s">
        <v>13394</v>
      </c>
      <c r="B1620" t="s">
        <v>13369</v>
      </c>
      <c r="C1620" t="s">
        <v>13370</v>
      </c>
      <c r="D1620">
        <v>2021</v>
      </c>
      <c r="E1620" t="s">
        <v>763</v>
      </c>
      <c r="F1620" t="s">
        <v>13395</v>
      </c>
    </row>
    <row r="1621" spans="1:6" x14ac:dyDescent="0.25">
      <c r="A1621" t="s">
        <v>13396</v>
      </c>
      <c r="B1621" t="s">
        <v>13369</v>
      </c>
      <c r="C1621" t="s">
        <v>13370</v>
      </c>
      <c r="D1621">
        <v>2021</v>
      </c>
      <c r="E1621" t="s">
        <v>763</v>
      </c>
      <c r="F1621" t="s">
        <v>13397</v>
      </c>
    </row>
    <row r="1622" spans="1:6" x14ac:dyDescent="0.25">
      <c r="A1622" t="s">
        <v>13398</v>
      </c>
      <c r="B1622" t="s">
        <v>13369</v>
      </c>
      <c r="C1622" t="s">
        <v>13370</v>
      </c>
      <c r="D1622">
        <v>2021</v>
      </c>
      <c r="E1622" t="s">
        <v>763</v>
      </c>
      <c r="F1622" t="s">
        <v>13399</v>
      </c>
    </row>
    <row r="1623" spans="1:6" x14ac:dyDescent="0.25">
      <c r="A1623" t="s">
        <v>13400</v>
      </c>
      <c r="B1623" t="s">
        <v>13369</v>
      </c>
      <c r="C1623" t="s">
        <v>13370</v>
      </c>
      <c r="D1623">
        <v>2021</v>
      </c>
      <c r="E1623" t="s">
        <v>763</v>
      </c>
      <c r="F1623" t="s">
        <v>13401</v>
      </c>
    </row>
    <row r="1624" spans="1:6" x14ac:dyDescent="0.25">
      <c r="A1624" t="s">
        <v>13402</v>
      </c>
      <c r="B1624" t="s">
        <v>13369</v>
      </c>
      <c r="C1624" t="s">
        <v>13370</v>
      </c>
      <c r="D1624">
        <v>2021</v>
      </c>
      <c r="E1624" t="s">
        <v>763</v>
      </c>
      <c r="F1624" t="s">
        <v>13403</v>
      </c>
    </row>
    <row r="1625" spans="1:6" x14ac:dyDescent="0.25">
      <c r="A1625" t="s">
        <v>13404</v>
      </c>
      <c r="B1625" t="s">
        <v>13369</v>
      </c>
      <c r="C1625" t="s">
        <v>13370</v>
      </c>
      <c r="D1625">
        <v>2021</v>
      </c>
      <c r="E1625" t="s">
        <v>763</v>
      </c>
      <c r="F1625" t="s">
        <v>13405</v>
      </c>
    </row>
    <row r="1626" spans="1:6" x14ac:dyDescent="0.25">
      <c r="A1626" t="s">
        <v>13406</v>
      </c>
      <c r="B1626" t="s">
        <v>13369</v>
      </c>
      <c r="C1626" t="s">
        <v>13370</v>
      </c>
      <c r="D1626">
        <v>2021</v>
      </c>
      <c r="E1626" t="s">
        <v>763</v>
      </c>
      <c r="F1626" t="s">
        <v>13407</v>
      </c>
    </row>
    <row r="1627" spans="1:6" x14ac:dyDescent="0.25">
      <c r="A1627" t="s">
        <v>13408</v>
      </c>
      <c r="B1627" t="s">
        <v>13369</v>
      </c>
      <c r="C1627" t="s">
        <v>13370</v>
      </c>
      <c r="D1627">
        <v>2021</v>
      </c>
      <c r="E1627" t="s">
        <v>763</v>
      </c>
      <c r="F1627" t="s">
        <v>13409</v>
      </c>
    </row>
    <row r="1628" spans="1:6" x14ac:dyDescent="0.25">
      <c r="A1628" t="s">
        <v>13410</v>
      </c>
      <c r="B1628" t="s">
        <v>13369</v>
      </c>
      <c r="C1628" t="s">
        <v>13370</v>
      </c>
      <c r="D1628">
        <v>2021</v>
      </c>
      <c r="E1628" t="s">
        <v>763</v>
      </c>
      <c r="F1628" t="s">
        <v>13411</v>
      </c>
    </row>
    <row r="1629" spans="1:6" x14ac:dyDescent="0.25">
      <c r="A1629" t="s">
        <v>13412</v>
      </c>
      <c r="B1629" t="s">
        <v>13369</v>
      </c>
      <c r="C1629" t="s">
        <v>13370</v>
      </c>
      <c r="D1629">
        <v>2021</v>
      </c>
      <c r="E1629" t="s">
        <v>763</v>
      </c>
      <c r="F1629" t="s">
        <v>13413</v>
      </c>
    </row>
    <row r="1630" spans="1:6" x14ac:dyDescent="0.25">
      <c r="A1630" t="s">
        <v>13414</v>
      </c>
      <c r="B1630" t="s">
        <v>13369</v>
      </c>
      <c r="C1630" t="s">
        <v>13370</v>
      </c>
      <c r="D1630">
        <v>2021</v>
      </c>
      <c r="E1630" t="s">
        <v>763</v>
      </c>
      <c r="F1630" t="s">
        <v>13415</v>
      </c>
    </row>
    <row r="1631" spans="1:6" x14ac:dyDescent="0.25">
      <c r="A1631" t="s">
        <v>13416</v>
      </c>
      <c r="B1631" t="s">
        <v>13369</v>
      </c>
      <c r="C1631" t="s">
        <v>13370</v>
      </c>
      <c r="D1631">
        <v>2021</v>
      </c>
      <c r="E1631" t="s">
        <v>763</v>
      </c>
      <c r="F1631" t="s">
        <v>13417</v>
      </c>
    </row>
    <row r="1632" spans="1:6" x14ac:dyDescent="0.25">
      <c r="A1632" t="s">
        <v>13418</v>
      </c>
      <c r="B1632" t="s">
        <v>13369</v>
      </c>
      <c r="C1632" t="s">
        <v>13370</v>
      </c>
      <c r="D1632">
        <v>2021</v>
      </c>
      <c r="E1632" t="s">
        <v>763</v>
      </c>
      <c r="F1632" t="s">
        <v>13419</v>
      </c>
    </row>
    <row r="1633" spans="1:6" x14ac:dyDescent="0.25">
      <c r="A1633" t="s">
        <v>13420</v>
      </c>
      <c r="B1633" t="s">
        <v>13369</v>
      </c>
      <c r="C1633" t="s">
        <v>13370</v>
      </c>
      <c r="D1633">
        <v>2021</v>
      </c>
      <c r="E1633" t="s">
        <v>763</v>
      </c>
      <c r="F1633" t="s">
        <v>13421</v>
      </c>
    </row>
    <row r="1634" spans="1:6" x14ac:dyDescent="0.25">
      <c r="A1634" t="s">
        <v>13422</v>
      </c>
      <c r="B1634" t="s">
        <v>13369</v>
      </c>
      <c r="C1634" t="s">
        <v>13370</v>
      </c>
      <c r="D1634">
        <v>2021</v>
      </c>
      <c r="E1634" t="s">
        <v>763</v>
      </c>
      <c r="F1634" t="s">
        <v>13423</v>
      </c>
    </row>
    <row r="1635" spans="1:6" x14ac:dyDescent="0.25">
      <c r="A1635" t="s">
        <v>13424</v>
      </c>
      <c r="B1635" t="s">
        <v>13369</v>
      </c>
      <c r="C1635" t="s">
        <v>13370</v>
      </c>
      <c r="D1635">
        <v>2021</v>
      </c>
      <c r="E1635" t="s">
        <v>763</v>
      </c>
      <c r="F1635" t="s">
        <v>13425</v>
      </c>
    </row>
    <row r="1636" spans="1:6" x14ac:dyDescent="0.25">
      <c r="A1636" t="s">
        <v>13426</v>
      </c>
      <c r="B1636" t="s">
        <v>13369</v>
      </c>
      <c r="C1636" t="s">
        <v>13370</v>
      </c>
      <c r="D1636">
        <v>2021</v>
      </c>
      <c r="E1636" t="s">
        <v>763</v>
      </c>
      <c r="F1636" t="s">
        <v>13427</v>
      </c>
    </row>
    <row r="1637" spans="1:6" x14ac:dyDescent="0.25">
      <c r="A1637" t="s">
        <v>13428</v>
      </c>
      <c r="B1637" t="s">
        <v>13369</v>
      </c>
      <c r="C1637" t="s">
        <v>13370</v>
      </c>
      <c r="D1637">
        <v>2021</v>
      </c>
      <c r="E1637" t="s">
        <v>763</v>
      </c>
      <c r="F1637" t="s">
        <v>13429</v>
      </c>
    </row>
    <row r="1638" spans="1:6" x14ac:dyDescent="0.25">
      <c r="A1638" t="s">
        <v>13430</v>
      </c>
      <c r="B1638" t="s">
        <v>13369</v>
      </c>
      <c r="C1638" t="s">
        <v>13370</v>
      </c>
      <c r="D1638">
        <v>2021</v>
      </c>
      <c r="E1638" t="s">
        <v>763</v>
      </c>
      <c r="F1638" t="s">
        <v>13431</v>
      </c>
    </row>
    <row r="1639" spans="1:6" x14ac:dyDescent="0.25">
      <c r="A1639" t="s">
        <v>13432</v>
      </c>
      <c r="B1639" t="s">
        <v>13369</v>
      </c>
      <c r="C1639" t="s">
        <v>13370</v>
      </c>
      <c r="D1639">
        <v>2021</v>
      </c>
      <c r="E1639" t="s">
        <v>763</v>
      </c>
      <c r="F1639" t="s">
        <v>13433</v>
      </c>
    </row>
    <row r="1640" spans="1:6" x14ac:dyDescent="0.25">
      <c r="A1640" t="s">
        <v>13434</v>
      </c>
      <c r="B1640" t="s">
        <v>13369</v>
      </c>
      <c r="C1640" t="s">
        <v>13370</v>
      </c>
      <c r="D1640">
        <v>2021</v>
      </c>
      <c r="E1640" t="s">
        <v>763</v>
      </c>
      <c r="F1640" t="s">
        <v>13435</v>
      </c>
    </row>
    <row r="1641" spans="1:6" x14ac:dyDescent="0.25">
      <c r="A1641" t="s">
        <v>13436</v>
      </c>
      <c r="B1641" t="s">
        <v>13369</v>
      </c>
      <c r="C1641" t="s">
        <v>13370</v>
      </c>
      <c r="D1641">
        <v>2021</v>
      </c>
      <c r="E1641" t="s">
        <v>763</v>
      </c>
      <c r="F1641" t="s">
        <v>13437</v>
      </c>
    </row>
    <row r="1642" spans="1:6" x14ac:dyDescent="0.25">
      <c r="A1642" t="s">
        <v>13438</v>
      </c>
      <c r="B1642" t="s">
        <v>13369</v>
      </c>
      <c r="C1642" t="s">
        <v>13370</v>
      </c>
      <c r="D1642">
        <v>2021</v>
      </c>
      <c r="E1642" t="s">
        <v>763</v>
      </c>
      <c r="F1642" t="s">
        <v>13439</v>
      </c>
    </row>
    <row r="1643" spans="1:6" x14ac:dyDescent="0.25">
      <c r="A1643" t="s">
        <v>13440</v>
      </c>
      <c r="B1643" t="s">
        <v>13369</v>
      </c>
      <c r="C1643" t="s">
        <v>13370</v>
      </c>
      <c r="D1643">
        <v>2021</v>
      </c>
      <c r="E1643" t="s">
        <v>763</v>
      </c>
      <c r="F1643" t="s">
        <v>13441</v>
      </c>
    </row>
    <row r="1644" spans="1:6" x14ac:dyDescent="0.25">
      <c r="A1644" t="s">
        <v>13442</v>
      </c>
      <c r="B1644" t="s">
        <v>13369</v>
      </c>
      <c r="C1644" t="s">
        <v>13370</v>
      </c>
      <c r="D1644">
        <v>2021</v>
      </c>
      <c r="E1644" t="s">
        <v>763</v>
      </c>
      <c r="F1644" t="s">
        <v>13443</v>
      </c>
    </row>
    <row r="1645" spans="1:6" x14ac:dyDescent="0.25">
      <c r="A1645" t="s">
        <v>13444</v>
      </c>
      <c r="B1645" t="s">
        <v>13369</v>
      </c>
      <c r="C1645" t="s">
        <v>13370</v>
      </c>
      <c r="D1645">
        <v>2021</v>
      </c>
      <c r="E1645" t="s">
        <v>763</v>
      </c>
      <c r="F1645" t="s">
        <v>13445</v>
      </c>
    </row>
    <row r="1646" spans="1:6" x14ac:dyDescent="0.25">
      <c r="A1646" t="s">
        <v>13446</v>
      </c>
      <c r="B1646" t="s">
        <v>13369</v>
      </c>
      <c r="C1646" t="s">
        <v>13370</v>
      </c>
      <c r="D1646">
        <v>2021</v>
      </c>
      <c r="E1646" t="s">
        <v>763</v>
      </c>
      <c r="F1646" t="s">
        <v>13447</v>
      </c>
    </row>
    <row r="1647" spans="1:6" x14ac:dyDescent="0.25">
      <c r="A1647" t="s">
        <v>13448</v>
      </c>
      <c r="B1647" t="s">
        <v>13369</v>
      </c>
      <c r="C1647" t="s">
        <v>13370</v>
      </c>
      <c r="D1647">
        <v>2021</v>
      </c>
      <c r="E1647" t="s">
        <v>763</v>
      </c>
      <c r="F1647" t="s">
        <v>13449</v>
      </c>
    </row>
    <row r="1648" spans="1:6" x14ac:dyDescent="0.25">
      <c r="A1648" t="s">
        <v>13450</v>
      </c>
      <c r="B1648" t="s">
        <v>13369</v>
      </c>
      <c r="C1648" t="s">
        <v>13370</v>
      </c>
      <c r="D1648">
        <v>2021</v>
      </c>
      <c r="E1648" t="s">
        <v>763</v>
      </c>
      <c r="F1648" t="s">
        <v>13451</v>
      </c>
    </row>
    <row r="1649" spans="1:6" x14ac:dyDescent="0.25">
      <c r="A1649" t="s">
        <v>13452</v>
      </c>
      <c r="B1649" t="s">
        <v>13369</v>
      </c>
      <c r="C1649" t="s">
        <v>13370</v>
      </c>
      <c r="D1649">
        <v>2021</v>
      </c>
      <c r="E1649" t="s">
        <v>763</v>
      </c>
      <c r="F1649" t="s">
        <v>13453</v>
      </c>
    </row>
    <row r="1650" spans="1:6" x14ac:dyDescent="0.25">
      <c r="A1650" t="s">
        <v>13454</v>
      </c>
      <c r="B1650" t="s">
        <v>13369</v>
      </c>
      <c r="C1650" t="s">
        <v>13370</v>
      </c>
      <c r="D1650">
        <v>2021</v>
      </c>
      <c r="E1650" t="s">
        <v>763</v>
      </c>
      <c r="F1650" t="s">
        <v>13455</v>
      </c>
    </row>
    <row r="1651" spans="1:6" x14ac:dyDescent="0.25">
      <c r="A1651" t="s">
        <v>13456</v>
      </c>
      <c r="B1651" t="s">
        <v>13369</v>
      </c>
      <c r="C1651" t="s">
        <v>13370</v>
      </c>
      <c r="D1651">
        <v>2021</v>
      </c>
      <c r="E1651" t="s">
        <v>763</v>
      </c>
      <c r="F1651" t="s">
        <v>13457</v>
      </c>
    </row>
    <row r="1652" spans="1:6" x14ac:dyDescent="0.25">
      <c r="A1652" t="s">
        <v>13458</v>
      </c>
      <c r="B1652" t="s">
        <v>13369</v>
      </c>
      <c r="C1652" t="s">
        <v>13370</v>
      </c>
      <c r="D1652">
        <v>2021</v>
      </c>
      <c r="E1652" t="s">
        <v>763</v>
      </c>
      <c r="F1652" t="s">
        <v>13459</v>
      </c>
    </row>
    <row r="1653" spans="1:6" x14ac:dyDescent="0.25">
      <c r="A1653" t="s">
        <v>13460</v>
      </c>
      <c r="B1653" t="s">
        <v>13369</v>
      </c>
      <c r="C1653" t="s">
        <v>13370</v>
      </c>
      <c r="D1653">
        <v>2021</v>
      </c>
      <c r="E1653" t="s">
        <v>763</v>
      </c>
      <c r="F1653" t="s">
        <v>13461</v>
      </c>
    </row>
    <row r="1654" spans="1:6" x14ac:dyDescent="0.25">
      <c r="A1654" t="s">
        <v>13462</v>
      </c>
      <c r="B1654" t="s">
        <v>13369</v>
      </c>
      <c r="C1654" t="s">
        <v>13370</v>
      </c>
      <c r="D1654">
        <v>2021</v>
      </c>
      <c r="E1654" t="s">
        <v>763</v>
      </c>
      <c r="F1654" t="s">
        <v>13463</v>
      </c>
    </row>
    <row r="1655" spans="1:6" x14ac:dyDescent="0.25">
      <c r="A1655" t="s">
        <v>13464</v>
      </c>
      <c r="B1655" t="s">
        <v>13369</v>
      </c>
      <c r="C1655" t="s">
        <v>13370</v>
      </c>
      <c r="D1655">
        <v>2021</v>
      </c>
      <c r="E1655" t="s">
        <v>763</v>
      </c>
      <c r="F1655" t="s">
        <v>13465</v>
      </c>
    </row>
    <row r="1656" spans="1:6" x14ac:dyDescent="0.25">
      <c r="A1656" t="s">
        <v>13466</v>
      </c>
      <c r="B1656" t="s">
        <v>13369</v>
      </c>
      <c r="C1656" t="s">
        <v>13370</v>
      </c>
      <c r="D1656">
        <v>2021</v>
      </c>
      <c r="E1656" t="s">
        <v>763</v>
      </c>
      <c r="F1656" t="s">
        <v>13467</v>
      </c>
    </row>
    <row r="1657" spans="1:6" x14ac:dyDescent="0.25">
      <c r="A1657" t="s">
        <v>13468</v>
      </c>
      <c r="B1657" t="s">
        <v>13369</v>
      </c>
      <c r="C1657" t="s">
        <v>13370</v>
      </c>
      <c r="D1657">
        <v>2021</v>
      </c>
      <c r="E1657" t="s">
        <v>763</v>
      </c>
      <c r="F1657" t="s">
        <v>13469</v>
      </c>
    </row>
    <row r="1658" spans="1:6" x14ac:dyDescent="0.25">
      <c r="A1658" t="s">
        <v>13470</v>
      </c>
      <c r="B1658" t="s">
        <v>13369</v>
      </c>
      <c r="C1658" t="s">
        <v>13370</v>
      </c>
      <c r="D1658">
        <v>2021</v>
      </c>
      <c r="E1658" t="s">
        <v>763</v>
      </c>
      <c r="F1658" t="s">
        <v>13471</v>
      </c>
    </row>
    <row r="1659" spans="1:6" x14ac:dyDescent="0.25">
      <c r="A1659" t="s">
        <v>13472</v>
      </c>
      <c r="B1659" t="s">
        <v>13369</v>
      </c>
      <c r="C1659" t="s">
        <v>13370</v>
      </c>
      <c r="D1659">
        <v>2021</v>
      </c>
      <c r="E1659" t="s">
        <v>763</v>
      </c>
      <c r="F1659" t="s">
        <v>13473</v>
      </c>
    </row>
    <row r="1660" spans="1:6" x14ac:dyDescent="0.25">
      <c r="A1660" t="s">
        <v>13474</v>
      </c>
      <c r="B1660" t="s">
        <v>13369</v>
      </c>
      <c r="C1660" t="s">
        <v>13370</v>
      </c>
      <c r="D1660">
        <v>2021</v>
      </c>
      <c r="E1660" t="s">
        <v>763</v>
      </c>
      <c r="F1660" t="s">
        <v>13475</v>
      </c>
    </row>
    <row r="1661" spans="1:6" x14ac:dyDescent="0.25">
      <c r="A1661" t="s">
        <v>13476</v>
      </c>
      <c r="B1661" t="s">
        <v>13369</v>
      </c>
      <c r="C1661" t="s">
        <v>13370</v>
      </c>
      <c r="D1661">
        <v>2021</v>
      </c>
      <c r="E1661" t="s">
        <v>763</v>
      </c>
      <c r="F1661" t="s">
        <v>13477</v>
      </c>
    </row>
    <row r="1662" spans="1:6" x14ac:dyDescent="0.25">
      <c r="A1662" t="s">
        <v>13478</v>
      </c>
      <c r="B1662" t="s">
        <v>13369</v>
      </c>
      <c r="C1662" t="s">
        <v>13370</v>
      </c>
      <c r="D1662">
        <v>2021</v>
      </c>
      <c r="E1662" t="s">
        <v>763</v>
      </c>
      <c r="F1662" t="s">
        <v>13479</v>
      </c>
    </row>
    <row r="1663" spans="1:6" x14ac:dyDescent="0.25">
      <c r="A1663" t="s">
        <v>13480</v>
      </c>
      <c r="B1663" t="s">
        <v>13369</v>
      </c>
      <c r="C1663" t="s">
        <v>13370</v>
      </c>
      <c r="D1663">
        <v>2021</v>
      </c>
      <c r="E1663" t="s">
        <v>763</v>
      </c>
      <c r="F1663" t="s">
        <v>13481</v>
      </c>
    </row>
    <row r="1664" spans="1:6" x14ac:dyDescent="0.25">
      <c r="A1664" t="s">
        <v>13482</v>
      </c>
      <c r="B1664" t="s">
        <v>13369</v>
      </c>
      <c r="C1664" t="s">
        <v>13370</v>
      </c>
      <c r="D1664">
        <v>2021</v>
      </c>
      <c r="E1664" t="s">
        <v>763</v>
      </c>
      <c r="F1664" t="s">
        <v>13483</v>
      </c>
    </row>
    <row r="1665" spans="1:6" x14ac:dyDescent="0.25">
      <c r="A1665" t="s">
        <v>13484</v>
      </c>
      <c r="B1665" t="s">
        <v>13369</v>
      </c>
      <c r="C1665" t="s">
        <v>13370</v>
      </c>
      <c r="D1665">
        <v>2021</v>
      </c>
      <c r="E1665" t="s">
        <v>763</v>
      </c>
      <c r="F1665" t="s">
        <v>13485</v>
      </c>
    </row>
    <row r="1666" spans="1:6" x14ac:dyDescent="0.25">
      <c r="A1666" t="s">
        <v>13486</v>
      </c>
      <c r="B1666" t="s">
        <v>13369</v>
      </c>
      <c r="C1666" t="s">
        <v>13370</v>
      </c>
      <c r="D1666">
        <v>2021</v>
      </c>
      <c r="E1666" t="s">
        <v>763</v>
      </c>
      <c r="F1666" t="s">
        <v>13487</v>
      </c>
    </row>
    <row r="1667" spans="1:6" x14ac:dyDescent="0.25">
      <c r="A1667" t="s">
        <v>13488</v>
      </c>
      <c r="B1667" t="s">
        <v>13369</v>
      </c>
      <c r="C1667" t="s">
        <v>13370</v>
      </c>
      <c r="D1667">
        <v>2021</v>
      </c>
      <c r="E1667" t="s">
        <v>763</v>
      </c>
      <c r="F1667" t="s">
        <v>13489</v>
      </c>
    </row>
    <row r="1668" spans="1:6" x14ac:dyDescent="0.25">
      <c r="A1668" t="s">
        <v>13490</v>
      </c>
      <c r="B1668" t="s">
        <v>13369</v>
      </c>
      <c r="C1668" t="s">
        <v>13370</v>
      </c>
      <c r="D1668">
        <v>2021</v>
      </c>
      <c r="E1668" t="s">
        <v>763</v>
      </c>
      <c r="F1668" t="s">
        <v>13491</v>
      </c>
    </row>
    <row r="1669" spans="1:6" x14ac:dyDescent="0.25">
      <c r="A1669" t="s">
        <v>13492</v>
      </c>
      <c r="B1669" t="s">
        <v>13369</v>
      </c>
      <c r="C1669" t="s">
        <v>13370</v>
      </c>
      <c r="D1669">
        <v>2021</v>
      </c>
      <c r="E1669" t="s">
        <v>763</v>
      </c>
      <c r="F1669" t="s">
        <v>13493</v>
      </c>
    </row>
    <row r="1670" spans="1:6" x14ac:dyDescent="0.25">
      <c r="A1670" t="s">
        <v>13494</v>
      </c>
      <c r="B1670" t="s">
        <v>13369</v>
      </c>
      <c r="C1670" t="s">
        <v>13370</v>
      </c>
      <c r="D1670">
        <v>2021</v>
      </c>
      <c r="E1670" t="s">
        <v>763</v>
      </c>
      <c r="F1670" t="s">
        <v>13495</v>
      </c>
    </row>
    <row r="1671" spans="1:6" x14ac:dyDescent="0.25">
      <c r="A1671" t="s">
        <v>13496</v>
      </c>
      <c r="B1671" t="s">
        <v>13369</v>
      </c>
      <c r="C1671" t="s">
        <v>13497</v>
      </c>
      <c r="D1671">
        <v>2023</v>
      </c>
      <c r="E1671" t="s">
        <v>763</v>
      </c>
      <c r="F1671" t="s">
        <v>13498</v>
      </c>
    </row>
    <row r="1672" spans="1:6" x14ac:dyDescent="0.25">
      <c r="A1672" t="s">
        <v>13499</v>
      </c>
      <c r="B1672" t="s">
        <v>13369</v>
      </c>
      <c r="C1672" t="s">
        <v>13497</v>
      </c>
      <c r="D1672">
        <v>2023</v>
      </c>
      <c r="E1672" t="s">
        <v>763</v>
      </c>
      <c r="F1672" t="s">
        <v>13500</v>
      </c>
    </row>
    <row r="1673" spans="1:6" x14ac:dyDescent="0.25">
      <c r="A1673" t="s">
        <v>13501</v>
      </c>
      <c r="B1673" t="s">
        <v>13369</v>
      </c>
      <c r="C1673" t="s">
        <v>13497</v>
      </c>
      <c r="D1673">
        <v>2023</v>
      </c>
      <c r="E1673" t="s">
        <v>763</v>
      </c>
      <c r="F1673" t="s">
        <v>13502</v>
      </c>
    </row>
    <row r="1674" spans="1:6" x14ac:dyDescent="0.25">
      <c r="A1674" t="s">
        <v>13503</v>
      </c>
      <c r="B1674" t="s">
        <v>13369</v>
      </c>
      <c r="C1674" t="s">
        <v>13497</v>
      </c>
      <c r="D1674">
        <v>2023</v>
      </c>
      <c r="E1674" t="s">
        <v>763</v>
      </c>
      <c r="F1674" t="s">
        <v>13504</v>
      </c>
    </row>
    <row r="1675" spans="1:6" x14ac:dyDescent="0.25">
      <c r="A1675" t="s">
        <v>13505</v>
      </c>
      <c r="B1675" t="s">
        <v>13369</v>
      </c>
      <c r="C1675" t="s">
        <v>13497</v>
      </c>
      <c r="D1675">
        <v>2023</v>
      </c>
      <c r="E1675" t="s">
        <v>763</v>
      </c>
      <c r="F1675" t="s">
        <v>13506</v>
      </c>
    </row>
    <row r="1676" spans="1:6" x14ac:dyDescent="0.25">
      <c r="A1676" t="s">
        <v>13507</v>
      </c>
      <c r="B1676" t="s">
        <v>13369</v>
      </c>
      <c r="C1676" t="s">
        <v>13497</v>
      </c>
      <c r="D1676">
        <v>2023</v>
      </c>
      <c r="E1676" t="s">
        <v>763</v>
      </c>
      <c r="F1676" t="s">
        <v>13508</v>
      </c>
    </row>
    <row r="1677" spans="1:6" x14ac:dyDescent="0.25">
      <c r="A1677" t="s">
        <v>13509</v>
      </c>
      <c r="B1677" t="s">
        <v>13369</v>
      </c>
      <c r="C1677" t="s">
        <v>13497</v>
      </c>
      <c r="D1677">
        <v>2023</v>
      </c>
      <c r="E1677" t="s">
        <v>763</v>
      </c>
      <c r="F1677" t="s">
        <v>13510</v>
      </c>
    </row>
    <row r="1678" spans="1:6" x14ac:dyDescent="0.25">
      <c r="A1678" t="s">
        <v>13511</v>
      </c>
      <c r="B1678" t="s">
        <v>13369</v>
      </c>
      <c r="C1678" t="s">
        <v>13497</v>
      </c>
      <c r="D1678">
        <v>2023</v>
      </c>
      <c r="E1678" t="s">
        <v>763</v>
      </c>
      <c r="F1678" t="s">
        <v>13512</v>
      </c>
    </row>
    <row r="1679" spans="1:6" x14ac:dyDescent="0.25">
      <c r="A1679" t="s">
        <v>13513</v>
      </c>
      <c r="B1679" t="s">
        <v>13369</v>
      </c>
      <c r="C1679" t="s">
        <v>13497</v>
      </c>
      <c r="D1679">
        <v>2023</v>
      </c>
      <c r="E1679" t="s">
        <v>763</v>
      </c>
      <c r="F1679" t="s">
        <v>13514</v>
      </c>
    </row>
    <row r="1680" spans="1:6" x14ac:dyDescent="0.25">
      <c r="A1680" t="s">
        <v>13515</v>
      </c>
      <c r="B1680" t="s">
        <v>13369</v>
      </c>
      <c r="C1680" t="s">
        <v>13497</v>
      </c>
      <c r="D1680">
        <v>2023</v>
      </c>
      <c r="E1680" t="s">
        <v>763</v>
      </c>
      <c r="F1680" t="s">
        <v>13516</v>
      </c>
    </row>
    <row r="1681" spans="1:6" x14ac:dyDescent="0.25">
      <c r="A1681" t="s">
        <v>13517</v>
      </c>
      <c r="B1681" t="s">
        <v>13369</v>
      </c>
      <c r="C1681" t="s">
        <v>13497</v>
      </c>
      <c r="D1681">
        <v>2023</v>
      </c>
      <c r="E1681" t="s">
        <v>763</v>
      </c>
      <c r="F1681" t="s">
        <v>13518</v>
      </c>
    </row>
    <row r="1682" spans="1:6" x14ac:dyDescent="0.25">
      <c r="A1682" t="s">
        <v>13519</v>
      </c>
      <c r="B1682" t="s">
        <v>13369</v>
      </c>
      <c r="C1682" t="s">
        <v>13497</v>
      </c>
      <c r="D1682">
        <v>2023</v>
      </c>
      <c r="E1682" t="s">
        <v>763</v>
      </c>
      <c r="F1682" t="s">
        <v>13520</v>
      </c>
    </row>
    <row r="1683" spans="1:6" x14ac:dyDescent="0.25">
      <c r="A1683" t="s">
        <v>13521</v>
      </c>
      <c r="B1683" t="s">
        <v>13369</v>
      </c>
      <c r="C1683" t="s">
        <v>13497</v>
      </c>
      <c r="D1683">
        <v>2023</v>
      </c>
      <c r="E1683" t="s">
        <v>763</v>
      </c>
      <c r="F1683" t="s">
        <v>13522</v>
      </c>
    </row>
    <row r="1684" spans="1:6" x14ac:dyDescent="0.25">
      <c r="A1684" t="s">
        <v>13523</v>
      </c>
      <c r="B1684" t="s">
        <v>13369</v>
      </c>
      <c r="C1684" t="s">
        <v>13497</v>
      </c>
      <c r="D1684">
        <v>2023</v>
      </c>
      <c r="E1684" t="s">
        <v>763</v>
      </c>
      <c r="F1684" t="s">
        <v>13524</v>
      </c>
    </row>
    <row r="1685" spans="1:6" x14ac:dyDescent="0.25">
      <c r="A1685" t="s">
        <v>13525</v>
      </c>
      <c r="B1685" t="s">
        <v>13369</v>
      </c>
      <c r="C1685" t="s">
        <v>13497</v>
      </c>
      <c r="D1685">
        <v>2023</v>
      </c>
      <c r="E1685" t="s">
        <v>763</v>
      </c>
      <c r="F1685" t="s">
        <v>13526</v>
      </c>
    </row>
    <row r="1686" spans="1:6" x14ac:dyDescent="0.25">
      <c r="A1686" t="s">
        <v>13527</v>
      </c>
      <c r="B1686" t="s">
        <v>13369</v>
      </c>
      <c r="C1686" t="s">
        <v>13497</v>
      </c>
      <c r="D1686">
        <v>2023</v>
      </c>
      <c r="E1686" t="s">
        <v>763</v>
      </c>
      <c r="F1686" t="s">
        <v>13528</v>
      </c>
    </row>
    <row r="1687" spans="1:6" x14ac:dyDescent="0.25">
      <c r="A1687" t="s">
        <v>13529</v>
      </c>
      <c r="E1687" t="s">
        <v>904</v>
      </c>
      <c r="F1687" t="s">
        <v>13530</v>
      </c>
    </row>
    <row r="1688" spans="1:6" x14ac:dyDescent="0.25">
      <c r="A1688" t="s">
        <v>13531</v>
      </c>
      <c r="E1688" t="s">
        <v>904</v>
      </c>
      <c r="F1688" t="s">
        <v>13532</v>
      </c>
    </row>
    <row r="1689" spans="1:6" x14ac:dyDescent="0.25">
      <c r="A1689" t="s">
        <v>13533</v>
      </c>
      <c r="E1689" t="s">
        <v>904</v>
      </c>
      <c r="F1689" t="s">
        <v>13534</v>
      </c>
    </row>
    <row r="1690" spans="1:6" x14ac:dyDescent="0.25">
      <c r="A1690" t="s">
        <v>13535</v>
      </c>
      <c r="E1690" t="s">
        <v>904</v>
      </c>
      <c r="F1690" t="s">
        <v>13536</v>
      </c>
    </row>
    <row r="1691" spans="1:6" x14ac:dyDescent="0.25">
      <c r="A1691" t="s">
        <v>13537</v>
      </c>
      <c r="E1691" t="s">
        <v>904</v>
      </c>
      <c r="F1691" t="s">
        <v>13538</v>
      </c>
    </row>
    <row r="1692" spans="1:6" x14ac:dyDescent="0.25">
      <c r="A1692" t="s">
        <v>13539</v>
      </c>
      <c r="E1692" t="s">
        <v>904</v>
      </c>
      <c r="F1692" t="s">
        <v>13540</v>
      </c>
    </row>
    <row r="1693" spans="1:6" x14ac:dyDescent="0.25">
      <c r="A1693" t="s">
        <v>13541</v>
      </c>
      <c r="E1693" t="s">
        <v>904</v>
      </c>
      <c r="F1693" t="s">
        <v>13542</v>
      </c>
    </row>
    <row r="1694" spans="1:6" x14ac:dyDescent="0.25">
      <c r="A1694" t="s">
        <v>13543</v>
      </c>
      <c r="E1694" t="s">
        <v>904</v>
      </c>
      <c r="F1694" t="s">
        <v>13544</v>
      </c>
    </row>
    <row r="1695" spans="1:6" x14ac:dyDescent="0.25">
      <c r="A1695" t="s">
        <v>13545</v>
      </c>
      <c r="E1695" t="s">
        <v>904</v>
      </c>
      <c r="F1695" t="s">
        <v>13546</v>
      </c>
    </row>
    <row r="1696" spans="1:6" x14ac:dyDescent="0.25">
      <c r="A1696" t="s">
        <v>13547</v>
      </c>
      <c r="E1696" t="s">
        <v>904</v>
      </c>
      <c r="F1696" t="s">
        <v>13548</v>
      </c>
    </row>
    <row r="1697" spans="1:6" x14ac:dyDescent="0.25">
      <c r="A1697" t="s">
        <v>13549</v>
      </c>
      <c r="E1697" t="s">
        <v>904</v>
      </c>
      <c r="F1697" t="s">
        <v>13550</v>
      </c>
    </row>
    <row r="1698" spans="1:6" x14ac:dyDescent="0.25">
      <c r="A1698" t="s">
        <v>13551</v>
      </c>
      <c r="E1698" t="s">
        <v>904</v>
      </c>
      <c r="F1698" t="s">
        <v>13552</v>
      </c>
    </row>
    <row r="1699" spans="1:6" x14ac:dyDescent="0.25">
      <c r="A1699" t="s">
        <v>13553</v>
      </c>
      <c r="E1699" t="s">
        <v>904</v>
      </c>
      <c r="F1699" t="s">
        <v>13554</v>
      </c>
    </row>
    <row r="1700" spans="1:6" x14ac:dyDescent="0.25">
      <c r="A1700" t="s">
        <v>13555</v>
      </c>
      <c r="E1700" t="s">
        <v>904</v>
      </c>
      <c r="F1700" t="s">
        <v>13556</v>
      </c>
    </row>
    <row r="1701" spans="1:6" x14ac:dyDescent="0.25">
      <c r="A1701" t="s">
        <v>13557</v>
      </c>
      <c r="E1701" t="s">
        <v>904</v>
      </c>
      <c r="F1701" t="s">
        <v>13558</v>
      </c>
    </row>
    <row r="1702" spans="1:6" x14ac:dyDescent="0.25">
      <c r="A1702" t="s">
        <v>13559</v>
      </c>
      <c r="E1702" t="s">
        <v>904</v>
      </c>
      <c r="F1702" t="s">
        <v>13560</v>
      </c>
    </row>
    <row r="1703" spans="1:6" x14ac:dyDescent="0.25">
      <c r="A1703" t="s">
        <v>13561</v>
      </c>
      <c r="E1703" t="s">
        <v>904</v>
      </c>
      <c r="F1703" t="s">
        <v>13562</v>
      </c>
    </row>
    <row r="1704" spans="1:6" x14ac:dyDescent="0.25">
      <c r="A1704" t="s">
        <v>13563</v>
      </c>
      <c r="E1704" t="s">
        <v>904</v>
      </c>
      <c r="F1704" t="s">
        <v>13564</v>
      </c>
    </row>
    <row r="1705" spans="1:6" x14ac:dyDescent="0.25">
      <c r="A1705" t="s">
        <v>13565</v>
      </c>
      <c r="B1705" t="s">
        <v>13566</v>
      </c>
      <c r="C1705" t="s">
        <v>13567</v>
      </c>
      <c r="E1705" t="s">
        <v>904</v>
      </c>
      <c r="F1705" t="s">
        <v>13568</v>
      </c>
    </row>
    <row r="1706" spans="1:6" x14ac:dyDescent="0.25">
      <c r="A1706" t="s">
        <v>13569</v>
      </c>
      <c r="B1706" t="s">
        <v>13566</v>
      </c>
      <c r="C1706" t="s">
        <v>13567</v>
      </c>
      <c r="E1706" t="s">
        <v>904</v>
      </c>
      <c r="F1706" t="s">
        <v>13570</v>
      </c>
    </row>
    <row r="1707" spans="1:6" x14ac:dyDescent="0.25">
      <c r="A1707" t="s">
        <v>13571</v>
      </c>
      <c r="B1707" t="s">
        <v>13566</v>
      </c>
      <c r="C1707" t="s">
        <v>13567</v>
      </c>
      <c r="E1707" t="s">
        <v>904</v>
      </c>
      <c r="F1707" t="s">
        <v>13572</v>
      </c>
    </row>
    <row r="1708" spans="1:6" x14ac:dyDescent="0.25">
      <c r="A1708" t="s">
        <v>13573</v>
      </c>
      <c r="B1708" t="s">
        <v>13566</v>
      </c>
      <c r="C1708" t="s">
        <v>13567</v>
      </c>
      <c r="E1708" t="s">
        <v>904</v>
      </c>
      <c r="F1708" t="s">
        <v>13574</v>
      </c>
    </row>
    <row r="1709" spans="1:6" x14ac:dyDescent="0.25">
      <c r="A1709" t="s">
        <v>13575</v>
      </c>
      <c r="B1709" t="s">
        <v>13566</v>
      </c>
      <c r="C1709" t="s">
        <v>13567</v>
      </c>
      <c r="E1709" t="s">
        <v>904</v>
      </c>
      <c r="F1709" t="s">
        <v>13576</v>
      </c>
    </row>
    <row r="1710" spans="1:6" x14ac:dyDescent="0.25">
      <c r="A1710" t="s">
        <v>13577</v>
      </c>
      <c r="B1710" t="s">
        <v>13566</v>
      </c>
      <c r="C1710" t="s">
        <v>13567</v>
      </c>
      <c r="E1710" t="s">
        <v>904</v>
      </c>
      <c r="F1710" t="s">
        <v>13578</v>
      </c>
    </row>
    <row r="1711" spans="1:6" x14ac:dyDescent="0.25">
      <c r="A1711" t="s">
        <v>13579</v>
      </c>
      <c r="B1711" t="s">
        <v>13566</v>
      </c>
      <c r="C1711" t="s">
        <v>13567</v>
      </c>
      <c r="E1711" t="s">
        <v>904</v>
      </c>
      <c r="F1711" t="s">
        <v>13580</v>
      </c>
    </row>
    <row r="1712" spans="1:6" x14ac:dyDescent="0.25">
      <c r="A1712" t="s">
        <v>13581</v>
      </c>
      <c r="B1712" t="s">
        <v>13566</v>
      </c>
      <c r="C1712" t="s">
        <v>13567</v>
      </c>
      <c r="E1712" t="s">
        <v>904</v>
      </c>
      <c r="F1712" t="s">
        <v>13582</v>
      </c>
    </row>
    <row r="1713" spans="1:6" x14ac:dyDescent="0.25">
      <c r="A1713" t="s">
        <v>13583</v>
      </c>
      <c r="B1713" t="s">
        <v>13566</v>
      </c>
      <c r="C1713" t="s">
        <v>13567</v>
      </c>
      <c r="E1713" t="s">
        <v>904</v>
      </c>
      <c r="F1713" t="s">
        <v>13584</v>
      </c>
    </row>
    <row r="1714" spans="1:6" x14ac:dyDescent="0.25">
      <c r="A1714" t="s">
        <v>13585</v>
      </c>
      <c r="B1714" t="s">
        <v>13566</v>
      </c>
      <c r="C1714" t="s">
        <v>13567</v>
      </c>
      <c r="E1714" t="s">
        <v>904</v>
      </c>
      <c r="F1714" t="s">
        <v>13586</v>
      </c>
    </row>
    <row r="1715" spans="1:6" x14ac:dyDescent="0.25">
      <c r="A1715" t="s">
        <v>13587</v>
      </c>
      <c r="B1715" t="s">
        <v>13566</v>
      </c>
      <c r="C1715" t="s">
        <v>13567</v>
      </c>
      <c r="E1715" t="s">
        <v>904</v>
      </c>
      <c r="F1715" t="s">
        <v>13588</v>
      </c>
    </row>
    <row r="1716" spans="1:6" x14ac:dyDescent="0.25">
      <c r="A1716" t="s">
        <v>13589</v>
      </c>
      <c r="B1716" t="s">
        <v>13566</v>
      </c>
      <c r="C1716" t="s">
        <v>13567</v>
      </c>
      <c r="E1716" t="s">
        <v>904</v>
      </c>
      <c r="F1716" t="s">
        <v>13590</v>
      </c>
    </row>
    <row r="1717" spans="1:6" x14ac:dyDescent="0.25">
      <c r="A1717" t="s">
        <v>13591</v>
      </c>
      <c r="B1717" t="s">
        <v>13566</v>
      </c>
      <c r="C1717" t="s">
        <v>13567</v>
      </c>
      <c r="E1717" t="s">
        <v>904</v>
      </c>
      <c r="F1717" t="s">
        <v>13592</v>
      </c>
    </row>
    <row r="1718" spans="1:6" x14ac:dyDescent="0.25">
      <c r="A1718" t="s">
        <v>13593</v>
      </c>
      <c r="B1718" t="s">
        <v>13566</v>
      </c>
      <c r="C1718" t="s">
        <v>13567</v>
      </c>
      <c r="E1718" t="s">
        <v>904</v>
      </c>
      <c r="F1718" t="s">
        <v>13594</v>
      </c>
    </row>
    <row r="1719" spans="1:6" x14ac:dyDescent="0.25">
      <c r="A1719" t="s">
        <v>13595</v>
      </c>
      <c r="B1719" t="s">
        <v>13566</v>
      </c>
      <c r="C1719" t="s">
        <v>13567</v>
      </c>
      <c r="E1719" t="s">
        <v>904</v>
      </c>
      <c r="F1719" t="s">
        <v>13596</v>
      </c>
    </row>
    <row r="1720" spans="1:6" x14ac:dyDescent="0.25">
      <c r="A1720" t="s">
        <v>13597</v>
      </c>
      <c r="B1720" t="s">
        <v>13566</v>
      </c>
      <c r="C1720" t="s">
        <v>13598</v>
      </c>
      <c r="D1720">
        <v>2023</v>
      </c>
      <c r="E1720" t="s">
        <v>904</v>
      </c>
      <c r="F1720" t="s">
        <v>13599</v>
      </c>
    </row>
    <row r="1721" spans="1:6" x14ac:dyDescent="0.25">
      <c r="A1721" t="s">
        <v>13600</v>
      </c>
      <c r="B1721" t="s">
        <v>13566</v>
      </c>
      <c r="C1721" t="s">
        <v>13598</v>
      </c>
      <c r="D1721">
        <v>2023</v>
      </c>
      <c r="E1721" t="s">
        <v>904</v>
      </c>
      <c r="F1721" t="s">
        <v>13601</v>
      </c>
    </row>
    <row r="1722" spans="1:6" x14ac:dyDescent="0.25">
      <c r="A1722" t="s">
        <v>13602</v>
      </c>
      <c r="E1722" t="s">
        <v>904</v>
      </c>
      <c r="F1722" t="s">
        <v>13603</v>
      </c>
    </row>
    <row r="1723" spans="1:6" x14ac:dyDescent="0.25">
      <c r="A1723" t="s">
        <v>13604</v>
      </c>
      <c r="E1723" t="s">
        <v>904</v>
      </c>
      <c r="F1723" t="s">
        <v>13605</v>
      </c>
    </row>
    <row r="1724" spans="1:6" x14ac:dyDescent="0.25">
      <c r="A1724" t="s">
        <v>13606</v>
      </c>
      <c r="E1724" t="s">
        <v>904</v>
      </c>
      <c r="F1724" t="s">
        <v>13607</v>
      </c>
    </row>
    <row r="1725" spans="1:6" x14ac:dyDescent="0.25">
      <c r="A1725" t="s">
        <v>13608</v>
      </c>
      <c r="E1725" t="s">
        <v>904</v>
      </c>
      <c r="F1725" t="s">
        <v>13609</v>
      </c>
    </row>
    <row r="1726" spans="1:6" x14ac:dyDescent="0.25">
      <c r="A1726" t="s">
        <v>13610</v>
      </c>
      <c r="E1726" t="s">
        <v>904</v>
      </c>
      <c r="F1726" t="s">
        <v>13611</v>
      </c>
    </row>
    <row r="1727" spans="1:6" x14ac:dyDescent="0.25">
      <c r="A1727" t="s">
        <v>13612</v>
      </c>
      <c r="E1727" t="s">
        <v>904</v>
      </c>
      <c r="F1727" t="s">
        <v>13613</v>
      </c>
    </row>
    <row r="1728" spans="1:6" x14ac:dyDescent="0.25">
      <c r="A1728" t="s">
        <v>13614</v>
      </c>
      <c r="E1728" t="s">
        <v>904</v>
      </c>
      <c r="F1728" t="s">
        <v>13615</v>
      </c>
    </row>
    <row r="1729" spans="1:6" x14ac:dyDescent="0.25">
      <c r="A1729" t="s">
        <v>13616</v>
      </c>
      <c r="E1729" t="s">
        <v>904</v>
      </c>
      <c r="F1729" t="s">
        <v>13617</v>
      </c>
    </row>
    <row r="1730" spans="1:6" x14ac:dyDescent="0.25">
      <c r="A1730" t="s">
        <v>13618</v>
      </c>
      <c r="E1730" t="s">
        <v>904</v>
      </c>
      <c r="F1730" t="s">
        <v>13619</v>
      </c>
    </row>
    <row r="1731" spans="1:6" x14ac:dyDescent="0.25">
      <c r="A1731" t="s">
        <v>13620</v>
      </c>
      <c r="E1731" t="s">
        <v>904</v>
      </c>
      <c r="F1731" t="s">
        <v>13621</v>
      </c>
    </row>
    <row r="1732" spans="1:6" x14ac:dyDescent="0.25">
      <c r="A1732" t="s">
        <v>13622</v>
      </c>
      <c r="E1732" t="s">
        <v>904</v>
      </c>
      <c r="F1732" t="s">
        <v>13623</v>
      </c>
    </row>
    <row r="1733" spans="1:6" x14ac:dyDescent="0.25">
      <c r="A1733" t="s">
        <v>13624</v>
      </c>
      <c r="E1733" t="s">
        <v>904</v>
      </c>
      <c r="F1733" t="s">
        <v>13625</v>
      </c>
    </row>
    <row r="1734" spans="1:6" x14ac:dyDescent="0.25">
      <c r="A1734" t="s">
        <v>13626</v>
      </c>
      <c r="E1734" t="s">
        <v>904</v>
      </c>
      <c r="F1734" t="s">
        <v>13627</v>
      </c>
    </row>
    <row r="1735" spans="1:6" x14ac:dyDescent="0.25">
      <c r="A1735" t="s">
        <v>13628</v>
      </c>
      <c r="E1735" t="s">
        <v>904</v>
      </c>
      <c r="F1735" t="s">
        <v>13629</v>
      </c>
    </row>
    <row r="1736" spans="1:6" x14ac:dyDescent="0.25">
      <c r="A1736" t="s">
        <v>13630</v>
      </c>
      <c r="E1736" t="s">
        <v>904</v>
      </c>
      <c r="F1736" t="s">
        <v>13631</v>
      </c>
    </row>
    <row r="1737" spans="1:6" x14ac:dyDescent="0.25">
      <c r="A1737" t="s">
        <v>13632</v>
      </c>
      <c r="E1737" t="s">
        <v>904</v>
      </c>
      <c r="F1737" t="s">
        <v>13633</v>
      </c>
    </row>
    <row r="1738" spans="1:6" x14ac:dyDescent="0.25">
      <c r="A1738" t="s">
        <v>13634</v>
      </c>
      <c r="E1738" t="s">
        <v>904</v>
      </c>
      <c r="F1738" t="s">
        <v>13635</v>
      </c>
    </row>
    <row r="1739" spans="1:6" x14ac:dyDescent="0.25">
      <c r="A1739" t="s">
        <v>13636</v>
      </c>
      <c r="E1739" t="s">
        <v>904</v>
      </c>
      <c r="F1739" t="s">
        <v>13637</v>
      </c>
    </row>
    <row r="1740" spans="1:6" x14ac:dyDescent="0.25">
      <c r="A1740" t="s">
        <v>13638</v>
      </c>
      <c r="B1740" t="s">
        <v>13566</v>
      </c>
      <c r="C1740" t="s">
        <v>13639</v>
      </c>
      <c r="E1740" t="s">
        <v>904</v>
      </c>
      <c r="F1740" t="s">
        <v>13640</v>
      </c>
    </row>
    <row r="1741" spans="1:6" x14ac:dyDescent="0.25">
      <c r="A1741" t="s">
        <v>13641</v>
      </c>
      <c r="B1741" t="s">
        <v>13566</v>
      </c>
      <c r="C1741" t="s">
        <v>13639</v>
      </c>
      <c r="E1741" t="s">
        <v>904</v>
      </c>
      <c r="F1741" t="s">
        <v>13642</v>
      </c>
    </row>
    <row r="1742" spans="1:6" x14ac:dyDescent="0.25">
      <c r="A1742" t="s">
        <v>13643</v>
      </c>
      <c r="B1742" t="s">
        <v>13566</v>
      </c>
      <c r="C1742" t="s">
        <v>13639</v>
      </c>
      <c r="E1742" t="s">
        <v>904</v>
      </c>
      <c r="F1742" t="s">
        <v>13644</v>
      </c>
    </row>
    <row r="1743" spans="1:6" x14ac:dyDescent="0.25">
      <c r="A1743" t="s">
        <v>13645</v>
      </c>
      <c r="B1743" t="s">
        <v>13566</v>
      </c>
      <c r="C1743" t="s">
        <v>13639</v>
      </c>
      <c r="E1743" t="s">
        <v>904</v>
      </c>
      <c r="F1743" t="s">
        <v>13646</v>
      </c>
    </row>
    <row r="1744" spans="1:6" x14ac:dyDescent="0.25">
      <c r="A1744" t="s">
        <v>13647</v>
      </c>
      <c r="B1744" t="s">
        <v>13566</v>
      </c>
      <c r="C1744" t="s">
        <v>13639</v>
      </c>
      <c r="E1744" t="s">
        <v>904</v>
      </c>
      <c r="F1744" t="s">
        <v>13648</v>
      </c>
    </row>
    <row r="1745" spans="1:6" x14ac:dyDescent="0.25">
      <c r="A1745" t="s">
        <v>13649</v>
      </c>
      <c r="B1745" t="s">
        <v>13566</v>
      </c>
      <c r="C1745" t="s">
        <v>13639</v>
      </c>
      <c r="E1745" t="s">
        <v>904</v>
      </c>
      <c r="F1745" t="s">
        <v>13650</v>
      </c>
    </row>
    <row r="1746" spans="1:6" x14ac:dyDescent="0.25">
      <c r="A1746" t="s">
        <v>13651</v>
      </c>
      <c r="B1746" t="s">
        <v>13566</v>
      </c>
      <c r="C1746" t="s">
        <v>13639</v>
      </c>
      <c r="E1746" t="s">
        <v>904</v>
      </c>
      <c r="F1746" t="s">
        <v>13652</v>
      </c>
    </row>
    <row r="1747" spans="1:6" x14ac:dyDescent="0.25">
      <c r="A1747" t="s">
        <v>13653</v>
      </c>
      <c r="B1747" t="s">
        <v>13566</v>
      </c>
      <c r="C1747" t="s">
        <v>13639</v>
      </c>
      <c r="E1747" t="s">
        <v>904</v>
      </c>
      <c r="F1747" t="s">
        <v>13654</v>
      </c>
    </row>
    <row r="1748" spans="1:6" x14ac:dyDescent="0.25">
      <c r="A1748" t="s">
        <v>13655</v>
      </c>
      <c r="B1748" t="s">
        <v>13566</v>
      </c>
      <c r="C1748" t="s">
        <v>13639</v>
      </c>
      <c r="E1748" t="s">
        <v>904</v>
      </c>
      <c r="F1748" t="s">
        <v>13656</v>
      </c>
    </row>
    <row r="1749" spans="1:6" x14ac:dyDescent="0.25">
      <c r="A1749" t="s">
        <v>13657</v>
      </c>
      <c r="B1749" t="s">
        <v>13566</v>
      </c>
      <c r="C1749" t="s">
        <v>13639</v>
      </c>
      <c r="E1749" t="s">
        <v>904</v>
      </c>
      <c r="F1749" t="s">
        <v>13658</v>
      </c>
    </row>
    <row r="1750" spans="1:6" x14ac:dyDescent="0.25">
      <c r="A1750" t="s">
        <v>13659</v>
      </c>
      <c r="B1750" t="s">
        <v>13566</v>
      </c>
      <c r="C1750" t="s">
        <v>13639</v>
      </c>
      <c r="E1750" t="s">
        <v>904</v>
      </c>
      <c r="F1750" t="s">
        <v>13660</v>
      </c>
    </row>
    <row r="1751" spans="1:6" x14ac:dyDescent="0.25">
      <c r="A1751" t="s">
        <v>13661</v>
      </c>
      <c r="B1751" t="s">
        <v>13566</v>
      </c>
      <c r="C1751" t="s">
        <v>13639</v>
      </c>
      <c r="E1751" t="s">
        <v>904</v>
      </c>
      <c r="F1751" t="s">
        <v>13662</v>
      </c>
    </row>
    <row r="1752" spans="1:6" x14ac:dyDescent="0.25">
      <c r="A1752" t="s">
        <v>13663</v>
      </c>
      <c r="B1752" t="s">
        <v>13566</v>
      </c>
      <c r="C1752" t="s">
        <v>13639</v>
      </c>
      <c r="E1752" t="s">
        <v>904</v>
      </c>
      <c r="F1752" t="s">
        <v>13664</v>
      </c>
    </row>
    <row r="1753" spans="1:6" x14ac:dyDescent="0.25">
      <c r="A1753" t="s">
        <v>13665</v>
      </c>
      <c r="B1753" t="s">
        <v>13566</v>
      </c>
      <c r="C1753" t="s">
        <v>13639</v>
      </c>
      <c r="E1753" t="s">
        <v>904</v>
      </c>
      <c r="F1753" t="s">
        <v>13666</v>
      </c>
    </row>
    <row r="1754" spans="1:6" x14ac:dyDescent="0.25">
      <c r="A1754" t="s">
        <v>13667</v>
      </c>
      <c r="B1754" t="s">
        <v>13566</v>
      </c>
      <c r="C1754" t="s">
        <v>13639</v>
      </c>
      <c r="E1754" t="s">
        <v>904</v>
      </c>
      <c r="F1754" t="s">
        <v>13668</v>
      </c>
    </row>
    <row r="1755" spans="1:6" x14ac:dyDescent="0.25">
      <c r="A1755" t="s">
        <v>13669</v>
      </c>
      <c r="B1755" t="s">
        <v>13670</v>
      </c>
      <c r="C1755" t="s">
        <v>13671</v>
      </c>
      <c r="D1755">
        <v>2022</v>
      </c>
      <c r="E1755" t="s">
        <v>904</v>
      </c>
      <c r="F1755" t="s">
        <v>13672</v>
      </c>
    </row>
    <row r="1756" spans="1:6" x14ac:dyDescent="0.25">
      <c r="A1756" t="s">
        <v>13673</v>
      </c>
      <c r="B1756" t="s">
        <v>13670</v>
      </c>
      <c r="C1756" t="s">
        <v>13671</v>
      </c>
      <c r="D1756">
        <v>2022</v>
      </c>
      <c r="E1756" t="s">
        <v>904</v>
      </c>
      <c r="F1756" t="s">
        <v>13674</v>
      </c>
    </row>
    <row r="1757" spans="1:6" x14ac:dyDescent="0.25">
      <c r="A1757" t="s">
        <v>13675</v>
      </c>
      <c r="B1757" t="s">
        <v>10041</v>
      </c>
      <c r="C1757" t="s">
        <v>13676</v>
      </c>
      <c r="D1757">
        <v>2025</v>
      </c>
      <c r="E1757" t="s">
        <v>1298</v>
      </c>
      <c r="F1757" t="s">
        <v>13677</v>
      </c>
    </row>
    <row r="1758" spans="1:6" x14ac:dyDescent="0.25">
      <c r="A1758" t="s">
        <v>13678</v>
      </c>
      <c r="B1758" t="s">
        <v>10041</v>
      </c>
      <c r="C1758" t="s">
        <v>13676</v>
      </c>
      <c r="D1758">
        <v>2025</v>
      </c>
      <c r="E1758" t="s">
        <v>1298</v>
      </c>
      <c r="F1758" t="s">
        <v>13679</v>
      </c>
    </row>
    <row r="1759" spans="1:6" x14ac:dyDescent="0.25">
      <c r="A1759" t="s">
        <v>13680</v>
      </c>
      <c r="B1759" t="s">
        <v>10041</v>
      </c>
      <c r="C1759" t="s">
        <v>13676</v>
      </c>
      <c r="D1759">
        <v>2025</v>
      </c>
      <c r="E1759" t="s">
        <v>1298</v>
      </c>
      <c r="F1759" t="s">
        <v>13681</v>
      </c>
    </row>
    <row r="1760" spans="1:6" x14ac:dyDescent="0.25">
      <c r="A1760" t="s">
        <v>13682</v>
      </c>
      <c r="B1760" t="s">
        <v>10041</v>
      </c>
      <c r="C1760" t="s">
        <v>13676</v>
      </c>
      <c r="D1760">
        <v>2025</v>
      </c>
      <c r="E1760" t="s">
        <v>1298</v>
      </c>
      <c r="F1760" t="s">
        <v>13683</v>
      </c>
    </row>
    <row r="1761" spans="1:6" x14ac:dyDescent="0.25">
      <c r="A1761" t="s">
        <v>13684</v>
      </c>
      <c r="B1761" t="s">
        <v>10041</v>
      </c>
      <c r="C1761" t="s">
        <v>13676</v>
      </c>
      <c r="D1761">
        <v>2025</v>
      </c>
      <c r="E1761" t="s">
        <v>1298</v>
      </c>
      <c r="F1761" t="s">
        <v>13685</v>
      </c>
    </row>
    <row r="1762" spans="1:6" x14ac:dyDescent="0.25">
      <c r="A1762" t="s">
        <v>13686</v>
      </c>
      <c r="B1762" t="s">
        <v>10041</v>
      </c>
      <c r="C1762" t="s">
        <v>13676</v>
      </c>
      <c r="D1762">
        <v>2025</v>
      </c>
      <c r="E1762" t="s">
        <v>1298</v>
      </c>
      <c r="F1762" t="s">
        <v>13687</v>
      </c>
    </row>
    <row r="1763" spans="1:6" x14ac:dyDescent="0.25">
      <c r="A1763" t="s">
        <v>13688</v>
      </c>
      <c r="B1763" t="s">
        <v>10041</v>
      </c>
      <c r="C1763" t="s">
        <v>13676</v>
      </c>
      <c r="D1763">
        <v>2025</v>
      </c>
      <c r="E1763" t="s">
        <v>1298</v>
      </c>
      <c r="F1763" t="s">
        <v>13689</v>
      </c>
    </row>
    <row r="1764" spans="1:6" x14ac:dyDescent="0.25">
      <c r="A1764" t="s">
        <v>13690</v>
      </c>
      <c r="B1764" t="s">
        <v>10041</v>
      </c>
      <c r="C1764" t="s">
        <v>13676</v>
      </c>
      <c r="D1764">
        <v>2025</v>
      </c>
      <c r="E1764" t="s">
        <v>1298</v>
      </c>
      <c r="F1764" t="s">
        <v>13691</v>
      </c>
    </row>
    <row r="1765" spans="1:6" x14ac:dyDescent="0.25">
      <c r="A1765" t="s">
        <v>13692</v>
      </c>
      <c r="B1765" t="s">
        <v>10041</v>
      </c>
      <c r="C1765" t="s">
        <v>13676</v>
      </c>
      <c r="D1765">
        <v>2025</v>
      </c>
      <c r="E1765" t="s">
        <v>1298</v>
      </c>
      <c r="F1765" t="s">
        <v>13693</v>
      </c>
    </row>
    <row r="1766" spans="1:6" x14ac:dyDescent="0.25">
      <c r="A1766" t="s">
        <v>13694</v>
      </c>
      <c r="B1766" t="s">
        <v>10041</v>
      </c>
      <c r="C1766" t="s">
        <v>13676</v>
      </c>
      <c r="D1766">
        <v>2025</v>
      </c>
      <c r="E1766" t="s">
        <v>1298</v>
      </c>
      <c r="F1766" t="s">
        <v>13695</v>
      </c>
    </row>
    <row r="1767" spans="1:6" x14ac:dyDescent="0.25">
      <c r="A1767" t="s">
        <v>13696</v>
      </c>
      <c r="B1767" t="s">
        <v>10041</v>
      </c>
      <c r="C1767" t="s">
        <v>13676</v>
      </c>
      <c r="D1767">
        <v>2025</v>
      </c>
      <c r="E1767" t="s">
        <v>1298</v>
      </c>
      <c r="F1767" t="s">
        <v>13697</v>
      </c>
    </row>
    <row r="1768" spans="1:6" x14ac:dyDescent="0.25">
      <c r="A1768" t="s">
        <v>13698</v>
      </c>
      <c r="B1768" t="s">
        <v>10041</v>
      </c>
      <c r="C1768" t="s">
        <v>13676</v>
      </c>
      <c r="D1768">
        <v>2025</v>
      </c>
      <c r="E1768" t="s">
        <v>1298</v>
      </c>
      <c r="F1768" t="s">
        <v>13699</v>
      </c>
    </row>
    <row r="1769" spans="1:6" x14ac:dyDescent="0.25">
      <c r="A1769" t="s">
        <v>13700</v>
      </c>
      <c r="B1769" t="s">
        <v>10041</v>
      </c>
      <c r="C1769" t="s">
        <v>13676</v>
      </c>
      <c r="D1769">
        <v>2025</v>
      </c>
      <c r="E1769" t="s">
        <v>1298</v>
      </c>
      <c r="F1769" t="s">
        <v>13701</v>
      </c>
    </row>
    <row r="1770" spans="1:6" x14ac:dyDescent="0.25">
      <c r="A1770" t="s">
        <v>13702</v>
      </c>
      <c r="B1770" t="s">
        <v>10041</v>
      </c>
      <c r="C1770" t="s">
        <v>13676</v>
      </c>
      <c r="D1770">
        <v>2025</v>
      </c>
      <c r="E1770" t="s">
        <v>1298</v>
      </c>
      <c r="F1770" t="s">
        <v>13703</v>
      </c>
    </row>
    <row r="1771" spans="1:6" x14ac:dyDescent="0.25">
      <c r="A1771" t="s">
        <v>13704</v>
      </c>
      <c r="B1771" t="s">
        <v>10041</v>
      </c>
      <c r="C1771" t="s">
        <v>13676</v>
      </c>
      <c r="D1771">
        <v>2025</v>
      </c>
      <c r="E1771" t="s">
        <v>1298</v>
      </c>
      <c r="F1771" t="s">
        <v>13705</v>
      </c>
    </row>
    <row r="1772" spans="1:6" x14ac:dyDescent="0.25">
      <c r="A1772" t="s">
        <v>13706</v>
      </c>
      <c r="B1772" t="s">
        <v>10041</v>
      </c>
      <c r="C1772" t="s">
        <v>13676</v>
      </c>
      <c r="D1772">
        <v>2025</v>
      </c>
      <c r="E1772" t="s">
        <v>1298</v>
      </c>
      <c r="F1772" t="s">
        <v>13707</v>
      </c>
    </row>
    <row r="1773" spans="1:6" x14ac:dyDescent="0.25">
      <c r="A1773" t="s">
        <v>13708</v>
      </c>
      <c r="B1773" t="s">
        <v>10041</v>
      </c>
      <c r="C1773" t="s">
        <v>13676</v>
      </c>
      <c r="D1773">
        <v>2025</v>
      </c>
      <c r="E1773" t="s">
        <v>1298</v>
      </c>
      <c r="F1773" t="s">
        <v>13709</v>
      </c>
    </row>
    <row r="1774" spans="1:6" x14ac:dyDescent="0.25">
      <c r="A1774" t="s">
        <v>13710</v>
      </c>
      <c r="B1774" t="s">
        <v>10041</v>
      </c>
      <c r="C1774" t="s">
        <v>13676</v>
      </c>
      <c r="D1774">
        <v>2025</v>
      </c>
      <c r="E1774" t="s">
        <v>1298</v>
      </c>
      <c r="F1774" t="s">
        <v>13711</v>
      </c>
    </row>
    <row r="1775" spans="1:6" x14ac:dyDescent="0.25">
      <c r="A1775" t="s">
        <v>13712</v>
      </c>
      <c r="B1775" t="s">
        <v>10041</v>
      </c>
      <c r="C1775" t="s">
        <v>13676</v>
      </c>
      <c r="D1775">
        <v>2025</v>
      </c>
      <c r="E1775" t="s">
        <v>1298</v>
      </c>
      <c r="F1775" t="s">
        <v>13713</v>
      </c>
    </row>
    <row r="1776" spans="1:6" x14ac:dyDescent="0.25">
      <c r="A1776" t="s">
        <v>13714</v>
      </c>
      <c r="B1776" t="s">
        <v>10041</v>
      </c>
      <c r="C1776" t="s">
        <v>13676</v>
      </c>
      <c r="D1776">
        <v>2025</v>
      </c>
      <c r="E1776" t="s">
        <v>1298</v>
      </c>
      <c r="F1776" t="s">
        <v>13715</v>
      </c>
    </row>
    <row r="1777" spans="1:6" x14ac:dyDescent="0.25">
      <c r="A1777" t="s">
        <v>13716</v>
      </c>
      <c r="B1777" t="s">
        <v>10041</v>
      </c>
      <c r="C1777" t="s">
        <v>13676</v>
      </c>
      <c r="D1777">
        <v>2025</v>
      </c>
      <c r="E1777" t="s">
        <v>1298</v>
      </c>
      <c r="F1777" t="s">
        <v>13717</v>
      </c>
    </row>
    <row r="1778" spans="1:6" x14ac:dyDescent="0.25">
      <c r="A1778" t="s">
        <v>13718</v>
      </c>
      <c r="B1778" t="s">
        <v>10041</v>
      </c>
      <c r="C1778" t="s">
        <v>13676</v>
      </c>
      <c r="D1778">
        <v>2025</v>
      </c>
      <c r="E1778" t="s">
        <v>1298</v>
      </c>
      <c r="F1778" t="s">
        <v>13719</v>
      </c>
    </row>
    <row r="1779" spans="1:6" x14ac:dyDescent="0.25">
      <c r="A1779" t="s">
        <v>13720</v>
      </c>
      <c r="B1779" t="s">
        <v>10041</v>
      </c>
      <c r="C1779" t="s">
        <v>13676</v>
      </c>
      <c r="D1779">
        <v>2025</v>
      </c>
      <c r="E1779" t="s">
        <v>1298</v>
      </c>
      <c r="F1779" t="s">
        <v>13721</v>
      </c>
    </row>
    <row r="1780" spans="1:6" x14ac:dyDescent="0.25">
      <c r="A1780" t="s">
        <v>13722</v>
      </c>
      <c r="B1780" t="s">
        <v>10041</v>
      </c>
      <c r="C1780" t="s">
        <v>13676</v>
      </c>
      <c r="D1780">
        <v>2025</v>
      </c>
      <c r="E1780" t="s">
        <v>1298</v>
      </c>
      <c r="F1780" t="s">
        <v>13723</v>
      </c>
    </row>
    <row r="1781" spans="1:6" x14ac:dyDescent="0.25">
      <c r="A1781" t="s">
        <v>13724</v>
      </c>
      <c r="B1781" t="s">
        <v>10041</v>
      </c>
      <c r="C1781" t="s">
        <v>13676</v>
      </c>
      <c r="D1781">
        <v>2025</v>
      </c>
      <c r="E1781" t="s">
        <v>1298</v>
      </c>
      <c r="F1781" t="s">
        <v>13725</v>
      </c>
    </row>
    <row r="1782" spans="1:6" x14ac:dyDescent="0.25">
      <c r="A1782" t="s">
        <v>13726</v>
      </c>
      <c r="B1782" t="s">
        <v>10041</v>
      </c>
      <c r="C1782" t="s">
        <v>13676</v>
      </c>
      <c r="D1782">
        <v>2025</v>
      </c>
      <c r="E1782" t="s">
        <v>1298</v>
      </c>
      <c r="F1782" t="s">
        <v>13727</v>
      </c>
    </row>
    <row r="1783" spans="1:6" x14ac:dyDescent="0.25">
      <c r="A1783" t="s">
        <v>13728</v>
      </c>
      <c r="B1783" t="s">
        <v>10041</v>
      </c>
      <c r="C1783" t="s">
        <v>13676</v>
      </c>
      <c r="D1783">
        <v>2025</v>
      </c>
      <c r="E1783" t="s">
        <v>1298</v>
      </c>
      <c r="F1783" t="s">
        <v>13729</v>
      </c>
    </row>
    <row r="1784" spans="1:6" x14ac:dyDescent="0.25">
      <c r="A1784" t="s">
        <v>13730</v>
      </c>
      <c r="B1784" t="s">
        <v>10041</v>
      </c>
      <c r="C1784" t="s">
        <v>13676</v>
      </c>
      <c r="D1784">
        <v>2025</v>
      </c>
      <c r="E1784" t="s">
        <v>1298</v>
      </c>
      <c r="F1784" t="s">
        <v>13731</v>
      </c>
    </row>
    <row r="1785" spans="1:6" x14ac:dyDescent="0.25">
      <c r="A1785" t="s">
        <v>13732</v>
      </c>
      <c r="B1785" t="s">
        <v>10041</v>
      </c>
      <c r="C1785" t="s">
        <v>13676</v>
      </c>
      <c r="D1785">
        <v>2025</v>
      </c>
      <c r="E1785" t="s">
        <v>1298</v>
      </c>
      <c r="F1785" t="s">
        <v>13733</v>
      </c>
    </row>
    <row r="1786" spans="1:6" x14ac:dyDescent="0.25">
      <c r="A1786" t="s">
        <v>13734</v>
      </c>
      <c r="B1786" t="s">
        <v>10041</v>
      </c>
      <c r="C1786" t="s">
        <v>13676</v>
      </c>
      <c r="D1786">
        <v>2025</v>
      </c>
      <c r="E1786" t="s">
        <v>1298</v>
      </c>
      <c r="F1786" t="s">
        <v>13735</v>
      </c>
    </row>
    <row r="1787" spans="1:6" x14ac:dyDescent="0.25">
      <c r="A1787" t="s">
        <v>13736</v>
      </c>
      <c r="B1787" t="s">
        <v>10041</v>
      </c>
      <c r="C1787" t="s">
        <v>13676</v>
      </c>
      <c r="D1787">
        <v>2025</v>
      </c>
      <c r="E1787" t="s">
        <v>1298</v>
      </c>
      <c r="F1787" t="s">
        <v>13737</v>
      </c>
    </row>
    <row r="1788" spans="1:6" x14ac:dyDescent="0.25">
      <c r="A1788" t="s">
        <v>13738</v>
      </c>
      <c r="B1788" t="s">
        <v>10041</v>
      </c>
      <c r="C1788" t="s">
        <v>13676</v>
      </c>
      <c r="D1788">
        <v>2025</v>
      </c>
      <c r="E1788" t="s">
        <v>1298</v>
      </c>
      <c r="F1788" t="s">
        <v>13739</v>
      </c>
    </row>
    <row r="1789" spans="1:6" x14ac:dyDescent="0.25">
      <c r="A1789" t="s">
        <v>13740</v>
      </c>
      <c r="B1789" t="s">
        <v>10041</v>
      </c>
      <c r="C1789" t="s">
        <v>13676</v>
      </c>
      <c r="D1789">
        <v>2025</v>
      </c>
      <c r="E1789" t="s">
        <v>1298</v>
      </c>
      <c r="F1789" t="s">
        <v>13741</v>
      </c>
    </row>
    <row r="1790" spans="1:6" x14ac:dyDescent="0.25">
      <c r="A1790" t="s">
        <v>13742</v>
      </c>
      <c r="B1790" t="s">
        <v>10041</v>
      </c>
      <c r="C1790" t="s">
        <v>13676</v>
      </c>
      <c r="D1790">
        <v>2025</v>
      </c>
      <c r="E1790" t="s">
        <v>1298</v>
      </c>
      <c r="F1790" t="s">
        <v>13743</v>
      </c>
    </row>
    <row r="1791" spans="1:6" x14ac:dyDescent="0.25">
      <c r="A1791" t="s">
        <v>13744</v>
      </c>
      <c r="B1791" t="s">
        <v>10041</v>
      </c>
      <c r="C1791" t="s">
        <v>13676</v>
      </c>
      <c r="D1791">
        <v>2025</v>
      </c>
      <c r="E1791" t="s">
        <v>1298</v>
      </c>
      <c r="F1791" t="s">
        <v>13745</v>
      </c>
    </row>
    <row r="1792" spans="1:6" x14ac:dyDescent="0.25">
      <c r="A1792" t="s">
        <v>13746</v>
      </c>
      <c r="B1792" t="s">
        <v>10041</v>
      </c>
      <c r="C1792" t="s">
        <v>13676</v>
      </c>
      <c r="D1792">
        <v>2025</v>
      </c>
      <c r="E1792" t="s">
        <v>1298</v>
      </c>
      <c r="F1792" t="s">
        <v>13747</v>
      </c>
    </row>
    <row r="1793" spans="1:6" x14ac:dyDescent="0.25">
      <c r="A1793" t="s">
        <v>13748</v>
      </c>
      <c r="B1793" t="s">
        <v>10041</v>
      </c>
      <c r="C1793" t="s">
        <v>13676</v>
      </c>
      <c r="D1793">
        <v>2025</v>
      </c>
      <c r="E1793" t="s">
        <v>1298</v>
      </c>
      <c r="F1793" t="s">
        <v>13749</v>
      </c>
    </row>
    <row r="1794" spans="1:6" x14ac:dyDescent="0.25">
      <c r="A1794" t="s">
        <v>13750</v>
      </c>
      <c r="B1794" t="s">
        <v>10041</v>
      </c>
      <c r="C1794" t="s">
        <v>13676</v>
      </c>
      <c r="D1794">
        <v>2025</v>
      </c>
      <c r="E1794" t="s">
        <v>1298</v>
      </c>
      <c r="F1794" t="s">
        <v>13751</v>
      </c>
    </row>
    <row r="1795" spans="1:6" x14ac:dyDescent="0.25">
      <c r="A1795" t="s">
        <v>13752</v>
      </c>
      <c r="B1795" t="s">
        <v>10041</v>
      </c>
      <c r="C1795" t="s">
        <v>13676</v>
      </c>
      <c r="D1795">
        <v>2025</v>
      </c>
      <c r="E1795" t="s">
        <v>1298</v>
      </c>
      <c r="F1795" t="s">
        <v>13753</v>
      </c>
    </row>
    <row r="1796" spans="1:6" x14ac:dyDescent="0.25">
      <c r="A1796" t="s">
        <v>13754</v>
      </c>
      <c r="B1796" t="s">
        <v>10041</v>
      </c>
      <c r="C1796" t="s">
        <v>13676</v>
      </c>
      <c r="D1796">
        <v>2025</v>
      </c>
      <c r="E1796" t="s">
        <v>1298</v>
      </c>
      <c r="F1796" t="s">
        <v>13755</v>
      </c>
    </row>
    <row r="1797" spans="1:6" x14ac:dyDescent="0.25">
      <c r="A1797" t="s">
        <v>13756</v>
      </c>
      <c r="B1797" t="s">
        <v>10041</v>
      </c>
      <c r="C1797" t="s">
        <v>13676</v>
      </c>
      <c r="D1797">
        <v>2025</v>
      </c>
      <c r="E1797" t="s">
        <v>1298</v>
      </c>
      <c r="F1797" t="s">
        <v>13757</v>
      </c>
    </row>
    <row r="1798" spans="1:6" x14ac:dyDescent="0.25">
      <c r="A1798" t="s">
        <v>13758</v>
      </c>
      <c r="B1798" t="s">
        <v>10041</v>
      </c>
      <c r="C1798" t="s">
        <v>13676</v>
      </c>
      <c r="D1798">
        <v>2025</v>
      </c>
      <c r="E1798" t="s">
        <v>1298</v>
      </c>
      <c r="F1798" t="s">
        <v>13759</v>
      </c>
    </row>
    <row r="1799" spans="1:6" x14ac:dyDescent="0.25">
      <c r="A1799" t="s">
        <v>13760</v>
      </c>
      <c r="B1799" t="s">
        <v>10041</v>
      </c>
      <c r="C1799" t="s">
        <v>13676</v>
      </c>
      <c r="D1799">
        <v>2025</v>
      </c>
      <c r="E1799" t="s">
        <v>1298</v>
      </c>
      <c r="F1799" t="s">
        <v>13761</v>
      </c>
    </row>
    <row r="1800" spans="1:6" x14ac:dyDescent="0.25">
      <c r="A1800" t="s">
        <v>13762</v>
      </c>
      <c r="B1800" t="s">
        <v>10041</v>
      </c>
      <c r="C1800" t="s">
        <v>13676</v>
      </c>
      <c r="D1800">
        <v>2025</v>
      </c>
      <c r="E1800" t="s">
        <v>1298</v>
      </c>
      <c r="F1800" t="s">
        <v>13763</v>
      </c>
    </row>
    <row r="1801" spans="1:6" x14ac:dyDescent="0.25">
      <c r="A1801" t="s">
        <v>13764</v>
      </c>
      <c r="B1801" t="s">
        <v>10041</v>
      </c>
      <c r="C1801" t="s">
        <v>13676</v>
      </c>
      <c r="D1801">
        <v>2025</v>
      </c>
      <c r="E1801" t="s">
        <v>1298</v>
      </c>
      <c r="F1801" t="s">
        <v>13765</v>
      </c>
    </row>
    <row r="1802" spans="1:6" x14ac:dyDescent="0.25">
      <c r="A1802" t="s">
        <v>13766</v>
      </c>
      <c r="B1802" t="s">
        <v>10041</v>
      </c>
      <c r="C1802" t="s">
        <v>13676</v>
      </c>
      <c r="D1802">
        <v>2025</v>
      </c>
      <c r="E1802" t="s">
        <v>1298</v>
      </c>
      <c r="F1802" t="s">
        <v>13767</v>
      </c>
    </row>
    <row r="1803" spans="1:6" x14ac:dyDescent="0.25">
      <c r="A1803" t="s">
        <v>13768</v>
      </c>
      <c r="B1803" t="s">
        <v>10041</v>
      </c>
      <c r="C1803" t="s">
        <v>13676</v>
      </c>
      <c r="D1803">
        <v>2025</v>
      </c>
      <c r="E1803" t="s">
        <v>1298</v>
      </c>
      <c r="F1803" t="s">
        <v>13769</v>
      </c>
    </row>
    <row r="1804" spans="1:6" x14ac:dyDescent="0.25">
      <c r="A1804" t="s">
        <v>13770</v>
      </c>
      <c r="B1804" t="s">
        <v>10041</v>
      </c>
      <c r="C1804" t="s">
        <v>13676</v>
      </c>
      <c r="D1804">
        <v>2025</v>
      </c>
      <c r="E1804" t="s">
        <v>1298</v>
      </c>
      <c r="F1804" t="s">
        <v>13771</v>
      </c>
    </row>
    <row r="1805" spans="1:6" x14ac:dyDescent="0.25">
      <c r="A1805" t="s">
        <v>13772</v>
      </c>
      <c r="B1805" t="s">
        <v>10041</v>
      </c>
      <c r="C1805" t="s">
        <v>13676</v>
      </c>
      <c r="D1805">
        <v>2025</v>
      </c>
      <c r="E1805" t="s">
        <v>1298</v>
      </c>
      <c r="F1805" t="s">
        <v>13773</v>
      </c>
    </row>
    <row r="1806" spans="1:6" x14ac:dyDescent="0.25">
      <c r="A1806" t="s">
        <v>13774</v>
      </c>
      <c r="B1806" t="s">
        <v>10041</v>
      </c>
      <c r="C1806" t="s">
        <v>13676</v>
      </c>
      <c r="D1806">
        <v>2025</v>
      </c>
      <c r="E1806" t="s">
        <v>1298</v>
      </c>
      <c r="F1806" t="s">
        <v>13775</v>
      </c>
    </row>
    <row r="1807" spans="1:6" x14ac:dyDescent="0.25">
      <c r="A1807" t="s">
        <v>13776</v>
      </c>
      <c r="B1807" t="s">
        <v>10041</v>
      </c>
      <c r="C1807" t="s">
        <v>13676</v>
      </c>
      <c r="D1807">
        <v>2025</v>
      </c>
      <c r="E1807" t="s">
        <v>1298</v>
      </c>
      <c r="F1807" t="s">
        <v>13777</v>
      </c>
    </row>
    <row r="1808" spans="1:6" x14ac:dyDescent="0.25">
      <c r="A1808" t="s">
        <v>13778</v>
      </c>
      <c r="B1808" t="s">
        <v>10041</v>
      </c>
      <c r="C1808" t="s">
        <v>13676</v>
      </c>
      <c r="D1808">
        <v>2025</v>
      </c>
      <c r="E1808" t="s">
        <v>1298</v>
      </c>
      <c r="F1808" t="s">
        <v>13779</v>
      </c>
    </row>
    <row r="1809" spans="1:6" x14ac:dyDescent="0.25">
      <c r="A1809" t="s">
        <v>13780</v>
      </c>
      <c r="B1809" t="s">
        <v>13781</v>
      </c>
      <c r="C1809" t="s">
        <v>13782</v>
      </c>
      <c r="D1809">
        <v>2018</v>
      </c>
      <c r="E1809" t="s">
        <v>1713</v>
      </c>
      <c r="F1809" t="s">
        <v>13783</v>
      </c>
    </row>
    <row r="1810" spans="1:6" x14ac:dyDescent="0.25">
      <c r="A1810" t="s">
        <v>13784</v>
      </c>
      <c r="B1810" t="s">
        <v>13785</v>
      </c>
      <c r="C1810" t="s">
        <v>13786</v>
      </c>
      <c r="E1810" t="s">
        <v>1713</v>
      </c>
      <c r="F1810" t="s">
        <v>13787</v>
      </c>
    </row>
    <row r="1811" spans="1:6" x14ac:dyDescent="0.25">
      <c r="A1811" t="s">
        <v>13788</v>
      </c>
      <c r="B1811" t="s">
        <v>13785</v>
      </c>
      <c r="C1811" t="s">
        <v>13786</v>
      </c>
      <c r="E1811" t="s">
        <v>1713</v>
      </c>
      <c r="F1811" t="s">
        <v>13789</v>
      </c>
    </row>
    <row r="1812" spans="1:6" x14ac:dyDescent="0.25">
      <c r="A1812" t="s">
        <v>13790</v>
      </c>
      <c r="B1812" t="s">
        <v>13781</v>
      </c>
      <c r="C1812" t="s">
        <v>13782</v>
      </c>
      <c r="D1812">
        <v>2018</v>
      </c>
      <c r="E1812" t="s">
        <v>1713</v>
      </c>
      <c r="F1812" t="s">
        <v>13791</v>
      </c>
    </row>
    <row r="1813" spans="1:6" x14ac:dyDescent="0.25">
      <c r="A1813" t="s">
        <v>13792</v>
      </c>
      <c r="B1813" t="s">
        <v>13785</v>
      </c>
      <c r="C1813" t="s">
        <v>13786</v>
      </c>
      <c r="E1813" t="s">
        <v>1713</v>
      </c>
      <c r="F1813" t="s">
        <v>13793</v>
      </c>
    </row>
    <row r="1814" spans="1:6" x14ac:dyDescent="0.25">
      <c r="A1814" t="s">
        <v>13794</v>
      </c>
      <c r="B1814" t="s">
        <v>13781</v>
      </c>
      <c r="C1814" t="s">
        <v>13782</v>
      </c>
      <c r="D1814">
        <v>2018</v>
      </c>
      <c r="E1814" t="s">
        <v>1713</v>
      </c>
      <c r="F1814" t="s">
        <v>13795</v>
      </c>
    </row>
    <row r="1815" spans="1:6" x14ac:dyDescent="0.25">
      <c r="A1815" t="s">
        <v>13796</v>
      </c>
      <c r="B1815" t="s">
        <v>13785</v>
      </c>
      <c r="C1815" t="s">
        <v>13786</v>
      </c>
      <c r="E1815" t="s">
        <v>1713</v>
      </c>
      <c r="F1815" t="s">
        <v>13797</v>
      </c>
    </row>
    <row r="1816" spans="1:6" x14ac:dyDescent="0.25">
      <c r="A1816" t="s">
        <v>13798</v>
      </c>
      <c r="B1816" t="s">
        <v>13781</v>
      </c>
      <c r="C1816" t="s">
        <v>13782</v>
      </c>
      <c r="D1816">
        <v>2018</v>
      </c>
      <c r="E1816" t="s">
        <v>1713</v>
      </c>
      <c r="F1816" t="s">
        <v>13799</v>
      </c>
    </row>
    <row r="1817" spans="1:6" x14ac:dyDescent="0.25">
      <c r="A1817" t="s">
        <v>13800</v>
      </c>
      <c r="B1817" t="s">
        <v>13781</v>
      </c>
      <c r="C1817" t="s">
        <v>13782</v>
      </c>
      <c r="D1817">
        <v>2018</v>
      </c>
      <c r="E1817" t="s">
        <v>1713</v>
      </c>
      <c r="F1817" t="s">
        <v>13801</v>
      </c>
    </row>
    <row r="1818" spans="1:6" x14ac:dyDescent="0.25">
      <c r="A1818" t="s">
        <v>13802</v>
      </c>
      <c r="B1818" t="s">
        <v>13785</v>
      </c>
      <c r="C1818" t="s">
        <v>13786</v>
      </c>
      <c r="E1818" t="s">
        <v>1713</v>
      </c>
      <c r="F1818" t="s">
        <v>13803</v>
      </c>
    </row>
    <row r="1819" spans="1:6" x14ac:dyDescent="0.25">
      <c r="A1819" t="s">
        <v>13804</v>
      </c>
      <c r="B1819" t="s">
        <v>13785</v>
      </c>
      <c r="C1819" t="s">
        <v>13786</v>
      </c>
      <c r="E1819" t="s">
        <v>1713</v>
      </c>
      <c r="F1819" t="s">
        <v>13805</v>
      </c>
    </row>
    <row r="1820" spans="1:6" x14ac:dyDescent="0.25">
      <c r="A1820" t="s">
        <v>13806</v>
      </c>
      <c r="B1820" t="s">
        <v>13781</v>
      </c>
      <c r="C1820" t="s">
        <v>13782</v>
      </c>
      <c r="D1820">
        <v>2018</v>
      </c>
      <c r="E1820" t="s">
        <v>1713</v>
      </c>
      <c r="F1820" t="s">
        <v>13807</v>
      </c>
    </row>
    <row r="1821" spans="1:6" x14ac:dyDescent="0.25">
      <c r="A1821" t="s">
        <v>13808</v>
      </c>
      <c r="B1821" t="s">
        <v>13785</v>
      </c>
      <c r="C1821" t="s">
        <v>13786</v>
      </c>
      <c r="E1821" t="s">
        <v>1713</v>
      </c>
      <c r="F1821" t="s">
        <v>13809</v>
      </c>
    </row>
    <row r="1822" spans="1:6" x14ac:dyDescent="0.25">
      <c r="A1822" t="s">
        <v>13810</v>
      </c>
      <c r="B1822" t="s">
        <v>13781</v>
      </c>
      <c r="C1822" t="s">
        <v>13782</v>
      </c>
      <c r="D1822">
        <v>2018</v>
      </c>
      <c r="E1822" t="s">
        <v>1713</v>
      </c>
      <c r="F1822" t="s">
        <v>13811</v>
      </c>
    </row>
    <row r="1823" spans="1:6" x14ac:dyDescent="0.25">
      <c r="A1823" t="s">
        <v>13812</v>
      </c>
      <c r="B1823" t="s">
        <v>13785</v>
      </c>
      <c r="C1823" t="s">
        <v>13786</v>
      </c>
      <c r="E1823" t="s">
        <v>1713</v>
      </c>
      <c r="F1823" t="s">
        <v>13813</v>
      </c>
    </row>
    <row r="1824" spans="1:6" x14ac:dyDescent="0.25">
      <c r="A1824" t="s">
        <v>13814</v>
      </c>
      <c r="B1824" t="s">
        <v>13781</v>
      </c>
      <c r="C1824" t="s">
        <v>13782</v>
      </c>
      <c r="D1824">
        <v>2018</v>
      </c>
      <c r="E1824" t="s">
        <v>1713</v>
      </c>
      <c r="F1824" t="s">
        <v>13815</v>
      </c>
    </row>
    <row r="1825" spans="1:6" x14ac:dyDescent="0.25">
      <c r="A1825" t="s">
        <v>13816</v>
      </c>
      <c r="B1825" t="s">
        <v>13781</v>
      </c>
      <c r="C1825" t="s">
        <v>13782</v>
      </c>
      <c r="D1825">
        <v>2018</v>
      </c>
      <c r="E1825" t="s">
        <v>1713</v>
      </c>
      <c r="F1825" t="s">
        <v>13817</v>
      </c>
    </row>
    <row r="1826" spans="1:6" x14ac:dyDescent="0.25">
      <c r="A1826" t="s">
        <v>13818</v>
      </c>
      <c r="B1826" t="s">
        <v>13781</v>
      </c>
      <c r="C1826" t="s">
        <v>13782</v>
      </c>
      <c r="D1826">
        <v>2018</v>
      </c>
      <c r="E1826" t="s">
        <v>1713</v>
      </c>
      <c r="F1826" t="s">
        <v>13819</v>
      </c>
    </row>
    <row r="1827" spans="1:6" x14ac:dyDescent="0.25">
      <c r="A1827" t="s">
        <v>13820</v>
      </c>
      <c r="B1827" t="s">
        <v>13781</v>
      </c>
      <c r="C1827" t="s">
        <v>13782</v>
      </c>
      <c r="D1827">
        <v>2018</v>
      </c>
      <c r="E1827" t="s">
        <v>1713</v>
      </c>
      <c r="F1827" t="s">
        <v>13821</v>
      </c>
    </row>
    <row r="1828" spans="1:6" x14ac:dyDescent="0.25">
      <c r="A1828" t="s">
        <v>13822</v>
      </c>
      <c r="B1828" t="s">
        <v>13781</v>
      </c>
      <c r="C1828" t="s">
        <v>13782</v>
      </c>
      <c r="D1828">
        <v>2018</v>
      </c>
      <c r="E1828" t="s">
        <v>1713</v>
      </c>
      <c r="F1828" t="s">
        <v>13823</v>
      </c>
    </row>
    <row r="1829" spans="1:6" x14ac:dyDescent="0.25">
      <c r="A1829" t="s">
        <v>13824</v>
      </c>
      <c r="B1829" t="s">
        <v>13781</v>
      </c>
      <c r="C1829" t="s">
        <v>13782</v>
      </c>
      <c r="D1829">
        <v>2018</v>
      </c>
      <c r="E1829" t="s">
        <v>1713</v>
      </c>
      <c r="F1829" t="s">
        <v>13825</v>
      </c>
    </row>
    <row r="1830" spans="1:6" x14ac:dyDescent="0.25">
      <c r="A1830" t="s">
        <v>13826</v>
      </c>
      <c r="B1830" t="s">
        <v>13781</v>
      </c>
      <c r="C1830" t="s">
        <v>13782</v>
      </c>
      <c r="D1830">
        <v>2018</v>
      </c>
      <c r="E1830" t="s">
        <v>1713</v>
      </c>
      <c r="F1830" t="s">
        <v>13827</v>
      </c>
    </row>
    <row r="1831" spans="1:6" x14ac:dyDescent="0.25">
      <c r="A1831" t="s">
        <v>13828</v>
      </c>
      <c r="B1831" t="s">
        <v>13781</v>
      </c>
      <c r="C1831" t="s">
        <v>13782</v>
      </c>
      <c r="D1831">
        <v>2018</v>
      </c>
      <c r="E1831" t="s">
        <v>1713</v>
      </c>
      <c r="F1831" t="s">
        <v>13829</v>
      </c>
    </row>
    <row r="1832" spans="1:6" x14ac:dyDescent="0.25">
      <c r="A1832" t="s">
        <v>13830</v>
      </c>
      <c r="B1832" t="s">
        <v>13781</v>
      </c>
      <c r="C1832" t="s">
        <v>13782</v>
      </c>
      <c r="D1832">
        <v>2018</v>
      </c>
      <c r="E1832" t="s">
        <v>1713</v>
      </c>
      <c r="F1832" t="s">
        <v>13831</v>
      </c>
    </row>
    <row r="1833" spans="1:6" x14ac:dyDescent="0.25">
      <c r="A1833" t="s">
        <v>13832</v>
      </c>
      <c r="B1833" t="s">
        <v>13781</v>
      </c>
      <c r="C1833" t="s">
        <v>13782</v>
      </c>
      <c r="D1833">
        <v>2018</v>
      </c>
      <c r="E1833" t="s">
        <v>1713</v>
      </c>
      <c r="F1833" t="s">
        <v>13833</v>
      </c>
    </row>
    <row r="1834" spans="1:6" x14ac:dyDescent="0.25">
      <c r="A1834" t="s">
        <v>13834</v>
      </c>
      <c r="B1834" t="s">
        <v>13781</v>
      </c>
      <c r="C1834" t="s">
        <v>13782</v>
      </c>
      <c r="D1834">
        <v>2018</v>
      </c>
      <c r="E1834" t="s">
        <v>1713</v>
      </c>
      <c r="F1834" t="s">
        <v>13835</v>
      </c>
    </row>
    <row r="1835" spans="1:6" x14ac:dyDescent="0.25">
      <c r="A1835" t="s">
        <v>13836</v>
      </c>
      <c r="B1835" t="s">
        <v>13781</v>
      </c>
      <c r="C1835" t="s">
        <v>13782</v>
      </c>
      <c r="D1835">
        <v>2018</v>
      </c>
      <c r="E1835" t="s">
        <v>1713</v>
      </c>
      <c r="F1835" t="s">
        <v>13837</v>
      </c>
    </row>
    <row r="1836" spans="1:6" x14ac:dyDescent="0.25">
      <c r="A1836" t="s">
        <v>13838</v>
      </c>
      <c r="B1836" t="s">
        <v>13781</v>
      </c>
      <c r="C1836" t="s">
        <v>13782</v>
      </c>
      <c r="D1836">
        <v>2018</v>
      </c>
      <c r="E1836" t="s">
        <v>1713</v>
      </c>
      <c r="F1836" t="s">
        <v>13839</v>
      </c>
    </row>
    <row r="1837" spans="1:6" x14ac:dyDescent="0.25">
      <c r="A1837" t="s">
        <v>13840</v>
      </c>
      <c r="B1837" t="s">
        <v>13781</v>
      </c>
      <c r="C1837" t="s">
        <v>13782</v>
      </c>
      <c r="D1837">
        <v>2018</v>
      </c>
      <c r="E1837" t="s">
        <v>1713</v>
      </c>
      <c r="F1837" t="s">
        <v>13841</v>
      </c>
    </row>
    <row r="1838" spans="1:6" x14ac:dyDescent="0.25">
      <c r="A1838" t="s">
        <v>4381</v>
      </c>
      <c r="B1838" t="s">
        <v>13781</v>
      </c>
      <c r="C1838" t="s">
        <v>13782</v>
      </c>
      <c r="D1838">
        <v>2018</v>
      </c>
      <c r="E1838" t="s">
        <v>1713</v>
      </c>
      <c r="F1838" t="s">
        <v>13842</v>
      </c>
    </row>
    <row r="1839" spans="1:6" x14ac:dyDescent="0.25">
      <c r="A1839" t="s">
        <v>13843</v>
      </c>
      <c r="B1839" t="s">
        <v>13781</v>
      </c>
      <c r="C1839" t="s">
        <v>13782</v>
      </c>
      <c r="D1839">
        <v>2018</v>
      </c>
      <c r="E1839" t="s">
        <v>1713</v>
      </c>
      <c r="F1839" t="s">
        <v>13844</v>
      </c>
    </row>
    <row r="1840" spans="1:6" x14ac:dyDescent="0.25">
      <c r="A1840" t="s">
        <v>13845</v>
      </c>
      <c r="B1840" t="s">
        <v>13781</v>
      </c>
      <c r="C1840" t="s">
        <v>13782</v>
      </c>
      <c r="D1840">
        <v>2018</v>
      </c>
      <c r="E1840" t="s">
        <v>1713</v>
      </c>
      <c r="F1840" t="s">
        <v>13846</v>
      </c>
    </row>
    <row r="1841" spans="1:6" x14ac:dyDescent="0.25">
      <c r="A1841" t="s">
        <v>13847</v>
      </c>
      <c r="B1841" t="s">
        <v>13781</v>
      </c>
      <c r="C1841" t="s">
        <v>13782</v>
      </c>
      <c r="D1841">
        <v>2018</v>
      </c>
      <c r="E1841" t="s">
        <v>1713</v>
      </c>
      <c r="F1841" t="s">
        <v>13848</v>
      </c>
    </row>
    <row r="1842" spans="1:6" x14ac:dyDescent="0.25">
      <c r="A1842" t="s">
        <v>13849</v>
      </c>
      <c r="B1842" t="s">
        <v>13850</v>
      </c>
      <c r="C1842" t="s">
        <v>13782</v>
      </c>
      <c r="D1842">
        <v>2018</v>
      </c>
      <c r="E1842" t="s">
        <v>1713</v>
      </c>
      <c r="F1842" t="s">
        <v>13851</v>
      </c>
    </row>
    <row r="1843" spans="1:6" x14ac:dyDescent="0.25">
      <c r="A1843" t="s">
        <v>13852</v>
      </c>
      <c r="B1843" t="s">
        <v>13853</v>
      </c>
      <c r="C1843" t="s">
        <v>13854</v>
      </c>
      <c r="D1843">
        <v>2019</v>
      </c>
      <c r="E1843" t="s">
        <v>1817</v>
      </c>
      <c r="F1843" t="s">
        <v>13855</v>
      </c>
    </row>
    <row r="1844" spans="1:6" x14ac:dyDescent="0.25">
      <c r="A1844" t="s">
        <v>13856</v>
      </c>
      <c r="B1844" t="s">
        <v>13853</v>
      </c>
      <c r="C1844" t="s">
        <v>13857</v>
      </c>
      <c r="D1844">
        <v>2020</v>
      </c>
      <c r="E1844" t="s">
        <v>1817</v>
      </c>
      <c r="F1844" t="s">
        <v>13858</v>
      </c>
    </row>
    <row r="1845" spans="1:6" x14ac:dyDescent="0.25">
      <c r="A1845" t="s">
        <v>13859</v>
      </c>
      <c r="B1845" t="s">
        <v>13853</v>
      </c>
      <c r="C1845" t="s">
        <v>13860</v>
      </c>
      <c r="D1845">
        <v>2022</v>
      </c>
      <c r="E1845" t="s">
        <v>1817</v>
      </c>
      <c r="F1845" t="s">
        <v>13861</v>
      </c>
    </row>
    <row r="1846" spans="1:6" x14ac:dyDescent="0.25">
      <c r="A1846" t="s">
        <v>13862</v>
      </c>
      <c r="B1846" t="s">
        <v>13853</v>
      </c>
      <c r="C1846" t="s">
        <v>13854</v>
      </c>
      <c r="D1846">
        <v>2019</v>
      </c>
      <c r="E1846" t="s">
        <v>1817</v>
      </c>
      <c r="F1846" t="s">
        <v>13863</v>
      </c>
    </row>
    <row r="1847" spans="1:6" x14ac:dyDescent="0.25">
      <c r="A1847" t="s">
        <v>13864</v>
      </c>
      <c r="B1847" t="s">
        <v>13853</v>
      </c>
      <c r="C1847" t="s">
        <v>13857</v>
      </c>
      <c r="D1847">
        <v>2020</v>
      </c>
      <c r="E1847" t="s">
        <v>1817</v>
      </c>
      <c r="F1847" t="s">
        <v>13865</v>
      </c>
    </row>
    <row r="1848" spans="1:6" x14ac:dyDescent="0.25">
      <c r="A1848" t="s">
        <v>13866</v>
      </c>
      <c r="B1848" t="s">
        <v>13853</v>
      </c>
      <c r="C1848" t="s">
        <v>13860</v>
      </c>
      <c r="D1848">
        <v>2022</v>
      </c>
      <c r="E1848" t="s">
        <v>1817</v>
      </c>
      <c r="F1848" t="s">
        <v>13867</v>
      </c>
    </row>
    <row r="1849" spans="1:6" x14ac:dyDescent="0.25">
      <c r="A1849" t="s">
        <v>13868</v>
      </c>
      <c r="B1849" t="s">
        <v>13853</v>
      </c>
      <c r="C1849" t="s">
        <v>13854</v>
      </c>
      <c r="D1849">
        <v>2019</v>
      </c>
      <c r="E1849" t="s">
        <v>1817</v>
      </c>
      <c r="F1849" t="s">
        <v>13869</v>
      </c>
    </row>
    <row r="1850" spans="1:6" x14ac:dyDescent="0.25">
      <c r="A1850" t="s">
        <v>13870</v>
      </c>
      <c r="B1850" t="s">
        <v>13853</v>
      </c>
      <c r="C1850" t="s">
        <v>13860</v>
      </c>
      <c r="D1850">
        <v>2022</v>
      </c>
      <c r="E1850" t="s">
        <v>1817</v>
      </c>
      <c r="F1850" t="s">
        <v>13871</v>
      </c>
    </row>
    <row r="1851" spans="1:6" x14ac:dyDescent="0.25">
      <c r="A1851" t="s">
        <v>13872</v>
      </c>
      <c r="B1851" t="s">
        <v>13853</v>
      </c>
      <c r="C1851" t="s">
        <v>13857</v>
      </c>
      <c r="D1851">
        <v>2020</v>
      </c>
      <c r="E1851" t="s">
        <v>1817</v>
      </c>
      <c r="F1851" t="s">
        <v>13873</v>
      </c>
    </row>
    <row r="1852" spans="1:6" x14ac:dyDescent="0.25">
      <c r="A1852" t="s">
        <v>13874</v>
      </c>
      <c r="B1852" t="s">
        <v>13853</v>
      </c>
      <c r="C1852" t="s">
        <v>13854</v>
      </c>
      <c r="D1852">
        <v>2019</v>
      </c>
      <c r="E1852" t="s">
        <v>1817</v>
      </c>
      <c r="F1852" t="s">
        <v>13875</v>
      </c>
    </row>
    <row r="1853" spans="1:6" x14ac:dyDescent="0.25">
      <c r="A1853" t="s">
        <v>13876</v>
      </c>
      <c r="B1853" t="s">
        <v>13853</v>
      </c>
      <c r="C1853" t="s">
        <v>13857</v>
      </c>
      <c r="D1853">
        <v>2020</v>
      </c>
      <c r="E1853" t="s">
        <v>1817</v>
      </c>
      <c r="F1853" t="s">
        <v>13877</v>
      </c>
    </row>
    <row r="1854" spans="1:6" x14ac:dyDescent="0.25">
      <c r="A1854" t="s">
        <v>13878</v>
      </c>
      <c r="B1854" t="s">
        <v>13853</v>
      </c>
      <c r="C1854" t="s">
        <v>13860</v>
      </c>
      <c r="D1854">
        <v>2022</v>
      </c>
      <c r="E1854" t="s">
        <v>1817</v>
      </c>
      <c r="F1854" t="s">
        <v>13879</v>
      </c>
    </row>
    <row r="1855" spans="1:6" x14ac:dyDescent="0.25">
      <c r="A1855" t="s">
        <v>13880</v>
      </c>
      <c r="B1855" t="s">
        <v>13853</v>
      </c>
      <c r="C1855" t="s">
        <v>13854</v>
      </c>
      <c r="D1855">
        <v>2019</v>
      </c>
      <c r="E1855" t="s">
        <v>1817</v>
      </c>
      <c r="F1855" t="s">
        <v>13881</v>
      </c>
    </row>
    <row r="1856" spans="1:6" x14ac:dyDescent="0.25">
      <c r="A1856" t="s">
        <v>13882</v>
      </c>
      <c r="B1856" t="s">
        <v>13853</v>
      </c>
      <c r="C1856" t="s">
        <v>13860</v>
      </c>
      <c r="D1856">
        <v>2022</v>
      </c>
      <c r="E1856" t="s">
        <v>1817</v>
      </c>
      <c r="F1856" t="s">
        <v>13883</v>
      </c>
    </row>
    <row r="1857" spans="1:6" x14ac:dyDescent="0.25">
      <c r="A1857" t="s">
        <v>13884</v>
      </c>
      <c r="B1857" t="s">
        <v>13853</v>
      </c>
      <c r="C1857" t="s">
        <v>13857</v>
      </c>
      <c r="D1857">
        <v>2020</v>
      </c>
      <c r="E1857" t="s">
        <v>1817</v>
      </c>
      <c r="F1857" t="s">
        <v>13885</v>
      </c>
    </row>
    <row r="1858" spans="1:6" x14ac:dyDescent="0.25">
      <c r="A1858" t="s">
        <v>13886</v>
      </c>
      <c r="B1858" t="s">
        <v>13853</v>
      </c>
      <c r="C1858" t="s">
        <v>13854</v>
      </c>
      <c r="D1858">
        <v>2019</v>
      </c>
      <c r="E1858" t="s">
        <v>1817</v>
      </c>
      <c r="F1858" t="s">
        <v>13887</v>
      </c>
    </row>
    <row r="1859" spans="1:6" x14ac:dyDescent="0.25">
      <c r="A1859" t="s">
        <v>13888</v>
      </c>
      <c r="B1859" t="s">
        <v>13853</v>
      </c>
      <c r="C1859" t="s">
        <v>13860</v>
      </c>
      <c r="D1859">
        <v>2022</v>
      </c>
      <c r="E1859" t="s">
        <v>1817</v>
      </c>
      <c r="F1859" t="s">
        <v>13889</v>
      </c>
    </row>
    <row r="1860" spans="1:6" x14ac:dyDescent="0.25">
      <c r="A1860" t="s">
        <v>13890</v>
      </c>
      <c r="B1860" t="s">
        <v>13853</v>
      </c>
      <c r="C1860" t="s">
        <v>13857</v>
      </c>
      <c r="D1860">
        <v>2020</v>
      </c>
      <c r="E1860" t="s">
        <v>1817</v>
      </c>
      <c r="F1860" t="s">
        <v>13891</v>
      </c>
    </row>
    <row r="1861" spans="1:6" x14ac:dyDescent="0.25">
      <c r="A1861" t="s">
        <v>13892</v>
      </c>
      <c r="B1861" t="s">
        <v>13853</v>
      </c>
      <c r="C1861" t="s">
        <v>13854</v>
      </c>
      <c r="D1861">
        <v>2019</v>
      </c>
      <c r="E1861" t="s">
        <v>1817</v>
      </c>
      <c r="F1861" t="s">
        <v>13893</v>
      </c>
    </row>
    <row r="1862" spans="1:6" x14ac:dyDescent="0.25">
      <c r="A1862" t="s">
        <v>13894</v>
      </c>
      <c r="B1862" t="s">
        <v>13853</v>
      </c>
      <c r="C1862" t="s">
        <v>13860</v>
      </c>
      <c r="D1862">
        <v>2022</v>
      </c>
      <c r="E1862" t="s">
        <v>1817</v>
      </c>
      <c r="F1862" t="s">
        <v>13895</v>
      </c>
    </row>
    <row r="1863" spans="1:6" x14ac:dyDescent="0.25">
      <c r="A1863" t="s">
        <v>13896</v>
      </c>
      <c r="B1863" t="s">
        <v>13853</v>
      </c>
      <c r="C1863" t="s">
        <v>13857</v>
      </c>
      <c r="D1863">
        <v>2020</v>
      </c>
      <c r="E1863" t="s">
        <v>1817</v>
      </c>
      <c r="F1863" t="s">
        <v>13897</v>
      </c>
    </row>
    <row r="1864" spans="1:6" x14ac:dyDescent="0.25">
      <c r="A1864" t="s">
        <v>13898</v>
      </c>
      <c r="B1864" t="s">
        <v>13853</v>
      </c>
      <c r="C1864" t="s">
        <v>13854</v>
      </c>
      <c r="D1864">
        <v>2019</v>
      </c>
      <c r="E1864" t="s">
        <v>1817</v>
      </c>
      <c r="F1864" t="s">
        <v>13899</v>
      </c>
    </row>
    <row r="1865" spans="1:6" x14ac:dyDescent="0.25">
      <c r="A1865" t="s">
        <v>13900</v>
      </c>
      <c r="B1865" t="s">
        <v>13853</v>
      </c>
      <c r="C1865" t="s">
        <v>13860</v>
      </c>
      <c r="D1865">
        <v>2022</v>
      </c>
      <c r="E1865" t="s">
        <v>1817</v>
      </c>
      <c r="F1865" t="s">
        <v>13901</v>
      </c>
    </row>
    <row r="1866" spans="1:6" x14ac:dyDescent="0.25">
      <c r="A1866" t="s">
        <v>13902</v>
      </c>
      <c r="B1866" t="s">
        <v>13853</v>
      </c>
      <c r="C1866" t="s">
        <v>13857</v>
      </c>
      <c r="D1866">
        <v>2020</v>
      </c>
      <c r="E1866" t="s">
        <v>1817</v>
      </c>
      <c r="F1866" t="s">
        <v>13903</v>
      </c>
    </row>
    <row r="1867" spans="1:6" x14ac:dyDescent="0.25">
      <c r="A1867" t="s">
        <v>13904</v>
      </c>
      <c r="B1867" t="s">
        <v>13853</v>
      </c>
      <c r="C1867" t="s">
        <v>13854</v>
      </c>
      <c r="D1867">
        <v>2019</v>
      </c>
      <c r="E1867" t="s">
        <v>1817</v>
      </c>
      <c r="F1867" t="s">
        <v>13905</v>
      </c>
    </row>
    <row r="1868" spans="1:6" x14ac:dyDescent="0.25">
      <c r="A1868" t="s">
        <v>13906</v>
      </c>
      <c r="B1868" t="s">
        <v>13853</v>
      </c>
      <c r="C1868" t="s">
        <v>13860</v>
      </c>
      <c r="D1868">
        <v>2022</v>
      </c>
      <c r="E1868" t="s">
        <v>1817</v>
      </c>
      <c r="F1868" t="s">
        <v>13907</v>
      </c>
    </row>
    <row r="1869" spans="1:6" x14ac:dyDescent="0.25">
      <c r="A1869" t="s">
        <v>13908</v>
      </c>
      <c r="B1869" t="s">
        <v>13853</v>
      </c>
      <c r="C1869" t="s">
        <v>13857</v>
      </c>
      <c r="D1869">
        <v>2020</v>
      </c>
      <c r="E1869" t="s">
        <v>1817</v>
      </c>
      <c r="F1869" t="s">
        <v>13909</v>
      </c>
    </row>
    <row r="1870" spans="1:6" x14ac:dyDescent="0.25">
      <c r="A1870" t="s">
        <v>13910</v>
      </c>
      <c r="B1870" t="s">
        <v>13853</v>
      </c>
      <c r="C1870" t="s">
        <v>13854</v>
      </c>
      <c r="D1870">
        <v>2019</v>
      </c>
      <c r="E1870" t="s">
        <v>1817</v>
      </c>
      <c r="F1870" t="s">
        <v>13911</v>
      </c>
    </row>
    <row r="1871" spans="1:6" x14ac:dyDescent="0.25">
      <c r="A1871" t="s">
        <v>13912</v>
      </c>
      <c r="B1871" t="s">
        <v>13853</v>
      </c>
      <c r="C1871" t="s">
        <v>13857</v>
      </c>
      <c r="D1871">
        <v>2020</v>
      </c>
      <c r="E1871" t="s">
        <v>1817</v>
      </c>
      <c r="F1871" t="s">
        <v>13913</v>
      </c>
    </row>
    <row r="1872" spans="1:6" x14ac:dyDescent="0.25">
      <c r="A1872" t="s">
        <v>13914</v>
      </c>
      <c r="B1872" t="s">
        <v>13853</v>
      </c>
      <c r="C1872" t="s">
        <v>13860</v>
      </c>
      <c r="D1872">
        <v>2022</v>
      </c>
      <c r="E1872" t="s">
        <v>1817</v>
      </c>
      <c r="F1872" t="s">
        <v>13915</v>
      </c>
    </row>
    <row r="1873" spans="1:6" x14ac:dyDescent="0.25">
      <c r="A1873" t="s">
        <v>13916</v>
      </c>
      <c r="B1873" t="s">
        <v>13853</v>
      </c>
      <c r="C1873" t="s">
        <v>13854</v>
      </c>
      <c r="D1873">
        <v>2019</v>
      </c>
      <c r="E1873" t="s">
        <v>1817</v>
      </c>
      <c r="F1873" t="s">
        <v>13917</v>
      </c>
    </row>
    <row r="1874" spans="1:6" x14ac:dyDescent="0.25">
      <c r="A1874" t="s">
        <v>13918</v>
      </c>
      <c r="B1874" t="s">
        <v>13853</v>
      </c>
      <c r="C1874" t="s">
        <v>13857</v>
      </c>
      <c r="D1874">
        <v>2020</v>
      </c>
      <c r="E1874" t="s">
        <v>1817</v>
      </c>
      <c r="F1874" t="s">
        <v>13919</v>
      </c>
    </row>
    <row r="1875" spans="1:6" x14ac:dyDescent="0.25">
      <c r="A1875" t="s">
        <v>13920</v>
      </c>
      <c r="B1875" t="s">
        <v>13853</v>
      </c>
      <c r="C1875" t="s">
        <v>13860</v>
      </c>
      <c r="D1875">
        <v>2022</v>
      </c>
      <c r="E1875" t="s">
        <v>1817</v>
      </c>
      <c r="F1875" t="s">
        <v>13921</v>
      </c>
    </row>
    <row r="1876" spans="1:6" x14ac:dyDescent="0.25">
      <c r="A1876" t="s">
        <v>13922</v>
      </c>
      <c r="B1876" t="s">
        <v>13853</v>
      </c>
      <c r="C1876" t="s">
        <v>13854</v>
      </c>
      <c r="D1876">
        <v>2019</v>
      </c>
      <c r="E1876" t="s">
        <v>1817</v>
      </c>
      <c r="F1876" t="s">
        <v>13923</v>
      </c>
    </row>
    <row r="1877" spans="1:6" x14ac:dyDescent="0.25">
      <c r="A1877" t="s">
        <v>13924</v>
      </c>
      <c r="B1877" t="s">
        <v>13853</v>
      </c>
      <c r="C1877" t="s">
        <v>13860</v>
      </c>
      <c r="D1877">
        <v>2022</v>
      </c>
      <c r="E1877" t="s">
        <v>1817</v>
      </c>
      <c r="F1877" t="s">
        <v>13925</v>
      </c>
    </row>
    <row r="1878" spans="1:6" x14ac:dyDescent="0.25">
      <c r="A1878" t="s">
        <v>13926</v>
      </c>
      <c r="B1878" t="s">
        <v>13853</v>
      </c>
      <c r="C1878" t="s">
        <v>13857</v>
      </c>
      <c r="D1878">
        <v>2020</v>
      </c>
      <c r="E1878" t="s">
        <v>1817</v>
      </c>
      <c r="F1878" t="s">
        <v>13927</v>
      </c>
    </row>
    <row r="1879" spans="1:6" x14ac:dyDescent="0.25">
      <c r="A1879" t="s">
        <v>13928</v>
      </c>
      <c r="B1879" t="s">
        <v>13853</v>
      </c>
      <c r="C1879" t="s">
        <v>13854</v>
      </c>
      <c r="D1879">
        <v>2019</v>
      </c>
      <c r="E1879" t="s">
        <v>1817</v>
      </c>
      <c r="F1879" t="s">
        <v>13929</v>
      </c>
    </row>
    <row r="1880" spans="1:6" x14ac:dyDescent="0.25">
      <c r="A1880" t="s">
        <v>13930</v>
      </c>
      <c r="B1880" t="s">
        <v>13853</v>
      </c>
      <c r="C1880" t="s">
        <v>13860</v>
      </c>
      <c r="D1880">
        <v>2022</v>
      </c>
      <c r="E1880" t="s">
        <v>1817</v>
      </c>
      <c r="F1880" t="s">
        <v>13931</v>
      </c>
    </row>
    <row r="1881" spans="1:6" x14ac:dyDescent="0.25">
      <c r="A1881" t="s">
        <v>13932</v>
      </c>
      <c r="B1881" t="s">
        <v>13853</v>
      </c>
      <c r="C1881" t="s">
        <v>13857</v>
      </c>
      <c r="D1881">
        <v>2020</v>
      </c>
      <c r="E1881" t="s">
        <v>1817</v>
      </c>
      <c r="F1881" t="s">
        <v>13933</v>
      </c>
    </row>
    <row r="1882" spans="1:6" x14ac:dyDescent="0.25">
      <c r="A1882" t="s">
        <v>13934</v>
      </c>
      <c r="B1882" t="s">
        <v>13853</v>
      </c>
      <c r="C1882" t="s">
        <v>13854</v>
      </c>
      <c r="D1882">
        <v>2019</v>
      </c>
      <c r="E1882" t="s">
        <v>1817</v>
      </c>
      <c r="F1882" t="s">
        <v>13935</v>
      </c>
    </row>
    <row r="1883" spans="1:6" x14ac:dyDescent="0.25">
      <c r="A1883" t="s">
        <v>13936</v>
      </c>
      <c r="B1883" t="s">
        <v>13853</v>
      </c>
      <c r="C1883" t="s">
        <v>13860</v>
      </c>
      <c r="D1883">
        <v>2022</v>
      </c>
      <c r="E1883" t="s">
        <v>1817</v>
      </c>
      <c r="F1883" t="s">
        <v>13937</v>
      </c>
    </row>
    <row r="1884" spans="1:6" x14ac:dyDescent="0.25">
      <c r="A1884" t="s">
        <v>13938</v>
      </c>
      <c r="B1884" t="s">
        <v>13853</v>
      </c>
      <c r="C1884" t="s">
        <v>13857</v>
      </c>
      <c r="D1884">
        <v>2020</v>
      </c>
      <c r="E1884" t="s">
        <v>1817</v>
      </c>
      <c r="F1884" t="s">
        <v>13939</v>
      </c>
    </row>
    <row r="1885" spans="1:6" x14ac:dyDescent="0.25">
      <c r="A1885" t="s">
        <v>13940</v>
      </c>
      <c r="B1885" t="s">
        <v>13853</v>
      </c>
      <c r="C1885" t="s">
        <v>13854</v>
      </c>
      <c r="D1885">
        <v>2019</v>
      </c>
      <c r="E1885" t="s">
        <v>1817</v>
      </c>
      <c r="F1885" t="s">
        <v>13941</v>
      </c>
    </row>
    <row r="1886" spans="1:6" x14ac:dyDescent="0.25">
      <c r="A1886" t="s">
        <v>13942</v>
      </c>
      <c r="B1886" t="s">
        <v>13853</v>
      </c>
      <c r="C1886" t="s">
        <v>13860</v>
      </c>
      <c r="D1886">
        <v>2022</v>
      </c>
      <c r="E1886" t="s">
        <v>1817</v>
      </c>
      <c r="F1886" t="s">
        <v>13943</v>
      </c>
    </row>
    <row r="1887" spans="1:6" x14ac:dyDescent="0.25">
      <c r="A1887" t="s">
        <v>13944</v>
      </c>
      <c r="B1887" t="s">
        <v>13853</v>
      </c>
      <c r="C1887" t="s">
        <v>13857</v>
      </c>
      <c r="D1887">
        <v>2020</v>
      </c>
      <c r="E1887" t="s">
        <v>1817</v>
      </c>
      <c r="F1887" t="s">
        <v>13945</v>
      </c>
    </row>
    <row r="1888" spans="1:6" x14ac:dyDescent="0.25">
      <c r="A1888" t="s">
        <v>13946</v>
      </c>
      <c r="B1888" t="s">
        <v>13853</v>
      </c>
      <c r="C1888" t="s">
        <v>13854</v>
      </c>
      <c r="D1888">
        <v>2019</v>
      </c>
      <c r="E1888" t="s">
        <v>1817</v>
      </c>
      <c r="F1888" t="s">
        <v>13947</v>
      </c>
    </row>
    <row r="1889" spans="1:6" x14ac:dyDescent="0.25">
      <c r="A1889" t="s">
        <v>13948</v>
      </c>
      <c r="B1889" t="s">
        <v>13853</v>
      </c>
      <c r="C1889" t="s">
        <v>13857</v>
      </c>
      <c r="D1889">
        <v>2020</v>
      </c>
      <c r="E1889" t="s">
        <v>1817</v>
      </c>
      <c r="F1889" t="s">
        <v>13949</v>
      </c>
    </row>
    <row r="1890" spans="1:6" x14ac:dyDescent="0.25">
      <c r="A1890" t="s">
        <v>13950</v>
      </c>
      <c r="B1890" t="s">
        <v>13853</v>
      </c>
      <c r="C1890" t="s">
        <v>13860</v>
      </c>
      <c r="D1890">
        <v>2022</v>
      </c>
      <c r="E1890" t="s">
        <v>1817</v>
      </c>
      <c r="F1890" t="s">
        <v>13951</v>
      </c>
    </row>
    <row r="1891" spans="1:6" x14ac:dyDescent="0.25">
      <c r="A1891" t="s">
        <v>13952</v>
      </c>
      <c r="B1891" t="s">
        <v>13853</v>
      </c>
      <c r="C1891" t="s">
        <v>13854</v>
      </c>
      <c r="D1891">
        <v>2019</v>
      </c>
      <c r="E1891" t="s">
        <v>1817</v>
      </c>
      <c r="F1891" t="s">
        <v>13953</v>
      </c>
    </row>
    <row r="1892" spans="1:6" x14ac:dyDescent="0.25">
      <c r="A1892" t="s">
        <v>13954</v>
      </c>
      <c r="B1892" t="s">
        <v>13853</v>
      </c>
      <c r="C1892" t="s">
        <v>13860</v>
      </c>
      <c r="D1892">
        <v>2022</v>
      </c>
      <c r="E1892" t="s">
        <v>1817</v>
      </c>
      <c r="F1892" t="s">
        <v>13955</v>
      </c>
    </row>
    <row r="1893" spans="1:6" x14ac:dyDescent="0.25">
      <c r="A1893" t="s">
        <v>13956</v>
      </c>
      <c r="B1893" t="s">
        <v>13853</v>
      </c>
      <c r="C1893" t="s">
        <v>13857</v>
      </c>
      <c r="D1893">
        <v>2020</v>
      </c>
      <c r="E1893" t="s">
        <v>1817</v>
      </c>
      <c r="F1893" t="s">
        <v>13957</v>
      </c>
    </row>
    <row r="1894" spans="1:6" x14ac:dyDescent="0.25">
      <c r="A1894" t="s">
        <v>13958</v>
      </c>
      <c r="B1894" t="s">
        <v>13853</v>
      </c>
      <c r="C1894" t="s">
        <v>13854</v>
      </c>
      <c r="D1894">
        <v>2019</v>
      </c>
      <c r="E1894" t="s">
        <v>1817</v>
      </c>
      <c r="F1894" t="s">
        <v>13959</v>
      </c>
    </row>
    <row r="1895" spans="1:6" x14ac:dyDescent="0.25">
      <c r="A1895" t="s">
        <v>13960</v>
      </c>
      <c r="B1895" t="s">
        <v>13853</v>
      </c>
      <c r="C1895" t="s">
        <v>13857</v>
      </c>
      <c r="D1895">
        <v>2020</v>
      </c>
      <c r="E1895" t="s">
        <v>1817</v>
      </c>
      <c r="F1895" t="s">
        <v>13961</v>
      </c>
    </row>
    <row r="1896" spans="1:6" x14ac:dyDescent="0.25">
      <c r="A1896" t="s">
        <v>13962</v>
      </c>
      <c r="B1896" t="s">
        <v>13853</v>
      </c>
      <c r="C1896" t="s">
        <v>13860</v>
      </c>
      <c r="D1896">
        <v>2022</v>
      </c>
      <c r="E1896" t="s">
        <v>1817</v>
      </c>
      <c r="F1896" t="s">
        <v>13963</v>
      </c>
    </row>
    <row r="1897" spans="1:6" x14ac:dyDescent="0.25">
      <c r="A1897" t="s">
        <v>13964</v>
      </c>
      <c r="B1897" t="s">
        <v>13853</v>
      </c>
      <c r="C1897" t="s">
        <v>13854</v>
      </c>
      <c r="D1897">
        <v>2019</v>
      </c>
      <c r="E1897" t="s">
        <v>1817</v>
      </c>
      <c r="F1897" t="s">
        <v>13965</v>
      </c>
    </row>
    <row r="1898" spans="1:6" x14ac:dyDescent="0.25">
      <c r="A1898" t="s">
        <v>13966</v>
      </c>
      <c r="B1898" t="s">
        <v>13853</v>
      </c>
      <c r="C1898" t="s">
        <v>13857</v>
      </c>
      <c r="D1898">
        <v>2020</v>
      </c>
      <c r="E1898" t="s">
        <v>1817</v>
      </c>
      <c r="F1898" t="s">
        <v>13967</v>
      </c>
    </row>
    <row r="1899" spans="1:6" x14ac:dyDescent="0.25">
      <c r="A1899" t="s">
        <v>10481</v>
      </c>
      <c r="B1899" t="s">
        <v>13853</v>
      </c>
      <c r="C1899" t="s">
        <v>13860</v>
      </c>
      <c r="D1899">
        <v>2022</v>
      </c>
      <c r="E1899" t="s">
        <v>1817</v>
      </c>
      <c r="F1899" t="s">
        <v>13968</v>
      </c>
    </row>
    <row r="1900" spans="1:6" x14ac:dyDescent="0.25">
      <c r="A1900" t="s">
        <v>13969</v>
      </c>
      <c r="B1900" t="s">
        <v>13853</v>
      </c>
      <c r="C1900" t="s">
        <v>13854</v>
      </c>
      <c r="D1900">
        <v>2019</v>
      </c>
      <c r="E1900" t="s">
        <v>1817</v>
      </c>
      <c r="F1900" t="s">
        <v>13970</v>
      </c>
    </row>
    <row r="1901" spans="1:6" x14ac:dyDescent="0.25">
      <c r="A1901" t="s">
        <v>13971</v>
      </c>
      <c r="B1901" t="s">
        <v>13853</v>
      </c>
      <c r="C1901" t="s">
        <v>13860</v>
      </c>
      <c r="D1901">
        <v>2022</v>
      </c>
      <c r="E1901" t="s">
        <v>1817</v>
      </c>
      <c r="F1901" t="s">
        <v>13972</v>
      </c>
    </row>
    <row r="1902" spans="1:6" x14ac:dyDescent="0.25">
      <c r="A1902" t="s">
        <v>13973</v>
      </c>
      <c r="B1902" t="s">
        <v>13853</v>
      </c>
      <c r="C1902" t="s">
        <v>13857</v>
      </c>
      <c r="D1902">
        <v>2020</v>
      </c>
      <c r="E1902" t="s">
        <v>1817</v>
      </c>
      <c r="F1902" t="s">
        <v>13974</v>
      </c>
    </row>
    <row r="1903" spans="1:6" x14ac:dyDescent="0.25">
      <c r="A1903" t="s">
        <v>13854</v>
      </c>
      <c r="B1903" t="s">
        <v>13853</v>
      </c>
      <c r="C1903" t="s">
        <v>13854</v>
      </c>
      <c r="D1903">
        <v>2019</v>
      </c>
      <c r="E1903" t="s">
        <v>1817</v>
      </c>
      <c r="F1903" t="s">
        <v>13975</v>
      </c>
    </row>
    <row r="1904" spans="1:6" x14ac:dyDescent="0.25">
      <c r="A1904" t="s">
        <v>13976</v>
      </c>
      <c r="B1904" t="s">
        <v>13853</v>
      </c>
      <c r="C1904" t="s">
        <v>13857</v>
      </c>
      <c r="D1904">
        <v>2020</v>
      </c>
      <c r="E1904" t="s">
        <v>1817</v>
      </c>
      <c r="F1904" t="s">
        <v>13977</v>
      </c>
    </row>
    <row r="1905" spans="1:6" x14ac:dyDescent="0.25">
      <c r="A1905" t="s">
        <v>13978</v>
      </c>
      <c r="B1905" t="s">
        <v>13853</v>
      </c>
      <c r="C1905" t="s">
        <v>13854</v>
      </c>
      <c r="D1905">
        <v>2019</v>
      </c>
      <c r="E1905" t="s">
        <v>1817</v>
      </c>
      <c r="F1905" t="s">
        <v>13979</v>
      </c>
    </row>
    <row r="1906" spans="1:6" x14ac:dyDescent="0.25">
      <c r="A1906" t="s">
        <v>13980</v>
      </c>
      <c r="B1906" t="s">
        <v>13853</v>
      </c>
      <c r="C1906" t="s">
        <v>13857</v>
      </c>
      <c r="D1906">
        <v>2020</v>
      </c>
      <c r="E1906" t="s">
        <v>1817</v>
      </c>
      <c r="F1906" t="s">
        <v>13981</v>
      </c>
    </row>
    <row r="1907" spans="1:6" x14ac:dyDescent="0.25">
      <c r="A1907" t="s">
        <v>13982</v>
      </c>
      <c r="B1907" t="s">
        <v>13853</v>
      </c>
      <c r="C1907" t="s">
        <v>13857</v>
      </c>
      <c r="D1907">
        <v>2020</v>
      </c>
      <c r="E1907" t="s">
        <v>1817</v>
      </c>
      <c r="F1907" t="s">
        <v>13983</v>
      </c>
    </row>
    <row r="1908" spans="1:6" x14ac:dyDescent="0.25">
      <c r="A1908" t="s">
        <v>13984</v>
      </c>
      <c r="B1908" t="s">
        <v>13985</v>
      </c>
      <c r="C1908" t="s">
        <v>13986</v>
      </c>
      <c r="E1908" t="s">
        <v>2648</v>
      </c>
      <c r="F1908" t="s">
        <v>13987</v>
      </c>
    </row>
    <row r="1909" spans="1:6" x14ac:dyDescent="0.25">
      <c r="A1909" t="s">
        <v>13988</v>
      </c>
      <c r="B1909" t="s">
        <v>13985</v>
      </c>
      <c r="C1909" t="s">
        <v>13986</v>
      </c>
      <c r="E1909" t="s">
        <v>2648</v>
      </c>
      <c r="F1909" t="s">
        <v>13989</v>
      </c>
    </row>
    <row r="1910" spans="1:6" x14ac:dyDescent="0.25">
      <c r="A1910" t="s">
        <v>13990</v>
      </c>
      <c r="B1910" t="s">
        <v>13985</v>
      </c>
      <c r="C1910" t="s">
        <v>13986</v>
      </c>
      <c r="E1910" t="s">
        <v>2648</v>
      </c>
      <c r="F1910" t="s">
        <v>13991</v>
      </c>
    </row>
    <row r="1911" spans="1:6" x14ac:dyDescent="0.25">
      <c r="A1911" t="s">
        <v>13992</v>
      </c>
      <c r="B1911" t="s">
        <v>13985</v>
      </c>
      <c r="C1911" t="s">
        <v>13986</v>
      </c>
      <c r="E1911" t="s">
        <v>2648</v>
      </c>
      <c r="F1911" t="s">
        <v>13993</v>
      </c>
    </row>
    <row r="1912" spans="1:6" x14ac:dyDescent="0.25">
      <c r="A1912" t="s">
        <v>13994</v>
      </c>
      <c r="B1912" t="s">
        <v>13985</v>
      </c>
      <c r="C1912" t="s">
        <v>13986</v>
      </c>
      <c r="E1912" t="s">
        <v>2648</v>
      </c>
      <c r="F1912" t="s">
        <v>13995</v>
      </c>
    </row>
    <row r="1913" spans="1:6" x14ac:dyDescent="0.25">
      <c r="A1913" t="s">
        <v>13996</v>
      </c>
      <c r="B1913" t="s">
        <v>13985</v>
      </c>
      <c r="C1913" t="s">
        <v>13986</v>
      </c>
      <c r="E1913" t="s">
        <v>2648</v>
      </c>
      <c r="F1913" t="s">
        <v>13997</v>
      </c>
    </row>
    <row r="1914" spans="1:6" x14ac:dyDescent="0.25">
      <c r="A1914" t="s">
        <v>13998</v>
      </c>
      <c r="B1914" t="s">
        <v>13985</v>
      </c>
      <c r="C1914" t="s">
        <v>13986</v>
      </c>
      <c r="E1914" t="s">
        <v>2648</v>
      </c>
      <c r="F1914" t="s">
        <v>13999</v>
      </c>
    </row>
    <row r="1915" spans="1:6" x14ac:dyDescent="0.25">
      <c r="A1915" t="s">
        <v>14000</v>
      </c>
      <c r="B1915" t="s">
        <v>13985</v>
      </c>
      <c r="C1915" t="s">
        <v>13986</v>
      </c>
      <c r="E1915" t="s">
        <v>2648</v>
      </c>
      <c r="F1915" t="s">
        <v>14001</v>
      </c>
    </row>
    <row r="1916" spans="1:6" x14ac:dyDescent="0.25">
      <c r="A1916" t="s">
        <v>14002</v>
      </c>
      <c r="B1916" t="s">
        <v>13985</v>
      </c>
      <c r="C1916" t="s">
        <v>13986</v>
      </c>
      <c r="E1916" t="s">
        <v>2648</v>
      </c>
      <c r="F1916" t="s">
        <v>14003</v>
      </c>
    </row>
    <row r="1917" spans="1:6" x14ac:dyDescent="0.25">
      <c r="A1917" t="s">
        <v>14004</v>
      </c>
      <c r="B1917" t="s">
        <v>13985</v>
      </c>
      <c r="C1917" t="s">
        <v>13986</v>
      </c>
      <c r="E1917" t="s">
        <v>2648</v>
      </c>
      <c r="F1917" t="s">
        <v>14005</v>
      </c>
    </row>
    <row r="1918" spans="1:6" x14ac:dyDescent="0.25">
      <c r="A1918" t="s">
        <v>14006</v>
      </c>
      <c r="B1918" t="s">
        <v>13985</v>
      </c>
      <c r="C1918" t="s">
        <v>13986</v>
      </c>
      <c r="E1918" t="s">
        <v>2648</v>
      </c>
      <c r="F1918" t="s">
        <v>14007</v>
      </c>
    </row>
    <row r="1919" spans="1:6" x14ac:dyDescent="0.25">
      <c r="A1919" t="s">
        <v>14008</v>
      </c>
      <c r="B1919" t="s">
        <v>13985</v>
      </c>
      <c r="C1919" t="s">
        <v>13986</v>
      </c>
      <c r="E1919" t="s">
        <v>2648</v>
      </c>
      <c r="F1919" t="s">
        <v>14009</v>
      </c>
    </row>
    <row r="1920" spans="1:6" x14ac:dyDescent="0.25">
      <c r="A1920" t="s">
        <v>14010</v>
      </c>
      <c r="B1920" t="s">
        <v>13985</v>
      </c>
      <c r="C1920" t="s">
        <v>13986</v>
      </c>
      <c r="E1920" t="s">
        <v>2648</v>
      </c>
      <c r="F1920" t="s">
        <v>14011</v>
      </c>
    </row>
    <row r="1921" spans="1:6" x14ac:dyDescent="0.25">
      <c r="A1921" t="s">
        <v>14012</v>
      </c>
      <c r="B1921" t="s">
        <v>13985</v>
      </c>
      <c r="C1921" t="s">
        <v>13986</v>
      </c>
      <c r="E1921" t="s">
        <v>2648</v>
      </c>
      <c r="F1921" t="s">
        <v>14013</v>
      </c>
    </row>
    <row r="1922" spans="1:6" x14ac:dyDescent="0.25">
      <c r="A1922" t="s">
        <v>14014</v>
      </c>
      <c r="B1922" t="s">
        <v>13985</v>
      </c>
      <c r="C1922" t="s">
        <v>13986</v>
      </c>
      <c r="E1922" t="s">
        <v>2648</v>
      </c>
      <c r="F1922" t="s">
        <v>14015</v>
      </c>
    </row>
    <row r="1923" spans="1:6" x14ac:dyDescent="0.25">
      <c r="A1923" t="s">
        <v>14016</v>
      </c>
      <c r="B1923" t="s">
        <v>13985</v>
      </c>
      <c r="C1923" t="s">
        <v>13986</v>
      </c>
      <c r="E1923" t="s">
        <v>2648</v>
      </c>
      <c r="F1923" t="s">
        <v>14017</v>
      </c>
    </row>
    <row r="1924" spans="1:6" x14ac:dyDescent="0.25">
      <c r="A1924" t="s">
        <v>14018</v>
      </c>
      <c r="B1924" t="s">
        <v>13985</v>
      </c>
      <c r="C1924" t="s">
        <v>13986</v>
      </c>
      <c r="E1924" t="s">
        <v>2648</v>
      </c>
      <c r="F1924" t="s">
        <v>14019</v>
      </c>
    </row>
    <row r="1925" spans="1:6" x14ac:dyDescent="0.25">
      <c r="A1925" t="s">
        <v>14020</v>
      </c>
      <c r="B1925" t="s">
        <v>13985</v>
      </c>
      <c r="C1925" t="s">
        <v>13986</v>
      </c>
      <c r="E1925" t="s">
        <v>2648</v>
      </c>
      <c r="F1925" t="s">
        <v>14021</v>
      </c>
    </row>
    <row r="1926" spans="1:6" x14ac:dyDescent="0.25">
      <c r="A1926" t="s">
        <v>14022</v>
      </c>
      <c r="B1926" t="s">
        <v>13985</v>
      </c>
      <c r="C1926" t="s">
        <v>13986</v>
      </c>
      <c r="E1926" t="s">
        <v>2648</v>
      </c>
      <c r="F1926" t="s">
        <v>14023</v>
      </c>
    </row>
    <row r="1927" spans="1:6" x14ac:dyDescent="0.25">
      <c r="A1927" t="s">
        <v>14024</v>
      </c>
      <c r="B1927" t="s">
        <v>13985</v>
      </c>
      <c r="C1927" t="s">
        <v>13986</v>
      </c>
      <c r="E1927" t="s">
        <v>2648</v>
      </c>
      <c r="F1927" t="s">
        <v>14025</v>
      </c>
    </row>
    <row r="1928" spans="1:6" x14ac:dyDescent="0.25">
      <c r="A1928" t="s">
        <v>14026</v>
      </c>
      <c r="B1928" t="s">
        <v>13985</v>
      </c>
      <c r="C1928" t="s">
        <v>13986</v>
      </c>
      <c r="E1928" t="s">
        <v>2648</v>
      </c>
      <c r="F1928" t="s">
        <v>14027</v>
      </c>
    </row>
    <row r="1929" spans="1:6" x14ac:dyDescent="0.25">
      <c r="A1929" t="s">
        <v>14028</v>
      </c>
      <c r="B1929" t="s">
        <v>13985</v>
      </c>
      <c r="C1929" t="s">
        <v>13986</v>
      </c>
      <c r="E1929" t="s">
        <v>2648</v>
      </c>
      <c r="F1929" t="s">
        <v>14029</v>
      </c>
    </row>
    <row r="1930" spans="1:6" x14ac:dyDescent="0.25">
      <c r="A1930" t="s">
        <v>14030</v>
      </c>
      <c r="B1930" t="s">
        <v>13985</v>
      </c>
      <c r="C1930" t="s">
        <v>13986</v>
      </c>
      <c r="E1930" t="s">
        <v>2648</v>
      </c>
      <c r="F1930" t="s">
        <v>14031</v>
      </c>
    </row>
    <row r="1931" spans="1:6" x14ac:dyDescent="0.25">
      <c r="A1931" t="s">
        <v>14032</v>
      </c>
      <c r="B1931" t="s">
        <v>13985</v>
      </c>
      <c r="C1931" t="s">
        <v>13986</v>
      </c>
      <c r="E1931" t="s">
        <v>2648</v>
      </c>
      <c r="F1931" t="s">
        <v>14033</v>
      </c>
    </row>
    <row r="1932" spans="1:6" x14ac:dyDescent="0.25">
      <c r="A1932" t="s">
        <v>14034</v>
      </c>
      <c r="B1932" t="s">
        <v>13985</v>
      </c>
      <c r="C1932" t="s">
        <v>13986</v>
      </c>
      <c r="E1932" t="s">
        <v>2648</v>
      </c>
      <c r="F1932" t="s">
        <v>14035</v>
      </c>
    </row>
    <row r="1933" spans="1:6" x14ac:dyDescent="0.25">
      <c r="A1933" t="s">
        <v>14036</v>
      </c>
      <c r="B1933" t="s">
        <v>13985</v>
      </c>
      <c r="C1933" t="s">
        <v>13986</v>
      </c>
      <c r="E1933" t="s">
        <v>2648</v>
      </c>
      <c r="F1933" t="s">
        <v>14037</v>
      </c>
    </row>
    <row r="1934" spans="1:6" x14ac:dyDescent="0.25">
      <c r="A1934" t="s">
        <v>14038</v>
      </c>
      <c r="B1934" t="s">
        <v>13985</v>
      </c>
      <c r="C1934" t="s">
        <v>13986</v>
      </c>
      <c r="E1934" t="s">
        <v>2648</v>
      </c>
      <c r="F1934" t="s">
        <v>14039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4267</v>
      </c>
    </row>
    <row r="3" spans="1:8" x14ac:dyDescent="0.25">
      <c r="B3" t="s">
        <v>4265</v>
      </c>
      <c r="C3" t="s">
        <v>3769</v>
      </c>
      <c r="D3" t="s">
        <v>41</v>
      </c>
      <c r="E3" t="s">
        <v>4268</v>
      </c>
      <c r="G3" t="s">
        <v>4269</v>
      </c>
    </row>
    <row r="4" spans="1:8" x14ac:dyDescent="0.25">
      <c r="B4" t="s">
        <v>4265</v>
      </c>
      <c r="C4" t="s">
        <v>3783</v>
      </c>
      <c r="D4" t="s">
        <v>41</v>
      </c>
      <c r="E4" t="s">
        <v>4270</v>
      </c>
      <c r="G4" t="s">
        <v>4271</v>
      </c>
    </row>
    <row r="5" spans="1:8" x14ac:dyDescent="0.25">
      <c r="B5" t="s">
        <v>4272</v>
      </c>
      <c r="C5" t="s">
        <v>3735</v>
      </c>
      <c r="D5" t="s">
        <v>41</v>
      </c>
      <c r="E5" t="s">
        <v>4273</v>
      </c>
      <c r="F5" t="s">
        <v>3452</v>
      </c>
      <c r="G5" t="s">
        <v>4274</v>
      </c>
    </row>
    <row r="6" spans="1:8" x14ac:dyDescent="0.25">
      <c r="B6" t="s">
        <v>4272</v>
      </c>
      <c r="C6" t="s">
        <v>3769</v>
      </c>
      <c r="D6" t="s">
        <v>41</v>
      </c>
      <c r="E6" t="s">
        <v>4275</v>
      </c>
      <c r="G6" t="s">
        <v>4276</v>
      </c>
    </row>
    <row r="7" spans="1:8" x14ac:dyDescent="0.25">
      <c r="B7" t="s">
        <v>4272</v>
      </c>
      <c r="C7" t="s">
        <v>3783</v>
      </c>
      <c r="D7" t="s">
        <v>41</v>
      </c>
      <c r="E7" t="s">
        <v>4277</v>
      </c>
      <c r="G7" t="s">
        <v>4278</v>
      </c>
    </row>
    <row r="8" spans="1:8" x14ac:dyDescent="0.25">
      <c r="B8" t="s">
        <v>4279</v>
      </c>
      <c r="C8" t="s">
        <v>3735</v>
      </c>
      <c r="D8" t="s">
        <v>41</v>
      </c>
      <c r="E8" t="s">
        <v>4280</v>
      </c>
      <c r="F8" t="s">
        <v>3452</v>
      </c>
    </row>
    <row r="9" spans="1:8" x14ac:dyDescent="0.25">
      <c r="B9" t="s">
        <v>4279</v>
      </c>
      <c r="C9" t="s">
        <v>3769</v>
      </c>
      <c r="D9" t="s">
        <v>41</v>
      </c>
      <c r="E9" t="s">
        <v>4281</v>
      </c>
    </row>
    <row r="10" spans="1:8" x14ac:dyDescent="0.25">
      <c r="B10" t="s">
        <v>4279</v>
      </c>
      <c r="C10" t="s">
        <v>3783</v>
      </c>
      <c r="D10" t="s">
        <v>41</v>
      </c>
      <c r="E10" t="s">
        <v>4282</v>
      </c>
    </row>
    <row r="11" spans="1:8" x14ac:dyDescent="0.25">
      <c r="B11" t="s">
        <v>4279</v>
      </c>
      <c r="C11" t="s">
        <v>3903</v>
      </c>
      <c r="D11" t="s">
        <v>41</v>
      </c>
      <c r="E11" t="s">
        <v>4283</v>
      </c>
      <c r="G11" t="s">
        <v>4284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4285</v>
      </c>
      <c r="G1" t="s">
        <v>4224</v>
      </c>
      <c r="H1" t="s">
        <v>4286</v>
      </c>
      <c r="I1" t="s">
        <v>4287</v>
      </c>
    </row>
    <row r="2" spans="1:9" x14ac:dyDescent="0.25">
      <c r="A2" t="s">
        <v>4288</v>
      </c>
      <c r="B2" t="s">
        <v>2619</v>
      </c>
      <c r="C2" t="s">
        <v>3735</v>
      </c>
      <c r="D2" t="s">
        <v>3744</v>
      </c>
      <c r="E2" t="s">
        <v>4289</v>
      </c>
      <c r="F2" t="s">
        <v>3459</v>
      </c>
      <c r="G2" t="s">
        <v>4290</v>
      </c>
      <c r="H2" t="s">
        <v>4291</v>
      </c>
      <c r="I2" t="s">
        <v>3668</v>
      </c>
    </row>
    <row r="3" spans="1:9" x14ac:dyDescent="0.25">
      <c r="A3" t="s">
        <v>4292</v>
      </c>
      <c r="B3" t="s">
        <v>2619</v>
      </c>
      <c r="C3" t="s">
        <v>3735</v>
      </c>
      <c r="D3" t="s">
        <v>3737</v>
      </c>
      <c r="E3" t="s">
        <v>4293</v>
      </c>
      <c r="F3" t="s">
        <v>3459</v>
      </c>
      <c r="G3" t="s">
        <v>4290</v>
      </c>
      <c r="I3" t="s">
        <v>4294</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7545</v>
      </c>
      <c r="B1" t="s">
        <v>7546</v>
      </c>
      <c r="C1" t="s">
        <v>7564</v>
      </c>
      <c r="D1" t="s">
        <v>7478</v>
      </c>
      <c r="E1" t="s">
        <v>7479</v>
      </c>
      <c r="F1" t="s">
        <v>7532</v>
      </c>
      <c r="G1" t="s">
        <v>7572</v>
      </c>
      <c r="H1" t="s">
        <v>7480</v>
      </c>
      <c r="I1" t="s">
        <v>7481</v>
      </c>
      <c r="J1" t="s">
        <v>7533</v>
      </c>
      <c r="K1" t="s">
        <v>7573</v>
      </c>
      <c r="L1" t="s">
        <v>7482</v>
      </c>
      <c r="M1" t="s">
        <v>7483</v>
      </c>
      <c r="N1" t="s">
        <v>7535</v>
      </c>
      <c r="O1" t="s">
        <v>7574</v>
      </c>
      <c r="P1" t="s">
        <v>7725</v>
      </c>
      <c r="Q1" t="s">
        <v>7726</v>
      </c>
      <c r="R1" t="s">
        <v>7727</v>
      </c>
      <c r="S1" t="s">
        <v>7728</v>
      </c>
      <c r="U1" t="s">
        <v>7554</v>
      </c>
      <c r="V1" t="s">
        <v>7729</v>
      </c>
      <c r="W1" t="s">
        <v>7575</v>
      </c>
    </row>
    <row r="2" spans="1:23" x14ac:dyDescent="0.25">
      <c r="A2" t="s">
        <v>7518</v>
      </c>
      <c r="B2" t="s">
        <v>7590</v>
      </c>
      <c r="C2" t="s">
        <v>4935</v>
      </c>
      <c r="D2" t="s">
        <v>7578</v>
      </c>
      <c r="E2" t="s">
        <v>7703</v>
      </c>
      <c r="F2" t="s">
        <v>7702</v>
      </c>
      <c r="G2" t="s">
        <v>7556</v>
      </c>
      <c r="U2" t="s">
        <v>3437</v>
      </c>
      <c r="V2" t="s">
        <v>7556</v>
      </c>
    </row>
    <row r="3" spans="1:23" x14ac:dyDescent="0.25">
      <c r="A3" t="s">
        <v>7497</v>
      </c>
      <c r="B3" t="s">
        <v>7590</v>
      </c>
      <c r="C3" t="s">
        <v>4935</v>
      </c>
      <c r="D3" t="s">
        <v>3673</v>
      </c>
      <c r="E3" t="s">
        <v>7748</v>
      </c>
      <c r="F3" t="s">
        <v>7702</v>
      </c>
      <c r="G3" t="s">
        <v>7556</v>
      </c>
      <c r="U3" t="s">
        <v>7540</v>
      </c>
      <c r="V3" t="s">
        <v>7556</v>
      </c>
      <c r="W3" t="s">
        <v>7586</v>
      </c>
    </row>
    <row r="4" spans="1:23" x14ac:dyDescent="0.25">
      <c r="A4" t="s">
        <v>7502</v>
      </c>
      <c r="B4" t="s">
        <v>7590</v>
      </c>
      <c r="C4" t="s">
        <v>4935</v>
      </c>
      <c r="D4" t="s">
        <v>3442</v>
      </c>
      <c r="E4" t="s">
        <v>7540</v>
      </c>
      <c r="F4" t="s">
        <v>7702</v>
      </c>
      <c r="G4" t="s">
        <v>7556</v>
      </c>
      <c r="U4" t="s">
        <v>7555</v>
      </c>
      <c r="V4" t="s">
        <v>7556</v>
      </c>
      <c r="W4" t="s">
        <v>3514</v>
      </c>
    </row>
    <row r="5" spans="1:23" x14ac:dyDescent="0.25">
      <c r="A5" t="s">
        <v>7504</v>
      </c>
      <c r="B5" t="s">
        <v>7590</v>
      </c>
      <c r="C5" t="s">
        <v>4935</v>
      </c>
      <c r="D5" t="s">
        <v>3571</v>
      </c>
      <c r="E5" t="s">
        <v>3436</v>
      </c>
      <c r="F5" t="s">
        <v>7702</v>
      </c>
      <c r="G5" t="s">
        <v>7556</v>
      </c>
      <c r="U5" t="s">
        <v>7716</v>
      </c>
      <c r="V5" t="s">
        <v>7556</v>
      </c>
      <c r="W5" t="s">
        <v>3435</v>
      </c>
    </row>
    <row r="6" spans="1:23" x14ac:dyDescent="0.25">
      <c r="A6" t="s">
        <v>7508</v>
      </c>
      <c r="B6" t="s">
        <v>7590</v>
      </c>
      <c r="C6" t="s">
        <v>4935</v>
      </c>
      <c r="D6" t="s">
        <v>3435</v>
      </c>
      <c r="E6" t="s">
        <v>7539</v>
      </c>
      <c r="F6" t="s">
        <v>7702</v>
      </c>
      <c r="G6" t="s">
        <v>7556</v>
      </c>
      <c r="U6" t="s">
        <v>7715</v>
      </c>
      <c r="V6" t="s">
        <v>7557</v>
      </c>
      <c r="W6" t="s">
        <v>3442</v>
      </c>
    </row>
    <row r="7" spans="1:23" x14ac:dyDescent="0.25">
      <c r="A7" t="s">
        <v>7514</v>
      </c>
      <c r="B7" t="s">
        <v>7590</v>
      </c>
      <c r="C7" t="s">
        <v>4935</v>
      </c>
      <c r="D7" t="s">
        <v>5417</v>
      </c>
      <c r="E7" t="s">
        <v>7704</v>
      </c>
      <c r="F7" t="s">
        <v>7702</v>
      </c>
      <c r="G7" t="s">
        <v>7556</v>
      </c>
      <c r="U7" t="s">
        <v>7704</v>
      </c>
      <c r="V7" t="s">
        <v>7556</v>
      </c>
      <c r="W7" t="s">
        <v>7577</v>
      </c>
    </row>
    <row r="8" spans="1:23" x14ac:dyDescent="0.25">
      <c r="A8" t="s">
        <v>3515</v>
      </c>
      <c r="B8" t="s">
        <v>7590</v>
      </c>
      <c r="C8" t="s">
        <v>4935</v>
      </c>
      <c r="D8" t="s">
        <v>7587</v>
      </c>
      <c r="E8" t="s">
        <v>7706</v>
      </c>
      <c r="F8" t="s">
        <v>7541</v>
      </c>
      <c r="G8" t="s">
        <v>7556</v>
      </c>
      <c r="U8" t="s">
        <v>7618</v>
      </c>
      <c r="V8" t="s">
        <v>7556</v>
      </c>
      <c r="W8" t="s">
        <v>7587</v>
      </c>
    </row>
    <row r="9" spans="1:23" x14ac:dyDescent="0.25">
      <c r="A9" t="s">
        <v>7699</v>
      </c>
      <c r="B9" t="s">
        <v>7590</v>
      </c>
      <c r="C9" t="s">
        <v>4935</v>
      </c>
      <c r="D9" t="s">
        <v>3582</v>
      </c>
      <c r="E9" t="s">
        <v>7576</v>
      </c>
      <c r="F9" t="s">
        <v>7702</v>
      </c>
      <c r="G9" t="s">
        <v>7556</v>
      </c>
      <c r="U9" t="s">
        <v>4238</v>
      </c>
      <c r="V9" t="s">
        <v>7557</v>
      </c>
      <c r="W9" t="s">
        <v>3436</v>
      </c>
    </row>
    <row r="10" spans="1:23" x14ac:dyDescent="0.25">
      <c r="A10" t="s">
        <v>7492</v>
      </c>
      <c r="B10" t="s">
        <v>7590</v>
      </c>
      <c r="C10" t="s">
        <v>4935</v>
      </c>
      <c r="D10" t="s">
        <v>3673</v>
      </c>
      <c r="E10" t="s">
        <v>7707</v>
      </c>
      <c r="F10" t="s">
        <v>7702</v>
      </c>
      <c r="G10" t="s">
        <v>7556</v>
      </c>
      <c r="U10" t="s">
        <v>3438</v>
      </c>
      <c r="V10" t="s">
        <v>7556</v>
      </c>
    </row>
    <row r="11" spans="1:23" x14ac:dyDescent="0.25">
      <c r="A11" t="s">
        <v>7511</v>
      </c>
      <c r="B11" t="s">
        <v>7590</v>
      </c>
      <c r="C11" t="s">
        <v>4935</v>
      </c>
      <c r="D11" t="s">
        <v>3435</v>
      </c>
      <c r="E11" t="s">
        <v>7539</v>
      </c>
      <c r="F11" t="s">
        <v>7702</v>
      </c>
      <c r="G11" t="s">
        <v>7556</v>
      </c>
      <c r="U11" t="s">
        <v>7737</v>
      </c>
      <c r="V11" t="s">
        <v>7557</v>
      </c>
      <c r="W11" t="s">
        <v>7577</v>
      </c>
    </row>
    <row r="12" spans="1:23" x14ac:dyDescent="0.25">
      <c r="A12" t="s">
        <v>3670</v>
      </c>
      <c r="B12" t="s">
        <v>7590</v>
      </c>
      <c r="C12" t="s">
        <v>4935</v>
      </c>
      <c r="D12" t="s">
        <v>3673</v>
      </c>
      <c r="E12" t="s">
        <v>7708</v>
      </c>
      <c r="F12" t="s">
        <v>7702</v>
      </c>
      <c r="G12" t="s">
        <v>7556</v>
      </c>
      <c r="U12" t="s">
        <v>7619</v>
      </c>
      <c r="V12" t="s">
        <v>7556</v>
      </c>
      <c r="W12" t="s">
        <v>7578</v>
      </c>
    </row>
    <row r="13" spans="1:23" x14ac:dyDescent="0.25">
      <c r="A13" t="s">
        <v>7489</v>
      </c>
      <c r="B13" t="s">
        <v>7590</v>
      </c>
      <c r="C13" t="s">
        <v>4935</v>
      </c>
      <c r="D13" t="s">
        <v>7587</v>
      </c>
      <c r="E13" t="s">
        <v>7706</v>
      </c>
      <c r="F13" t="s">
        <v>7702</v>
      </c>
      <c r="G13" t="s">
        <v>7556</v>
      </c>
      <c r="U13" t="s">
        <v>7619</v>
      </c>
      <c r="V13" t="s">
        <v>7556</v>
      </c>
      <c r="W13" t="s">
        <v>3582</v>
      </c>
    </row>
    <row r="14" spans="1:23" x14ac:dyDescent="0.25">
      <c r="A14" t="s">
        <v>7490</v>
      </c>
      <c r="B14" t="s">
        <v>7590</v>
      </c>
      <c r="C14" t="s">
        <v>4935</v>
      </c>
      <c r="D14" t="s">
        <v>3435</v>
      </c>
      <c r="E14" t="s">
        <v>7539</v>
      </c>
      <c r="F14" t="s">
        <v>7702</v>
      </c>
      <c r="G14" t="s">
        <v>7556</v>
      </c>
      <c r="U14" t="s">
        <v>7711</v>
      </c>
      <c r="V14" t="s">
        <v>7557</v>
      </c>
    </row>
    <row r="15" spans="1:23" x14ac:dyDescent="0.25">
      <c r="A15" t="s">
        <v>7494</v>
      </c>
      <c r="B15" t="s">
        <v>7590</v>
      </c>
      <c r="C15" t="s">
        <v>4935</v>
      </c>
      <c r="D15" t="s">
        <v>7588</v>
      </c>
      <c r="E15" t="s">
        <v>7583</v>
      </c>
      <c r="F15" t="s">
        <v>7702</v>
      </c>
      <c r="G15" t="s">
        <v>7556</v>
      </c>
      <c r="U15" t="s">
        <v>7738</v>
      </c>
      <c r="V15" t="s">
        <v>7557</v>
      </c>
      <c r="W15" t="s">
        <v>3582</v>
      </c>
    </row>
    <row r="16" spans="1:23" x14ac:dyDescent="0.25">
      <c r="A16" t="s">
        <v>7435</v>
      </c>
      <c r="B16" t="s">
        <v>7534</v>
      </c>
      <c r="C16" t="s">
        <v>7739</v>
      </c>
      <c r="D16" t="s">
        <v>7717</v>
      </c>
      <c r="E16" t="s">
        <v>7568</v>
      </c>
      <c r="F16" t="s">
        <v>7551</v>
      </c>
      <c r="G16" t="s">
        <v>7556</v>
      </c>
      <c r="U16" t="s">
        <v>7567</v>
      </c>
      <c r="V16" t="s">
        <v>7557</v>
      </c>
      <c r="W16" t="s">
        <v>7542</v>
      </c>
    </row>
    <row r="17" spans="1:23" x14ac:dyDescent="0.25">
      <c r="A17" t="s">
        <v>7464</v>
      </c>
      <c r="B17" t="s">
        <v>7534</v>
      </c>
      <c r="C17" t="s">
        <v>7739</v>
      </c>
      <c r="D17" t="s">
        <v>7589</v>
      </c>
      <c r="E17" t="s">
        <v>7740</v>
      </c>
      <c r="F17" t="s">
        <v>7571</v>
      </c>
      <c r="G17" t="s">
        <v>7557</v>
      </c>
      <c r="U17" t="s">
        <v>7740</v>
      </c>
      <c r="V17" t="s">
        <v>7556</v>
      </c>
      <c r="W17" t="s">
        <v>4001</v>
      </c>
    </row>
    <row r="18" spans="1:23" x14ac:dyDescent="0.25">
      <c r="A18" t="s">
        <v>7425</v>
      </c>
      <c r="B18" t="s">
        <v>7534</v>
      </c>
      <c r="C18" t="s">
        <v>7739</v>
      </c>
      <c r="D18" t="s">
        <v>5516</v>
      </c>
      <c r="E18" t="s">
        <v>7743</v>
      </c>
      <c r="F18" t="s">
        <v>7749</v>
      </c>
      <c r="G18" t="s">
        <v>7556</v>
      </c>
      <c r="U18" t="s">
        <v>7559</v>
      </c>
      <c r="V18" t="s">
        <v>7556</v>
      </c>
      <c r="W18" t="s">
        <v>7544</v>
      </c>
    </row>
    <row r="19" spans="1:23" x14ac:dyDescent="0.25">
      <c r="A19" t="s">
        <v>7395</v>
      </c>
      <c r="B19" t="s">
        <v>7534</v>
      </c>
      <c r="C19" t="s">
        <v>7739</v>
      </c>
      <c r="D19" t="s">
        <v>5516</v>
      </c>
      <c r="E19" t="s">
        <v>7737</v>
      </c>
      <c r="F19" t="s">
        <v>7744</v>
      </c>
      <c r="G19" t="s">
        <v>7556</v>
      </c>
      <c r="U19" t="s">
        <v>7568</v>
      </c>
      <c r="V19" t="s">
        <v>7556</v>
      </c>
      <c r="W19" t="s">
        <v>5417</v>
      </c>
    </row>
    <row r="20" spans="1:23" x14ac:dyDescent="0.25">
      <c r="A20" t="s">
        <v>7390</v>
      </c>
      <c r="B20" t="s">
        <v>7534</v>
      </c>
      <c r="C20" t="s">
        <v>7739</v>
      </c>
      <c r="D20" t="s">
        <v>3582</v>
      </c>
      <c r="E20" t="s">
        <v>7579</v>
      </c>
      <c r="F20" t="s">
        <v>7750</v>
      </c>
      <c r="G20" t="s">
        <v>7557</v>
      </c>
      <c r="U20" t="s">
        <v>7570</v>
      </c>
      <c r="V20" t="s">
        <v>7556</v>
      </c>
      <c r="W20" t="s">
        <v>7621</v>
      </c>
    </row>
    <row r="21" spans="1:23" x14ac:dyDescent="0.25">
      <c r="A21" t="s">
        <v>7441</v>
      </c>
      <c r="B21" t="s">
        <v>7534</v>
      </c>
      <c r="C21" t="s">
        <v>7739</v>
      </c>
      <c r="D21" t="s">
        <v>7751</v>
      </c>
      <c r="E21" t="s">
        <v>7752</v>
      </c>
      <c r="F21" t="s">
        <v>7750</v>
      </c>
      <c r="G21" t="s">
        <v>7556</v>
      </c>
      <c r="U21" t="s">
        <v>3436</v>
      </c>
      <c r="V21" t="s">
        <v>7556</v>
      </c>
    </row>
    <row r="22" spans="1:23" x14ac:dyDescent="0.25">
      <c r="A22" t="s">
        <v>7681</v>
      </c>
      <c r="B22" t="s">
        <v>7534</v>
      </c>
      <c r="C22" t="s">
        <v>7739</v>
      </c>
      <c r="D22" t="s">
        <v>3435</v>
      </c>
      <c r="E22" t="s">
        <v>7485</v>
      </c>
      <c r="F22" t="s">
        <v>7750</v>
      </c>
      <c r="G22" t="s">
        <v>7557</v>
      </c>
      <c r="U22" t="s">
        <v>7623</v>
      </c>
      <c r="V22" t="s">
        <v>7556</v>
      </c>
    </row>
    <row r="23" spans="1:23" x14ac:dyDescent="0.25">
      <c r="A23" t="s">
        <v>7684</v>
      </c>
      <c r="B23" t="s">
        <v>7534</v>
      </c>
      <c r="C23" t="s">
        <v>7739</v>
      </c>
      <c r="D23" t="s">
        <v>7589</v>
      </c>
      <c r="E23" t="s">
        <v>7711</v>
      </c>
      <c r="F23" t="s">
        <v>7744</v>
      </c>
      <c r="G23" t="s">
        <v>7556</v>
      </c>
      <c r="H23" t="s">
        <v>3582</v>
      </c>
      <c r="I23" t="s">
        <v>7579</v>
      </c>
      <c r="J23" t="s">
        <v>7551</v>
      </c>
      <c r="K23" t="s">
        <v>7556</v>
      </c>
      <c r="L23" t="s">
        <v>3571</v>
      </c>
      <c r="M23" t="s">
        <v>3436</v>
      </c>
      <c r="N23" t="s">
        <v>7551</v>
      </c>
      <c r="O23" t="s">
        <v>7556</v>
      </c>
      <c r="P23" t="s">
        <v>7580</v>
      </c>
      <c r="Q23" t="s">
        <v>7753</v>
      </c>
      <c r="R23" t="s">
        <v>7744</v>
      </c>
      <c r="S23" t="s">
        <v>7556</v>
      </c>
      <c r="U23" t="s">
        <v>7593</v>
      </c>
      <c r="V23" t="s">
        <v>7557</v>
      </c>
    </row>
    <row r="24" spans="1:23" x14ac:dyDescent="0.25">
      <c r="A24" t="s">
        <v>5195</v>
      </c>
      <c r="B24" t="s">
        <v>7534</v>
      </c>
      <c r="C24" t="s">
        <v>7739</v>
      </c>
      <c r="D24" t="s">
        <v>7589</v>
      </c>
      <c r="E24" t="s">
        <v>7738</v>
      </c>
      <c r="F24" t="s">
        <v>7744</v>
      </c>
      <c r="G24" t="s">
        <v>7557</v>
      </c>
      <c r="U24" t="s">
        <v>7594</v>
      </c>
      <c r="V24" t="s">
        <v>7556</v>
      </c>
    </row>
    <row r="25" spans="1:23" x14ac:dyDescent="0.25">
      <c r="A25" t="s">
        <v>7381</v>
      </c>
      <c r="B25" t="s">
        <v>7534</v>
      </c>
      <c r="C25" t="s">
        <v>7739</v>
      </c>
      <c r="D25" t="s">
        <v>5516</v>
      </c>
      <c r="E25" t="s">
        <v>7716</v>
      </c>
      <c r="F25" t="s">
        <v>7749</v>
      </c>
      <c r="G25" t="s">
        <v>7557</v>
      </c>
      <c r="U25" t="s">
        <v>7539</v>
      </c>
      <c r="V25" t="s">
        <v>7556</v>
      </c>
    </row>
    <row r="26" spans="1:23" x14ac:dyDescent="0.25">
      <c r="A26" t="s">
        <v>1322</v>
      </c>
      <c r="B26" t="s">
        <v>7534</v>
      </c>
      <c r="C26" t="s">
        <v>7739</v>
      </c>
      <c r="D26" t="s">
        <v>5516</v>
      </c>
      <c r="E26" t="s">
        <v>7737</v>
      </c>
      <c r="F26" t="s">
        <v>7534</v>
      </c>
      <c r="G26" t="s">
        <v>7556</v>
      </c>
      <c r="I26" t="s">
        <v>7736</v>
      </c>
      <c r="U26" t="s">
        <v>7549</v>
      </c>
      <c r="V26" t="s">
        <v>7556</v>
      </c>
    </row>
    <row r="27" spans="1:23" x14ac:dyDescent="0.25">
      <c r="A27" t="s">
        <v>7403</v>
      </c>
      <c r="B27" t="s">
        <v>7534</v>
      </c>
      <c r="C27" t="s">
        <v>7739</v>
      </c>
      <c r="D27" t="s">
        <v>7580</v>
      </c>
      <c r="E27" t="s">
        <v>4238</v>
      </c>
      <c r="F27" t="s">
        <v>7750</v>
      </c>
      <c r="G27" t="s">
        <v>7556</v>
      </c>
      <c r="U27" t="s">
        <v>7703</v>
      </c>
      <c r="V27" t="s">
        <v>7556</v>
      </c>
    </row>
    <row r="28" spans="1:23" x14ac:dyDescent="0.25">
      <c r="A28" t="s">
        <v>7418</v>
      </c>
      <c r="B28" t="s">
        <v>7534</v>
      </c>
      <c r="C28" t="s">
        <v>7739</v>
      </c>
      <c r="D28" t="s">
        <v>3452</v>
      </c>
      <c r="U28" t="s">
        <v>3445</v>
      </c>
      <c r="V28" t="s">
        <v>7556</v>
      </c>
    </row>
    <row r="29" spans="1:23" x14ac:dyDescent="0.25">
      <c r="A29" t="s">
        <v>7416</v>
      </c>
      <c r="B29" t="s">
        <v>7534</v>
      </c>
      <c r="C29" t="s">
        <v>7739</v>
      </c>
      <c r="D29" t="s">
        <v>7589</v>
      </c>
      <c r="E29" t="s">
        <v>7711</v>
      </c>
      <c r="F29" t="s">
        <v>7744</v>
      </c>
      <c r="G29" t="s">
        <v>7556</v>
      </c>
      <c r="H29" t="s">
        <v>3582</v>
      </c>
      <c r="I29" t="s">
        <v>7579</v>
      </c>
      <c r="J29" t="s">
        <v>7551</v>
      </c>
      <c r="K29" t="s">
        <v>7556</v>
      </c>
      <c r="L29" t="s">
        <v>3571</v>
      </c>
      <c r="M29" t="s">
        <v>3436</v>
      </c>
      <c r="N29" t="s">
        <v>7551</v>
      </c>
      <c r="O29" t="s">
        <v>7556</v>
      </c>
      <c r="P29" t="s">
        <v>7580</v>
      </c>
      <c r="Q29" t="s">
        <v>7753</v>
      </c>
      <c r="R29" t="s">
        <v>7744</v>
      </c>
      <c r="S29" t="s">
        <v>7556</v>
      </c>
      <c r="U29" t="s">
        <v>7579</v>
      </c>
      <c r="V29" t="s">
        <v>7556</v>
      </c>
    </row>
    <row r="30" spans="1:23" x14ac:dyDescent="0.25">
      <c r="A30" t="s">
        <v>7399</v>
      </c>
      <c r="B30" t="s">
        <v>7534</v>
      </c>
      <c r="C30" t="s">
        <v>7739</v>
      </c>
      <c r="D30" t="s">
        <v>7589</v>
      </c>
      <c r="E30" t="s">
        <v>7740</v>
      </c>
      <c r="F30" t="s">
        <v>7749</v>
      </c>
      <c r="G30" t="s">
        <v>7556</v>
      </c>
      <c r="U30" t="s">
        <v>7576</v>
      </c>
      <c r="V30" t="s">
        <v>7556</v>
      </c>
    </row>
    <row r="31" spans="1:23" x14ac:dyDescent="0.25">
      <c r="A31" t="s">
        <v>7445</v>
      </c>
      <c r="B31" t="s">
        <v>7534</v>
      </c>
      <c r="C31" t="s">
        <v>7739</v>
      </c>
      <c r="D31" t="s">
        <v>5516</v>
      </c>
      <c r="E31" t="s">
        <v>7745</v>
      </c>
      <c r="F31" t="s">
        <v>7750</v>
      </c>
      <c r="G31" t="s">
        <v>7556</v>
      </c>
      <c r="U31" t="s">
        <v>5671</v>
      </c>
      <c r="V31" t="s">
        <v>7556</v>
      </c>
    </row>
    <row r="32" spans="1:23" x14ac:dyDescent="0.25">
      <c r="A32" t="s">
        <v>7391</v>
      </c>
      <c r="B32" t="s">
        <v>7534</v>
      </c>
      <c r="C32" t="s">
        <v>7739</v>
      </c>
      <c r="D32" t="s">
        <v>7589</v>
      </c>
      <c r="E32" t="s">
        <v>7746</v>
      </c>
      <c r="F32" t="s">
        <v>7534</v>
      </c>
      <c r="G32" t="s">
        <v>7557</v>
      </c>
      <c r="U32" t="s">
        <v>7485</v>
      </c>
      <c r="V32" t="s">
        <v>7556</v>
      </c>
    </row>
    <row r="33" spans="1:22" x14ac:dyDescent="0.25">
      <c r="A33" t="s">
        <v>7405</v>
      </c>
      <c r="B33" t="s">
        <v>7534</v>
      </c>
      <c r="C33" t="s">
        <v>7739</v>
      </c>
      <c r="D33" t="s">
        <v>7580</v>
      </c>
      <c r="E33" t="s">
        <v>4238</v>
      </c>
      <c r="F33" t="s">
        <v>7750</v>
      </c>
      <c r="G33" t="s">
        <v>7556</v>
      </c>
      <c r="U33" t="s">
        <v>7583</v>
      </c>
      <c r="V33" t="s">
        <v>7556</v>
      </c>
    </row>
    <row r="34" spans="1:22" x14ac:dyDescent="0.25">
      <c r="A34" t="s">
        <v>7387</v>
      </c>
      <c r="B34" t="s">
        <v>7534</v>
      </c>
      <c r="C34" t="s">
        <v>7739</v>
      </c>
      <c r="D34" t="s">
        <v>5516</v>
      </c>
      <c r="E34" t="s">
        <v>7743</v>
      </c>
      <c r="F34" t="s">
        <v>7744</v>
      </c>
      <c r="G34" t="s">
        <v>7556</v>
      </c>
      <c r="U34" t="s">
        <v>7543</v>
      </c>
      <c r="V34" t="s">
        <v>7556</v>
      </c>
    </row>
    <row r="35" spans="1:22" x14ac:dyDescent="0.25">
      <c r="A35" t="s">
        <v>7380</v>
      </c>
      <c r="B35" t="s">
        <v>7534</v>
      </c>
      <c r="C35" t="s">
        <v>7739</v>
      </c>
      <c r="D35" t="s">
        <v>7589</v>
      </c>
      <c r="E35" t="s">
        <v>7711</v>
      </c>
      <c r="F35" t="s">
        <v>7744</v>
      </c>
      <c r="G35" t="s">
        <v>7556</v>
      </c>
      <c r="H35" t="s">
        <v>3582</v>
      </c>
      <c r="I35" t="s">
        <v>7579</v>
      </c>
      <c r="J35" t="s">
        <v>7551</v>
      </c>
      <c r="K35" t="s">
        <v>7556</v>
      </c>
      <c r="L35" t="s">
        <v>3571</v>
      </c>
      <c r="M35" t="s">
        <v>3436</v>
      </c>
      <c r="N35" t="s">
        <v>7551</v>
      </c>
      <c r="O35" t="s">
        <v>7556</v>
      </c>
      <c r="P35" t="s">
        <v>7580</v>
      </c>
      <c r="Q35" t="s">
        <v>7753</v>
      </c>
      <c r="R35" t="s">
        <v>7744</v>
      </c>
      <c r="S35" t="s">
        <v>7556</v>
      </c>
      <c r="U35" t="s">
        <v>7550</v>
      </c>
      <c r="V35" t="s">
        <v>7556</v>
      </c>
    </row>
    <row r="36" spans="1:22" x14ac:dyDescent="0.25">
      <c r="A36" t="s">
        <v>7378</v>
      </c>
      <c r="B36" t="s">
        <v>7534</v>
      </c>
      <c r="C36" t="s">
        <v>7739</v>
      </c>
      <c r="D36" t="s">
        <v>7589</v>
      </c>
      <c r="E36" t="s">
        <v>7711</v>
      </c>
      <c r="F36" t="s">
        <v>7744</v>
      </c>
      <c r="G36" t="s">
        <v>7556</v>
      </c>
      <c r="H36" t="s">
        <v>3582</v>
      </c>
      <c r="I36" t="s">
        <v>7579</v>
      </c>
      <c r="J36" t="s">
        <v>7551</v>
      </c>
      <c r="K36" t="s">
        <v>7556</v>
      </c>
      <c r="L36" t="s">
        <v>3571</v>
      </c>
      <c r="M36" t="s">
        <v>3436</v>
      </c>
      <c r="N36" t="s">
        <v>7551</v>
      </c>
      <c r="O36" t="s">
        <v>7556</v>
      </c>
      <c r="P36" t="s">
        <v>7580</v>
      </c>
      <c r="Q36" t="s">
        <v>7753</v>
      </c>
      <c r="R36" t="s">
        <v>7744</v>
      </c>
      <c r="S36" t="s">
        <v>7556</v>
      </c>
      <c r="U36" t="s">
        <v>7603</v>
      </c>
      <c r="V36" t="s">
        <v>7556</v>
      </c>
    </row>
    <row r="37" spans="1:22" x14ac:dyDescent="0.25">
      <c r="A37" t="s">
        <v>7394</v>
      </c>
      <c r="B37" t="s">
        <v>7534</v>
      </c>
      <c r="C37" t="s">
        <v>7739</v>
      </c>
      <c r="D37" t="s">
        <v>7589</v>
      </c>
      <c r="E37" t="s">
        <v>7744</v>
      </c>
      <c r="F37" t="s">
        <v>7754</v>
      </c>
      <c r="G37" t="s">
        <v>7556</v>
      </c>
      <c r="U37" t="s">
        <v>7602</v>
      </c>
      <c r="V37" t="s">
        <v>7556</v>
      </c>
    </row>
    <row r="38" spans="1:22" x14ac:dyDescent="0.25">
      <c r="A38" t="s">
        <v>5442</v>
      </c>
      <c r="B38" t="s">
        <v>7534</v>
      </c>
      <c r="C38" t="s">
        <v>7739</v>
      </c>
      <c r="D38" t="s">
        <v>7589</v>
      </c>
      <c r="E38" t="s">
        <v>7747</v>
      </c>
      <c r="F38" t="s">
        <v>7749</v>
      </c>
      <c r="G38" t="s">
        <v>7556</v>
      </c>
      <c r="U38" t="s">
        <v>7718</v>
      </c>
      <c r="V38" t="s">
        <v>7556</v>
      </c>
    </row>
    <row r="39" spans="1:22" x14ac:dyDescent="0.25">
      <c r="A39" t="s">
        <v>5255</v>
      </c>
      <c r="B39" t="s">
        <v>7534</v>
      </c>
      <c r="C39" t="s">
        <v>7739</v>
      </c>
      <c r="D39" t="s">
        <v>5516</v>
      </c>
      <c r="E39" t="s">
        <v>7596</v>
      </c>
      <c r="F39" t="s">
        <v>7744</v>
      </c>
      <c r="G39" t="s">
        <v>7556</v>
      </c>
      <c r="U39" t="s">
        <v>3441</v>
      </c>
      <c r="V39" t="s">
        <v>7556</v>
      </c>
    </row>
    <row r="40" spans="1:22" x14ac:dyDescent="0.25">
      <c r="A40" t="s">
        <v>7443</v>
      </c>
      <c r="B40" t="s">
        <v>7534</v>
      </c>
      <c r="C40" t="s">
        <v>7739</v>
      </c>
      <c r="D40" t="s">
        <v>7589</v>
      </c>
      <c r="E40" t="s">
        <v>7738</v>
      </c>
      <c r="F40" t="s">
        <v>7744</v>
      </c>
      <c r="G40" t="s">
        <v>7557</v>
      </c>
      <c r="U40" t="s">
        <v>7706</v>
      </c>
      <c r="V40" t="s">
        <v>7556</v>
      </c>
    </row>
    <row r="41" spans="1:22" x14ac:dyDescent="0.25">
      <c r="A41" t="s">
        <v>5269</v>
      </c>
      <c r="B41" t="s">
        <v>7534</v>
      </c>
      <c r="C41" t="s">
        <v>7739</v>
      </c>
      <c r="D41" t="s">
        <v>7589</v>
      </c>
      <c r="E41" t="s">
        <v>7711</v>
      </c>
      <c r="F41" t="s">
        <v>7551</v>
      </c>
      <c r="G41" t="s">
        <v>7556</v>
      </c>
      <c r="H41" t="s">
        <v>3582</v>
      </c>
      <c r="I41" t="s">
        <v>7579</v>
      </c>
      <c r="J41" t="s">
        <v>7551</v>
      </c>
      <c r="K41" t="s">
        <v>7556</v>
      </c>
      <c r="L41" t="s">
        <v>3571</v>
      </c>
      <c r="M41" t="s">
        <v>3436</v>
      </c>
      <c r="N41" t="s">
        <v>7551</v>
      </c>
      <c r="O41" t="s">
        <v>7556</v>
      </c>
      <c r="P41" t="s">
        <v>7580</v>
      </c>
      <c r="Q41" t="s">
        <v>7753</v>
      </c>
      <c r="R41" t="s">
        <v>7551</v>
      </c>
      <c r="S41" t="s">
        <v>7556</v>
      </c>
      <c r="U41" t="s">
        <v>7735</v>
      </c>
      <c r="V41" t="s">
        <v>7557</v>
      </c>
    </row>
    <row r="42" spans="1:22" x14ac:dyDescent="0.25">
      <c r="A42" t="s">
        <v>7385</v>
      </c>
      <c r="B42" t="s">
        <v>7534</v>
      </c>
      <c r="C42" t="s">
        <v>7739</v>
      </c>
      <c r="D42" t="s">
        <v>7589</v>
      </c>
      <c r="E42" t="s">
        <v>7738</v>
      </c>
      <c r="F42" t="s">
        <v>7534</v>
      </c>
      <c r="G42" t="s">
        <v>7556</v>
      </c>
      <c r="U42" t="s">
        <v>7736</v>
      </c>
      <c r="V42" t="s">
        <v>7557</v>
      </c>
    </row>
    <row r="43" spans="1:22" x14ac:dyDescent="0.25">
      <c r="A43" t="s">
        <v>7393</v>
      </c>
      <c r="B43" t="s">
        <v>7534</v>
      </c>
      <c r="C43" t="s">
        <v>7739</v>
      </c>
      <c r="D43" t="s">
        <v>7578</v>
      </c>
      <c r="E43" t="s">
        <v>7549</v>
      </c>
      <c r="F43" t="s">
        <v>7750</v>
      </c>
      <c r="G43" t="s">
        <v>7557</v>
      </c>
      <c r="H43" t="s">
        <v>3582</v>
      </c>
      <c r="I43" t="s">
        <v>7579</v>
      </c>
      <c r="J43" t="s">
        <v>7750</v>
      </c>
      <c r="K43" t="s">
        <v>7557</v>
      </c>
      <c r="L43" t="s">
        <v>3571</v>
      </c>
      <c r="M43" t="s">
        <v>3436</v>
      </c>
      <c r="N43" t="s">
        <v>7750</v>
      </c>
      <c r="O43" t="s">
        <v>7557</v>
      </c>
      <c r="U43" t="s">
        <v>7617</v>
      </c>
      <c r="V43" t="s">
        <v>7556</v>
      </c>
    </row>
    <row r="44" spans="1:22" x14ac:dyDescent="0.25">
      <c r="A44" t="s">
        <v>7373</v>
      </c>
      <c r="B44" t="s">
        <v>7534</v>
      </c>
      <c r="C44" t="s">
        <v>7739</v>
      </c>
      <c r="D44" t="s">
        <v>7589</v>
      </c>
      <c r="E44" t="s">
        <v>7740</v>
      </c>
      <c r="F44" t="s">
        <v>7744</v>
      </c>
      <c r="G44" t="s">
        <v>7556</v>
      </c>
      <c r="U44" t="s">
        <v>7596</v>
      </c>
      <c r="V44" t="s">
        <v>7557</v>
      </c>
    </row>
    <row r="45" spans="1:22" x14ac:dyDescent="0.25">
      <c r="A45" t="s">
        <v>7423</v>
      </c>
      <c r="B45" t="s">
        <v>7534</v>
      </c>
      <c r="C45" t="s">
        <v>7739</v>
      </c>
      <c r="D45" t="s">
        <v>7589</v>
      </c>
      <c r="E45" t="s">
        <v>7711</v>
      </c>
      <c r="F45" t="s">
        <v>7551</v>
      </c>
      <c r="G45" t="s">
        <v>7556</v>
      </c>
      <c r="U45" t="s">
        <v>7595</v>
      </c>
      <c r="V45" t="s">
        <v>7556</v>
      </c>
    </row>
    <row r="46" spans="1:22" x14ac:dyDescent="0.25">
      <c r="A46" t="s">
        <v>159</v>
      </c>
      <c r="B46" t="s">
        <v>7582</v>
      </c>
      <c r="C46" t="s">
        <v>0</v>
      </c>
      <c r="D46" t="s">
        <v>7588</v>
      </c>
      <c r="E46" t="s">
        <v>7583</v>
      </c>
      <c r="F46" t="s">
        <v>7584</v>
      </c>
      <c r="G46" t="s">
        <v>7556</v>
      </c>
      <c r="U46" t="s">
        <v>7712</v>
      </c>
      <c r="V46" t="s">
        <v>7556</v>
      </c>
    </row>
    <row r="47" spans="1:22" x14ac:dyDescent="0.25">
      <c r="A47" t="s">
        <v>3495</v>
      </c>
      <c r="B47" t="s">
        <v>7547</v>
      </c>
      <c r="C47" t="s">
        <v>7484</v>
      </c>
      <c r="D47" t="s">
        <v>3435</v>
      </c>
      <c r="E47" t="s">
        <v>7485</v>
      </c>
      <c r="F47" t="s">
        <v>7714</v>
      </c>
      <c r="G47" t="s">
        <v>7556</v>
      </c>
      <c r="H47" t="s">
        <v>3435</v>
      </c>
      <c r="I47" t="s">
        <v>7539</v>
      </c>
      <c r="J47" t="s">
        <v>7714</v>
      </c>
      <c r="K47" t="s">
        <v>7556</v>
      </c>
      <c r="L47" t="s">
        <v>7589</v>
      </c>
      <c r="M47" t="s">
        <v>7567</v>
      </c>
      <c r="N47" t="s">
        <v>7534</v>
      </c>
      <c r="O47" t="s">
        <v>7556</v>
      </c>
      <c r="U47" t="s">
        <v>7707</v>
      </c>
      <c r="V47" t="s">
        <v>7556</v>
      </c>
    </row>
    <row r="48" spans="1:22" x14ac:dyDescent="0.25">
      <c r="A48" t="s">
        <v>3502</v>
      </c>
      <c r="B48" t="s">
        <v>7547</v>
      </c>
      <c r="C48" t="s">
        <v>7484</v>
      </c>
      <c r="D48" t="s">
        <v>7587</v>
      </c>
      <c r="E48" t="s">
        <v>7705</v>
      </c>
      <c r="F48" t="s">
        <v>7536</v>
      </c>
      <c r="G48" t="s">
        <v>7556</v>
      </c>
      <c r="U48" t="s">
        <v>7713</v>
      </c>
      <c r="V48" t="s">
        <v>7556</v>
      </c>
    </row>
    <row r="49" spans="1:22" x14ac:dyDescent="0.25">
      <c r="A49" t="s">
        <v>3507</v>
      </c>
      <c r="B49" t="s">
        <v>7547</v>
      </c>
      <c r="C49" t="s">
        <v>7484</v>
      </c>
      <c r="D49" t="s">
        <v>3514</v>
      </c>
      <c r="E49" t="s">
        <v>3437</v>
      </c>
      <c r="F49" t="s">
        <v>7714</v>
      </c>
      <c r="G49" t="s">
        <v>7556</v>
      </c>
      <c r="U49" t="s">
        <v>7708</v>
      </c>
      <c r="V49" t="s">
        <v>7556</v>
      </c>
    </row>
    <row r="50" spans="1:22" x14ac:dyDescent="0.25">
      <c r="A50" t="s">
        <v>3516</v>
      </c>
      <c r="B50" t="s">
        <v>7547</v>
      </c>
      <c r="C50" t="s">
        <v>7484</v>
      </c>
      <c r="D50" t="s">
        <v>5516</v>
      </c>
      <c r="E50" t="s">
        <v>7617</v>
      </c>
      <c r="F50" t="s">
        <v>3517</v>
      </c>
      <c r="G50" t="s">
        <v>7556</v>
      </c>
      <c r="H50" t="s">
        <v>7578</v>
      </c>
      <c r="I50" t="s">
        <v>7549</v>
      </c>
      <c r="J50" t="s">
        <v>7537</v>
      </c>
      <c r="K50" t="s">
        <v>7557</v>
      </c>
      <c r="U50" t="s">
        <v>7748</v>
      </c>
      <c r="V50" t="s">
        <v>7557</v>
      </c>
    </row>
    <row r="51" spans="1:22" x14ac:dyDescent="0.25">
      <c r="A51" t="s">
        <v>3522</v>
      </c>
      <c r="B51" t="s">
        <v>7562</v>
      </c>
      <c r="C51" t="s">
        <v>7484</v>
      </c>
      <c r="D51" t="s">
        <v>3435</v>
      </c>
      <c r="E51" t="s">
        <v>7485</v>
      </c>
      <c r="F51" t="s">
        <v>7714</v>
      </c>
      <c r="G51" t="s">
        <v>7556</v>
      </c>
      <c r="H51" t="s">
        <v>3435</v>
      </c>
      <c r="I51" t="s">
        <v>7539</v>
      </c>
      <c r="J51" t="s">
        <v>7714</v>
      </c>
      <c r="K51" t="s">
        <v>7556</v>
      </c>
      <c r="U51" t="s">
        <v>7705</v>
      </c>
      <c r="V51" t="s">
        <v>7556</v>
      </c>
    </row>
    <row r="52" spans="1:22" x14ac:dyDescent="0.25">
      <c r="A52" t="s">
        <v>3527</v>
      </c>
      <c r="B52" t="s">
        <v>7547</v>
      </c>
      <c r="C52" t="s">
        <v>7484</v>
      </c>
      <c r="D52" t="s">
        <v>3442</v>
      </c>
      <c r="E52" t="s">
        <v>7540</v>
      </c>
      <c r="F52" t="s">
        <v>7714</v>
      </c>
      <c r="G52" t="s">
        <v>7556</v>
      </c>
      <c r="H52" t="s">
        <v>3435</v>
      </c>
      <c r="I52" t="s">
        <v>7539</v>
      </c>
      <c r="J52" t="s">
        <v>7538</v>
      </c>
      <c r="K52" t="s">
        <v>7556</v>
      </c>
      <c r="U52" t="s">
        <v>3440</v>
      </c>
      <c r="V52" t="s">
        <v>7556</v>
      </c>
    </row>
    <row r="53" spans="1:22" x14ac:dyDescent="0.25">
      <c r="A53" t="s">
        <v>3533</v>
      </c>
      <c r="B53" t="s">
        <v>7547</v>
      </c>
      <c r="C53" t="s">
        <v>7484</v>
      </c>
      <c r="D53" t="s">
        <v>3442</v>
      </c>
      <c r="E53" t="s">
        <v>7540</v>
      </c>
      <c r="F53" t="s">
        <v>7714</v>
      </c>
      <c r="G53" t="s">
        <v>7556</v>
      </c>
      <c r="H53" t="s">
        <v>3442</v>
      </c>
      <c r="I53" t="s">
        <v>7555</v>
      </c>
      <c r="J53" t="s">
        <v>3517</v>
      </c>
      <c r="K53" t="s">
        <v>7556</v>
      </c>
      <c r="U53" t="s">
        <v>7615</v>
      </c>
      <c r="V53" t="s">
        <v>7556</v>
      </c>
    </row>
    <row r="54" spans="1:22" x14ac:dyDescent="0.25">
      <c r="A54" t="s">
        <v>3461</v>
      </c>
      <c r="B54" t="s">
        <v>3540</v>
      </c>
      <c r="C54" t="s">
        <v>7484</v>
      </c>
      <c r="D54" t="s">
        <v>3435</v>
      </c>
      <c r="E54" t="s">
        <v>7539</v>
      </c>
      <c r="F54" t="s">
        <v>7541</v>
      </c>
      <c r="G54" t="s">
        <v>7556</v>
      </c>
      <c r="U54" t="s">
        <v>7710</v>
      </c>
      <c r="V54" t="s">
        <v>7556</v>
      </c>
    </row>
    <row r="55" spans="1:22" x14ac:dyDescent="0.25">
      <c r="A55" t="s">
        <v>3544</v>
      </c>
      <c r="B55" t="s">
        <v>7547</v>
      </c>
      <c r="C55" t="s">
        <v>7484</v>
      </c>
      <c r="D55" t="s">
        <v>5516</v>
      </c>
      <c r="E55" t="s">
        <v>7617</v>
      </c>
      <c r="F55" t="s">
        <v>3517</v>
      </c>
      <c r="G55" t="s">
        <v>7556</v>
      </c>
      <c r="H55" t="s">
        <v>7542</v>
      </c>
      <c r="I55" t="s">
        <v>7543</v>
      </c>
      <c r="J55" t="s">
        <v>7714</v>
      </c>
      <c r="K55" t="s">
        <v>7556</v>
      </c>
      <c r="U55" t="s">
        <v>7739</v>
      </c>
      <c r="V55" t="s">
        <v>7557</v>
      </c>
    </row>
    <row r="56" spans="1:22" x14ac:dyDescent="0.25">
      <c r="A56" t="s">
        <v>3551</v>
      </c>
      <c r="B56" t="s">
        <v>7548</v>
      </c>
      <c r="C56" t="s">
        <v>7484</v>
      </c>
      <c r="D56" t="s">
        <v>7580</v>
      </c>
      <c r="E56" t="s">
        <v>4238</v>
      </c>
      <c r="F56" t="s">
        <v>7714</v>
      </c>
      <c r="G56" t="s">
        <v>7556</v>
      </c>
      <c r="H56" t="s">
        <v>7578</v>
      </c>
      <c r="I56" t="s">
        <v>7549</v>
      </c>
      <c r="J56" t="s">
        <v>7714</v>
      </c>
      <c r="K56" t="s">
        <v>7556</v>
      </c>
      <c r="U56" t="s">
        <v>7592</v>
      </c>
      <c r="V56" t="s">
        <v>7556</v>
      </c>
    </row>
    <row r="57" spans="1:22" x14ac:dyDescent="0.25">
      <c r="A57" t="s">
        <v>7354</v>
      </c>
      <c r="B57" t="s">
        <v>7547</v>
      </c>
      <c r="C57" t="s">
        <v>7484</v>
      </c>
      <c r="D57" t="s">
        <v>7544</v>
      </c>
      <c r="E57" t="s">
        <v>7550</v>
      </c>
      <c r="F57" t="s">
        <v>7714</v>
      </c>
      <c r="G57" t="s">
        <v>7556</v>
      </c>
      <c r="U57" t="s">
        <v>7743</v>
      </c>
      <c r="V57" t="s">
        <v>7557</v>
      </c>
    </row>
    <row r="58" spans="1:22" x14ac:dyDescent="0.25">
      <c r="A58" t="s">
        <v>3557</v>
      </c>
      <c r="B58" t="s">
        <v>7547</v>
      </c>
      <c r="C58" t="s">
        <v>7484</v>
      </c>
      <c r="D58" t="s">
        <v>3435</v>
      </c>
      <c r="E58" t="s">
        <v>7539</v>
      </c>
      <c r="F58" t="s">
        <v>7551</v>
      </c>
      <c r="G58" t="s">
        <v>7556</v>
      </c>
      <c r="U58" t="s">
        <v>7745</v>
      </c>
      <c r="V58" t="s">
        <v>7557</v>
      </c>
    </row>
    <row r="59" spans="1:22" x14ac:dyDescent="0.25">
      <c r="A59" t="s">
        <v>3563</v>
      </c>
      <c r="B59" t="s">
        <v>7547</v>
      </c>
      <c r="C59" t="s">
        <v>7484</v>
      </c>
      <c r="D59" t="s">
        <v>3514</v>
      </c>
      <c r="E59" t="s">
        <v>5671</v>
      </c>
      <c r="F59" t="s">
        <v>3517</v>
      </c>
      <c r="G59" t="s">
        <v>7556</v>
      </c>
      <c r="U59" t="s">
        <v>7746</v>
      </c>
      <c r="V59" t="s">
        <v>7556</v>
      </c>
    </row>
    <row r="60" spans="1:22" x14ac:dyDescent="0.25">
      <c r="A60" t="s">
        <v>3567</v>
      </c>
      <c r="B60" t="s">
        <v>7547</v>
      </c>
      <c r="C60" t="s">
        <v>7484</v>
      </c>
      <c r="D60" t="s">
        <v>7580</v>
      </c>
      <c r="E60" t="s">
        <v>3445</v>
      </c>
      <c r="F60" t="s">
        <v>7553</v>
      </c>
      <c r="G60" t="s">
        <v>7556</v>
      </c>
      <c r="U60" t="s">
        <v>7744</v>
      </c>
      <c r="V60" t="s">
        <v>7557</v>
      </c>
    </row>
    <row r="61" spans="1:22" x14ac:dyDescent="0.25">
      <c r="A61" t="s">
        <v>3572</v>
      </c>
      <c r="B61" t="s">
        <v>7547</v>
      </c>
      <c r="C61" t="s">
        <v>7484</v>
      </c>
      <c r="D61" t="s">
        <v>7589</v>
      </c>
      <c r="E61" t="s">
        <v>7559</v>
      </c>
      <c r="F61" t="s">
        <v>7558</v>
      </c>
      <c r="G61" t="s">
        <v>7556</v>
      </c>
      <c r="U61" t="s">
        <v>7747</v>
      </c>
      <c r="V61" t="s">
        <v>7557</v>
      </c>
    </row>
    <row r="62" spans="1:22" x14ac:dyDescent="0.25">
      <c r="A62" t="s">
        <v>3465</v>
      </c>
      <c r="B62" t="s">
        <v>7552</v>
      </c>
      <c r="C62" t="s">
        <v>7484</v>
      </c>
      <c r="D62" t="s">
        <v>3514</v>
      </c>
      <c r="E62" t="s">
        <v>3441</v>
      </c>
      <c r="F62" t="s">
        <v>7558</v>
      </c>
      <c r="G62" t="s">
        <v>7556</v>
      </c>
      <c r="U62" t="s">
        <v>7752</v>
      </c>
      <c r="V62" t="s">
        <v>7557</v>
      </c>
    </row>
    <row r="63" spans="1:22" x14ac:dyDescent="0.25">
      <c r="A63" t="s">
        <v>3578</v>
      </c>
      <c r="B63" t="s">
        <v>7547</v>
      </c>
      <c r="C63" t="s">
        <v>7484</v>
      </c>
      <c r="D63" t="s">
        <v>3582</v>
      </c>
      <c r="E63" t="s">
        <v>7576</v>
      </c>
      <c r="F63" t="s">
        <v>7560</v>
      </c>
      <c r="G63" t="s">
        <v>7556</v>
      </c>
      <c r="U63" t="s">
        <v>7753</v>
      </c>
      <c r="V63" t="s">
        <v>7557</v>
      </c>
    </row>
    <row r="64" spans="1:22" x14ac:dyDescent="0.25">
      <c r="A64" t="s">
        <v>3583</v>
      </c>
      <c r="B64" t="s">
        <v>7547</v>
      </c>
      <c r="C64" t="s">
        <v>7484</v>
      </c>
      <c r="D64" t="s">
        <v>3514</v>
      </c>
      <c r="E64" t="s">
        <v>5671</v>
      </c>
      <c r="F64" t="s">
        <v>3517</v>
      </c>
      <c r="G64" t="s">
        <v>7556</v>
      </c>
      <c r="H64" t="s">
        <v>7578</v>
      </c>
      <c r="I64" t="s">
        <v>7549</v>
      </c>
      <c r="J64" t="s">
        <v>7537</v>
      </c>
      <c r="K64" t="s">
        <v>7557</v>
      </c>
    </row>
    <row r="65" spans="1:11" x14ac:dyDescent="0.25">
      <c r="A65" t="s">
        <v>131</v>
      </c>
      <c r="B65" t="s">
        <v>7561</v>
      </c>
      <c r="C65" t="s">
        <v>7484</v>
      </c>
      <c r="D65" t="s">
        <v>3571</v>
      </c>
      <c r="E65" t="s">
        <v>3436</v>
      </c>
      <c r="F65" t="s">
        <v>7551</v>
      </c>
      <c r="G65" t="s">
        <v>7556</v>
      </c>
    </row>
    <row r="66" spans="1:11" x14ac:dyDescent="0.25">
      <c r="A66" t="s">
        <v>3591</v>
      </c>
      <c r="B66" t="s">
        <v>7547</v>
      </c>
      <c r="C66" t="s">
        <v>7484</v>
      </c>
      <c r="D66" t="s">
        <v>3435</v>
      </c>
      <c r="E66" t="s">
        <v>7485</v>
      </c>
      <c r="F66" t="s">
        <v>7714</v>
      </c>
      <c r="G66" t="s">
        <v>7556</v>
      </c>
    </row>
    <row r="67" spans="1:11" x14ac:dyDescent="0.25">
      <c r="A67" t="s">
        <v>3595</v>
      </c>
      <c r="B67" t="s">
        <v>7547</v>
      </c>
      <c r="C67" t="s">
        <v>7484</v>
      </c>
      <c r="D67" t="s">
        <v>3442</v>
      </c>
      <c r="E67" t="s">
        <v>7540</v>
      </c>
      <c r="F67" t="s">
        <v>7714</v>
      </c>
      <c r="G67" t="s">
        <v>7556</v>
      </c>
      <c r="H67" t="s">
        <v>7717</v>
      </c>
      <c r="I67" t="s">
        <v>7568</v>
      </c>
      <c r="J67" t="s">
        <v>7538</v>
      </c>
      <c r="K67" t="s">
        <v>7556</v>
      </c>
    </row>
    <row r="68" spans="1:11" x14ac:dyDescent="0.25">
      <c r="A68" t="s">
        <v>3599</v>
      </c>
      <c r="B68" t="s">
        <v>7562</v>
      </c>
      <c r="C68" t="s">
        <v>7484</v>
      </c>
      <c r="D68" t="s">
        <v>3435</v>
      </c>
      <c r="E68" t="s">
        <v>7539</v>
      </c>
      <c r="F68" t="s">
        <v>7714</v>
      </c>
      <c r="G68" t="s">
        <v>7557</v>
      </c>
      <c r="H68" t="s">
        <v>3571</v>
      </c>
      <c r="I68" t="s">
        <v>3436</v>
      </c>
      <c r="J68" t="s">
        <v>7558</v>
      </c>
      <c r="K68" t="s">
        <v>7556</v>
      </c>
    </row>
    <row r="69" spans="1:11" x14ac:dyDescent="0.25">
      <c r="A69" t="s">
        <v>3604</v>
      </c>
      <c r="B69" t="s">
        <v>7547</v>
      </c>
      <c r="C69" t="s">
        <v>7484</v>
      </c>
      <c r="D69" t="s">
        <v>3576</v>
      </c>
      <c r="E69" t="s">
        <v>7570</v>
      </c>
      <c r="F69" t="s">
        <v>7541</v>
      </c>
      <c r="G69" t="s">
        <v>7556</v>
      </c>
    </row>
    <row r="70" spans="1:11" x14ac:dyDescent="0.25">
      <c r="A70" t="s">
        <v>3607</v>
      </c>
      <c r="B70" t="s">
        <v>7548</v>
      </c>
      <c r="C70" t="s">
        <v>7484</v>
      </c>
      <c r="D70" t="s">
        <v>7578</v>
      </c>
      <c r="E70" t="s">
        <v>7549</v>
      </c>
      <c r="F70" t="s">
        <v>7591</v>
      </c>
      <c r="G70" t="s">
        <v>7556</v>
      </c>
    </row>
    <row r="71" spans="1:11" x14ac:dyDescent="0.25">
      <c r="A71" t="s">
        <v>3612</v>
      </c>
      <c r="B71" t="s">
        <v>7547</v>
      </c>
      <c r="C71" t="s">
        <v>7484</v>
      </c>
      <c r="D71" t="s">
        <v>3514</v>
      </c>
      <c r="E71" t="s">
        <v>5671</v>
      </c>
      <c r="F71" t="s">
        <v>3517</v>
      </c>
      <c r="G71" t="s">
        <v>7556</v>
      </c>
      <c r="H71" t="s">
        <v>7542</v>
      </c>
      <c r="I71" t="s">
        <v>7592</v>
      </c>
      <c r="J71" t="s">
        <v>3517</v>
      </c>
      <c r="K71" t="s">
        <v>7556</v>
      </c>
    </row>
    <row r="72" spans="1:11" x14ac:dyDescent="0.25">
      <c r="A72" t="s">
        <v>3617</v>
      </c>
      <c r="B72" t="s">
        <v>7547</v>
      </c>
      <c r="C72" t="s">
        <v>7484</v>
      </c>
      <c r="D72" t="s">
        <v>3514</v>
      </c>
      <c r="E72" t="s">
        <v>5671</v>
      </c>
      <c r="F72" t="s">
        <v>3517</v>
      </c>
      <c r="G72" t="s">
        <v>7556</v>
      </c>
      <c r="H72" t="s">
        <v>7578</v>
      </c>
      <c r="I72" t="s">
        <v>7549</v>
      </c>
      <c r="J72" t="s">
        <v>7537</v>
      </c>
      <c r="K72" t="s">
        <v>7557</v>
      </c>
    </row>
    <row r="73" spans="1:11" x14ac:dyDescent="0.25">
      <c r="A73" t="s">
        <v>3622</v>
      </c>
      <c r="B73" t="s">
        <v>7547</v>
      </c>
      <c r="C73" t="s">
        <v>7484</v>
      </c>
      <c r="D73" t="s">
        <v>3435</v>
      </c>
      <c r="E73" t="s">
        <v>7485</v>
      </c>
      <c r="F73" t="s">
        <v>7714</v>
      </c>
      <c r="G73" t="s">
        <v>7556</v>
      </c>
      <c r="H73" t="s">
        <v>3435</v>
      </c>
      <c r="I73" t="s">
        <v>7539</v>
      </c>
      <c r="J73" t="s">
        <v>7714</v>
      </c>
      <c r="K73" t="s">
        <v>7556</v>
      </c>
    </row>
    <row r="74" spans="1:11" x14ac:dyDescent="0.25">
      <c r="A74" t="s">
        <v>3625</v>
      </c>
      <c r="B74" t="s">
        <v>7547</v>
      </c>
      <c r="C74" t="s">
        <v>7484</v>
      </c>
      <c r="D74" t="s">
        <v>3435</v>
      </c>
      <c r="E74" t="s">
        <v>7485</v>
      </c>
      <c r="F74" t="s">
        <v>7714</v>
      </c>
      <c r="G74" t="s">
        <v>7556</v>
      </c>
      <c r="H74" t="s">
        <v>3435</v>
      </c>
      <c r="I74" t="s">
        <v>7539</v>
      </c>
      <c r="J74" t="s">
        <v>7714</v>
      </c>
      <c r="K74" t="s">
        <v>7556</v>
      </c>
    </row>
    <row r="75" spans="1:11" x14ac:dyDescent="0.25">
      <c r="A75" t="s">
        <v>3629</v>
      </c>
      <c r="B75" t="s">
        <v>7547</v>
      </c>
      <c r="C75" t="s">
        <v>7484</v>
      </c>
      <c r="D75" t="s">
        <v>3435</v>
      </c>
      <c r="E75" t="s">
        <v>7539</v>
      </c>
      <c r="F75" t="s">
        <v>7541</v>
      </c>
      <c r="G75" t="s">
        <v>7556</v>
      </c>
    </row>
    <row r="76" spans="1:11" x14ac:dyDescent="0.25">
      <c r="A76" t="s">
        <v>3634</v>
      </c>
      <c r="B76" t="s">
        <v>7547</v>
      </c>
      <c r="C76" t="s">
        <v>7484</v>
      </c>
      <c r="D76" t="s">
        <v>3576</v>
      </c>
      <c r="E76" t="s">
        <v>7593</v>
      </c>
      <c r="F76" t="s">
        <v>7714</v>
      </c>
      <c r="G76" t="s">
        <v>7556</v>
      </c>
      <c r="H76" t="s">
        <v>3576</v>
      </c>
      <c r="I76" t="s">
        <v>7594</v>
      </c>
      <c r="J76" t="s">
        <v>7714</v>
      </c>
      <c r="K76" t="s">
        <v>7556</v>
      </c>
    </row>
    <row r="77" spans="1:11" x14ac:dyDescent="0.25">
      <c r="A77" t="s">
        <v>3639</v>
      </c>
      <c r="B77" t="s">
        <v>7547</v>
      </c>
      <c r="C77" t="s">
        <v>7484</v>
      </c>
      <c r="D77" t="s">
        <v>7542</v>
      </c>
      <c r="E77" t="s">
        <v>7543</v>
      </c>
      <c r="F77" t="s">
        <v>7558</v>
      </c>
      <c r="G77" t="s">
        <v>7556</v>
      </c>
    </row>
    <row r="78" spans="1:11" x14ac:dyDescent="0.25">
      <c r="A78" t="s">
        <v>3644</v>
      </c>
      <c r="B78" t="s">
        <v>7547</v>
      </c>
      <c r="C78" t="s">
        <v>7484</v>
      </c>
      <c r="D78" t="s">
        <v>7542</v>
      </c>
      <c r="E78" t="s">
        <v>7543</v>
      </c>
      <c r="F78" t="s">
        <v>7714</v>
      </c>
      <c r="G78" t="s">
        <v>7556</v>
      </c>
    </row>
    <row r="79" spans="1:11" x14ac:dyDescent="0.25">
      <c r="A79" t="s">
        <v>3648</v>
      </c>
      <c r="B79" t="s">
        <v>7547</v>
      </c>
      <c r="C79" t="s">
        <v>7484</v>
      </c>
      <c r="D79" t="s">
        <v>5516</v>
      </c>
      <c r="E79" t="s">
        <v>7619</v>
      </c>
      <c r="F79" t="s">
        <v>3517</v>
      </c>
      <c r="G79" t="s">
        <v>7556</v>
      </c>
    </row>
    <row r="80" spans="1:11" x14ac:dyDescent="0.25">
      <c r="A80" t="s">
        <v>4738</v>
      </c>
      <c r="B80" t="s">
        <v>7547</v>
      </c>
      <c r="C80" t="s">
        <v>7484</v>
      </c>
      <c r="D80" t="s">
        <v>3571</v>
      </c>
      <c r="E80" t="s">
        <v>3436</v>
      </c>
      <c r="F80" t="s">
        <v>7714</v>
      </c>
      <c r="G80" t="s">
        <v>7556</v>
      </c>
    </row>
    <row r="81" spans="1:15" x14ac:dyDescent="0.25">
      <c r="A81" t="s">
        <v>3654</v>
      </c>
      <c r="B81" t="s">
        <v>7548</v>
      </c>
      <c r="C81" t="s">
        <v>7484</v>
      </c>
      <c r="D81" t="s">
        <v>5516</v>
      </c>
      <c r="E81" t="s">
        <v>7596</v>
      </c>
      <c r="F81" t="s">
        <v>3517</v>
      </c>
      <c r="G81" t="s">
        <v>7556</v>
      </c>
      <c r="H81" t="s">
        <v>3576</v>
      </c>
      <c r="I81" t="s">
        <v>7594</v>
      </c>
      <c r="J81" t="s">
        <v>7714</v>
      </c>
      <c r="K81" t="s">
        <v>7556</v>
      </c>
    </row>
    <row r="82" spans="1:15" x14ac:dyDescent="0.25">
      <c r="A82" t="s">
        <v>3658</v>
      </c>
      <c r="B82" t="s">
        <v>7547</v>
      </c>
      <c r="C82" t="s">
        <v>7484</v>
      </c>
      <c r="D82" t="s">
        <v>3571</v>
      </c>
      <c r="E82" t="s">
        <v>3436</v>
      </c>
      <c r="F82" t="s">
        <v>7597</v>
      </c>
      <c r="G82" t="s">
        <v>7556</v>
      </c>
    </row>
    <row r="83" spans="1:15" x14ac:dyDescent="0.25">
      <c r="A83" t="s">
        <v>3475</v>
      </c>
      <c r="B83" t="s">
        <v>7598</v>
      </c>
      <c r="C83" t="s">
        <v>7484</v>
      </c>
      <c r="D83" t="s">
        <v>3435</v>
      </c>
      <c r="E83" t="s">
        <v>7539</v>
      </c>
      <c r="F83" t="s">
        <v>7541</v>
      </c>
      <c r="G83" t="s">
        <v>7556</v>
      </c>
    </row>
    <row r="84" spans="1:15" x14ac:dyDescent="0.25">
      <c r="A84" t="s">
        <v>3664</v>
      </c>
      <c r="B84" t="s">
        <v>7547</v>
      </c>
      <c r="C84" t="s">
        <v>7484</v>
      </c>
      <c r="D84" t="s">
        <v>7717</v>
      </c>
      <c r="E84" t="s">
        <v>7568</v>
      </c>
      <c r="F84" t="s">
        <v>7558</v>
      </c>
      <c r="G84" t="s">
        <v>7556</v>
      </c>
    </row>
    <row r="85" spans="1:15" x14ac:dyDescent="0.25">
      <c r="A85" t="s">
        <v>7356</v>
      </c>
      <c r="B85" t="s">
        <v>7547</v>
      </c>
      <c r="C85" t="s">
        <v>7484</v>
      </c>
      <c r="D85" t="s">
        <v>5516</v>
      </c>
      <c r="E85" t="s">
        <v>7595</v>
      </c>
      <c r="F85" t="s">
        <v>7599</v>
      </c>
      <c r="G85" t="s">
        <v>7556</v>
      </c>
    </row>
    <row r="86" spans="1:15" x14ac:dyDescent="0.25">
      <c r="A86" t="s">
        <v>7365</v>
      </c>
      <c r="B86" t="s">
        <v>7547</v>
      </c>
      <c r="C86" t="s">
        <v>7484</v>
      </c>
      <c r="D86" t="s">
        <v>7587</v>
      </c>
      <c r="E86" t="s">
        <v>7705</v>
      </c>
      <c r="F86" t="s">
        <v>7600</v>
      </c>
      <c r="G86" t="s">
        <v>7556</v>
      </c>
    </row>
    <row r="87" spans="1:15" x14ac:dyDescent="0.25">
      <c r="A87" t="s">
        <v>3674</v>
      </c>
      <c r="B87" t="s">
        <v>7548</v>
      </c>
      <c r="C87" t="s">
        <v>7484</v>
      </c>
      <c r="D87" t="s">
        <v>7601</v>
      </c>
      <c r="E87" t="s">
        <v>7602</v>
      </c>
      <c r="F87" t="s">
        <v>3517</v>
      </c>
      <c r="G87" t="s">
        <v>7557</v>
      </c>
      <c r="H87" t="s">
        <v>3576</v>
      </c>
      <c r="I87" t="s">
        <v>7594</v>
      </c>
      <c r="J87" t="s">
        <v>7714</v>
      </c>
      <c r="K87" t="s">
        <v>7556</v>
      </c>
    </row>
    <row r="88" spans="1:15" x14ac:dyDescent="0.25">
      <c r="A88" t="s">
        <v>3678</v>
      </c>
      <c r="B88" t="s">
        <v>7548</v>
      </c>
      <c r="C88" t="s">
        <v>7484</v>
      </c>
      <c r="D88" t="s">
        <v>7544</v>
      </c>
      <c r="E88" t="s">
        <v>7603</v>
      </c>
      <c r="F88" t="s">
        <v>3517</v>
      </c>
      <c r="G88" t="s">
        <v>7556</v>
      </c>
    </row>
    <row r="89" spans="1:15" x14ac:dyDescent="0.25">
      <c r="A89" t="s">
        <v>3683</v>
      </c>
      <c r="B89" t="s">
        <v>7547</v>
      </c>
      <c r="C89" t="s">
        <v>7484</v>
      </c>
      <c r="D89" t="s">
        <v>3514</v>
      </c>
      <c r="E89" t="s">
        <v>3440</v>
      </c>
      <c r="F89" t="s">
        <v>7604</v>
      </c>
      <c r="G89" t="s">
        <v>7556</v>
      </c>
    </row>
    <row r="90" spans="1:15" x14ac:dyDescent="0.25">
      <c r="A90" t="s">
        <v>3687</v>
      </c>
      <c r="B90" t="s">
        <v>7547</v>
      </c>
      <c r="C90" t="s">
        <v>7484</v>
      </c>
      <c r="D90" t="s">
        <v>7717</v>
      </c>
      <c r="E90" t="s">
        <v>7568</v>
      </c>
      <c r="F90" t="s">
        <v>7558</v>
      </c>
      <c r="G90" t="s">
        <v>7556</v>
      </c>
    </row>
    <row r="91" spans="1:15" x14ac:dyDescent="0.25">
      <c r="A91" t="s">
        <v>3692</v>
      </c>
      <c r="B91" t="s">
        <v>7547</v>
      </c>
      <c r="C91" t="s">
        <v>7484</v>
      </c>
      <c r="D91" t="s">
        <v>3442</v>
      </c>
      <c r="E91" t="s">
        <v>7540</v>
      </c>
      <c r="F91" t="s">
        <v>7714</v>
      </c>
      <c r="G91" t="s">
        <v>7556</v>
      </c>
      <c r="H91" t="s">
        <v>7717</v>
      </c>
      <c r="I91" t="s">
        <v>7615</v>
      </c>
      <c r="J91" t="s">
        <v>7538</v>
      </c>
      <c r="K91" t="s">
        <v>7556</v>
      </c>
    </row>
    <row r="92" spans="1:15" x14ac:dyDescent="0.25">
      <c r="A92" t="s">
        <v>3695</v>
      </c>
      <c r="B92" t="s">
        <v>7547</v>
      </c>
      <c r="C92" t="s">
        <v>7484</v>
      </c>
      <c r="D92" t="s">
        <v>3435</v>
      </c>
      <c r="E92" t="s">
        <v>7485</v>
      </c>
      <c r="F92" t="s">
        <v>7714</v>
      </c>
      <c r="G92" t="s">
        <v>7556</v>
      </c>
      <c r="H92" t="s">
        <v>3435</v>
      </c>
      <c r="I92" t="s">
        <v>7539</v>
      </c>
      <c r="J92" t="s">
        <v>7714</v>
      </c>
      <c r="K92" t="s">
        <v>7556</v>
      </c>
      <c r="L92" t="s">
        <v>3514</v>
      </c>
      <c r="M92" t="s">
        <v>3437</v>
      </c>
      <c r="N92" t="s">
        <v>7714</v>
      </c>
      <c r="O92" t="s">
        <v>7556</v>
      </c>
    </row>
    <row r="93" spans="1:15" x14ac:dyDescent="0.25">
      <c r="A93" t="s">
        <v>3700</v>
      </c>
      <c r="B93" t="s">
        <v>7547</v>
      </c>
      <c r="C93" t="s">
        <v>7484</v>
      </c>
      <c r="D93" t="s">
        <v>3514</v>
      </c>
      <c r="E93" t="s">
        <v>3437</v>
      </c>
      <c r="F93" t="s">
        <v>7714</v>
      </c>
      <c r="G93" t="s">
        <v>7556</v>
      </c>
      <c r="H93" t="s">
        <v>5516</v>
      </c>
      <c r="I93" t="s">
        <v>7617</v>
      </c>
      <c r="J93" t="s">
        <v>3517</v>
      </c>
      <c r="K93" t="s">
        <v>7556</v>
      </c>
    </row>
    <row r="94" spans="1:15" x14ac:dyDescent="0.25">
      <c r="A94" t="s">
        <v>3705</v>
      </c>
      <c r="B94" t="s">
        <v>7547</v>
      </c>
      <c r="C94" t="s">
        <v>7484</v>
      </c>
      <c r="D94" t="s">
        <v>7547</v>
      </c>
      <c r="E94" t="s">
        <v>7618</v>
      </c>
      <c r="F94" t="s">
        <v>3517</v>
      </c>
      <c r="G94" t="s">
        <v>7556</v>
      </c>
    </row>
    <row r="95" spans="1:15" x14ac:dyDescent="0.25">
      <c r="A95" t="s">
        <v>3709</v>
      </c>
      <c r="B95" t="s">
        <v>7547</v>
      </c>
      <c r="C95" t="s">
        <v>7484</v>
      </c>
      <c r="D95" t="s">
        <v>7578</v>
      </c>
      <c r="E95" t="s">
        <v>7549</v>
      </c>
      <c r="F95" t="s">
        <v>7582</v>
      </c>
      <c r="G95" t="s">
        <v>7556</v>
      </c>
    </row>
    <row r="96" spans="1:15" x14ac:dyDescent="0.25">
      <c r="A96" t="s">
        <v>3714</v>
      </c>
      <c r="B96" t="s">
        <v>7547</v>
      </c>
      <c r="C96" t="s">
        <v>7484</v>
      </c>
      <c r="D96" t="s">
        <v>5516</v>
      </c>
      <c r="E96" t="s">
        <v>7595</v>
      </c>
      <c r="F96" t="s">
        <v>3517</v>
      </c>
      <c r="G96" t="s">
        <v>7556</v>
      </c>
    </row>
    <row r="97" spans="1:15" x14ac:dyDescent="0.25">
      <c r="A97" t="s">
        <v>7359</v>
      </c>
      <c r="B97" t="s">
        <v>7547</v>
      </c>
      <c r="C97" t="s">
        <v>7484</v>
      </c>
      <c r="D97" t="s">
        <v>7544</v>
      </c>
      <c r="E97" t="s">
        <v>7550</v>
      </c>
      <c r="F97" t="s">
        <v>7582</v>
      </c>
      <c r="G97" t="s">
        <v>7556</v>
      </c>
    </row>
    <row r="98" spans="1:15" x14ac:dyDescent="0.25">
      <c r="A98" t="s">
        <v>3722</v>
      </c>
      <c r="B98" t="s">
        <v>7547</v>
      </c>
      <c r="C98" t="s">
        <v>7484</v>
      </c>
      <c r="D98" t="s">
        <v>3571</v>
      </c>
      <c r="E98" t="s">
        <v>3436</v>
      </c>
      <c r="F98" t="s">
        <v>7558</v>
      </c>
      <c r="G98" t="s">
        <v>7556</v>
      </c>
    </row>
    <row r="99" spans="1:15" x14ac:dyDescent="0.25">
      <c r="A99" t="s">
        <v>4226</v>
      </c>
      <c r="B99" t="s">
        <v>7742</v>
      </c>
      <c r="C99" t="s">
        <v>7566</v>
      </c>
      <c r="D99" t="s">
        <v>3571</v>
      </c>
      <c r="E99" t="s">
        <v>3436</v>
      </c>
      <c r="F99" t="s">
        <v>7585</v>
      </c>
      <c r="G99" t="s">
        <v>7556</v>
      </c>
      <c r="H99" t="s">
        <v>3435</v>
      </c>
      <c r="I99" t="s">
        <v>7539</v>
      </c>
      <c r="J99" t="s">
        <v>7581</v>
      </c>
      <c r="K99" t="s">
        <v>7557</v>
      </c>
      <c r="L99" t="s">
        <v>3435</v>
      </c>
      <c r="M99" t="s">
        <v>7539</v>
      </c>
      <c r="N99" t="s">
        <v>7538</v>
      </c>
      <c r="O99" t="s">
        <v>7556</v>
      </c>
    </row>
    <row r="100" spans="1:15" x14ac:dyDescent="0.25">
      <c r="A100" t="s">
        <v>4233</v>
      </c>
      <c r="B100" t="s">
        <v>7741</v>
      </c>
      <c r="C100" t="s">
        <v>7566</v>
      </c>
      <c r="D100" t="s">
        <v>3571</v>
      </c>
      <c r="E100" t="s">
        <v>3436</v>
      </c>
      <c r="F100" t="s">
        <v>7581</v>
      </c>
      <c r="G100" t="s">
        <v>7557</v>
      </c>
      <c r="H100" t="s">
        <v>3571</v>
      </c>
      <c r="I100" t="s">
        <v>3436</v>
      </c>
      <c r="J100" t="s">
        <v>7538</v>
      </c>
      <c r="K100" t="s">
        <v>7556</v>
      </c>
    </row>
    <row r="101" spans="1:15" x14ac:dyDescent="0.25">
      <c r="A101" t="s">
        <v>4123</v>
      </c>
      <c r="B101" t="s">
        <v>7590</v>
      </c>
      <c r="C101" t="s">
        <v>7531</v>
      </c>
      <c r="D101" t="s">
        <v>7620</v>
      </c>
      <c r="E101" t="s">
        <v>7718</v>
      </c>
      <c r="F101" t="s">
        <v>7719</v>
      </c>
      <c r="G101" t="s">
        <v>7556</v>
      </c>
    </row>
    <row r="102" spans="1:15" x14ac:dyDescent="0.25">
      <c r="A102" t="s">
        <v>4015</v>
      </c>
      <c r="B102" t="s">
        <v>7590</v>
      </c>
      <c r="C102" t="s">
        <v>7531</v>
      </c>
      <c r="D102" t="s">
        <v>7580</v>
      </c>
      <c r="E102" t="s">
        <v>4238</v>
      </c>
      <c r="F102" t="s">
        <v>7719</v>
      </c>
      <c r="G102" t="s">
        <v>7556</v>
      </c>
      <c r="H102" t="s">
        <v>3582</v>
      </c>
      <c r="I102" t="s">
        <v>7710</v>
      </c>
      <c r="J102" t="s">
        <v>7719</v>
      </c>
      <c r="K102" t="s">
        <v>7557</v>
      </c>
    </row>
    <row r="103" spans="1:15" x14ac:dyDescent="0.25">
      <c r="A103" t="s">
        <v>4134</v>
      </c>
      <c r="B103" t="s">
        <v>7590</v>
      </c>
      <c r="C103" t="s">
        <v>7531</v>
      </c>
      <c r="D103" t="s">
        <v>3435</v>
      </c>
      <c r="E103" t="s">
        <v>7539</v>
      </c>
      <c r="F103" t="s">
        <v>7719</v>
      </c>
      <c r="G103" t="s">
        <v>7557</v>
      </c>
    </row>
    <row r="104" spans="1:15" x14ac:dyDescent="0.25">
      <c r="A104" t="s">
        <v>4145</v>
      </c>
      <c r="B104" t="s">
        <v>7590</v>
      </c>
      <c r="C104" t="s">
        <v>7531</v>
      </c>
      <c r="D104" t="s">
        <v>7587</v>
      </c>
      <c r="E104" t="s">
        <v>7706</v>
      </c>
      <c r="F104" t="s">
        <v>7719</v>
      </c>
      <c r="G104" t="s">
        <v>7556</v>
      </c>
    </row>
    <row r="105" spans="1:15" x14ac:dyDescent="0.25">
      <c r="A105" t="s">
        <v>4140</v>
      </c>
      <c r="B105" t="s">
        <v>7590</v>
      </c>
      <c r="C105" t="s">
        <v>7531</v>
      </c>
      <c r="D105" t="s">
        <v>3435</v>
      </c>
      <c r="E105" t="s">
        <v>7539</v>
      </c>
      <c r="F105" t="s">
        <v>7719</v>
      </c>
      <c r="G105" t="s">
        <v>7556</v>
      </c>
    </row>
    <row r="106" spans="1:15" x14ac:dyDescent="0.25">
      <c r="A106" t="s">
        <v>4129</v>
      </c>
      <c r="B106" t="s">
        <v>7590</v>
      </c>
      <c r="C106" t="s">
        <v>7531</v>
      </c>
      <c r="D106" t="s">
        <v>3435</v>
      </c>
      <c r="E106" t="s">
        <v>7485</v>
      </c>
      <c r="F106" t="s">
        <v>7719</v>
      </c>
      <c r="G106" t="s">
        <v>7557</v>
      </c>
    </row>
    <row r="107" spans="1:15" x14ac:dyDescent="0.25">
      <c r="A107" t="s">
        <v>4126</v>
      </c>
      <c r="B107" t="s">
        <v>7590</v>
      </c>
      <c r="C107" t="s">
        <v>7531</v>
      </c>
      <c r="D107" t="s">
        <v>3435</v>
      </c>
      <c r="E107" t="s">
        <v>7485</v>
      </c>
      <c r="F107" t="s">
        <v>7719</v>
      </c>
      <c r="G107" t="s">
        <v>7556</v>
      </c>
    </row>
    <row r="108" spans="1:15" x14ac:dyDescent="0.25">
      <c r="A108" t="s">
        <v>4115</v>
      </c>
      <c r="B108" t="s">
        <v>7590</v>
      </c>
      <c r="C108" t="s">
        <v>7531</v>
      </c>
      <c r="D108" t="s">
        <v>3514</v>
      </c>
      <c r="E108" t="s">
        <v>5671</v>
      </c>
      <c r="F108" t="s">
        <v>7719</v>
      </c>
      <c r="G108" t="s">
        <v>7557</v>
      </c>
    </row>
    <row r="109" spans="1:15" x14ac:dyDescent="0.25">
      <c r="A109" t="s">
        <v>4111</v>
      </c>
      <c r="B109" t="s">
        <v>7590</v>
      </c>
      <c r="C109" t="s">
        <v>7531</v>
      </c>
      <c r="D109" t="s">
        <v>3514</v>
      </c>
      <c r="E109" t="s">
        <v>5671</v>
      </c>
      <c r="F109" t="s">
        <v>7719</v>
      </c>
      <c r="G109" t="s">
        <v>7556</v>
      </c>
    </row>
    <row r="110" spans="1:15" x14ac:dyDescent="0.25">
      <c r="A110" t="s">
        <v>4120</v>
      </c>
      <c r="B110" t="s">
        <v>7590</v>
      </c>
      <c r="C110" t="s">
        <v>7531</v>
      </c>
      <c r="D110" t="s">
        <v>3673</v>
      </c>
      <c r="E110" t="s">
        <v>7713</v>
      </c>
      <c r="F110" t="s">
        <v>7719</v>
      </c>
      <c r="G110" t="s">
        <v>7556</v>
      </c>
    </row>
    <row r="111" spans="1:15" x14ac:dyDescent="0.25">
      <c r="A111" t="s">
        <v>4156</v>
      </c>
      <c r="B111" t="s">
        <v>7590</v>
      </c>
      <c r="C111" t="s">
        <v>7723</v>
      </c>
      <c r="D111" t="s">
        <v>7587</v>
      </c>
      <c r="E111" t="s">
        <v>7706</v>
      </c>
      <c r="F111" t="s">
        <v>7599</v>
      </c>
      <c r="G111" t="s">
        <v>7556</v>
      </c>
      <c r="H111" t="s">
        <v>7589</v>
      </c>
      <c r="I111" t="s">
        <v>7735</v>
      </c>
      <c r="J111" t="s">
        <v>7734</v>
      </c>
      <c r="K111" t="s">
        <v>7556</v>
      </c>
    </row>
    <row r="112" spans="1:15" x14ac:dyDescent="0.25">
      <c r="A112" t="s">
        <v>4176</v>
      </c>
      <c r="B112" t="s">
        <v>7590</v>
      </c>
      <c r="C112" t="s">
        <v>7723</v>
      </c>
      <c r="D112" t="s">
        <v>5516</v>
      </c>
      <c r="E112" t="s">
        <v>7619</v>
      </c>
      <c r="F112" t="s">
        <v>7599</v>
      </c>
      <c r="G112" t="s">
        <v>7556</v>
      </c>
      <c r="H112" t="s">
        <v>5516</v>
      </c>
      <c r="I112" t="s">
        <v>7737</v>
      </c>
      <c r="J112" t="s">
        <v>7734</v>
      </c>
      <c r="K112" t="s">
        <v>7556</v>
      </c>
    </row>
    <row r="113" spans="1:19" x14ac:dyDescent="0.25">
      <c r="A113" t="s">
        <v>4188</v>
      </c>
      <c r="B113" t="s">
        <v>7590</v>
      </c>
      <c r="C113" t="s">
        <v>7723</v>
      </c>
      <c r="D113" t="s">
        <v>3435</v>
      </c>
      <c r="E113" t="s">
        <v>7539</v>
      </c>
      <c r="F113" t="s">
        <v>7599</v>
      </c>
      <c r="G113" t="s">
        <v>7557</v>
      </c>
      <c r="H113" t="s">
        <v>7589</v>
      </c>
      <c r="I113" t="s">
        <v>7738</v>
      </c>
      <c r="J113" t="s">
        <v>7734</v>
      </c>
      <c r="K113" t="s">
        <v>7557</v>
      </c>
    </row>
    <row r="114" spans="1:19" x14ac:dyDescent="0.25">
      <c r="A114" t="s">
        <v>4154</v>
      </c>
      <c r="B114" t="s">
        <v>7590</v>
      </c>
      <c r="C114" t="s">
        <v>7723</v>
      </c>
      <c r="D114" t="s">
        <v>5516</v>
      </c>
      <c r="E114" t="s">
        <v>7715</v>
      </c>
      <c r="F114" t="s">
        <v>7599</v>
      </c>
      <c r="G114" t="s">
        <v>7556</v>
      </c>
      <c r="H114" t="s">
        <v>5516</v>
      </c>
      <c r="I114" t="s">
        <v>7716</v>
      </c>
      <c r="J114" t="s">
        <v>7734</v>
      </c>
      <c r="K114" t="s">
        <v>7556</v>
      </c>
      <c r="L114" t="s">
        <v>7717</v>
      </c>
      <c r="M114" t="s">
        <v>7568</v>
      </c>
      <c r="N114" t="s">
        <v>7734</v>
      </c>
      <c r="O114" t="s">
        <v>7556</v>
      </c>
    </row>
    <row r="115" spans="1:19" x14ac:dyDescent="0.25">
      <c r="A115" t="s">
        <v>4166</v>
      </c>
      <c r="B115" t="s">
        <v>7590</v>
      </c>
      <c r="C115" t="s">
        <v>7723</v>
      </c>
      <c r="D115" t="s">
        <v>5516</v>
      </c>
      <c r="E115" t="s">
        <v>7595</v>
      </c>
      <c r="F115" t="s">
        <v>7599</v>
      </c>
      <c r="G115" t="s">
        <v>7556</v>
      </c>
      <c r="H115" t="s">
        <v>5516</v>
      </c>
      <c r="I115" t="s">
        <v>7596</v>
      </c>
      <c r="J115" t="s">
        <v>7734</v>
      </c>
      <c r="K115" t="s">
        <v>7556</v>
      </c>
    </row>
    <row r="116" spans="1:19" x14ac:dyDescent="0.25">
      <c r="A116" t="s">
        <v>4172</v>
      </c>
      <c r="B116" t="s">
        <v>7590</v>
      </c>
      <c r="C116" t="s">
        <v>7723</v>
      </c>
      <c r="D116" t="s">
        <v>3435</v>
      </c>
      <c r="E116" t="s">
        <v>7485</v>
      </c>
      <c r="F116" t="s">
        <v>7599</v>
      </c>
      <c r="G116" t="s">
        <v>7556</v>
      </c>
      <c r="H116" t="s">
        <v>7589</v>
      </c>
      <c r="I116" t="s">
        <v>7567</v>
      </c>
      <c r="J116" t="s">
        <v>7734</v>
      </c>
      <c r="K116" t="s">
        <v>7556</v>
      </c>
    </row>
    <row r="117" spans="1:19" x14ac:dyDescent="0.25">
      <c r="A117" t="s">
        <v>4194</v>
      </c>
      <c r="B117" t="s">
        <v>7590</v>
      </c>
      <c r="C117" t="s">
        <v>7723</v>
      </c>
      <c r="D117" t="s">
        <v>5516</v>
      </c>
      <c r="E117" t="s">
        <v>7595</v>
      </c>
      <c r="F117" t="s">
        <v>7599</v>
      </c>
      <c r="G117" t="s">
        <v>7556</v>
      </c>
      <c r="H117" t="s">
        <v>5516</v>
      </c>
      <c r="I117" t="s">
        <v>7619</v>
      </c>
      <c r="J117" t="s">
        <v>7599</v>
      </c>
      <c r="K117" t="s">
        <v>7556</v>
      </c>
      <c r="L117" t="s">
        <v>5516</v>
      </c>
      <c r="M117" t="s">
        <v>7596</v>
      </c>
      <c r="N117" t="s">
        <v>7734</v>
      </c>
      <c r="O117" t="s">
        <v>7556</v>
      </c>
      <c r="P117" t="s">
        <v>5516</v>
      </c>
      <c r="Q117" t="s">
        <v>7737</v>
      </c>
      <c r="R117" t="s">
        <v>7734</v>
      </c>
      <c r="S117" t="s">
        <v>7556</v>
      </c>
    </row>
    <row r="118" spans="1:19" x14ac:dyDescent="0.25">
      <c r="A118" t="s">
        <v>4209</v>
      </c>
      <c r="B118" t="s">
        <v>7590</v>
      </c>
      <c r="C118" t="s">
        <v>7723</v>
      </c>
      <c r="D118" t="s">
        <v>3435</v>
      </c>
      <c r="E118" t="s">
        <v>7539</v>
      </c>
      <c r="F118" t="s">
        <v>7599</v>
      </c>
      <c r="G118" t="s">
        <v>7556</v>
      </c>
      <c r="H118" t="s">
        <v>7589</v>
      </c>
      <c r="I118" t="s">
        <v>7738</v>
      </c>
      <c r="J118" t="s">
        <v>7734</v>
      </c>
      <c r="K118" t="s">
        <v>7556</v>
      </c>
    </row>
    <row r="119" spans="1:19" x14ac:dyDescent="0.25">
      <c r="A119" t="s">
        <v>4214</v>
      </c>
      <c r="B119" t="s">
        <v>7590</v>
      </c>
      <c r="C119" t="s">
        <v>7723</v>
      </c>
      <c r="D119" t="s">
        <v>5516</v>
      </c>
      <c r="E119" t="s">
        <v>7617</v>
      </c>
      <c r="F119" t="s">
        <v>7599</v>
      </c>
      <c r="G119" t="s">
        <v>7556</v>
      </c>
      <c r="H119" t="s">
        <v>5516</v>
      </c>
      <c r="I119" t="s">
        <v>7736</v>
      </c>
      <c r="J119" t="s">
        <v>7734</v>
      </c>
      <c r="K119" t="s">
        <v>7556</v>
      </c>
    </row>
    <row r="120" spans="1:19" x14ac:dyDescent="0.25">
      <c r="A120" t="s">
        <v>4200</v>
      </c>
      <c r="B120" t="s">
        <v>7590</v>
      </c>
      <c r="C120" t="s">
        <v>7723</v>
      </c>
      <c r="D120" t="s">
        <v>3435</v>
      </c>
      <c r="E120" t="s">
        <v>7539</v>
      </c>
      <c r="F120" t="s">
        <v>7599</v>
      </c>
      <c r="G120" t="s">
        <v>7556</v>
      </c>
      <c r="H120" t="s">
        <v>7589</v>
      </c>
      <c r="I120" t="s">
        <v>7738</v>
      </c>
      <c r="J120" t="s">
        <v>7734</v>
      </c>
      <c r="K120" t="s">
        <v>7556</v>
      </c>
    </row>
    <row r="121" spans="1:19" x14ac:dyDescent="0.25">
      <c r="A121" t="s">
        <v>4205</v>
      </c>
      <c r="B121" t="s">
        <v>7590</v>
      </c>
      <c r="C121" t="s">
        <v>7723</v>
      </c>
      <c r="D121" t="s">
        <v>7580</v>
      </c>
      <c r="E121" t="s">
        <v>3445</v>
      </c>
      <c r="F121" t="s">
        <v>7599</v>
      </c>
      <c r="G121" t="s">
        <v>7556</v>
      </c>
    </row>
    <row r="122" spans="1:19" x14ac:dyDescent="0.25">
      <c r="A122" t="s">
        <v>4219</v>
      </c>
      <c r="B122" t="s">
        <v>7590</v>
      </c>
      <c r="C122" t="s">
        <v>7723</v>
      </c>
      <c r="D122" t="s">
        <v>3435</v>
      </c>
      <c r="E122" t="s">
        <v>7539</v>
      </c>
      <c r="F122" t="s">
        <v>7599</v>
      </c>
      <c r="G122" t="s">
        <v>7557</v>
      </c>
      <c r="H122" t="s">
        <v>7589</v>
      </c>
      <c r="I122" t="s">
        <v>7738</v>
      </c>
      <c r="J122" t="s">
        <v>7734</v>
      </c>
      <c r="K122" t="s">
        <v>7557</v>
      </c>
    </row>
    <row r="123" spans="1:19" x14ac:dyDescent="0.25">
      <c r="A123" t="s">
        <v>4222</v>
      </c>
      <c r="B123" t="s">
        <v>7590</v>
      </c>
      <c r="C123" t="s">
        <v>7723</v>
      </c>
      <c r="D123" t="s">
        <v>3452</v>
      </c>
    </row>
    <row r="124" spans="1:19" x14ac:dyDescent="0.25">
      <c r="A124" t="s">
        <v>4160</v>
      </c>
      <c r="B124" t="s">
        <v>7590</v>
      </c>
      <c r="C124" t="s">
        <v>7723</v>
      </c>
      <c r="D124" t="s">
        <v>5516</v>
      </c>
      <c r="E124" t="s">
        <v>7619</v>
      </c>
      <c r="F124" t="s">
        <v>7599</v>
      </c>
      <c r="G124" t="s">
        <v>7556</v>
      </c>
      <c r="H124" t="s">
        <v>5516</v>
      </c>
      <c r="I124" t="s">
        <v>7737</v>
      </c>
      <c r="J124" t="s">
        <v>7734</v>
      </c>
      <c r="K124" t="s">
        <v>7556</v>
      </c>
    </row>
    <row r="125" spans="1:19" x14ac:dyDescent="0.25">
      <c r="A125" t="s">
        <v>4182</v>
      </c>
      <c r="B125" t="s">
        <v>7590</v>
      </c>
      <c r="C125" t="s">
        <v>7723</v>
      </c>
      <c r="D125" t="s">
        <v>5516</v>
      </c>
      <c r="E125" t="s">
        <v>7595</v>
      </c>
      <c r="F125" t="s">
        <v>7599</v>
      </c>
      <c r="G125" t="s">
        <v>7556</v>
      </c>
      <c r="H125" t="s">
        <v>5516</v>
      </c>
      <c r="I125" t="s">
        <v>7596</v>
      </c>
      <c r="J125" t="s">
        <v>7734</v>
      </c>
      <c r="K125" t="s">
        <v>7556</v>
      </c>
    </row>
    <row r="126" spans="1:19" x14ac:dyDescent="0.25">
      <c r="A126" t="s">
        <v>3442</v>
      </c>
      <c r="B126" t="s">
        <v>7616</v>
      </c>
      <c r="C126" t="s">
        <v>7586</v>
      </c>
      <c r="D126" t="s">
        <v>7589</v>
      </c>
      <c r="E126" t="s">
        <v>7738</v>
      </c>
      <c r="F126" t="s">
        <v>7538</v>
      </c>
      <c r="G126" t="s">
        <v>7557</v>
      </c>
    </row>
    <row r="127" spans="1:19" x14ac:dyDescent="0.25">
      <c r="A127" t="s">
        <v>4006</v>
      </c>
      <c r="B127" t="s">
        <v>7590</v>
      </c>
      <c r="C127" t="s">
        <v>7722</v>
      </c>
      <c r="D127" t="s">
        <v>5516</v>
      </c>
      <c r="E127" t="s">
        <v>7596</v>
      </c>
      <c r="F127" t="s">
        <v>7709</v>
      </c>
      <c r="G127" t="s">
        <v>7556</v>
      </c>
    </row>
    <row r="128" spans="1:19" x14ac:dyDescent="0.25">
      <c r="A128" t="s">
        <v>4012</v>
      </c>
      <c r="B128" t="s">
        <v>7590</v>
      </c>
      <c r="C128" t="s">
        <v>7722</v>
      </c>
      <c r="D128" t="s">
        <v>3582</v>
      </c>
      <c r="E128" t="s">
        <v>7710</v>
      </c>
      <c r="F128" t="s">
        <v>7709</v>
      </c>
      <c r="G128" t="s">
        <v>7557</v>
      </c>
    </row>
    <row r="129" spans="1:15" x14ac:dyDescent="0.25">
      <c r="A129" t="s">
        <v>4018</v>
      </c>
      <c r="B129" t="s">
        <v>7590</v>
      </c>
      <c r="C129" t="s">
        <v>7722</v>
      </c>
      <c r="D129" t="s">
        <v>7589</v>
      </c>
      <c r="E129" t="s">
        <v>7711</v>
      </c>
      <c r="F129" t="s">
        <v>7709</v>
      </c>
      <c r="G129" t="s">
        <v>7556</v>
      </c>
    </row>
    <row r="130" spans="1:15" x14ac:dyDescent="0.25">
      <c r="A130" t="s">
        <v>4041</v>
      </c>
      <c r="B130" t="s">
        <v>7590</v>
      </c>
      <c r="C130" t="s">
        <v>7722</v>
      </c>
      <c r="D130" t="s">
        <v>5516</v>
      </c>
      <c r="E130" t="s">
        <v>7715</v>
      </c>
      <c r="F130" t="s">
        <v>7709</v>
      </c>
      <c r="G130" t="s">
        <v>7556</v>
      </c>
      <c r="H130" t="s">
        <v>5516</v>
      </c>
      <c r="I130" t="s">
        <v>7716</v>
      </c>
      <c r="J130" t="s">
        <v>7709</v>
      </c>
      <c r="K130" t="s">
        <v>7556</v>
      </c>
      <c r="L130" t="s">
        <v>7717</v>
      </c>
      <c r="M130" t="s">
        <v>7568</v>
      </c>
      <c r="N130" t="s">
        <v>7709</v>
      </c>
      <c r="O130" t="s">
        <v>7556</v>
      </c>
    </row>
    <row r="131" spans="1:15" x14ac:dyDescent="0.25">
      <c r="A131" t="s">
        <v>4023</v>
      </c>
      <c r="B131" t="s">
        <v>7590</v>
      </c>
      <c r="C131" t="s">
        <v>7722</v>
      </c>
      <c r="D131" t="s">
        <v>3582</v>
      </c>
      <c r="E131" t="s">
        <v>7710</v>
      </c>
      <c r="F131" t="s">
        <v>7709</v>
      </c>
      <c r="G131" t="s">
        <v>7556</v>
      </c>
    </row>
    <row r="132" spans="1:15" x14ac:dyDescent="0.25">
      <c r="A132" t="s">
        <v>4046</v>
      </c>
      <c r="B132" t="s">
        <v>7590</v>
      </c>
      <c r="C132" t="s">
        <v>7722</v>
      </c>
      <c r="D132" t="s">
        <v>7580</v>
      </c>
      <c r="E132" t="s">
        <v>4238</v>
      </c>
      <c r="F132" t="s">
        <v>7709</v>
      </c>
      <c r="G132" t="s">
        <v>7557</v>
      </c>
    </row>
    <row r="133" spans="1:15" x14ac:dyDescent="0.25">
      <c r="A133" t="s">
        <v>4030</v>
      </c>
      <c r="B133" t="s">
        <v>7590</v>
      </c>
      <c r="C133" t="s">
        <v>7722</v>
      </c>
      <c r="D133" t="s">
        <v>5516</v>
      </c>
      <c r="E133" t="s">
        <v>7712</v>
      </c>
      <c r="F133" t="s">
        <v>7709</v>
      </c>
      <c r="G133" t="s">
        <v>7556</v>
      </c>
    </row>
    <row r="134" spans="1:15" x14ac:dyDescent="0.25">
      <c r="A134" t="s">
        <v>4034</v>
      </c>
      <c r="B134" t="s">
        <v>7590</v>
      </c>
      <c r="C134" t="s">
        <v>7722</v>
      </c>
      <c r="D134" t="s">
        <v>3673</v>
      </c>
      <c r="E134" t="s">
        <v>7713</v>
      </c>
      <c r="F134" t="s">
        <v>7709</v>
      </c>
      <c r="G134" t="s">
        <v>7556</v>
      </c>
    </row>
    <row r="135" spans="1:15" x14ac:dyDescent="0.25">
      <c r="A135" t="s">
        <v>4258</v>
      </c>
      <c r="B135" t="s">
        <v>7565</v>
      </c>
      <c r="C135" t="s">
        <v>7569</v>
      </c>
      <c r="D135" t="s">
        <v>7589</v>
      </c>
      <c r="E135" t="s">
        <v>7738</v>
      </c>
      <c r="F135" t="s">
        <v>7571</v>
      </c>
      <c r="G135" t="s">
        <v>7557</v>
      </c>
    </row>
    <row r="136" spans="1:15" x14ac:dyDescent="0.25">
      <c r="A136" t="s">
        <v>7649</v>
      </c>
      <c r="B136" t="s">
        <v>7590</v>
      </c>
      <c r="C136" t="s">
        <v>7724</v>
      </c>
      <c r="D136" t="s">
        <v>7589</v>
      </c>
      <c r="E136" t="s">
        <v>7739</v>
      </c>
      <c r="F136" t="s">
        <v>7622</v>
      </c>
      <c r="G136" t="s">
        <v>7557</v>
      </c>
    </row>
    <row r="137" spans="1:15" x14ac:dyDescent="0.25">
      <c r="A137" t="s">
        <v>7628</v>
      </c>
      <c r="B137" t="s">
        <v>7590</v>
      </c>
      <c r="C137" t="s">
        <v>7724</v>
      </c>
      <c r="D137" t="s">
        <v>7589</v>
      </c>
      <c r="E137" t="s">
        <v>7711</v>
      </c>
      <c r="F137" t="s">
        <v>7622</v>
      </c>
      <c r="G137" t="s">
        <v>7556</v>
      </c>
    </row>
    <row r="138" spans="1:15" x14ac:dyDescent="0.25">
      <c r="A138" t="s">
        <v>7651</v>
      </c>
      <c r="B138" t="s">
        <v>7590</v>
      </c>
      <c r="C138" t="s">
        <v>7724</v>
      </c>
      <c r="D138" t="s">
        <v>7589</v>
      </c>
      <c r="E138" t="s">
        <v>7738</v>
      </c>
      <c r="F138" t="s">
        <v>7622</v>
      </c>
      <c r="G138" t="s">
        <v>7557</v>
      </c>
    </row>
    <row r="139" spans="1:15" x14ac:dyDescent="0.25">
      <c r="A139" t="s">
        <v>7626</v>
      </c>
      <c r="B139" t="s">
        <v>7590</v>
      </c>
      <c r="C139" t="s">
        <v>7724</v>
      </c>
      <c r="D139" t="s">
        <v>5516</v>
      </c>
      <c r="E139" t="s">
        <v>7716</v>
      </c>
      <c r="F139" t="s">
        <v>7622</v>
      </c>
      <c r="G139" t="s">
        <v>7556</v>
      </c>
      <c r="H139" t="s">
        <v>7717</v>
      </c>
      <c r="I139" t="s">
        <v>7568</v>
      </c>
      <c r="J139" t="s">
        <v>7622</v>
      </c>
      <c r="K139" t="s">
        <v>7556</v>
      </c>
    </row>
    <row r="140" spans="1:15" x14ac:dyDescent="0.25">
      <c r="A140" t="s">
        <v>7647</v>
      </c>
      <c r="B140" t="s">
        <v>7590</v>
      </c>
      <c r="C140" t="s">
        <v>7724</v>
      </c>
      <c r="D140" t="s">
        <v>5516</v>
      </c>
      <c r="E140" t="s">
        <v>7736</v>
      </c>
      <c r="F140" t="s">
        <v>7622</v>
      </c>
      <c r="G140" t="s">
        <v>7556</v>
      </c>
    </row>
    <row r="141" spans="1:15" x14ac:dyDescent="0.25">
      <c r="A141" t="s">
        <v>7646</v>
      </c>
      <c r="B141" t="s">
        <v>7590</v>
      </c>
      <c r="C141" t="s">
        <v>7724</v>
      </c>
      <c r="D141" t="s">
        <v>7589</v>
      </c>
      <c r="E141" t="s">
        <v>7746</v>
      </c>
      <c r="F141" t="s">
        <v>7622</v>
      </c>
      <c r="G141" t="s">
        <v>7557</v>
      </c>
    </row>
    <row r="142" spans="1:15" x14ac:dyDescent="0.25">
      <c r="A142" t="s">
        <v>7648</v>
      </c>
      <c r="B142" t="s">
        <v>7590</v>
      </c>
      <c r="C142" t="s">
        <v>7724</v>
      </c>
      <c r="D142" t="s">
        <v>7589</v>
      </c>
      <c r="E142" t="s">
        <v>7738</v>
      </c>
      <c r="F142" t="s">
        <v>7622</v>
      </c>
      <c r="G142" t="s">
        <v>7557</v>
      </c>
    </row>
    <row r="143" spans="1:15" x14ac:dyDescent="0.25">
      <c r="A143" t="s">
        <v>7624</v>
      </c>
      <c r="B143" t="s">
        <v>7590</v>
      </c>
      <c r="C143" t="s">
        <v>7724</v>
      </c>
      <c r="D143" t="s">
        <v>3452</v>
      </c>
    </row>
    <row r="144" spans="1:15" x14ac:dyDescent="0.25">
      <c r="A144" t="s">
        <v>7661</v>
      </c>
      <c r="B144" t="s">
        <v>7590</v>
      </c>
      <c r="C144" t="s">
        <v>7724</v>
      </c>
      <c r="D144" t="s">
        <v>7589</v>
      </c>
      <c r="E144" t="s">
        <v>7711</v>
      </c>
      <c r="F144" t="s">
        <v>7622</v>
      </c>
      <c r="G144" t="s">
        <v>7556</v>
      </c>
    </row>
    <row r="145" spans="1:11" x14ac:dyDescent="0.25">
      <c r="A145" t="s">
        <v>7650</v>
      </c>
      <c r="B145" t="s">
        <v>7590</v>
      </c>
      <c r="C145" t="s">
        <v>7724</v>
      </c>
      <c r="D145" t="s">
        <v>7589</v>
      </c>
      <c r="E145" t="s">
        <v>7559</v>
      </c>
      <c r="F145" t="s">
        <v>7622</v>
      </c>
      <c r="G145" t="s">
        <v>7556</v>
      </c>
    </row>
    <row r="146" spans="1:11" x14ac:dyDescent="0.25">
      <c r="A146" t="s">
        <v>7652</v>
      </c>
      <c r="B146" t="s">
        <v>7590</v>
      </c>
      <c r="C146" t="s">
        <v>7724</v>
      </c>
      <c r="D146" t="s">
        <v>7589</v>
      </c>
      <c r="E146" t="s">
        <v>7740</v>
      </c>
      <c r="F146" t="s">
        <v>7622</v>
      </c>
      <c r="G146" t="s">
        <v>7556</v>
      </c>
    </row>
    <row r="147" spans="1:11" x14ac:dyDescent="0.25">
      <c r="A147" t="s">
        <v>3717</v>
      </c>
      <c r="B147" t="s">
        <v>7590</v>
      </c>
      <c r="C147" t="s">
        <v>7724</v>
      </c>
      <c r="D147" t="s">
        <v>7578</v>
      </c>
      <c r="E147" t="s">
        <v>7623</v>
      </c>
      <c r="F147" t="s">
        <v>7622</v>
      </c>
      <c r="G147" t="s">
        <v>7556</v>
      </c>
    </row>
    <row r="148" spans="1:11" x14ac:dyDescent="0.25">
      <c r="A148" t="s">
        <v>7755</v>
      </c>
      <c r="B148" t="s">
        <v>7534</v>
      </c>
      <c r="C148" t="s">
        <v>7586</v>
      </c>
      <c r="D148" t="s">
        <v>3435</v>
      </c>
      <c r="E148" t="s">
        <v>7539</v>
      </c>
      <c r="F148" t="s">
        <v>7750</v>
      </c>
      <c r="G148" t="s">
        <v>7557</v>
      </c>
      <c r="H148" t="s">
        <v>7587</v>
      </c>
      <c r="I148" t="s">
        <v>7706</v>
      </c>
      <c r="J148" t="s">
        <v>7750</v>
      </c>
      <c r="K148" t="s">
        <v>7557</v>
      </c>
    </row>
    <row r="149" spans="1:11" x14ac:dyDescent="0.25">
      <c r="A149" t="s">
        <v>7756</v>
      </c>
      <c r="B149" t="s">
        <v>7757</v>
      </c>
      <c r="C149" t="s">
        <v>7586</v>
      </c>
      <c r="D149" t="s">
        <v>3435</v>
      </c>
      <c r="E149" t="s">
        <v>7539</v>
      </c>
      <c r="F149" t="s">
        <v>7758</v>
      </c>
      <c r="G149" t="s">
        <v>7556</v>
      </c>
    </row>
    <row r="150" spans="1:11" x14ac:dyDescent="0.25">
      <c r="A150" t="s">
        <v>7759</v>
      </c>
      <c r="B150" t="s">
        <v>7600</v>
      </c>
      <c r="C150" t="s">
        <v>7586</v>
      </c>
      <c r="D150" t="s">
        <v>7589</v>
      </c>
      <c r="E150" t="s">
        <v>7744</v>
      </c>
      <c r="F150" t="s">
        <v>7600</v>
      </c>
      <c r="G150" t="s">
        <v>7556</v>
      </c>
    </row>
    <row r="151" spans="1:11" x14ac:dyDescent="0.25">
      <c r="A151" t="s">
        <v>4254</v>
      </c>
      <c r="B151" t="s">
        <v>7760</v>
      </c>
      <c r="C151" t="s">
        <v>7563</v>
      </c>
      <c r="D151" t="s">
        <v>5516</v>
      </c>
      <c r="E151" t="s">
        <v>7716</v>
      </c>
      <c r="F151" t="s">
        <v>7761</v>
      </c>
      <c r="G151" t="s">
        <v>7556</v>
      </c>
    </row>
    <row r="152" spans="1:11" x14ac:dyDescent="0.25">
      <c r="A152" t="s">
        <v>7605</v>
      </c>
      <c r="B152" t="s">
        <v>7762</v>
      </c>
      <c r="C152" t="s">
        <v>7563</v>
      </c>
      <c r="D152" t="s">
        <v>5516</v>
      </c>
      <c r="E152" t="s">
        <v>7712</v>
      </c>
      <c r="F152" t="s">
        <v>7761</v>
      </c>
      <c r="G152" t="s">
        <v>7556</v>
      </c>
    </row>
    <row r="153" spans="1:11" x14ac:dyDescent="0.25">
      <c r="A153" t="s">
        <v>7763</v>
      </c>
      <c r="B153" t="s">
        <v>7534</v>
      </c>
      <c r="C153" t="s">
        <v>7586</v>
      </c>
      <c r="D153" t="s">
        <v>7580</v>
      </c>
      <c r="E153" t="s">
        <v>7753</v>
      </c>
      <c r="F153" t="s">
        <v>7534</v>
      </c>
      <c r="G153" t="s">
        <v>7556</v>
      </c>
      <c r="H153" t="s">
        <v>7589</v>
      </c>
      <c r="I153" t="s">
        <v>7738</v>
      </c>
      <c r="J153" t="s">
        <v>7582</v>
      </c>
      <c r="K153" t="s">
        <v>7557</v>
      </c>
    </row>
    <row r="154" spans="1:11" x14ac:dyDescent="0.25">
      <c r="A154" t="s">
        <v>7811</v>
      </c>
    </row>
    <row r="155" spans="1:11" x14ac:dyDescent="0.25">
      <c r="A155" t="s">
        <v>7813</v>
      </c>
    </row>
    <row r="156" spans="1:11" x14ac:dyDescent="0.25">
      <c r="A156" t="s">
        <v>7825</v>
      </c>
    </row>
    <row r="157" spans="1:11" x14ac:dyDescent="0.25">
      <c r="A157" t="s">
        <v>7827</v>
      </c>
    </row>
    <row r="158" spans="1:11" x14ac:dyDescent="0.25">
      <c r="A158" t="s">
        <v>7830</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4355</v>
      </c>
      <c r="B2" t="s">
        <v>4356</v>
      </c>
      <c r="C2" t="s">
        <v>1046</v>
      </c>
      <c r="D2" t="s">
        <v>4357</v>
      </c>
      <c r="E2" t="s">
        <v>4358</v>
      </c>
    </row>
    <row r="3" spans="1:5" ht="15" customHeight="1" x14ac:dyDescent="0.25">
      <c r="A3" t="s">
        <v>4359</v>
      </c>
      <c r="B3" t="s">
        <v>4360</v>
      </c>
      <c r="C3" t="s">
        <v>1046</v>
      </c>
      <c r="D3" t="s">
        <v>4361</v>
      </c>
      <c r="E3" t="s">
        <v>4358</v>
      </c>
    </row>
    <row r="4" spans="1:5" ht="15" customHeight="1" x14ac:dyDescent="0.25">
      <c r="A4" t="s">
        <v>4362</v>
      </c>
      <c r="B4" t="s">
        <v>4360</v>
      </c>
      <c r="C4" t="s">
        <v>1046</v>
      </c>
      <c r="D4" t="s">
        <v>4363</v>
      </c>
      <c r="E4" t="s">
        <v>4358</v>
      </c>
    </row>
    <row r="5" spans="1:5" ht="15" customHeight="1" x14ac:dyDescent="0.25">
      <c r="A5" t="s">
        <v>4364</v>
      </c>
      <c r="B5" t="s">
        <v>4365</v>
      </c>
      <c r="C5" t="s">
        <v>1046</v>
      </c>
      <c r="D5" t="s">
        <v>4366</v>
      </c>
      <c r="E5" t="s">
        <v>4358</v>
      </c>
    </row>
    <row r="6" spans="1:5" ht="15" customHeight="1" x14ac:dyDescent="0.25">
      <c r="A6" t="s">
        <v>4367</v>
      </c>
      <c r="B6" t="s">
        <v>4365</v>
      </c>
      <c r="C6" t="s">
        <v>1046</v>
      </c>
      <c r="D6" t="s">
        <v>4368</v>
      </c>
      <c r="E6" t="s">
        <v>4358</v>
      </c>
    </row>
    <row r="7" spans="1:5" ht="15" customHeight="1" x14ac:dyDescent="0.25">
      <c r="A7" t="s">
        <v>4369</v>
      </c>
      <c r="B7" t="s">
        <v>4356</v>
      </c>
      <c r="C7" t="s">
        <v>160</v>
      </c>
      <c r="D7" t="s">
        <v>4357</v>
      </c>
      <c r="E7" t="s">
        <v>4370</v>
      </c>
    </row>
    <row r="8" spans="1:5" ht="15" customHeight="1" x14ac:dyDescent="0.25">
      <c r="A8" t="s">
        <v>4288</v>
      </c>
      <c r="B8" t="s">
        <v>4356</v>
      </c>
      <c r="C8" t="s">
        <v>160</v>
      </c>
      <c r="D8" t="s">
        <v>4371</v>
      </c>
      <c r="E8" t="s">
        <v>4370</v>
      </c>
    </row>
    <row r="9" spans="1:5" ht="15" customHeight="1" x14ac:dyDescent="0.25">
      <c r="A9" t="s">
        <v>4292</v>
      </c>
      <c r="B9" t="s">
        <v>4356</v>
      </c>
      <c r="C9" t="s">
        <v>160</v>
      </c>
      <c r="D9" t="s">
        <v>4372</v>
      </c>
      <c r="E9" t="s">
        <v>4370</v>
      </c>
    </row>
    <row r="10" spans="1:5" ht="15" customHeight="1" x14ac:dyDescent="0.25">
      <c r="A10" t="s">
        <v>4373</v>
      </c>
      <c r="B10" t="s">
        <v>4360</v>
      </c>
      <c r="C10" t="s">
        <v>160</v>
      </c>
      <c r="D10" t="s">
        <v>4361</v>
      </c>
      <c r="E10" t="s">
        <v>4370</v>
      </c>
    </row>
    <row r="11" spans="1:5" ht="15" customHeight="1" x14ac:dyDescent="0.25">
      <c r="A11" t="s">
        <v>4374</v>
      </c>
      <c r="B11" t="s">
        <v>4360</v>
      </c>
      <c r="C11" t="s">
        <v>160</v>
      </c>
      <c r="D11" t="s">
        <v>4375</v>
      </c>
      <c r="E11" t="s">
        <v>4370</v>
      </c>
    </row>
    <row r="12" spans="1:5" ht="15" customHeight="1" x14ac:dyDescent="0.25">
      <c r="A12" t="s">
        <v>4376</v>
      </c>
      <c r="B12" t="s">
        <v>4360</v>
      </c>
      <c r="C12" t="s">
        <v>160</v>
      </c>
      <c r="D12" t="s">
        <v>4368</v>
      </c>
      <c r="E12" t="s">
        <v>4370</v>
      </c>
    </row>
    <row r="13" spans="1:5" ht="15" customHeight="1" x14ac:dyDescent="0.25">
      <c r="A13" t="s">
        <v>4377</v>
      </c>
      <c r="B13" t="s">
        <v>4365</v>
      </c>
      <c r="C13" t="s">
        <v>160</v>
      </c>
      <c r="D13" t="s">
        <v>4378</v>
      </c>
      <c r="E13" t="s">
        <v>4370</v>
      </c>
    </row>
    <row r="14" spans="1:5" ht="15" customHeight="1" x14ac:dyDescent="0.25">
      <c r="A14" t="s">
        <v>4379</v>
      </c>
      <c r="B14" t="s">
        <v>4365</v>
      </c>
      <c r="C14" t="s">
        <v>160</v>
      </c>
      <c r="D14" t="s">
        <v>4380</v>
      </c>
      <c r="E14" t="s">
        <v>4370</v>
      </c>
    </row>
    <row r="15" spans="1:5" ht="15" customHeight="1" x14ac:dyDescent="0.25">
      <c r="A15" t="s">
        <v>4381</v>
      </c>
      <c r="B15" t="s">
        <v>4365</v>
      </c>
      <c r="C15" t="s">
        <v>160</v>
      </c>
      <c r="D15" t="s">
        <v>4382</v>
      </c>
      <c r="E15" t="s">
        <v>4370</v>
      </c>
    </row>
    <row r="16" spans="1:5" ht="15" customHeight="1" x14ac:dyDescent="0.25">
      <c r="A16" t="s">
        <v>4383</v>
      </c>
      <c r="B16" t="s">
        <v>4356</v>
      </c>
      <c r="C16" t="s">
        <v>1294</v>
      </c>
      <c r="D16" t="s">
        <v>4368</v>
      </c>
      <c r="E16" t="s">
        <v>4384</v>
      </c>
    </row>
    <row r="17" spans="1:5" ht="15" customHeight="1" x14ac:dyDescent="0.25">
      <c r="A17" t="s">
        <v>4385</v>
      </c>
      <c r="B17" t="s">
        <v>4356</v>
      </c>
      <c r="C17" t="s">
        <v>1294</v>
      </c>
      <c r="D17" t="s">
        <v>4371</v>
      </c>
      <c r="E17" t="s">
        <v>4384</v>
      </c>
    </row>
    <row r="18" spans="1:5" ht="15" customHeight="1" x14ac:dyDescent="0.25">
      <c r="A18" t="s">
        <v>4386</v>
      </c>
      <c r="B18" t="s">
        <v>4360</v>
      </c>
      <c r="C18" t="s">
        <v>1294</v>
      </c>
      <c r="D18" t="s">
        <v>4375</v>
      </c>
      <c r="E18" t="s">
        <v>4384</v>
      </c>
    </row>
    <row r="19" spans="1:5" ht="15" customHeight="1" x14ac:dyDescent="0.25">
      <c r="A19" t="s">
        <v>4382</v>
      </c>
      <c r="B19" t="s">
        <v>4360</v>
      </c>
      <c r="C19" t="s">
        <v>1294</v>
      </c>
      <c r="D19" t="s">
        <v>4382</v>
      </c>
      <c r="E19" t="s">
        <v>4384</v>
      </c>
    </row>
    <row r="20" spans="1:5" ht="15" customHeight="1" x14ac:dyDescent="0.25">
      <c r="A20" t="s">
        <v>4387</v>
      </c>
      <c r="B20" t="s">
        <v>4365</v>
      </c>
      <c r="C20" t="s">
        <v>1294</v>
      </c>
      <c r="D20" t="s">
        <v>4357</v>
      </c>
      <c r="E20" t="s">
        <v>4384</v>
      </c>
    </row>
    <row r="21" spans="1:5" ht="15" customHeight="1" x14ac:dyDescent="0.25">
      <c r="A21" t="s">
        <v>4388</v>
      </c>
      <c r="B21" t="s">
        <v>4356</v>
      </c>
      <c r="C21" t="s">
        <v>2136</v>
      </c>
      <c r="D21" t="s">
        <v>4389</v>
      </c>
      <c r="E21" t="s">
        <v>4390</v>
      </c>
    </row>
    <row r="22" spans="1:5" ht="15" customHeight="1" x14ac:dyDescent="0.25">
      <c r="A22" t="s">
        <v>4391</v>
      </c>
      <c r="B22" t="s">
        <v>4356</v>
      </c>
      <c r="C22" t="s">
        <v>2136</v>
      </c>
      <c r="D22" t="s">
        <v>4392</v>
      </c>
      <c r="E22" t="s">
        <v>4390</v>
      </c>
    </row>
    <row r="23" spans="1:5" ht="15" customHeight="1" x14ac:dyDescent="0.25">
      <c r="A23" t="s">
        <v>4393</v>
      </c>
      <c r="B23" t="s">
        <v>4356</v>
      </c>
      <c r="C23" t="s">
        <v>2136</v>
      </c>
      <c r="D23" t="s">
        <v>4363</v>
      </c>
      <c r="E23" t="s">
        <v>4390</v>
      </c>
    </row>
    <row r="24" spans="1:5" ht="15" customHeight="1" x14ac:dyDescent="0.25">
      <c r="A24" t="s">
        <v>4394</v>
      </c>
      <c r="B24" t="s">
        <v>4356</v>
      </c>
      <c r="C24" t="s">
        <v>2136</v>
      </c>
      <c r="D24" t="s">
        <v>4395</v>
      </c>
      <c r="E24" t="s">
        <v>4390</v>
      </c>
    </row>
    <row r="25" spans="1:5" ht="15" customHeight="1" x14ac:dyDescent="0.25">
      <c r="A25" t="s">
        <v>4396</v>
      </c>
      <c r="B25" t="s">
        <v>4360</v>
      </c>
      <c r="C25" t="s">
        <v>2136</v>
      </c>
      <c r="D25" t="s">
        <v>4363</v>
      </c>
      <c r="E25" t="s">
        <v>4390</v>
      </c>
    </row>
    <row r="26" spans="1:5" ht="15" customHeight="1" x14ac:dyDescent="0.25">
      <c r="A26" t="s">
        <v>4397</v>
      </c>
      <c r="B26" t="s">
        <v>4360</v>
      </c>
      <c r="C26" t="s">
        <v>2136</v>
      </c>
      <c r="D26" t="s">
        <v>4371</v>
      </c>
      <c r="E26" t="s">
        <v>4390</v>
      </c>
    </row>
    <row r="27" spans="1:5" ht="15" customHeight="1" x14ac:dyDescent="0.25">
      <c r="A27" t="s">
        <v>4398</v>
      </c>
      <c r="B27" t="s">
        <v>4360</v>
      </c>
      <c r="C27" t="s">
        <v>2136</v>
      </c>
      <c r="D27" t="s">
        <v>4389</v>
      </c>
      <c r="E27" t="s">
        <v>4390</v>
      </c>
    </row>
    <row r="28" spans="1:5" ht="15" customHeight="1" x14ac:dyDescent="0.25">
      <c r="A28" t="s">
        <v>4399</v>
      </c>
      <c r="B28" t="s">
        <v>4360</v>
      </c>
      <c r="C28" t="s">
        <v>2136</v>
      </c>
      <c r="D28" t="s">
        <v>4400</v>
      </c>
      <c r="E28" t="s">
        <v>4390</v>
      </c>
    </row>
    <row r="29" spans="1:5" ht="15" customHeight="1" x14ac:dyDescent="0.25">
      <c r="A29" t="s">
        <v>4401</v>
      </c>
      <c r="B29" t="s">
        <v>4365</v>
      </c>
      <c r="C29" t="s">
        <v>2136</v>
      </c>
      <c r="D29" t="s">
        <v>4402</v>
      </c>
      <c r="E29" t="s">
        <v>4390</v>
      </c>
    </row>
    <row r="30" spans="1:5" ht="15" customHeight="1" x14ac:dyDescent="0.25">
      <c r="A30" t="s">
        <v>4403</v>
      </c>
      <c r="B30" t="s">
        <v>4365</v>
      </c>
      <c r="C30" t="s">
        <v>2136</v>
      </c>
      <c r="D30" t="s">
        <v>4404</v>
      </c>
      <c r="E30" t="s">
        <v>4390</v>
      </c>
    </row>
    <row r="31" spans="1:5" ht="15" customHeight="1" x14ac:dyDescent="0.25">
      <c r="A31" t="s">
        <v>4405</v>
      </c>
      <c r="B31" t="s">
        <v>4356</v>
      </c>
      <c r="C31" t="s">
        <v>553</v>
      </c>
      <c r="D31" t="s">
        <v>4395</v>
      </c>
      <c r="E31" t="s">
        <v>4406</v>
      </c>
    </row>
    <row r="32" spans="1:5" ht="15" customHeight="1" x14ac:dyDescent="0.25">
      <c r="A32" t="s">
        <v>4407</v>
      </c>
      <c r="B32" t="s">
        <v>4365</v>
      </c>
      <c r="C32" t="s">
        <v>553</v>
      </c>
      <c r="D32" t="s">
        <v>4395</v>
      </c>
      <c r="E32" t="s">
        <v>4406</v>
      </c>
    </row>
    <row r="33" spans="1:5" ht="15" customHeight="1" x14ac:dyDescent="0.25">
      <c r="A33" t="s">
        <v>4408</v>
      </c>
      <c r="B33" t="s">
        <v>4360</v>
      </c>
      <c r="C33" t="s">
        <v>553</v>
      </c>
      <c r="D33" t="s">
        <v>4361</v>
      </c>
      <c r="E33" t="s">
        <v>4406</v>
      </c>
    </row>
    <row r="34" spans="1:5" ht="15" customHeight="1" x14ac:dyDescent="0.25">
      <c r="A34" t="s">
        <v>4409</v>
      </c>
      <c r="B34" t="s">
        <v>4365</v>
      </c>
      <c r="C34" t="s">
        <v>553</v>
      </c>
      <c r="D34" t="s">
        <v>4404</v>
      </c>
      <c r="E34" t="s">
        <v>4406</v>
      </c>
    </row>
    <row r="35" spans="1:5" ht="15" customHeight="1" x14ac:dyDescent="0.25">
      <c r="A35" t="s">
        <v>4410</v>
      </c>
      <c r="B35" t="s">
        <v>4360</v>
      </c>
      <c r="C35" t="s">
        <v>553</v>
      </c>
      <c r="D35" t="s">
        <v>4389</v>
      </c>
      <c r="E35" t="s">
        <v>4406</v>
      </c>
    </row>
    <row r="36" spans="1:5" ht="15" customHeight="1" x14ac:dyDescent="0.25">
      <c r="A36" t="s">
        <v>4411</v>
      </c>
      <c r="B36" t="s">
        <v>4356</v>
      </c>
      <c r="C36" t="s">
        <v>553</v>
      </c>
      <c r="D36" t="s">
        <v>4361</v>
      </c>
      <c r="E36" t="s">
        <v>4406</v>
      </c>
    </row>
    <row r="37" spans="1:5" ht="15" customHeight="1" x14ac:dyDescent="0.25">
      <c r="A37" t="s">
        <v>4412</v>
      </c>
      <c r="B37" t="s">
        <v>4356</v>
      </c>
      <c r="C37" t="s">
        <v>501</v>
      </c>
      <c r="D37" t="s">
        <v>4392</v>
      </c>
      <c r="E37" t="s">
        <v>4413</v>
      </c>
    </row>
    <row r="38" spans="1:5" ht="15" customHeight="1" x14ac:dyDescent="0.25">
      <c r="A38" t="s">
        <v>4414</v>
      </c>
      <c r="B38" t="s">
        <v>4360</v>
      </c>
      <c r="C38" t="s">
        <v>501</v>
      </c>
      <c r="D38" t="s">
        <v>4375</v>
      </c>
      <c r="E38" t="s">
        <v>4413</v>
      </c>
    </row>
    <row r="39" spans="1:5" ht="15" customHeight="1" x14ac:dyDescent="0.25">
      <c r="A39" t="s">
        <v>4415</v>
      </c>
      <c r="B39" t="s">
        <v>4365</v>
      </c>
      <c r="C39" t="s">
        <v>501</v>
      </c>
      <c r="D39" t="s">
        <v>4382</v>
      </c>
      <c r="E39" t="s">
        <v>4413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4416</v>
      </c>
      <c r="E2" t="s">
        <v>4417</v>
      </c>
      <c r="F2" t="s">
        <v>497</v>
      </c>
      <c r="G2" t="s">
        <v>3500</v>
      </c>
      <c r="H2" t="s">
        <v>3501</v>
      </c>
      <c r="I2" t="s">
        <v>3452</v>
      </c>
      <c r="J2" t="s">
        <v>3435</v>
      </c>
    </row>
    <row r="3" spans="1:10" ht="15" customHeight="1" x14ac:dyDescent="0.25">
      <c r="A3" t="s">
        <v>3502</v>
      </c>
      <c r="B3" t="s">
        <v>41</v>
      </c>
      <c r="C3" t="s">
        <v>3503</v>
      </c>
      <c r="D3" t="s">
        <v>4418</v>
      </c>
      <c r="E3" t="s">
        <v>4419</v>
      </c>
      <c r="F3" t="s">
        <v>90</v>
      </c>
      <c r="G3" t="s">
        <v>3505</v>
      </c>
      <c r="H3" t="s">
        <v>3502</v>
      </c>
      <c r="I3" t="s">
        <v>3452</v>
      </c>
      <c r="J3" t="s">
        <v>3506</v>
      </c>
    </row>
    <row r="4" spans="1:10" ht="15" customHeight="1" x14ac:dyDescent="0.25">
      <c r="A4" t="s">
        <v>4420</v>
      </c>
      <c r="B4" t="s">
        <v>3508</v>
      </c>
      <c r="C4" t="s">
        <v>4421</v>
      </c>
      <c r="D4" t="s">
        <v>4422</v>
      </c>
      <c r="E4" t="s">
        <v>4423</v>
      </c>
      <c r="F4" t="s">
        <v>1649</v>
      </c>
      <c r="G4" t="s">
        <v>4424</v>
      </c>
      <c r="H4" t="s">
        <v>4425</v>
      </c>
      <c r="I4" t="s">
        <v>3452</v>
      </c>
      <c r="J4" t="s">
        <v>3506</v>
      </c>
    </row>
    <row r="5" spans="1:10" ht="15" customHeight="1" x14ac:dyDescent="0.25">
      <c r="A5" t="s">
        <v>4426</v>
      </c>
      <c r="B5" t="s">
        <v>41</v>
      </c>
      <c r="C5" t="s">
        <v>3517</v>
      </c>
      <c r="D5" t="s">
        <v>4427</v>
      </c>
      <c r="E5" t="s">
        <v>4428</v>
      </c>
      <c r="F5" t="s">
        <v>1046</v>
      </c>
      <c r="G5" t="s">
        <v>4429</v>
      </c>
      <c r="H5" t="s">
        <v>4430</v>
      </c>
      <c r="I5" t="s">
        <v>3452</v>
      </c>
      <c r="J5" t="s">
        <v>3514</v>
      </c>
    </row>
    <row r="6" spans="1:10" ht="15" customHeight="1" x14ac:dyDescent="0.25">
      <c r="A6" t="s">
        <v>4431</v>
      </c>
      <c r="B6" t="s">
        <v>3508</v>
      </c>
      <c r="C6" t="s">
        <v>4421</v>
      </c>
      <c r="D6" t="s">
        <v>4432</v>
      </c>
      <c r="E6" t="s">
        <v>4433</v>
      </c>
      <c r="F6" t="s">
        <v>1046</v>
      </c>
      <c r="G6" t="s">
        <v>4434</v>
      </c>
      <c r="H6" t="s">
        <v>4431</v>
      </c>
      <c r="I6" t="s">
        <v>3452</v>
      </c>
      <c r="J6" t="s">
        <v>4435</v>
      </c>
    </row>
    <row r="7" spans="1:10" ht="15" customHeight="1" x14ac:dyDescent="0.25">
      <c r="A7" t="s">
        <v>4436</v>
      </c>
      <c r="B7" t="s">
        <v>3508</v>
      </c>
      <c r="C7" t="s">
        <v>3503</v>
      </c>
      <c r="D7" t="s">
        <v>4437</v>
      </c>
      <c r="E7" t="s">
        <v>4438</v>
      </c>
      <c r="F7" t="s">
        <v>1649</v>
      </c>
      <c r="G7" t="s">
        <v>4439</v>
      </c>
      <c r="H7" t="s">
        <v>4440</v>
      </c>
      <c r="I7" t="s">
        <v>3452</v>
      </c>
      <c r="J7" t="s">
        <v>3506</v>
      </c>
    </row>
    <row r="8" spans="1:10" ht="15" customHeight="1" x14ac:dyDescent="0.25">
      <c r="A8" t="s">
        <v>4441</v>
      </c>
      <c r="B8" t="s">
        <v>3496</v>
      </c>
      <c r="C8" t="s">
        <v>4442</v>
      </c>
      <c r="D8" t="s">
        <v>4443</v>
      </c>
      <c r="E8" t="s">
        <v>4444</v>
      </c>
      <c r="F8" t="s">
        <v>1621</v>
      </c>
      <c r="G8" t="s">
        <v>4445</v>
      </c>
      <c r="H8" t="s">
        <v>4446</v>
      </c>
      <c r="I8" t="s">
        <v>3452</v>
      </c>
      <c r="J8" t="s">
        <v>3514</v>
      </c>
    </row>
    <row r="9" spans="1:10" ht="15" customHeight="1" x14ac:dyDescent="0.25">
      <c r="A9" t="s">
        <v>4447</v>
      </c>
      <c r="B9" t="s">
        <v>3496</v>
      </c>
      <c r="C9" t="s">
        <v>3503</v>
      </c>
      <c r="D9" t="s">
        <v>4448</v>
      </c>
      <c r="E9" t="s">
        <v>4449</v>
      </c>
      <c r="F9" t="s">
        <v>1649</v>
      </c>
      <c r="G9" t="s">
        <v>4450</v>
      </c>
      <c r="H9" t="s">
        <v>4451</v>
      </c>
      <c r="I9" t="s">
        <v>3452</v>
      </c>
      <c r="J9" t="s">
        <v>4452</v>
      </c>
    </row>
    <row r="10" spans="1:10" ht="15" customHeight="1" x14ac:dyDescent="0.25">
      <c r="A10" t="s">
        <v>4453</v>
      </c>
      <c r="B10" t="s">
        <v>3496</v>
      </c>
      <c r="C10" t="s">
        <v>3503</v>
      </c>
      <c r="D10" t="s">
        <v>4454</v>
      </c>
      <c r="E10" t="s">
        <v>4455</v>
      </c>
      <c r="F10" t="s">
        <v>90</v>
      </c>
      <c r="G10" t="s">
        <v>4456</v>
      </c>
      <c r="H10" t="s">
        <v>4457</v>
      </c>
      <c r="I10" t="s">
        <v>3452</v>
      </c>
      <c r="J10" t="s">
        <v>3435</v>
      </c>
    </row>
    <row r="11" spans="1:10" ht="15" customHeight="1" x14ac:dyDescent="0.25">
      <c r="A11" t="s">
        <v>4458</v>
      </c>
      <c r="B11" t="s">
        <v>41</v>
      </c>
      <c r="C11" t="s">
        <v>4421</v>
      </c>
      <c r="D11" t="s">
        <v>4459</v>
      </c>
      <c r="E11" t="s">
        <v>4460</v>
      </c>
      <c r="F11" t="s">
        <v>1104</v>
      </c>
      <c r="G11" t="s">
        <v>3875</v>
      </c>
      <c r="H11" t="s">
        <v>4461</v>
      </c>
      <c r="I11" t="s">
        <v>3452</v>
      </c>
      <c r="J11" t="s">
        <v>4435</v>
      </c>
    </row>
    <row r="12" spans="1:10" ht="15" customHeight="1" x14ac:dyDescent="0.25">
      <c r="A12" t="s">
        <v>4462</v>
      </c>
      <c r="B12" t="s">
        <v>3496</v>
      </c>
      <c r="C12" t="s">
        <v>4421</v>
      </c>
      <c r="D12" t="s">
        <v>4463</v>
      </c>
      <c r="E12" t="s">
        <v>4464</v>
      </c>
      <c r="F12" t="s">
        <v>1621</v>
      </c>
      <c r="H12" t="s">
        <v>4465</v>
      </c>
      <c r="I12" t="s">
        <v>3452</v>
      </c>
      <c r="J12" t="s">
        <v>4466</v>
      </c>
    </row>
    <row r="13" spans="1:10" ht="15" customHeight="1" x14ac:dyDescent="0.25">
      <c r="A13" t="s">
        <v>4467</v>
      </c>
      <c r="B13" t="s">
        <v>41</v>
      </c>
      <c r="C13" t="s">
        <v>3503</v>
      </c>
      <c r="D13" t="s">
        <v>4468</v>
      </c>
      <c r="E13" t="s">
        <v>4469</v>
      </c>
      <c r="F13" t="s">
        <v>90</v>
      </c>
      <c r="G13" t="s">
        <v>3525</v>
      </c>
      <c r="H13" t="s">
        <v>4470</v>
      </c>
      <c r="I13" t="s">
        <v>3452</v>
      </c>
      <c r="J13" t="s">
        <v>3435</v>
      </c>
    </row>
    <row r="14" spans="1:10" ht="15" customHeight="1" x14ac:dyDescent="0.25">
      <c r="A14" t="s">
        <v>4471</v>
      </c>
      <c r="B14" t="s">
        <v>41</v>
      </c>
      <c r="C14" t="s">
        <v>3534</v>
      </c>
      <c r="D14" t="s">
        <v>4472</v>
      </c>
      <c r="E14" t="s">
        <v>4473</v>
      </c>
      <c r="F14" t="s">
        <v>497</v>
      </c>
      <c r="G14" t="s">
        <v>4474</v>
      </c>
      <c r="H14" t="s">
        <v>4475</v>
      </c>
      <c r="I14" t="s">
        <v>3452</v>
      </c>
      <c r="J14" t="s">
        <v>3514</v>
      </c>
    </row>
    <row r="15" spans="1:10" ht="15" customHeight="1" x14ac:dyDescent="0.25">
      <c r="A15" t="s">
        <v>4476</v>
      </c>
      <c r="B15" t="s">
        <v>3452</v>
      </c>
      <c r="C15" t="s">
        <v>4477</v>
      </c>
      <c r="D15" t="s">
        <v>4478</v>
      </c>
      <c r="F15" t="s">
        <v>1294</v>
      </c>
      <c r="H15" t="s">
        <v>4479</v>
      </c>
      <c r="I15" t="s">
        <v>3452</v>
      </c>
      <c r="J15" t="s">
        <v>4477</v>
      </c>
    </row>
    <row r="16" spans="1:10" ht="15" customHeight="1" x14ac:dyDescent="0.25">
      <c r="A16" t="s">
        <v>4480</v>
      </c>
      <c r="B16" t="s">
        <v>3452</v>
      </c>
      <c r="C16" t="s">
        <v>4477</v>
      </c>
      <c r="D16" t="s">
        <v>4481</v>
      </c>
      <c r="F16" t="s">
        <v>1294</v>
      </c>
      <c r="H16" t="s">
        <v>4482</v>
      </c>
      <c r="I16" t="s">
        <v>3452</v>
      </c>
      <c r="J16" t="s">
        <v>4477</v>
      </c>
    </row>
    <row r="17" spans="1:10" ht="15" customHeight="1" x14ac:dyDescent="0.25">
      <c r="A17" t="s">
        <v>4483</v>
      </c>
      <c r="B17" t="s">
        <v>3452</v>
      </c>
      <c r="C17" t="s">
        <v>4477</v>
      </c>
      <c r="D17" t="s">
        <v>4484</v>
      </c>
      <c r="F17" t="s">
        <v>1294</v>
      </c>
      <c r="H17" t="s">
        <v>4485</v>
      </c>
      <c r="I17" t="s">
        <v>3452</v>
      </c>
      <c r="J17" t="s">
        <v>4477</v>
      </c>
    </row>
    <row r="18" spans="1:10" ht="15" customHeight="1" x14ac:dyDescent="0.25">
      <c r="A18" t="s">
        <v>4486</v>
      </c>
      <c r="B18" t="s">
        <v>3452</v>
      </c>
      <c r="C18" t="s">
        <v>4477</v>
      </c>
      <c r="D18" t="s">
        <v>4487</v>
      </c>
      <c r="F18" t="s">
        <v>1294</v>
      </c>
      <c r="H18" t="s">
        <v>4488</v>
      </c>
      <c r="I18" t="s">
        <v>3452</v>
      </c>
      <c r="J18" t="s">
        <v>4477</v>
      </c>
    </row>
    <row r="19" spans="1:10" ht="15" customHeight="1" x14ac:dyDescent="0.25">
      <c r="A19" t="s">
        <v>4489</v>
      </c>
      <c r="B19" t="s">
        <v>3452</v>
      </c>
      <c r="C19" t="s">
        <v>4477</v>
      </c>
      <c r="D19" t="s">
        <v>4490</v>
      </c>
      <c r="F19" t="s">
        <v>1294</v>
      </c>
      <c r="H19" t="s">
        <v>4491</v>
      </c>
      <c r="I19" t="s">
        <v>3452</v>
      </c>
      <c r="J19" t="s">
        <v>4477</v>
      </c>
    </row>
    <row r="20" spans="1:10" ht="15" customHeight="1" x14ac:dyDescent="0.25">
      <c r="A20" t="s">
        <v>4492</v>
      </c>
      <c r="B20" t="s">
        <v>3452</v>
      </c>
      <c r="C20" t="s">
        <v>4477</v>
      </c>
      <c r="D20" t="s">
        <v>4493</v>
      </c>
      <c r="F20" t="s">
        <v>1294</v>
      </c>
      <c r="H20" t="s">
        <v>4494</v>
      </c>
      <c r="I20" t="s">
        <v>3452</v>
      </c>
      <c r="J20" t="s">
        <v>4477</v>
      </c>
    </row>
    <row r="21" spans="1:10" ht="15" customHeight="1" x14ac:dyDescent="0.25">
      <c r="A21" t="s">
        <v>4495</v>
      </c>
      <c r="B21" t="s">
        <v>3508</v>
      </c>
      <c r="C21" t="s">
        <v>3517</v>
      </c>
      <c r="D21" t="s">
        <v>4496</v>
      </c>
      <c r="E21" t="s">
        <v>4497</v>
      </c>
      <c r="F21" t="s">
        <v>497</v>
      </c>
      <c r="G21" t="s">
        <v>3620</v>
      </c>
      <c r="H21" t="s">
        <v>4498</v>
      </c>
      <c r="I21" t="s">
        <v>3452</v>
      </c>
      <c r="J21" t="s">
        <v>4499</v>
      </c>
    </row>
    <row r="22" spans="1:10" ht="15" customHeight="1" x14ac:dyDescent="0.25">
      <c r="A22" t="s">
        <v>4500</v>
      </c>
      <c r="B22" t="s">
        <v>41</v>
      </c>
      <c r="C22" t="s">
        <v>4501</v>
      </c>
      <c r="D22" t="s">
        <v>4502</v>
      </c>
      <c r="E22" t="s">
        <v>4503</v>
      </c>
      <c r="F22" t="s">
        <v>1649</v>
      </c>
      <c r="G22" t="s">
        <v>4504</v>
      </c>
      <c r="H22" t="s">
        <v>4505</v>
      </c>
      <c r="I22" t="s">
        <v>3452</v>
      </c>
      <c r="J22" t="s">
        <v>3514</v>
      </c>
    </row>
    <row r="23" spans="1:10" ht="15" customHeight="1" x14ac:dyDescent="0.25">
      <c r="A23" t="s">
        <v>4506</v>
      </c>
      <c r="B23" t="s">
        <v>3496</v>
      </c>
      <c r="C23" t="s">
        <v>3503</v>
      </c>
      <c r="D23" t="s">
        <v>4507</v>
      </c>
      <c r="E23" t="s">
        <v>4508</v>
      </c>
      <c r="F23" t="s">
        <v>1649</v>
      </c>
      <c r="H23" t="s">
        <v>4509</v>
      </c>
      <c r="I23" t="s">
        <v>3452</v>
      </c>
      <c r="J23" t="s">
        <v>4452</v>
      </c>
    </row>
    <row r="24" spans="1:10" ht="15" customHeight="1" x14ac:dyDescent="0.25">
      <c r="A24" t="s">
        <v>4510</v>
      </c>
      <c r="B24" t="s">
        <v>3496</v>
      </c>
      <c r="C24" t="s">
        <v>3503</v>
      </c>
      <c r="D24" t="s">
        <v>4511</v>
      </c>
      <c r="E24" t="s">
        <v>4512</v>
      </c>
      <c r="F24" t="s">
        <v>1649</v>
      </c>
      <c r="G24" t="s">
        <v>4513</v>
      </c>
      <c r="H24" t="s">
        <v>4514</v>
      </c>
      <c r="I24" t="s">
        <v>3452</v>
      </c>
      <c r="J24" t="s">
        <v>3506</v>
      </c>
    </row>
    <row r="25" spans="1:10" ht="15" customHeight="1" x14ac:dyDescent="0.25">
      <c r="A25" t="s">
        <v>4515</v>
      </c>
      <c r="B25" t="s">
        <v>3508</v>
      </c>
      <c r="C25" t="s">
        <v>3503</v>
      </c>
      <c r="D25" t="s">
        <v>4516</v>
      </c>
      <c r="E25" t="s">
        <v>4517</v>
      </c>
      <c r="F25" t="s">
        <v>90</v>
      </c>
      <c r="G25" t="s">
        <v>4518</v>
      </c>
      <c r="H25" t="s">
        <v>4519</v>
      </c>
      <c r="I25" t="s">
        <v>3452</v>
      </c>
      <c r="J25" t="s">
        <v>4452</v>
      </c>
    </row>
    <row r="26" spans="1:10" ht="15" customHeight="1" x14ac:dyDescent="0.25">
      <c r="A26" t="s">
        <v>3461</v>
      </c>
      <c r="B26" t="s">
        <v>3540</v>
      </c>
      <c r="C26" t="s">
        <v>3503</v>
      </c>
      <c r="D26" t="s">
        <v>4520</v>
      </c>
      <c r="E26" t="s">
        <v>4521</v>
      </c>
      <c r="F26" t="s">
        <v>90</v>
      </c>
      <c r="H26" t="s">
        <v>3543</v>
      </c>
      <c r="I26" t="s">
        <v>3452</v>
      </c>
      <c r="J26" t="s">
        <v>3435</v>
      </c>
    </row>
    <row r="27" spans="1:10" ht="15" customHeight="1" x14ac:dyDescent="0.25">
      <c r="A27" t="s">
        <v>4522</v>
      </c>
      <c r="B27" t="s">
        <v>3496</v>
      </c>
      <c r="C27" t="s">
        <v>3517</v>
      </c>
      <c r="D27" t="s">
        <v>4523</v>
      </c>
      <c r="E27" t="s">
        <v>4524</v>
      </c>
      <c r="F27" t="s">
        <v>90</v>
      </c>
      <c r="G27" t="s">
        <v>3570</v>
      </c>
      <c r="H27" t="s">
        <v>4525</v>
      </c>
      <c r="I27" t="s">
        <v>3452</v>
      </c>
      <c r="J27" t="s">
        <v>4526</v>
      </c>
    </row>
    <row r="28" spans="1:10" ht="15" customHeight="1" x14ac:dyDescent="0.25">
      <c r="A28" t="s">
        <v>4527</v>
      </c>
      <c r="B28" t="s">
        <v>3508</v>
      </c>
      <c r="C28" t="s">
        <v>3517</v>
      </c>
      <c r="D28" t="s">
        <v>4528</v>
      </c>
      <c r="E28" t="s">
        <v>4529</v>
      </c>
      <c r="F28" t="s">
        <v>497</v>
      </c>
      <c r="H28" t="s">
        <v>4527</v>
      </c>
      <c r="I28" t="s">
        <v>3452</v>
      </c>
      <c r="J28" t="s">
        <v>3514</v>
      </c>
    </row>
    <row r="29" spans="1:10" ht="15" customHeight="1" x14ac:dyDescent="0.25">
      <c r="A29" t="s">
        <v>4530</v>
      </c>
      <c r="B29" t="s">
        <v>3496</v>
      </c>
      <c r="C29" t="s">
        <v>3503</v>
      </c>
      <c r="D29" t="s">
        <v>4531</v>
      </c>
      <c r="E29" t="s">
        <v>4532</v>
      </c>
      <c r="F29" t="s">
        <v>90</v>
      </c>
      <c r="G29" t="s">
        <v>3505</v>
      </c>
      <c r="H29" t="s">
        <v>4533</v>
      </c>
      <c r="I29" t="s">
        <v>3452</v>
      </c>
      <c r="J29" t="s">
        <v>3506</v>
      </c>
    </row>
    <row r="30" spans="1:10" ht="15" customHeight="1" x14ac:dyDescent="0.25">
      <c r="A30" t="s">
        <v>3557</v>
      </c>
      <c r="B30" t="s">
        <v>3508</v>
      </c>
      <c r="C30" t="s">
        <v>3503</v>
      </c>
      <c r="D30" t="s">
        <v>4534</v>
      </c>
      <c r="E30" t="s">
        <v>4535</v>
      </c>
      <c r="F30" t="s">
        <v>160</v>
      </c>
      <c r="H30" t="s">
        <v>3562</v>
      </c>
      <c r="I30" t="s">
        <v>3452</v>
      </c>
      <c r="J30" t="s">
        <v>3435</v>
      </c>
    </row>
    <row r="31" spans="1:10" ht="15" customHeight="1" x14ac:dyDescent="0.25">
      <c r="A31" t="s">
        <v>3563</v>
      </c>
      <c r="B31" t="s">
        <v>41</v>
      </c>
      <c r="C31" t="s">
        <v>4501</v>
      </c>
      <c r="D31" t="s">
        <v>4536</v>
      </c>
      <c r="E31" t="s">
        <v>4537</v>
      </c>
      <c r="F31" t="s">
        <v>1649</v>
      </c>
      <c r="G31" t="s">
        <v>4504</v>
      </c>
      <c r="H31" t="s">
        <v>3563</v>
      </c>
      <c r="I31" t="s">
        <v>3452</v>
      </c>
      <c r="J31" t="s">
        <v>3514</v>
      </c>
    </row>
    <row r="32" spans="1:10" ht="15" customHeight="1" x14ac:dyDescent="0.25">
      <c r="A32" t="s">
        <v>4538</v>
      </c>
      <c r="B32" t="s">
        <v>3508</v>
      </c>
      <c r="C32" t="s">
        <v>3503</v>
      </c>
      <c r="D32" t="s">
        <v>4539</v>
      </c>
      <c r="E32" t="s">
        <v>4540</v>
      </c>
      <c r="F32" t="s">
        <v>1322</v>
      </c>
      <c r="G32" t="s">
        <v>4541</v>
      </c>
      <c r="H32" t="s">
        <v>4542</v>
      </c>
      <c r="I32" t="s">
        <v>3452</v>
      </c>
      <c r="J32" t="s">
        <v>4543</v>
      </c>
    </row>
    <row r="33" spans="1:10" ht="15" customHeight="1" x14ac:dyDescent="0.25">
      <c r="A33" t="s">
        <v>4544</v>
      </c>
      <c r="B33" t="s">
        <v>3496</v>
      </c>
      <c r="C33" t="s">
        <v>3517</v>
      </c>
      <c r="D33" t="s">
        <v>4545</v>
      </c>
      <c r="E33" t="s">
        <v>4546</v>
      </c>
      <c r="F33" t="s">
        <v>160</v>
      </c>
      <c r="G33" t="s">
        <v>4547</v>
      </c>
      <c r="H33" t="s">
        <v>4548</v>
      </c>
      <c r="I33" t="s">
        <v>3452</v>
      </c>
      <c r="J33" t="s">
        <v>3514</v>
      </c>
    </row>
    <row r="34" spans="1:10" ht="15" customHeight="1" x14ac:dyDescent="0.25">
      <c r="A34" t="s">
        <v>3567</v>
      </c>
      <c r="B34" t="s">
        <v>3508</v>
      </c>
      <c r="C34" t="s">
        <v>3503</v>
      </c>
      <c r="D34" t="s">
        <v>3568</v>
      </c>
      <c r="E34" t="s">
        <v>4549</v>
      </c>
      <c r="F34" t="s">
        <v>2804</v>
      </c>
      <c r="G34" t="s">
        <v>3570</v>
      </c>
      <c r="H34" t="s">
        <v>3567</v>
      </c>
      <c r="I34" t="s">
        <v>3452</v>
      </c>
      <c r="J34" t="s">
        <v>3571</v>
      </c>
    </row>
    <row r="35" spans="1:10" ht="15" customHeight="1" x14ac:dyDescent="0.25">
      <c r="A35" t="s">
        <v>3465</v>
      </c>
      <c r="B35" t="s">
        <v>3508</v>
      </c>
      <c r="C35" t="s">
        <v>4550</v>
      </c>
      <c r="D35" t="s">
        <v>4551</v>
      </c>
      <c r="E35" t="s">
        <v>4552</v>
      </c>
      <c r="F35" t="s">
        <v>160</v>
      </c>
      <c r="G35" t="s">
        <v>315</v>
      </c>
      <c r="H35" t="s">
        <v>3465</v>
      </c>
      <c r="I35" t="s">
        <v>3452</v>
      </c>
      <c r="J35" t="s">
        <v>3514</v>
      </c>
    </row>
    <row r="36" spans="1:10" ht="15" customHeight="1" x14ac:dyDescent="0.25">
      <c r="A36" t="s">
        <v>4553</v>
      </c>
      <c r="B36" t="s">
        <v>3508</v>
      </c>
      <c r="C36" t="s">
        <v>3503</v>
      </c>
      <c r="D36" t="s">
        <v>4554</v>
      </c>
      <c r="E36" t="s">
        <v>4555</v>
      </c>
      <c r="F36" t="s">
        <v>90</v>
      </c>
      <c r="G36" t="s">
        <v>4556</v>
      </c>
      <c r="H36" t="s">
        <v>4557</v>
      </c>
      <c r="I36" t="s">
        <v>3452</v>
      </c>
      <c r="J36" t="s">
        <v>4558</v>
      </c>
    </row>
    <row r="37" spans="1:10" ht="15" customHeight="1" x14ac:dyDescent="0.25">
      <c r="A37" t="s">
        <v>4559</v>
      </c>
      <c r="B37" t="s">
        <v>3496</v>
      </c>
      <c r="C37" t="s">
        <v>4560</v>
      </c>
      <c r="D37" t="s">
        <v>4561</v>
      </c>
      <c r="E37" t="s">
        <v>4562</v>
      </c>
      <c r="F37" t="s">
        <v>160</v>
      </c>
      <c r="G37" t="s">
        <v>4563</v>
      </c>
      <c r="H37" t="s">
        <v>4564</v>
      </c>
      <c r="I37" t="s">
        <v>3452</v>
      </c>
      <c r="J37" t="s">
        <v>4452</v>
      </c>
    </row>
    <row r="38" spans="1:10" ht="15" customHeight="1" x14ac:dyDescent="0.25">
      <c r="A38" t="s">
        <v>4565</v>
      </c>
      <c r="B38" t="s">
        <v>3508</v>
      </c>
      <c r="C38" t="s">
        <v>3573</v>
      </c>
      <c r="D38" t="s">
        <v>4566</v>
      </c>
      <c r="F38" t="s">
        <v>160</v>
      </c>
      <c r="G38" t="s">
        <v>4567</v>
      </c>
      <c r="H38" t="s">
        <v>4568</v>
      </c>
      <c r="I38" t="s">
        <v>3452</v>
      </c>
      <c r="J38" t="s">
        <v>3444</v>
      </c>
    </row>
    <row r="39" spans="1:10" ht="15" customHeight="1" x14ac:dyDescent="0.25">
      <c r="A39" t="s">
        <v>4569</v>
      </c>
      <c r="B39" t="s">
        <v>3508</v>
      </c>
      <c r="C39" t="s">
        <v>3503</v>
      </c>
      <c r="D39" t="s">
        <v>4570</v>
      </c>
      <c r="E39" t="s">
        <v>4571</v>
      </c>
      <c r="F39" t="s">
        <v>1129</v>
      </c>
      <c r="G39" t="s">
        <v>4572</v>
      </c>
      <c r="H39" t="s">
        <v>4573</v>
      </c>
      <c r="I39" t="s">
        <v>3452</v>
      </c>
      <c r="J39" t="s">
        <v>4574</v>
      </c>
    </row>
    <row r="40" spans="1:10" ht="15" customHeight="1" x14ac:dyDescent="0.25">
      <c r="A40" t="s">
        <v>4575</v>
      </c>
      <c r="B40" t="s">
        <v>3508</v>
      </c>
      <c r="C40" t="s">
        <v>4421</v>
      </c>
      <c r="D40" t="s">
        <v>4576</v>
      </c>
      <c r="E40" t="s">
        <v>4577</v>
      </c>
      <c r="F40" t="s">
        <v>1621</v>
      </c>
      <c r="H40" t="s">
        <v>4575</v>
      </c>
      <c r="I40" t="s">
        <v>3452</v>
      </c>
      <c r="J40" t="s">
        <v>4452</v>
      </c>
    </row>
    <row r="41" spans="1:10" ht="15" customHeight="1" x14ac:dyDescent="0.25">
      <c r="A41" t="s">
        <v>4578</v>
      </c>
      <c r="B41" t="s">
        <v>41</v>
      </c>
      <c r="C41" t="s">
        <v>4501</v>
      </c>
      <c r="D41" t="s">
        <v>4579</v>
      </c>
      <c r="E41" t="s">
        <v>4580</v>
      </c>
      <c r="F41" t="s">
        <v>1649</v>
      </c>
      <c r="G41" t="s">
        <v>4504</v>
      </c>
      <c r="H41" t="s">
        <v>4581</v>
      </c>
      <c r="I41" t="s">
        <v>3452</v>
      </c>
      <c r="J41" t="s">
        <v>3514</v>
      </c>
    </row>
    <row r="42" spans="1:10" ht="15" customHeight="1" x14ac:dyDescent="0.25">
      <c r="A42" t="s">
        <v>4582</v>
      </c>
      <c r="B42" t="s">
        <v>3496</v>
      </c>
      <c r="C42" t="s">
        <v>3503</v>
      </c>
      <c r="D42" t="s">
        <v>4583</v>
      </c>
      <c r="E42" t="s">
        <v>4584</v>
      </c>
      <c r="F42" t="s">
        <v>2804</v>
      </c>
      <c r="G42" t="s">
        <v>4445</v>
      </c>
      <c r="H42" t="s">
        <v>4582</v>
      </c>
      <c r="I42" t="s">
        <v>3452</v>
      </c>
      <c r="J42" t="s">
        <v>4452</v>
      </c>
    </row>
    <row r="43" spans="1:10" ht="15" customHeight="1" x14ac:dyDescent="0.25">
      <c r="A43" t="s">
        <v>4585</v>
      </c>
      <c r="B43" t="s">
        <v>3496</v>
      </c>
      <c r="C43" t="s">
        <v>3503</v>
      </c>
      <c r="D43" t="s">
        <v>4586</v>
      </c>
      <c r="E43" t="s">
        <v>4587</v>
      </c>
      <c r="F43" t="s">
        <v>90</v>
      </c>
      <c r="G43" t="s">
        <v>4588</v>
      </c>
      <c r="H43" t="s">
        <v>4589</v>
      </c>
      <c r="I43" t="s">
        <v>3452</v>
      </c>
      <c r="J43" t="s">
        <v>4590</v>
      </c>
    </row>
    <row r="44" spans="1:10" ht="15" customHeight="1" x14ac:dyDescent="0.25">
      <c r="A44" t="s">
        <v>4591</v>
      </c>
      <c r="B44" t="s">
        <v>3496</v>
      </c>
      <c r="C44" t="s">
        <v>3503</v>
      </c>
      <c r="D44" t="s">
        <v>4592</v>
      </c>
      <c r="E44" t="s">
        <v>4593</v>
      </c>
      <c r="F44" t="s">
        <v>1649</v>
      </c>
      <c r="G44" t="s">
        <v>4594</v>
      </c>
      <c r="H44" t="s">
        <v>4595</v>
      </c>
      <c r="I44" t="s">
        <v>3452</v>
      </c>
      <c r="J44" t="s">
        <v>4452</v>
      </c>
    </row>
    <row r="45" spans="1:10" ht="15" customHeight="1" x14ac:dyDescent="0.25">
      <c r="A45" t="s">
        <v>4596</v>
      </c>
      <c r="B45" t="s">
        <v>3508</v>
      </c>
      <c r="C45" t="s">
        <v>3503</v>
      </c>
      <c r="D45" t="s">
        <v>4597</v>
      </c>
      <c r="E45" t="s">
        <v>4598</v>
      </c>
      <c r="F45" t="s">
        <v>2804</v>
      </c>
      <c r="G45" t="s">
        <v>4599</v>
      </c>
      <c r="H45" t="s">
        <v>4600</v>
      </c>
      <c r="I45" t="s">
        <v>3452</v>
      </c>
      <c r="J45" t="s">
        <v>3514</v>
      </c>
    </row>
    <row r="46" spans="1:10" ht="15" customHeight="1" x14ac:dyDescent="0.25">
      <c r="A46" t="s">
        <v>4601</v>
      </c>
      <c r="B46" t="s">
        <v>41</v>
      </c>
      <c r="C46" t="s">
        <v>3517</v>
      </c>
      <c r="D46" t="s">
        <v>4602</v>
      </c>
      <c r="E46" t="s">
        <v>4603</v>
      </c>
      <c r="F46" t="s">
        <v>2136</v>
      </c>
      <c r="G46" t="s">
        <v>4604</v>
      </c>
      <c r="H46" t="s">
        <v>4605</v>
      </c>
      <c r="I46" t="s">
        <v>3452</v>
      </c>
      <c r="J46" t="s">
        <v>3514</v>
      </c>
    </row>
    <row r="47" spans="1:10" ht="15" customHeight="1" x14ac:dyDescent="0.25">
      <c r="A47" t="s">
        <v>4606</v>
      </c>
      <c r="B47" t="s">
        <v>3508</v>
      </c>
      <c r="C47" t="s">
        <v>3503</v>
      </c>
      <c r="D47" t="s">
        <v>4607</v>
      </c>
      <c r="E47" t="s">
        <v>4608</v>
      </c>
      <c r="F47" t="s">
        <v>90</v>
      </c>
      <c r="G47" t="s">
        <v>4609</v>
      </c>
      <c r="H47" t="s">
        <v>4610</v>
      </c>
      <c r="I47" t="s">
        <v>3452</v>
      </c>
      <c r="J47" t="s">
        <v>3571</v>
      </c>
    </row>
    <row r="48" spans="1:10" ht="15" customHeight="1" x14ac:dyDescent="0.25">
      <c r="A48" t="s">
        <v>4611</v>
      </c>
      <c r="B48" t="s">
        <v>3508</v>
      </c>
      <c r="C48" t="s">
        <v>3503</v>
      </c>
      <c r="D48" t="s">
        <v>4612</v>
      </c>
      <c r="E48" t="s">
        <v>4613</v>
      </c>
      <c r="F48" t="s">
        <v>2506</v>
      </c>
      <c r="G48" t="s">
        <v>4614</v>
      </c>
      <c r="H48" t="s">
        <v>4611</v>
      </c>
      <c r="I48" t="s">
        <v>3452</v>
      </c>
      <c r="J48" t="s">
        <v>3506</v>
      </c>
    </row>
    <row r="49" spans="1:10" ht="15" customHeight="1" x14ac:dyDescent="0.25">
      <c r="A49" t="s">
        <v>4615</v>
      </c>
      <c r="B49" t="s">
        <v>3496</v>
      </c>
      <c r="C49" t="s">
        <v>3503</v>
      </c>
      <c r="D49" t="s">
        <v>4616</v>
      </c>
      <c r="E49" t="s">
        <v>4617</v>
      </c>
      <c r="F49" t="s">
        <v>90</v>
      </c>
      <c r="G49" t="s">
        <v>264</v>
      </c>
      <c r="H49" t="s">
        <v>4615</v>
      </c>
      <c r="I49" t="s">
        <v>3452</v>
      </c>
      <c r="J49" t="s">
        <v>3506</v>
      </c>
    </row>
    <row r="50" spans="1:10" ht="15" customHeight="1" x14ac:dyDescent="0.25">
      <c r="A50" t="s">
        <v>4618</v>
      </c>
      <c r="B50" t="s">
        <v>41</v>
      </c>
      <c r="C50" t="s">
        <v>3517</v>
      </c>
      <c r="D50" t="s">
        <v>4619</v>
      </c>
      <c r="E50" t="s">
        <v>4620</v>
      </c>
      <c r="F50" t="s">
        <v>160</v>
      </c>
      <c r="G50" t="s">
        <v>4621</v>
      </c>
      <c r="H50" t="s">
        <v>4622</v>
      </c>
      <c r="I50" t="s">
        <v>3452</v>
      </c>
      <c r="J50" t="s">
        <v>3514</v>
      </c>
    </row>
    <row r="51" spans="1:10" ht="15" customHeight="1" x14ac:dyDescent="0.25">
      <c r="A51" t="s">
        <v>4623</v>
      </c>
      <c r="B51" t="s">
        <v>3496</v>
      </c>
      <c r="C51" t="s">
        <v>3503</v>
      </c>
      <c r="D51" t="s">
        <v>4624</v>
      </c>
      <c r="E51" t="s">
        <v>4625</v>
      </c>
      <c r="F51" t="s">
        <v>1129</v>
      </c>
      <c r="G51" t="s">
        <v>4626</v>
      </c>
      <c r="H51" t="s">
        <v>4627</v>
      </c>
      <c r="I51" t="s">
        <v>3452</v>
      </c>
      <c r="J51" t="s">
        <v>4628</v>
      </c>
    </row>
    <row r="52" spans="1:10" ht="15" customHeight="1" x14ac:dyDescent="0.25">
      <c r="A52" t="s">
        <v>4629</v>
      </c>
      <c r="B52" t="s">
        <v>3508</v>
      </c>
      <c r="C52" t="s">
        <v>3503</v>
      </c>
      <c r="D52" t="s">
        <v>4630</v>
      </c>
      <c r="E52" t="s">
        <v>4631</v>
      </c>
      <c r="F52" t="s">
        <v>90</v>
      </c>
      <c r="H52" t="s">
        <v>4632</v>
      </c>
      <c r="I52" t="s">
        <v>3452</v>
      </c>
      <c r="J52" t="s">
        <v>4633</v>
      </c>
    </row>
    <row r="53" spans="1:10" ht="15" customHeight="1" x14ac:dyDescent="0.25">
      <c r="A53" t="s">
        <v>4634</v>
      </c>
      <c r="B53" t="s">
        <v>3496</v>
      </c>
      <c r="C53" t="s">
        <v>3517</v>
      </c>
      <c r="D53" t="s">
        <v>4635</v>
      </c>
      <c r="E53" t="s">
        <v>4636</v>
      </c>
      <c r="F53" t="s">
        <v>497</v>
      </c>
      <c r="G53" t="s">
        <v>4637</v>
      </c>
      <c r="H53" t="s">
        <v>4634</v>
      </c>
      <c r="I53" t="s">
        <v>3452</v>
      </c>
      <c r="J53" t="s">
        <v>3514</v>
      </c>
    </row>
    <row r="54" spans="1:10" ht="15" customHeight="1" x14ac:dyDescent="0.25">
      <c r="A54" t="s">
        <v>4638</v>
      </c>
      <c r="B54" t="s">
        <v>41</v>
      </c>
      <c r="C54" t="s">
        <v>4560</v>
      </c>
      <c r="D54" t="s">
        <v>4639</v>
      </c>
      <c r="E54" t="s">
        <v>4640</v>
      </c>
      <c r="F54" t="s">
        <v>90</v>
      </c>
      <c r="G54" t="s">
        <v>4641</v>
      </c>
      <c r="H54" t="s">
        <v>4642</v>
      </c>
      <c r="I54" t="s">
        <v>3452</v>
      </c>
      <c r="J54" t="s">
        <v>4526</v>
      </c>
    </row>
    <row r="55" spans="1:10" ht="15" customHeight="1" x14ac:dyDescent="0.25">
      <c r="A55" t="s">
        <v>4643</v>
      </c>
      <c r="B55" t="s">
        <v>3508</v>
      </c>
      <c r="C55" t="s">
        <v>3503</v>
      </c>
      <c r="D55" t="s">
        <v>4644</v>
      </c>
      <c r="E55" t="s">
        <v>4645</v>
      </c>
      <c r="F55" t="s">
        <v>160</v>
      </c>
      <c r="G55" t="s">
        <v>4646</v>
      </c>
      <c r="H55" t="s">
        <v>4647</v>
      </c>
      <c r="I55" t="s">
        <v>3452</v>
      </c>
      <c r="J55" t="s">
        <v>3571</v>
      </c>
    </row>
    <row r="56" spans="1:10" ht="15" customHeight="1" x14ac:dyDescent="0.25">
      <c r="A56" t="s">
        <v>3591</v>
      </c>
      <c r="B56" t="s">
        <v>41</v>
      </c>
      <c r="C56" t="s">
        <v>3509</v>
      </c>
      <c r="D56" t="s">
        <v>4648</v>
      </c>
      <c r="E56" t="s">
        <v>4649</v>
      </c>
      <c r="F56" t="s">
        <v>2804</v>
      </c>
      <c r="G56" t="s">
        <v>3593</v>
      </c>
      <c r="H56" t="s">
        <v>3594</v>
      </c>
      <c r="I56" t="s">
        <v>3452</v>
      </c>
      <c r="J56" t="s">
        <v>3435</v>
      </c>
    </row>
    <row r="57" spans="1:10" ht="15" customHeight="1" x14ac:dyDescent="0.25">
      <c r="A57" t="s">
        <v>4650</v>
      </c>
      <c r="B57" t="s">
        <v>3718</v>
      </c>
      <c r="C57" t="s">
        <v>3503</v>
      </c>
      <c r="D57" t="s">
        <v>4651</v>
      </c>
      <c r="E57" t="s">
        <v>4652</v>
      </c>
      <c r="F57" t="s">
        <v>160</v>
      </c>
      <c r="G57" t="s">
        <v>4653</v>
      </c>
      <c r="H57" t="s">
        <v>4654</v>
      </c>
      <c r="I57" t="s">
        <v>3452</v>
      </c>
      <c r="J57" t="s">
        <v>3506</v>
      </c>
    </row>
    <row r="58" spans="1:10" ht="15" customHeight="1" x14ac:dyDescent="0.25">
      <c r="A58" t="s">
        <v>4655</v>
      </c>
      <c r="B58" t="s">
        <v>3508</v>
      </c>
      <c r="C58" t="s">
        <v>3503</v>
      </c>
      <c r="D58" t="s">
        <v>4656</v>
      </c>
      <c r="E58" t="s">
        <v>4657</v>
      </c>
      <c r="F58" t="s">
        <v>90</v>
      </c>
      <c r="G58" t="s">
        <v>3505</v>
      </c>
      <c r="H58" t="s">
        <v>4658</v>
      </c>
      <c r="I58" t="s">
        <v>3452</v>
      </c>
      <c r="J58" t="s">
        <v>3506</v>
      </c>
    </row>
    <row r="59" spans="1:10" ht="15" customHeight="1" x14ac:dyDescent="0.25">
      <c r="A59" t="s">
        <v>4659</v>
      </c>
      <c r="B59" t="s">
        <v>3496</v>
      </c>
      <c r="C59" t="s">
        <v>3503</v>
      </c>
      <c r="D59" t="s">
        <v>4660</v>
      </c>
      <c r="E59" t="s">
        <v>4661</v>
      </c>
      <c r="F59" t="s">
        <v>90</v>
      </c>
      <c r="G59" t="s">
        <v>264</v>
      </c>
      <c r="H59" t="s">
        <v>4662</v>
      </c>
      <c r="I59" t="s">
        <v>3452</v>
      </c>
      <c r="J59" t="s">
        <v>4526</v>
      </c>
    </row>
    <row r="60" spans="1:10" ht="15" customHeight="1" x14ac:dyDescent="0.25">
      <c r="A60" t="s">
        <v>4663</v>
      </c>
      <c r="B60" t="s">
        <v>3496</v>
      </c>
      <c r="C60" t="s">
        <v>3503</v>
      </c>
      <c r="D60" t="s">
        <v>4664</v>
      </c>
      <c r="E60" t="s">
        <v>4665</v>
      </c>
      <c r="F60" t="s">
        <v>1649</v>
      </c>
      <c r="G60" t="s">
        <v>4666</v>
      </c>
      <c r="H60" t="s">
        <v>4667</v>
      </c>
      <c r="I60" t="s">
        <v>3452</v>
      </c>
      <c r="J60" t="s">
        <v>4466</v>
      </c>
    </row>
    <row r="61" spans="1:10" ht="15" customHeight="1" x14ac:dyDescent="0.25">
      <c r="A61" t="s">
        <v>4668</v>
      </c>
      <c r="B61" t="s">
        <v>41</v>
      </c>
      <c r="C61" t="s">
        <v>4442</v>
      </c>
      <c r="D61" t="s">
        <v>4669</v>
      </c>
      <c r="E61" t="s">
        <v>4670</v>
      </c>
      <c r="F61" t="s">
        <v>497</v>
      </c>
      <c r="G61" t="s">
        <v>264</v>
      </c>
      <c r="H61" t="s">
        <v>4668</v>
      </c>
      <c r="I61" t="s">
        <v>3452</v>
      </c>
      <c r="J61" t="s">
        <v>3435</v>
      </c>
    </row>
    <row r="62" spans="1:10" ht="15" customHeight="1" x14ac:dyDescent="0.25">
      <c r="A62" t="s">
        <v>4671</v>
      </c>
      <c r="B62" t="s">
        <v>3496</v>
      </c>
      <c r="C62" t="s">
        <v>3503</v>
      </c>
      <c r="D62" t="s">
        <v>4672</v>
      </c>
      <c r="E62" t="s">
        <v>4673</v>
      </c>
      <c r="F62" t="s">
        <v>160</v>
      </c>
      <c r="H62" t="s">
        <v>4674</v>
      </c>
      <c r="I62" t="s">
        <v>3452</v>
      </c>
      <c r="J62" t="s">
        <v>4675</v>
      </c>
    </row>
    <row r="63" spans="1:10" ht="15" customHeight="1" x14ac:dyDescent="0.25">
      <c r="A63" t="s">
        <v>4676</v>
      </c>
      <c r="B63" t="s">
        <v>3496</v>
      </c>
      <c r="C63" t="s">
        <v>3503</v>
      </c>
      <c r="D63" t="s">
        <v>4677</v>
      </c>
      <c r="E63" t="s">
        <v>4678</v>
      </c>
      <c r="F63" t="s">
        <v>1649</v>
      </c>
      <c r="G63" t="s">
        <v>4679</v>
      </c>
      <c r="H63" t="s">
        <v>4680</v>
      </c>
      <c r="I63" t="s">
        <v>3452</v>
      </c>
      <c r="J63" t="s">
        <v>4466</v>
      </c>
    </row>
    <row r="64" spans="1:10" ht="15" customHeight="1" x14ac:dyDescent="0.25">
      <c r="A64" t="s">
        <v>4681</v>
      </c>
      <c r="B64" t="s">
        <v>3508</v>
      </c>
      <c r="C64" t="s">
        <v>3517</v>
      </c>
      <c r="D64" t="s">
        <v>4682</v>
      </c>
      <c r="E64" t="s">
        <v>4683</v>
      </c>
      <c r="F64" t="s">
        <v>2136</v>
      </c>
      <c r="G64" t="s">
        <v>4684</v>
      </c>
      <c r="H64" t="s">
        <v>4685</v>
      </c>
      <c r="I64" t="s">
        <v>3452</v>
      </c>
      <c r="J64" t="s">
        <v>3435</v>
      </c>
    </row>
    <row r="65" spans="1:10" ht="15" customHeight="1" x14ac:dyDescent="0.25">
      <c r="A65" t="s">
        <v>4686</v>
      </c>
      <c r="B65" t="s">
        <v>41</v>
      </c>
      <c r="C65" t="s">
        <v>4421</v>
      </c>
      <c r="D65" t="s">
        <v>4687</v>
      </c>
      <c r="E65" t="s">
        <v>4688</v>
      </c>
      <c r="F65" t="s">
        <v>1046</v>
      </c>
      <c r="G65" t="s">
        <v>3875</v>
      </c>
      <c r="H65" t="s">
        <v>4689</v>
      </c>
      <c r="I65" t="s">
        <v>3452</v>
      </c>
      <c r="J65" t="s">
        <v>4452</v>
      </c>
    </row>
    <row r="66" spans="1:10" ht="15" customHeight="1" x14ac:dyDescent="0.25">
      <c r="A66" t="s">
        <v>4690</v>
      </c>
      <c r="B66" t="s">
        <v>3508</v>
      </c>
      <c r="C66" t="s">
        <v>4442</v>
      </c>
      <c r="D66" t="s">
        <v>4691</v>
      </c>
      <c r="E66" t="s">
        <v>4692</v>
      </c>
      <c r="F66" t="s">
        <v>501</v>
      </c>
      <c r="G66" t="s">
        <v>4693</v>
      </c>
      <c r="H66" t="s">
        <v>4694</v>
      </c>
      <c r="I66" t="s">
        <v>3452</v>
      </c>
      <c r="J66" t="s">
        <v>4452</v>
      </c>
    </row>
    <row r="67" spans="1:10" ht="15" customHeight="1" x14ac:dyDescent="0.25">
      <c r="A67" t="s">
        <v>4695</v>
      </c>
      <c r="B67" t="s">
        <v>41</v>
      </c>
      <c r="C67" t="s">
        <v>4421</v>
      </c>
      <c r="D67" t="s">
        <v>4696</v>
      </c>
      <c r="E67" t="s">
        <v>4697</v>
      </c>
      <c r="F67" t="s">
        <v>1046</v>
      </c>
      <c r="G67" t="s">
        <v>3875</v>
      </c>
      <c r="H67" t="s">
        <v>4698</v>
      </c>
      <c r="I67" t="s">
        <v>3452</v>
      </c>
      <c r="J67" t="s">
        <v>4452</v>
      </c>
    </row>
    <row r="68" spans="1:10" ht="15" customHeight="1" x14ac:dyDescent="0.25">
      <c r="A68" t="s">
        <v>4699</v>
      </c>
      <c r="B68" t="s">
        <v>41</v>
      </c>
      <c r="C68" t="s">
        <v>3517</v>
      </c>
      <c r="D68" t="s">
        <v>4113</v>
      </c>
      <c r="E68" t="s">
        <v>4700</v>
      </c>
      <c r="F68" t="s">
        <v>160</v>
      </c>
      <c r="H68" t="s">
        <v>4701</v>
      </c>
      <c r="I68" t="s">
        <v>3452</v>
      </c>
      <c r="J68" t="s">
        <v>3514</v>
      </c>
    </row>
    <row r="69" spans="1:10" ht="15" customHeight="1" x14ac:dyDescent="0.25">
      <c r="A69" t="s">
        <v>3622</v>
      </c>
      <c r="B69" t="s">
        <v>41</v>
      </c>
      <c r="C69" t="s">
        <v>3509</v>
      </c>
      <c r="D69" t="s">
        <v>4702</v>
      </c>
      <c r="E69" t="s">
        <v>4703</v>
      </c>
      <c r="F69" t="s">
        <v>160</v>
      </c>
      <c r="G69" t="s">
        <v>264</v>
      </c>
      <c r="H69" t="s">
        <v>3622</v>
      </c>
      <c r="I69" t="s">
        <v>3452</v>
      </c>
      <c r="J69" t="s">
        <v>3435</v>
      </c>
    </row>
    <row r="70" spans="1:10" ht="15" customHeight="1" x14ac:dyDescent="0.25">
      <c r="A70" t="s">
        <v>3625</v>
      </c>
      <c r="B70" t="s">
        <v>3496</v>
      </c>
      <c r="C70" t="s">
        <v>3509</v>
      </c>
      <c r="D70" t="s">
        <v>4704</v>
      </c>
      <c r="E70" t="s">
        <v>4705</v>
      </c>
      <c r="F70" t="s">
        <v>90</v>
      </c>
      <c r="G70" t="s">
        <v>3628</v>
      </c>
      <c r="H70" t="s">
        <v>3625</v>
      </c>
      <c r="I70" t="s">
        <v>3452</v>
      </c>
      <c r="J70" t="s">
        <v>3435</v>
      </c>
    </row>
    <row r="71" spans="1:10" ht="15" customHeight="1" x14ac:dyDescent="0.25">
      <c r="A71" t="s">
        <v>3629</v>
      </c>
      <c r="B71" t="s">
        <v>3508</v>
      </c>
      <c r="C71" t="s">
        <v>3503</v>
      </c>
      <c r="D71" t="s">
        <v>4706</v>
      </c>
      <c r="E71" t="s">
        <v>4707</v>
      </c>
      <c r="F71" t="s">
        <v>90</v>
      </c>
      <c r="G71" t="s">
        <v>3632</v>
      </c>
      <c r="H71" t="s">
        <v>3633</v>
      </c>
      <c r="I71" t="s">
        <v>3452</v>
      </c>
      <c r="J71" t="s">
        <v>3435</v>
      </c>
    </row>
    <row r="72" spans="1:10" ht="15" customHeight="1" x14ac:dyDescent="0.25">
      <c r="A72" t="s">
        <v>4708</v>
      </c>
      <c r="B72" t="s">
        <v>3508</v>
      </c>
      <c r="C72" t="s">
        <v>3503</v>
      </c>
      <c r="D72" t="s">
        <v>4709</v>
      </c>
      <c r="E72" t="s">
        <v>4710</v>
      </c>
      <c r="F72" t="s">
        <v>90</v>
      </c>
      <c r="H72" t="s">
        <v>4711</v>
      </c>
      <c r="I72" t="s">
        <v>3452</v>
      </c>
      <c r="J72" t="s">
        <v>4452</v>
      </c>
    </row>
    <row r="73" spans="1:10" ht="15" customHeight="1" x14ac:dyDescent="0.25">
      <c r="A73" t="s">
        <v>4712</v>
      </c>
      <c r="B73" t="s">
        <v>3508</v>
      </c>
      <c r="C73" t="s">
        <v>3503</v>
      </c>
      <c r="D73" t="s">
        <v>4713</v>
      </c>
      <c r="E73" t="s">
        <v>4714</v>
      </c>
      <c r="F73" t="s">
        <v>1649</v>
      </c>
      <c r="G73" t="s">
        <v>4715</v>
      </c>
      <c r="H73" t="s">
        <v>4716</v>
      </c>
      <c r="I73" t="s">
        <v>3452</v>
      </c>
      <c r="J73" t="s">
        <v>3506</v>
      </c>
    </row>
    <row r="74" spans="1:10" ht="15" customHeight="1" x14ac:dyDescent="0.25">
      <c r="A74" t="s">
        <v>4717</v>
      </c>
      <c r="B74" t="s">
        <v>3508</v>
      </c>
      <c r="C74" t="s">
        <v>3503</v>
      </c>
      <c r="D74" t="s">
        <v>4718</v>
      </c>
      <c r="E74" t="s">
        <v>4719</v>
      </c>
      <c r="F74" t="s">
        <v>90</v>
      </c>
      <c r="G74" t="s">
        <v>4609</v>
      </c>
      <c r="H74" t="s">
        <v>4720</v>
      </c>
      <c r="I74" t="s">
        <v>3452</v>
      </c>
      <c r="J74" t="s">
        <v>3571</v>
      </c>
    </row>
    <row r="75" spans="1:10" ht="15" customHeight="1" x14ac:dyDescent="0.25">
      <c r="A75" t="s">
        <v>4721</v>
      </c>
      <c r="B75" t="s">
        <v>3508</v>
      </c>
      <c r="C75" t="s">
        <v>3517</v>
      </c>
      <c r="D75" t="s">
        <v>4722</v>
      </c>
      <c r="E75" t="s">
        <v>4723</v>
      </c>
      <c r="F75" t="s">
        <v>160</v>
      </c>
      <c r="H75" t="s">
        <v>4724</v>
      </c>
      <c r="I75" t="s">
        <v>3452</v>
      </c>
      <c r="J75" t="s">
        <v>3514</v>
      </c>
    </row>
    <row r="76" spans="1:10" ht="15" customHeight="1" x14ac:dyDescent="0.25">
      <c r="A76" t="s">
        <v>4725</v>
      </c>
      <c r="B76" t="s">
        <v>3496</v>
      </c>
      <c r="C76" t="s">
        <v>3503</v>
      </c>
      <c r="D76" t="s">
        <v>4726</v>
      </c>
      <c r="E76" t="s">
        <v>4727</v>
      </c>
      <c r="F76" t="s">
        <v>90</v>
      </c>
      <c r="G76" t="s">
        <v>4728</v>
      </c>
      <c r="H76" t="s">
        <v>4729</v>
      </c>
      <c r="I76" t="s">
        <v>3452</v>
      </c>
      <c r="J76" t="s">
        <v>4730</v>
      </c>
    </row>
    <row r="77" spans="1:10" ht="15" customHeight="1" x14ac:dyDescent="0.25">
      <c r="A77" t="s">
        <v>4731</v>
      </c>
      <c r="B77" t="s">
        <v>41</v>
      </c>
      <c r="C77" t="s">
        <v>4560</v>
      </c>
      <c r="D77" t="s">
        <v>4732</v>
      </c>
      <c r="E77" t="s">
        <v>4733</v>
      </c>
      <c r="F77" t="s">
        <v>90</v>
      </c>
      <c r="G77" t="s">
        <v>4734</v>
      </c>
      <c r="H77" t="s">
        <v>4731</v>
      </c>
      <c r="I77" t="s">
        <v>3452</v>
      </c>
      <c r="J77" t="s">
        <v>4735</v>
      </c>
    </row>
    <row r="78" spans="1:10" ht="15" customHeight="1" x14ac:dyDescent="0.25">
      <c r="A78" t="s">
        <v>3648</v>
      </c>
      <c r="B78" t="s">
        <v>41</v>
      </c>
      <c r="C78" t="s">
        <v>3517</v>
      </c>
      <c r="D78" t="s">
        <v>4736</v>
      </c>
      <c r="E78" t="s">
        <v>4737</v>
      </c>
      <c r="F78" t="s">
        <v>90</v>
      </c>
      <c r="G78" t="s">
        <v>3652</v>
      </c>
      <c r="H78" t="s">
        <v>3653</v>
      </c>
      <c r="I78" t="s">
        <v>3452</v>
      </c>
      <c r="J78" t="s">
        <v>3514</v>
      </c>
    </row>
    <row r="79" spans="1:10" ht="15" customHeight="1" x14ac:dyDescent="0.25">
      <c r="A79" t="s">
        <v>4738</v>
      </c>
      <c r="B79" t="s">
        <v>3496</v>
      </c>
      <c r="C79" t="s">
        <v>3509</v>
      </c>
      <c r="D79" t="s">
        <v>4739</v>
      </c>
      <c r="E79" t="s">
        <v>4740</v>
      </c>
      <c r="F79" t="s">
        <v>90</v>
      </c>
      <c r="G79" t="s">
        <v>4646</v>
      </c>
      <c r="H79" t="s">
        <v>4741</v>
      </c>
      <c r="I79" t="s">
        <v>3452</v>
      </c>
      <c r="J79" t="s">
        <v>3571</v>
      </c>
    </row>
    <row r="80" spans="1:10" ht="15" customHeight="1" x14ac:dyDescent="0.25">
      <c r="A80" t="s">
        <v>4742</v>
      </c>
      <c r="B80" t="s">
        <v>3508</v>
      </c>
      <c r="C80" t="s">
        <v>4560</v>
      </c>
      <c r="D80" t="s">
        <v>4743</v>
      </c>
      <c r="E80" t="s">
        <v>4744</v>
      </c>
      <c r="F80" t="s">
        <v>90</v>
      </c>
      <c r="G80" t="s">
        <v>4745</v>
      </c>
      <c r="H80" t="s">
        <v>4746</v>
      </c>
      <c r="I80" t="s">
        <v>3452</v>
      </c>
      <c r="J80" t="s">
        <v>3506</v>
      </c>
    </row>
    <row r="81" spans="1:10" ht="15" customHeight="1" x14ac:dyDescent="0.25">
      <c r="A81" t="s">
        <v>4747</v>
      </c>
      <c r="B81" t="s">
        <v>3496</v>
      </c>
      <c r="C81" t="s">
        <v>3534</v>
      </c>
      <c r="D81" t="s">
        <v>4748</v>
      </c>
      <c r="E81" t="s">
        <v>4749</v>
      </c>
      <c r="F81" t="s">
        <v>497</v>
      </c>
      <c r="H81" t="s">
        <v>4747</v>
      </c>
      <c r="I81" t="s">
        <v>3452</v>
      </c>
      <c r="J81" t="s">
        <v>3699</v>
      </c>
    </row>
    <row r="82" spans="1:10" ht="15" customHeight="1" x14ac:dyDescent="0.25">
      <c r="A82" t="s">
        <v>4750</v>
      </c>
      <c r="B82" t="s">
        <v>3496</v>
      </c>
      <c r="C82" t="s">
        <v>4442</v>
      </c>
      <c r="D82" t="s">
        <v>4751</v>
      </c>
      <c r="E82" t="s">
        <v>4752</v>
      </c>
      <c r="F82" t="s">
        <v>1649</v>
      </c>
      <c r="G82" t="s">
        <v>4753</v>
      </c>
      <c r="H82" t="s">
        <v>4754</v>
      </c>
      <c r="I82" t="s">
        <v>3452</v>
      </c>
      <c r="J82" t="s">
        <v>3514</v>
      </c>
    </row>
    <row r="83" spans="1:10" ht="15" customHeight="1" x14ac:dyDescent="0.25">
      <c r="A83" t="s">
        <v>4755</v>
      </c>
      <c r="B83" t="s">
        <v>41</v>
      </c>
      <c r="C83" t="s">
        <v>4560</v>
      </c>
      <c r="D83" t="s">
        <v>4756</v>
      </c>
      <c r="E83" t="s">
        <v>4757</v>
      </c>
      <c r="F83" t="s">
        <v>90</v>
      </c>
      <c r="H83" t="s">
        <v>4758</v>
      </c>
      <c r="I83" t="s">
        <v>3452</v>
      </c>
      <c r="J83" t="s">
        <v>4452</v>
      </c>
    </row>
    <row r="84" spans="1:10" ht="15" customHeight="1" x14ac:dyDescent="0.25">
      <c r="A84" t="s">
        <v>4759</v>
      </c>
      <c r="B84" t="s">
        <v>41</v>
      </c>
      <c r="C84" t="s">
        <v>4501</v>
      </c>
      <c r="D84" t="s">
        <v>4760</v>
      </c>
      <c r="E84" t="s">
        <v>4761</v>
      </c>
      <c r="F84" t="s">
        <v>1649</v>
      </c>
      <c r="G84" t="s">
        <v>4504</v>
      </c>
      <c r="H84" t="s">
        <v>4759</v>
      </c>
      <c r="I84" t="s">
        <v>3452</v>
      </c>
      <c r="J84" t="s">
        <v>3506</v>
      </c>
    </row>
    <row r="85" spans="1:10" ht="15" customHeight="1" x14ac:dyDescent="0.25">
      <c r="A85" t="s">
        <v>4762</v>
      </c>
      <c r="B85" t="s">
        <v>41</v>
      </c>
      <c r="C85" t="s">
        <v>3503</v>
      </c>
      <c r="D85" t="s">
        <v>4763</v>
      </c>
      <c r="E85" t="s">
        <v>4764</v>
      </c>
      <c r="F85" t="s">
        <v>1322</v>
      </c>
      <c r="H85" t="s">
        <v>4765</v>
      </c>
      <c r="I85" t="s">
        <v>3452</v>
      </c>
      <c r="J85" t="s">
        <v>4766</v>
      </c>
    </row>
    <row r="86" spans="1:10" ht="15" customHeight="1" x14ac:dyDescent="0.25">
      <c r="A86" t="s">
        <v>4767</v>
      </c>
      <c r="B86" t="s">
        <v>3496</v>
      </c>
      <c r="C86" t="s">
        <v>3517</v>
      </c>
      <c r="D86" t="s">
        <v>4768</v>
      </c>
      <c r="E86" t="s">
        <v>4769</v>
      </c>
      <c r="F86" t="s">
        <v>90</v>
      </c>
      <c r="G86" t="s">
        <v>3652</v>
      </c>
      <c r="H86" t="s">
        <v>3657</v>
      </c>
      <c r="I86" t="s">
        <v>3452</v>
      </c>
      <c r="J86" t="s">
        <v>4526</v>
      </c>
    </row>
    <row r="87" spans="1:10" ht="15" customHeight="1" x14ac:dyDescent="0.25">
      <c r="A87" t="s">
        <v>4770</v>
      </c>
      <c r="B87" t="s">
        <v>3496</v>
      </c>
      <c r="C87" t="s">
        <v>3503</v>
      </c>
      <c r="D87" t="s">
        <v>4771</v>
      </c>
      <c r="E87" t="s">
        <v>4772</v>
      </c>
      <c r="F87" t="s">
        <v>1649</v>
      </c>
      <c r="G87" t="s">
        <v>4773</v>
      </c>
      <c r="H87" t="s">
        <v>4774</v>
      </c>
      <c r="I87" t="s">
        <v>3452</v>
      </c>
      <c r="J87" t="s">
        <v>3506</v>
      </c>
    </row>
    <row r="88" spans="1:10" ht="15" customHeight="1" x14ac:dyDescent="0.25">
      <c r="A88" t="s">
        <v>4775</v>
      </c>
      <c r="B88" t="s">
        <v>3496</v>
      </c>
      <c r="C88" t="s">
        <v>3503</v>
      </c>
      <c r="D88" s="3" t="s">
        <v>4776</v>
      </c>
      <c r="E88" s="3" t="s">
        <v>4777</v>
      </c>
      <c r="F88" t="s">
        <v>1649</v>
      </c>
      <c r="G88" t="s">
        <v>4778</v>
      </c>
      <c r="H88" t="s">
        <v>4779</v>
      </c>
      <c r="I88" t="s">
        <v>3452</v>
      </c>
      <c r="J88" t="s">
        <v>3506</v>
      </c>
    </row>
    <row r="89" spans="1:10" ht="15" customHeight="1" x14ac:dyDescent="0.25">
      <c r="A89" t="s">
        <v>4780</v>
      </c>
      <c r="B89" t="s">
        <v>41</v>
      </c>
      <c r="C89" t="s">
        <v>3517</v>
      </c>
      <c r="D89" t="s">
        <v>4781</v>
      </c>
      <c r="E89" t="s">
        <v>4782</v>
      </c>
      <c r="F89" t="s">
        <v>497</v>
      </c>
      <c r="G89" t="s">
        <v>3620</v>
      </c>
      <c r="H89" t="s">
        <v>4783</v>
      </c>
      <c r="I89" t="s">
        <v>3452</v>
      </c>
      <c r="J89" t="s">
        <v>3514</v>
      </c>
    </row>
    <row r="90" spans="1:10" ht="15" customHeight="1" x14ac:dyDescent="0.25">
      <c r="A90" t="s">
        <v>3475</v>
      </c>
      <c r="B90" t="s">
        <v>41</v>
      </c>
      <c r="C90" t="s">
        <v>3503</v>
      </c>
      <c r="D90" t="s">
        <v>4784</v>
      </c>
      <c r="E90" t="s">
        <v>4785</v>
      </c>
      <c r="F90" t="s">
        <v>2804</v>
      </c>
      <c r="G90" t="s">
        <v>3593</v>
      </c>
      <c r="H90" t="s">
        <v>3475</v>
      </c>
      <c r="I90" t="s">
        <v>3452</v>
      </c>
      <c r="J90" t="s">
        <v>3435</v>
      </c>
    </row>
    <row r="91" spans="1:10" ht="15" customHeight="1" x14ac:dyDescent="0.25">
      <c r="A91" t="s">
        <v>4786</v>
      </c>
      <c r="B91" t="s">
        <v>3496</v>
      </c>
      <c r="C91" t="s">
        <v>3503</v>
      </c>
      <c r="D91" t="s">
        <v>4787</v>
      </c>
      <c r="E91" t="s">
        <v>4788</v>
      </c>
      <c r="F91" t="s">
        <v>1649</v>
      </c>
      <c r="G91" t="s">
        <v>4456</v>
      </c>
      <c r="H91" t="s">
        <v>4789</v>
      </c>
      <c r="I91" t="s">
        <v>3452</v>
      </c>
      <c r="J91" t="s">
        <v>4452</v>
      </c>
    </row>
    <row r="92" spans="1:10" ht="15" customHeight="1" x14ac:dyDescent="0.25">
      <c r="A92" t="s">
        <v>4790</v>
      </c>
      <c r="B92" t="s">
        <v>3496</v>
      </c>
      <c r="C92" t="s">
        <v>3503</v>
      </c>
      <c r="D92" t="s">
        <v>4791</v>
      </c>
      <c r="E92" t="s">
        <v>4792</v>
      </c>
      <c r="F92" t="s">
        <v>553</v>
      </c>
      <c r="G92" t="s">
        <v>3520</v>
      </c>
      <c r="H92" t="s">
        <v>4793</v>
      </c>
      <c r="I92" t="s">
        <v>3452</v>
      </c>
      <c r="J92" t="s">
        <v>3435</v>
      </c>
    </row>
    <row r="93" spans="1:10" ht="15" customHeight="1" x14ac:dyDescent="0.25">
      <c r="A93" t="s">
        <v>3670</v>
      </c>
      <c r="B93" t="s">
        <v>3508</v>
      </c>
      <c r="C93" t="s">
        <v>4501</v>
      </c>
      <c r="D93" t="s">
        <v>4794</v>
      </c>
      <c r="F93" t="s">
        <v>353</v>
      </c>
      <c r="H93" t="s">
        <v>3672</v>
      </c>
      <c r="I93" t="s">
        <v>3452</v>
      </c>
      <c r="J93" t="s">
        <v>3673</v>
      </c>
    </row>
    <row r="94" spans="1:10" ht="15" customHeight="1" x14ac:dyDescent="0.25">
      <c r="A94" t="s">
        <v>4795</v>
      </c>
      <c r="B94" t="s">
        <v>3540</v>
      </c>
      <c r="C94" t="s">
        <v>3503</v>
      </c>
      <c r="D94" t="s">
        <v>4796</v>
      </c>
      <c r="E94" t="s">
        <v>4797</v>
      </c>
      <c r="F94" t="s">
        <v>90</v>
      </c>
      <c r="G94" t="s">
        <v>4798</v>
      </c>
      <c r="H94" t="s">
        <v>4799</v>
      </c>
      <c r="I94" t="s">
        <v>3452</v>
      </c>
      <c r="J94" t="s">
        <v>4800</v>
      </c>
    </row>
    <row r="95" spans="1:10" ht="15" customHeight="1" x14ac:dyDescent="0.25">
      <c r="A95" t="s">
        <v>4801</v>
      </c>
      <c r="B95" t="s">
        <v>3496</v>
      </c>
      <c r="C95" t="s">
        <v>4442</v>
      </c>
      <c r="D95" t="s">
        <v>4802</v>
      </c>
      <c r="E95" t="s">
        <v>4803</v>
      </c>
      <c r="F95" t="s">
        <v>160</v>
      </c>
      <c r="G95" t="s">
        <v>3652</v>
      </c>
      <c r="H95" t="s">
        <v>4804</v>
      </c>
      <c r="I95" t="s">
        <v>3452</v>
      </c>
      <c r="J95" t="s">
        <v>3514</v>
      </c>
    </row>
    <row r="96" spans="1:10" ht="15" customHeight="1" x14ac:dyDescent="0.25">
      <c r="A96" t="s">
        <v>4805</v>
      </c>
      <c r="B96" t="s">
        <v>41</v>
      </c>
      <c r="C96" t="s">
        <v>4501</v>
      </c>
      <c r="D96" t="s">
        <v>4806</v>
      </c>
      <c r="E96" t="s">
        <v>4807</v>
      </c>
      <c r="F96" t="s">
        <v>1649</v>
      </c>
      <c r="G96" t="s">
        <v>4504</v>
      </c>
      <c r="H96" t="s">
        <v>4808</v>
      </c>
      <c r="I96" t="s">
        <v>3452</v>
      </c>
      <c r="J96" t="s">
        <v>3514</v>
      </c>
    </row>
    <row r="97" spans="1:10" ht="15" customHeight="1" x14ac:dyDescent="0.25">
      <c r="A97" t="s">
        <v>4809</v>
      </c>
      <c r="B97" t="s">
        <v>3508</v>
      </c>
      <c r="C97" t="s">
        <v>4421</v>
      </c>
      <c r="D97" t="s">
        <v>4810</v>
      </c>
      <c r="E97" t="s">
        <v>4811</v>
      </c>
      <c r="F97" t="s">
        <v>1649</v>
      </c>
      <c r="H97" t="s">
        <v>4812</v>
      </c>
      <c r="I97" t="s">
        <v>3452</v>
      </c>
      <c r="J97" t="s">
        <v>4452</v>
      </c>
    </row>
    <row r="98" spans="1:10" ht="15" customHeight="1" x14ac:dyDescent="0.25">
      <c r="A98" t="s">
        <v>4813</v>
      </c>
      <c r="B98" t="s">
        <v>3718</v>
      </c>
      <c r="C98" t="s">
        <v>3503</v>
      </c>
      <c r="D98" t="s">
        <v>4814</v>
      </c>
      <c r="E98" t="s">
        <v>4815</v>
      </c>
      <c r="F98" t="s">
        <v>160</v>
      </c>
      <c r="G98" t="s">
        <v>4653</v>
      </c>
      <c r="H98" t="s">
        <v>4816</v>
      </c>
      <c r="I98" t="s">
        <v>3452</v>
      </c>
      <c r="J98" t="s">
        <v>3571</v>
      </c>
    </row>
    <row r="99" spans="1:10" ht="15" customHeight="1" x14ac:dyDescent="0.25">
      <c r="A99" t="s">
        <v>4817</v>
      </c>
      <c r="B99" t="s">
        <v>3496</v>
      </c>
      <c r="C99" t="s">
        <v>3503</v>
      </c>
      <c r="D99" t="s">
        <v>4818</v>
      </c>
      <c r="E99" t="s">
        <v>4819</v>
      </c>
      <c r="F99" t="s">
        <v>1322</v>
      </c>
      <c r="G99" t="s">
        <v>4599</v>
      </c>
      <c r="H99" t="s">
        <v>4820</v>
      </c>
      <c r="I99" t="s">
        <v>3452</v>
      </c>
      <c r="J99" t="s">
        <v>4821</v>
      </c>
    </row>
    <row r="100" spans="1:10" ht="15" customHeight="1" x14ac:dyDescent="0.25">
      <c r="A100" t="s">
        <v>4822</v>
      </c>
      <c r="B100" t="s">
        <v>3508</v>
      </c>
      <c r="C100" t="s">
        <v>4560</v>
      </c>
      <c r="D100" t="s">
        <v>4823</v>
      </c>
      <c r="E100" t="s">
        <v>4824</v>
      </c>
      <c r="F100" t="s">
        <v>90</v>
      </c>
      <c r="G100" t="s">
        <v>4734</v>
      </c>
      <c r="H100" t="s">
        <v>4822</v>
      </c>
      <c r="I100" t="s">
        <v>3452</v>
      </c>
      <c r="J100" t="s">
        <v>4452</v>
      </c>
    </row>
    <row r="101" spans="1:10" ht="15" customHeight="1" x14ac:dyDescent="0.25">
      <c r="A101" t="s">
        <v>3683</v>
      </c>
      <c r="B101" t="s">
        <v>3508</v>
      </c>
      <c r="C101" t="s">
        <v>3503</v>
      </c>
      <c r="D101" t="s">
        <v>4825</v>
      </c>
      <c r="E101" t="s">
        <v>4826</v>
      </c>
      <c r="F101" t="s">
        <v>497</v>
      </c>
      <c r="G101" t="s">
        <v>3686</v>
      </c>
      <c r="H101" t="s">
        <v>3683</v>
      </c>
      <c r="I101" t="s">
        <v>3452</v>
      </c>
      <c r="J101" t="s">
        <v>3514</v>
      </c>
    </row>
    <row r="102" spans="1:10" ht="15" customHeight="1" x14ac:dyDescent="0.25">
      <c r="A102" t="s">
        <v>4827</v>
      </c>
      <c r="B102" t="s">
        <v>41</v>
      </c>
      <c r="C102" t="s">
        <v>4501</v>
      </c>
      <c r="D102" t="s">
        <v>4828</v>
      </c>
      <c r="E102" t="s">
        <v>4829</v>
      </c>
      <c r="F102" t="s">
        <v>1649</v>
      </c>
      <c r="G102" t="s">
        <v>4504</v>
      </c>
      <c r="H102" t="s">
        <v>4827</v>
      </c>
      <c r="I102" t="s">
        <v>3452</v>
      </c>
      <c r="J102" t="s">
        <v>3514</v>
      </c>
    </row>
    <row r="103" spans="1:10" ht="15" customHeight="1" x14ac:dyDescent="0.25">
      <c r="A103" t="s">
        <v>4830</v>
      </c>
      <c r="B103" t="s">
        <v>3496</v>
      </c>
      <c r="C103" t="s">
        <v>3517</v>
      </c>
      <c r="D103" t="s">
        <v>4831</v>
      </c>
      <c r="E103" t="s">
        <v>4832</v>
      </c>
      <c r="F103" t="s">
        <v>553</v>
      </c>
      <c r="G103" t="s">
        <v>3520</v>
      </c>
      <c r="H103" t="s">
        <v>4833</v>
      </c>
      <c r="I103" t="s">
        <v>3452</v>
      </c>
      <c r="J103" t="s">
        <v>3514</v>
      </c>
    </row>
    <row r="104" spans="1:10" ht="15" customHeight="1" x14ac:dyDescent="0.25">
      <c r="A104" t="s">
        <v>4834</v>
      </c>
      <c r="B104" t="s">
        <v>41</v>
      </c>
      <c r="C104" t="s">
        <v>3503</v>
      </c>
      <c r="D104" t="s">
        <v>4835</v>
      </c>
      <c r="E104" t="s">
        <v>4836</v>
      </c>
      <c r="F104" t="s">
        <v>1322</v>
      </c>
      <c r="H104" t="s">
        <v>4837</v>
      </c>
      <c r="I104" t="s">
        <v>3452</v>
      </c>
      <c r="J104" t="s">
        <v>4838</v>
      </c>
    </row>
    <row r="105" spans="1:10" ht="15" customHeight="1" x14ac:dyDescent="0.25">
      <c r="A105" t="s">
        <v>4839</v>
      </c>
      <c r="B105" t="s">
        <v>3508</v>
      </c>
      <c r="C105" t="s">
        <v>4501</v>
      </c>
      <c r="D105" t="s">
        <v>4840</v>
      </c>
      <c r="F105" t="s">
        <v>1649</v>
      </c>
      <c r="G105" t="s">
        <v>4841</v>
      </c>
      <c r="H105" t="s">
        <v>4842</v>
      </c>
      <c r="I105" t="s">
        <v>3452</v>
      </c>
      <c r="J105" t="s">
        <v>3435</v>
      </c>
    </row>
    <row r="106" spans="1:10" ht="15" customHeight="1" x14ac:dyDescent="0.25">
      <c r="A106" t="s">
        <v>4843</v>
      </c>
      <c r="B106" t="s">
        <v>3496</v>
      </c>
      <c r="C106" t="s">
        <v>3503</v>
      </c>
      <c r="D106" t="s">
        <v>4844</v>
      </c>
      <c r="E106" t="s">
        <v>4845</v>
      </c>
      <c r="F106" t="s">
        <v>90</v>
      </c>
      <c r="G106" t="s">
        <v>3652</v>
      </c>
      <c r="H106" t="s">
        <v>4846</v>
      </c>
      <c r="I106" t="s">
        <v>3452</v>
      </c>
      <c r="J106" t="s">
        <v>3506</v>
      </c>
    </row>
    <row r="107" spans="1:10" ht="15" customHeight="1" x14ac:dyDescent="0.25">
      <c r="A107" t="s">
        <v>4847</v>
      </c>
      <c r="B107" t="s">
        <v>41</v>
      </c>
      <c r="C107" t="s">
        <v>3503</v>
      </c>
      <c r="D107" t="s">
        <v>4848</v>
      </c>
      <c r="E107" t="s">
        <v>4849</v>
      </c>
      <c r="F107" t="s">
        <v>90</v>
      </c>
      <c r="G107" t="s">
        <v>3681</v>
      </c>
      <c r="H107" t="s">
        <v>4850</v>
      </c>
      <c r="I107" t="s">
        <v>3452</v>
      </c>
      <c r="J107" t="s">
        <v>4452</v>
      </c>
    </row>
    <row r="108" spans="1:10" ht="15" customHeight="1" x14ac:dyDescent="0.25">
      <c r="A108" t="s">
        <v>4851</v>
      </c>
      <c r="B108" t="s">
        <v>3508</v>
      </c>
      <c r="C108" t="s">
        <v>3503</v>
      </c>
      <c r="D108" t="s">
        <v>4852</v>
      </c>
      <c r="E108" t="s">
        <v>4853</v>
      </c>
      <c r="F108" t="s">
        <v>501</v>
      </c>
      <c r="G108" t="s">
        <v>4637</v>
      </c>
      <c r="H108" t="s">
        <v>4854</v>
      </c>
      <c r="I108" t="s">
        <v>3452</v>
      </c>
      <c r="J108" t="s">
        <v>3506</v>
      </c>
    </row>
    <row r="109" spans="1:10" ht="15" customHeight="1" x14ac:dyDescent="0.25">
      <c r="A109" t="s">
        <v>4855</v>
      </c>
      <c r="B109" t="s">
        <v>41</v>
      </c>
      <c r="C109" t="s">
        <v>3517</v>
      </c>
      <c r="D109" t="s">
        <v>4856</v>
      </c>
      <c r="E109" t="s">
        <v>4857</v>
      </c>
      <c r="F109" t="s">
        <v>1046</v>
      </c>
      <c r="G109" t="s">
        <v>4858</v>
      </c>
      <c r="H109" t="s">
        <v>4855</v>
      </c>
      <c r="I109" t="s">
        <v>3452</v>
      </c>
      <c r="J109" t="s">
        <v>3514</v>
      </c>
    </row>
    <row r="110" spans="1:10" ht="15" customHeight="1" x14ac:dyDescent="0.25">
      <c r="A110" t="s">
        <v>4859</v>
      </c>
      <c r="B110" t="s">
        <v>3508</v>
      </c>
      <c r="C110" t="s">
        <v>4550</v>
      </c>
      <c r="D110" t="s">
        <v>4860</v>
      </c>
      <c r="F110" t="s">
        <v>160</v>
      </c>
      <c r="G110" t="s">
        <v>4861</v>
      </c>
      <c r="H110" t="s">
        <v>4862</v>
      </c>
      <c r="I110" t="s">
        <v>3452</v>
      </c>
      <c r="J110" t="s">
        <v>4452</v>
      </c>
    </row>
    <row r="111" spans="1:10" ht="15" customHeight="1" x14ac:dyDescent="0.25">
      <c r="A111" t="s">
        <v>4863</v>
      </c>
      <c r="B111" t="s">
        <v>41</v>
      </c>
      <c r="C111" t="s">
        <v>3665</v>
      </c>
      <c r="D111" t="s">
        <v>4864</v>
      </c>
      <c r="F111" t="s">
        <v>160</v>
      </c>
      <c r="G111" t="s">
        <v>4865</v>
      </c>
      <c r="H111" t="s">
        <v>4866</v>
      </c>
      <c r="I111" t="s">
        <v>3452</v>
      </c>
      <c r="J111" t="s">
        <v>3673</v>
      </c>
    </row>
    <row r="112" spans="1:10" ht="15" customHeight="1" x14ac:dyDescent="0.25">
      <c r="A112" t="s">
        <v>4867</v>
      </c>
      <c r="B112" t="s">
        <v>3496</v>
      </c>
      <c r="C112" t="s">
        <v>3503</v>
      </c>
      <c r="D112" t="s">
        <v>4868</v>
      </c>
      <c r="E112" t="s">
        <v>4869</v>
      </c>
      <c r="F112" t="s">
        <v>90</v>
      </c>
      <c r="H112" t="s">
        <v>4870</v>
      </c>
      <c r="I112" t="s">
        <v>3452</v>
      </c>
      <c r="J112" t="s">
        <v>3506</v>
      </c>
    </row>
    <row r="113" spans="1:10" ht="15" customHeight="1" x14ac:dyDescent="0.25">
      <c r="A113" t="s">
        <v>4871</v>
      </c>
      <c r="B113" t="s">
        <v>3508</v>
      </c>
      <c r="C113" t="s">
        <v>3503</v>
      </c>
      <c r="D113" t="s">
        <v>4872</v>
      </c>
      <c r="E113" t="s">
        <v>4873</v>
      </c>
      <c r="F113" t="s">
        <v>90</v>
      </c>
      <c r="G113" t="s">
        <v>4609</v>
      </c>
      <c r="H113" t="s">
        <v>4874</v>
      </c>
      <c r="I113" t="s">
        <v>3452</v>
      </c>
      <c r="J113" t="s">
        <v>3571</v>
      </c>
    </row>
    <row r="114" spans="1:10" ht="15" customHeight="1" x14ac:dyDescent="0.25">
      <c r="A114" t="s">
        <v>4875</v>
      </c>
      <c r="B114" t="s">
        <v>41</v>
      </c>
      <c r="C114" t="s">
        <v>3503</v>
      </c>
      <c r="D114" t="s">
        <v>4876</v>
      </c>
      <c r="E114" t="s">
        <v>4877</v>
      </c>
      <c r="F114" t="s">
        <v>90</v>
      </c>
      <c r="G114" t="s">
        <v>4878</v>
      </c>
      <c r="H114" t="s">
        <v>4879</v>
      </c>
      <c r="I114" t="s">
        <v>3452</v>
      </c>
      <c r="J114" t="s">
        <v>3435</v>
      </c>
    </row>
    <row r="115" spans="1:10" ht="15" customHeight="1" x14ac:dyDescent="0.25">
      <c r="A115" t="s">
        <v>4880</v>
      </c>
      <c r="B115" t="s">
        <v>3496</v>
      </c>
      <c r="C115" t="s">
        <v>3503</v>
      </c>
      <c r="D115" t="s">
        <v>4881</v>
      </c>
      <c r="E115" t="s">
        <v>4882</v>
      </c>
      <c r="F115" t="s">
        <v>90</v>
      </c>
      <c r="G115" t="s">
        <v>4614</v>
      </c>
      <c r="H115" t="s">
        <v>4880</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4883</v>
      </c>
      <c r="B117" t="s">
        <v>41</v>
      </c>
      <c r="C117" t="s">
        <v>4501</v>
      </c>
      <c r="D117" t="s">
        <v>4884</v>
      </c>
      <c r="E117" t="s">
        <v>4885</v>
      </c>
      <c r="F117" t="s">
        <v>1649</v>
      </c>
      <c r="G117" t="s">
        <v>4504</v>
      </c>
      <c r="H117" t="s">
        <v>4883</v>
      </c>
      <c r="I117" t="s">
        <v>3452</v>
      </c>
      <c r="J117" t="s">
        <v>3514</v>
      </c>
    </row>
    <row r="118" spans="1:10" ht="15" customHeight="1" x14ac:dyDescent="0.25">
      <c r="A118" t="s">
        <v>3714</v>
      </c>
      <c r="B118" t="s">
        <v>41</v>
      </c>
      <c r="C118" t="s">
        <v>3517</v>
      </c>
      <c r="D118" t="s">
        <v>4886</v>
      </c>
      <c r="E118" t="s">
        <v>4887</v>
      </c>
      <c r="F118" t="s">
        <v>90</v>
      </c>
      <c r="H118" t="s">
        <v>3714</v>
      </c>
      <c r="I118" t="s">
        <v>3452</v>
      </c>
      <c r="J118" t="s">
        <v>3514</v>
      </c>
    </row>
    <row r="119" spans="1:10" ht="15" customHeight="1" x14ac:dyDescent="0.25">
      <c r="A119" t="s">
        <v>4888</v>
      </c>
      <c r="B119" t="s">
        <v>3496</v>
      </c>
      <c r="C119" t="s">
        <v>3573</v>
      </c>
      <c r="D119" t="s">
        <v>4889</v>
      </c>
      <c r="F119" t="s">
        <v>160</v>
      </c>
      <c r="H119" t="s">
        <v>4890</v>
      </c>
      <c r="I119" t="s">
        <v>3452</v>
      </c>
      <c r="J119" t="s">
        <v>3673</v>
      </c>
    </row>
    <row r="120" spans="1:10" ht="15" customHeight="1" x14ac:dyDescent="0.25">
      <c r="A120" t="s">
        <v>4891</v>
      </c>
      <c r="B120" t="s">
        <v>3496</v>
      </c>
      <c r="C120" t="s">
        <v>3503</v>
      </c>
      <c r="D120" t="s">
        <v>4892</v>
      </c>
      <c r="E120" t="s">
        <v>4893</v>
      </c>
      <c r="F120" t="s">
        <v>1129</v>
      </c>
      <c r="G120" t="s">
        <v>4894</v>
      </c>
      <c r="H120" t="s">
        <v>4895</v>
      </c>
      <c r="I120" t="s">
        <v>3452</v>
      </c>
      <c r="J120" t="s">
        <v>4558</v>
      </c>
    </row>
    <row r="121" spans="1:10" ht="15" customHeight="1" x14ac:dyDescent="0.25">
      <c r="A121" t="s">
        <v>3717</v>
      </c>
      <c r="B121" t="s">
        <v>3718</v>
      </c>
      <c r="C121" t="s">
        <v>4896</v>
      </c>
      <c r="D121" t="s">
        <v>4897</v>
      </c>
      <c r="F121" t="s">
        <v>1795</v>
      </c>
      <c r="G121" t="s">
        <v>3720</v>
      </c>
      <c r="H121" t="s">
        <v>3721</v>
      </c>
      <c r="I121" t="s">
        <v>3452</v>
      </c>
      <c r="J121" t="s">
        <v>3571</v>
      </c>
    </row>
    <row r="122" spans="1:10" ht="15" customHeight="1" x14ac:dyDescent="0.25">
      <c r="A122" t="s">
        <v>4898</v>
      </c>
      <c r="B122" t="s">
        <v>41</v>
      </c>
      <c r="C122" t="s">
        <v>3509</v>
      </c>
      <c r="D122" t="s">
        <v>4899</v>
      </c>
      <c r="E122" t="s">
        <v>4900</v>
      </c>
      <c r="F122" t="s">
        <v>90</v>
      </c>
      <c r="H122" t="s">
        <v>4901</v>
      </c>
      <c r="I122" t="s">
        <v>3452</v>
      </c>
      <c r="J122" t="s">
        <v>3506</v>
      </c>
    </row>
    <row r="123" spans="1:10" ht="15" customHeight="1" x14ac:dyDescent="0.25">
      <c r="A123" t="s">
        <v>4902</v>
      </c>
      <c r="B123" t="s">
        <v>3508</v>
      </c>
      <c r="C123" t="s">
        <v>3517</v>
      </c>
      <c r="D123" t="s">
        <v>4903</v>
      </c>
      <c r="E123" t="s">
        <v>4904</v>
      </c>
      <c r="F123" t="s">
        <v>497</v>
      </c>
      <c r="G123" t="s">
        <v>264</v>
      </c>
      <c r="H123" t="s">
        <v>4902</v>
      </c>
      <c r="I123" t="s">
        <v>3452</v>
      </c>
      <c r="J123" t="s">
        <v>3514</v>
      </c>
    </row>
    <row r="124" spans="1:10" ht="15" customHeight="1" x14ac:dyDescent="0.25">
      <c r="A124" t="s">
        <v>4905</v>
      </c>
      <c r="B124" t="s">
        <v>41</v>
      </c>
      <c r="C124" t="s">
        <v>3509</v>
      </c>
      <c r="D124" t="s">
        <v>4906</v>
      </c>
      <c r="E124" t="s">
        <v>4907</v>
      </c>
      <c r="F124" t="s">
        <v>90</v>
      </c>
      <c r="G124" t="s">
        <v>3652</v>
      </c>
      <c r="H124" t="s">
        <v>4905</v>
      </c>
      <c r="I124" t="s">
        <v>3452</v>
      </c>
      <c r="J124" t="s">
        <v>4452</v>
      </c>
    </row>
    <row r="125" spans="1:10" ht="15" customHeight="1" x14ac:dyDescent="0.25">
      <c r="A125" t="s">
        <v>4908</v>
      </c>
      <c r="B125" t="s">
        <v>3496</v>
      </c>
      <c r="C125" t="s">
        <v>4909</v>
      </c>
      <c r="D125" t="s">
        <v>4910</v>
      </c>
      <c r="E125" t="s">
        <v>4911</v>
      </c>
      <c r="F125" t="s">
        <v>90</v>
      </c>
      <c r="G125" t="s">
        <v>4429</v>
      </c>
      <c r="H125" t="s">
        <v>4912</v>
      </c>
      <c r="I125" t="s">
        <v>3452</v>
      </c>
      <c r="J125" t="s">
        <v>3673</v>
      </c>
    </row>
    <row r="126" spans="1:10" ht="15" customHeight="1" x14ac:dyDescent="0.25">
      <c r="A126" t="s">
        <v>4913</v>
      </c>
      <c r="B126" t="s">
        <v>3508</v>
      </c>
      <c r="C126" t="s">
        <v>3517</v>
      </c>
      <c r="D126" t="s">
        <v>4914</v>
      </c>
      <c r="E126" t="s">
        <v>4915</v>
      </c>
      <c r="F126" t="s">
        <v>497</v>
      </c>
      <c r="G126" t="s">
        <v>3712</v>
      </c>
      <c r="H126" t="s">
        <v>4913</v>
      </c>
      <c r="I126" t="s">
        <v>3452</v>
      </c>
      <c r="J126" t="s">
        <v>3514</v>
      </c>
    </row>
    <row r="127" spans="1:10" ht="15" customHeight="1" x14ac:dyDescent="0.25">
      <c r="A127" t="s">
        <v>3722</v>
      </c>
      <c r="B127" t="s">
        <v>41</v>
      </c>
      <c r="C127" t="s">
        <v>3665</v>
      </c>
      <c r="D127" t="s">
        <v>4916</v>
      </c>
      <c r="E127" t="s">
        <v>4917</v>
      </c>
      <c r="F127" t="s">
        <v>160</v>
      </c>
      <c r="G127" t="s">
        <v>4918</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4919</v>
      </c>
      <c r="B1" t="s">
        <v>1</v>
      </c>
      <c r="C1" t="s">
        <v>167</v>
      </c>
      <c r="D1" t="s">
        <v>3727</v>
      </c>
      <c r="E1" t="s">
        <v>4920</v>
      </c>
      <c r="F1" t="s">
        <v>6</v>
      </c>
      <c r="G1" t="s">
        <v>4921</v>
      </c>
      <c r="H1" t="s">
        <v>4922</v>
      </c>
      <c r="I1" t="s">
        <v>4923</v>
      </c>
      <c r="J1" t="s">
        <v>4253</v>
      </c>
      <c r="K1" t="s">
        <v>4924</v>
      </c>
      <c r="L1" t="s">
        <v>4</v>
      </c>
      <c r="M1" t="s">
        <v>170</v>
      </c>
    </row>
    <row r="2" spans="1:13" ht="15" customHeight="1" x14ac:dyDescent="0.25">
      <c r="A2" t="s">
        <v>4925</v>
      </c>
      <c r="B2" t="s">
        <v>1649</v>
      </c>
      <c r="C2" t="s">
        <v>222</v>
      </c>
      <c r="D2" t="s">
        <v>39</v>
      </c>
      <c r="E2">
        <v>0</v>
      </c>
      <c r="F2" t="s">
        <v>41</v>
      </c>
      <c r="G2" t="s">
        <v>4926</v>
      </c>
      <c r="H2" t="s">
        <v>4927</v>
      </c>
      <c r="I2" t="s">
        <v>3990</v>
      </c>
      <c r="J2" t="s">
        <v>4928</v>
      </c>
      <c r="K2" t="s">
        <v>3452</v>
      </c>
      <c r="L2" t="s">
        <v>4290</v>
      </c>
      <c r="M2" t="s">
        <v>4929</v>
      </c>
    </row>
    <row r="3" spans="1:13" ht="15" customHeight="1" x14ac:dyDescent="0.25">
      <c r="A3" t="s">
        <v>4930</v>
      </c>
      <c r="B3" t="s">
        <v>1649</v>
      </c>
      <c r="C3" t="s">
        <v>222</v>
      </c>
      <c r="D3" t="s">
        <v>39</v>
      </c>
      <c r="E3">
        <v>0</v>
      </c>
      <c r="F3" t="s">
        <v>41</v>
      </c>
      <c r="G3" t="s">
        <v>4931</v>
      </c>
      <c r="H3" t="s">
        <v>4932</v>
      </c>
      <c r="I3" t="s">
        <v>3990</v>
      </c>
      <c r="J3" t="s">
        <v>4933</v>
      </c>
      <c r="K3" t="s">
        <v>3452</v>
      </c>
      <c r="L3" t="s">
        <v>4290</v>
      </c>
      <c r="M3" t="s">
        <v>264</v>
      </c>
    </row>
    <row r="4" spans="1:13" ht="15" customHeight="1" x14ac:dyDescent="0.25">
      <c r="A4" t="s">
        <v>4934</v>
      </c>
      <c r="B4" t="s">
        <v>90</v>
      </c>
      <c r="C4" t="s">
        <v>182</v>
      </c>
      <c r="D4" t="s">
        <v>39</v>
      </c>
      <c r="E4">
        <v>0</v>
      </c>
      <c r="F4" t="s">
        <v>3508</v>
      </c>
      <c r="G4" t="s">
        <v>4935</v>
      </c>
      <c r="H4" t="s">
        <v>4935</v>
      </c>
      <c r="I4" t="s">
        <v>3990</v>
      </c>
      <c r="J4" t="s">
        <v>4936</v>
      </c>
      <c r="K4">
        <v>1</v>
      </c>
      <c r="L4" t="s">
        <v>4290</v>
      </c>
    </row>
    <row r="5" spans="1:13" ht="15" customHeight="1" x14ac:dyDescent="0.25">
      <c r="A5" t="s">
        <v>4937</v>
      </c>
      <c r="B5" t="s">
        <v>90</v>
      </c>
      <c r="C5" t="s">
        <v>182</v>
      </c>
      <c r="D5" t="s">
        <v>4938</v>
      </c>
      <c r="E5">
        <v>0</v>
      </c>
      <c r="F5" t="s">
        <v>41</v>
      </c>
      <c r="G5" t="s">
        <v>3452</v>
      </c>
      <c r="H5" t="s">
        <v>4939</v>
      </c>
      <c r="I5" t="s">
        <v>3990</v>
      </c>
      <c r="J5" t="s">
        <v>4940</v>
      </c>
      <c r="K5" t="s">
        <v>3452</v>
      </c>
      <c r="L5" t="s">
        <v>4290</v>
      </c>
      <c r="M5" t="s">
        <v>4941</v>
      </c>
    </row>
    <row r="9" spans="1:13" ht="15" customHeight="1" x14ac:dyDescent="0.25">
      <c r="A9" t="s">
        <v>4942</v>
      </c>
      <c r="B9" t="s">
        <v>4943</v>
      </c>
      <c r="C9" t="s">
        <v>4944</v>
      </c>
      <c r="F9" t="s">
        <v>4945</v>
      </c>
      <c r="G9" t="s">
        <v>4946</v>
      </c>
      <c r="J9" t="s">
        <v>3452</v>
      </c>
    </row>
    <row r="10" spans="1:13" ht="15" customHeight="1" x14ac:dyDescent="0.25">
      <c r="A10" t="s">
        <v>4947</v>
      </c>
      <c r="B10" t="s">
        <v>4948</v>
      </c>
      <c r="C10" t="s">
        <v>4949</v>
      </c>
      <c r="F10" t="s">
        <v>4950</v>
      </c>
      <c r="G10" t="s">
        <v>4951</v>
      </c>
      <c r="J10" t="s">
        <v>4952</v>
      </c>
    </row>
    <row r="11" spans="1:13" ht="15" customHeight="1" x14ac:dyDescent="0.25">
      <c r="A11" t="s">
        <v>4953</v>
      </c>
      <c r="B11" t="s">
        <v>4954</v>
      </c>
      <c r="C11" t="s">
        <v>4955</v>
      </c>
      <c r="F11" t="s">
        <v>4956</v>
      </c>
      <c r="J11" t="s">
        <v>3452</v>
      </c>
    </row>
    <row r="12" spans="1:13" ht="15" customHeight="1" x14ac:dyDescent="0.25">
      <c r="A12" t="s">
        <v>4957</v>
      </c>
      <c r="B12" t="s">
        <v>4958</v>
      </c>
      <c r="C12" t="s">
        <v>4959</v>
      </c>
      <c r="F12" t="s">
        <v>4960</v>
      </c>
    </row>
    <row r="13" spans="1:13" ht="15" customHeight="1" x14ac:dyDescent="0.25">
      <c r="A13" t="s">
        <v>4961</v>
      </c>
      <c r="B13" t="s">
        <v>4962</v>
      </c>
      <c r="C13" t="s">
        <v>4963</v>
      </c>
      <c r="F13" t="s">
        <v>4964</v>
      </c>
      <c r="G13" t="s">
        <v>4965</v>
      </c>
      <c r="I13" t="s">
        <v>4223</v>
      </c>
    </row>
    <row r="14" spans="1:13" ht="15" customHeight="1" x14ac:dyDescent="0.25">
      <c r="A14" t="s">
        <v>4966</v>
      </c>
      <c r="B14" t="s">
        <v>4967</v>
      </c>
      <c r="C14" t="s">
        <v>4968</v>
      </c>
      <c r="F14" t="s">
        <v>4969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4970</v>
      </c>
      <c r="G1" t="s">
        <v>3491</v>
      </c>
      <c r="H1" t="s">
        <v>4971</v>
      </c>
      <c r="I1" t="s">
        <v>4972</v>
      </c>
      <c r="J1" t="s">
        <v>4253</v>
      </c>
      <c r="K1" t="s">
        <v>170</v>
      </c>
    </row>
    <row r="2" spans="1:11" ht="15" customHeight="1" x14ac:dyDescent="0.25">
      <c r="A2" t="s">
        <v>4961</v>
      </c>
      <c r="B2" t="s">
        <v>4973</v>
      </c>
      <c r="C2" t="s">
        <v>3508</v>
      </c>
      <c r="D2" t="s">
        <v>4974</v>
      </c>
      <c r="E2" t="s">
        <v>4975</v>
      </c>
      <c r="F2" t="s">
        <v>4976</v>
      </c>
      <c r="G2" t="s">
        <v>160</v>
      </c>
      <c r="H2" t="s">
        <v>4977</v>
      </c>
      <c r="I2" t="s">
        <v>4978</v>
      </c>
      <c r="J2" t="s">
        <v>4979</v>
      </c>
    </row>
    <row r="3" spans="1:11" ht="15" customHeight="1" x14ac:dyDescent="0.25">
      <c r="A3" t="s">
        <v>4980</v>
      </c>
      <c r="B3" t="s">
        <v>4981</v>
      </c>
      <c r="C3" t="s">
        <v>41</v>
      </c>
      <c r="D3" t="s">
        <v>4982</v>
      </c>
      <c r="E3" t="s">
        <v>4983</v>
      </c>
      <c r="F3" t="s">
        <v>4984</v>
      </c>
      <c r="G3" t="s">
        <v>1649</v>
      </c>
      <c r="J3" t="s">
        <v>4985</v>
      </c>
    </row>
    <row r="4" spans="1:11" ht="15" customHeight="1" x14ac:dyDescent="0.25">
      <c r="A4" t="s">
        <v>4986</v>
      </c>
      <c r="B4" t="s">
        <v>4981</v>
      </c>
      <c r="C4" t="s">
        <v>41</v>
      </c>
      <c r="D4" t="s">
        <v>4987</v>
      </c>
      <c r="E4" t="s">
        <v>4988</v>
      </c>
      <c r="F4" t="s">
        <v>4989</v>
      </c>
      <c r="G4" t="s">
        <v>1046</v>
      </c>
      <c r="J4" t="s">
        <v>4990</v>
      </c>
    </row>
    <row r="5" spans="1:11" ht="15" customHeight="1" x14ac:dyDescent="0.25">
      <c r="A5" t="s">
        <v>4991</v>
      </c>
      <c r="B5" t="s">
        <v>3673</v>
      </c>
      <c r="C5" t="s">
        <v>41</v>
      </c>
      <c r="D5" t="s">
        <v>4992</v>
      </c>
      <c r="E5" t="s">
        <v>4993</v>
      </c>
      <c r="F5" t="s">
        <v>3452</v>
      </c>
      <c r="G5" t="s">
        <v>2132</v>
      </c>
      <c r="J5" t="s">
        <v>4994</v>
      </c>
    </row>
    <row r="6" spans="1:11" ht="15" customHeight="1" x14ac:dyDescent="0.25">
      <c r="A6" t="s">
        <v>4995</v>
      </c>
      <c r="B6" t="s">
        <v>3673</v>
      </c>
      <c r="C6" t="s">
        <v>3496</v>
      </c>
      <c r="D6" t="s">
        <v>4996</v>
      </c>
      <c r="E6" t="s">
        <v>4997</v>
      </c>
      <c r="F6" t="s">
        <v>3452</v>
      </c>
      <c r="G6" t="s">
        <v>2132</v>
      </c>
      <c r="J6" t="s">
        <v>4998</v>
      </c>
    </row>
    <row r="7" spans="1:11" ht="15" customHeight="1" x14ac:dyDescent="0.25">
      <c r="A7" t="s">
        <v>4999</v>
      </c>
      <c r="B7" t="s">
        <v>5000</v>
      </c>
      <c r="C7" t="s">
        <v>41</v>
      </c>
      <c r="D7" t="s">
        <v>5001</v>
      </c>
      <c r="E7" t="s">
        <v>5002</v>
      </c>
      <c r="F7" t="s">
        <v>3452</v>
      </c>
      <c r="G7" t="s">
        <v>759</v>
      </c>
      <c r="J7" t="s">
        <v>5003</v>
      </c>
    </row>
    <row r="8" spans="1:11" ht="15" customHeight="1" x14ac:dyDescent="0.25">
      <c r="A8" t="s">
        <v>5004</v>
      </c>
      <c r="B8" t="s">
        <v>4973</v>
      </c>
      <c r="C8" t="s">
        <v>3496</v>
      </c>
      <c r="D8" t="s">
        <v>5005</v>
      </c>
      <c r="E8" t="s">
        <v>5006</v>
      </c>
      <c r="F8" t="s">
        <v>3452</v>
      </c>
      <c r="G8" t="s">
        <v>160</v>
      </c>
      <c r="H8" t="s">
        <v>5007</v>
      </c>
      <c r="I8" t="s">
        <v>5008</v>
      </c>
      <c r="J8" t="s">
        <v>5009</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5010</v>
      </c>
      <c r="E1" t="s">
        <v>5011</v>
      </c>
      <c r="F1" t="s">
        <v>5012</v>
      </c>
      <c r="G1" t="s">
        <v>3732</v>
      </c>
      <c r="H1" t="s">
        <v>1</v>
      </c>
      <c r="I1" t="s">
        <v>5013</v>
      </c>
      <c r="J1" t="s">
        <v>5014</v>
      </c>
      <c r="K1" t="s">
        <v>171</v>
      </c>
      <c r="L1" t="s">
        <v>5015</v>
      </c>
      <c r="M1" t="s">
        <v>3733</v>
      </c>
    </row>
    <row r="2" spans="1:13" ht="27.75" customHeight="1" x14ac:dyDescent="0.25">
      <c r="A2" t="s">
        <v>3795</v>
      </c>
      <c r="B2" t="s">
        <v>5016</v>
      </c>
      <c r="C2" t="s">
        <v>4356</v>
      </c>
      <c r="D2">
        <v>2</v>
      </c>
      <c r="E2">
        <v>48</v>
      </c>
      <c r="F2">
        <v>54</v>
      </c>
      <c r="G2" t="s">
        <v>3452</v>
      </c>
      <c r="H2" t="s">
        <v>90</v>
      </c>
      <c r="I2" t="s">
        <v>4389</v>
      </c>
      <c r="J2" s="3" t="s">
        <v>5017</v>
      </c>
      <c r="K2" t="s">
        <v>3795</v>
      </c>
      <c r="L2" t="s">
        <v>3452</v>
      </c>
    </row>
    <row r="3" spans="1:13" ht="41.25" customHeight="1" x14ac:dyDescent="0.25">
      <c r="A3" t="s">
        <v>3824</v>
      </c>
      <c r="B3" t="s">
        <v>5016</v>
      </c>
      <c r="C3" t="s">
        <v>4360</v>
      </c>
      <c r="D3">
        <v>6</v>
      </c>
      <c r="E3">
        <v>114</v>
      </c>
      <c r="F3">
        <v>120</v>
      </c>
      <c r="G3" t="s">
        <v>3452</v>
      </c>
      <c r="H3" t="s">
        <v>90</v>
      </c>
      <c r="I3" t="s">
        <v>4389</v>
      </c>
      <c r="J3" s="3" t="s">
        <v>5018</v>
      </c>
      <c r="K3" t="s">
        <v>3824</v>
      </c>
      <c r="L3" t="s">
        <v>3452</v>
      </c>
    </row>
    <row r="4" spans="1:13" ht="15" customHeight="1" x14ac:dyDescent="0.25">
      <c r="A4" t="s">
        <v>3830</v>
      </c>
      <c r="B4" t="s">
        <v>5016</v>
      </c>
      <c r="C4" t="s">
        <v>5019</v>
      </c>
      <c r="D4">
        <v>9</v>
      </c>
      <c r="E4">
        <v>999</v>
      </c>
      <c r="F4">
        <v>999</v>
      </c>
      <c r="G4" t="s">
        <v>5020</v>
      </c>
      <c r="H4" t="s">
        <v>90</v>
      </c>
      <c r="I4" t="s">
        <v>4389</v>
      </c>
      <c r="J4" t="s">
        <v>5021</v>
      </c>
      <c r="K4" t="s">
        <v>3830</v>
      </c>
      <c r="L4" t="s">
        <v>3452</v>
      </c>
    </row>
    <row r="5" spans="1:13" ht="54.75" customHeight="1" x14ac:dyDescent="0.25">
      <c r="A5" t="s">
        <v>5022</v>
      </c>
      <c r="B5" t="s">
        <v>5016</v>
      </c>
      <c r="C5" t="s">
        <v>4356</v>
      </c>
      <c r="D5">
        <v>3</v>
      </c>
      <c r="E5">
        <v>40</v>
      </c>
      <c r="F5">
        <v>44</v>
      </c>
      <c r="G5" t="s">
        <v>3452</v>
      </c>
      <c r="H5" t="s">
        <v>90</v>
      </c>
      <c r="I5" t="s">
        <v>4389</v>
      </c>
      <c r="J5" s="3" t="s">
        <v>5023</v>
      </c>
      <c r="K5" t="s">
        <v>5024</v>
      </c>
      <c r="L5" t="s">
        <v>3452</v>
      </c>
    </row>
    <row r="6" spans="1:13" ht="27.75" customHeight="1" x14ac:dyDescent="0.25">
      <c r="A6" t="s">
        <v>5025</v>
      </c>
      <c r="B6" t="s">
        <v>5016</v>
      </c>
      <c r="C6" t="s">
        <v>4356</v>
      </c>
      <c r="D6">
        <v>1</v>
      </c>
      <c r="E6">
        <v>10</v>
      </c>
      <c r="F6">
        <v>15</v>
      </c>
      <c r="G6" t="s">
        <v>5026</v>
      </c>
      <c r="H6" t="s">
        <v>90</v>
      </c>
      <c r="I6" t="s">
        <v>4389</v>
      </c>
      <c r="J6" s="3" t="s">
        <v>5027</v>
      </c>
      <c r="K6" t="s">
        <v>5028</v>
      </c>
      <c r="L6" t="s">
        <v>3452</v>
      </c>
      <c r="M6" t="s">
        <v>4626</v>
      </c>
    </row>
    <row r="7" spans="1:13" ht="27.75" customHeight="1" x14ac:dyDescent="0.25">
      <c r="A7" t="s">
        <v>5029</v>
      </c>
      <c r="B7" t="s">
        <v>5016</v>
      </c>
      <c r="C7" t="s">
        <v>4356</v>
      </c>
      <c r="D7">
        <v>1</v>
      </c>
      <c r="E7">
        <v>11</v>
      </c>
      <c r="F7">
        <v>17</v>
      </c>
      <c r="G7" t="s">
        <v>5026</v>
      </c>
      <c r="H7" t="s">
        <v>90</v>
      </c>
      <c r="I7" t="s">
        <v>4389</v>
      </c>
      <c r="J7" s="3" t="s">
        <v>5030</v>
      </c>
      <c r="K7" t="s">
        <v>5031</v>
      </c>
      <c r="L7" t="s">
        <v>3452</v>
      </c>
      <c r="M7" t="s">
        <v>4626</v>
      </c>
    </row>
    <row r="8" spans="1:13" ht="41.25" customHeight="1" x14ac:dyDescent="0.25">
      <c r="A8" t="s">
        <v>5032</v>
      </c>
      <c r="B8" t="s">
        <v>5016</v>
      </c>
      <c r="C8" t="s">
        <v>4356</v>
      </c>
      <c r="D8">
        <v>4</v>
      </c>
      <c r="E8">
        <v>65</v>
      </c>
      <c r="F8">
        <v>69</v>
      </c>
      <c r="G8" t="s">
        <v>5033</v>
      </c>
      <c r="H8" t="s">
        <v>90</v>
      </c>
      <c r="I8" t="s">
        <v>4389</v>
      </c>
      <c r="J8" s="3" t="s">
        <v>5034</v>
      </c>
      <c r="K8" t="s">
        <v>5035</v>
      </c>
      <c r="L8" t="s">
        <v>3452</v>
      </c>
      <c r="M8" t="s">
        <v>3820</v>
      </c>
    </row>
    <row r="9" spans="1:13" ht="41.25" customHeight="1" x14ac:dyDescent="0.25">
      <c r="A9" t="s">
        <v>5036</v>
      </c>
      <c r="B9" t="s">
        <v>5016</v>
      </c>
      <c r="C9" t="s">
        <v>4356</v>
      </c>
      <c r="D9">
        <v>2</v>
      </c>
      <c r="E9">
        <v>28</v>
      </c>
      <c r="F9">
        <v>32</v>
      </c>
      <c r="G9" t="s">
        <v>3452</v>
      </c>
      <c r="H9" t="s">
        <v>90</v>
      </c>
      <c r="I9" t="s">
        <v>4389</v>
      </c>
      <c r="J9" s="3" t="s">
        <v>5037</v>
      </c>
      <c r="K9" t="s">
        <v>5038</v>
      </c>
      <c r="L9" t="s">
        <v>3452</v>
      </c>
      <c r="M9" t="s">
        <v>3820</v>
      </c>
    </row>
    <row r="10" spans="1:13" ht="27.75" customHeight="1" x14ac:dyDescent="0.25">
      <c r="A10" t="s">
        <v>5039</v>
      </c>
      <c r="B10" t="s">
        <v>5016</v>
      </c>
      <c r="C10" t="s">
        <v>4356</v>
      </c>
      <c r="D10">
        <v>1</v>
      </c>
      <c r="E10">
        <v>8</v>
      </c>
      <c r="F10">
        <v>12</v>
      </c>
      <c r="G10" t="s">
        <v>3452</v>
      </c>
      <c r="H10" t="s">
        <v>90</v>
      </c>
      <c r="I10" t="s">
        <v>4389</v>
      </c>
      <c r="J10" s="3" t="s">
        <v>5040</v>
      </c>
      <c r="K10" t="s">
        <v>5041</v>
      </c>
      <c r="L10" t="s">
        <v>3452</v>
      </c>
      <c r="M10" t="s">
        <v>3820</v>
      </c>
    </row>
    <row r="11" spans="1:13" ht="27.75" customHeight="1" x14ac:dyDescent="0.25">
      <c r="A11" t="s">
        <v>3817</v>
      </c>
      <c r="B11" t="s">
        <v>5016</v>
      </c>
      <c r="C11" t="s">
        <v>4356</v>
      </c>
      <c r="D11">
        <v>4</v>
      </c>
      <c r="E11">
        <v>64</v>
      </c>
      <c r="F11">
        <v>70</v>
      </c>
      <c r="G11" t="s">
        <v>5042</v>
      </c>
      <c r="H11" t="s">
        <v>90</v>
      </c>
      <c r="I11" t="s">
        <v>4389</v>
      </c>
      <c r="J11" s="3" t="s">
        <v>5043</v>
      </c>
      <c r="K11" t="s">
        <v>3819</v>
      </c>
      <c r="L11" t="s">
        <v>3452</v>
      </c>
      <c r="M11" t="s">
        <v>3820</v>
      </c>
    </row>
    <row r="12" spans="1:13" ht="27.75" customHeight="1" x14ac:dyDescent="0.25">
      <c r="A12" t="s">
        <v>5044</v>
      </c>
      <c r="B12" t="s">
        <v>5016</v>
      </c>
      <c r="C12" t="s">
        <v>4356</v>
      </c>
      <c r="D12">
        <v>2</v>
      </c>
      <c r="E12">
        <v>28</v>
      </c>
      <c r="F12">
        <v>32</v>
      </c>
      <c r="G12" t="s">
        <v>3452</v>
      </c>
      <c r="H12" t="s">
        <v>90</v>
      </c>
      <c r="I12" t="s">
        <v>4389</v>
      </c>
      <c r="J12" s="3" t="s">
        <v>5045</v>
      </c>
      <c r="K12" t="s">
        <v>5046</v>
      </c>
      <c r="L12" t="s">
        <v>3452</v>
      </c>
      <c r="M12" t="s">
        <v>3820</v>
      </c>
    </row>
    <row r="13" spans="1:13" ht="15" customHeight="1" x14ac:dyDescent="0.25">
      <c r="A13" t="s">
        <v>5047</v>
      </c>
      <c r="B13" t="s">
        <v>5016</v>
      </c>
      <c r="C13" t="s">
        <v>4356</v>
      </c>
      <c r="D13">
        <v>1</v>
      </c>
      <c r="E13">
        <v>10</v>
      </c>
      <c r="F13">
        <v>14</v>
      </c>
      <c r="G13" t="s">
        <v>3452</v>
      </c>
      <c r="H13" t="s">
        <v>90</v>
      </c>
      <c r="I13" t="s">
        <v>4389</v>
      </c>
      <c r="J13" t="s">
        <v>5048</v>
      </c>
      <c r="K13" t="s">
        <v>5049</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5050</v>
      </c>
      <c r="C1" t="s">
        <v>3727</v>
      </c>
      <c r="D1" t="s">
        <v>5010</v>
      </c>
      <c r="E1" t="s">
        <v>1</v>
      </c>
      <c r="F1" t="s">
        <v>5011</v>
      </c>
      <c r="G1" t="s">
        <v>5012</v>
      </c>
      <c r="H1" t="s">
        <v>3980</v>
      </c>
      <c r="I1" t="s">
        <v>3728</v>
      </c>
      <c r="J1" t="s">
        <v>5051</v>
      </c>
      <c r="K1" t="s">
        <v>5052</v>
      </c>
      <c r="L1" t="s">
        <v>5053</v>
      </c>
      <c r="M1" t="s">
        <v>5054</v>
      </c>
      <c r="N1" t="s">
        <v>5055</v>
      </c>
      <c r="O1" t="s">
        <v>5056</v>
      </c>
      <c r="P1" t="s">
        <v>5057</v>
      </c>
      <c r="Q1" t="s">
        <v>5058</v>
      </c>
      <c r="R1" t="s">
        <v>5059</v>
      </c>
      <c r="S1" t="s">
        <v>3732</v>
      </c>
      <c r="T1" t="s">
        <v>3733</v>
      </c>
    </row>
    <row r="2" spans="1:20" ht="15" customHeight="1" x14ac:dyDescent="0.25">
      <c r="A2" t="s">
        <v>3740</v>
      </c>
      <c r="B2" t="s">
        <v>5060</v>
      </c>
      <c r="C2" t="s">
        <v>4356</v>
      </c>
      <c r="D2">
        <v>1</v>
      </c>
      <c r="E2" t="s">
        <v>497</v>
      </c>
      <c r="F2">
        <v>10</v>
      </c>
      <c r="G2">
        <v>15</v>
      </c>
      <c r="H2">
        <v>80</v>
      </c>
      <c r="I2">
        <v>1</v>
      </c>
      <c r="J2" t="s">
        <v>5061</v>
      </c>
      <c r="K2">
        <v>0</v>
      </c>
      <c r="L2" t="s">
        <v>5062</v>
      </c>
      <c r="M2" t="s">
        <v>5063</v>
      </c>
      <c r="N2" t="s">
        <v>3990</v>
      </c>
      <c r="O2" t="s">
        <v>5064</v>
      </c>
      <c r="R2" t="s">
        <v>5065</v>
      </c>
      <c r="T2" t="s">
        <v>3500</v>
      </c>
    </row>
    <row r="3" spans="1:20" ht="15" customHeight="1" x14ac:dyDescent="0.25">
      <c r="A3" t="s">
        <v>5066</v>
      </c>
      <c r="B3" t="s">
        <v>5067</v>
      </c>
      <c r="C3" t="s">
        <v>4356</v>
      </c>
      <c r="D3">
        <v>2</v>
      </c>
      <c r="E3" t="s">
        <v>160</v>
      </c>
      <c r="F3">
        <v>16</v>
      </c>
      <c r="G3">
        <v>20</v>
      </c>
      <c r="H3">
        <v>90</v>
      </c>
      <c r="I3">
        <v>1</v>
      </c>
      <c r="J3" t="s">
        <v>5061</v>
      </c>
      <c r="K3">
        <v>0</v>
      </c>
      <c r="L3" t="s">
        <v>5068</v>
      </c>
      <c r="M3" t="s">
        <v>5069</v>
      </c>
      <c r="N3" t="s">
        <v>3990</v>
      </c>
      <c r="Q3" t="s">
        <v>5070</v>
      </c>
      <c r="R3" t="s">
        <v>5071</v>
      </c>
      <c r="S3" t="s">
        <v>5072</v>
      </c>
    </row>
    <row r="4" spans="1:20" ht="15" customHeight="1" x14ac:dyDescent="0.25">
      <c r="A4" t="s">
        <v>5073</v>
      </c>
      <c r="B4" t="s">
        <v>5074</v>
      </c>
      <c r="C4" t="s">
        <v>4356</v>
      </c>
      <c r="D4">
        <v>0</v>
      </c>
      <c r="E4" t="s">
        <v>160</v>
      </c>
      <c r="F4">
        <v>16</v>
      </c>
      <c r="G4">
        <v>20</v>
      </c>
      <c r="H4">
        <v>60</v>
      </c>
      <c r="I4">
        <v>1</v>
      </c>
      <c r="J4" t="s">
        <v>5075</v>
      </c>
      <c r="K4">
        <v>0</v>
      </c>
      <c r="L4" t="s">
        <v>5076</v>
      </c>
      <c r="M4" t="s">
        <v>5077</v>
      </c>
      <c r="N4" t="s">
        <v>3990</v>
      </c>
      <c r="Q4" t="s">
        <v>5078</v>
      </c>
      <c r="R4" t="s">
        <v>5079</v>
      </c>
    </row>
    <row r="5" spans="1:20" ht="15" customHeight="1" x14ac:dyDescent="0.25">
      <c r="A5" t="s">
        <v>5080</v>
      </c>
      <c r="B5" t="s">
        <v>5081</v>
      </c>
      <c r="C5" t="s">
        <v>4356</v>
      </c>
      <c r="D5">
        <v>2</v>
      </c>
      <c r="E5" t="s">
        <v>160</v>
      </c>
      <c r="F5">
        <v>16</v>
      </c>
      <c r="G5">
        <v>20</v>
      </c>
      <c r="H5">
        <v>0</v>
      </c>
      <c r="I5">
        <v>1</v>
      </c>
      <c r="J5" t="s">
        <v>5082</v>
      </c>
      <c r="K5">
        <v>0</v>
      </c>
      <c r="L5" t="s">
        <v>5083</v>
      </c>
      <c r="M5" t="s">
        <v>5084</v>
      </c>
      <c r="N5" t="s">
        <v>3990</v>
      </c>
      <c r="R5" t="s">
        <v>5085</v>
      </c>
    </row>
    <row r="6" spans="1:20" ht="15" customHeight="1" x14ac:dyDescent="0.25">
      <c r="A6" t="s">
        <v>5075</v>
      </c>
      <c r="B6" t="s">
        <v>5086</v>
      </c>
      <c r="C6" t="s">
        <v>4356</v>
      </c>
      <c r="D6">
        <v>0</v>
      </c>
      <c r="E6" t="s">
        <v>160</v>
      </c>
      <c r="F6">
        <v>16</v>
      </c>
      <c r="G6">
        <v>20</v>
      </c>
      <c r="H6">
        <v>70</v>
      </c>
      <c r="I6">
        <v>1</v>
      </c>
      <c r="J6" t="s">
        <v>5075</v>
      </c>
      <c r="K6">
        <v>0</v>
      </c>
      <c r="L6" t="s">
        <v>5068</v>
      </c>
      <c r="M6" t="s">
        <v>5087</v>
      </c>
      <c r="N6" t="s">
        <v>3990</v>
      </c>
      <c r="Q6" t="s">
        <v>5088</v>
      </c>
      <c r="R6" t="s">
        <v>5089</v>
      </c>
    </row>
    <row r="7" spans="1:20" ht="15" customHeight="1" x14ac:dyDescent="0.25">
      <c r="A7" t="s">
        <v>5090</v>
      </c>
      <c r="B7" t="s">
        <v>5091</v>
      </c>
      <c r="C7" t="s">
        <v>4356</v>
      </c>
      <c r="D7">
        <v>2</v>
      </c>
      <c r="E7" t="s">
        <v>497</v>
      </c>
      <c r="F7">
        <v>12</v>
      </c>
      <c r="G7">
        <v>16</v>
      </c>
      <c r="H7">
        <v>70</v>
      </c>
      <c r="I7">
        <v>1</v>
      </c>
      <c r="J7" t="s">
        <v>5092</v>
      </c>
      <c r="K7">
        <v>6</v>
      </c>
      <c r="L7" t="s">
        <v>5093</v>
      </c>
      <c r="M7" t="s">
        <v>5094</v>
      </c>
      <c r="N7" t="s">
        <v>3990</v>
      </c>
      <c r="O7" t="s">
        <v>5064</v>
      </c>
      <c r="P7" t="s">
        <v>5095</v>
      </c>
      <c r="R7" t="s">
        <v>5065</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5000</v>
      </c>
      <c r="D1" t="s">
        <v>5096</v>
      </c>
      <c r="E1" t="s">
        <v>3490</v>
      </c>
    </row>
    <row r="2" spans="1:5" ht="15" customHeight="1" x14ac:dyDescent="0.25">
      <c r="A2" t="s">
        <v>5097</v>
      </c>
      <c r="B2" t="s">
        <v>3825</v>
      </c>
      <c r="C2" t="s">
        <v>5098</v>
      </c>
      <c r="D2" t="s">
        <v>3444</v>
      </c>
    </row>
    <row r="3" spans="1:5" ht="15" customHeight="1" x14ac:dyDescent="0.25">
      <c r="A3" t="s">
        <v>5099</v>
      </c>
      <c r="B3" t="s">
        <v>3825</v>
      </c>
      <c r="C3" t="s">
        <v>5100</v>
      </c>
      <c r="D3" t="s">
        <v>3444</v>
      </c>
    </row>
    <row r="4" spans="1:5" ht="15" customHeight="1" x14ac:dyDescent="0.25">
      <c r="A4" t="s">
        <v>5101</v>
      </c>
      <c r="B4" t="s">
        <v>3825</v>
      </c>
      <c r="C4" t="s">
        <v>3922</v>
      </c>
      <c r="D4" t="s">
        <v>5102</v>
      </c>
    </row>
    <row r="5" spans="1:5" ht="15" customHeight="1" x14ac:dyDescent="0.25">
      <c r="A5" t="s">
        <v>5103</v>
      </c>
      <c r="B5" t="s">
        <v>3825</v>
      </c>
      <c r="C5" t="s">
        <v>5104</v>
      </c>
      <c r="D5" t="s">
        <v>3444</v>
      </c>
    </row>
    <row r="6" spans="1:5" ht="15" customHeight="1" x14ac:dyDescent="0.25">
      <c r="A6" t="s">
        <v>5105</v>
      </c>
      <c r="B6" t="s">
        <v>3825</v>
      </c>
      <c r="C6" t="s">
        <v>5106</v>
      </c>
      <c r="D6" t="s">
        <v>3444</v>
      </c>
    </row>
    <row r="7" spans="1:5" ht="15" customHeight="1" x14ac:dyDescent="0.25">
      <c r="A7" t="s">
        <v>5107</v>
      </c>
      <c r="B7" t="s">
        <v>3825</v>
      </c>
      <c r="C7" t="s">
        <v>5108</v>
      </c>
      <c r="D7" t="s">
        <v>5109</v>
      </c>
    </row>
    <row r="8" spans="1:5" ht="15" customHeight="1" x14ac:dyDescent="0.25">
      <c r="A8" t="s">
        <v>5110</v>
      </c>
      <c r="B8" t="s">
        <v>3825</v>
      </c>
      <c r="C8" t="s">
        <v>5111</v>
      </c>
      <c r="D8" t="s">
        <v>5112</v>
      </c>
    </row>
    <row r="9" spans="1:5" ht="15" customHeight="1" x14ac:dyDescent="0.25">
      <c r="A9" t="s">
        <v>5113</v>
      </c>
      <c r="B9" t="s">
        <v>5114</v>
      </c>
      <c r="C9" t="s">
        <v>5115</v>
      </c>
      <c r="D9" t="s">
        <v>3452</v>
      </c>
      <c r="E9" t="s">
        <v>5116</v>
      </c>
    </row>
    <row r="10" spans="1:5" ht="15" customHeight="1" x14ac:dyDescent="0.25">
      <c r="A10" t="s">
        <v>5117</v>
      </c>
      <c r="B10" t="s">
        <v>5114</v>
      </c>
      <c r="C10" t="s">
        <v>5118</v>
      </c>
      <c r="D10" t="s">
        <v>3452</v>
      </c>
      <c r="E10" t="s">
        <v>5119</v>
      </c>
    </row>
    <row r="11" spans="1:5" ht="15" customHeight="1" x14ac:dyDescent="0.25">
      <c r="A11" t="s">
        <v>5120</v>
      </c>
      <c r="B11" t="s">
        <v>5114</v>
      </c>
      <c r="C11" t="s">
        <v>5121</v>
      </c>
      <c r="D11" t="s">
        <v>3452</v>
      </c>
      <c r="E11" t="s">
        <v>5122</v>
      </c>
    </row>
    <row r="12" spans="1:5" ht="15" customHeight="1" x14ac:dyDescent="0.25">
      <c r="A12" t="s">
        <v>5123</v>
      </c>
      <c r="B12" t="s">
        <v>3825</v>
      </c>
      <c r="C12" t="s">
        <v>5124</v>
      </c>
      <c r="D12" t="s">
        <v>5125</v>
      </c>
    </row>
    <row r="13" spans="1:5" ht="15" customHeight="1" x14ac:dyDescent="0.25">
      <c r="A13" t="s">
        <v>5126</v>
      </c>
      <c r="B13" t="s">
        <v>3825</v>
      </c>
      <c r="C13" t="s">
        <v>5127</v>
      </c>
      <c r="D13" t="s">
        <v>3444</v>
      </c>
    </row>
    <row r="14" spans="1:5" ht="15" customHeight="1" x14ac:dyDescent="0.25">
      <c r="A14" t="s">
        <v>5128</v>
      </c>
      <c r="B14" t="s">
        <v>3825</v>
      </c>
      <c r="C14" t="s">
        <v>5129</v>
      </c>
      <c r="D14" t="s">
        <v>4246</v>
      </c>
    </row>
    <row r="15" spans="1:5" ht="15" customHeight="1" x14ac:dyDescent="0.25">
      <c r="A15" t="s">
        <v>5130</v>
      </c>
      <c r="B15" t="s">
        <v>3825</v>
      </c>
      <c r="C15" t="s">
        <v>5131</v>
      </c>
      <c r="D15" t="s">
        <v>3444</v>
      </c>
    </row>
    <row r="16" spans="1:5" ht="15" customHeight="1" x14ac:dyDescent="0.25">
      <c r="A16" t="s">
        <v>5132</v>
      </c>
      <c r="B16" t="s">
        <v>5114</v>
      </c>
      <c r="C16" t="s">
        <v>5133</v>
      </c>
      <c r="D16" t="s">
        <v>3452</v>
      </c>
      <c r="E16" t="s">
        <v>5134</v>
      </c>
    </row>
    <row r="17" spans="1:4" ht="15" customHeight="1" x14ac:dyDescent="0.25">
      <c r="A17" t="s">
        <v>5135</v>
      </c>
      <c r="B17" t="s">
        <v>3825</v>
      </c>
      <c r="C17" t="s">
        <v>5136</v>
      </c>
      <c r="D17" t="s">
        <v>5137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5138</v>
      </c>
      <c r="F1" t="s">
        <v>4252</v>
      </c>
      <c r="G1" t="s">
        <v>5139</v>
      </c>
      <c r="H1" t="s">
        <v>4002</v>
      </c>
      <c r="I1" t="s">
        <v>171</v>
      </c>
      <c r="J1" t="s">
        <v>6</v>
      </c>
      <c r="K1" t="s">
        <v>5140</v>
      </c>
    </row>
    <row r="2" spans="1:11" ht="15" customHeight="1" x14ac:dyDescent="0.25">
      <c r="A2" t="s">
        <v>5141</v>
      </c>
      <c r="B2" t="s">
        <v>5142</v>
      </c>
      <c r="C2" t="s">
        <v>3976</v>
      </c>
      <c r="D2" t="s">
        <v>187</v>
      </c>
      <c r="E2" t="s">
        <v>3452</v>
      </c>
      <c r="F2" t="s">
        <v>4290</v>
      </c>
      <c r="G2" t="s">
        <v>39</v>
      </c>
      <c r="H2" t="s">
        <v>4024</v>
      </c>
      <c r="I2" t="s">
        <v>5141</v>
      </c>
      <c r="J2" t="s">
        <v>3508</v>
      </c>
      <c r="K2" t="s">
        <v>3452</v>
      </c>
    </row>
    <row r="3" spans="1:11" ht="15" customHeight="1" x14ac:dyDescent="0.25">
      <c r="A3" t="s">
        <v>3515</v>
      </c>
      <c r="B3" t="s">
        <v>5143</v>
      </c>
      <c r="C3" t="s">
        <v>3732</v>
      </c>
      <c r="D3" t="s">
        <v>3990</v>
      </c>
      <c r="E3" t="s">
        <v>3452</v>
      </c>
      <c r="F3" t="s">
        <v>4290</v>
      </c>
      <c r="G3" t="s">
        <v>39</v>
      </c>
      <c r="H3" t="s">
        <v>4024</v>
      </c>
      <c r="I3" t="s">
        <v>3515</v>
      </c>
      <c r="J3" t="s">
        <v>3496</v>
      </c>
      <c r="K3" t="s">
        <v>3452</v>
      </c>
    </row>
    <row r="4" spans="1:11" ht="15" customHeight="1" x14ac:dyDescent="0.25">
      <c r="A4" t="s">
        <v>5144</v>
      </c>
      <c r="B4" t="s">
        <v>5145</v>
      </c>
      <c r="C4" t="s">
        <v>3985</v>
      </c>
      <c r="D4" t="s">
        <v>187</v>
      </c>
      <c r="E4" t="s">
        <v>3452</v>
      </c>
      <c r="F4" t="s">
        <v>5146</v>
      </c>
      <c r="G4" t="s">
        <v>39</v>
      </c>
      <c r="H4" t="s">
        <v>4007</v>
      </c>
      <c r="I4" t="s">
        <v>5144</v>
      </c>
      <c r="J4" t="s">
        <v>3508</v>
      </c>
      <c r="K4" t="s">
        <v>3452</v>
      </c>
    </row>
    <row r="5" spans="1:11" ht="15" customHeight="1" x14ac:dyDescent="0.25">
      <c r="A5" t="s">
        <v>5147</v>
      </c>
      <c r="B5" t="s">
        <v>5148</v>
      </c>
      <c r="C5" t="s">
        <v>3976</v>
      </c>
      <c r="D5" t="s">
        <v>187</v>
      </c>
      <c r="E5" t="s">
        <v>3452</v>
      </c>
      <c r="F5" t="s">
        <v>4290</v>
      </c>
      <c r="G5" t="s">
        <v>39</v>
      </c>
      <c r="H5" t="s">
        <v>4024</v>
      </c>
      <c r="I5" t="s">
        <v>5149</v>
      </c>
      <c r="J5" t="s">
        <v>3496</v>
      </c>
      <c r="K5" t="s">
        <v>3452</v>
      </c>
    </row>
    <row r="6" spans="1:11" ht="15" customHeight="1" x14ac:dyDescent="0.25">
      <c r="A6" t="s">
        <v>5150</v>
      </c>
      <c r="B6" t="s">
        <v>5151</v>
      </c>
      <c r="C6" t="s">
        <v>3985</v>
      </c>
      <c r="D6" t="s">
        <v>187</v>
      </c>
      <c r="E6" t="s">
        <v>3452</v>
      </c>
      <c r="F6" t="s">
        <v>5152</v>
      </c>
      <c r="G6" t="s">
        <v>39</v>
      </c>
      <c r="H6" t="s">
        <v>4007</v>
      </c>
      <c r="I6" t="s">
        <v>5150</v>
      </c>
      <c r="J6" t="s">
        <v>41</v>
      </c>
      <c r="K6" t="s">
        <v>3452</v>
      </c>
    </row>
    <row r="7" spans="1:11" ht="15" customHeight="1" x14ac:dyDescent="0.25">
      <c r="A7" t="s">
        <v>5153</v>
      </c>
      <c r="B7" t="s">
        <v>5154</v>
      </c>
      <c r="C7" t="s">
        <v>3976</v>
      </c>
      <c r="D7" t="s">
        <v>187</v>
      </c>
      <c r="E7" t="s">
        <v>3452</v>
      </c>
      <c r="F7" t="s">
        <v>5152</v>
      </c>
      <c r="G7" t="s">
        <v>39</v>
      </c>
      <c r="H7" t="s">
        <v>4024</v>
      </c>
      <c r="I7" t="s">
        <v>5153</v>
      </c>
      <c r="J7" t="s">
        <v>3496</v>
      </c>
      <c r="K7" t="s">
        <v>3452</v>
      </c>
    </row>
    <row r="8" spans="1:11" ht="15" customHeight="1" x14ac:dyDescent="0.25">
      <c r="A8" t="s">
        <v>5155</v>
      </c>
      <c r="B8" t="s">
        <v>5156</v>
      </c>
      <c r="C8" t="s">
        <v>3976</v>
      </c>
      <c r="D8" t="s">
        <v>187</v>
      </c>
      <c r="E8" t="s">
        <v>3452</v>
      </c>
      <c r="F8" t="s">
        <v>4290</v>
      </c>
      <c r="G8" t="s">
        <v>39</v>
      </c>
      <c r="H8" t="s">
        <v>4024</v>
      </c>
      <c r="I8" t="s">
        <v>5155</v>
      </c>
      <c r="J8" t="s">
        <v>41</v>
      </c>
      <c r="K8" t="s">
        <v>3452</v>
      </c>
    </row>
    <row r="9" spans="1:11" ht="15" customHeight="1" x14ac:dyDescent="0.25">
      <c r="A9" t="s">
        <v>5157</v>
      </c>
      <c r="B9" t="s">
        <v>5158</v>
      </c>
      <c r="C9" t="s">
        <v>3985</v>
      </c>
      <c r="D9" t="s">
        <v>187</v>
      </c>
      <c r="E9" t="s">
        <v>3452</v>
      </c>
      <c r="F9" t="s">
        <v>4290</v>
      </c>
      <c r="G9" t="s">
        <v>39</v>
      </c>
      <c r="H9" t="s">
        <v>4007</v>
      </c>
      <c r="I9" t="s">
        <v>5157</v>
      </c>
      <c r="J9" t="s">
        <v>41</v>
      </c>
      <c r="K9" t="s">
        <v>3452</v>
      </c>
    </row>
    <row r="10" spans="1:11" ht="15" customHeight="1" x14ac:dyDescent="0.25">
      <c r="A10" t="s">
        <v>5159</v>
      </c>
      <c r="B10" t="s">
        <v>5160</v>
      </c>
      <c r="C10" t="s">
        <v>3976</v>
      </c>
      <c r="D10" t="s">
        <v>187</v>
      </c>
      <c r="E10" t="s">
        <v>3452</v>
      </c>
      <c r="F10" t="s">
        <v>5161</v>
      </c>
      <c r="G10" t="s">
        <v>39</v>
      </c>
      <c r="H10" t="s">
        <v>4024</v>
      </c>
      <c r="I10" t="s">
        <v>5159</v>
      </c>
      <c r="J10" t="s">
        <v>3496</v>
      </c>
      <c r="K10" t="s">
        <v>3452</v>
      </c>
    </row>
    <row r="11" spans="1:11" ht="15" customHeight="1" x14ac:dyDescent="0.25">
      <c r="A11" t="s">
        <v>3995</v>
      </c>
      <c r="B11" t="s">
        <v>5162</v>
      </c>
      <c r="C11" t="s">
        <v>3985</v>
      </c>
      <c r="D11" t="s">
        <v>187</v>
      </c>
      <c r="E11" t="s">
        <v>3452</v>
      </c>
      <c r="F11" t="s">
        <v>5152</v>
      </c>
      <c r="G11" t="s">
        <v>39</v>
      </c>
      <c r="H11" t="s">
        <v>4007</v>
      </c>
      <c r="I11" t="s">
        <v>3995</v>
      </c>
      <c r="J11" t="s">
        <v>41</v>
      </c>
      <c r="K11" t="s">
        <v>3452</v>
      </c>
    </row>
    <row r="12" spans="1:11" ht="15" customHeight="1" x14ac:dyDescent="0.25">
      <c r="A12" t="s">
        <v>5163</v>
      </c>
      <c r="B12" t="s">
        <v>5164</v>
      </c>
      <c r="C12" t="s">
        <v>3976</v>
      </c>
      <c r="D12" t="s">
        <v>187</v>
      </c>
      <c r="E12" t="s">
        <v>3452</v>
      </c>
      <c r="F12" t="s">
        <v>5165</v>
      </c>
      <c r="G12" t="s">
        <v>5166</v>
      </c>
      <c r="H12" t="s">
        <v>4024</v>
      </c>
      <c r="I12" t="s">
        <v>5163</v>
      </c>
      <c r="J12" t="s">
        <v>3496</v>
      </c>
      <c r="K12" t="s">
        <v>3452</v>
      </c>
    </row>
    <row r="13" spans="1:11" ht="15" customHeight="1" x14ac:dyDescent="0.25">
      <c r="A13" t="s">
        <v>5167</v>
      </c>
      <c r="B13" t="s">
        <v>5168</v>
      </c>
      <c r="C13" t="s">
        <v>3985</v>
      </c>
      <c r="D13" t="s">
        <v>187</v>
      </c>
      <c r="E13" t="s">
        <v>3452</v>
      </c>
      <c r="F13" t="s">
        <v>5165</v>
      </c>
      <c r="G13" t="s">
        <v>5169</v>
      </c>
      <c r="H13" t="s">
        <v>4007</v>
      </c>
      <c r="I13" t="s">
        <v>5167</v>
      </c>
      <c r="J13" t="s">
        <v>3452</v>
      </c>
      <c r="K13" t="s">
        <v>3452</v>
      </c>
    </row>
    <row r="14" spans="1:11" ht="15" customHeight="1" x14ac:dyDescent="0.25">
      <c r="A14" t="s">
        <v>5170</v>
      </c>
      <c r="B14" t="s">
        <v>5171</v>
      </c>
      <c r="C14" t="s">
        <v>3985</v>
      </c>
      <c r="D14" t="s">
        <v>187</v>
      </c>
      <c r="E14" t="s">
        <v>3452</v>
      </c>
      <c r="F14" t="s">
        <v>5152</v>
      </c>
      <c r="G14" t="s">
        <v>5166</v>
      </c>
      <c r="H14" t="s">
        <v>4007</v>
      </c>
      <c r="I14" t="s">
        <v>5170</v>
      </c>
      <c r="J14" t="s">
        <v>3452</v>
      </c>
      <c r="K14" t="s">
        <v>3452</v>
      </c>
    </row>
    <row r="15" spans="1:11" ht="15" customHeight="1" x14ac:dyDescent="0.25">
      <c r="A15" t="s">
        <v>5172</v>
      </c>
      <c r="B15" t="s">
        <v>5173</v>
      </c>
      <c r="C15" t="s">
        <v>3985</v>
      </c>
      <c r="D15" t="s">
        <v>187</v>
      </c>
      <c r="E15" t="s">
        <v>3452</v>
      </c>
      <c r="F15" t="s">
        <v>4290</v>
      </c>
      <c r="G15" t="s">
        <v>5169</v>
      </c>
      <c r="H15" t="s">
        <v>4007</v>
      </c>
      <c r="I15" t="s">
        <v>5174</v>
      </c>
      <c r="J15" t="s">
        <v>3452</v>
      </c>
      <c r="K15" t="s">
        <v>3452</v>
      </c>
    </row>
    <row r="16" spans="1:11" ht="15" customHeight="1" x14ac:dyDescent="0.25">
      <c r="A16" t="s">
        <v>5175</v>
      </c>
      <c r="B16" t="s">
        <v>5176</v>
      </c>
      <c r="C16" t="s">
        <v>3732</v>
      </c>
      <c r="D16" t="s">
        <v>3990</v>
      </c>
      <c r="E16" t="s">
        <v>3452</v>
      </c>
      <c r="F16" t="s">
        <v>4290</v>
      </c>
      <c r="G16" t="s">
        <v>39</v>
      </c>
      <c r="H16" t="s">
        <v>4024</v>
      </c>
      <c r="I16" t="s">
        <v>5177</v>
      </c>
      <c r="J16" t="s">
        <v>3452</v>
      </c>
      <c r="K16" t="s">
        <v>3452</v>
      </c>
    </row>
    <row r="17" spans="1:11" ht="15" customHeight="1" x14ac:dyDescent="0.25">
      <c r="A17" t="s">
        <v>3506</v>
      </c>
      <c r="B17" t="s">
        <v>5178</v>
      </c>
      <c r="C17" t="s">
        <v>3976</v>
      </c>
      <c r="D17" t="s">
        <v>187</v>
      </c>
      <c r="E17" t="s">
        <v>3452</v>
      </c>
      <c r="F17" t="s">
        <v>4290</v>
      </c>
      <c r="G17" t="s">
        <v>39</v>
      </c>
      <c r="H17" t="s">
        <v>4024</v>
      </c>
      <c r="I17" t="s">
        <v>3506</v>
      </c>
      <c r="J17" t="s">
        <v>3508</v>
      </c>
      <c r="K17" t="s">
        <v>3452</v>
      </c>
    </row>
    <row r="18" spans="1:11" ht="15" customHeight="1" x14ac:dyDescent="0.25">
      <c r="A18" t="s">
        <v>5179</v>
      </c>
      <c r="B18" t="s">
        <v>5180</v>
      </c>
      <c r="C18" t="s">
        <v>3976</v>
      </c>
      <c r="D18" t="s">
        <v>187</v>
      </c>
      <c r="E18" t="s">
        <v>3452</v>
      </c>
      <c r="F18" t="s">
        <v>5181</v>
      </c>
      <c r="G18" t="s">
        <v>39</v>
      </c>
      <c r="H18" t="s">
        <v>4024</v>
      </c>
      <c r="I18" t="s">
        <v>5179</v>
      </c>
      <c r="J18" t="s">
        <v>3496</v>
      </c>
      <c r="K18" t="s">
        <v>3452</v>
      </c>
    </row>
    <row r="19" spans="1:11" ht="15" customHeight="1" x14ac:dyDescent="0.25">
      <c r="A19" t="s">
        <v>5182</v>
      </c>
      <c r="B19" t="s">
        <v>5183</v>
      </c>
      <c r="C19" t="s">
        <v>3985</v>
      </c>
      <c r="D19" t="s">
        <v>187</v>
      </c>
      <c r="E19" t="s">
        <v>3452</v>
      </c>
      <c r="F19" t="s">
        <v>4290</v>
      </c>
      <c r="G19" t="s">
        <v>39</v>
      </c>
      <c r="H19" t="s">
        <v>4007</v>
      </c>
      <c r="I19" t="s">
        <v>5182</v>
      </c>
      <c r="J19" t="s">
        <v>3508</v>
      </c>
      <c r="K19" t="s">
        <v>3452</v>
      </c>
    </row>
    <row r="20" spans="1:11" ht="15" customHeight="1" x14ac:dyDescent="0.25">
      <c r="A20" t="s">
        <v>5184</v>
      </c>
      <c r="B20" t="s">
        <v>5185</v>
      </c>
      <c r="C20" t="s">
        <v>3976</v>
      </c>
      <c r="D20" t="s">
        <v>187</v>
      </c>
      <c r="E20" t="s">
        <v>3452</v>
      </c>
      <c r="F20" t="s">
        <v>5152</v>
      </c>
      <c r="G20" t="s">
        <v>5166</v>
      </c>
      <c r="H20" t="s">
        <v>4024</v>
      </c>
      <c r="I20" t="s">
        <v>5186</v>
      </c>
      <c r="J20" t="s">
        <v>3496</v>
      </c>
      <c r="K20" t="s">
        <v>3452</v>
      </c>
    </row>
    <row r="21" spans="1:11" ht="15" customHeight="1" x14ac:dyDescent="0.25">
      <c r="A21" t="s">
        <v>5187</v>
      </c>
      <c r="B21" t="s">
        <v>5188</v>
      </c>
      <c r="C21" t="s">
        <v>3985</v>
      </c>
      <c r="D21" t="s">
        <v>187</v>
      </c>
      <c r="E21" t="s">
        <v>3452</v>
      </c>
      <c r="F21" t="s">
        <v>5152</v>
      </c>
      <c r="G21" t="s">
        <v>39</v>
      </c>
      <c r="H21" t="s">
        <v>4007</v>
      </c>
      <c r="I21" t="s">
        <v>5187</v>
      </c>
      <c r="J21" t="s">
        <v>3496</v>
      </c>
      <c r="K21" t="s">
        <v>3452</v>
      </c>
    </row>
    <row r="22" spans="1:11" ht="15" customHeight="1" x14ac:dyDescent="0.25">
      <c r="A22" t="s">
        <v>5189</v>
      </c>
      <c r="B22" t="s">
        <v>5190</v>
      </c>
      <c r="C22" t="s">
        <v>3732</v>
      </c>
      <c r="D22" t="s">
        <v>187</v>
      </c>
      <c r="E22" t="s">
        <v>3452</v>
      </c>
      <c r="F22" t="s">
        <v>4290</v>
      </c>
      <c r="G22" t="s">
        <v>5166</v>
      </c>
      <c r="H22" t="s">
        <v>4024</v>
      </c>
      <c r="I22" t="s">
        <v>5189</v>
      </c>
      <c r="J22" t="s">
        <v>3452</v>
      </c>
      <c r="K22" t="s">
        <v>3452</v>
      </c>
    </row>
    <row r="23" spans="1:11" ht="15" customHeight="1" x14ac:dyDescent="0.25">
      <c r="A23" t="s">
        <v>5191</v>
      </c>
      <c r="B23" t="s">
        <v>5192</v>
      </c>
      <c r="C23" t="s">
        <v>3732</v>
      </c>
      <c r="D23" t="s">
        <v>187</v>
      </c>
      <c r="E23" t="s">
        <v>3452</v>
      </c>
      <c r="F23" t="s">
        <v>4290</v>
      </c>
      <c r="G23" t="s">
        <v>5166</v>
      </c>
      <c r="H23" t="s">
        <v>4024</v>
      </c>
      <c r="I23" t="s">
        <v>5191</v>
      </c>
      <c r="J23" t="s">
        <v>3452</v>
      </c>
      <c r="K23" t="s">
        <v>3452</v>
      </c>
    </row>
    <row r="24" spans="1:11" ht="15" customHeight="1" x14ac:dyDescent="0.25">
      <c r="A24" t="s">
        <v>5193</v>
      </c>
      <c r="B24" t="s">
        <v>5194</v>
      </c>
      <c r="C24" t="s">
        <v>3985</v>
      </c>
      <c r="D24" t="s">
        <v>187</v>
      </c>
      <c r="E24" t="s">
        <v>3452</v>
      </c>
      <c r="F24" t="s">
        <v>5152</v>
      </c>
      <c r="G24" t="s">
        <v>39</v>
      </c>
      <c r="H24" t="s">
        <v>4007</v>
      </c>
      <c r="I24" t="s">
        <v>5195</v>
      </c>
      <c r="J24" t="s">
        <v>3452</v>
      </c>
      <c r="K24" t="s">
        <v>3452</v>
      </c>
    </row>
    <row r="25" spans="1:11" ht="15" customHeight="1" x14ac:dyDescent="0.25">
      <c r="A25" t="s">
        <v>5196</v>
      </c>
      <c r="B25" t="s">
        <v>5197</v>
      </c>
      <c r="C25" t="s">
        <v>3985</v>
      </c>
      <c r="D25" t="s">
        <v>187</v>
      </c>
      <c r="E25" t="s">
        <v>3452</v>
      </c>
      <c r="F25" t="s">
        <v>5198</v>
      </c>
      <c r="G25" t="s">
        <v>5166</v>
      </c>
      <c r="H25" t="s">
        <v>4007</v>
      </c>
      <c r="I25" t="s">
        <v>5196</v>
      </c>
      <c r="J25" t="s">
        <v>3508</v>
      </c>
      <c r="K25" t="s">
        <v>3452</v>
      </c>
    </row>
    <row r="26" spans="1:11" ht="15" customHeight="1" x14ac:dyDescent="0.25">
      <c r="A26" t="s">
        <v>5199</v>
      </c>
      <c r="B26" t="s">
        <v>5200</v>
      </c>
      <c r="C26" t="s">
        <v>3732</v>
      </c>
      <c r="D26" t="s">
        <v>187</v>
      </c>
      <c r="E26" t="s">
        <v>3452</v>
      </c>
      <c r="F26" t="s">
        <v>4290</v>
      </c>
      <c r="G26" t="s">
        <v>5166</v>
      </c>
      <c r="H26" t="s">
        <v>4024</v>
      </c>
      <c r="I26" t="s">
        <v>5201</v>
      </c>
      <c r="J26" t="s">
        <v>3452</v>
      </c>
      <c r="K26" t="s">
        <v>3452</v>
      </c>
    </row>
    <row r="27" spans="1:11" ht="15" customHeight="1" x14ac:dyDescent="0.25">
      <c r="A27" t="s">
        <v>5202</v>
      </c>
      <c r="B27" t="s">
        <v>5203</v>
      </c>
      <c r="C27" t="s">
        <v>3732</v>
      </c>
      <c r="D27" t="s">
        <v>187</v>
      </c>
      <c r="E27" t="s">
        <v>3452</v>
      </c>
      <c r="F27" t="s">
        <v>4290</v>
      </c>
      <c r="G27" t="s">
        <v>5166</v>
      </c>
      <c r="H27" t="s">
        <v>4024</v>
      </c>
      <c r="I27" t="s">
        <v>5204</v>
      </c>
      <c r="J27" t="s">
        <v>3452</v>
      </c>
      <c r="K27" t="s">
        <v>3452</v>
      </c>
    </row>
    <row r="28" spans="1:11" ht="15" customHeight="1" x14ac:dyDescent="0.25">
      <c r="A28" t="s">
        <v>5205</v>
      </c>
      <c r="B28" t="s">
        <v>5206</v>
      </c>
      <c r="C28" t="s">
        <v>3976</v>
      </c>
      <c r="D28" t="s">
        <v>187</v>
      </c>
      <c r="E28" t="s">
        <v>3452</v>
      </c>
      <c r="F28" t="s">
        <v>5165</v>
      </c>
      <c r="G28" t="s">
        <v>39</v>
      </c>
      <c r="H28" t="s">
        <v>4024</v>
      </c>
      <c r="I28" t="s">
        <v>5207</v>
      </c>
      <c r="J28" t="s">
        <v>3508</v>
      </c>
      <c r="K28" t="s">
        <v>3452</v>
      </c>
    </row>
    <row r="29" spans="1:11" ht="15" customHeight="1" x14ac:dyDescent="0.25">
      <c r="A29" t="s">
        <v>5208</v>
      </c>
      <c r="B29" t="s">
        <v>5209</v>
      </c>
      <c r="C29" t="s">
        <v>3732</v>
      </c>
      <c r="D29" t="s">
        <v>3990</v>
      </c>
      <c r="E29" t="s">
        <v>3452</v>
      </c>
      <c r="F29" t="s">
        <v>5210</v>
      </c>
      <c r="G29" t="s">
        <v>5169</v>
      </c>
      <c r="H29" t="s">
        <v>4007</v>
      </c>
      <c r="I29" t="s">
        <v>5208</v>
      </c>
      <c r="J29" t="s">
        <v>3452</v>
      </c>
      <c r="K29" t="s">
        <v>3452</v>
      </c>
    </row>
    <row r="30" spans="1:11" ht="15" customHeight="1" x14ac:dyDescent="0.25">
      <c r="A30" t="s">
        <v>5211</v>
      </c>
      <c r="B30" t="s">
        <v>5212</v>
      </c>
      <c r="C30" t="s">
        <v>3732</v>
      </c>
      <c r="D30" t="s">
        <v>3990</v>
      </c>
      <c r="E30" t="s">
        <v>3452</v>
      </c>
      <c r="F30" t="s">
        <v>4290</v>
      </c>
      <c r="G30" t="s">
        <v>5169</v>
      </c>
      <c r="H30" t="s">
        <v>4035</v>
      </c>
      <c r="I30" t="s">
        <v>5211</v>
      </c>
      <c r="J30" t="s">
        <v>3452</v>
      </c>
      <c r="K30" t="s">
        <v>3452</v>
      </c>
    </row>
    <row r="31" spans="1:11" ht="15" customHeight="1" x14ac:dyDescent="0.25">
      <c r="A31" t="s">
        <v>5213</v>
      </c>
      <c r="B31" t="s">
        <v>5214</v>
      </c>
      <c r="C31" t="s">
        <v>3985</v>
      </c>
      <c r="D31" t="s">
        <v>187</v>
      </c>
      <c r="E31" t="s">
        <v>3452</v>
      </c>
      <c r="F31" t="s">
        <v>5152</v>
      </c>
      <c r="G31" t="s">
        <v>5166</v>
      </c>
      <c r="H31" t="s">
        <v>4007</v>
      </c>
      <c r="I31" t="s">
        <v>5213</v>
      </c>
      <c r="J31" t="s">
        <v>41</v>
      </c>
      <c r="K31" t="s">
        <v>3452</v>
      </c>
    </row>
    <row r="32" spans="1:11" ht="15" customHeight="1" x14ac:dyDescent="0.25">
      <c r="A32" t="s">
        <v>5215</v>
      </c>
      <c r="B32" t="s">
        <v>5216</v>
      </c>
      <c r="C32" t="s">
        <v>3976</v>
      </c>
      <c r="D32" t="s">
        <v>187</v>
      </c>
      <c r="E32" t="s">
        <v>3452</v>
      </c>
      <c r="F32" t="s">
        <v>5152</v>
      </c>
      <c r="G32" t="s">
        <v>39</v>
      </c>
      <c r="H32" t="s">
        <v>4024</v>
      </c>
      <c r="I32" t="s">
        <v>5215</v>
      </c>
      <c r="J32" t="s">
        <v>3496</v>
      </c>
      <c r="K32" t="s">
        <v>3452</v>
      </c>
    </row>
    <row r="33" spans="1:11" ht="15" customHeight="1" x14ac:dyDescent="0.25">
      <c r="A33" t="s">
        <v>5217</v>
      </c>
      <c r="B33" t="s">
        <v>5218</v>
      </c>
      <c r="C33" t="s">
        <v>3985</v>
      </c>
      <c r="D33" t="s">
        <v>187</v>
      </c>
      <c r="E33" t="s">
        <v>3452</v>
      </c>
      <c r="F33" t="s">
        <v>4290</v>
      </c>
      <c r="G33" t="s">
        <v>39</v>
      </c>
      <c r="H33" t="s">
        <v>4007</v>
      </c>
      <c r="I33" t="s">
        <v>5217</v>
      </c>
      <c r="J33" t="s">
        <v>3508</v>
      </c>
      <c r="K33" t="s">
        <v>3452</v>
      </c>
    </row>
    <row r="34" spans="1:11" ht="15" customHeight="1" x14ac:dyDescent="0.25">
      <c r="A34" t="s">
        <v>5219</v>
      </c>
      <c r="B34" t="s">
        <v>5220</v>
      </c>
      <c r="C34" t="s">
        <v>3732</v>
      </c>
      <c r="D34" t="s">
        <v>3990</v>
      </c>
      <c r="E34" t="s">
        <v>3452</v>
      </c>
      <c r="F34" t="s">
        <v>4290</v>
      </c>
      <c r="G34" t="s">
        <v>5169</v>
      </c>
      <c r="H34" t="s">
        <v>4024</v>
      </c>
      <c r="I34" t="s">
        <v>5221</v>
      </c>
      <c r="J34" t="s">
        <v>3452</v>
      </c>
      <c r="K34" t="s">
        <v>3452</v>
      </c>
    </row>
    <row r="35" spans="1:11" ht="15" customHeight="1" x14ac:dyDescent="0.25">
      <c r="A35" t="s">
        <v>5222</v>
      </c>
      <c r="B35" t="s">
        <v>5223</v>
      </c>
      <c r="C35" t="s">
        <v>3976</v>
      </c>
      <c r="D35" t="s">
        <v>5224</v>
      </c>
      <c r="E35" t="s">
        <v>3452</v>
      </c>
      <c r="F35" t="s">
        <v>5225</v>
      </c>
      <c r="G35" t="s">
        <v>5166</v>
      </c>
      <c r="H35" t="s">
        <v>4024</v>
      </c>
      <c r="I35" t="s">
        <v>5226</v>
      </c>
      <c r="J35" t="s">
        <v>41</v>
      </c>
      <c r="K35" t="s">
        <v>3452</v>
      </c>
    </row>
    <row r="36" spans="1:11" ht="15" customHeight="1" x14ac:dyDescent="0.25">
      <c r="A36" t="s">
        <v>5227</v>
      </c>
      <c r="B36" t="s">
        <v>5228</v>
      </c>
      <c r="C36" t="s">
        <v>3976</v>
      </c>
      <c r="D36" t="s">
        <v>5224</v>
      </c>
      <c r="E36" t="s">
        <v>3452</v>
      </c>
      <c r="F36" t="s">
        <v>5225</v>
      </c>
      <c r="G36" t="s">
        <v>5166</v>
      </c>
      <c r="H36" t="s">
        <v>4024</v>
      </c>
      <c r="I36" t="s">
        <v>5229</v>
      </c>
      <c r="J36" t="s">
        <v>3496</v>
      </c>
      <c r="K36" t="s">
        <v>3452</v>
      </c>
    </row>
    <row r="37" spans="1:11" ht="15" customHeight="1" x14ac:dyDescent="0.25">
      <c r="A37" t="s">
        <v>5230</v>
      </c>
      <c r="B37" t="s">
        <v>5231</v>
      </c>
      <c r="C37" t="s">
        <v>3976</v>
      </c>
      <c r="D37" t="s">
        <v>5224</v>
      </c>
      <c r="E37" t="s">
        <v>3452</v>
      </c>
      <c r="F37" t="s">
        <v>5225</v>
      </c>
      <c r="G37" t="s">
        <v>5166</v>
      </c>
      <c r="H37" t="s">
        <v>4024</v>
      </c>
      <c r="I37" t="s">
        <v>5232</v>
      </c>
      <c r="J37" t="s">
        <v>3496</v>
      </c>
      <c r="K37" t="s">
        <v>3452</v>
      </c>
    </row>
    <row r="38" spans="1:11" ht="15" customHeight="1" x14ac:dyDescent="0.25">
      <c r="A38" t="s">
        <v>5233</v>
      </c>
      <c r="B38" t="s">
        <v>5234</v>
      </c>
      <c r="C38" t="s">
        <v>3985</v>
      </c>
      <c r="D38" t="s">
        <v>3990</v>
      </c>
      <c r="E38" t="s">
        <v>3452</v>
      </c>
      <c r="F38" t="s">
        <v>5152</v>
      </c>
      <c r="G38" t="s">
        <v>5166</v>
      </c>
      <c r="H38" t="s">
        <v>4007</v>
      </c>
      <c r="I38" t="s">
        <v>5235</v>
      </c>
      <c r="J38" t="s">
        <v>3452</v>
      </c>
      <c r="K38" t="s">
        <v>3452</v>
      </c>
    </row>
    <row r="39" spans="1:11" ht="15" customHeight="1" x14ac:dyDescent="0.25">
      <c r="A39" t="s">
        <v>5236</v>
      </c>
      <c r="B39" t="s">
        <v>5237</v>
      </c>
      <c r="C39" t="s">
        <v>3985</v>
      </c>
      <c r="D39" t="s">
        <v>187</v>
      </c>
      <c r="E39" t="s">
        <v>3452</v>
      </c>
      <c r="F39" t="s">
        <v>5152</v>
      </c>
      <c r="G39" t="s">
        <v>39</v>
      </c>
      <c r="H39" t="s">
        <v>4007</v>
      </c>
      <c r="I39" t="s">
        <v>5236</v>
      </c>
      <c r="J39" t="s">
        <v>3452</v>
      </c>
      <c r="K39" t="s">
        <v>3452</v>
      </c>
    </row>
    <row r="40" spans="1:11" ht="15" customHeight="1" x14ac:dyDescent="0.25">
      <c r="A40" t="s">
        <v>5238</v>
      </c>
      <c r="B40" t="s">
        <v>5239</v>
      </c>
      <c r="C40" t="s">
        <v>3976</v>
      </c>
      <c r="D40" t="s">
        <v>187</v>
      </c>
      <c r="E40" t="s">
        <v>3452</v>
      </c>
      <c r="F40" t="s">
        <v>4290</v>
      </c>
      <c r="G40" t="s">
        <v>39</v>
      </c>
      <c r="H40" t="s">
        <v>4024</v>
      </c>
      <c r="I40" t="s">
        <v>5238</v>
      </c>
      <c r="J40" t="s">
        <v>3496</v>
      </c>
      <c r="K40" t="s">
        <v>3452</v>
      </c>
    </row>
    <row r="41" spans="1:11" ht="15" customHeight="1" x14ac:dyDescent="0.25">
      <c r="A41" t="s">
        <v>5240</v>
      </c>
      <c r="B41" t="s">
        <v>5241</v>
      </c>
      <c r="C41" t="s">
        <v>3732</v>
      </c>
      <c r="D41" t="s">
        <v>3990</v>
      </c>
      <c r="E41" t="s">
        <v>3452</v>
      </c>
      <c r="F41" t="s">
        <v>4290</v>
      </c>
      <c r="G41" t="s">
        <v>5169</v>
      </c>
      <c r="H41" t="s">
        <v>4035</v>
      </c>
      <c r="I41" t="s">
        <v>5242</v>
      </c>
      <c r="J41" t="s">
        <v>3452</v>
      </c>
      <c r="K41" t="s">
        <v>3452</v>
      </c>
    </row>
    <row r="42" spans="1:11" ht="15" customHeight="1" x14ac:dyDescent="0.25">
      <c r="A42" t="s">
        <v>5243</v>
      </c>
      <c r="B42" t="s">
        <v>5244</v>
      </c>
      <c r="C42" t="s">
        <v>3976</v>
      </c>
      <c r="D42" t="s">
        <v>187</v>
      </c>
      <c r="E42" t="s">
        <v>3452</v>
      </c>
      <c r="F42" t="s">
        <v>5245</v>
      </c>
      <c r="G42" t="s">
        <v>39</v>
      </c>
      <c r="H42" t="s">
        <v>4024</v>
      </c>
      <c r="I42" t="s">
        <v>5246</v>
      </c>
      <c r="J42" t="s">
        <v>3508</v>
      </c>
      <c r="K42" t="s">
        <v>3452</v>
      </c>
    </row>
    <row r="43" spans="1:11" ht="15" customHeight="1" x14ac:dyDescent="0.25">
      <c r="A43" t="s">
        <v>5247</v>
      </c>
      <c r="B43" t="s">
        <v>5248</v>
      </c>
      <c r="C43" t="s">
        <v>3985</v>
      </c>
      <c r="D43" t="s">
        <v>187</v>
      </c>
      <c r="E43" t="s">
        <v>3452</v>
      </c>
      <c r="F43" t="s">
        <v>5249</v>
      </c>
      <c r="G43" t="s">
        <v>39</v>
      </c>
      <c r="H43" t="s">
        <v>4007</v>
      </c>
      <c r="I43" t="s">
        <v>5247</v>
      </c>
      <c r="J43" t="s">
        <v>41</v>
      </c>
      <c r="K43" t="s">
        <v>3452</v>
      </c>
    </row>
    <row r="44" spans="1:11" ht="15" customHeight="1" x14ac:dyDescent="0.25">
      <c r="A44" t="s">
        <v>4590</v>
      </c>
      <c r="B44" t="s">
        <v>5250</v>
      </c>
      <c r="C44" t="s">
        <v>3976</v>
      </c>
      <c r="D44" t="s">
        <v>187</v>
      </c>
      <c r="E44" t="s">
        <v>3452</v>
      </c>
      <c r="F44" t="s">
        <v>4290</v>
      </c>
      <c r="G44" t="s">
        <v>39</v>
      </c>
      <c r="H44" t="s">
        <v>4024</v>
      </c>
      <c r="I44" t="s">
        <v>4590</v>
      </c>
      <c r="J44" t="s">
        <v>3508</v>
      </c>
      <c r="K44" t="s">
        <v>3452</v>
      </c>
    </row>
    <row r="45" spans="1:11" ht="15" customHeight="1" x14ac:dyDescent="0.25">
      <c r="A45" t="s">
        <v>5251</v>
      </c>
      <c r="B45" t="s">
        <v>5252</v>
      </c>
      <c r="C45" t="s">
        <v>3976</v>
      </c>
      <c r="D45" t="s">
        <v>187</v>
      </c>
      <c r="E45" t="s">
        <v>3452</v>
      </c>
      <c r="F45" t="s">
        <v>5152</v>
      </c>
      <c r="G45" t="s">
        <v>39</v>
      </c>
      <c r="H45" t="s">
        <v>4024</v>
      </c>
      <c r="I45" t="s">
        <v>5251</v>
      </c>
      <c r="J45" t="s">
        <v>3508</v>
      </c>
      <c r="K45" t="s">
        <v>3452</v>
      </c>
    </row>
    <row r="46" spans="1:11" ht="15" customHeight="1" x14ac:dyDescent="0.25">
      <c r="A46" t="s">
        <v>5253</v>
      </c>
      <c r="B46" t="s">
        <v>5254</v>
      </c>
      <c r="C46" t="s">
        <v>3732</v>
      </c>
      <c r="D46" t="s">
        <v>3990</v>
      </c>
      <c r="E46" t="s">
        <v>3452</v>
      </c>
      <c r="F46" t="s">
        <v>4290</v>
      </c>
      <c r="G46" t="s">
        <v>5169</v>
      </c>
      <c r="H46" t="s">
        <v>4035</v>
      </c>
      <c r="I46" t="s">
        <v>5253</v>
      </c>
      <c r="J46" t="s">
        <v>3452</v>
      </c>
      <c r="K46" t="s">
        <v>3452</v>
      </c>
    </row>
    <row r="47" spans="1:11" ht="15" customHeight="1" x14ac:dyDescent="0.25">
      <c r="A47" t="s">
        <v>5255</v>
      </c>
      <c r="B47" t="s">
        <v>5256</v>
      </c>
      <c r="C47" t="s">
        <v>3976</v>
      </c>
      <c r="D47" t="s">
        <v>187</v>
      </c>
      <c r="E47" t="s">
        <v>3452</v>
      </c>
      <c r="F47" t="s">
        <v>4290</v>
      </c>
      <c r="G47" t="s">
        <v>39</v>
      </c>
      <c r="H47" t="s">
        <v>4024</v>
      </c>
      <c r="I47" t="s">
        <v>5255</v>
      </c>
      <c r="J47" t="s">
        <v>3496</v>
      </c>
      <c r="K47" t="s">
        <v>3452</v>
      </c>
    </row>
    <row r="48" spans="1:11" ht="15" customHeight="1" x14ac:dyDescent="0.25">
      <c r="A48" t="s">
        <v>5257</v>
      </c>
      <c r="B48" t="s">
        <v>5258</v>
      </c>
      <c r="C48" t="s">
        <v>3985</v>
      </c>
      <c r="D48" t="s">
        <v>187</v>
      </c>
      <c r="E48" t="s">
        <v>3452</v>
      </c>
      <c r="F48" t="s">
        <v>5259</v>
      </c>
      <c r="G48" t="s">
        <v>39</v>
      </c>
      <c r="H48" t="s">
        <v>4007</v>
      </c>
      <c r="I48" t="s">
        <v>5257</v>
      </c>
      <c r="J48" t="s">
        <v>3452</v>
      </c>
      <c r="K48" t="s">
        <v>3452</v>
      </c>
    </row>
    <row r="49" spans="1:11" ht="15" customHeight="1" x14ac:dyDescent="0.25">
      <c r="A49" t="s">
        <v>5260</v>
      </c>
      <c r="B49" t="s">
        <v>5261</v>
      </c>
      <c r="C49" t="s">
        <v>3732</v>
      </c>
      <c r="D49" t="s">
        <v>3990</v>
      </c>
      <c r="E49" t="s">
        <v>3452</v>
      </c>
      <c r="F49" t="s">
        <v>4290</v>
      </c>
      <c r="G49" t="s">
        <v>5169</v>
      </c>
      <c r="H49" t="s">
        <v>4035</v>
      </c>
      <c r="I49" t="s">
        <v>5260</v>
      </c>
      <c r="J49" t="s">
        <v>3452</v>
      </c>
      <c r="K49" t="s">
        <v>3452</v>
      </c>
    </row>
    <row r="50" spans="1:11" ht="15" customHeight="1" x14ac:dyDescent="0.25">
      <c r="A50" t="s">
        <v>5262</v>
      </c>
      <c r="B50" t="s">
        <v>5263</v>
      </c>
      <c r="C50" t="s">
        <v>3976</v>
      </c>
      <c r="D50" t="s">
        <v>187</v>
      </c>
      <c r="E50" t="s">
        <v>3452</v>
      </c>
      <c r="F50" t="s">
        <v>5225</v>
      </c>
      <c r="G50" t="s">
        <v>39</v>
      </c>
      <c r="H50" t="s">
        <v>4024</v>
      </c>
      <c r="I50" t="s">
        <v>5262</v>
      </c>
      <c r="J50" t="s">
        <v>3452</v>
      </c>
      <c r="K50" t="s">
        <v>3452</v>
      </c>
    </row>
    <row r="51" spans="1:11" ht="15" customHeight="1" x14ac:dyDescent="0.25">
      <c r="A51" t="s">
        <v>5264</v>
      </c>
      <c r="B51" t="s">
        <v>5265</v>
      </c>
      <c r="C51" t="s">
        <v>3985</v>
      </c>
      <c r="D51" t="s">
        <v>3990</v>
      </c>
      <c r="E51" t="s">
        <v>3452</v>
      </c>
      <c r="F51" t="s">
        <v>4290</v>
      </c>
      <c r="G51" t="s">
        <v>39</v>
      </c>
      <c r="H51" t="s">
        <v>4007</v>
      </c>
      <c r="I51" t="s">
        <v>5264</v>
      </c>
      <c r="J51" t="s">
        <v>3452</v>
      </c>
      <c r="K51" t="s">
        <v>3452</v>
      </c>
    </row>
    <row r="52" spans="1:11" ht="15" customHeight="1" x14ac:dyDescent="0.25">
      <c r="A52" t="s">
        <v>5266</v>
      </c>
      <c r="B52" t="s">
        <v>5267</v>
      </c>
      <c r="C52" t="s">
        <v>3985</v>
      </c>
      <c r="D52" t="s">
        <v>3990</v>
      </c>
      <c r="E52" t="s">
        <v>3452</v>
      </c>
      <c r="F52" t="s">
        <v>4290</v>
      </c>
      <c r="G52" t="s">
        <v>39</v>
      </c>
      <c r="H52" t="s">
        <v>4007</v>
      </c>
      <c r="I52" t="s">
        <v>5268</v>
      </c>
      <c r="J52" t="s">
        <v>3496</v>
      </c>
      <c r="K52" t="s">
        <v>3452</v>
      </c>
    </row>
    <row r="53" spans="1:11" ht="15" customHeight="1" x14ac:dyDescent="0.25">
      <c r="A53" t="s">
        <v>5269</v>
      </c>
      <c r="B53" t="s">
        <v>5270</v>
      </c>
      <c r="C53" t="s">
        <v>3732</v>
      </c>
      <c r="D53" t="s">
        <v>3990</v>
      </c>
      <c r="E53" t="s">
        <v>3452</v>
      </c>
      <c r="F53" t="s">
        <v>4290</v>
      </c>
      <c r="G53" t="s">
        <v>5169</v>
      </c>
      <c r="H53" t="s">
        <v>4024</v>
      </c>
      <c r="I53" t="s">
        <v>5269</v>
      </c>
      <c r="J53" t="s">
        <v>3452</v>
      </c>
      <c r="K53" t="s">
        <v>3452</v>
      </c>
    </row>
    <row r="54" spans="1:11" ht="15" customHeight="1" x14ac:dyDescent="0.25">
      <c r="A54" t="s">
        <v>5271</v>
      </c>
      <c r="B54" t="s">
        <v>5272</v>
      </c>
      <c r="C54" t="s">
        <v>3732</v>
      </c>
      <c r="D54" t="s">
        <v>3990</v>
      </c>
      <c r="E54" t="s">
        <v>3452</v>
      </c>
      <c r="F54" t="s">
        <v>4290</v>
      </c>
      <c r="G54" t="s">
        <v>5169</v>
      </c>
      <c r="H54" t="s">
        <v>4007</v>
      </c>
      <c r="I54" t="s">
        <v>5273</v>
      </c>
      <c r="J54" t="s">
        <v>3452</v>
      </c>
      <c r="K54" t="s">
        <v>3452</v>
      </c>
    </row>
    <row r="55" spans="1:11" ht="15" customHeight="1" x14ac:dyDescent="0.25">
      <c r="A55" t="s">
        <v>5273</v>
      </c>
      <c r="B55" t="s">
        <v>5274</v>
      </c>
      <c r="C55" t="s">
        <v>3985</v>
      </c>
      <c r="D55" t="s">
        <v>3990</v>
      </c>
      <c r="E55">
        <v>1</v>
      </c>
      <c r="F55" t="s">
        <v>5152</v>
      </c>
      <c r="G55" t="s">
        <v>5169</v>
      </c>
      <c r="H55" t="s">
        <v>4007</v>
      </c>
      <c r="I55" t="s">
        <v>5273</v>
      </c>
      <c r="J55" t="s">
        <v>3452</v>
      </c>
      <c r="K55" t="s">
        <v>3452</v>
      </c>
    </row>
    <row r="56" spans="1:11" ht="15" customHeight="1" x14ac:dyDescent="0.25">
      <c r="A56" t="s">
        <v>5275</v>
      </c>
      <c r="B56" t="s">
        <v>5276</v>
      </c>
      <c r="C56" t="s">
        <v>3976</v>
      </c>
      <c r="D56" t="s">
        <v>187</v>
      </c>
      <c r="E56" t="s">
        <v>3452</v>
      </c>
      <c r="F56" t="s">
        <v>4290</v>
      </c>
      <c r="G56" t="s">
        <v>39</v>
      </c>
      <c r="H56" t="s">
        <v>4024</v>
      </c>
      <c r="I56" t="s">
        <v>5275</v>
      </c>
      <c r="J56" t="s">
        <v>3508</v>
      </c>
      <c r="K56" t="s">
        <v>3452</v>
      </c>
    </row>
    <row r="57" spans="1:11" ht="15" customHeight="1" x14ac:dyDescent="0.25">
      <c r="A57" t="s">
        <v>5277</v>
      </c>
      <c r="B57" t="s">
        <v>5278</v>
      </c>
      <c r="C57" t="s">
        <v>5279</v>
      </c>
      <c r="D57" t="s">
        <v>3990</v>
      </c>
      <c r="E57" t="s">
        <v>3452</v>
      </c>
      <c r="F57" t="s">
        <v>4290</v>
      </c>
      <c r="G57" t="s">
        <v>5169</v>
      </c>
      <c r="H57" t="s">
        <v>4035</v>
      </c>
      <c r="I57" t="s">
        <v>5277</v>
      </c>
      <c r="J57" t="s">
        <v>3452</v>
      </c>
      <c r="K57" t="s">
        <v>3452</v>
      </c>
    </row>
    <row r="58" spans="1:11" ht="15" customHeight="1" x14ac:dyDescent="0.25">
      <c r="A58" t="s">
        <v>5280</v>
      </c>
      <c r="B58" t="s">
        <v>5281</v>
      </c>
      <c r="C58" t="s">
        <v>3985</v>
      </c>
      <c r="D58" t="s">
        <v>187</v>
      </c>
      <c r="E58" t="s">
        <v>3452</v>
      </c>
      <c r="F58" t="s">
        <v>5152</v>
      </c>
      <c r="G58" t="s">
        <v>39</v>
      </c>
      <c r="H58" t="s">
        <v>4007</v>
      </c>
      <c r="I58" t="s">
        <v>5280</v>
      </c>
      <c r="J58" t="s">
        <v>41</v>
      </c>
      <c r="K58" t="s">
        <v>3452</v>
      </c>
    </row>
    <row r="59" spans="1:11" ht="15" customHeight="1" x14ac:dyDescent="0.25">
      <c r="A59" t="s">
        <v>5282</v>
      </c>
      <c r="B59" t="s">
        <v>5283</v>
      </c>
      <c r="C59" t="s">
        <v>3985</v>
      </c>
      <c r="D59" t="s">
        <v>187</v>
      </c>
      <c r="E59" t="s">
        <v>3452</v>
      </c>
      <c r="F59" t="s">
        <v>5152</v>
      </c>
      <c r="G59" t="s">
        <v>39</v>
      </c>
      <c r="H59" t="s">
        <v>4007</v>
      </c>
      <c r="I59" t="s">
        <v>5282</v>
      </c>
      <c r="J59" t="s">
        <v>41</v>
      </c>
      <c r="K59" t="s">
        <v>3452</v>
      </c>
    </row>
    <row r="60" spans="1:11" ht="15" customHeight="1" x14ac:dyDescent="0.25">
      <c r="A60" t="s">
        <v>5284</v>
      </c>
      <c r="B60" t="s">
        <v>5285</v>
      </c>
      <c r="C60" t="s">
        <v>3732</v>
      </c>
      <c r="D60" t="s">
        <v>187</v>
      </c>
      <c r="E60" t="s">
        <v>3452</v>
      </c>
      <c r="F60" t="s">
        <v>5165</v>
      </c>
      <c r="G60" t="s">
        <v>5166</v>
      </c>
      <c r="H60" t="s">
        <v>4024</v>
      </c>
      <c r="I60" t="s">
        <v>5286</v>
      </c>
      <c r="J60" t="s">
        <v>3452</v>
      </c>
      <c r="K60" t="s">
        <v>3452</v>
      </c>
    </row>
    <row r="61" spans="1:11" ht="15" customHeight="1" x14ac:dyDescent="0.25">
      <c r="A61" t="s">
        <v>5287</v>
      </c>
      <c r="B61" t="s">
        <v>5288</v>
      </c>
      <c r="C61" t="s">
        <v>3732</v>
      </c>
      <c r="D61" t="s">
        <v>187</v>
      </c>
      <c r="E61" t="s">
        <v>3452</v>
      </c>
      <c r="F61" t="s">
        <v>5152</v>
      </c>
      <c r="G61" t="s">
        <v>39</v>
      </c>
      <c r="H61" t="s">
        <v>4035</v>
      </c>
      <c r="I61" t="s">
        <v>5287</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5138</v>
      </c>
      <c r="G1" t="s">
        <v>4252</v>
      </c>
      <c r="H1" t="s">
        <v>5139</v>
      </c>
      <c r="I1" t="s">
        <v>4002</v>
      </c>
      <c r="J1" t="s">
        <v>5289</v>
      </c>
      <c r="K1" t="s">
        <v>6</v>
      </c>
      <c r="L1" t="s">
        <v>5290</v>
      </c>
      <c r="M1" t="s">
        <v>5291</v>
      </c>
    </row>
    <row r="2" spans="1:13" ht="15" customHeight="1" x14ac:dyDescent="0.25">
      <c r="A2" t="s">
        <v>5141</v>
      </c>
      <c r="B2" t="s">
        <v>5142</v>
      </c>
      <c r="C2" t="s">
        <v>5292</v>
      </c>
      <c r="D2" t="s">
        <v>3976</v>
      </c>
      <c r="E2" t="s">
        <v>187</v>
      </c>
      <c r="F2" t="s">
        <v>3452</v>
      </c>
      <c r="G2" t="s">
        <v>4290</v>
      </c>
      <c r="H2" t="s">
        <v>39</v>
      </c>
      <c r="I2" t="s">
        <v>4024</v>
      </c>
      <c r="J2" t="s">
        <v>5141</v>
      </c>
      <c r="K2" t="s">
        <v>3508</v>
      </c>
      <c r="L2" t="s">
        <v>187</v>
      </c>
      <c r="M2" t="s">
        <v>3452</v>
      </c>
    </row>
    <row r="3" spans="1:13" ht="15" customHeight="1" x14ac:dyDescent="0.25">
      <c r="A3" t="s">
        <v>5144</v>
      </c>
      <c r="B3" t="s">
        <v>5293</v>
      </c>
      <c r="C3" t="s">
        <v>5294</v>
      </c>
      <c r="D3" t="s">
        <v>3985</v>
      </c>
      <c r="E3" t="s">
        <v>187</v>
      </c>
      <c r="F3" t="s">
        <v>3452</v>
      </c>
      <c r="G3" t="s">
        <v>5295</v>
      </c>
      <c r="H3" t="s">
        <v>39</v>
      </c>
      <c r="I3" t="s">
        <v>4007</v>
      </c>
      <c r="J3" t="s">
        <v>5144</v>
      </c>
      <c r="K3" t="s">
        <v>3508</v>
      </c>
      <c r="L3" t="s">
        <v>3990</v>
      </c>
      <c r="M3" t="s">
        <v>5296</v>
      </c>
    </row>
    <row r="4" spans="1:13" ht="15" customHeight="1" x14ac:dyDescent="0.25">
      <c r="A4" t="s">
        <v>5147</v>
      </c>
      <c r="B4" t="s">
        <v>5297</v>
      </c>
      <c r="C4" t="s">
        <v>5298</v>
      </c>
      <c r="D4" t="s">
        <v>3976</v>
      </c>
      <c r="E4" t="s">
        <v>187</v>
      </c>
      <c r="F4" t="s">
        <v>3452</v>
      </c>
      <c r="G4" t="s">
        <v>4290</v>
      </c>
      <c r="H4" t="s">
        <v>39</v>
      </c>
      <c r="I4" t="s">
        <v>4024</v>
      </c>
      <c r="J4" t="s">
        <v>5149</v>
      </c>
      <c r="K4" t="s">
        <v>3496</v>
      </c>
      <c r="L4" t="s">
        <v>187</v>
      </c>
      <c r="M4" t="s">
        <v>3452</v>
      </c>
    </row>
    <row r="5" spans="1:13" ht="15" customHeight="1" x14ac:dyDescent="0.25">
      <c r="A5" s="4" t="s">
        <v>5150</v>
      </c>
      <c r="B5" s="4" t="s">
        <v>5299</v>
      </c>
      <c r="C5" s="4" t="s">
        <v>5300</v>
      </c>
      <c r="D5" s="4" t="s">
        <v>3985</v>
      </c>
      <c r="E5" s="4" t="s">
        <v>187</v>
      </c>
      <c r="F5" s="4" t="s">
        <v>3452</v>
      </c>
      <c r="G5" s="4" t="s">
        <v>5152</v>
      </c>
      <c r="H5" s="4" t="s">
        <v>39</v>
      </c>
      <c r="I5" s="4" t="s">
        <v>4007</v>
      </c>
      <c r="J5" s="4" t="s">
        <v>5150</v>
      </c>
      <c r="K5" s="4" t="s">
        <v>41</v>
      </c>
      <c r="L5" t="s">
        <v>187</v>
      </c>
      <c r="M5" t="s">
        <v>3452</v>
      </c>
    </row>
    <row r="6" spans="1:13" ht="15" customHeight="1" x14ac:dyDescent="0.25">
      <c r="A6" t="s">
        <v>5157</v>
      </c>
      <c r="B6" t="s">
        <v>5301</v>
      </c>
      <c r="C6" t="s">
        <v>5302</v>
      </c>
      <c r="D6" t="s">
        <v>3985</v>
      </c>
      <c r="E6" t="s">
        <v>187</v>
      </c>
      <c r="F6" t="s">
        <v>3452</v>
      </c>
      <c r="G6" t="s">
        <v>4290</v>
      </c>
      <c r="H6" t="s">
        <v>39</v>
      </c>
      <c r="I6" t="s">
        <v>4007</v>
      </c>
      <c r="J6" t="s">
        <v>5157</v>
      </c>
      <c r="K6" t="s">
        <v>41</v>
      </c>
      <c r="L6" t="s">
        <v>187</v>
      </c>
      <c r="M6" t="s">
        <v>3452</v>
      </c>
    </row>
    <row r="7" spans="1:13" ht="15" customHeight="1" x14ac:dyDescent="0.25">
      <c r="A7" s="5" t="s">
        <v>5159</v>
      </c>
      <c r="B7" s="6" t="s">
        <v>5160</v>
      </c>
      <c r="C7" s="6" t="s">
        <v>5303</v>
      </c>
      <c r="D7" s="6" t="s">
        <v>3976</v>
      </c>
      <c r="E7" s="6" t="s">
        <v>187</v>
      </c>
      <c r="F7" s="6" t="s">
        <v>3452</v>
      </c>
      <c r="G7" s="7" t="s">
        <v>5181</v>
      </c>
      <c r="H7" s="6" t="s">
        <v>39</v>
      </c>
      <c r="I7" s="6" t="s">
        <v>4024</v>
      </c>
      <c r="J7" s="6" t="s">
        <v>5159</v>
      </c>
      <c r="K7" s="6" t="s">
        <v>3496</v>
      </c>
      <c r="L7" t="s">
        <v>187</v>
      </c>
      <c r="M7" t="s">
        <v>3452</v>
      </c>
    </row>
    <row r="8" spans="1:13" ht="15" customHeight="1" x14ac:dyDescent="0.25">
      <c r="A8" t="s">
        <v>3995</v>
      </c>
      <c r="B8" t="s">
        <v>5162</v>
      </c>
      <c r="C8" t="s">
        <v>5304</v>
      </c>
      <c r="D8" t="s">
        <v>3985</v>
      </c>
      <c r="E8" t="s">
        <v>187</v>
      </c>
      <c r="F8" t="s">
        <v>3452</v>
      </c>
      <c r="G8" t="s">
        <v>5152</v>
      </c>
      <c r="H8" t="s">
        <v>39</v>
      </c>
      <c r="I8" t="s">
        <v>4007</v>
      </c>
      <c r="J8" t="s">
        <v>3995</v>
      </c>
      <c r="K8" t="s">
        <v>41</v>
      </c>
      <c r="L8" t="s">
        <v>187</v>
      </c>
      <c r="M8" t="s">
        <v>3452</v>
      </c>
    </row>
    <row r="9" spans="1:13" ht="15" customHeight="1" x14ac:dyDescent="0.25">
      <c r="A9" t="s">
        <v>5170</v>
      </c>
      <c r="B9" s="8" t="s">
        <v>5305</v>
      </c>
      <c r="C9" s="8" t="s">
        <v>5306</v>
      </c>
      <c r="D9" t="s">
        <v>3985</v>
      </c>
      <c r="E9" t="s">
        <v>187</v>
      </c>
      <c r="F9" t="s">
        <v>3452</v>
      </c>
      <c r="G9" t="s">
        <v>5152</v>
      </c>
      <c r="H9" t="s">
        <v>5166</v>
      </c>
      <c r="I9" t="s">
        <v>4007</v>
      </c>
      <c r="J9" t="s">
        <v>5170</v>
      </c>
      <c r="K9" t="s">
        <v>3452</v>
      </c>
      <c r="L9" t="s">
        <v>187</v>
      </c>
      <c r="M9" t="s">
        <v>3452</v>
      </c>
    </row>
    <row r="10" spans="1:13" ht="15" customHeight="1" x14ac:dyDescent="0.25">
      <c r="A10" t="s">
        <v>5307</v>
      </c>
      <c r="B10" t="s">
        <v>5308</v>
      </c>
      <c r="C10" t="s">
        <v>5309</v>
      </c>
      <c r="D10" t="s">
        <v>3976</v>
      </c>
      <c r="E10" t="s">
        <v>187</v>
      </c>
      <c r="F10" t="s">
        <v>3452</v>
      </c>
      <c r="G10" t="s">
        <v>4290</v>
      </c>
      <c r="H10" t="s">
        <v>39</v>
      </c>
      <c r="I10" t="s">
        <v>4024</v>
      </c>
      <c r="J10" t="s">
        <v>5310</v>
      </c>
      <c r="K10" t="s">
        <v>41</v>
      </c>
      <c r="L10" t="s">
        <v>187</v>
      </c>
      <c r="M10" t="s">
        <v>3452</v>
      </c>
    </row>
    <row r="11" spans="1:13" ht="15" customHeight="1" x14ac:dyDescent="0.25">
      <c r="A11" t="s">
        <v>5175</v>
      </c>
      <c r="B11" s="8" t="s">
        <v>5311</v>
      </c>
      <c r="C11" s="8" t="s">
        <v>5312</v>
      </c>
      <c r="D11" t="s">
        <v>3732</v>
      </c>
      <c r="E11" t="s">
        <v>3990</v>
      </c>
      <c r="F11" t="s">
        <v>3452</v>
      </c>
      <c r="G11" t="s">
        <v>4290</v>
      </c>
      <c r="H11" t="s">
        <v>39</v>
      </c>
      <c r="I11" t="s">
        <v>4024</v>
      </c>
      <c r="J11" t="s">
        <v>5177</v>
      </c>
      <c r="K11" t="s">
        <v>3452</v>
      </c>
      <c r="L11" t="s">
        <v>187</v>
      </c>
      <c r="M11" t="s">
        <v>3452</v>
      </c>
    </row>
    <row r="12" spans="1:13" ht="15" customHeight="1" x14ac:dyDescent="0.25">
      <c r="A12" t="s">
        <v>3506</v>
      </c>
      <c r="B12" t="s">
        <v>5178</v>
      </c>
      <c r="C12" t="s">
        <v>5313</v>
      </c>
      <c r="D12" t="s">
        <v>3976</v>
      </c>
      <c r="E12" t="s">
        <v>187</v>
      </c>
      <c r="F12" t="s">
        <v>3452</v>
      </c>
      <c r="G12" t="s">
        <v>4290</v>
      </c>
      <c r="H12" t="s">
        <v>39</v>
      </c>
      <c r="I12" t="s">
        <v>4024</v>
      </c>
      <c r="J12" t="s">
        <v>3506</v>
      </c>
      <c r="K12" t="s">
        <v>3508</v>
      </c>
      <c r="L12" t="s">
        <v>187</v>
      </c>
      <c r="M12" t="s">
        <v>3452</v>
      </c>
    </row>
    <row r="13" spans="1:13" ht="15" customHeight="1" x14ac:dyDescent="0.25">
      <c r="A13" t="s">
        <v>5179</v>
      </c>
      <c r="B13" t="s">
        <v>5180</v>
      </c>
      <c r="C13" t="s">
        <v>5303</v>
      </c>
      <c r="D13" t="s">
        <v>3976</v>
      </c>
      <c r="E13" t="s">
        <v>187</v>
      </c>
      <c r="F13" t="s">
        <v>3452</v>
      </c>
      <c r="G13" t="s">
        <v>5161</v>
      </c>
      <c r="H13" t="s">
        <v>39</v>
      </c>
      <c r="I13" t="s">
        <v>4024</v>
      </c>
      <c r="J13" t="s">
        <v>5179</v>
      </c>
      <c r="K13" t="s">
        <v>3496</v>
      </c>
      <c r="L13" t="s">
        <v>187</v>
      </c>
      <c r="M13" t="s">
        <v>3452</v>
      </c>
    </row>
    <row r="14" spans="1:13" ht="15" customHeight="1" x14ac:dyDescent="0.25">
      <c r="A14" t="s">
        <v>5195</v>
      </c>
      <c r="B14" s="8" t="s">
        <v>5194</v>
      </c>
      <c r="C14" s="8" t="s">
        <v>5314</v>
      </c>
      <c r="D14" t="s">
        <v>3985</v>
      </c>
      <c r="E14" t="s">
        <v>187</v>
      </c>
      <c r="F14" t="s">
        <v>3452</v>
      </c>
      <c r="G14" t="s">
        <v>5152</v>
      </c>
      <c r="H14" t="s">
        <v>39</v>
      </c>
      <c r="I14" t="s">
        <v>4007</v>
      </c>
      <c r="J14" t="s">
        <v>5195</v>
      </c>
      <c r="K14" t="s">
        <v>3452</v>
      </c>
      <c r="L14" t="s">
        <v>187</v>
      </c>
      <c r="M14" t="s">
        <v>3452</v>
      </c>
    </row>
    <row r="15" spans="1:13" ht="15" customHeight="1" x14ac:dyDescent="0.25">
      <c r="A15" t="s">
        <v>5196</v>
      </c>
      <c r="B15" t="s">
        <v>5197</v>
      </c>
      <c r="C15" t="s">
        <v>3452</v>
      </c>
      <c r="D15" t="s">
        <v>3985</v>
      </c>
      <c r="E15" t="s">
        <v>187</v>
      </c>
      <c r="F15" t="s">
        <v>3452</v>
      </c>
      <c r="G15" t="s">
        <v>5198</v>
      </c>
      <c r="H15" t="s">
        <v>5166</v>
      </c>
      <c r="I15" t="s">
        <v>4007</v>
      </c>
      <c r="J15" t="s">
        <v>5196</v>
      </c>
      <c r="K15" t="s">
        <v>3508</v>
      </c>
      <c r="L15" t="s">
        <v>3990</v>
      </c>
      <c r="M15" t="s">
        <v>5315</v>
      </c>
    </row>
    <row r="16" spans="1:13" ht="15" customHeight="1" x14ac:dyDescent="0.25">
      <c r="A16" t="s">
        <v>5213</v>
      </c>
      <c r="B16" t="s">
        <v>5214</v>
      </c>
      <c r="C16" t="s">
        <v>5316</v>
      </c>
      <c r="D16" t="s">
        <v>3985</v>
      </c>
      <c r="E16" t="s">
        <v>187</v>
      </c>
      <c r="F16" t="s">
        <v>3452</v>
      </c>
      <c r="G16" t="s">
        <v>5152</v>
      </c>
      <c r="H16" t="s">
        <v>39</v>
      </c>
      <c r="I16" t="s">
        <v>4007</v>
      </c>
      <c r="J16" t="s">
        <v>5213</v>
      </c>
      <c r="K16" t="s">
        <v>41</v>
      </c>
      <c r="L16" t="s">
        <v>187</v>
      </c>
      <c r="M16" t="s">
        <v>3452</v>
      </c>
    </row>
    <row r="17" spans="1:13" ht="15" customHeight="1" x14ac:dyDescent="0.25">
      <c r="A17" t="s">
        <v>5238</v>
      </c>
      <c r="B17" t="s">
        <v>5239</v>
      </c>
      <c r="C17" t="s">
        <v>5317</v>
      </c>
      <c r="D17" t="s">
        <v>3976</v>
      </c>
      <c r="E17" t="s">
        <v>187</v>
      </c>
      <c r="F17" t="s">
        <v>3452</v>
      </c>
      <c r="G17" t="s">
        <v>4290</v>
      </c>
      <c r="H17" t="s">
        <v>39</v>
      </c>
      <c r="I17" t="s">
        <v>4024</v>
      </c>
      <c r="J17" t="s">
        <v>5238</v>
      </c>
      <c r="K17" t="s">
        <v>3496</v>
      </c>
      <c r="L17" t="s">
        <v>187</v>
      </c>
      <c r="M17" t="s">
        <v>3452</v>
      </c>
    </row>
    <row r="18" spans="1:13" ht="15" customHeight="1" x14ac:dyDescent="0.25">
      <c r="A18" t="s">
        <v>5243</v>
      </c>
      <c r="B18" t="s">
        <v>5244</v>
      </c>
      <c r="C18" t="s">
        <v>5318</v>
      </c>
      <c r="D18" t="s">
        <v>3976</v>
      </c>
      <c r="E18" t="s">
        <v>187</v>
      </c>
      <c r="F18" t="s">
        <v>3452</v>
      </c>
      <c r="G18" s="2" t="s">
        <v>5245</v>
      </c>
      <c r="H18" t="s">
        <v>39</v>
      </c>
      <c r="I18" t="s">
        <v>4024</v>
      </c>
      <c r="J18" t="s">
        <v>5246</v>
      </c>
      <c r="K18" t="s">
        <v>3508</v>
      </c>
      <c r="L18" t="s">
        <v>3452</v>
      </c>
      <c r="M18" t="s">
        <v>3452</v>
      </c>
    </row>
    <row r="19" spans="1:13" ht="15" customHeight="1" x14ac:dyDescent="0.25">
      <c r="A19" t="s">
        <v>5247</v>
      </c>
      <c r="B19" t="s">
        <v>5248</v>
      </c>
      <c r="C19" t="s">
        <v>5319</v>
      </c>
      <c r="D19" t="s">
        <v>3985</v>
      </c>
      <c r="E19" t="s">
        <v>187</v>
      </c>
      <c r="F19" t="s">
        <v>3452</v>
      </c>
      <c r="G19" t="s">
        <v>5249</v>
      </c>
      <c r="H19" t="s">
        <v>39</v>
      </c>
      <c r="I19" t="s">
        <v>4007</v>
      </c>
      <c r="J19" t="s">
        <v>5247</v>
      </c>
      <c r="K19" t="s">
        <v>41</v>
      </c>
      <c r="L19" t="s">
        <v>187</v>
      </c>
      <c r="M19" t="s">
        <v>3452</v>
      </c>
    </row>
    <row r="20" spans="1:13" ht="15" customHeight="1" x14ac:dyDescent="0.25">
      <c r="A20" t="s">
        <v>4590</v>
      </c>
      <c r="B20" t="s">
        <v>5250</v>
      </c>
      <c r="C20" t="s">
        <v>5320</v>
      </c>
      <c r="D20" t="s">
        <v>3976</v>
      </c>
      <c r="E20" t="s">
        <v>187</v>
      </c>
      <c r="F20" t="s">
        <v>3452</v>
      </c>
      <c r="G20" t="s">
        <v>4290</v>
      </c>
      <c r="H20" t="s">
        <v>39</v>
      </c>
      <c r="I20" t="s">
        <v>4024</v>
      </c>
      <c r="J20" t="s">
        <v>4590</v>
      </c>
      <c r="K20" t="s">
        <v>3508</v>
      </c>
      <c r="L20" t="s">
        <v>187</v>
      </c>
      <c r="M20" t="s">
        <v>3452</v>
      </c>
    </row>
    <row r="21" spans="1:13" ht="15" customHeight="1" x14ac:dyDescent="0.25">
      <c r="A21" t="s">
        <v>5251</v>
      </c>
      <c r="B21" t="s">
        <v>5252</v>
      </c>
      <c r="C21" t="s">
        <v>5321</v>
      </c>
      <c r="D21" t="s">
        <v>3976</v>
      </c>
      <c r="E21" t="s">
        <v>187</v>
      </c>
      <c r="F21" t="s">
        <v>3452</v>
      </c>
      <c r="G21" t="s">
        <v>5152</v>
      </c>
      <c r="H21" t="s">
        <v>39</v>
      </c>
      <c r="I21" t="s">
        <v>4024</v>
      </c>
      <c r="J21" t="s">
        <v>5251</v>
      </c>
      <c r="K21" t="s">
        <v>3508</v>
      </c>
      <c r="L21" t="s">
        <v>187</v>
      </c>
      <c r="M21" t="s">
        <v>3452</v>
      </c>
    </row>
    <row r="22" spans="1:13" ht="15" customHeight="1" x14ac:dyDescent="0.25">
      <c r="A22" t="s">
        <v>5255</v>
      </c>
      <c r="B22" s="8" t="s">
        <v>5256</v>
      </c>
      <c r="C22" s="8" t="s">
        <v>5322</v>
      </c>
      <c r="D22" t="s">
        <v>3976</v>
      </c>
      <c r="E22" t="s">
        <v>187</v>
      </c>
      <c r="F22" t="s">
        <v>3452</v>
      </c>
      <c r="G22" t="s">
        <v>4290</v>
      </c>
      <c r="H22" t="s">
        <v>39</v>
      </c>
      <c r="I22" t="s">
        <v>4024</v>
      </c>
      <c r="J22" t="s">
        <v>5255</v>
      </c>
      <c r="K22" t="s">
        <v>3496</v>
      </c>
      <c r="L22" t="s">
        <v>187</v>
      </c>
      <c r="M22" t="s">
        <v>3452</v>
      </c>
    </row>
    <row r="23" spans="1:13" ht="15" customHeight="1" x14ac:dyDescent="0.25">
      <c r="A23" t="s">
        <v>5262</v>
      </c>
      <c r="B23" s="8" t="s">
        <v>5323</v>
      </c>
      <c r="C23" s="8" t="s">
        <v>5324</v>
      </c>
      <c r="D23" t="s">
        <v>3976</v>
      </c>
      <c r="E23" t="s">
        <v>187</v>
      </c>
      <c r="F23" t="s">
        <v>3452</v>
      </c>
      <c r="G23" t="s">
        <v>5225</v>
      </c>
      <c r="H23" t="s">
        <v>39</v>
      </c>
      <c r="I23" t="s">
        <v>4024</v>
      </c>
      <c r="J23" t="s">
        <v>5262</v>
      </c>
      <c r="K23" t="s">
        <v>3452</v>
      </c>
      <c r="L23" t="s">
        <v>187</v>
      </c>
      <c r="M23" t="s">
        <v>3452</v>
      </c>
    </row>
    <row r="24" spans="1:13" ht="15" customHeight="1" x14ac:dyDescent="0.25">
      <c r="A24" t="s">
        <v>5264</v>
      </c>
      <c r="B24" s="8" t="s">
        <v>5325</v>
      </c>
      <c r="C24" s="8" t="s">
        <v>5326</v>
      </c>
      <c r="D24" t="s">
        <v>3985</v>
      </c>
      <c r="E24" t="s">
        <v>3990</v>
      </c>
      <c r="F24" t="s">
        <v>3452</v>
      </c>
      <c r="G24" t="s">
        <v>4290</v>
      </c>
      <c r="H24" t="s">
        <v>39</v>
      </c>
      <c r="I24" t="s">
        <v>4007</v>
      </c>
      <c r="J24" t="s">
        <v>5264</v>
      </c>
      <c r="K24" t="s">
        <v>3452</v>
      </c>
      <c r="L24" t="s">
        <v>187</v>
      </c>
      <c r="M24" t="s">
        <v>3452</v>
      </c>
    </row>
    <row r="25" spans="1:13" ht="15" customHeight="1" x14ac:dyDescent="0.25">
      <c r="A25" t="s">
        <v>5266</v>
      </c>
      <c r="B25" t="s">
        <v>5267</v>
      </c>
      <c r="C25" t="s">
        <v>5327</v>
      </c>
      <c r="D25" t="s">
        <v>3985</v>
      </c>
      <c r="E25" t="s">
        <v>3990</v>
      </c>
      <c r="F25" t="s">
        <v>3452</v>
      </c>
      <c r="G25" t="s">
        <v>4290</v>
      </c>
      <c r="H25" t="s">
        <v>39</v>
      </c>
      <c r="I25" t="s">
        <v>4007</v>
      </c>
      <c r="J25" t="s">
        <v>5268</v>
      </c>
      <c r="K25" t="s">
        <v>3496</v>
      </c>
      <c r="L25" t="s">
        <v>187</v>
      </c>
      <c r="M25" t="s">
        <v>3452</v>
      </c>
    </row>
    <row r="26" spans="1:13" ht="15" customHeight="1" x14ac:dyDescent="0.25">
      <c r="A26" t="s">
        <v>5269</v>
      </c>
      <c r="B26" s="8" t="s">
        <v>5328</v>
      </c>
      <c r="C26" s="8" t="s">
        <v>5329</v>
      </c>
      <c r="D26" t="s">
        <v>3732</v>
      </c>
      <c r="E26" t="s">
        <v>3990</v>
      </c>
      <c r="F26" t="s">
        <v>3452</v>
      </c>
      <c r="G26" t="s">
        <v>4290</v>
      </c>
      <c r="H26" t="s">
        <v>5169</v>
      </c>
      <c r="I26" t="s">
        <v>4024</v>
      </c>
      <c r="J26" t="s">
        <v>5269</v>
      </c>
      <c r="K26" t="s">
        <v>3452</v>
      </c>
      <c r="L26" t="s">
        <v>187</v>
      </c>
      <c r="M26" t="s">
        <v>3452</v>
      </c>
    </row>
    <row r="27" spans="1:13" ht="15" customHeight="1" x14ac:dyDescent="0.25">
      <c r="A27" t="s">
        <v>5275</v>
      </c>
      <c r="B27" t="s">
        <v>5330</v>
      </c>
      <c r="C27" t="s">
        <v>5331</v>
      </c>
      <c r="D27" t="s">
        <v>3976</v>
      </c>
      <c r="E27" t="s">
        <v>187</v>
      </c>
      <c r="F27" t="s">
        <v>3452</v>
      </c>
      <c r="G27" t="s">
        <v>4290</v>
      </c>
      <c r="H27" t="s">
        <v>39</v>
      </c>
      <c r="I27" t="s">
        <v>4024</v>
      </c>
      <c r="J27" t="s">
        <v>5275</v>
      </c>
      <c r="K27" t="s">
        <v>3508</v>
      </c>
      <c r="L27" t="s">
        <v>187</v>
      </c>
      <c r="M27" t="s">
        <v>3452</v>
      </c>
    </row>
    <row r="28" spans="1:13" ht="15" customHeight="1" x14ac:dyDescent="0.25">
      <c r="A28" t="s">
        <v>5280</v>
      </c>
      <c r="B28" t="s">
        <v>5281</v>
      </c>
      <c r="C28" t="s">
        <v>5332</v>
      </c>
      <c r="D28" t="s">
        <v>3985</v>
      </c>
      <c r="E28" t="s">
        <v>187</v>
      </c>
      <c r="F28" t="s">
        <v>3452</v>
      </c>
      <c r="G28" t="s">
        <v>5152</v>
      </c>
      <c r="H28" t="s">
        <v>39</v>
      </c>
      <c r="I28" t="s">
        <v>4007</v>
      </c>
      <c r="J28" t="s">
        <v>5280</v>
      </c>
      <c r="K28" t="s">
        <v>41</v>
      </c>
      <c r="L28" t="s">
        <v>187</v>
      </c>
      <c r="M28" t="s">
        <v>3452</v>
      </c>
    </row>
    <row r="29" spans="1:13" ht="15" customHeight="1" x14ac:dyDescent="0.25">
      <c r="A29" t="s">
        <v>5282</v>
      </c>
      <c r="B29" t="s">
        <v>5283</v>
      </c>
      <c r="C29" t="s">
        <v>5333</v>
      </c>
      <c r="D29" t="s">
        <v>3985</v>
      </c>
      <c r="E29" t="s">
        <v>187</v>
      </c>
      <c r="F29" t="s">
        <v>3452</v>
      </c>
      <c r="G29" t="s">
        <v>5152</v>
      </c>
      <c r="H29" t="s">
        <v>39</v>
      </c>
      <c r="I29" t="s">
        <v>4007</v>
      </c>
      <c r="J29" t="s">
        <v>5282</v>
      </c>
      <c r="K29" t="s">
        <v>41</v>
      </c>
      <c r="L29" t="s">
        <v>187</v>
      </c>
      <c r="M29" t="s">
        <v>3452</v>
      </c>
    </row>
    <row r="30" spans="1:13" ht="15" customHeight="1" x14ac:dyDescent="0.25">
      <c r="A30" t="s">
        <v>5273</v>
      </c>
      <c r="B30" t="s">
        <v>5274</v>
      </c>
      <c r="C30" t="s">
        <v>5334</v>
      </c>
      <c r="D30" t="s">
        <v>3985</v>
      </c>
      <c r="E30" t="s">
        <v>3990</v>
      </c>
      <c r="F30">
        <v>1</v>
      </c>
      <c r="G30" t="s">
        <v>5152</v>
      </c>
      <c r="H30" t="s">
        <v>39</v>
      </c>
      <c r="I30" t="s">
        <v>4007</v>
      </c>
      <c r="J30" t="s">
        <v>5273</v>
      </c>
      <c r="K30" t="s">
        <v>3452</v>
      </c>
      <c r="L30" t="s">
        <v>187</v>
      </c>
      <c r="M30" t="s">
        <v>5335</v>
      </c>
    </row>
    <row r="31" spans="1:13" ht="60" customHeight="1" x14ac:dyDescent="0.25">
      <c r="A31" t="s">
        <v>5230</v>
      </c>
      <c r="B31" s="8" t="s">
        <v>5336</v>
      </c>
      <c r="C31" s="8" t="s">
        <v>5337</v>
      </c>
      <c r="D31" t="s">
        <v>3976</v>
      </c>
      <c r="E31" t="s">
        <v>187</v>
      </c>
      <c r="F31" t="s">
        <v>3452</v>
      </c>
      <c r="G31" t="s">
        <v>5225</v>
      </c>
      <c r="H31" t="s">
        <v>5166</v>
      </c>
      <c r="I31" t="s">
        <v>4024</v>
      </c>
      <c r="J31" t="s">
        <v>5232</v>
      </c>
      <c r="K31" t="s">
        <v>3508</v>
      </c>
      <c r="L31" t="s">
        <v>3990</v>
      </c>
      <c r="M31" s="8" t="s">
        <v>5338</v>
      </c>
    </row>
    <row r="32" spans="1:13" ht="45" customHeight="1" x14ac:dyDescent="0.25">
      <c r="A32" t="s">
        <v>5227</v>
      </c>
      <c r="B32" s="8" t="s">
        <v>5339</v>
      </c>
      <c r="C32" s="8" t="s">
        <v>5340</v>
      </c>
      <c r="D32" t="s">
        <v>3976</v>
      </c>
      <c r="E32" t="s">
        <v>187</v>
      </c>
      <c r="F32" t="s">
        <v>3452</v>
      </c>
      <c r="G32" t="s">
        <v>5225</v>
      </c>
      <c r="H32" t="s">
        <v>5166</v>
      </c>
      <c r="I32" t="s">
        <v>4024</v>
      </c>
      <c r="J32" t="s">
        <v>5229</v>
      </c>
      <c r="K32" t="s">
        <v>3508</v>
      </c>
      <c r="L32" t="s">
        <v>3990</v>
      </c>
      <c r="M32" s="8" t="s">
        <v>5341</v>
      </c>
    </row>
    <row r="33" spans="1:13" ht="60" customHeight="1" x14ac:dyDescent="0.25">
      <c r="A33" t="s">
        <v>5233</v>
      </c>
      <c r="B33" s="8" t="s">
        <v>5342</v>
      </c>
      <c r="C33" s="8" t="s">
        <v>5343</v>
      </c>
      <c r="D33" t="s">
        <v>3985</v>
      </c>
      <c r="E33" t="s">
        <v>187</v>
      </c>
      <c r="F33" t="s">
        <v>3452</v>
      </c>
      <c r="G33" t="s">
        <v>5152</v>
      </c>
      <c r="H33" t="s">
        <v>5166</v>
      </c>
      <c r="I33" t="s">
        <v>4007</v>
      </c>
      <c r="J33" t="s">
        <v>5235</v>
      </c>
      <c r="K33" t="s">
        <v>3452</v>
      </c>
      <c r="L33" t="s">
        <v>3990</v>
      </c>
      <c r="M33" s="8" t="s">
        <v>5344</v>
      </c>
    </row>
    <row r="34" spans="1:13" ht="45" customHeight="1" x14ac:dyDescent="0.25">
      <c r="A34" t="s">
        <v>5215</v>
      </c>
      <c r="B34" s="8" t="s">
        <v>5216</v>
      </c>
      <c r="C34" s="8" t="s">
        <v>5345</v>
      </c>
      <c r="D34" t="s">
        <v>3976</v>
      </c>
      <c r="E34" t="s">
        <v>187</v>
      </c>
      <c r="F34" t="s">
        <v>3452</v>
      </c>
      <c r="G34" t="s">
        <v>5152</v>
      </c>
      <c r="H34" t="s">
        <v>39</v>
      </c>
      <c r="I34" t="s">
        <v>4024</v>
      </c>
      <c r="J34" t="s">
        <v>5215</v>
      </c>
      <c r="K34" t="s">
        <v>3496</v>
      </c>
      <c r="L34" t="s">
        <v>187</v>
      </c>
      <c r="M34" s="8" t="s">
        <v>5346</v>
      </c>
    </row>
    <row r="35" spans="1:13" ht="45" customHeight="1" x14ac:dyDescent="0.25">
      <c r="A35" t="s">
        <v>5167</v>
      </c>
      <c r="B35" s="8" t="s">
        <v>5347</v>
      </c>
      <c r="C35" s="8" t="s">
        <v>5348</v>
      </c>
      <c r="D35" t="s">
        <v>3985</v>
      </c>
      <c r="E35" t="s">
        <v>187</v>
      </c>
      <c r="F35" t="s">
        <v>3452</v>
      </c>
      <c r="G35" t="s">
        <v>5349</v>
      </c>
      <c r="H35" t="s">
        <v>5169</v>
      </c>
      <c r="I35" t="s">
        <v>4007</v>
      </c>
      <c r="J35" t="s">
        <v>5167</v>
      </c>
      <c r="K35" t="s">
        <v>3452</v>
      </c>
      <c r="L35" t="s">
        <v>187</v>
      </c>
      <c r="M35" s="8" t="s">
        <v>5350</v>
      </c>
    </row>
    <row r="36" spans="1:13" x14ac:dyDescent="0.25">
      <c r="A36" t="s">
        <v>5205</v>
      </c>
      <c r="B36" s="8" t="s">
        <v>5351</v>
      </c>
      <c r="C36" s="8" t="s">
        <v>5352</v>
      </c>
      <c r="D36" t="s">
        <v>5353</v>
      </c>
      <c r="E36" t="s">
        <v>187</v>
      </c>
      <c r="F36" t="s">
        <v>3452</v>
      </c>
      <c r="G36" t="s">
        <v>5354</v>
      </c>
      <c r="H36" t="s">
        <v>5166</v>
      </c>
      <c r="I36" t="s">
        <v>4024</v>
      </c>
      <c r="J36" t="s">
        <v>5207</v>
      </c>
      <c r="K36" t="s">
        <v>3508</v>
      </c>
      <c r="L36" t="s">
        <v>3990</v>
      </c>
      <c r="M36" t="s">
        <v>3452</v>
      </c>
    </row>
    <row r="37" spans="1:13" x14ac:dyDescent="0.25">
      <c r="A37" t="s">
        <v>5355</v>
      </c>
      <c r="B37" s="8" t="s">
        <v>5356</v>
      </c>
      <c r="C37" s="8" t="s">
        <v>5352</v>
      </c>
      <c r="D37" t="s">
        <v>5353</v>
      </c>
      <c r="E37" t="s">
        <v>187</v>
      </c>
      <c r="F37" t="s">
        <v>3452</v>
      </c>
      <c r="G37" t="s">
        <v>5354</v>
      </c>
      <c r="H37" t="s">
        <v>5166</v>
      </c>
      <c r="I37" t="s">
        <v>4024</v>
      </c>
      <c r="J37" t="s">
        <v>5355</v>
      </c>
      <c r="K37" t="s">
        <v>3508</v>
      </c>
      <c r="L37" t="s">
        <v>3990</v>
      </c>
      <c r="M37" t="s">
        <v>3452</v>
      </c>
    </row>
    <row r="38" spans="1:13" x14ac:dyDescent="0.25">
      <c r="A38" t="s">
        <v>5357</v>
      </c>
      <c r="B38" s="8" t="s">
        <v>5358</v>
      </c>
      <c r="C38" s="8" t="s">
        <v>5352</v>
      </c>
      <c r="D38" t="s">
        <v>5353</v>
      </c>
      <c r="E38" t="s">
        <v>187</v>
      </c>
      <c r="F38" t="s">
        <v>3452</v>
      </c>
      <c r="G38" t="s">
        <v>5354</v>
      </c>
      <c r="H38" t="s">
        <v>5166</v>
      </c>
      <c r="I38" t="s">
        <v>4024</v>
      </c>
      <c r="J38" t="s">
        <v>5359</v>
      </c>
      <c r="K38" t="s">
        <v>3496</v>
      </c>
      <c r="L38" t="s">
        <v>3990</v>
      </c>
      <c r="M38" t="s">
        <v>3452</v>
      </c>
    </row>
    <row r="39" spans="1:13" x14ac:dyDescent="0.25">
      <c r="A39" t="s">
        <v>5153</v>
      </c>
      <c r="B39" s="8" t="s">
        <v>5360</v>
      </c>
      <c r="C39" s="8" t="s">
        <v>5361</v>
      </c>
      <c r="D39" t="s">
        <v>3976</v>
      </c>
      <c r="E39" t="s">
        <v>187</v>
      </c>
      <c r="F39" t="s">
        <v>3452</v>
      </c>
      <c r="G39" t="s">
        <v>5362</v>
      </c>
      <c r="H39" t="s">
        <v>5166</v>
      </c>
      <c r="I39" t="s">
        <v>4024</v>
      </c>
      <c r="J39" t="s">
        <v>5153</v>
      </c>
      <c r="K39" t="s">
        <v>3508</v>
      </c>
      <c r="L39" t="s">
        <v>3990</v>
      </c>
      <c r="M39" t="s">
        <v>5363</v>
      </c>
    </row>
    <row r="40" spans="1:13" x14ac:dyDescent="0.25">
      <c r="A40" t="s">
        <v>5163</v>
      </c>
      <c r="B40" s="8" t="s">
        <v>5364</v>
      </c>
      <c r="C40" s="8" t="s">
        <v>5352</v>
      </c>
      <c r="D40" t="s">
        <v>5353</v>
      </c>
      <c r="E40" t="s">
        <v>187</v>
      </c>
      <c r="F40" t="s">
        <v>3452</v>
      </c>
      <c r="G40" t="s">
        <v>5354</v>
      </c>
      <c r="H40" t="s">
        <v>5166</v>
      </c>
      <c r="I40" t="s">
        <v>4024</v>
      </c>
      <c r="J40" t="s">
        <v>5163</v>
      </c>
      <c r="K40" t="s">
        <v>3496</v>
      </c>
      <c r="L40" t="s">
        <v>3990</v>
      </c>
      <c r="M40" t="s">
        <v>3452</v>
      </c>
    </row>
    <row r="41" spans="1:13" x14ac:dyDescent="0.25">
      <c r="A41" t="s">
        <v>5222</v>
      </c>
      <c r="B41" s="8" t="s">
        <v>5365</v>
      </c>
      <c r="C41" s="8" t="s">
        <v>5366</v>
      </c>
      <c r="D41" t="s">
        <v>3976</v>
      </c>
      <c r="E41" t="s">
        <v>187</v>
      </c>
      <c r="F41" t="s">
        <v>3452</v>
      </c>
      <c r="G41" t="s">
        <v>5225</v>
      </c>
      <c r="H41" t="s">
        <v>5166</v>
      </c>
      <c r="I41" t="s">
        <v>4024</v>
      </c>
      <c r="J41" t="s">
        <v>5226</v>
      </c>
      <c r="K41" t="s">
        <v>3508</v>
      </c>
      <c r="L41" t="s">
        <v>3990</v>
      </c>
      <c r="M41" t="s">
        <v>5367</v>
      </c>
    </row>
    <row r="42" spans="1:13" x14ac:dyDescent="0.25">
      <c r="A42" t="s">
        <v>5184</v>
      </c>
      <c r="B42" s="8" t="s">
        <v>5368</v>
      </c>
      <c r="C42" s="8" t="s">
        <v>5369</v>
      </c>
      <c r="D42" t="s">
        <v>3976</v>
      </c>
      <c r="E42" t="s">
        <v>187</v>
      </c>
      <c r="F42" t="s">
        <v>3452</v>
      </c>
      <c r="G42" t="s">
        <v>5152</v>
      </c>
      <c r="H42" t="s">
        <v>39</v>
      </c>
      <c r="I42" t="s">
        <v>4024</v>
      </c>
      <c r="J42" t="s">
        <v>5186</v>
      </c>
      <c r="K42" t="s">
        <v>3496</v>
      </c>
      <c r="L42" t="s">
        <v>187</v>
      </c>
      <c r="M42" t="s">
        <v>3452</v>
      </c>
    </row>
    <row r="43" spans="1:13" x14ac:dyDescent="0.25">
      <c r="A43" t="s">
        <v>5172</v>
      </c>
      <c r="B43" s="8" t="s">
        <v>5370</v>
      </c>
      <c r="C43" s="8" t="s">
        <v>5371</v>
      </c>
      <c r="D43" t="s">
        <v>3985</v>
      </c>
      <c r="E43" t="s">
        <v>3990</v>
      </c>
      <c r="F43" t="s">
        <v>3452</v>
      </c>
      <c r="G43" t="s">
        <v>4290</v>
      </c>
      <c r="H43" t="s">
        <v>5169</v>
      </c>
      <c r="I43" t="s">
        <v>4007</v>
      </c>
      <c r="J43" t="s">
        <v>5174</v>
      </c>
      <c r="K43" t="s">
        <v>3496</v>
      </c>
      <c r="L43" t="s">
        <v>3990</v>
      </c>
      <c r="M43" t="s">
        <v>5372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5373</v>
      </c>
      <c r="C1" t="s">
        <v>5374</v>
      </c>
      <c r="D1" t="s">
        <v>5375</v>
      </c>
      <c r="E1" t="s">
        <v>5054</v>
      </c>
    </row>
    <row r="2" spans="1:5" ht="15" customHeight="1" x14ac:dyDescent="0.25">
      <c r="A2" t="s">
        <v>5376</v>
      </c>
      <c r="B2" t="s">
        <v>5377</v>
      </c>
      <c r="E2" t="s">
        <v>5378</v>
      </c>
    </row>
    <row r="3" spans="1:5" ht="15" customHeight="1" x14ac:dyDescent="0.25">
      <c r="A3" t="s">
        <v>5379</v>
      </c>
      <c r="B3" t="s">
        <v>5380</v>
      </c>
      <c r="E3" t="s">
        <v>5381</v>
      </c>
    </row>
    <row r="4" spans="1:5" ht="15" customHeight="1" x14ac:dyDescent="0.25">
      <c r="A4" t="s">
        <v>5382</v>
      </c>
      <c r="B4" t="s">
        <v>3452</v>
      </c>
      <c r="E4" t="s">
        <v>5383</v>
      </c>
    </row>
    <row r="5" spans="1:5" ht="15" customHeight="1" x14ac:dyDescent="0.25">
      <c r="A5" t="s">
        <v>5384</v>
      </c>
      <c r="B5" t="s">
        <v>5385</v>
      </c>
      <c r="E5" t="s">
        <v>5386</v>
      </c>
    </row>
    <row r="6" spans="1:5" ht="15" customHeight="1" x14ac:dyDescent="0.25">
      <c r="A6" t="s">
        <v>4254</v>
      </c>
      <c r="B6" t="s">
        <v>5387</v>
      </c>
      <c r="E6" t="s">
        <v>5388</v>
      </c>
    </row>
    <row r="7" spans="1:5" ht="15" customHeight="1" x14ac:dyDescent="0.25">
      <c r="A7" t="s">
        <v>5247</v>
      </c>
      <c r="B7" t="s">
        <v>5389</v>
      </c>
      <c r="E7" t="s">
        <v>5390</v>
      </c>
    </row>
    <row r="8" spans="1:5" ht="15" customHeight="1" x14ac:dyDescent="0.25">
      <c r="A8" t="s">
        <v>5391</v>
      </c>
      <c r="B8" t="s">
        <v>5392</v>
      </c>
      <c r="C8" t="s">
        <v>5393</v>
      </c>
      <c r="D8" t="s">
        <v>5394</v>
      </c>
      <c r="E8" t="s">
        <v>5395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5396</v>
      </c>
      <c r="D1" t="s">
        <v>5397</v>
      </c>
    </row>
    <row r="2" spans="1:4" ht="15" customHeight="1" x14ac:dyDescent="0.25">
      <c r="A2" t="s">
        <v>5398</v>
      </c>
      <c r="B2" t="s">
        <v>5399</v>
      </c>
      <c r="C2" t="s">
        <v>39</v>
      </c>
      <c r="D2" t="s">
        <v>3452</v>
      </c>
    </row>
    <row r="3" spans="1:4" ht="15" customHeight="1" x14ac:dyDescent="0.25">
      <c r="A3" t="s">
        <v>5400</v>
      </c>
      <c r="B3" t="s">
        <v>5401</v>
      </c>
      <c r="C3" t="s">
        <v>5402</v>
      </c>
      <c r="D3" t="s">
        <v>3452</v>
      </c>
    </row>
    <row r="4" spans="1:4" ht="15" customHeight="1" x14ac:dyDescent="0.25">
      <c r="A4" t="s">
        <v>5403</v>
      </c>
      <c r="B4" t="s">
        <v>5404</v>
      </c>
      <c r="C4" t="s">
        <v>39</v>
      </c>
      <c r="D4" t="s">
        <v>3452</v>
      </c>
    </row>
    <row r="5" spans="1:4" ht="15" customHeight="1" x14ac:dyDescent="0.25">
      <c r="A5" t="s">
        <v>5405</v>
      </c>
      <c r="B5" t="s">
        <v>5406</v>
      </c>
      <c r="C5" t="s">
        <v>5402</v>
      </c>
      <c r="D5" t="s">
        <v>3452</v>
      </c>
    </row>
    <row r="6" spans="1:4" ht="15" customHeight="1" x14ac:dyDescent="0.25">
      <c r="A6" t="s">
        <v>5407</v>
      </c>
      <c r="B6" t="s">
        <v>5408</v>
      </c>
      <c r="C6" t="s">
        <v>5402</v>
      </c>
      <c r="D6" t="s">
        <v>3452</v>
      </c>
    </row>
    <row r="7" spans="1:4" ht="15" customHeight="1" x14ac:dyDescent="0.25">
      <c r="A7" t="s">
        <v>5409</v>
      </c>
      <c r="B7" t="s">
        <v>5410</v>
      </c>
      <c r="C7" t="s">
        <v>39</v>
      </c>
      <c r="D7" t="s">
        <v>3452</v>
      </c>
    </row>
    <row r="8" spans="1:4" ht="15" customHeight="1" x14ac:dyDescent="0.25">
      <c r="A8" t="s">
        <v>5411</v>
      </c>
      <c r="B8" t="s">
        <v>5412</v>
      </c>
      <c r="C8" t="s">
        <v>39</v>
      </c>
      <c r="D8" t="s">
        <v>3452</v>
      </c>
    </row>
    <row r="9" spans="1:4" ht="15" customHeight="1" x14ac:dyDescent="0.25">
      <c r="A9" t="s">
        <v>5413</v>
      </c>
      <c r="B9" t="s">
        <v>5414</v>
      </c>
      <c r="C9" t="s">
        <v>39</v>
      </c>
      <c r="D9" t="s">
        <v>3452</v>
      </c>
    </row>
    <row r="10" spans="1:4" ht="15" customHeight="1" x14ac:dyDescent="0.25">
      <c r="A10" t="s">
        <v>5415</v>
      </c>
      <c r="B10" t="s">
        <v>5416</v>
      </c>
      <c r="C10" t="s">
        <v>5417</v>
      </c>
      <c r="D10" t="s">
        <v>3452</v>
      </c>
    </row>
    <row r="11" spans="1:4" ht="15" customHeight="1" x14ac:dyDescent="0.25">
      <c r="A11" t="s">
        <v>5418</v>
      </c>
      <c r="B11" t="s">
        <v>5419</v>
      </c>
      <c r="C11" t="s">
        <v>4421</v>
      </c>
      <c r="D11" t="s">
        <v>3452</v>
      </c>
    </row>
    <row r="12" spans="1:4" ht="15" customHeight="1" x14ac:dyDescent="0.25">
      <c r="A12" t="s">
        <v>5420</v>
      </c>
      <c r="B12" t="s">
        <v>5421</v>
      </c>
      <c r="C12" t="s">
        <v>4421</v>
      </c>
      <c r="D12" t="s">
        <v>3452</v>
      </c>
    </row>
    <row r="13" spans="1:4" ht="15" customHeight="1" x14ac:dyDescent="0.25">
      <c r="A13" t="s">
        <v>5422</v>
      </c>
      <c r="B13" t="s">
        <v>5423</v>
      </c>
      <c r="C13" t="s">
        <v>5402</v>
      </c>
      <c r="D13" t="s">
        <v>3452</v>
      </c>
    </row>
    <row r="14" spans="1:4" ht="15" customHeight="1" x14ac:dyDescent="0.25">
      <c r="A14" t="s">
        <v>5424</v>
      </c>
      <c r="B14" t="s">
        <v>5425</v>
      </c>
      <c r="C14" t="s">
        <v>39</v>
      </c>
      <c r="D14" t="s">
        <v>3452</v>
      </c>
    </row>
    <row r="15" spans="1:4" ht="15" customHeight="1" x14ac:dyDescent="0.25">
      <c r="A15" t="s">
        <v>5426</v>
      </c>
      <c r="B15" t="s">
        <v>5427</v>
      </c>
      <c r="C15" t="s">
        <v>39</v>
      </c>
      <c r="D15" t="s">
        <v>3452</v>
      </c>
    </row>
    <row r="16" spans="1:4" ht="15" customHeight="1" x14ac:dyDescent="0.25">
      <c r="A16" t="s">
        <v>5428</v>
      </c>
      <c r="B16" t="s">
        <v>5429</v>
      </c>
      <c r="C16" t="s">
        <v>5417</v>
      </c>
      <c r="D16" t="s">
        <v>3452</v>
      </c>
    </row>
    <row r="17" spans="1:4" ht="15" customHeight="1" x14ac:dyDescent="0.25">
      <c r="A17" t="s">
        <v>5430</v>
      </c>
      <c r="B17" t="s">
        <v>5431</v>
      </c>
      <c r="C17" t="s">
        <v>39</v>
      </c>
      <c r="D17" t="s">
        <v>3452</v>
      </c>
    </row>
    <row r="18" spans="1:4" ht="15" customHeight="1" x14ac:dyDescent="0.25">
      <c r="A18" t="s">
        <v>5432</v>
      </c>
      <c r="B18" t="s">
        <v>5433</v>
      </c>
      <c r="C18" t="s">
        <v>5434</v>
      </c>
      <c r="D18" t="s">
        <v>3452</v>
      </c>
    </row>
    <row r="19" spans="1:4" ht="15" customHeight="1" x14ac:dyDescent="0.25">
      <c r="A19" t="s">
        <v>5435</v>
      </c>
      <c r="B19" t="s">
        <v>5436</v>
      </c>
      <c r="C19" t="s">
        <v>39</v>
      </c>
      <c r="D19" t="s">
        <v>3452</v>
      </c>
    </row>
    <row r="20" spans="1:4" ht="15" customHeight="1" x14ac:dyDescent="0.25">
      <c r="A20" t="s">
        <v>5437</v>
      </c>
      <c r="B20" t="s">
        <v>5438</v>
      </c>
      <c r="C20" t="s">
        <v>39</v>
      </c>
      <c r="D20" t="s">
        <v>3452</v>
      </c>
    </row>
    <row r="21" spans="1:4" ht="15" customHeight="1" x14ac:dyDescent="0.25">
      <c r="A21" t="s">
        <v>5439</v>
      </c>
      <c r="B21" t="s">
        <v>5440</v>
      </c>
      <c r="C21" t="s">
        <v>39</v>
      </c>
      <c r="D21" t="s">
        <v>5441</v>
      </c>
    </row>
    <row r="22" spans="1:4" ht="15" customHeight="1" x14ac:dyDescent="0.25">
      <c r="A22" t="s">
        <v>5442</v>
      </c>
      <c r="B22" t="s">
        <v>5443</v>
      </c>
      <c r="C22" t="s">
        <v>5444</v>
      </c>
      <c r="D22" t="s">
        <v>3452</v>
      </c>
    </row>
    <row r="23" spans="1:4" ht="15" customHeight="1" x14ac:dyDescent="0.25">
      <c r="A23" t="s">
        <v>5445</v>
      </c>
      <c r="B23" t="s">
        <v>5446</v>
      </c>
      <c r="C23" t="s">
        <v>5417</v>
      </c>
      <c r="D23" t="s">
        <v>3452</v>
      </c>
    </row>
    <row r="24" spans="1:4" ht="15" customHeight="1" x14ac:dyDescent="0.25">
      <c r="A24" t="s">
        <v>5447</v>
      </c>
      <c r="B24" t="s">
        <v>5448</v>
      </c>
      <c r="C24" t="s">
        <v>5417</v>
      </c>
      <c r="D24" t="s">
        <v>5449</v>
      </c>
    </row>
    <row r="25" spans="1:4" ht="15" customHeight="1" x14ac:dyDescent="0.25">
      <c r="A25" t="s">
        <v>5450</v>
      </c>
      <c r="B25" t="s">
        <v>5451</v>
      </c>
      <c r="C25" t="s">
        <v>5434</v>
      </c>
      <c r="D25" t="s">
        <v>3452</v>
      </c>
    </row>
    <row r="26" spans="1:4" ht="15" customHeight="1" x14ac:dyDescent="0.25">
      <c r="A26" t="s">
        <v>5452</v>
      </c>
      <c r="B26" t="s">
        <v>5453</v>
      </c>
      <c r="C26" t="s">
        <v>5402</v>
      </c>
      <c r="D26" t="s">
        <v>3452</v>
      </c>
    </row>
    <row r="27" spans="1:4" ht="15" customHeight="1" x14ac:dyDescent="0.25">
      <c r="A27" t="s">
        <v>5454</v>
      </c>
      <c r="B27" t="s">
        <v>5455</v>
      </c>
      <c r="C27" t="s">
        <v>5417</v>
      </c>
      <c r="D27" t="s">
        <v>3452</v>
      </c>
    </row>
    <row r="28" spans="1:4" ht="15" customHeight="1" x14ac:dyDescent="0.25">
      <c r="A28" t="s">
        <v>5456</v>
      </c>
      <c r="B28" t="s">
        <v>5457</v>
      </c>
      <c r="C28" t="s">
        <v>5417</v>
      </c>
      <c r="D28" t="s">
        <v>3452</v>
      </c>
    </row>
    <row r="29" spans="1:4" ht="15" customHeight="1" x14ac:dyDescent="0.25">
      <c r="A29" t="s">
        <v>5458</v>
      </c>
      <c r="B29" t="s">
        <v>5459</v>
      </c>
      <c r="C29" t="s">
        <v>5460</v>
      </c>
      <c r="D29" t="s">
        <v>3452</v>
      </c>
    </row>
    <row r="30" spans="1:4" ht="15" customHeight="1" x14ac:dyDescent="0.25">
      <c r="A30" t="s">
        <v>5461</v>
      </c>
      <c r="B30" t="s">
        <v>5462</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5463</v>
      </c>
      <c r="F1" t="s">
        <v>5464</v>
      </c>
      <c r="G1" t="s">
        <v>5397</v>
      </c>
      <c r="H1" t="s">
        <v>5465</v>
      </c>
      <c r="I1" t="s">
        <v>5466</v>
      </c>
      <c r="J1" t="s">
        <v>5467</v>
      </c>
      <c r="K1" t="s">
        <v>5468</v>
      </c>
      <c r="L1" t="s">
        <v>5469</v>
      </c>
      <c r="M1" t="s">
        <v>5470</v>
      </c>
    </row>
    <row r="2" spans="1:13" ht="15" customHeight="1" x14ac:dyDescent="0.25">
      <c r="A2" t="s">
        <v>5403</v>
      </c>
      <c r="B2" t="s">
        <v>5404</v>
      </c>
      <c r="C2" t="s">
        <v>5471</v>
      </c>
      <c r="D2" t="s">
        <v>5472</v>
      </c>
      <c r="E2" t="s">
        <v>3990</v>
      </c>
      <c r="F2" t="s">
        <v>39</v>
      </c>
      <c r="G2" t="s">
        <v>3452</v>
      </c>
      <c r="H2" t="s">
        <v>5473</v>
      </c>
      <c r="I2" t="s">
        <v>5474</v>
      </c>
      <c r="J2" t="s">
        <v>5475</v>
      </c>
    </row>
    <row r="3" spans="1:13" ht="15" customHeight="1" x14ac:dyDescent="0.25">
      <c r="A3" t="s">
        <v>5409</v>
      </c>
      <c r="B3" t="s">
        <v>5410</v>
      </c>
      <c r="C3" t="s">
        <v>5410</v>
      </c>
      <c r="D3" t="s">
        <v>5410</v>
      </c>
      <c r="E3" t="s">
        <v>3990</v>
      </c>
      <c r="F3" t="s">
        <v>39</v>
      </c>
      <c r="G3" t="s">
        <v>3452</v>
      </c>
      <c r="H3" t="s">
        <v>5476</v>
      </c>
      <c r="I3" t="s">
        <v>5477</v>
      </c>
    </row>
    <row r="4" spans="1:13" ht="15" customHeight="1" x14ac:dyDescent="0.25">
      <c r="A4" t="s">
        <v>5478</v>
      </c>
      <c r="B4" s="8" t="s">
        <v>5479</v>
      </c>
      <c r="C4" s="8" t="s">
        <v>5479</v>
      </c>
      <c r="D4" s="8" t="s">
        <v>5479</v>
      </c>
      <c r="E4" t="s">
        <v>187</v>
      </c>
      <c r="F4" t="s">
        <v>39</v>
      </c>
      <c r="G4" t="s">
        <v>3452</v>
      </c>
      <c r="H4" t="s">
        <v>5480</v>
      </c>
      <c r="I4" t="s">
        <v>5481</v>
      </c>
    </row>
    <row r="5" spans="1:13" ht="15" customHeight="1" x14ac:dyDescent="0.25">
      <c r="A5" t="s">
        <v>5482</v>
      </c>
      <c r="B5" t="s">
        <v>5483</v>
      </c>
      <c r="C5" t="s">
        <v>5483</v>
      </c>
      <c r="D5" t="s">
        <v>5483</v>
      </c>
      <c r="E5" t="s">
        <v>3990</v>
      </c>
      <c r="F5" t="s">
        <v>5417</v>
      </c>
      <c r="G5" t="s">
        <v>3452</v>
      </c>
      <c r="H5" t="s">
        <v>5484</v>
      </c>
      <c r="I5" t="s">
        <v>5477</v>
      </c>
    </row>
    <row r="6" spans="1:13" ht="15" customHeight="1" x14ac:dyDescent="0.25">
      <c r="A6" t="s">
        <v>5415</v>
      </c>
      <c r="B6" t="s">
        <v>5416</v>
      </c>
      <c r="C6" t="s">
        <v>5485</v>
      </c>
      <c r="D6" t="s">
        <v>5416</v>
      </c>
      <c r="E6" t="s">
        <v>3990</v>
      </c>
      <c r="F6" t="s">
        <v>5417</v>
      </c>
      <c r="G6" t="s">
        <v>3452</v>
      </c>
      <c r="H6" t="s">
        <v>5486</v>
      </c>
      <c r="I6" t="s">
        <v>5477</v>
      </c>
      <c r="K6" t="s">
        <v>5487</v>
      </c>
      <c r="L6" t="s">
        <v>5488</v>
      </c>
    </row>
    <row r="7" spans="1:13" ht="15" customHeight="1" x14ac:dyDescent="0.25">
      <c r="A7" t="s">
        <v>5489</v>
      </c>
      <c r="B7" t="s">
        <v>5490</v>
      </c>
      <c r="C7" t="s">
        <v>5491</v>
      </c>
      <c r="D7" t="s">
        <v>5490</v>
      </c>
      <c r="E7" t="s">
        <v>3990</v>
      </c>
      <c r="F7" t="s">
        <v>5417</v>
      </c>
      <c r="G7" t="s">
        <v>3452</v>
      </c>
      <c r="H7" t="s">
        <v>5492</v>
      </c>
      <c r="I7" t="s">
        <v>5477</v>
      </c>
      <c r="K7" t="s">
        <v>5493</v>
      </c>
      <c r="L7" t="s">
        <v>5494</v>
      </c>
    </row>
    <row r="8" spans="1:13" ht="15" customHeight="1" x14ac:dyDescent="0.25">
      <c r="A8" t="s">
        <v>5418</v>
      </c>
      <c r="B8" t="s">
        <v>5495</v>
      </c>
      <c r="C8" t="s">
        <v>5496</v>
      </c>
      <c r="D8" t="s">
        <v>5496</v>
      </c>
      <c r="E8" t="s">
        <v>3990</v>
      </c>
      <c r="F8" t="s">
        <v>4421</v>
      </c>
      <c r="G8" t="s">
        <v>3452</v>
      </c>
      <c r="H8" t="s">
        <v>5497</v>
      </c>
      <c r="I8" t="s">
        <v>5498</v>
      </c>
      <c r="J8" t="s">
        <v>5497</v>
      </c>
    </row>
    <row r="9" spans="1:13" ht="15" customHeight="1" x14ac:dyDescent="0.25">
      <c r="A9" t="s">
        <v>5420</v>
      </c>
      <c r="B9" t="s">
        <v>5421</v>
      </c>
      <c r="C9" t="s">
        <v>5421</v>
      </c>
      <c r="D9" t="s">
        <v>5421</v>
      </c>
      <c r="E9" t="s">
        <v>3990</v>
      </c>
      <c r="F9" t="s">
        <v>39</v>
      </c>
      <c r="G9" t="s">
        <v>3452</v>
      </c>
      <c r="H9" t="s">
        <v>5499</v>
      </c>
      <c r="I9" t="s">
        <v>5500</v>
      </c>
      <c r="J9" t="s">
        <v>3839</v>
      </c>
    </row>
    <row r="10" spans="1:13" ht="15" customHeight="1" x14ac:dyDescent="0.25">
      <c r="A10" t="s">
        <v>5424</v>
      </c>
      <c r="B10" t="s">
        <v>5425</v>
      </c>
      <c r="C10" t="s">
        <v>5501</v>
      </c>
      <c r="D10" t="s">
        <v>5501</v>
      </c>
      <c r="E10" t="s">
        <v>3990</v>
      </c>
      <c r="F10" t="s">
        <v>39</v>
      </c>
      <c r="G10" t="s">
        <v>3452</v>
      </c>
      <c r="H10" t="s">
        <v>5502</v>
      </c>
      <c r="I10" t="s">
        <v>5498</v>
      </c>
      <c r="J10" t="s">
        <v>5502</v>
      </c>
    </row>
    <row r="11" spans="1:13" ht="15" customHeight="1" x14ac:dyDescent="0.25">
      <c r="A11" t="s">
        <v>5503</v>
      </c>
      <c r="B11" t="s">
        <v>5427</v>
      </c>
      <c r="C11" t="s">
        <v>5504</v>
      </c>
      <c r="D11" t="s">
        <v>5427</v>
      </c>
      <c r="E11" t="s">
        <v>187</v>
      </c>
      <c r="F11" t="s">
        <v>39</v>
      </c>
      <c r="G11" t="s">
        <v>3452</v>
      </c>
      <c r="H11" t="s">
        <v>5505</v>
      </c>
      <c r="I11" t="s">
        <v>5481</v>
      </c>
    </row>
    <row r="12" spans="1:13" ht="15" customHeight="1" x14ac:dyDescent="0.25">
      <c r="A12" t="s">
        <v>5428</v>
      </c>
      <c r="B12" t="s">
        <v>5429</v>
      </c>
      <c r="C12" t="s">
        <v>5506</v>
      </c>
      <c r="D12" t="s">
        <v>5429</v>
      </c>
      <c r="E12" t="s">
        <v>3990</v>
      </c>
      <c r="F12" t="s">
        <v>5417</v>
      </c>
      <c r="G12" t="s">
        <v>3452</v>
      </c>
      <c r="H12" t="s">
        <v>5507</v>
      </c>
      <c r="I12" t="s">
        <v>5477</v>
      </c>
      <c r="K12" t="s">
        <v>5508</v>
      </c>
      <c r="L12" t="s">
        <v>5509</v>
      </c>
    </row>
    <row r="13" spans="1:13" ht="15" customHeight="1" x14ac:dyDescent="0.25">
      <c r="A13" t="s">
        <v>5430</v>
      </c>
      <c r="B13" t="s">
        <v>5431</v>
      </c>
      <c r="C13" t="s">
        <v>5431</v>
      </c>
      <c r="D13" t="s">
        <v>5431</v>
      </c>
      <c r="E13" t="s">
        <v>3990</v>
      </c>
      <c r="F13" t="s">
        <v>39</v>
      </c>
      <c r="G13" t="s">
        <v>3452</v>
      </c>
      <c r="H13" t="s">
        <v>5510</v>
      </c>
      <c r="I13" t="s">
        <v>5498</v>
      </c>
      <c r="J13" t="s">
        <v>5510</v>
      </c>
    </row>
    <row r="14" spans="1:13" ht="15" customHeight="1" x14ac:dyDescent="0.25">
      <c r="A14" t="s">
        <v>5435</v>
      </c>
      <c r="B14" t="s">
        <v>5511</v>
      </c>
      <c r="C14" t="s">
        <v>5512</v>
      </c>
      <c r="D14" t="s">
        <v>5512</v>
      </c>
      <c r="E14" t="s">
        <v>3990</v>
      </c>
      <c r="F14" t="s">
        <v>39</v>
      </c>
      <c r="G14" t="s">
        <v>3452</v>
      </c>
      <c r="H14" t="s">
        <v>5513</v>
      </c>
      <c r="I14" t="s">
        <v>5477</v>
      </c>
    </row>
    <row r="15" spans="1:13" ht="15" customHeight="1" x14ac:dyDescent="0.25">
      <c r="A15" t="s">
        <v>5514</v>
      </c>
      <c r="B15" t="s">
        <v>5515</v>
      </c>
      <c r="C15" t="s">
        <v>5515</v>
      </c>
      <c r="D15" t="s">
        <v>5515</v>
      </c>
      <c r="E15" t="s">
        <v>3990</v>
      </c>
      <c r="F15" t="s">
        <v>5516</v>
      </c>
      <c r="G15" t="s">
        <v>3452</v>
      </c>
      <c r="H15" t="s">
        <v>5517</v>
      </c>
      <c r="I15" t="s">
        <v>5517</v>
      </c>
    </row>
    <row r="16" spans="1:13" ht="15" customHeight="1" x14ac:dyDescent="0.25">
      <c r="A16" t="s">
        <v>5518</v>
      </c>
      <c r="B16" t="s">
        <v>5519</v>
      </c>
      <c r="C16" t="s">
        <v>5519</v>
      </c>
      <c r="D16" t="s">
        <v>5519</v>
      </c>
      <c r="E16" t="s">
        <v>187</v>
      </c>
      <c r="F16" t="s">
        <v>5516</v>
      </c>
      <c r="G16" t="s">
        <v>3452</v>
      </c>
      <c r="H16" t="s">
        <v>5520</v>
      </c>
      <c r="I16" t="s">
        <v>5520</v>
      </c>
    </row>
    <row r="17" spans="1:12" ht="15" customHeight="1" x14ac:dyDescent="0.25">
      <c r="A17" t="s">
        <v>5442</v>
      </c>
      <c r="B17" t="s">
        <v>5443</v>
      </c>
      <c r="C17" t="s">
        <v>5521</v>
      </c>
      <c r="D17" t="s">
        <v>5521</v>
      </c>
      <c r="E17" t="s">
        <v>3990</v>
      </c>
      <c r="F17" t="s">
        <v>39</v>
      </c>
      <c r="G17" t="s">
        <v>3452</v>
      </c>
      <c r="H17" t="s">
        <v>5522</v>
      </c>
      <c r="I17" t="s">
        <v>5477</v>
      </c>
    </row>
    <row r="18" spans="1:12" ht="15" customHeight="1" x14ac:dyDescent="0.25">
      <c r="A18" t="s">
        <v>5523</v>
      </c>
      <c r="B18" t="s">
        <v>5524</v>
      </c>
      <c r="C18" t="s">
        <v>5524</v>
      </c>
      <c r="D18" t="s">
        <v>5525</v>
      </c>
      <c r="E18" t="s">
        <v>187</v>
      </c>
      <c r="F18" t="s">
        <v>5417</v>
      </c>
      <c r="G18" t="s">
        <v>3452</v>
      </c>
      <c r="H18" t="s">
        <v>5526</v>
      </c>
      <c r="I18" t="s">
        <v>5527</v>
      </c>
    </row>
    <row r="19" spans="1:12" ht="15" customHeight="1" x14ac:dyDescent="0.25">
      <c r="A19" t="s">
        <v>5445</v>
      </c>
      <c r="B19" t="s">
        <v>5446</v>
      </c>
      <c r="C19" t="s">
        <v>5528</v>
      </c>
      <c r="D19" t="s">
        <v>5446</v>
      </c>
      <c r="E19" t="s">
        <v>3990</v>
      </c>
      <c r="F19" t="s">
        <v>5417</v>
      </c>
      <c r="G19" t="s">
        <v>3452</v>
      </c>
      <c r="H19" t="s">
        <v>5529</v>
      </c>
      <c r="I19" t="s">
        <v>5477</v>
      </c>
    </row>
    <row r="20" spans="1:12" ht="15" customHeight="1" x14ac:dyDescent="0.25">
      <c r="A20" t="s">
        <v>5454</v>
      </c>
      <c r="B20" t="s">
        <v>5530</v>
      </c>
      <c r="C20" t="s">
        <v>5531</v>
      </c>
      <c r="D20" t="s">
        <v>5530</v>
      </c>
      <c r="E20" t="s">
        <v>3990</v>
      </c>
      <c r="F20" t="s">
        <v>5417</v>
      </c>
      <c r="G20" t="s">
        <v>3452</v>
      </c>
      <c r="H20" t="s">
        <v>5532</v>
      </c>
      <c r="I20" t="s">
        <v>5477</v>
      </c>
    </row>
    <row r="21" spans="1:12" ht="15" customHeight="1" x14ac:dyDescent="0.25">
      <c r="A21" t="s">
        <v>5456</v>
      </c>
      <c r="B21" t="s">
        <v>5533</v>
      </c>
      <c r="C21" t="s">
        <v>5485</v>
      </c>
      <c r="D21" t="s">
        <v>5533</v>
      </c>
      <c r="E21" t="s">
        <v>3990</v>
      </c>
      <c r="F21" t="s">
        <v>5417</v>
      </c>
      <c r="G21" t="s">
        <v>3452</v>
      </c>
      <c r="H21" t="s">
        <v>5534</v>
      </c>
      <c r="I21" t="s">
        <v>5477</v>
      </c>
      <c r="K21" t="s">
        <v>5535</v>
      </c>
      <c r="L21" t="s">
        <v>5488</v>
      </c>
    </row>
    <row r="22" spans="1:12" ht="15" customHeight="1" x14ac:dyDescent="0.25">
      <c r="A22" t="s">
        <v>5458</v>
      </c>
      <c r="B22" t="s">
        <v>5536</v>
      </c>
      <c r="C22" t="s">
        <v>5536</v>
      </c>
      <c r="D22" t="s">
        <v>5536</v>
      </c>
      <c r="E22" t="s">
        <v>3990</v>
      </c>
      <c r="F22" t="s">
        <v>4421</v>
      </c>
      <c r="G22" t="s">
        <v>3452</v>
      </c>
      <c r="H22" t="s">
        <v>5537</v>
      </c>
      <c r="I22" t="s">
        <v>5538</v>
      </c>
    </row>
    <row r="23" spans="1:12" ht="15" customHeight="1" x14ac:dyDescent="0.25">
      <c r="A23" t="s">
        <v>5461</v>
      </c>
      <c r="B23" t="s">
        <v>5462</v>
      </c>
      <c r="C23" t="s">
        <v>5462</v>
      </c>
      <c r="D23" t="s">
        <v>5462</v>
      </c>
      <c r="E23" t="s">
        <v>3990</v>
      </c>
      <c r="F23" t="s">
        <v>39</v>
      </c>
      <c r="G23" t="s">
        <v>3452</v>
      </c>
      <c r="H23" t="s">
        <v>5539</v>
      </c>
      <c r="I23" t="s">
        <v>5500</v>
      </c>
      <c r="J23" t="s">
        <v>5540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5541</v>
      </c>
      <c r="D1" t="s">
        <v>5542</v>
      </c>
      <c r="E1" t="s">
        <v>5543</v>
      </c>
      <c r="F1" t="s">
        <v>5544</v>
      </c>
      <c r="G1" t="s">
        <v>5545</v>
      </c>
      <c r="H1" t="s">
        <v>5546</v>
      </c>
      <c r="I1" t="s">
        <v>5547</v>
      </c>
      <c r="J1" t="s">
        <v>5548</v>
      </c>
      <c r="K1" t="s">
        <v>3491</v>
      </c>
      <c r="L1" t="s">
        <v>4002</v>
      </c>
      <c r="M1" t="s">
        <v>171</v>
      </c>
    </row>
    <row r="2" spans="1:13" ht="15" customHeight="1" x14ac:dyDescent="0.25">
      <c r="A2" t="s">
        <v>5549</v>
      </c>
      <c r="B2" t="s">
        <v>3508</v>
      </c>
      <c r="C2" t="s">
        <v>5550</v>
      </c>
      <c r="D2" t="s">
        <v>101</v>
      </c>
      <c r="E2" t="s">
        <v>5550</v>
      </c>
      <c r="F2" t="s">
        <v>101</v>
      </c>
      <c r="G2" t="s">
        <v>5550</v>
      </c>
      <c r="H2" t="s">
        <v>101</v>
      </c>
      <c r="I2" t="s">
        <v>5550</v>
      </c>
      <c r="J2" t="s">
        <v>101</v>
      </c>
      <c r="K2" t="s">
        <v>2154</v>
      </c>
      <c r="L2" t="s">
        <v>4035</v>
      </c>
    </row>
    <row r="3" spans="1:13" ht="15" customHeight="1" x14ac:dyDescent="0.25">
      <c r="A3" t="s">
        <v>4006</v>
      </c>
      <c r="B3" t="s">
        <v>3508</v>
      </c>
      <c r="C3" t="s">
        <v>5551</v>
      </c>
      <c r="D3" t="s">
        <v>5552</v>
      </c>
      <c r="E3" t="s">
        <v>5553</v>
      </c>
      <c r="F3" t="s">
        <v>5554</v>
      </c>
      <c r="G3" t="s">
        <v>5555</v>
      </c>
      <c r="H3" t="s">
        <v>5556</v>
      </c>
      <c r="I3" t="s">
        <v>5557</v>
      </c>
      <c r="J3" t="s">
        <v>5558</v>
      </c>
      <c r="K3" t="s">
        <v>2154</v>
      </c>
      <c r="L3" t="s">
        <v>4007</v>
      </c>
    </row>
    <row r="4" spans="1:13" ht="15" customHeight="1" x14ac:dyDescent="0.25">
      <c r="A4" t="s">
        <v>4012</v>
      </c>
      <c r="B4" t="s">
        <v>3508</v>
      </c>
      <c r="C4" t="s">
        <v>5559</v>
      </c>
      <c r="D4" t="s">
        <v>5560</v>
      </c>
      <c r="E4" t="s">
        <v>5561</v>
      </c>
      <c r="F4" t="s">
        <v>5562</v>
      </c>
      <c r="G4" t="s">
        <v>5563</v>
      </c>
      <c r="H4" t="s">
        <v>5564</v>
      </c>
      <c r="I4" t="s">
        <v>5565</v>
      </c>
      <c r="J4" t="s">
        <v>5566</v>
      </c>
      <c r="K4" t="s">
        <v>1284</v>
      </c>
      <c r="L4" t="s">
        <v>4007</v>
      </c>
      <c r="M4" t="s">
        <v>4015</v>
      </c>
    </row>
    <row r="5" spans="1:13" ht="15" customHeight="1" x14ac:dyDescent="0.25">
      <c r="A5" t="s">
        <v>5567</v>
      </c>
      <c r="B5" t="s">
        <v>3508</v>
      </c>
      <c r="C5" t="s">
        <v>5568</v>
      </c>
      <c r="D5" t="s">
        <v>5569</v>
      </c>
      <c r="E5" t="s">
        <v>5570</v>
      </c>
      <c r="F5" t="s">
        <v>5571</v>
      </c>
      <c r="G5" t="s">
        <v>5572</v>
      </c>
      <c r="H5" t="s">
        <v>5573</v>
      </c>
      <c r="I5" t="s">
        <v>5574</v>
      </c>
      <c r="J5" t="s">
        <v>5575</v>
      </c>
      <c r="K5" t="s">
        <v>1725</v>
      </c>
      <c r="L5" t="s">
        <v>4024</v>
      </c>
    </row>
    <row r="6" spans="1:13" ht="15" customHeight="1" x14ac:dyDescent="0.25">
      <c r="A6" t="s">
        <v>4018</v>
      </c>
      <c r="B6" t="s">
        <v>41</v>
      </c>
      <c r="C6" t="s">
        <v>5576</v>
      </c>
      <c r="D6" t="s">
        <v>5577</v>
      </c>
      <c r="E6" t="s">
        <v>5578</v>
      </c>
      <c r="F6" t="s">
        <v>5579</v>
      </c>
      <c r="G6" t="s">
        <v>5580</v>
      </c>
      <c r="H6" t="s">
        <v>5581</v>
      </c>
      <c r="I6" t="s">
        <v>5582</v>
      </c>
      <c r="J6" t="s">
        <v>5583</v>
      </c>
      <c r="K6" t="s">
        <v>2154</v>
      </c>
      <c r="L6" t="s">
        <v>4007</v>
      </c>
    </row>
    <row r="7" spans="1:13" ht="15" customHeight="1" x14ac:dyDescent="0.25">
      <c r="A7" t="s">
        <v>5584</v>
      </c>
      <c r="B7" t="s">
        <v>41</v>
      </c>
      <c r="C7" t="s">
        <v>5585</v>
      </c>
      <c r="D7" t="s">
        <v>5586</v>
      </c>
      <c r="E7" t="s">
        <v>5587</v>
      </c>
      <c r="F7" t="s">
        <v>5588</v>
      </c>
      <c r="G7" t="s">
        <v>5589</v>
      </c>
      <c r="H7" t="s">
        <v>5590</v>
      </c>
      <c r="I7" t="s">
        <v>5591</v>
      </c>
      <c r="J7" t="s">
        <v>5592</v>
      </c>
      <c r="K7" t="s">
        <v>2154</v>
      </c>
      <c r="L7" t="s">
        <v>4024</v>
      </c>
      <c r="M7" t="s">
        <v>5593</v>
      </c>
    </row>
    <row r="8" spans="1:13" ht="15" customHeight="1" x14ac:dyDescent="0.25">
      <c r="A8" t="s">
        <v>4041</v>
      </c>
      <c r="B8" t="s">
        <v>3508</v>
      </c>
      <c r="C8" t="s">
        <v>5594</v>
      </c>
      <c r="D8" t="s">
        <v>5595</v>
      </c>
      <c r="E8" t="s">
        <v>5596</v>
      </c>
      <c r="F8" t="s">
        <v>5597</v>
      </c>
      <c r="G8" t="s">
        <v>5598</v>
      </c>
      <c r="H8" t="s">
        <v>5599</v>
      </c>
      <c r="I8" t="s">
        <v>5600</v>
      </c>
      <c r="J8" t="s">
        <v>5601</v>
      </c>
      <c r="K8" t="s">
        <v>1284</v>
      </c>
      <c r="L8" t="s">
        <v>4007</v>
      </c>
    </row>
    <row r="9" spans="1:13" ht="15" customHeight="1" x14ac:dyDescent="0.25">
      <c r="A9" t="s">
        <v>4023</v>
      </c>
      <c r="B9" t="s">
        <v>41</v>
      </c>
      <c r="C9" t="s">
        <v>5602</v>
      </c>
      <c r="D9" t="s">
        <v>5603</v>
      </c>
      <c r="E9" t="s">
        <v>5604</v>
      </c>
      <c r="F9" t="s">
        <v>5605</v>
      </c>
      <c r="G9" t="s">
        <v>5606</v>
      </c>
      <c r="H9" t="s">
        <v>5607</v>
      </c>
      <c r="I9" t="s">
        <v>5608</v>
      </c>
      <c r="J9" t="s">
        <v>5609</v>
      </c>
      <c r="K9" t="s">
        <v>2154</v>
      </c>
      <c r="L9" t="s">
        <v>4024</v>
      </c>
      <c r="M9" t="s">
        <v>4027</v>
      </c>
    </row>
    <row r="10" spans="1:13" ht="15" customHeight="1" x14ac:dyDescent="0.25">
      <c r="A10" t="s">
        <v>4030</v>
      </c>
      <c r="B10" t="s">
        <v>3508</v>
      </c>
      <c r="C10" t="s">
        <v>5610</v>
      </c>
      <c r="D10" t="s">
        <v>5611</v>
      </c>
      <c r="E10" t="s">
        <v>5612</v>
      </c>
      <c r="F10" t="s">
        <v>5613</v>
      </c>
      <c r="G10" t="s">
        <v>5614</v>
      </c>
      <c r="H10" t="s">
        <v>4031</v>
      </c>
      <c r="I10" t="s">
        <v>5615</v>
      </c>
      <c r="J10" t="s">
        <v>5616</v>
      </c>
      <c r="K10" t="s">
        <v>2154</v>
      </c>
      <c r="L10" t="s">
        <v>4024</v>
      </c>
    </row>
    <row r="11" spans="1:13" ht="15" customHeight="1" x14ac:dyDescent="0.25">
      <c r="A11" t="s">
        <v>5617</v>
      </c>
      <c r="B11" t="s">
        <v>3508</v>
      </c>
      <c r="C11" t="s">
        <v>5618</v>
      </c>
      <c r="D11" t="s">
        <v>5619</v>
      </c>
      <c r="E11" t="s">
        <v>5620</v>
      </c>
      <c r="F11" t="s">
        <v>5621</v>
      </c>
      <c r="G11" t="s">
        <v>5622</v>
      </c>
      <c r="H11" t="s">
        <v>5623</v>
      </c>
      <c r="I11" t="s">
        <v>5624</v>
      </c>
      <c r="J11" t="s">
        <v>5625</v>
      </c>
      <c r="K11" t="s">
        <v>2154</v>
      </c>
      <c r="L11" t="s">
        <v>4007</v>
      </c>
    </row>
    <row r="12" spans="1:13" ht="15" customHeight="1" x14ac:dyDescent="0.25">
      <c r="A12" t="s">
        <v>5626</v>
      </c>
      <c r="B12" t="s">
        <v>41</v>
      </c>
      <c r="C12" t="s">
        <v>5627</v>
      </c>
      <c r="D12" t="s">
        <v>5628</v>
      </c>
      <c r="E12" t="s">
        <v>5629</v>
      </c>
      <c r="F12" t="s">
        <v>5630</v>
      </c>
      <c r="G12" t="s">
        <v>5631</v>
      </c>
      <c r="H12" t="s">
        <v>5632</v>
      </c>
      <c r="I12" t="s">
        <v>5633</v>
      </c>
      <c r="J12" t="s">
        <v>5634</v>
      </c>
      <c r="K12" t="s">
        <v>2154</v>
      </c>
      <c r="L12" t="s">
        <v>4035</v>
      </c>
      <c r="M12" t="s">
        <v>4038</v>
      </c>
    </row>
    <row r="13" spans="1:13" ht="15" customHeight="1" x14ac:dyDescent="0.25">
      <c r="A13" t="s">
        <v>5635</v>
      </c>
      <c r="B13" t="s">
        <v>3496</v>
      </c>
      <c r="C13" t="s">
        <v>5636</v>
      </c>
      <c r="D13" t="s">
        <v>5637</v>
      </c>
      <c r="E13" t="s">
        <v>5638</v>
      </c>
      <c r="F13" t="s">
        <v>5639</v>
      </c>
      <c r="G13" t="s">
        <v>5640</v>
      </c>
      <c r="H13" t="s">
        <v>5641</v>
      </c>
      <c r="I13" t="s">
        <v>5642</v>
      </c>
      <c r="J13" t="s">
        <v>5643</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5644</v>
      </c>
      <c r="D2" t="s">
        <v>90</v>
      </c>
      <c r="E2" t="s">
        <v>4155</v>
      </c>
    </row>
    <row r="3" spans="1:5" ht="15" customHeight="1" x14ac:dyDescent="0.25">
      <c r="A3" t="s">
        <v>4156</v>
      </c>
      <c r="B3" t="s">
        <v>41</v>
      </c>
      <c r="C3" t="s">
        <v>5645</v>
      </c>
      <c r="D3" t="s">
        <v>90</v>
      </c>
      <c r="E3" t="s">
        <v>4159</v>
      </c>
    </row>
    <row r="4" spans="1:5" ht="15" customHeight="1" x14ac:dyDescent="0.25">
      <c r="A4" t="s">
        <v>5646</v>
      </c>
      <c r="B4" t="s">
        <v>41</v>
      </c>
      <c r="C4" t="s">
        <v>5647</v>
      </c>
      <c r="D4" t="s">
        <v>90</v>
      </c>
      <c r="E4" t="s">
        <v>5648</v>
      </c>
    </row>
    <row r="5" spans="1:5" ht="15" customHeight="1" x14ac:dyDescent="0.25">
      <c r="A5" t="s">
        <v>5649</v>
      </c>
      <c r="B5" t="s">
        <v>41</v>
      </c>
      <c r="C5" t="s">
        <v>5650</v>
      </c>
      <c r="D5" t="s">
        <v>90</v>
      </c>
      <c r="E5" t="s">
        <v>5651</v>
      </c>
    </row>
    <row r="6" spans="1:5" ht="15" customHeight="1" x14ac:dyDescent="0.25">
      <c r="A6" t="s">
        <v>5652</v>
      </c>
      <c r="B6" t="s">
        <v>41</v>
      </c>
      <c r="C6" t="s">
        <v>5653</v>
      </c>
      <c r="D6" t="s">
        <v>90</v>
      </c>
      <c r="E6" t="s">
        <v>5654</v>
      </c>
    </row>
    <row r="7" spans="1:5" ht="15" customHeight="1" x14ac:dyDescent="0.25">
      <c r="A7" t="s">
        <v>4160</v>
      </c>
      <c r="B7" t="s">
        <v>41</v>
      </c>
      <c r="C7" t="s">
        <v>5655</v>
      </c>
      <c r="D7" t="s">
        <v>90</v>
      </c>
      <c r="E7" t="s">
        <v>4165</v>
      </c>
    </row>
    <row r="8" spans="1:5" ht="15" customHeight="1" x14ac:dyDescent="0.25">
      <c r="A8" t="s">
        <v>4166</v>
      </c>
      <c r="B8" t="s">
        <v>41</v>
      </c>
      <c r="C8" t="s">
        <v>5656</v>
      </c>
      <c r="D8" t="s">
        <v>90</v>
      </c>
      <c r="E8" t="s">
        <v>4171</v>
      </c>
    </row>
    <row r="9" spans="1:5" ht="15" customHeight="1" x14ac:dyDescent="0.25">
      <c r="A9" t="s">
        <v>4172</v>
      </c>
      <c r="B9" t="s">
        <v>3496</v>
      </c>
      <c r="C9" t="s">
        <v>5657</v>
      </c>
      <c r="D9" t="s">
        <v>90</v>
      </c>
      <c r="E9" t="s">
        <v>4175</v>
      </c>
    </row>
    <row r="10" spans="1:5" ht="15" customHeight="1" x14ac:dyDescent="0.25">
      <c r="A10" t="s">
        <v>4176</v>
      </c>
      <c r="B10" t="s">
        <v>41</v>
      </c>
      <c r="C10" t="s">
        <v>5658</v>
      </c>
      <c r="D10" t="s">
        <v>90</v>
      </c>
      <c r="E10" t="s">
        <v>4181</v>
      </c>
    </row>
    <row r="11" spans="1:5" ht="15" customHeight="1" x14ac:dyDescent="0.25">
      <c r="A11" t="s">
        <v>4182</v>
      </c>
      <c r="B11" t="s">
        <v>41</v>
      </c>
      <c r="C11" t="s">
        <v>5659</v>
      </c>
      <c r="D11" t="s">
        <v>90</v>
      </c>
      <c r="E11" t="s">
        <v>4187</v>
      </c>
    </row>
    <row r="12" spans="1:5" ht="15" customHeight="1" x14ac:dyDescent="0.25">
      <c r="A12" t="s">
        <v>4188</v>
      </c>
      <c r="B12" t="s">
        <v>41</v>
      </c>
      <c r="C12" t="s">
        <v>5660</v>
      </c>
      <c r="D12" t="s">
        <v>90</v>
      </c>
      <c r="E12" t="s">
        <v>4193</v>
      </c>
    </row>
    <row r="13" spans="1:5" ht="15" customHeight="1" x14ac:dyDescent="0.25">
      <c r="A13" t="s">
        <v>5661</v>
      </c>
      <c r="B13" t="s">
        <v>3508</v>
      </c>
      <c r="C13" t="s">
        <v>5662</v>
      </c>
      <c r="D13" t="s">
        <v>90</v>
      </c>
      <c r="E13" t="s">
        <v>5663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4526</v>
      </c>
      <c r="E1" t="s">
        <v>5664</v>
      </c>
      <c r="F1" t="s">
        <v>5665</v>
      </c>
      <c r="G1" t="s">
        <v>5666</v>
      </c>
      <c r="H1" t="s">
        <v>5667</v>
      </c>
      <c r="I1" t="s">
        <v>3444</v>
      </c>
      <c r="J1" t="s">
        <v>5668</v>
      </c>
      <c r="K1" t="s">
        <v>3438</v>
      </c>
      <c r="L1" t="s">
        <v>5669</v>
      </c>
      <c r="M1" t="s">
        <v>3831</v>
      </c>
      <c r="N1" t="s">
        <v>5670</v>
      </c>
      <c r="O1" t="s">
        <v>5671</v>
      </c>
      <c r="P1" t="s">
        <v>3445</v>
      </c>
      <c r="Q1" t="s">
        <v>3446</v>
      </c>
      <c r="R1" t="s">
        <v>3447</v>
      </c>
      <c r="S1" t="s">
        <v>5672</v>
      </c>
      <c r="T1" t="s">
        <v>5673</v>
      </c>
      <c r="U1" t="s">
        <v>5674</v>
      </c>
      <c r="V1" t="s">
        <v>5675</v>
      </c>
      <c r="W1" t="s">
        <v>5676</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5677</v>
      </c>
      <c r="R2" t="s">
        <v>3481</v>
      </c>
      <c r="S2" t="s">
        <v>5417</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5678</v>
      </c>
      <c r="Q3" t="s">
        <v>5679</v>
      </c>
      <c r="R3" t="s">
        <v>3464</v>
      </c>
      <c r="S3" t="s">
        <v>5434</v>
      </c>
      <c r="T3">
        <v>5</v>
      </c>
      <c r="U3">
        <v>4</v>
      </c>
      <c r="V3" t="s">
        <v>5680</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5681</v>
      </c>
      <c r="R4" t="s">
        <v>3488</v>
      </c>
      <c r="S4" t="s">
        <v>4543</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5682</v>
      </c>
      <c r="R5" t="s">
        <v>3472</v>
      </c>
      <c r="S5" t="s">
        <v>5683</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5684</v>
      </c>
      <c r="Q6" t="s">
        <v>5685</v>
      </c>
      <c r="R6" t="s">
        <v>3460</v>
      </c>
      <c r="S6" t="s">
        <v>5417</v>
      </c>
      <c r="T6">
        <v>5</v>
      </c>
      <c r="U6">
        <v>4</v>
      </c>
      <c r="V6" t="s">
        <v>3437</v>
      </c>
      <c r="X6" t="s">
        <v>3461</v>
      </c>
    </row>
    <row r="7" spans="1:24" ht="15" customHeight="1" x14ac:dyDescent="0.25">
      <c r="A7" t="s">
        <v>5686</v>
      </c>
      <c r="B7" t="s">
        <v>90</v>
      </c>
      <c r="C7">
        <v>70</v>
      </c>
      <c r="D7">
        <v>3</v>
      </c>
      <c r="E7">
        <v>0</v>
      </c>
      <c r="F7">
        <v>2</v>
      </c>
      <c r="G7">
        <v>0</v>
      </c>
      <c r="H7">
        <v>0</v>
      </c>
      <c r="I7">
        <v>0</v>
      </c>
      <c r="J7">
        <v>0</v>
      </c>
      <c r="K7">
        <v>0</v>
      </c>
      <c r="L7">
        <v>0</v>
      </c>
      <c r="M7">
        <v>0</v>
      </c>
      <c r="N7">
        <v>0</v>
      </c>
      <c r="O7">
        <v>0</v>
      </c>
      <c r="P7" t="s">
        <v>5684</v>
      </c>
      <c r="Q7" t="s">
        <v>5687</v>
      </c>
      <c r="R7" t="s">
        <v>5688</v>
      </c>
      <c r="S7" t="s">
        <v>5417</v>
      </c>
      <c r="T7">
        <v>5</v>
      </c>
      <c r="U7">
        <v>5</v>
      </c>
      <c r="V7" t="s">
        <v>5689</v>
      </c>
      <c r="W7" t="s">
        <v>5690</v>
      </c>
      <c r="X7" t="s">
        <v>4795</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5691</v>
      </c>
      <c r="E1" t="s">
        <v>3447</v>
      </c>
      <c r="F1" t="s">
        <v>5692</v>
      </c>
      <c r="G1" t="s">
        <v>5693</v>
      </c>
      <c r="H1" t="s">
        <v>4253</v>
      </c>
      <c r="I1" t="s">
        <v>1</v>
      </c>
      <c r="J1" t="s">
        <v>170</v>
      </c>
    </row>
    <row r="2" spans="1:10" ht="15" customHeight="1" x14ac:dyDescent="0.25">
      <c r="A2" t="s">
        <v>5694</v>
      </c>
      <c r="B2" t="s">
        <v>3508</v>
      </c>
      <c r="C2" t="s">
        <v>4590</v>
      </c>
      <c r="D2">
        <v>1</v>
      </c>
      <c r="E2" t="s">
        <v>5695</v>
      </c>
      <c r="F2" t="s">
        <v>5696</v>
      </c>
      <c r="G2">
        <v>1</v>
      </c>
      <c r="H2" t="s">
        <v>5694</v>
      </c>
      <c r="I2" t="s">
        <v>90</v>
      </c>
      <c r="J2" t="s">
        <v>5697</v>
      </c>
    </row>
    <row r="3" spans="1:10" ht="15" customHeight="1" x14ac:dyDescent="0.25">
      <c r="A3" t="s">
        <v>5698</v>
      </c>
      <c r="B3" t="s">
        <v>41</v>
      </c>
      <c r="C3" t="s">
        <v>5353</v>
      </c>
      <c r="D3">
        <v>1</v>
      </c>
      <c r="E3" t="s">
        <v>5699</v>
      </c>
      <c r="F3" t="s">
        <v>5700</v>
      </c>
      <c r="G3">
        <v>1</v>
      </c>
      <c r="H3" t="s">
        <v>5698</v>
      </c>
      <c r="I3" t="s">
        <v>90</v>
      </c>
      <c r="J3" t="s">
        <v>5701</v>
      </c>
    </row>
    <row r="4" spans="1:10" ht="15" customHeight="1" x14ac:dyDescent="0.25">
      <c r="A4" t="s">
        <v>5702</v>
      </c>
      <c r="B4" t="s">
        <v>3496</v>
      </c>
      <c r="C4" t="s">
        <v>5353</v>
      </c>
      <c r="D4">
        <v>0</v>
      </c>
      <c r="E4" t="s">
        <v>5703</v>
      </c>
      <c r="F4" t="s">
        <v>5704</v>
      </c>
      <c r="G4">
        <v>0</v>
      </c>
      <c r="H4" t="s">
        <v>5702</v>
      </c>
      <c r="I4" t="s">
        <v>90</v>
      </c>
      <c r="J4" t="s">
        <v>5705</v>
      </c>
    </row>
    <row r="5" spans="1:10" ht="15" customHeight="1" x14ac:dyDescent="0.25">
      <c r="A5" t="s">
        <v>5706</v>
      </c>
      <c r="B5" t="s">
        <v>3496</v>
      </c>
      <c r="C5" t="s">
        <v>4590</v>
      </c>
      <c r="D5">
        <v>1</v>
      </c>
      <c r="E5" t="s">
        <v>5707</v>
      </c>
      <c r="F5" t="s">
        <v>5708</v>
      </c>
      <c r="G5">
        <v>1</v>
      </c>
      <c r="H5" t="s">
        <v>5709</v>
      </c>
      <c r="I5" t="s">
        <v>90</v>
      </c>
      <c r="J5" t="s">
        <v>5710</v>
      </c>
    </row>
    <row r="6" spans="1:10" ht="15" customHeight="1" x14ac:dyDescent="0.25">
      <c r="A6" t="s">
        <v>5711</v>
      </c>
      <c r="B6" t="s">
        <v>3496</v>
      </c>
      <c r="C6" t="s">
        <v>5353</v>
      </c>
      <c r="D6">
        <v>1</v>
      </c>
      <c r="E6" t="s">
        <v>5712</v>
      </c>
      <c r="F6" t="s">
        <v>5712</v>
      </c>
      <c r="G6">
        <v>0</v>
      </c>
      <c r="H6" t="s">
        <v>5711</v>
      </c>
      <c r="I6" t="s">
        <v>90</v>
      </c>
      <c r="J6" t="s">
        <v>5713</v>
      </c>
    </row>
    <row r="7" spans="1:10" ht="15" customHeight="1" x14ac:dyDescent="0.25">
      <c r="A7" t="s">
        <v>5714</v>
      </c>
      <c r="B7" t="s">
        <v>3496</v>
      </c>
      <c r="C7" t="s">
        <v>5715</v>
      </c>
      <c r="D7">
        <v>2</v>
      </c>
      <c r="E7" t="s">
        <v>5716</v>
      </c>
      <c r="F7" t="s">
        <v>5717</v>
      </c>
      <c r="G7">
        <v>2</v>
      </c>
      <c r="H7" t="s">
        <v>5718</v>
      </c>
      <c r="I7" t="s">
        <v>90</v>
      </c>
      <c r="J7" t="s">
        <v>5719</v>
      </c>
    </row>
    <row r="8" spans="1:10" ht="15" customHeight="1" x14ac:dyDescent="0.25">
      <c r="A8" t="s">
        <v>5720</v>
      </c>
      <c r="B8" t="s">
        <v>3508</v>
      </c>
      <c r="C8" t="s">
        <v>5715</v>
      </c>
      <c r="D8">
        <v>1</v>
      </c>
      <c r="E8" t="s">
        <v>5721</v>
      </c>
      <c r="F8" t="s">
        <v>5722</v>
      </c>
      <c r="G8">
        <v>1</v>
      </c>
      <c r="H8" t="s">
        <v>5723</v>
      </c>
      <c r="I8" t="s">
        <v>90</v>
      </c>
      <c r="J8" t="s">
        <v>5724</v>
      </c>
    </row>
    <row r="9" spans="1:10" ht="15" customHeight="1" x14ac:dyDescent="0.25">
      <c r="A9" t="s">
        <v>5725</v>
      </c>
      <c r="B9" t="s">
        <v>41</v>
      </c>
      <c r="C9" t="s">
        <v>5715</v>
      </c>
      <c r="D9">
        <v>0</v>
      </c>
      <c r="E9" t="s">
        <v>5726</v>
      </c>
      <c r="F9" t="s">
        <v>5727</v>
      </c>
      <c r="G9">
        <v>0</v>
      </c>
      <c r="H9" t="s">
        <v>5725</v>
      </c>
      <c r="I9" t="s">
        <v>90</v>
      </c>
      <c r="J9" t="s">
        <v>5728</v>
      </c>
    </row>
    <row r="10" spans="1:10" ht="15" customHeight="1" x14ac:dyDescent="0.25">
      <c r="A10" t="s">
        <v>5729</v>
      </c>
      <c r="B10" t="s">
        <v>41</v>
      </c>
      <c r="C10" t="s">
        <v>5353</v>
      </c>
      <c r="D10">
        <v>1</v>
      </c>
      <c r="E10" t="s">
        <v>5730</v>
      </c>
      <c r="F10" t="s">
        <v>5731</v>
      </c>
      <c r="G10">
        <v>1</v>
      </c>
      <c r="H10" t="s">
        <v>5729</v>
      </c>
      <c r="I10" t="s">
        <v>90</v>
      </c>
      <c r="J10" t="s">
        <v>5732</v>
      </c>
    </row>
    <row r="11" spans="1:10" ht="15" customHeight="1" x14ac:dyDescent="0.25">
      <c r="A11" t="s">
        <v>5733</v>
      </c>
      <c r="B11" t="s">
        <v>41</v>
      </c>
      <c r="C11" t="s">
        <v>5353</v>
      </c>
      <c r="D11">
        <v>1</v>
      </c>
      <c r="E11" t="s">
        <v>5734</v>
      </c>
      <c r="F11" t="s">
        <v>5735</v>
      </c>
      <c r="G11">
        <v>1</v>
      </c>
      <c r="H11" t="s">
        <v>5733</v>
      </c>
      <c r="I11" t="s">
        <v>90</v>
      </c>
      <c r="J11" t="s">
        <v>5736</v>
      </c>
    </row>
    <row r="12" spans="1:10" ht="15" customHeight="1" x14ac:dyDescent="0.25">
      <c r="A12" t="s">
        <v>5737</v>
      </c>
      <c r="B12" t="s">
        <v>3508</v>
      </c>
      <c r="C12" t="s">
        <v>5715</v>
      </c>
      <c r="D12">
        <v>0</v>
      </c>
      <c r="E12" t="s">
        <v>5738</v>
      </c>
      <c r="F12" t="s">
        <v>5739</v>
      </c>
      <c r="G12">
        <v>0</v>
      </c>
      <c r="H12" t="s">
        <v>5737</v>
      </c>
      <c r="I12" t="s">
        <v>90</v>
      </c>
      <c r="J12" t="s">
        <v>5740</v>
      </c>
    </row>
    <row r="13" spans="1:10" ht="15" customHeight="1" x14ac:dyDescent="0.25">
      <c r="A13" t="s">
        <v>4420</v>
      </c>
      <c r="B13" t="s">
        <v>3508</v>
      </c>
      <c r="C13" t="s">
        <v>5353</v>
      </c>
      <c r="D13">
        <v>1</v>
      </c>
      <c r="E13" t="s">
        <v>5741</v>
      </c>
      <c r="F13" t="s">
        <v>5741</v>
      </c>
      <c r="G13">
        <v>1</v>
      </c>
      <c r="H13" t="s">
        <v>4425</v>
      </c>
      <c r="I13" t="s">
        <v>1649</v>
      </c>
      <c r="J13" t="s">
        <v>5742</v>
      </c>
    </row>
    <row r="14" spans="1:10" ht="15" customHeight="1" x14ac:dyDescent="0.25">
      <c r="A14" t="s">
        <v>5743</v>
      </c>
      <c r="B14" t="s">
        <v>41</v>
      </c>
      <c r="C14" t="s">
        <v>5715</v>
      </c>
      <c r="D14">
        <v>1</v>
      </c>
      <c r="E14" t="s">
        <v>5744</v>
      </c>
      <c r="F14" t="s">
        <v>5745</v>
      </c>
      <c r="G14">
        <v>1</v>
      </c>
      <c r="H14" t="s">
        <v>5743</v>
      </c>
      <c r="I14" t="s">
        <v>90</v>
      </c>
      <c r="J14" t="s">
        <v>5746</v>
      </c>
    </row>
    <row r="15" spans="1:10" ht="15" customHeight="1" x14ac:dyDescent="0.25">
      <c r="A15" t="s">
        <v>4431</v>
      </c>
      <c r="B15" t="s">
        <v>3508</v>
      </c>
      <c r="C15" t="s">
        <v>5715</v>
      </c>
      <c r="D15">
        <v>1</v>
      </c>
      <c r="E15" t="s">
        <v>5747</v>
      </c>
      <c r="F15" t="s">
        <v>5747</v>
      </c>
      <c r="G15">
        <v>1</v>
      </c>
      <c r="H15" t="s">
        <v>4431</v>
      </c>
      <c r="I15" t="s">
        <v>1046</v>
      </c>
      <c r="J15" t="s">
        <v>5748</v>
      </c>
    </row>
    <row r="16" spans="1:10" ht="15" customHeight="1" x14ac:dyDescent="0.25">
      <c r="A16" t="s">
        <v>3515</v>
      </c>
      <c r="B16" t="s">
        <v>3496</v>
      </c>
      <c r="C16" t="s">
        <v>4590</v>
      </c>
      <c r="D16">
        <v>3</v>
      </c>
      <c r="E16" t="s">
        <v>5749</v>
      </c>
      <c r="F16" t="s">
        <v>5749</v>
      </c>
      <c r="G16">
        <v>2</v>
      </c>
      <c r="H16" t="s">
        <v>3515</v>
      </c>
      <c r="I16" t="s">
        <v>90</v>
      </c>
      <c r="J16" t="s">
        <v>5732</v>
      </c>
    </row>
    <row r="17" spans="1:10" ht="15" customHeight="1" x14ac:dyDescent="0.25">
      <c r="A17" t="s">
        <v>3437</v>
      </c>
      <c r="B17" t="s">
        <v>3540</v>
      </c>
      <c r="C17" t="s">
        <v>5715</v>
      </c>
      <c r="D17">
        <v>2</v>
      </c>
      <c r="E17" t="s">
        <v>5750</v>
      </c>
      <c r="F17" t="s">
        <v>5751</v>
      </c>
      <c r="G17">
        <v>2</v>
      </c>
      <c r="H17" t="s">
        <v>3437</v>
      </c>
      <c r="I17" t="s">
        <v>90</v>
      </c>
      <c r="J17" t="s">
        <v>5728</v>
      </c>
    </row>
    <row r="18" spans="1:10" ht="15" customHeight="1" x14ac:dyDescent="0.25">
      <c r="A18" t="s">
        <v>5752</v>
      </c>
      <c r="B18" t="s">
        <v>3508</v>
      </c>
      <c r="C18" t="s">
        <v>5353</v>
      </c>
      <c r="D18">
        <v>0</v>
      </c>
      <c r="E18" t="s">
        <v>5753</v>
      </c>
      <c r="F18" t="s">
        <v>5754</v>
      </c>
      <c r="G18">
        <v>0</v>
      </c>
      <c r="H18" t="s">
        <v>5755</v>
      </c>
      <c r="I18" t="s">
        <v>90</v>
      </c>
      <c r="J18" t="s">
        <v>5756</v>
      </c>
    </row>
    <row r="19" spans="1:10" ht="15" customHeight="1" x14ac:dyDescent="0.25">
      <c r="A19" t="s">
        <v>5757</v>
      </c>
      <c r="B19" t="s">
        <v>41</v>
      </c>
      <c r="C19" t="s">
        <v>5715</v>
      </c>
      <c r="D19">
        <v>0</v>
      </c>
      <c r="E19" t="s">
        <v>5758</v>
      </c>
      <c r="F19" t="s">
        <v>5759</v>
      </c>
      <c r="G19">
        <v>0</v>
      </c>
      <c r="H19" t="s">
        <v>5760</v>
      </c>
      <c r="I19" t="s">
        <v>90</v>
      </c>
      <c r="J19" t="s">
        <v>5761</v>
      </c>
    </row>
    <row r="20" spans="1:10" ht="15" customHeight="1" x14ac:dyDescent="0.25">
      <c r="A20" t="s">
        <v>5762</v>
      </c>
      <c r="B20" t="s">
        <v>3496</v>
      </c>
      <c r="C20" t="s">
        <v>4590</v>
      </c>
      <c r="D20">
        <v>0</v>
      </c>
      <c r="E20" t="s">
        <v>5763</v>
      </c>
      <c r="F20" t="s">
        <v>5764</v>
      </c>
      <c r="G20">
        <v>0</v>
      </c>
      <c r="H20" t="s">
        <v>5762</v>
      </c>
      <c r="I20" t="s">
        <v>90</v>
      </c>
      <c r="J20" t="s">
        <v>5765</v>
      </c>
    </row>
    <row r="21" spans="1:10" ht="15" customHeight="1" x14ac:dyDescent="0.25">
      <c r="A21" t="s">
        <v>5766</v>
      </c>
      <c r="B21" t="s">
        <v>41</v>
      </c>
      <c r="C21" t="s">
        <v>5353</v>
      </c>
      <c r="D21">
        <v>1</v>
      </c>
      <c r="E21" t="s">
        <v>5767</v>
      </c>
      <c r="F21" t="s">
        <v>5768</v>
      </c>
      <c r="G21">
        <v>1</v>
      </c>
      <c r="H21" t="s">
        <v>5769</v>
      </c>
      <c r="I21" t="s">
        <v>90</v>
      </c>
      <c r="J21" t="s">
        <v>5770</v>
      </c>
    </row>
    <row r="22" spans="1:10" ht="15" customHeight="1" x14ac:dyDescent="0.25">
      <c r="A22" t="s">
        <v>4458</v>
      </c>
      <c r="B22" t="s">
        <v>41</v>
      </c>
      <c r="C22" t="s">
        <v>5715</v>
      </c>
      <c r="D22">
        <v>1</v>
      </c>
      <c r="E22" t="s">
        <v>5771</v>
      </c>
      <c r="F22" t="s">
        <v>5771</v>
      </c>
      <c r="G22">
        <v>1</v>
      </c>
      <c r="H22" t="s">
        <v>4461</v>
      </c>
      <c r="I22" t="s">
        <v>1104</v>
      </c>
      <c r="J22" t="s">
        <v>5748</v>
      </c>
    </row>
    <row r="23" spans="1:10" ht="15" customHeight="1" x14ac:dyDescent="0.25">
      <c r="A23" t="s">
        <v>5772</v>
      </c>
      <c r="B23" t="s">
        <v>3508</v>
      </c>
      <c r="C23" t="s">
        <v>5715</v>
      </c>
      <c r="D23">
        <v>4</v>
      </c>
      <c r="E23" t="s">
        <v>5773</v>
      </c>
      <c r="F23" t="s">
        <v>5774</v>
      </c>
      <c r="G23">
        <v>3</v>
      </c>
      <c r="H23" t="s">
        <v>5775</v>
      </c>
      <c r="I23" t="s">
        <v>90</v>
      </c>
      <c r="J23" t="s">
        <v>5756</v>
      </c>
    </row>
    <row r="24" spans="1:10" ht="15" customHeight="1" x14ac:dyDescent="0.25">
      <c r="A24" t="s">
        <v>4462</v>
      </c>
      <c r="B24" t="s">
        <v>3496</v>
      </c>
      <c r="C24" t="s">
        <v>5715</v>
      </c>
      <c r="D24">
        <v>1</v>
      </c>
      <c r="E24" t="s">
        <v>5776</v>
      </c>
      <c r="F24" t="s">
        <v>5776</v>
      </c>
      <c r="G24">
        <v>1</v>
      </c>
      <c r="H24" t="s">
        <v>4465</v>
      </c>
      <c r="I24" t="s">
        <v>1621</v>
      </c>
      <c r="J24" t="s">
        <v>5748</v>
      </c>
    </row>
    <row r="25" spans="1:10" ht="15" customHeight="1" x14ac:dyDescent="0.25">
      <c r="A25" t="s">
        <v>5777</v>
      </c>
      <c r="B25" t="s">
        <v>3508</v>
      </c>
      <c r="C25" t="s">
        <v>5353</v>
      </c>
      <c r="D25">
        <v>0</v>
      </c>
      <c r="E25" t="s">
        <v>5778</v>
      </c>
      <c r="F25" t="s">
        <v>5779</v>
      </c>
      <c r="G25">
        <v>0</v>
      </c>
      <c r="H25" t="s">
        <v>5777</v>
      </c>
      <c r="I25" t="s">
        <v>90</v>
      </c>
      <c r="J25" t="s">
        <v>5765</v>
      </c>
    </row>
    <row r="26" spans="1:10" ht="15" customHeight="1" x14ac:dyDescent="0.25">
      <c r="A26" t="s">
        <v>5780</v>
      </c>
      <c r="B26" t="s">
        <v>3496</v>
      </c>
      <c r="C26" t="s">
        <v>5715</v>
      </c>
      <c r="D26">
        <v>3</v>
      </c>
      <c r="E26" t="s">
        <v>5781</v>
      </c>
      <c r="F26" t="s">
        <v>5782</v>
      </c>
      <c r="G26">
        <v>3</v>
      </c>
      <c r="H26" t="s">
        <v>5780</v>
      </c>
      <c r="I26" t="s">
        <v>90</v>
      </c>
      <c r="J26" t="s">
        <v>5728</v>
      </c>
    </row>
    <row r="27" spans="1:10" ht="15" customHeight="1" x14ac:dyDescent="0.25">
      <c r="A27" t="s">
        <v>5783</v>
      </c>
      <c r="B27" t="s">
        <v>4290</v>
      </c>
      <c r="C27" t="s">
        <v>3649</v>
      </c>
      <c r="D27">
        <v>1</v>
      </c>
      <c r="E27" t="s">
        <v>5784</v>
      </c>
      <c r="F27" t="s">
        <v>3452</v>
      </c>
      <c r="G27" t="s">
        <v>3452</v>
      </c>
      <c r="H27" t="s">
        <v>5785</v>
      </c>
      <c r="I27" t="s">
        <v>501</v>
      </c>
      <c r="J27" t="s">
        <v>5786</v>
      </c>
    </row>
    <row r="28" spans="1:10" ht="15" customHeight="1" x14ac:dyDescent="0.25">
      <c r="A28" t="s">
        <v>5153</v>
      </c>
      <c r="B28" t="s">
        <v>3508</v>
      </c>
      <c r="C28" t="s">
        <v>5353</v>
      </c>
      <c r="D28">
        <v>1</v>
      </c>
      <c r="E28" t="s">
        <v>5787</v>
      </c>
      <c r="F28" t="s">
        <v>5788</v>
      </c>
      <c r="G28">
        <v>1</v>
      </c>
      <c r="H28" t="s">
        <v>5153</v>
      </c>
      <c r="I28" t="s">
        <v>90</v>
      </c>
      <c r="J28" t="s">
        <v>5710</v>
      </c>
    </row>
    <row r="29" spans="1:10" ht="15" customHeight="1" x14ac:dyDescent="0.25">
      <c r="A29" t="s">
        <v>5789</v>
      </c>
      <c r="B29" t="s">
        <v>41</v>
      </c>
      <c r="C29" t="s">
        <v>5715</v>
      </c>
      <c r="D29">
        <v>1</v>
      </c>
      <c r="E29" t="s">
        <v>5790</v>
      </c>
      <c r="F29" t="s">
        <v>5790</v>
      </c>
      <c r="G29">
        <v>0</v>
      </c>
      <c r="H29" t="s">
        <v>5791</v>
      </c>
      <c r="I29" t="s">
        <v>90</v>
      </c>
      <c r="J29" t="s">
        <v>5728</v>
      </c>
    </row>
    <row r="30" spans="1:10" ht="15" customHeight="1" x14ac:dyDescent="0.25">
      <c r="A30" t="s">
        <v>5792</v>
      </c>
      <c r="B30" t="s">
        <v>3508</v>
      </c>
      <c r="C30" t="s">
        <v>5353</v>
      </c>
      <c r="D30">
        <v>0</v>
      </c>
      <c r="E30" t="s">
        <v>5793</v>
      </c>
      <c r="F30" t="s">
        <v>5794</v>
      </c>
      <c r="G30">
        <v>0</v>
      </c>
      <c r="H30" t="s">
        <v>5795</v>
      </c>
      <c r="I30" t="s">
        <v>90</v>
      </c>
      <c r="J30" t="s">
        <v>5796</v>
      </c>
    </row>
    <row r="31" spans="1:10" ht="15" customHeight="1" x14ac:dyDescent="0.25">
      <c r="A31" t="s">
        <v>5797</v>
      </c>
      <c r="B31" t="s">
        <v>3508</v>
      </c>
      <c r="C31" t="s">
        <v>5798</v>
      </c>
      <c r="D31">
        <v>3</v>
      </c>
      <c r="E31" t="s">
        <v>5799</v>
      </c>
      <c r="F31" t="s">
        <v>5800</v>
      </c>
      <c r="G31">
        <v>3</v>
      </c>
      <c r="H31" t="s">
        <v>5801</v>
      </c>
      <c r="I31" t="s">
        <v>1672</v>
      </c>
    </row>
    <row r="32" spans="1:10" ht="15" customHeight="1" x14ac:dyDescent="0.25">
      <c r="A32" t="s">
        <v>5802</v>
      </c>
      <c r="B32" t="s">
        <v>3508</v>
      </c>
      <c r="C32" t="s">
        <v>5353</v>
      </c>
      <c r="D32">
        <v>2</v>
      </c>
      <c r="E32" t="s">
        <v>5803</v>
      </c>
      <c r="F32" t="s">
        <v>5804</v>
      </c>
      <c r="G32">
        <v>2</v>
      </c>
      <c r="H32" t="s">
        <v>5805</v>
      </c>
      <c r="I32" t="s">
        <v>90</v>
      </c>
      <c r="J32" t="s">
        <v>5806</v>
      </c>
    </row>
    <row r="33" spans="1:10" ht="15" customHeight="1" x14ac:dyDescent="0.25">
      <c r="A33" t="s">
        <v>5807</v>
      </c>
      <c r="B33" t="s">
        <v>3496</v>
      </c>
      <c r="C33" t="s">
        <v>4590</v>
      </c>
      <c r="D33">
        <v>0</v>
      </c>
      <c r="E33" t="s">
        <v>5808</v>
      </c>
      <c r="F33" t="s">
        <v>5809</v>
      </c>
      <c r="G33">
        <v>0</v>
      </c>
      <c r="H33" t="s">
        <v>5807</v>
      </c>
      <c r="I33" t="s">
        <v>90</v>
      </c>
      <c r="J33" t="s">
        <v>5756</v>
      </c>
    </row>
    <row r="34" spans="1:10" ht="15" customHeight="1" x14ac:dyDescent="0.25">
      <c r="A34" t="s">
        <v>5159</v>
      </c>
      <c r="B34" t="s">
        <v>3496</v>
      </c>
      <c r="C34" t="s">
        <v>4590</v>
      </c>
      <c r="D34">
        <v>2</v>
      </c>
      <c r="E34" t="s">
        <v>5810</v>
      </c>
      <c r="F34" t="s">
        <v>5811</v>
      </c>
      <c r="G34">
        <v>2</v>
      </c>
      <c r="H34" t="s">
        <v>5159</v>
      </c>
      <c r="I34" t="s">
        <v>90</v>
      </c>
      <c r="J34" t="s">
        <v>5812</v>
      </c>
    </row>
    <row r="35" spans="1:10" ht="15" customHeight="1" x14ac:dyDescent="0.25">
      <c r="A35" t="s">
        <v>5813</v>
      </c>
      <c r="B35" t="s">
        <v>3496</v>
      </c>
      <c r="C35" t="s">
        <v>5353</v>
      </c>
      <c r="D35">
        <v>3</v>
      </c>
      <c r="E35" t="s">
        <v>5814</v>
      </c>
      <c r="F35" t="s">
        <v>5814</v>
      </c>
      <c r="G35">
        <v>2</v>
      </c>
      <c r="H35" t="s">
        <v>5815</v>
      </c>
      <c r="I35" t="s">
        <v>90</v>
      </c>
      <c r="J35" t="s">
        <v>5816</v>
      </c>
    </row>
    <row r="36" spans="1:10" ht="15" customHeight="1" x14ac:dyDescent="0.25">
      <c r="A36" t="s">
        <v>3995</v>
      </c>
      <c r="B36" t="s">
        <v>4290</v>
      </c>
      <c r="C36" t="s">
        <v>3649</v>
      </c>
      <c r="D36" t="s">
        <v>3990</v>
      </c>
      <c r="E36" t="s">
        <v>5817</v>
      </c>
      <c r="F36" t="s">
        <v>5818</v>
      </c>
      <c r="G36" t="s">
        <v>3990</v>
      </c>
      <c r="H36" t="s">
        <v>3995</v>
      </c>
      <c r="I36" t="s">
        <v>90</v>
      </c>
    </row>
    <row r="37" spans="1:10" ht="15" customHeight="1" x14ac:dyDescent="0.25">
      <c r="A37" t="s">
        <v>5819</v>
      </c>
      <c r="B37" t="s">
        <v>3508</v>
      </c>
      <c r="C37" t="s">
        <v>5353</v>
      </c>
      <c r="D37">
        <v>1</v>
      </c>
      <c r="E37" t="s">
        <v>5820</v>
      </c>
      <c r="F37" t="s">
        <v>5821</v>
      </c>
      <c r="G37">
        <v>1</v>
      </c>
      <c r="H37" t="s">
        <v>5822</v>
      </c>
      <c r="I37" t="s">
        <v>90</v>
      </c>
      <c r="J37" t="s">
        <v>5823</v>
      </c>
    </row>
    <row r="38" spans="1:10" ht="15" customHeight="1" x14ac:dyDescent="0.25">
      <c r="A38" t="s">
        <v>5163</v>
      </c>
      <c r="B38" t="s">
        <v>3496</v>
      </c>
      <c r="C38" t="s">
        <v>5353</v>
      </c>
      <c r="D38">
        <v>1</v>
      </c>
      <c r="E38" t="s">
        <v>5824</v>
      </c>
      <c r="F38" t="s">
        <v>5825</v>
      </c>
      <c r="G38">
        <v>1</v>
      </c>
      <c r="H38" t="s">
        <v>5163</v>
      </c>
      <c r="I38" t="s">
        <v>90</v>
      </c>
      <c r="J38" t="s">
        <v>5816</v>
      </c>
    </row>
    <row r="39" spans="1:10" ht="15" customHeight="1" x14ac:dyDescent="0.25">
      <c r="A39" t="s">
        <v>5826</v>
      </c>
      <c r="B39" t="s">
        <v>3508</v>
      </c>
      <c r="C39" t="s">
        <v>5353</v>
      </c>
      <c r="D39">
        <v>0</v>
      </c>
      <c r="E39" t="s">
        <v>5827</v>
      </c>
      <c r="F39" t="s">
        <v>5828</v>
      </c>
      <c r="G39">
        <v>0</v>
      </c>
      <c r="H39" t="s">
        <v>5829</v>
      </c>
      <c r="I39" t="s">
        <v>90</v>
      </c>
      <c r="J39" t="s">
        <v>5830</v>
      </c>
    </row>
    <row r="40" spans="1:10" ht="15" customHeight="1" x14ac:dyDescent="0.25">
      <c r="A40" t="s">
        <v>5831</v>
      </c>
      <c r="B40" t="s">
        <v>3508</v>
      </c>
      <c r="C40" t="s">
        <v>4590</v>
      </c>
      <c r="D40">
        <v>1</v>
      </c>
      <c r="E40" t="s">
        <v>5662</v>
      </c>
      <c r="F40" t="s">
        <v>5832</v>
      </c>
      <c r="G40">
        <v>1</v>
      </c>
      <c r="H40" t="s">
        <v>5831</v>
      </c>
      <c r="I40" t="s">
        <v>90</v>
      </c>
      <c r="J40" t="s">
        <v>5710</v>
      </c>
    </row>
    <row r="41" spans="1:10" ht="15" customHeight="1" x14ac:dyDescent="0.25">
      <c r="A41" t="s">
        <v>5833</v>
      </c>
      <c r="B41" t="s">
        <v>3508</v>
      </c>
      <c r="C41" t="s">
        <v>5715</v>
      </c>
      <c r="D41">
        <v>2</v>
      </c>
      <c r="E41" t="s">
        <v>5834</v>
      </c>
      <c r="F41" t="s">
        <v>5835</v>
      </c>
      <c r="G41">
        <v>2</v>
      </c>
      <c r="H41" t="s">
        <v>5833</v>
      </c>
      <c r="I41" t="s">
        <v>90</v>
      </c>
      <c r="J41" t="s">
        <v>5728</v>
      </c>
    </row>
    <row r="42" spans="1:10" ht="15" customHeight="1" x14ac:dyDescent="0.25">
      <c r="A42" t="s">
        <v>5836</v>
      </c>
      <c r="B42" t="s">
        <v>3508</v>
      </c>
      <c r="C42" t="s">
        <v>5353</v>
      </c>
      <c r="D42">
        <v>1</v>
      </c>
      <c r="E42" t="s">
        <v>5837</v>
      </c>
      <c r="F42" t="s">
        <v>5838</v>
      </c>
      <c r="G42">
        <v>1</v>
      </c>
      <c r="H42" t="s">
        <v>5836</v>
      </c>
      <c r="I42" t="s">
        <v>90</v>
      </c>
      <c r="J42" t="s">
        <v>5806</v>
      </c>
    </row>
    <row r="43" spans="1:10" ht="15" customHeight="1" x14ac:dyDescent="0.25">
      <c r="A43" t="s">
        <v>5839</v>
      </c>
      <c r="B43" t="s">
        <v>3508</v>
      </c>
      <c r="C43" t="s">
        <v>5715</v>
      </c>
      <c r="D43">
        <v>2</v>
      </c>
      <c r="E43" t="s">
        <v>5840</v>
      </c>
      <c r="F43" t="s">
        <v>5841</v>
      </c>
      <c r="G43">
        <v>2</v>
      </c>
      <c r="H43" t="s">
        <v>5839</v>
      </c>
      <c r="I43" t="s">
        <v>90</v>
      </c>
      <c r="J43" t="s">
        <v>5842</v>
      </c>
    </row>
    <row r="44" spans="1:10" ht="15" customHeight="1" x14ac:dyDescent="0.25">
      <c r="A44" t="s">
        <v>5843</v>
      </c>
      <c r="B44" t="s">
        <v>41</v>
      </c>
      <c r="C44" t="s">
        <v>5715</v>
      </c>
      <c r="D44">
        <v>0</v>
      </c>
      <c r="E44" t="s">
        <v>5844</v>
      </c>
      <c r="F44" t="s">
        <v>5845</v>
      </c>
      <c r="G44">
        <v>0</v>
      </c>
      <c r="H44" t="s">
        <v>5843</v>
      </c>
      <c r="I44" t="s">
        <v>90</v>
      </c>
      <c r="J44" t="s">
        <v>5728</v>
      </c>
    </row>
    <row r="45" spans="1:10" ht="15" customHeight="1" x14ac:dyDescent="0.25">
      <c r="A45" t="s">
        <v>5846</v>
      </c>
      <c r="B45" t="s">
        <v>41</v>
      </c>
      <c r="C45" t="s">
        <v>5715</v>
      </c>
      <c r="D45">
        <v>0</v>
      </c>
      <c r="E45" t="s">
        <v>5847</v>
      </c>
      <c r="F45" t="s">
        <v>5848</v>
      </c>
      <c r="G45">
        <v>0</v>
      </c>
      <c r="H45" t="s">
        <v>5846</v>
      </c>
      <c r="I45" t="s">
        <v>90</v>
      </c>
      <c r="J45" t="s">
        <v>5849</v>
      </c>
    </row>
    <row r="46" spans="1:10" ht="15" customHeight="1" x14ac:dyDescent="0.25">
      <c r="A46" t="s">
        <v>5403</v>
      </c>
      <c r="B46" t="s">
        <v>41</v>
      </c>
      <c r="C46" t="s">
        <v>5715</v>
      </c>
      <c r="D46">
        <v>1</v>
      </c>
      <c r="E46" t="s">
        <v>5850</v>
      </c>
      <c r="F46" t="s">
        <v>5851</v>
      </c>
      <c r="G46">
        <v>1</v>
      </c>
      <c r="H46" t="s">
        <v>5403</v>
      </c>
      <c r="I46" t="s">
        <v>90</v>
      </c>
      <c r="J46" t="s">
        <v>5852</v>
      </c>
    </row>
    <row r="47" spans="1:10" ht="15" customHeight="1" x14ac:dyDescent="0.25">
      <c r="A47" t="s">
        <v>5853</v>
      </c>
      <c r="B47" t="s">
        <v>41</v>
      </c>
      <c r="C47" t="s">
        <v>5353</v>
      </c>
      <c r="D47">
        <v>1</v>
      </c>
      <c r="E47" t="s">
        <v>5854</v>
      </c>
      <c r="F47" t="s">
        <v>5855</v>
      </c>
      <c r="G47">
        <v>1</v>
      </c>
      <c r="H47" t="s">
        <v>5856</v>
      </c>
      <c r="I47" t="s">
        <v>90</v>
      </c>
      <c r="J47" t="s">
        <v>5710</v>
      </c>
    </row>
    <row r="48" spans="1:10" ht="15" customHeight="1" x14ac:dyDescent="0.25">
      <c r="A48" t="s">
        <v>5857</v>
      </c>
      <c r="B48" t="s">
        <v>41</v>
      </c>
      <c r="C48" t="s">
        <v>5715</v>
      </c>
      <c r="D48">
        <v>2</v>
      </c>
      <c r="E48" t="s">
        <v>5858</v>
      </c>
      <c r="F48" t="s">
        <v>5859</v>
      </c>
      <c r="G48">
        <v>2</v>
      </c>
      <c r="H48" t="s">
        <v>5857</v>
      </c>
      <c r="I48" t="s">
        <v>90</v>
      </c>
      <c r="J48" t="s">
        <v>5860</v>
      </c>
    </row>
    <row r="49" spans="1:10" ht="15" customHeight="1" x14ac:dyDescent="0.25">
      <c r="A49" t="s">
        <v>5861</v>
      </c>
      <c r="B49" t="s">
        <v>4290</v>
      </c>
      <c r="C49" t="s">
        <v>4238</v>
      </c>
      <c r="D49" t="s">
        <v>3990</v>
      </c>
      <c r="E49" t="s">
        <v>5862</v>
      </c>
      <c r="F49" t="s">
        <v>3452</v>
      </c>
      <c r="G49" t="s">
        <v>3452</v>
      </c>
      <c r="H49" t="s">
        <v>5861</v>
      </c>
      <c r="I49" t="s">
        <v>90</v>
      </c>
      <c r="J49" t="s">
        <v>5863</v>
      </c>
    </row>
    <row r="50" spans="1:10" ht="15" customHeight="1" x14ac:dyDescent="0.25">
      <c r="A50" t="s">
        <v>5861</v>
      </c>
      <c r="B50" t="s">
        <v>41</v>
      </c>
      <c r="C50" t="s">
        <v>5434</v>
      </c>
      <c r="D50">
        <v>1</v>
      </c>
      <c r="E50" t="s">
        <v>5864</v>
      </c>
      <c r="F50" t="s">
        <v>5865</v>
      </c>
      <c r="G50">
        <v>1</v>
      </c>
      <c r="H50" t="s">
        <v>5861</v>
      </c>
      <c r="I50" t="s">
        <v>5866</v>
      </c>
      <c r="J50" t="s">
        <v>5867</v>
      </c>
    </row>
    <row r="51" spans="1:10" ht="15" customHeight="1" x14ac:dyDescent="0.25">
      <c r="A51" t="s">
        <v>5868</v>
      </c>
      <c r="B51" t="s">
        <v>3508</v>
      </c>
      <c r="C51" t="s">
        <v>4590</v>
      </c>
      <c r="D51">
        <v>1</v>
      </c>
      <c r="E51" t="s">
        <v>5869</v>
      </c>
      <c r="F51" t="s">
        <v>5870</v>
      </c>
      <c r="G51">
        <v>1</v>
      </c>
      <c r="H51" t="s">
        <v>5868</v>
      </c>
      <c r="I51" t="s">
        <v>90</v>
      </c>
      <c r="J51" t="s">
        <v>5728</v>
      </c>
    </row>
    <row r="52" spans="1:10" ht="15" customHeight="1" x14ac:dyDescent="0.25">
      <c r="A52" t="s">
        <v>5871</v>
      </c>
      <c r="B52" t="s">
        <v>3508</v>
      </c>
      <c r="C52" t="s">
        <v>5353</v>
      </c>
      <c r="D52">
        <v>0</v>
      </c>
      <c r="E52" t="s">
        <v>5872</v>
      </c>
      <c r="F52" t="s">
        <v>5873</v>
      </c>
      <c r="G52">
        <v>0</v>
      </c>
      <c r="H52" t="s">
        <v>5871</v>
      </c>
      <c r="I52" t="s">
        <v>90</v>
      </c>
      <c r="J52" t="s">
        <v>5874</v>
      </c>
    </row>
    <row r="53" spans="1:10" ht="15" customHeight="1" x14ac:dyDescent="0.25">
      <c r="A53" t="s">
        <v>5172</v>
      </c>
      <c r="B53" t="s">
        <v>3496</v>
      </c>
      <c r="C53" t="s">
        <v>5353</v>
      </c>
      <c r="D53">
        <v>2</v>
      </c>
      <c r="E53" t="s">
        <v>5875</v>
      </c>
      <c r="F53" t="s">
        <v>5876</v>
      </c>
      <c r="G53">
        <v>2</v>
      </c>
      <c r="H53" t="s">
        <v>5174</v>
      </c>
      <c r="I53" t="s">
        <v>90</v>
      </c>
      <c r="J53" t="s">
        <v>5877</v>
      </c>
    </row>
    <row r="54" spans="1:10" ht="15" customHeight="1" x14ac:dyDescent="0.25">
      <c r="A54" t="s">
        <v>5878</v>
      </c>
      <c r="B54" t="s">
        <v>3496</v>
      </c>
      <c r="C54" t="s">
        <v>4590</v>
      </c>
      <c r="D54">
        <v>3</v>
      </c>
      <c r="E54" t="s">
        <v>5879</v>
      </c>
      <c r="F54" t="s">
        <v>5879</v>
      </c>
      <c r="G54">
        <v>2</v>
      </c>
      <c r="H54" t="s">
        <v>5878</v>
      </c>
      <c r="I54" t="s">
        <v>90</v>
      </c>
      <c r="J54" t="s">
        <v>5765</v>
      </c>
    </row>
    <row r="55" spans="1:10" ht="15" customHeight="1" x14ac:dyDescent="0.25">
      <c r="A55" t="s">
        <v>5880</v>
      </c>
      <c r="B55" t="s">
        <v>3508</v>
      </c>
      <c r="C55" t="s">
        <v>5353</v>
      </c>
      <c r="D55">
        <v>2</v>
      </c>
      <c r="E55" t="s">
        <v>5881</v>
      </c>
      <c r="F55" t="s">
        <v>5882</v>
      </c>
      <c r="G55">
        <v>2</v>
      </c>
      <c r="H55" t="s">
        <v>5883</v>
      </c>
      <c r="I55" t="s">
        <v>90</v>
      </c>
      <c r="J55" t="s">
        <v>5877</v>
      </c>
    </row>
    <row r="56" spans="1:10" ht="15" customHeight="1" x14ac:dyDescent="0.25">
      <c r="A56" t="s">
        <v>5884</v>
      </c>
      <c r="B56" t="s">
        <v>3496</v>
      </c>
      <c r="C56" t="s">
        <v>5434</v>
      </c>
      <c r="D56">
        <v>1</v>
      </c>
      <c r="E56" t="s">
        <v>5864</v>
      </c>
      <c r="F56" t="s">
        <v>5865</v>
      </c>
      <c r="G56">
        <v>1</v>
      </c>
      <c r="H56" t="s">
        <v>5884</v>
      </c>
      <c r="I56" t="s">
        <v>5866</v>
      </c>
      <c r="J56" t="s">
        <v>5867</v>
      </c>
    </row>
    <row r="57" spans="1:10" ht="15" customHeight="1" x14ac:dyDescent="0.25">
      <c r="A57" t="s">
        <v>5885</v>
      </c>
      <c r="B57" t="s">
        <v>41</v>
      </c>
      <c r="C57" t="s">
        <v>5715</v>
      </c>
      <c r="D57">
        <v>1</v>
      </c>
      <c r="E57" t="s">
        <v>5886</v>
      </c>
      <c r="F57" t="s">
        <v>5887</v>
      </c>
      <c r="G57">
        <v>1</v>
      </c>
      <c r="H57" t="s">
        <v>5888</v>
      </c>
      <c r="I57" t="s">
        <v>90</v>
      </c>
      <c r="J57" t="s">
        <v>5889</v>
      </c>
    </row>
    <row r="58" spans="1:10" ht="15" customHeight="1" x14ac:dyDescent="0.25">
      <c r="A58" t="s">
        <v>5890</v>
      </c>
      <c r="B58" t="s">
        <v>41</v>
      </c>
      <c r="C58" t="s">
        <v>5715</v>
      </c>
      <c r="D58">
        <v>1</v>
      </c>
      <c r="E58" t="s">
        <v>5891</v>
      </c>
      <c r="F58" t="s">
        <v>5892</v>
      </c>
      <c r="G58">
        <v>1</v>
      </c>
      <c r="H58" t="s">
        <v>5893</v>
      </c>
      <c r="I58" t="s">
        <v>90</v>
      </c>
      <c r="J58" t="s">
        <v>5894</v>
      </c>
    </row>
    <row r="59" spans="1:10" ht="15" customHeight="1" x14ac:dyDescent="0.25">
      <c r="A59" t="s">
        <v>5895</v>
      </c>
      <c r="B59" t="s">
        <v>3508</v>
      </c>
      <c r="C59" t="s">
        <v>4590</v>
      </c>
      <c r="D59">
        <v>2</v>
      </c>
      <c r="E59" t="s">
        <v>5896</v>
      </c>
      <c r="F59" t="s">
        <v>5896</v>
      </c>
      <c r="G59">
        <v>1</v>
      </c>
      <c r="H59" t="s">
        <v>5897</v>
      </c>
      <c r="I59" t="s">
        <v>90</v>
      </c>
      <c r="J59" t="s">
        <v>5823</v>
      </c>
    </row>
    <row r="60" spans="1:10" ht="15" customHeight="1" x14ac:dyDescent="0.25">
      <c r="A60" t="s">
        <v>3438</v>
      </c>
      <c r="B60" t="s">
        <v>3508</v>
      </c>
      <c r="C60" t="s">
        <v>5715</v>
      </c>
      <c r="D60">
        <v>2</v>
      </c>
      <c r="E60" t="s">
        <v>5898</v>
      </c>
      <c r="F60" t="s">
        <v>5899</v>
      </c>
      <c r="G60">
        <v>2</v>
      </c>
      <c r="H60" t="s">
        <v>3438</v>
      </c>
      <c r="I60" t="s">
        <v>90</v>
      </c>
      <c r="J60" t="s">
        <v>5900</v>
      </c>
    </row>
    <row r="61" spans="1:10" ht="15" customHeight="1" x14ac:dyDescent="0.25">
      <c r="A61" t="s">
        <v>5901</v>
      </c>
      <c r="B61" t="s">
        <v>4290</v>
      </c>
      <c r="C61" t="s">
        <v>3649</v>
      </c>
      <c r="D61" t="s">
        <v>3990</v>
      </c>
      <c r="E61" t="s">
        <v>5902</v>
      </c>
      <c r="F61" t="s">
        <v>3452</v>
      </c>
      <c r="G61" t="s">
        <v>3990</v>
      </c>
      <c r="H61" t="s">
        <v>5901</v>
      </c>
      <c r="I61" t="s">
        <v>90</v>
      </c>
    </row>
    <row r="62" spans="1:10" ht="15" customHeight="1" x14ac:dyDescent="0.25">
      <c r="A62" t="s">
        <v>5903</v>
      </c>
      <c r="B62" t="s">
        <v>41</v>
      </c>
      <c r="C62" t="s">
        <v>5353</v>
      </c>
      <c r="D62">
        <v>1</v>
      </c>
      <c r="E62" t="s">
        <v>5904</v>
      </c>
      <c r="F62" t="s">
        <v>5905</v>
      </c>
      <c r="G62">
        <v>1</v>
      </c>
      <c r="H62" t="s">
        <v>5906</v>
      </c>
      <c r="I62" t="s">
        <v>90</v>
      </c>
      <c r="J62" t="s">
        <v>5806</v>
      </c>
    </row>
    <row r="63" spans="1:10" ht="15" customHeight="1" x14ac:dyDescent="0.25">
      <c r="A63" t="s">
        <v>4252</v>
      </c>
      <c r="B63" t="s">
        <v>4290</v>
      </c>
      <c r="C63" t="s">
        <v>4238</v>
      </c>
      <c r="D63" t="s">
        <v>3990</v>
      </c>
      <c r="E63" t="s">
        <v>5907</v>
      </c>
      <c r="F63" t="s">
        <v>3452</v>
      </c>
      <c r="G63" t="s">
        <v>3452</v>
      </c>
      <c r="H63" t="s">
        <v>4252</v>
      </c>
      <c r="I63" t="s">
        <v>90</v>
      </c>
      <c r="J63" t="s">
        <v>5863</v>
      </c>
    </row>
    <row r="64" spans="1:10" ht="15" customHeight="1" x14ac:dyDescent="0.25">
      <c r="A64" t="s">
        <v>5908</v>
      </c>
      <c r="B64" t="s">
        <v>3540</v>
      </c>
      <c r="C64" t="s">
        <v>5353</v>
      </c>
      <c r="D64">
        <v>1</v>
      </c>
      <c r="E64" t="s">
        <v>5909</v>
      </c>
      <c r="F64" t="s">
        <v>5910</v>
      </c>
      <c r="G64">
        <v>1</v>
      </c>
      <c r="H64" t="s">
        <v>3452</v>
      </c>
      <c r="I64" t="s">
        <v>3452</v>
      </c>
    </row>
    <row r="65" spans="1:10" ht="15" customHeight="1" x14ac:dyDescent="0.25">
      <c r="A65" t="s">
        <v>5911</v>
      </c>
      <c r="B65" t="s">
        <v>41</v>
      </c>
      <c r="C65" t="s">
        <v>5434</v>
      </c>
      <c r="D65">
        <v>1</v>
      </c>
      <c r="E65" t="s">
        <v>5864</v>
      </c>
      <c r="F65" t="s">
        <v>5865</v>
      </c>
      <c r="G65">
        <v>1</v>
      </c>
      <c r="H65" t="s">
        <v>5911</v>
      </c>
      <c r="I65" t="s">
        <v>5866</v>
      </c>
      <c r="J65" t="s">
        <v>5912</v>
      </c>
    </row>
    <row r="66" spans="1:10" ht="15" customHeight="1" x14ac:dyDescent="0.25">
      <c r="A66" t="s">
        <v>5913</v>
      </c>
      <c r="B66" t="s">
        <v>41</v>
      </c>
      <c r="C66" t="s">
        <v>5353</v>
      </c>
      <c r="D66">
        <v>0</v>
      </c>
      <c r="E66" t="s">
        <v>5914</v>
      </c>
      <c r="F66" t="s">
        <v>5915</v>
      </c>
      <c r="G66">
        <v>0</v>
      </c>
      <c r="H66" t="s">
        <v>5913</v>
      </c>
      <c r="I66" t="s">
        <v>90</v>
      </c>
      <c r="J66" t="s">
        <v>5710</v>
      </c>
    </row>
    <row r="67" spans="1:10" ht="15" customHeight="1" x14ac:dyDescent="0.25">
      <c r="A67" t="s">
        <v>5916</v>
      </c>
      <c r="B67" t="s">
        <v>3496</v>
      </c>
      <c r="C67" t="s">
        <v>4590</v>
      </c>
      <c r="D67">
        <v>3</v>
      </c>
      <c r="E67" t="s">
        <v>5917</v>
      </c>
      <c r="F67" t="s">
        <v>5918</v>
      </c>
      <c r="G67">
        <v>3</v>
      </c>
      <c r="H67" t="s">
        <v>5919</v>
      </c>
      <c r="I67" t="s">
        <v>90</v>
      </c>
      <c r="J67" t="s">
        <v>5920</v>
      </c>
    </row>
    <row r="68" spans="1:10" ht="15" customHeight="1" x14ac:dyDescent="0.25">
      <c r="A68" t="s">
        <v>4575</v>
      </c>
      <c r="B68" t="s">
        <v>3508</v>
      </c>
      <c r="C68" t="s">
        <v>5715</v>
      </c>
      <c r="D68">
        <v>0</v>
      </c>
      <c r="E68" t="s">
        <v>5921</v>
      </c>
      <c r="F68" t="s">
        <v>5921</v>
      </c>
      <c r="G68">
        <v>1</v>
      </c>
      <c r="H68" t="s">
        <v>4575</v>
      </c>
      <c r="I68" t="s">
        <v>1621</v>
      </c>
      <c r="J68" t="s">
        <v>5748</v>
      </c>
    </row>
    <row r="69" spans="1:10" ht="15" customHeight="1" x14ac:dyDescent="0.25">
      <c r="A69" t="s">
        <v>5922</v>
      </c>
      <c r="B69" t="s">
        <v>3496</v>
      </c>
      <c r="C69" t="s">
        <v>5715</v>
      </c>
      <c r="D69">
        <v>1</v>
      </c>
      <c r="E69" t="s">
        <v>5923</v>
      </c>
      <c r="F69" t="s">
        <v>5924</v>
      </c>
      <c r="G69">
        <v>1</v>
      </c>
      <c r="H69" t="s">
        <v>5925</v>
      </c>
      <c r="I69" t="s">
        <v>90</v>
      </c>
      <c r="J69" t="s">
        <v>5926</v>
      </c>
    </row>
    <row r="70" spans="1:10" ht="15" customHeight="1" x14ac:dyDescent="0.25">
      <c r="A70" t="s">
        <v>5927</v>
      </c>
      <c r="B70" t="s">
        <v>3508</v>
      </c>
      <c r="C70" t="s">
        <v>5353</v>
      </c>
      <c r="D70">
        <v>1</v>
      </c>
      <c r="E70" t="s">
        <v>5928</v>
      </c>
      <c r="F70" t="s">
        <v>5929</v>
      </c>
      <c r="G70">
        <v>1</v>
      </c>
      <c r="H70" t="s">
        <v>5927</v>
      </c>
      <c r="I70" t="s">
        <v>90</v>
      </c>
      <c r="J70" t="s">
        <v>5930</v>
      </c>
    </row>
    <row r="71" spans="1:10" ht="15" customHeight="1" x14ac:dyDescent="0.25">
      <c r="A71" t="s">
        <v>5931</v>
      </c>
      <c r="B71" t="s">
        <v>3508</v>
      </c>
      <c r="C71" t="s">
        <v>5353</v>
      </c>
      <c r="D71">
        <v>1</v>
      </c>
      <c r="E71" t="s">
        <v>5932</v>
      </c>
      <c r="F71" t="s">
        <v>5932</v>
      </c>
      <c r="G71">
        <v>0</v>
      </c>
      <c r="H71" t="s">
        <v>5931</v>
      </c>
      <c r="I71" t="s">
        <v>90</v>
      </c>
      <c r="J71" t="s">
        <v>5933</v>
      </c>
    </row>
    <row r="72" spans="1:10" ht="15" customHeight="1" x14ac:dyDescent="0.25">
      <c r="A72" t="s">
        <v>5934</v>
      </c>
      <c r="B72" t="s">
        <v>41</v>
      </c>
      <c r="C72" t="s">
        <v>5353</v>
      </c>
      <c r="D72">
        <v>1</v>
      </c>
      <c r="E72" t="s">
        <v>5935</v>
      </c>
      <c r="F72" t="s">
        <v>5936</v>
      </c>
      <c r="G72">
        <v>1</v>
      </c>
      <c r="H72" t="s">
        <v>5937</v>
      </c>
      <c r="I72" t="s">
        <v>90</v>
      </c>
      <c r="J72" t="s">
        <v>5710</v>
      </c>
    </row>
    <row r="73" spans="1:10" ht="15" customHeight="1" x14ac:dyDescent="0.25">
      <c r="A73" t="s">
        <v>5938</v>
      </c>
      <c r="B73" t="s">
        <v>3496</v>
      </c>
      <c r="C73" t="s">
        <v>5353</v>
      </c>
      <c r="D73" t="s">
        <v>5939</v>
      </c>
      <c r="E73" t="s">
        <v>5940</v>
      </c>
      <c r="F73" t="s">
        <v>5941</v>
      </c>
      <c r="G73" t="s">
        <v>5939</v>
      </c>
      <c r="H73" t="s">
        <v>5938</v>
      </c>
      <c r="I73" t="s">
        <v>90</v>
      </c>
      <c r="J73" t="s">
        <v>5942</v>
      </c>
    </row>
    <row r="74" spans="1:10" ht="15" customHeight="1" x14ac:dyDescent="0.25">
      <c r="A74" t="s">
        <v>5357</v>
      </c>
      <c r="B74" t="s">
        <v>3496</v>
      </c>
      <c r="C74" t="s">
        <v>5353</v>
      </c>
      <c r="D74">
        <v>1</v>
      </c>
      <c r="E74" t="s">
        <v>5943</v>
      </c>
      <c r="F74" t="s">
        <v>5944</v>
      </c>
      <c r="G74">
        <v>1</v>
      </c>
      <c r="H74" t="s">
        <v>5359</v>
      </c>
      <c r="I74" t="s">
        <v>90</v>
      </c>
      <c r="J74" t="s">
        <v>5945</v>
      </c>
    </row>
    <row r="75" spans="1:10" ht="15" customHeight="1" x14ac:dyDescent="0.25">
      <c r="A75" t="s">
        <v>5946</v>
      </c>
      <c r="B75" t="s">
        <v>4290</v>
      </c>
      <c r="C75" t="s">
        <v>4238</v>
      </c>
      <c r="D75" t="s">
        <v>3990</v>
      </c>
      <c r="E75" t="s">
        <v>5947</v>
      </c>
      <c r="F75" t="s">
        <v>3452</v>
      </c>
      <c r="G75" t="s">
        <v>3452</v>
      </c>
      <c r="H75" t="s">
        <v>5946</v>
      </c>
      <c r="I75" t="s">
        <v>90</v>
      </c>
      <c r="J75" t="s">
        <v>5863</v>
      </c>
    </row>
    <row r="76" spans="1:10" ht="15" customHeight="1" x14ac:dyDescent="0.25">
      <c r="A76" t="s">
        <v>5948</v>
      </c>
      <c r="B76" t="s">
        <v>3508</v>
      </c>
      <c r="C76" t="s">
        <v>5715</v>
      </c>
      <c r="D76">
        <v>1</v>
      </c>
      <c r="E76" t="s">
        <v>5949</v>
      </c>
      <c r="F76" t="s">
        <v>5950</v>
      </c>
      <c r="G76">
        <v>1</v>
      </c>
      <c r="H76" t="s">
        <v>5948</v>
      </c>
      <c r="I76" t="s">
        <v>90</v>
      </c>
      <c r="J76" t="s">
        <v>5951</v>
      </c>
    </row>
    <row r="77" spans="1:10" ht="15" customHeight="1" x14ac:dyDescent="0.25">
      <c r="A77" t="s">
        <v>5952</v>
      </c>
      <c r="B77" t="s">
        <v>3508</v>
      </c>
      <c r="C77" t="s">
        <v>5434</v>
      </c>
      <c r="D77">
        <v>1</v>
      </c>
      <c r="E77" t="s">
        <v>5953</v>
      </c>
      <c r="F77" t="s">
        <v>5954</v>
      </c>
      <c r="G77">
        <v>1</v>
      </c>
      <c r="H77" t="s">
        <v>5952</v>
      </c>
      <c r="I77" t="s">
        <v>5866</v>
      </c>
      <c r="J77" t="s">
        <v>5955</v>
      </c>
    </row>
    <row r="78" spans="1:10" ht="15" customHeight="1" x14ac:dyDescent="0.25">
      <c r="A78" t="s">
        <v>5956</v>
      </c>
      <c r="B78" t="s">
        <v>3508</v>
      </c>
      <c r="C78" t="s">
        <v>5353</v>
      </c>
      <c r="D78">
        <v>1</v>
      </c>
      <c r="E78" t="s">
        <v>5957</v>
      </c>
      <c r="F78" t="s">
        <v>5958</v>
      </c>
      <c r="G78">
        <v>1</v>
      </c>
      <c r="H78" t="s">
        <v>5959</v>
      </c>
      <c r="I78" t="s">
        <v>90</v>
      </c>
      <c r="J78" t="s">
        <v>5756</v>
      </c>
    </row>
    <row r="79" spans="1:10" ht="15" customHeight="1" x14ac:dyDescent="0.25">
      <c r="A79" t="s">
        <v>5960</v>
      </c>
      <c r="B79" t="s">
        <v>3508</v>
      </c>
      <c r="C79" t="s">
        <v>5715</v>
      </c>
      <c r="D79">
        <v>0</v>
      </c>
      <c r="E79" t="s">
        <v>5961</v>
      </c>
      <c r="F79" t="s">
        <v>5962</v>
      </c>
      <c r="G79">
        <v>0</v>
      </c>
      <c r="H79" t="s">
        <v>5963</v>
      </c>
      <c r="I79" t="s">
        <v>90</v>
      </c>
      <c r="J79" t="s">
        <v>5770</v>
      </c>
    </row>
    <row r="80" spans="1:10" ht="15" customHeight="1" x14ac:dyDescent="0.25">
      <c r="A80" t="s">
        <v>5964</v>
      </c>
      <c r="B80" t="s">
        <v>3508</v>
      </c>
      <c r="C80" t="s">
        <v>5353</v>
      </c>
      <c r="D80">
        <v>2</v>
      </c>
      <c r="E80" t="s">
        <v>5965</v>
      </c>
      <c r="F80" t="s">
        <v>5965</v>
      </c>
      <c r="G80">
        <v>1</v>
      </c>
      <c r="H80" t="s">
        <v>5964</v>
      </c>
      <c r="I80" t="s">
        <v>90</v>
      </c>
      <c r="J80" t="s">
        <v>5732</v>
      </c>
    </row>
    <row r="81" spans="1:10" ht="15" customHeight="1" x14ac:dyDescent="0.25">
      <c r="A81" t="s">
        <v>5189</v>
      </c>
      <c r="B81" t="s">
        <v>3496</v>
      </c>
      <c r="C81" t="s">
        <v>4590</v>
      </c>
      <c r="D81">
        <v>2</v>
      </c>
      <c r="E81" t="s">
        <v>5966</v>
      </c>
      <c r="F81" t="s">
        <v>5966</v>
      </c>
      <c r="G81">
        <v>1</v>
      </c>
      <c r="H81" t="s">
        <v>5189</v>
      </c>
      <c r="I81" t="s">
        <v>90</v>
      </c>
      <c r="J81" t="s">
        <v>5842</v>
      </c>
    </row>
    <row r="82" spans="1:10" ht="15" customHeight="1" x14ac:dyDescent="0.25">
      <c r="A82" t="s">
        <v>5967</v>
      </c>
      <c r="B82" t="s">
        <v>3508</v>
      </c>
      <c r="C82" t="s">
        <v>5353</v>
      </c>
      <c r="D82">
        <v>0</v>
      </c>
      <c r="E82" t="s">
        <v>5968</v>
      </c>
      <c r="F82" t="s">
        <v>5969</v>
      </c>
      <c r="G82">
        <v>0</v>
      </c>
      <c r="H82" t="s">
        <v>5970</v>
      </c>
      <c r="I82" t="s">
        <v>90</v>
      </c>
      <c r="J82" t="s">
        <v>5971</v>
      </c>
    </row>
    <row r="83" spans="1:10" ht="15" customHeight="1" x14ac:dyDescent="0.25">
      <c r="A83" t="s">
        <v>5972</v>
      </c>
      <c r="B83" t="s">
        <v>3508</v>
      </c>
      <c r="C83" t="s">
        <v>5715</v>
      </c>
      <c r="D83">
        <v>3</v>
      </c>
      <c r="E83" t="s">
        <v>5973</v>
      </c>
      <c r="F83" t="s">
        <v>5974</v>
      </c>
      <c r="G83">
        <v>3</v>
      </c>
      <c r="H83" t="s">
        <v>5972</v>
      </c>
      <c r="I83" t="s">
        <v>90</v>
      </c>
      <c r="J83" t="s">
        <v>5975</v>
      </c>
    </row>
    <row r="84" spans="1:10" ht="15" customHeight="1" x14ac:dyDescent="0.25">
      <c r="A84" t="s">
        <v>5191</v>
      </c>
      <c r="B84" t="s">
        <v>3508</v>
      </c>
      <c r="C84" t="s">
        <v>4590</v>
      </c>
      <c r="D84">
        <v>1</v>
      </c>
      <c r="E84" t="s">
        <v>5976</v>
      </c>
      <c r="F84" t="s">
        <v>5977</v>
      </c>
      <c r="G84">
        <v>1</v>
      </c>
      <c r="H84" t="s">
        <v>5191</v>
      </c>
      <c r="I84" t="s">
        <v>90</v>
      </c>
      <c r="J84" t="s">
        <v>5978</v>
      </c>
    </row>
    <row r="85" spans="1:10" ht="15" customHeight="1" x14ac:dyDescent="0.25">
      <c r="A85" t="s">
        <v>5979</v>
      </c>
      <c r="B85" t="s">
        <v>3496</v>
      </c>
      <c r="C85" t="s">
        <v>5353</v>
      </c>
      <c r="D85">
        <v>1</v>
      </c>
      <c r="E85" t="s">
        <v>5980</v>
      </c>
      <c r="F85" t="s">
        <v>5980</v>
      </c>
      <c r="G85">
        <v>0</v>
      </c>
      <c r="H85" t="s">
        <v>5979</v>
      </c>
      <c r="I85" t="s">
        <v>90</v>
      </c>
      <c r="J85" t="s">
        <v>5981</v>
      </c>
    </row>
    <row r="86" spans="1:10" ht="15" customHeight="1" x14ac:dyDescent="0.25">
      <c r="A86" t="s">
        <v>5982</v>
      </c>
      <c r="B86" t="s">
        <v>3508</v>
      </c>
      <c r="C86" t="s">
        <v>5353</v>
      </c>
      <c r="D86">
        <v>1</v>
      </c>
      <c r="E86" t="s">
        <v>5983</v>
      </c>
      <c r="F86" t="s">
        <v>5984</v>
      </c>
      <c r="G86">
        <v>1</v>
      </c>
      <c r="H86" t="s">
        <v>5982</v>
      </c>
      <c r="I86" t="s">
        <v>90</v>
      </c>
      <c r="J86" t="s">
        <v>5985</v>
      </c>
    </row>
    <row r="87" spans="1:10" ht="15" customHeight="1" x14ac:dyDescent="0.25">
      <c r="A87" t="s">
        <v>5986</v>
      </c>
      <c r="B87" t="s">
        <v>3496</v>
      </c>
      <c r="C87" t="s">
        <v>5715</v>
      </c>
      <c r="D87">
        <v>1</v>
      </c>
      <c r="E87" t="s">
        <v>5987</v>
      </c>
      <c r="F87" t="s">
        <v>5988</v>
      </c>
      <c r="G87">
        <v>1</v>
      </c>
      <c r="H87" t="s">
        <v>5986</v>
      </c>
      <c r="I87" t="s">
        <v>90</v>
      </c>
      <c r="J87" t="s">
        <v>5989</v>
      </c>
    </row>
    <row r="88" spans="1:10" ht="15" customHeight="1" x14ac:dyDescent="0.25">
      <c r="A88" t="s">
        <v>5199</v>
      </c>
      <c r="B88" t="s">
        <v>3508</v>
      </c>
      <c r="C88" t="s">
        <v>4590</v>
      </c>
      <c r="D88">
        <v>1</v>
      </c>
      <c r="E88" t="s">
        <v>5990</v>
      </c>
      <c r="F88" t="s">
        <v>5991</v>
      </c>
      <c r="G88">
        <v>1</v>
      </c>
      <c r="H88" t="s">
        <v>5201</v>
      </c>
      <c r="I88" t="s">
        <v>90</v>
      </c>
      <c r="J88" t="s">
        <v>5992</v>
      </c>
    </row>
    <row r="89" spans="1:10" ht="15" customHeight="1" x14ac:dyDescent="0.25">
      <c r="A89" t="s">
        <v>5993</v>
      </c>
      <c r="B89" t="s">
        <v>3496</v>
      </c>
      <c r="C89" t="s">
        <v>5715</v>
      </c>
      <c r="D89">
        <v>2</v>
      </c>
      <c r="E89" t="s">
        <v>5994</v>
      </c>
      <c r="F89" t="s">
        <v>5995</v>
      </c>
      <c r="G89">
        <v>2</v>
      </c>
      <c r="H89" t="s">
        <v>5996</v>
      </c>
      <c r="I89" t="s">
        <v>90</v>
      </c>
      <c r="J89" t="s">
        <v>5997</v>
      </c>
    </row>
    <row r="90" spans="1:10" ht="15" customHeight="1" x14ac:dyDescent="0.25">
      <c r="A90" t="s">
        <v>5998</v>
      </c>
      <c r="B90" t="s">
        <v>41</v>
      </c>
      <c r="C90" t="s">
        <v>5434</v>
      </c>
      <c r="D90">
        <v>1</v>
      </c>
      <c r="E90" t="s">
        <v>5864</v>
      </c>
      <c r="F90" t="s">
        <v>5865</v>
      </c>
      <c r="G90">
        <v>1</v>
      </c>
      <c r="H90" t="s">
        <v>5998</v>
      </c>
      <c r="I90" t="s">
        <v>2361</v>
      </c>
      <c r="J90" t="s">
        <v>5999</v>
      </c>
    </row>
    <row r="91" spans="1:10" ht="15" customHeight="1" x14ac:dyDescent="0.25">
      <c r="A91" t="s">
        <v>6000</v>
      </c>
      <c r="B91" t="s">
        <v>3508</v>
      </c>
      <c r="C91" t="s">
        <v>5715</v>
      </c>
      <c r="D91">
        <v>1</v>
      </c>
      <c r="E91" t="s">
        <v>6001</v>
      </c>
      <c r="F91" t="s">
        <v>6002</v>
      </c>
      <c r="G91">
        <v>1</v>
      </c>
      <c r="H91" t="s">
        <v>6000</v>
      </c>
      <c r="I91" t="s">
        <v>90</v>
      </c>
      <c r="J91" t="s">
        <v>5770</v>
      </c>
    </row>
    <row r="92" spans="1:10" ht="15" customHeight="1" x14ac:dyDescent="0.25">
      <c r="A92" t="s">
        <v>5202</v>
      </c>
      <c r="B92" t="s">
        <v>3508</v>
      </c>
      <c r="C92" t="s">
        <v>4590</v>
      </c>
      <c r="D92">
        <v>1</v>
      </c>
      <c r="E92" t="s">
        <v>6003</v>
      </c>
      <c r="F92" t="s">
        <v>6004</v>
      </c>
      <c r="G92">
        <v>1</v>
      </c>
      <c r="H92" t="s">
        <v>5204</v>
      </c>
      <c r="I92" t="s">
        <v>90</v>
      </c>
      <c r="J92" t="s">
        <v>6005</v>
      </c>
    </row>
    <row r="93" spans="1:10" ht="15" customHeight="1" x14ac:dyDescent="0.25">
      <c r="A93" t="s">
        <v>5205</v>
      </c>
      <c r="B93" t="s">
        <v>3508</v>
      </c>
      <c r="C93" t="s">
        <v>5353</v>
      </c>
      <c r="D93">
        <v>2</v>
      </c>
      <c r="E93" t="s">
        <v>6006</v>
      </c>
      <c r="F93" t="s">
        <v>6007</v>
      </c>
      <c r="G93">
        <v>2</v>
      </c>
      <c r="H93" t="s">
        <v>5207</v>
      </c>
      <c r="I93" t="s">
        <v>90</v>
      </c>
      <c r="J93" t="s">
        <v>5732</v>
      </c>
    </row>
    <row r="94" spans="1:10" ht="15" customHeight="1" x14ac:dyDescent="0.25">
      <c r="A94" t="s">
        <v>6008</v>
      </c>
      <c r="B94" t="s">
        <v>3508</v>
      </c>
      <c r="C94" t="s">
        <v>5715</v>
      </c>
      <c r="D94">
        <v>1</v>
      </c>
      <c r="E94" t="s">
        <v>6009</v>
      </c>
      <c r="F94" t="s">
        <v>6010</v>
      </c>
      <c r="G94">
        <v>1</v>
      </c>
      <c r="H94" t="s">
        <v>6008</v>
      </c>
      <c r="I94" t="s">
        <v>90</v>
      </c>
      <c r="J94" t="s">
        <v>5770</v>
      </c>
    </row>
    <row r="95" spans="1:10" ht="15" customHeight="1" x14ac:dyDescent="0.25">
      <c r="A95" t="s">
        <v>6011</v>
      </c>
      <c r="B95" t="s">
        <v>41</v>
      </c>
      <c r="C95" t="s">
        <v>5353</v>
      </c>
      <c r="D95">
        <v>0</v>
      </c>
      <c r="E95" t="s">
        <v>6012</v>
      </c>
      <c r="F95" t="s">
        <v>6013</v>
      </c>
      <c r="G95">
        <v>0</v>
      </c>
      <c r="H95" t="s">
        <v>6011</v>
      </c>
      <c r="I95" t="s">
        <v>90</v>
      </c>
      <c r="J95" t="s">
        <v>5728</v>
      </c>
    </row>
    <row r="96" spans="1:10" ht="15" customHeight="1" x14ac:dyDescent="0.25">
      <c r="A96" t="s">
        <v>6014</v>
      </c>
      <c r="B96" t="s">
        <v>41</v>
      </c>
      <c r="C96" t="s">
        <v>5715</v>
      </c>
      <c r="D96">
        <v>1</v>
      </c>
      <c r="E96" t="s">
        <v>6015</v>
      </c>
      <c r="F96" t="s">
        <v>6016</v>
      </c>
      <c r="G96">
        <v>1</v>
      </c>
      <c r="H96" t="s">
        <v>6017</v>
      </c>
      <c r="I96" t="s">
        <v>90</v>
      </c>
      <c r="J96" t="s">
        <v>6018</v>
      </c>
    </row>
    <row r="97" spans="1:10" ht="15" customHeight="1" x14ac:dyDescent="0.25">
      <c r="A97" t="s">
        <v>6019</v>
      </c>
      <c r="B97" t="s">
        <v>3508</v>
      </c>
      <c r="C97" t="s">
        <v>4590</v>
      </c>
      <c r="D97">
        <v>1</v>
      </c>
      <c r="E97" t="s">
        <v>5658</v>
      </c>
      <c r="F97" t="s">
        <v>6020</v>
      </c>
      <c r="G97">
        <v>1</v>
      </c>
      <c r="H97" t="s">
        <v>6019</v>
      </c>
      <c r="I97" t="s">
        <v>90</v>
      </c>
      <c r="J97" t="s">
        <v>5710</v>
      </c>
    </row>
    <row r="98" spans="1:10" ht="15" customHeight="1" x14ac:dyDescent="0.25">
      <c r="A98" t="s">
        <v>6021</v>
      </c>
      <c r="B98" t="s">
        <v>3508</v>
      </c>
      <c r="C98" t="s">
        <v>5434</v>
      </c>
      <c r="D98">
        <v>1</v>
      </c>
      <c r="E98" t="s">
        <v>5864</v>
      </c>
      <c r="F98" t="s">
        <v>5865</v>
      </c>
      <c r="G98">
        <v>1</v>
      </c>
      <c r="H98" t="s">
        <v>6021</v>
      </c>
      <c r="I98" t="s">
        <v>2361</v>
      </c>
      <c r="J98" t="s">
        <v>5867</v>
      </c>
    </row>
    <row r="99" spans="1:10" ht="15" customHeight="1" x14ac:dyDescent="0.25">
      <c r="A99" t="s">
        <v>6022</v>
      </c>
      <c r="B99" t="s">
        <v>3508</v>
      </c>
      <c r="C99" t="s">
        <v>5353</v>
      </c>
      <c r="D99">
        <v>1</v>
      </c>
      <c r="E99" t="s">
        <v>6023</v>
      </c>
      <c r="F99" t="s">
        <v>6024</v>
      </c>
      <c r="G99">
        <v>1</v>
      </c>
      <c r="H99" t="s">
        <v>6025</v>
      </c>
      <c r="I99" t="s">
        <v>90</v>
      </c>
      <c r="J99" t="s">
        <v>5732</v>
      </c>
    </row>
    <row r="100" spans="1:10" ht="15" customHeight="1" x14ac:dyDescent="0.25">
      <c r="A100" t="s">
        <v>6026</v>
      </c>
      <c r="B100" t="s">
        <v>3508</v>
      </c>
      <c r="C100" t="s">
        <v>5434</v>
      </c>
      <c r="D100">
        <v>1</v>
      </c>
      <c r="E100" t="s">
        <v>5864</v>
      </c>
      <c r="F100" t="s">
        <v>5865</v>
      </c>
      <c r="G100">
        <v>1</v>
      </c>
      <c r="H100" t="s">
        <v>6026</v>
      </c>
      <c r="I100" t="s">
        <v>2361</v>
      </c>
      <c r="J100" t="s">
        <v>5999</v>
      </c>
    </row>
    <row r="101" spans="1:10" ht="15" customHeight="1" x14ac:dyDescent="0.25">
      <c r="A101" t="s">
        <v>6027</v>
      </c>
      <c r="B101" t="s">
        <v>3496</v>
      </c>
      <c r="C101" t="s">
        <v>5715</v>
      </c>
      <c r="D101">
        <v>1</v>
      </c>
      <c r="E101" t="s">
        <v>6028</v>
      </c>
      <c r="F101" t="s">
        <v>6029</v>
      </c>
      <c r="G101">
        <v>1</v>
      </c>
      <c r="H101" t="s">
        <v>6030</v>
      </c>
      <c r="I101" t="s">
        <v>90</v>
      </c>
      <c r="J101" t="s">
        <v>5770</v>
      </c>
    </row>
    <row r="102" spans="1:10" ht="15" customHeight="1" x14ac:dyDescent="0.25">
      <c r="A102" t="s">
        <v>6031</v>
      </c>
      <c r="B102" t="s">
        <v>41</v>
      </c>
      <c r="C102" t="s">
        <v>5715</v>
      </c>
      <c r="D102">
        <v>0</v>
      </c>
      <c r="E102" t="s">
        <v>6032</v>
      </c>
      <c r="F102" t="s">
        <v>6033</v>
      </c>
      <c r="G102">
        <v>0</v>
      </c>
      <c r="H102" t="s">
        <v>6034</v>
      </c>
      <c r="I102" t="s">
        <v>90</v>
      </c>
      <c r="J102" t="s">
        <v>5761</v>
      </c>
    </row>
    <row r="103" spans="1:10" ht="15" customHeight="1" x14ac:dyDescent="0.25">
      <c r="A103" t="s">
        <v>6035</v>
      </c>
      <c r="B103" t="s">
        <v>3496</v>
      </c>
      <c r="C103" t="s">
        <v>5715</v>
      </c>
      <c r="D103">
        <v>0</v>
      </c>
      <c r="E103" t="s">
        <v>6036</v>
      </c>
      <c r="F103" t="s">
        <v>6037</v>
      </c>
      <c r="G103">
        <v>0</v>
      </c>
      <c r="H103" t="s">
        <v>6038</v>
      </c>
      <c r="I103" t="s">
        <v>90</v>
      </c>
      <c r="J103" t="s">
        <v>5770</v>
      </c>
    </row>
    <row r="104" spans="1:10" ht="15" customHeight="1" x14ac:dyDescent="0.25">
      <c r="A104" t="s">
        <v>5125</v>
      </c>
      <c r="B104" t="s">
        <v>4290</v>
      </c>
      <c r="C104" t="s">
        <v>4238</v>
      </c>
      <c r="D104" t="s">
        <v>3990</v>
      </c>
      <c r="E104" t="s">
        <v>6039</v>
      </c>
      <c r="F104" t="s">
        <v>3452</v>
      </c>
      <c r="G104" t="s">
        <v>3452</v>
      </c>
      <c r="H104" t="s">
        <v>5125</v>
      </c>
      <c r="I104" t="s">
        <v>38</v>
      </c>
      <c r="J104" t="s">
        <v>5863</v>
      </c>
    </row>
    <row r="105" spans="1:10" ht="15" customHeight="1" x14ac:dyDescent="0.25">
      <c r="A105" t="s">
        <v>6040</v>
      </c>
      <c r="B105" t="s">
        <v>41</v>
      </c>
      <c r="C105" t="s">
        <v>5353</v>
      </c>
      <c r="D105">
        <v>1</v>
      </c>
      <c r="E105" t="s">
        <v>6041</v>
      </c>
      <c r="F105" t="s">
        <v>6041</v>
      </c>
      <c r="G105">
        <v>0</v>
      </c>
      <c r="H105" t="s">
        <v>6040</v>
      </c>
      <c r="I105" t="s">
        <v>90</v>
      </c>
      <c r="J105" t="s">
        <v>5997</v>
      </c>
    </row>
    <row r="106" spans="1:10" ht="15" customHeight="1" x14ac:dyDescent="0.25">
      <c r="A106" t="s">
        <v>6042</v>
      </c>
      <c r="B106" t="s">
        <v>41</v>
      </c>
      <c r="C106" t="s">
        <v>5715</v>
      </c>
      <c r="D106">
        <v>1</v>
      </c>
      <c r="E106" t="s">
        <v>6043</v>
      </c>
      <c r="F106" t="s">
        <v>6044</v>
      </c>
      <c r="G106">
        <v>1</v>
      </c>
      <c r="H106" t="s">
        <v>6042</v>
      </c>
      <c r="I106" t="s">
        <v>90</v>
      </c>
      <c r="J106" t="s">
        <v>5728</v>
      </c>
    </row>
    <row r="107" spans="1:10" ht="15" customHeight="1" x14ac:dyDescent="0.25">
      <c r="A107" t="s">
        <v>6045</v>
      </c>
      <c r="B107" t="s">
        <v>41</v>
      </c>
      <c r="C107" t="s">
        <v>5434</v>
      </c>
      <c r="D107">
        <v>1</v>
      </c>
      <c r="E107" t="s">
        <v>6046</v>
      </c>
      <c r="F107" t="s">
        <v>6047</v>
      </c>
      <c r="G107">
        <v>1</v>
      </c>
      <c r="H107" t="s">
        <v>6045</v>
      </c>
      <c r="I107" t="s">
        <v>2361</v>
      </c>
      <c r="J107" t="s">
        <v>5955</v>
      </c>
    </row>
    <row r="108" spans="1:10" ht="15" customHeight="1" x14ac:dyDescent="0.25">
      <c r="A108" t="s">
        <v>6048</v>
      </c>
      <c r="B108" t="s">
        <v>41</v>
      </c>
      <c r="C108" t="s">
        <v>5715</v>
      </c>
      <c r="D108">
        <v>2</v>
      </c>
      <c r="E108" t="s">
        <v>6049</v>
      </c>
      <c r="F108" t="s">
        <v>6050</v>
      </c>
      <c r="G108">
        <v>2</v>
      </c>
      <c r="H108" t="s">
        <v>6051</v>
      </c>
      <c r="I108" t="s">
        <v>90</v>
      </c>
      <c r="J108" t="s">
        <v>6052</v>
      </c>
    </row>
    <row r="109" spans="1:10" ht="15" customHeight="1" x14ac:dyDescent="0.25">
      <c r="A109" t="s">
        <v>6053</v>
      </c>
      <c r="B109" t="s">
        <v>3508</v>
      </c>
      <c r="C109" t="s">
        <v>5715</v>
      </c>
      <c r="D109">
        <v>1</v>
      </c>
      <c r="E109" t="s">
        <v>6054</v>
      </c>
      <c r="F109" t="s">
        <v>6055</v>
      </c>
      <c r="G109">
        <v>1</v>
      </c>
      <c r="H109" t="s">
        <v>6056</v>
      </c>
      <c r="I109" t="s">
        <v>90</v>
      </c>
      <c r="J109" t="s">
        <v>5842</v>
      </c>
    </row>
    <row r="110" spans="1:10" ht="15" customHeight="1" x14ac:dyDescent="0.25">
      <c r="A110" t="s">
        <v>6057</v>
      </c>
      <c r="B110" t="s">
        <v>3508</v>
      </c>
      <c r="C110" t="s">
        <v>5715</v>
      </c>
      <c r="D110">
        <v>1</v>
      </c>
      <c r="E110" t="s">
        <v>6058</v>
      </c>
      <c r="F110" t="s">
        <v>6059</v>
      </c>
      <c r="G110">
        <v>1</v>
      </c>
      <c r="H110" t="s">
        <v>6057</v>
      </c>
      <c r="I110" t="s">
        <v>90</v>
      </c>
      <c r="J110" t="s">
        <v>5728</v>
      </c>
    </row>
    <row r="111" spans="1:10" ht="15" customHeight="1" x14ac:dyDescent="0.25">
      <c r="A111" t="s">
        <v>6060</v>
      </c>
      <c r="B111" t="s">
        <v>41</v>
      </c>
      <c r="C111" t="s">
        <v>5353</v>
      </c>
      <c r="D111">
        <v>1</v>
      </c>
      <c r="E111" t="s">
        <v>6061</v>
      </c>
      <c r="F111" t="s">
        <v>6062</v>
      </c>
      <c r="G111">
        <v>1</v>
      </c>
      <c r="H111" t="s">
        <v>6060</v>
      </c>
      <c r="I111" t="s">
        <v>90</v>
      </c>
      <c r="J111" t="s">
        <v>6063</v>
      </c>
    </row>
    <row r="112" spans="1:10" ht="15" customHeight="1" x14ac:dyDescent="0.25">
      <c r="A112" t="s">
        <v>6064</v>
      </c>
      <c r="B112" t="s">
        <v>3496</v>
      </c>
      <c r="C112" t="s">
        <v>5715</v>
      </c>
      <c r="D112">
        <v>2</v>
      </c>
      <c r="E112" t="s">
        <v>6065</v>
      </c>
      <c r="F112" t="s">
        <v>6066</v>
      </c>
      <c r="G112">
        <v>2</v>
      </c>
      <c r="H112" t="s">
        <v>6064</v>
      </c>
      <c r="I112" t="s">
        <v>90</v>
      </c>
      <c r="J112" t="s">
        <v>5728</v>
      </c>
    </row>
    <row r="113" spans="1:10" ht="15" customHeight="1" x14ac:dyDescent="0.25">
      <c r="A113" t="s">
        <v>6067</v>
      </c>
      <c r="B113" t="s">
        <v>3496</v>
      </c>
      <c r="C113" t="s">
        <v>5353</v>
      </c>
      <c r="D113">
        <v>2</v>
      </c>
      <c r="E113" t="s">
        <v>6068</v>
      </c>
      <c r="F113" t="s">
        <v>6069</v>
      </c>
      <c r="G113">
        <v>2</v>
      </c>
      <c r="H113" t="s">
        <v>6067</v>
      </c>
      <c r="I113" t="s">
        <v>90</v>
      </c>
      <c r="J113" t="s">
        <v>5992</v>
      </c>
    </row>
    <row r="114" spans="1:10" ht="15" customHeight="1" x14ac:dyDescent="0.25">
      <c r="A114" t="s">
        <v>6070</v>
      </c>
      <c r="B114" t="s">
        <v>3508</v>
      </c>
      <c r="C114" t="s">
        <v>5353</v>
      </c>
      <c r="D114">
        <v>1</v>
      </c>
      <c r="E114" t="s">
        <v>6071</v>
      </c>
      <c r="F114" t="s">
        <v>6071</v>
      </c>
      <c r="G114">
        <v>0</v>
      </c>
      <c r="H114" t="s">
        <v>6072</v>
      </c>
      <c r="I114" t="s">
        <v>90</v>
      </c>
      <c r="J114" t="s">
        <v>6073</v>
      </c>
    </row>
    <row r="115" spans="1:10" ht="15" customHeight="1" x14ac:dyDescent="0.25">
      <c r="A115" t="s">
        <v>6074</v>
      </c>
      <c r="B115" t="s">
        <v>3508</v>
      </c>
      <c r="C115" t="s">
        <v>4590</v>
      </c>
      <c r="D115">
        <v>1</v>
      </c>
      <c r="E115" t="s">
        <v>6075</v>
      </c>
      <c r="F115" t="s">
        <v>6076</v>
      </c>
      <c r="G115">
        <v>1</v>
      </c>
      <c r="H115" t="s">
        <v>6077</v>
      </c>
      <c r="I115" t="s">
        <v>90</v>
      </c>
      <c r="J115" t="s">
        <v>5770</v>
      </c>
    </row>
    <row r="116" spans="1:10" ht="15" customHeight="1" x14ac:dyDescent="0.25">
      <c r="A116" t="s">
        <v>6078</v>
      </c>
      <c r="B116" t="s">
        <v>3508</v>
      </c>
      <c r="C116" t="s">
        <v>4590</v>
      </c>
      <c r="D116">
        <v>1</v>
      </c>
      <c r="E116" t="s">
        <v>6079</v>
      </c>
      <c r="F116" t="s">
        <v>6080</v>
      </c>
      <c r="G116">
        <v>1</v>
      </c>
      <c r="H116" t="s">
        <v>6078</v>
      </c>
      <c r="I116" t="s">
        <v>90</v>
      </c>
      <c r="J116" t="s">
        <v>5920</v>
      </c>
    </row>
    <row r="117" spans="1:10" ht="15" customHeight="1" x14ac:dyDescent="0.25">
      <c r="A117" t="s">
        <v>4246</v>
      </c>
      <c r="B117" t="s">
        <v>4290</v>
      </c>
      <c r="C117" t="s">
        <v>4238</v>
      </c>
      <c r="D117" t="s">
        <v>3990</v>
      </c>
      <c r="E117" t="s">
        <v>6081</v>
      </c>
      <c r="F117" t="s">
        <v>3452</v>
      </c>
      <c r="G117" t="s">
        <v>3452</v>
      </c>
      <c r="H117" t="s">
        <v>4246</v>
      </c>
      <c r="I117" t="s">
        <v>90</v>
      </c>
      <c r="J117" t="s">
        <v>5863</v>
      </c>
    </row>
    <row r="118" spans="1:10" ht="15" customHeight="1" x14ac:dyDescent="0.25">
      <c r="A118" t="s">
        <v>6082</v>
      </c>
      <c r="B118" t="s">
        <v>3508</v>
      </c>
      <c r="C118" t="s">
        <v>5353</v>
      </c>
      <c r="D118">
        <v>0</v>
      </c>
      <c r="E118" t="s">
        <v>6083</v>
      </c>
      <c r="F118" t="s">
        <v>6084</v>
      </c>
      <c r="G118">
        <v>0</v>
      </c>
      <c r="H118" t="s">
        <v>6082</v>
      </c>
      <c r="I118" t="s">
        <v>90</v>
      </c>
      <c r="J118" t="s">
        <v>5930</v>
      </c>
    </row>
    <row r="119" spans="1:10" ht="15" customHeight="1" x14ac:dyDescent="0.25">
      <c r="A119" t="s">
        <v>6085</v>
      </c>
      <c r="B119" t="s">
        <v>41</v>
      </c>
      <c r="C119" t="s">
        <v>5715</v>
      </c>
      <c r="D119">
        <v>1</v>
      </c>
      <c r="E119" t="s">
        <v>6086</v>
      </c>
      <c r="F119" t="s">
        <v>6087</v>
      </c>
      <c r="G119">
        <v>1</v>
      </c>
      <c r="H119" t="s">
        <v>6088</v>
      </c>
      <c r="I119" t="s">
        <v>90</v>
      </c>
      <c r="J119" t="s">
        <v>6089</v>
      </c>
    </row>
    <row r="120" spans="1:10" ht="15" customHeight="1" x14ac:dyDescent="0.25">
      <c r="A120" t="s">
        <v>5680</v>
      </c>
      <c r="B120" t="s">
        <v>3540</v>
      </c>
      <c r="C120" t="s">
        <v>5434</v>
      </c>
      <c r="D120">
        <v>1</v>
      </c>
      <c r="E120" s="3" t="s">
        <v>6090</v>
      </c>
      <c r="F120" s="3" t="s">
        <v>6090</v>
      </c>
      <c r="G120" s="3">
        <v>0</v>
      </c>
      <c r="H120" t="s">
        <v>3452</v>
      </c>
      <c r="I120" t="s">
        <v>160</v>
      </c>
    </row>
    <row r="121" spans="1:10" ht="15" customHeight="1" x14ac:dyDescent="0.25">
      <c r="A121" t="s">
        <v>6091</v>
      </c>
      <c r="B121" t="s">
        <v>3508</v>
      </c>
      <c r="C121" t="s">
        <v>5434</v>
      </c>
      <c r="D121">
        <v>1</v>
      </c>
      <c r="E121" t="s">
        <v>6092</v>
      </c>
      <c r="F121" t="s">
        <v>6093</v>
      </c>
      <c r="G121">
        <v>1</v>
      </c>
      <c r="H121" t="s">
        <v>6091</v>
      </c>
      <c r="I121" t="s">
        <v>2361</v>
      </c>
      <c r="J121" t="s">
        <v>6094</v>
      </c>
    </row>
    <row r="122" spans="1:10" ht="15" customHeight="1" x14ac:dyDescent="0.25">
      <c r="A122" t="s">
        <v>6095</v>
      </c>
      <c r="B122" t="s">
        <v>3496</v>
      </c>
      <c r="C122" t="s">
        <v>4590</v>
      </c>
      <c r="D122">
        <v>2</v>
      </c>
      <c r="E122" t="s">
        <v>6096</v>
      </c>
      <c r="F122" t="s">
        <v>6097</v>
      </c>
      <c r="G122">
        <v>2</v>
      </c>
      <c r="H122" t="s">
        <v>6095</v>
      </c>
      <c r="I122" t="s">
        <v>90</v>
      </c>
      <c r="J122" t="s">
        <v>6089</v>
      </c>
    </row>
    <row r="123" spans="1:10" ht="15" customHeight="1" x14ac:dyDescent="0.25">
      <c r="A123" t="s">
        <v>6098</v>
      </c>
      <c r="B123" t="s">
        <v>3508</v>
      </c>
      <c r="C123" t="s">
        <v>5434</v>
      </c>
      <c r="D123">
        <v>1</v>
      </c>
      <c r="E123" t="s">
        <v>5864</v>
      </c>
      <c r="F123" t="s">
        <v>5865</v>
      </c>
      <c r="G123">
        <v>1</v>
      </c>
      <c r="H123" t="s">
        <v>6098</v>
      </c>
      <c r="I123" t="s">
        <v>2361</v>
      </c>
      <c r="J123" t="s">
        <v>5867</v>
      </c>
    </row>
    <row r="124" spans="1:10" ht="15" customHeight="1" x14ac:dyDescent="0.25">
      <c r="A124" t="s">
        <v>6099</v>
      </c>
      <c r="B124" t="s">
        <v>41</v>
      </c>
      <c r="C124" t="s">
        <v>5434</v>
      </c>
      <c r="D124">
        <v>1</v>
      </c>
      <c r="E124" t="s">
        <v>5864</v>
      </c>
      <c r="F124" t="s">
        <v>5865</v>
      </c>
      <c r="G124">
        <v>1</v>
      </c>
      <c r="H124" t="s">
        <v>6099</v>
      </c>
      <c r="I124" t="s">
        <v>2361</v>
      </c>
      <c r="J124" t="s">
        <v>5999</v>
      </c>
    </row>
    <row r="125" spans="1:10" ht="15" customHeight="1" x14ac:dyDescent="0.25">
      <c r="A125" t="s">
        <v>6100</v>
      </c>
      <c r="B125" t="s">
        <v>41</v>
      </c>
      <c r="C125" t="s">
        <v>5353</v>
      </c>
      <c r="D125">
        <v>1</v>
      </c>
      <c r="E125" t="s">
        <v>6101</v>
      </c>
      <c r="F125" t="s">
        <v>6102</v>
      </c>
      <c r="G125">
        <v>1</v>
      </c>
      <c r="H125" t="s">
        <v>6100</v>
      </c>
      <c r="I125" t="s">
        <v>90</v>
      </c>
      <c r="J125" t="s">
        <v>5812</v>
      </c>
    </row>
    <row r="126" spans="1:10" ht="15" customHeight="1" x14ac:dyDescent="0.25">
      <c r="A126" t="s">
        <v>6103</v>
      </c>
      <c r="B126" t="s">
        <v>3508</v>
      </c>
      <c r="C126" t="s">
        <v>5353</v>
      </c>
      <c r="D126">
        <v>2</v>
      </c>
      <c r="E126" t="s">
        <v>6104</v>
      </c>
      <c r="F126" t="s">
        <v>6105</v>
      </c>
      <c r="G126">
        <v>2</v>
      </c>
      <c r="H126" t="s">
        <v>6106</v>
      </c>
      <c r="I126" t="s">
        <v>90</v>
      </c>
      <c r="J126" t="s">
        <v>6107</v>
      </c>
    </row>
    <row r="127" spans="1:10" ht="15" customHeight="1" x14ac:dyDescent="0.25">
      <c r="A127" t="s">
        <v>4686</v>
      </c>
      <c r="B127" t="s">
        <v>41</v>
      </c>
      <c r="C127" t="s">
        <v>5715</v>
      </c>
      <c r="D127">
        <v>1</v>
      </c>
      <c r="E127" t="s">
        <v>6108</v>
      </c>
      <c r="F127" t="s">
        <v>6108</v>
      </c>
      <c r="G127">
        <v>1</v>
      </c>
      <c r="H127" t="s">
        <v>4689</v>
      </c>
      <c r="I127" t="s">
        <v>1046</v>
      </c>
      <c r="J127" t="s">
        <v>5748</v>
      </c>
    </row>
    <row r="128" spans="1:10" ht="15" customHeight="1" x14ac:dyDescent="0.25">
      <c r="A128" t="s">
        <v>6109</v>
      </c>
      <c r="B128" t="s">
        <v>3496</v>
      </c>
      <c r="C128" t="s">
        <v>5353</v>
      </c>
      <c r="D128">
        <v>1</v>
      </c>
      <c r="E128" t="s">
        <v>6110</v>
      </c>
      <c r="F128" t="s">
        <v>6111</v>
      </c>
      <c r="G128">
        <v>1</v>
      </c>
      <c r="H128" t="s">
        <v>6112</v>
      </c>
      <c r="I128" t="s">
        <v>90</v>
      </c>
      <c r="J128" t="s">
        <v>5920</v>
      </c>
    </row>
    <row r="129" spans="1:10" ht="15" customHeight="1" x14ac:dyDescent="0.25">
      <c r="A129" t="s">
        <v>6113</v>
      </c>
      <c r="B129" t="s">
        <v>3496</v>
      </c>
      <c r="C129" t="s">
        <v>4590</v>
      </c>
      <c r="D129">
        <v>1</v>
      </c>
      <c r="E129" t="s">
        <v>6114</v>
      </c>
      <c r="F129" t="s">
        <v>6115</v>
      </c>
      <c r="G129">
        <v>1</v>
      </c>
      <c r="H129" t="s">
        <v>6116</v>
      </c>
      <c r="I129" t="s">
        <v>90</v>
      </c>
      <c r="J129" t="s">
        <v>6117</v>
      </c>
    </row>
    <row r="130" spans="1:10" ht="15" customHeight="1" x14ac:dyDescent="0.25">
      <c r="A130" t="s">
        <v>6118</v>
      </c>
      <c r="B130" t="s">
        <v>41</v>
      </c>
      <c r="C130" t="s">
        <v>5434</v>
      </c>
      <c r="D130">
        <v>1</v>
      </c>
      <c r="E130" t="s">
        <v>6119</v>
      </c>
      <c r="F130" t="s">
        <v>6120</v>
      </c>
      <c r="G130">
        <v>1</v>
      </c>
      <c r="H130" t="s">
        <v>6118</v>
      </c>
      <c r="I130" t="s">
        <v>2361</v>
      </c>
      <c r="J130" t="s">
        <v>6094</v>
      </c>
    </row>
    <row r="131" spans="1:10" ht="15" customHeight="1" x14ac:dyDescent="0.25">
      <c r="A131" t="s">
        <v>6121</v>
      </c>
      <c r="B131" t="s">
        <v>3496</v>
      </c>
      <c r="C131" t="s">
        <v>5353</v>
      </c>
      <c r="D131" t="s">
        <v>5939</v>
      </c>
      <c r="E131" t="s">
        <v>6122</v>
      </c>
      <c r="F131" t="s">
        <v>6123</v>
      </c>
      <c r="G131" t="s">
        <v>5939</v>
      </c>
      <c r="H131" t="s">
        <v>6121</v>
      </c>
      <c r="I131" t="s">
        <v>90</v>
      </c>
      <c r="J131" t="s">
        <v>6124</v>
      </c>
    </row>
    <row r="132" spans="1:10" ht="15" customHeight="1" x14ac:dyDescent="0.25">
      <c r="A132" t="s">
        <v>6125</v>
      </c>
      <c r="B132" t="s">
        <v>3508</v>
      </c>
      <c r="C132" t="s">
        <v>5715</v>
      </c>
      <c r="D132">
        <v>0</v>
      </c>
      <c r="E132" t="s">
        <v>6126</v>
      </c>
      <c r="F132" t="s">
        <v>6127</v>
      </c>
      <c r="G132">
        <v>0</v>
      </c>
      <c r="H132" t="s">
        <v>6128</v>
      </c>
      <c r="I132" t="s">
        <v>90</v>
      </c>
      <c r="J132" t="s">
        <v>5770</v>
      </c>
    </row>
    <row r="133" spans="1:10" ht="15" customHeight="1" x14ac:dyDescent="0.25">
      <c r="A133" t="s">
        <v>6129</v>
      </c>
      <c r="B133" t="s">
        <v>3508</v>
      </c>
      <c r="C133" t="s">
        <v>4590</v>
      </c>
      <c r="D133">
        <v>1</v>
      </c>
      <c r="E133" t="s">
        <v>6130</v>
      </c>
      <c r="F133" t="s">
        <v>6131</v>
      </c>
      <c r="G133">
        <v>1</v>
      </c>
      <c r="H133" t="s">
        <v>6129</v>
      </c>
      <c r="I133" t="s">
        <v>90</v>
      </c>
      <c r="J133" t="s">
        <v>5732</v>
      </c>
    </row>
    <row r="134" spans="1:10" ht="15" customHeight="1" x14ac:dyDescent="0.25">
      <c r="A134" t="s">
        <v>6132</v>
      </c>
      <c r="B134" t="s">
        <v>3496</v>
      </c>
      <c r="C134" t="s">
        <v>5798</v>
      </c>
      <c r="D134">
        <v>5</v>
      </c>
      <c r="E134" t="s">
        <v>6133</v>
      </c>
      <c r="F134" t="s">
        <v>6133</v>
      </c>
      <c r="G134">
        <v>4</v>
      </c>
      <c r="H134" t="s">
        <v>6134</v>
      </c>
      <c r="I134" t="s">
        <v>1672</v>
      </c>
    </row>
    <row r="135" spans="1:10" ht="15" customHeight="1" x14ac:dyDescent="0.25">
      <c r="A135" t="s">
        <v>6135</v>
      </c>
      <c r="B135" t="s">
        <v>41</v>
      </c>
      <c r="C135" t="s">
        <v>5434</v>
      </c>
      <c r="D135">
        <v>1</v>
      </c>
      <c r="E135" t="s">
        <v>6136</v>
      </c>
      <c r="F135" t="s">
        <v>6137</v>
      </c>
      <c r="G135">
        <v>1</v>
      </c>
      <c r="H135" t="s">
        <v>6135</v>
      </c>
      <c r="I135" t="s">
        <v>2361</v>
      </c>
      <c r="J135" t="s">
        <v>5955</v>
      </c>
    </row>
    <row r="136" spans="1:10" ht="15" customHeight="1" x14ac:dyDescent="0.25">
      <c r="A136" t="s">
        <v>5690</v>
      </c>
      <c r="B136" t="s">
        <v>3540</v>
      </c>
      <c r="C136" t="s">
        <v>5715</v>
      </c>
      <c r="D136">
        <v>0</v>
      </c>
      <c r="E136" t="s">
        <v>6138</v>
      </c>
      <c r="F136" t="s">
        <v>6139</v>
      </c>
      <c r="G136">
        <v>0</v>
      </c>
      <c r="H136" t="s">
        <v>5690</v>
      </c>
      <c r="I136" t="s">
        <v>90</v>
      </c>
      <c r="J136" t="s">
        <v>5746</v>
      </c>
    </row>
    <row r="137" spans="1:10" ht="15" customHeight="1" x14ac:dyDescent="0.25">
      <c r="A137" t="s">
        <v>6140</v>
      </c>
      <c r="B137" t="s">
        <v>3496</v>
      </c>
      <c r="C137" t="s">
        <v>5353</v>
      </c>
      <c r="D137">
        <v>3</v>
      </c>
      <c r="E137" t="s">
        <v>6141</v>
      </c>
      <c r="F137" t="s">
        <v>6141</v>
      </c>
      <c r="G137">
        <v>2</v>
      </c>
      <c r="H137" t="s">
        <v>6140</v>
      </c>
      <c r="I137" t="s">
        <v>90</v>
      </c>
      <c r="J137" t="s">
        <v>5985</v>
      </c>
    </row>
    <row r="138" spans="1:10" ht="15" customHeight="1" x14ac:dyDescent="0.25">
      <c r="A138" t="s">
        <v>6142</v>
      </c>
      <c r="B138" t="s">
        <v>3508</v>
      </c>
      <c r="C138" t="s">
        <v>4590</v>
      </c>
      <c r="D138">
        <v>1</v>
      </c>
      <c r="E138" t="s">
        <v>6143</v>
      </c>
      <c r="F138" t="s">
        <v>6144</v>
      </c>
      <c r="G138">
        <v>1</v>
      </c>
      <c r="H138" t="s">
        <v>6145</v>
      </c>
      <c r="I138" t="s">
        <v>90</v>
      </c>
      <c r="J138" t="s">
        <v>5877</v>
      </c>
    </row>
    <row r="139" spans="1:10" ht="15" customHeight="1" x14ac:dyDescent="0.25">
      <c r="A139" t="s">
        <v>6146</v>
      </c>
      <c r="B139" t="s">
        <v>3496</v>
      </c>
      <c r="C139" t="s">
        <v>5353</v>
      </c>
      <c r="D139">
        <v>0</v>
      </c>
      <c r="E139" t="s">
        <v>6147</v>
      </c>
      <c r="F139" t="s">
        <v>6148</v>
      </c>
      <c r="G139">
        <v>0</v>
      </c>
      <c r="H139" t="s">
        <v>6146</v>
      </c>
      <c r="I139" t="s">
        <v>90</v>
      </c>
      <c r="J139" t="s">
        <v>6149</v>
      </c>
    </row>
    <row r="140" spans="1:10" ht="15" customHeight="1" x14ac:dyDescent="0.25">
      <c r="A140" t="s">
        <v>6150</v>
      </c>
      <c r="B140" t="s">
        <v>41</v>
      </c>
      <c r="C140" t="s">
        <v>5353</v>
      </c>
      <c r="D140">
        <v>1</v>
      </c>
      <c r="E140" t="s">
        <v>6151</v>
      </c>
      <c r="F140" t="s">
        <v>6152</v>
      </c>
      <c r="G140">
        <v>1</v>
      </c>
      <c r="H140" t="s">
        <v>6150</v>
      </c>
      <c r="I140" t="s">
        <v>90</v>
      </c>
      <c r="J140" t="s">
        <v>5816</v>
      </c>
    </row>
    <row r="141" spans="1:10" ht="15" customHeight="1" x14ac:dyDescent="0.25">
      <c r="A141" t="s">
        <v>6153</v>
      </c>
      <c r="B141" t="s">
        <v>4290</v>
      </c>
      <c r="C141" t="s">
        <v>4238</v>
      </c>
      <c r="D141" t="s">
        <v>3990</v>
      </c>
      <c r="E141" t="s">
        <v>6154</v>
      </c>
      <c r="F141" t="s">
        <v>3452</v>
      </c>
      <c r="G141" t="s">
        <v>3452</v>
      </c>
      <c r="H141" t="s">
        <v>6153</v>
      </c>
      <c r="I141" t="s">
        <v>90</v>
      </c>
      <c r="J141" t="s">
        <v>5863</v>
      </c>
    </row>
    <row r="142" spans="1:10" ht="15" customHeight="1" x14ac:dyDescent="0.25">
      <c r="A142" t="s">
        <v>6155</v>
      </c>
      <c r="B142" t="s">
        <v>41</v>
      </c>
      <c r="C142" t="s">
        <v>5715</v>
      </c>
      <c r="D142">
        <v>2</v>
      </c>
      <c r="E142" t="s">
        <v>6156</v>
      </c>
      <c r="F142" t="s">
        <v>6157</v>
      </c>
      <c r="G142">
        <v>2</v>
      </c>
      <c r="H142" t="s">
        <v>6158</v>
      </c>
      <c r="I142" t="s">
        <v>90</v>
      </c>
      <c r="J142" t="s">
        <v>5728</v>
      </c>
    </row>
    <row r="143" spans="1:10" ht="15" customHeight="1" x14ac:dyDescent="0.25">
      <c r="A143" t="s">
        <v>6159</v>
      </c>
      <c r="B143" t="s">
        <v>3496</v>
      </c>
      <c r="C143" t="s">
        <v>5353</v>
      </c>
      <c r="D143">
        <v>1</v>
      </c>
      <c r="E143" t="s">
        <v>6160</v>
      </c>
      <c r="F143" t="s">
        <v>6160</v>
      </c>
      <c r="G143">
        <v>0</v>
      </c>
      <c r="H143" t="s">
        <v>6161</v>
      </c>
      <c r="I143" t="s">
        <v>90</v>
      </c>
      <c r="J143" t="s">
        <v>5770</v>
      </c>
    </row>
    <row r="144" spans="1:10" ht="15" customHeight="1" x14ac:dyDescent="0.25">
      <c r="A144" t="s">
        <v>6162</v>
      </c>
      <c r="B144" t="s">
        <v>41</v>
      </c>
      <c r="C144" t="s">
        <v>5353</v>
      </c>
      <c r="D144">
        <v>1</v>
      </c>
      <c r="E144" t="s">
        <v>6163</v>
      </c>
      <c r="F144" t="s">
        <v>6164</v>
      </c>
      <c r="G144">
        <v>1</v>
      </c>
      <c r="H144" t="s">
        <v>6165</v>
      </c>
      <c r="I144" t="s">
        <v>90</v>
      </c>
      <c r="J144" t="s">
        <v>6124</v>
      </c>
    </row>
    <row r="145" spans="1:10" ht="15" customHeight="1" x14ac:dyDescent="0.25">
      <c r="A145" t="s">
        <v>6166</v>
      </c>
      <c r="B145" t="s">
        <v>41</v>
      </c>
      <c r="C145" t="s">
        <v>5715</v>
      </c>
      <c r="D145">
        <v>1</v>
      </c>
      <c r="E145" t="s">
        <v>6167</v>
      </c>
      <c r="F145" t="s">
        <v>6168</v>
      </c>
      <c r="G145">
        <v>1</v>
      </c>
      <c r="H145" t="s">
        <v>6169</v>
      </c>
      <c r="I145" t="s">
        <v>90</v>
      </c>
      <c r="J145" t="s">
        <v>5746</v>
      </c>
    </row>
    <row r="146" spans="1:10" ht="15" customHeight="1" x14ac:dyDescent="0.25">
      <c r="A146" t="s">
        <v>6170</v>
      </c>
      <c r="B146" t="s">
        <v>41</v>
      </c>
      <c r="C146" t="s">
        <v>5715</v>
      </c>
      <c r="D146">
        <v>1</v>
      </c>
      <c r="E146" t="s">
        <v>6171</v>
      </c>
      <c r="F146" t="s">
        <v>6172</v>
      </c>
      <c r="G146">
        <v>1</v>
      </c>
      <c r="H146" t="s">
        <v>6173</v>
      </c>
      <c r="I146" t="s">
        <v>90</v>
      </c>
      <c r="J146" t="s">
        <v>6174</v>
      </c>
    </row>
    <row r="147" spans="1:10" ht="15" customHeight="1" x14ac:dyDescent="0.25">
      <c r="A147" t="s">
        <v>6175</v>
      </c>
      <c r="B147" t="s">
        <v>3508</v>
      </c>
      <c r="C147" t="s">
        <v>5353</v>
      </c>
      <c r="D147">
        <v>1</v>
      </c>
      <c r="E147" t="s">
        <v>6176</v>
      </c>
      <c r="F147" t="s">
        <v>6177</v>
      </c>
      <c r="G147">
        <v>1</v>
      </c>
      <c r="H147" t="s">
        <v>6178</v>
      </c>
      <c r="I147" t="s">
        <v>90</v>
      </c>
      <c r="J147" t="s">
        <v>6179</v>
      </c>
    </row>
    <row r="148" spans="1:10" ht="15" customHeight="1" x14ac:dyDescent="0.25">
      <c r="A148" t="s">
        <v>6180</v>
      </c>
      <c r="B148" t="s">
        <v>3508</v>
      </c>
      <c r="C148" t="s">
        <v>5715</v>
      </c>
      <c r="D148">
        <v>2</v>
      </c>
      <c r="E148" t="s">
        <v>6181</v>
      </c>
      <c r="F148" t="s">
        <v>6182</v>
      </c>
      <c r="G148">
        <v>2</v>
      </c>
      <c r="H148" t="s">
        <v>6180</v>
      </c>
      <c r="I148" t="s">
        <v>90</v>
      </c>
      <c r="J148" t="s">
        <v>6018</v>
      </c>
    </row>
    <row r="149" spans="1:10" ht="15" customHeight="1" x14ac:dyDescent="0.25">
      <c r="A149" t="s">
        <v>6183</v>
      </c>
      <c r="B149" t="s">
        <v>41</v>
      </c>
      <c r="C149" t="s">
        <v>5353</v>
      </c>
      <c r="D149">
        <v>0</v>
      </c>
      <c r="E149" t="s">
        <v>6184</v>
      </c>
      <c r="F149" t="s">
        <v>6185</v>
      </c>
      <c r="G149">
        <v>0</v>
      </c>
      <c r="H149" t="s">
        <v>6183</v>
      </c>
      <c r="I149" t="s">
        <v>90</v>
      </c>
      <c r="J149" t="s">
        <v>5701</v>
      </c>
    </row>
    <row r="150" spans="1:10" ht="15" customHeight="1" x14ac:dyDescent="0.25">
      <c r="A150" t="s">
        <v>6186</v>
      </c>
      <c r="B150" t="s">
        <v>3508</v>
      </c>
      <c r="C150" t="s">
        <v>5715</v>
      </c>
      <c r="D150">
        <v>1</v>
      </c>
      <c r="E150" t="s">
        <v>6187</v>
      </c>
      <c r="F150" t="s">
        <v>6188</v>
      </c>
      <c r="G150">
        <v>1</v>
      </c>
      <c r="H150" t="s">
        <v>6186</v>
      </c>
      <c r="I150" t="s">
        <v>90</v>
      </c>
      <c r="J150" t="s">
        <v>5997</v>
      </c>
    </row>
    <row r="151" spans="1:10" ht="15" customHeight="1" x14ac:dyDescent="0.25">
      <c r="A151" t="s">
        <v>5137</v>
      </c>
      <c r="B151" t="s">
        <v>4290</v>
      </c>
      <c r="C151" t="s">
        <v>4238</v>
      </c>
      <c r="D151" t="s">
        <v>3990</v>
      </c>
      <c r="E151" t="s">
        <v>6189</v>
      </c>
      <c r="F151" t="s">
        <v>3452</v>
      </c>
      <c r="G151" t="s">
        <v>3990</v>
      </c>
      <c r="H151" t="s">
        <v>6190</v>
      </c>
      <c r="I151" t="s">
        <v>1649</v>
      </c>
    </row>
    <row r="152" spans="1:10" ht="15" customHeight="1" x14ac:dyDescent="0.25">
      <c r="A152" t="s">
        <v>6191</v>
      </c>
      <c r="B152" t="s">
        <v>4290</v>
      </c>
      <c r="C152" t="s">
        <v>3649</v>
      </c>
      <c r="D152">
        <v>1</v>
      </c>
      <c r="E152" t="s">
        <v>6192</v>
      </c>
      <c r="F152" t="s">
        <v>3452</v>
      </c>
      <c r="G152" t="s">
        <v>3452</v>
      </c>
      <c r="H152" t="s">
        <v>6193</v>
      </c>
      <c r="I152" t="s">
        <v>501</v>
      </c>
      <c r="J152" t="s">
        <v>5786</v>
      </c>
    </row>
    <row r="153" spans="1:10" ht="15" customHeight="1" x14ac:dyDescent="0.25">
      <c r="A153" t="s">
        <v>6194</v>
      </c>
      <c r="B153" t="s">
        <v>41</v>
      </c>
      <c r="C153" t="s">
        <v>5715</v>
      </c>
      <c r="D153">
        <v>1</v>
      </c>
      <c r="E153" t="s">
        <v>6195</v>
      </c>
      <c r="F153" t="s">
        <v>6196</v>
      </c>
      <c r="G153">
        <v>1</v>
      </c>
      <c r="H153" t="s">
        <v>6197</v>
      </c>
      <c r="I153" t="s">
        <v>90</v>
      </c>
      <c r="J153" t="s">
        <v>6198</v>
      </c>
    </row>
    <row r="154" spans="1:10" ht="15" customHeight="1" x14ac:dyDescent="0.25">
      <c r="A154" t="s">
        <v>5355</v>
      </c>
      <c r="B154" t="s">
        <v>3508</v>
      </c>
      <c r="C154" t="s">
        <v>5353</v>
      </c>
      <c r="D154">
        <v>0</v>
      </c>
      <c r="E154" t="s">
        <v>6199</v>
      </c>
      <c r="F154" t="s">
        <v>6200</v>
      </c>
      <c r="G154">
        <v>0</v>
      </c>
      <c r="H154" t="s">
        <v>5355</v>
      </c>
      <c r="I154" t="s">
        <v>90</v>
      </c>
      <c r="J154" t="s">
        <v>5732</v>
      </c>
    </row>
    <row r="155" spans="1:10" ht="15" customHeight="1" x14ac:dyDescent="0.25">
      <c r="A155" t="s">
        <v>6201</v>
      </c>
      <c r="B155" t="s">
        <v>3508</v>
      </c>
      <c r="C155" t="s">
        <v>5715</v>
      </c>
      <c r="D155">
        <v>1</v>
      </c>
      <c r="E155" t="s">
        <v>6202</v>
      </c>
      <c r="F155" t="s">
        <v>6203</v>
      </c>
      <c r="G155">
        <v>1</v>
      </c>
      <c r="H155" t="s">
        <v>6201</v>
      </c>
      <c r="I155" t="s">
        <v>90</v>
      </c>
      <c r="J155" t="s">
        <v>6052</v>
      </c>
    </row>
    <row r="156" spans="1:10" ht="15" customHeight="1" x14ac:dyDescent="0.25">
      <c r="A156" t="s">
        <v>6204</v>
      </c>
      <c r="B156" t="s">
        <v>3508</v>
      </c>
      <c r="C156" t="s">
        <v>5434</v>
      </c>
      <c r="D156">
        <v>1</v>
      </c>
      <c r="E156" t="s">
        <v>5864</v>
      </c>
      <c r="F156" t="s">
        <v>5865</v>
      </c>
      <c r="G156">
        <v>1</v>
      </c>
      <c r="H156" t="s">
        <v>6204</v>
      </c>
      <c r="I156" t="s">
        <v>2361</v>
      </c>
      <c r="J156" t="s">
        <v>5867</v>
      </c>
    </row>
    <row r="157" spans="1:10" ht="15" customHeight="1" x14ac:dyDescent="0.25">
      <c r="A157" t="s">
        <v>6205</v>
      </c>
      <c r="B157" t="s">
        <v>3496</v>
      </c>
      <c r="C157" t="s">
        <v>5715</v>
      </c>
      <c r="D157">
        <v>2</v>
      </c>
      <c r="E157" t="s">
        <v>6206</v>
      </c>
      <c r="F157" t="s">
        <v>6207</v>
      </c>
      <c r="G157">
        <v>2</v>
      </c>
      <c r="H157" t="s">
        <v>6205</v>
      </c>
      <c r="I157" t="s">
        <v>90</v>
      </c>
      <c r="J157" t="s">
        <v>5989</v>
      </c>
    </row>
    <row r="158" spans="1:10" ht="15" customHeight="1" x14ac:dyDescent="0.25">
      <c r="A158" t="s">
        <v>6208</v>
      </c>
      <c r="B158" t="s">
        <v>3508</v>
      </c>
      <c r="C158" t="s">
        <v>5715</v>
      </c>
      <c r="D158">
        <v>0</v>
      </c>
      <c r="E158" t="s">
        <v>6209</v>
      </c>
      <c r="F158" t="s">
        <v>6210</v>
      </c>
      <c r="G158">
        <v>0</v>
      </c>
      <c r="H158" t="s">
        <v>6211</v>
      </c>
      <c r="I158" t="s">
        <v>90</v>
      </c>
      <c r="J158" t="s">
        <v>6212</v>
      </c>
    </row>
    <row r="159" spans="1:10" ht="15" customHeight="1" x14ac:dyDescent="0.25">
      <c r="A159" t="s">
        <v>6213</v>
      </c>
      <c r="B159" t="s">
        <v>4290</v>
      </c>
      <c r="C159" t="s">
        <v>3649</v>
      </c>
      <c r="D159">
        <v>1</v>
      </c>
      <c r="E159" t="s">
        <v>6214</v>
      </c>
      <c r="F159" t="s">
        <v>3452</v>
      </c>
      <c r="G159" t="s">
        <v>3452</v>
      </c>
      <c r="H159" t="s">
        <v>6215</v>
      </c>
      <c r="I159" t="s">
        <v>501</v>
      </c>
      <c r="J159" t="s">
        <v>5786</v>
      </c>
    </row>
    <row r="160" spans="1:10" ht="15" customHeight="1" x14ac:dyDescent="0.25">
      <c r="A160" t="s">
        <v>6216</v>
      </c>
      <c r="B160" t="s">
        <v>3508</v>
      </c>
      <c r="C160" t="s">
        <v>5353</v>
      </c>
      <c r="D160" t="s">
        <v>3990</v>
      </c>
      <c r="E160" t="s">
        <v>6217</v>
      </c>
      <c r="F160" t="s">
        <v>6218</v>
      </c>
      <c r="G160" t="s">
        <v>3990</v>
      </c>
      <c r="H160" t="s">
        <v>6216</v>
      </c>
      <c r="I160" t="s">
        <v>90</v>
      </c>
      <c r="J160" t="s">
        <v>5830</v>
      </c>
    </row>
    <row r="161" spans="1:10" ht="15" customHeight="1" x14ac:dyDescent="0.25">
      <c r="A161" t="s">
        <v>5102</v>
      </c>
      <c r="B161" t="s">
        <v>4290</v>
      </c>
      <c r="C161" t="s">
        <v>4238</v>
      </c>
      <c r="D161" t="s">
        <v>3990</v>
      </c>
      <c r="E161" t="s">
        <v>6219</v>
      </c>
      <c r="F161" t="s">
        <v>3452</v>
      </c>
      <c r="G161" t="s">
        <v>3452</v>
      </c>
      <c r="H161" t="s">
        <v>5102</v>
      </c>
      <c r="I161" t="s">
        <v>90</v>
      </c>
      <c r="J161" t="s">
        <v>5863</v>
      </c>
    </row>
    <row r="162" spans="1:10" ht="15" customHeight="1" x14ac:dyDescent="0.25">
      <c r="A162" t="s">
        <v>6220</v>
      </c>
      <c r="B162" t="s">
        <v>3508</v>
      </c>
      <c r="C162" t="s">
        <v>5715</v>
      </c>
      <c r="D162">
        <v>2</v>
      </c>
      <c r="E162" t="s">
        <v>6221</v>
      </c>
      <c r="F162" t="s">
        <v>6222</v>
      </c>
      <c r="G162">
        <v>2</v>
      </c>
      <c r="H162" t="s">
        <v>6223</v>
      </c>
      <c r="I162" t="s">
        <v>90</v>
      </c>
      <c r="J162" t="s">
        <v>5770</v>
      </c>
    </row>
    <row r="163" spans="1:10" ht="15" customHeight="1" x14ac:dyDescent="0.25">
      <c r="A163" t="s">
        <v>6224</v>
      </c>
      <c r="B163" t="s">
        <v>3508</v>
      </c>
      <c r="C163" t="s">
        <v>5798</v>
      </c>
      <c r="D163">
        <v>2</v>
      </c>
      <c r="E163" t="s">
        <v>6225</v>
      </c>
      <c r="F163" t="s">
        <v>6226</v>
      </c>
      <c r="G163">
        <v>2</v>
      </c>
      <c r="H163" t="s">
        <v>6227</v>
      </c>
      <c r="I163" t="s">
        <v>1672</v>
      </c>
    </row>
    <row r="164" spans="1:10" ht="15" customHeight="1" x14ac:dyDescent="0.25">
      <c r="A164" t="s">
        <v>6228</v>
      </c>
      <c r="B164" t="s">
        <v>3508</v>
      </c>
      <c r="C164" t="s">
        <v>4590</v>
      </c>
      <c r="D164">
        <v>1</v>
      </c>
      <c r="E164" t="s">
        <v>6229</v>
      </c>
      <c r="F164" t="s">
        <v>6230</v>
      </c>
      <c r="G164">
        <v>1</v>
      </c>
      <c r="H164" t="s">
        <v>6228</v>
      </c>
      <c r="I164" t="s">
        <v>90</v>
      </c>
      <c r="J164" t="s">
        <v>5920</v>
      </c>
    </row>
    <row r="165" spans="1:10" ht="15" customHeight="1" x14ac:dyDescent="0.25">
      <c r="A165" t="s">
        <v>4809</v>
      </c>
      <c r="B165" t="s">
        <v>3508</v>
      </c>
      <c r="C165" t="s">
        <v>5353</v>
      </c>
      <c r="D165">
        <v>1</v>
      </c>
      <c r="E165" t="s">
        <v>6231</v>
      </c>
      <c r="F165" t="s">
        <v>6231</v>
      </c>
      <c r="G165">
        <v>1</v>
      </c>
      <c r="H165" t="s">
        <v>4812</v>
      </c>
      <c r="I165" t="s">
        <v>1649</v>
      </c>
      <c r="J165" t="s">
        <v>5748</v>
      </c>
    </row>
    <row r="166" spans="1:10" ht="15" customHeight="1" x14ac:dyDescent="0.25">
      <c r="A166" t="s">
        <v>6232</v>
      </c>
      <c r="B166" t="s">
        <v>3508</v>
      </c>
      <c r="C166" t="s">
        <v>5715</v>
      </c>
      <c r="D166">
        <v>2</v>
      </c>
      <c r="E166" t="s">
        <v>6233</v>
      </c>
      <c r="F166" t="s">
        <v>3452</v>
      </c>
      <c r="G166">
        <v>2</v>
      </c>
      <c r="H166" t="s">
        <v>6234</v>
      </c>
      <c r="I166" t="s">
        <v>90</v>
      </c>
      <c r="J166" t="s">
        <v>6052</v>
      </c>
    </row>
    <row r="167" spans="1:10" ht="15" customHeight="1" x14ac:dyDescent="0.25">
      <c r="A167" t="s">
        <v>6235</v>
      </c>
      <c r="B167" t="s">
        <v>3508</v>
      </c>
      <c r="C167" t="s">
        <v>5353</v>
      </c>
      <c r="D167">
        <v>1</v>
      </c>
      <c r="E167" t="s">
        <v>6236</v>
      </c>
      <c r="F167" t="s">
        <v>6237</v>
      </c>
      <c r="G167">
        <v>1</v>
      </c>
      <c r="H167" t="s">
        <v>6238</v>
      </c>
      <c r="I167" t="s">
        <v>90</v>
      </c>
      <c r="J167" t="s">
        <v>5992</v>
      </c>
    </row>
    <row r="168" spans="1:10" ht="15" customHeight="1" x14ac:dyDescent="0.25">
      <c r="A168" t="s">
        <v>6239</v>
      </c>
      <c r="B168" t="s">
        <v>3508</v>
      </c>
      <c r="C168" t="s">
        <v>5353</v>
      </c>
      <c r="D168">
        <v>1</v>
      </c>
      <c r="E168" t="s">
        <v>6240</v>
      </c>
      <c r="F168" t="s">
        <v>6240</v>
      </c>
      <c r="G168">
        <v>0</v>
      </c>
      <c r="H168" t="s">
        <v>6241</v>
      </c>
      <c r="I168" t="s">
        <v>90</v>
      </c>
      <c r="J168" t="s">
        <v>6242</v>
      </c>
    </row>
    <row r="169" spans="1:10" ht="15" customHeight="1" x14ac:dyDescent="0.25">
      <c r="A169" t="s">
        <v>6243</v>
      </c>
      <c r="B169" t="s">
        <v>3496</v>
      </c>
      <c r="C169" t="s">
        <v>5353</v>
      </c>
      <c r="D169">
        <v>0</v>
      </c>
      <c r="E169" t="s">
        <v>6244</v>
      </c>
      <c r="F169" t="s">
        <v>6245</v>
      </c>
      <c r="G169">
        <v>0</v>
      </c>
      <c r="H169" t="s">
        <v>6243</v>
      </c>
      <c r="I169" t="s">
        <v>90</v>
      </c>
      <c r="J169" t="s">
        <v>6246</v>
      </c>
    </row>
    <row r="170" spans="1:10" ht="15" customHeight="1" x14ac:dyDescent="0.25">
      <c r="A170" t="s">
        <v>6247</v>
      </c>
      <c r="B170" t="s">
        <v>3508</v>
      </c>
      <c r="C170" t="s">
        <v>5353</v>
      </c>
      <c r="D170">
        <v>1</v>
      </c>
      <c r="E170" t="s">
        <v>6248</v>
      </c>
      <c r="F170" t="s">
        <v>6249</v>
      </c>
      <c r="G170">
        <v>1</v>
      </c>
      <c r="H170" t="s">
        <v>6247</v>
      </c>
      <c r="I170" t="s">
        <v>90</v>
      </c>
      <c r="J170" t="s">
        <v>5992</v>
      </c>
    </row>
    <row r="171" spans="1:10" ht="15" customHeight="1" x14ac:dyDescent="0.25">
      <c r="A171" t="s">
        <v>6250</v>
      </c>
      <c r="B171" t="s">
        <v>3508</v>
      </c>
      <c r="C171" t="s">
        <v>5353</v>
      </c>
      <c r="D171">
        <v>1</v>
      </c>
      <c r="E171" t="s">
        <v>6251</v>
      </c>
      <c r="F171" t="s">
        <v>6251</v>
      </c>
      <c r="G171">
        <v>0</v>
      </c>
      <c r="H171" t="s">
        <v>6250</v>
      </c>
      <c r="I171" t="s">
        <v>90</v>
      </c>
      <c r="J171" t="s">
        <v>5816</v>
      </c>
    </row>
    <row r="172" spans="1:10" ht="15" customHeight="1" x14ac:dyDescent="0.25">
      <c r="A172" t="s">
        <v>6252</v>
      </c>
      <c r="B172" t="s">
        <v>3508</v>
      </c>
      <c r="C172" t="s">
        <v>5715</v>
      </c>
      <c r="D172">
        <v>2</v>
      </c>
      <c r="E172" t="s">
        <v>6253</v>
      </c>
      <c r="F172" t="s">
        <v>6254</v>
      </c>
      <c r="G172">
        <v>2</v>
      </c>
      <c r="H172" t="s">
        <v>6255</v>
      </c>
      <c r="I172" t="s">
        <v>90</v>
      </c>
      <c r="J172" t="s">
        <v>5997</v>
      </c>
    </row>
    <row r="173" spans="1:10" ht="15" customHeight="1" x14ac:dyDescent="0.25">
      <c r="A173" t="s">
        <v>6256</v>
      </c>
      <c r="B173" t="s">
        <v>4290</v>
      </c>
      <c r="C173" t="s">
        <v>4238</v>
      </c>
      <c r="D173" t="s">
        <v>3990</v>
      </c>
      <c r="E173" t="s">
        <v>6257</v>
      </c>
      <c r="F173" t="s">
        <v>3452</v>
      </c>
      <c r="G173" t="s">
        <v>3452</v>
      </c>
      <c r="H173" t="s">
        <v>6256</v>
      </c>
      <c r="I173" t="s">
        <v>90</v>
      </c>
      <c r="J173" t="s">
        <v>5863</v>
      </c>
    </row>
    <row r="174" spans="1:10" ht="15" customHeight="1" x14ac:dyDescent="0.25">
      <c r="A174" t="s">
        <v>6258</v>
      </c>
      <c r="B174" t="s">
        <v>4290</v>
      </c>
      <c r="C174" t="s">
        <v>5715</v>
      </c>
      <c r="D174">
        <v>0</v>
      </c>
      <c r="E174" t="s">
        <v>6259</v>
      </c>
      <c r="F174" t="s">
        <v>6260</v>
      </c>
      <c r="G174">
        <v>0</v>
      </c>
      <c r="H174" t="s">
        <v>6258</v>
      </c>
      <c r="I174" t="s">
        <v>90</v>
      </c>
    </row>
    <row r="175" spans="1:10" ht="15" customHeight="1" x14ac:dyDescent="0.25">
      <c r="A175" t="s">
        <v>6261</v>
      </c>
      <c r="B175" t="s">
        <v>3508</v>
      </c>
      <c r="C175" t="s">
        <v>5353</v>
      </c>
      <c r="D175">
        <v>2</v>
      </c>
      <c r="E175" t="s">
        <v>6262</v>
      </c>
      <c r="F175" t="s">
        <v>6263</v>
      </c>
      <c r="G175">
        <v>2</v>
      </c>
      <c r="H175" t="s">
        <v>6261</v>
      </c>
      <c r="I175" t="s">
        <v>90</v>
      </c>
      <c r="J175" t="s">
        <v>5930</v>
      </c>
    </row>
    <row r="176" spans="1:10" ht="15" customHeight="1" x14ac:dyDescent="0.25">
      <c r="A176" t="s">
        <v>6264</v>
      </c>
      <c r="B176" t="s">
        <v>41</v>
      </c>
      <c r="C176" t="s">
        <v>5353</v>
      </c>
      <c r="D176">
        <v>1</v>
      </c>
      <c r="E176" t="s">
        <v>6265</v>
      </c>
      <c r="F176" t="s">
        <v>6266</v>
      </c>
      <c r="G176">
        <v>1</v>
      </c>
      <c r="H176" t="s">
        <v>6267</v>
      </c>
      <c r="I176" t="s">
        <v>90</v>
      </c>
      <c r="J176" t="s">
        <v>6268</v>
      </c>
    </row>
    <row r="177" spans="1:10" ht="15" customHeight="1" x14ac:dyDescent="0.25">
      <c r="A177" t="s">
        <v>6269</v>
      </c>
      <c r="B177" t="s">
        <v>3508</v>
      </c>
      <c r="C177" t="s">
        <v>5715</v>
      </c>
      <c r="D177" t="s">
        <v>5939</v>
      </c>
      <c r="E177" t="s">
        <v>6270</v>
      </c>
      <c r="F177" t="s">
        <v>6271</v>
      </c>
      <c r="G177" t="s">
        <v>5939</v>
      </c>
      <c r="H177" t="s">
        <v>6269</v>
      </c>
      <c r="I177" t="s">
        <v>90</v>
      </c>
      <c r="J177" t="s">
        <v>5770</v>
      </c>
    </row>
    <row r="178" spans="1:10" ht="15" customHeight="1" x14ac:dyDescent="0.25">
      <c r="A178" t="s">
        <v>6272</v>
      </c>
      <c r="B178" t="s">
        <v>41</v>
      </c>
      <c r="C178" t="s">
        <v>5715</v>
      </c>
      <c r="D178">
        <v>0</v>
      </c>
      <c r="E178" t="s">
        <v>6273</v>
      </c>
      <c r="F178" t="s">
        <v>6274</v>
      </c>
      <c r="G178">
        <v>0</v>
      </c>
      <c r="H178" t="s">
        <v>6272</v>
      </c>
      <c r="I178" t="s">
        <v>90</v>
      </c>
      <c r="J178" t="s">
        <v>5770</v>
      </c>
    </row>
    <row r="179" spans="1:10" ht="15" customHeight="1" x14ac:dyDescent="0.25">
      <c r="A179" t="s">
        <v>6275</v>
      </c>
      <c r="B179" t="s">
        <v>4290</v>
      </c>
      <c r="C179" t="s">
        <v>3649</v>
      </c>
      <c r="D179">
        <v>1</v>
      </c>
      <c r="E179" t="s">
        <v>6276</v>
      </c>
      <c r="F179" t="s">
        <v>3452</v>
      </c>
      <c r="G179" t="s">
        <v>3452</v>
      </c>
      <c r="H179" t="s">
        <v>6275</v>
      </c>
      <c r="I179" t="s">
        <v>90</v>
      </c>
    </row>
    <row r="180" spans="1:10" ht="15" customHeight="1" x14ac:dyDescent="0.25">
      <c r="A180" t="s">
        <v>6277</v>
      </c>
      <c r="B180" t="s">
        <v>41</v>
      </c>
      <c r="C180" t="s">
        <v>5715</v>
      </c>
      <c r="D180">
        <v>2</v>
      </c>
      <c r="E180" t="s">
        <v>6278</v>
      </c>
      <c r="F180" t="s">
        <v>6279</v>
      </c>
      <c r="G180">
        <v>2</v>
      </c>
      <c r="H180" t="s">
        <v>6280</v>
      </c>
      <c r="I180" t="s">
        <v>90</v>
      </c>
      <c r="J180" t="s">
        <v>6018</v>
      </c>
    </row>
    <row r="181" spans="1:10" ht="15" customHeight="1" x14ac:dyDescent="0.25">
      <c r="A181" t="s">
        <v>6281</v>
      </c>
      <c r="B181" t="s">
        <v>3508</v>
      </c>
      <c r="C181" t="s">
        <v>5434</v>
      </c>
      <c r="D181">
        <v>1</v>
      </c>
      <c r="E181" t="s">
        <v>5864</v>
      </c>
      <c r="F181" t="s">
        <v>5865</v>
      </c>
      <c r="G181">
        <v>1</v>
      </c>
      <c r="H181" t="s">
        <v>6281</v>
      </c>
      <c r="I181" t="s">
        <v>2361</v>
      </c>
      <c r="J181" t="s">
        <v>5999</v>
      </c>
    </row>
    <row r="182" spans="1:10" ht="15" customHeight="1" x14ac:dyDescent="0.25">
      <c r="A182" t="s">
        <v>6282</v>
      </c>
      <c r="B182" t="s">
        <v>3508</v>
      </c>
      <c r="C182" t="s">
        <v>5353</v>
      </c>
      <c r="D182">
        <v>1</v>
      </c>
      <c r="E182" t="s">
        <v>6283</v>
      </c>
      <c r="F182" t="s">
        <v>6284</v>
      </c>
      <c r="G182">
        <v>1</v>
      </c>
      <c r="H182" t="s">
        <v>6285</v>
      </c>
      <c r="I182" t="s">
        <v>90</v>
      </c>
      <c r="J182" t="s">
        <v>5920</v>
      </c>
    </row>
    <row r="183" spans="1:10" ht="15" customHeight="1" x14ac:dyDescent="0.25">
      <c r="A183" t="s">
        <v>6286</v>
      </c>
      <c r="B183" t="s">
        <v>3496</v>
      </c>
      <c r="C183" t="s">
        <v>5353</v>
      </c>
      <c r="D183">
        <v>1</v>
      </c>
      <c r="E183" t="s">
        <v>6287</v>
      </c>
      <c r="F183" t="s">
        <v>6288</v>
      </c>
      <c r="G183">
        <v>1</v>
      </c>
      <c r="H183" t="s">
        <v>6289</v>
      </c>
      <c r="I183" t="s">
        <v>90</v>
      </c>
      <c r="J183" t="s">
        <v>6290</v>
      </c>
    </row>
    <row r="184" spans="1:10" ht="15" customHeight="1" x14ac:dyDescent="0.25">
      <c r="A184" t="s">
        <v>6291</v>
      </c>
      <c r="B184" t="s">
        <v>3540</v>
      </c>
      <c r="C184" t="s">
        <v>5715</v>
      </c>
      <c r="D184">
        <v>1</v>
      </c>
      <c r="E184" t="s">
        <v>6273</v>
      </c>
      <c r="F184" t="s">
        <v>6274</v>
      </c>
      <c r="G184">
        <v>1</v>
      </c>
      <c r="H184" t="s">
        <v>3452</v>
      </c>
      <c r="I184" t="s">
        <v>3452</v>
      </c>
    </row>
    <row r="185" spans="1:10" ht="15" customHeight="1" x14ac:dyDescent="0.25">
      <c r="A185" t="s">
        <v>6292</v>
      </c>
      <c r="B185" t="s">
        <v>41</v>
      </c>
      <c r="C185" t="s">
        <v>5715</v>
      </c>
      <c r="D185">
        <v>1</v>
      </c>
      <c r="E185" t="s">
        <v>6293</v>
      </c>
      <c r="F185" t="s">
        <v>6294</v>
      </c>
      <c r="G185">
        <v>1</v>
      </c>
      <c r="H185" t="s">
        <v>6295</v>
      </c>
      <c r="I185" t="s">
        <v>90</v>
      </c>
      <c r="J185" t="s">
        <v>5746</v>
      </c>
    </row>
    <row r="186" spans="1:10" ht="15" customHeight="1" x14ac:dyDescent="0.25">
      <c r="A186" t="s">
        <v>5689</v>
      </c>
      <c r="B186" t="s">
        <v>3540</v>
      </c>
      <c r="C186" t="s">
        <v>5353</v>
      </c>
      <c r="D186">
        <v>1</v>
      </c>
      <c r="E186" t="s">
        <v>6296</v>
      </c>
      <c r="F186" t="s">
        <v>6297</v>
      </c>
      <c r="G186">
        <v>1</v>
      </c>
      <c r="H186" t="s">
        <v>5689</v>
      </c>
      <c r="I186" t="s">
        <v>90</v>
      </c>
      <c r="J186" t="s">
        <v>6298</v>
      </c>
    </row>
    <row r="187" spans="1:10" ht="15" customHeight="1" x14ac:dyDescent="0.25">
      <c r="A187" t="s">
        <v>6299</v>
      </c>
      <c r="B187" t="s">
        <v>41</v>
      </c>
      <c r="C187" t="s">
        <v>5715</v>
      </c>
      <c r="D187">
        <v>1</v>
      </c>
      <c r="E187" t="s">
        <v>6300</v>
      </c>
      <c r="F187" t="s">
        <v>6301</v>
      </c>
      <c r="G187">
        <v>1</v>
      </c>
      <c r="H187" t="s">
        <v>6302</v>
      </c>
      <c r="I187" t="s">
        <v>90</v>
      </c>
      <c r="J187" t="s">
        <v>6303</v>
      </c>
    </row>
    <row r="188" spans="1:10" ht="15" customHeight="1" x14ac:dyDescent="0.25">
      <c r="A188" t="s">
        <v>6304</v>
      </c>
      <c r="B188" t="s">
        <v>41</v>
      </c>
      <c r="C188" t="s">
        <v>5715</v>
      </c>
      <c r="D188">
        <v>1</v>
      </c>
      <c r="E188" t="s">
        <v>6305</v>
      </c>
      <c r="F188" t="s">
        <v>6306</v>
      </c>
      <c r="G188">
        <v>1</v>
      </c>
      <c r="H188" t="s">
        <v>6307</v>
      </c>
      <c r="I188" t="s">
        <v>90</v>
      </c>
      <c r="J188" t="s">
        <v>5728</v>
      </c>
    </row>
    <row r="189" spans="1:10" ht="15" customHeight="1" x14ac:dyDescent="0.25">
      <c r="A189" t="s">
        <v>6308</v>
      </c>
      <c r="B189" t="s">
        <v>3508</v>
      </c>
      <c r="C189" t="s">
        <v>5353</v>
      </c>
      <c r="D189" t="s">
        <v>3990</v>
      </c>
      <c r="E189" t="s">
        <v>6309</v>
      </c>
      <c r="F189" t="s">
        <v>6310</v>
      </c>
      <c r="G189" t="s">
        <v>3990</v>
      </c>
      <c r="H189" t="s">
        <v>6308</v>
      </c>
      <c r="I189" t="s">
        <v>90</v>
      </c>
      <c r="J189" t="s">
        <v>6311</v>
      </c>
    </row>
    <row r="190" spans="1:10" ht="15" customHeight="1" x14ac:dyDescent="0.25">
      <c r="A190" t="s">
        <v>6312</v>
      </c>
      <c r="B190" t="s">
        <v>3508</v>
      </c>
      <c r="C190" t="s">
        <v>5798</v>
      </c>
      <c r="D190">
        <v>3</v>
      </c>
      <c r="E190" t="s">
        <v>6313</v>
      </c>
      <c r="F190" t="s">
        <v>6314</v>
      </c>
      <c r="G190">
        <v>3</v>
      </c>
      <c r="H190" t="s">
        <v>6315</v>
      </c>
      <c r="I190" t="s">
        <v>1672</v>
      </c>
    </row>
    <row r="191" spans="1:10" ht="15" customHeight="1" x14ac:dyDescent="0.25">
      <c r="A191" t="s">
        <v>6316</v>
      </c>
      <c r="B191" t="s">
        <v>3508</v>
      </c>
      <c r="C191" t="s">
        <v>5353</v>
      </c>
      <c r="D191">
        <v>1</v>
      </c>
      <c r="E191" t="s">
        <v>6317</v>
      </c>
      <c r="F191" t="s">
        <v>6317</v>
      </c>
      <c r="G191">
        <v>0</v>
      </c>
      <c r="H191" t="s">
        <v>6316</v>
      </c>
      <c r="I191" t="s">
        <v>90</v>
      </c>
      <c r="J191" t="s">
        <v>6124</v>
      </c>
    </row>
    <row r="192" spans="1:10" ht="15" customHeight="1" x14ac:dyDescent="0.25">
      <c r="A192" t="s">
        <v>6318</v>
      </c>
      <c r="B192" t="s">
        <v>41</v>
      </c>
      <c r="C192" t="s">
        <v>5715</v>
      </c>
      <c r="D192">
        <v>1</v>
      </c>
      <c r="E192" t="s">
        <v>6319</v>
      </c>
      <c r="F192" t="s">
        <v>6320</v>
      </c>
      <c r="G192">
        <v>1</v>
      </c>
      <c r="H192" t="s">
        <v>6318</v>
      </c>
      <c r="I192" t="s">
        <v>90</v>
      </c>
      <c r="J192" t="s">
        <v>5860</v>
      </c>
    </row>
    <row r="193" spans="1:10" ht="15" customHeight="1" x14ac:dyDescent="0.25">
      <c r="A193" t="s">
        <v>6321</v>
      </c>
      <c r="B193" t="s">
        <v>3496</v>
      </c>
      <c r="C193" t="s">
        <v>4590</v>
      </c>
      <c r="D193">
        <v>1</v>
      </c>
      <c r="E193" t="s">
        <v>6322</v>
      </c>
      <c r="F193" t="s">
        <v>6322</v>
      </c>
      <c r="G193">
        <v>0</v>
      </c>
      <c r="H193" t="s">
        <v>6323</v>
      </c>
      <c r="I193" t="s">
        <v>90</v>
      </c>
      <c r="J193" t="s">
        <v>5701</v>
      </c>
    </row>
    <row r="194" spans="1:10" ht="15" customHeight="1" x14ac:dyDescent="0.25">
      <c r="A194" t="s">
        <v>6324</v>
      </c>
      <c r="B194" t="s">
        <v>41</v>
      </c>
      <c r="C194" t="s">
        <v>5353</v>
      </c>
      <c r="D194">
        <v>1</v>
      </c>
      <c r="E194" t="s">
        <v>6325</v>
      </c>
      <c r="F194" t="s">
        <v>6326</v>
      </c>
      <c r="G194">
        <v>1</v>
      </c>
      <c r="H194" t="s">
        <v>6327</v>
      </c>
      <c r="I194" t="s">
        <v>90</v>
      </c>
      <c r="J194" t="s">
        <v>5992</v>
      </c>
    </row>
    <row r="195" spans="1:10" ht="15" customHeight="1" x14ac:dyDescent="0.25">
      <c r="A195" t="s">
        <v>6328</v>
      </c>
      <c r="B195" t="s">
        <v>41</v>
      </c>
      <c r="C195" t="s">
        <v>5715</v>
      </c>
      <c r="D195">
        <v>1</v>
      </c>
      <c r="E195" t="s">
        <v>6329</v>
      </c>
      <c r="F195" t="s">
        <v>6330</v>
      </c>
      <c r="G195">
        <v>1</v>
      </c>
      <c r="H195" t="s">
        <v>6331</v>
      </c>
      <c r="I195" t="s">
        <v>90</v>
      </c>
      <c r="J195" t="s">
        <v>5728</v>
      </c>
    </row>
    <row r="196" spans="1:10" ht="15" customHeight="1" x14ac:dyDescent="0.25">
      <c r="A196" t="s">
        <v>6332</v>
      </c>
      <c r="B196" t="s">
        <v>3496</v>
      </c>
      <c r="C196" t="s">
        <v>5715</v>
      </c>
      <c r="D196">
        <v>1</v>
      </c>
      <c r="E196" t="s">
        <v>6333</v>
      </c>
      <c r="F196" t="s">
        <v>6334</v>
      </c>
      <c r="G196">
        <v>1</v>
      </c>
      <c r="H196" t="s">
        <v>6332</v>
      </c>
      <c r="I196" t="s">
        <v>90</v>
      </c>
      <c r="J196" t="s">
        <v>5975</v>
      </c>
    </row>
    <row r="197" spans="1:10" ht="15" customHeight="1" x14ac:dyDescent="0.25">
      <c r="A197" t="s">
        <v>6335</v>
      </c>
      <c r="B197" t="s">
        <v>3508</v>
      </c>
      <c r="C197" t="s">
        <v>5715</v>
      </c>
      <c r="D197">
        <v>2</v>
      </c>
      <c r="E197" t="s">
        <v>6336</v>
      </c>
      <c r="F197" t="s">
        <v>6337</v>
      </c>
      <c r="G197">
        <v>2</v>
      </c>
      <c r="H197" t="s">
        <v>6335</v>
      </c>
      <c r="I197" t="s">
        <v>90</v>
      </c>
      <c r="J197" t="s">
        <v>5860</v>
      </c>
    </row>
    <row r="198" spans="1:10" ht="15" customHeight="1" x14ac:dyDescent="0.25">
      <c r="A198" t="s">
        <v>6338</v>
      </c>
      <c r="B198" t="s">
        <v>3496</v>
      </c>
      <c r="C198" t="s">
        <v>5434</v>
      </c>
      <c r="D198">
        <v>1</v>
      </c>
      <c r="E198" t="s">
        <v>5864</v>
      </c>
      <c r="F198" t="s">
        <v>5865</v>
      </c>
      <c r="G198">
        <v>1</v>
      </c>
      <c r="H198" t="s">
        <v>6338</v>
      </c>
      <c r="I198" t="s">
        <v>2361</v>
      </c>
      <c r="J198" t="s">
        <v>5999</v>
      </c>
    </row>
    <row r="199" spans="1:10" ht="15" customHeight="1" x14ac:dyDescent="0.25">
      <c r="A199" t="s">
        <v>6339</v>
      </c>
      <c r="B199" t="s">
        <v>41</v>
      </c>
      <c r="C199" t="s">
        <v>5353</v>
      </c>
      <c r="D199">
        <v>0</v>
      </c>
      <c r="E199" t="s">
        <v>6340</v>
      </c>
      <c r="F199" t="s">
        <v>6341</v>
      </c>
      <c r="G199">
        <v>0</v>
      </c>
      <c r="H199" t="s">
        <v>6339</v>
      </c>
      <c r="I199" t="s">
        <v>90</v>
      </c>
      <c r="J199" t="s">
        <v>5756</v>
      </c>
    </row>
    <row r="200" spans="1:10" ht="15" customHeight="1" x14ac:dyDescent="0.25">
      <c r="A200" t="s">
        <v>6342</v>
      </c>
      <c r="B200" t="s">
        <v>3508</v>
      </c>
      <c r="C200" t="s">
        <v>5434</v>
      </c>
      <c r="D200">
        <v>1</v>
      </c>
      <c r="E200" t="s">
        <v>5864</v>
      </c>
      <c r="F200" t="s">
        <v>5865</v>
      </c>
      <c r="G200">
        <v>1</v>
      </c>
      <c r="H200" t="s">
        <v>6342</v>
      </c>
      <c r="I200" t="s">
        <v>2361</v>
      </c>
      <c r="J200" t="s">
        <v>5912</v>
      </c>
    </row>
    <row r="201" spans="1:10" ht="15" customHeight="1" x14ac:dyDescent="0.25">
      <c r="A201" t="s">
        <v>5284</v>
      </c>
      <c r="B201" t="s">
        <v>3508</v>
      </c>
      <c r="C201" t="s">
        <v>4590</v>
      </c>
      <c r="D201">
        <v>1</v>
      </c>
      <c r="E201" t="s">
        <v>6343</v>
      </c>
      <c r="F201" t="s">
        <v>6344</v>
      </c>
      <c r="G201">
        <v>1</v>
      </c>
      <c r="H201" t="s">
        <v>5286</v>
      </c>
      <c r="I201" t="s">
        <v>90</v>
      </c>
      <c r="J201" t="s">
        <v>5985</v>
      </c>
    </row>
    <row r="202" spans="1:10" ht="15" customHeight="1" x14ac:dyDescent="0.25">
      <c r="A202" t="s">
        <v>6345</v>
      </c>
      <c r="B202" t="s">
        <v>3508</v>
      </c>
      <c r="C202" t="s">
        <v>5715</v>
      </c>
      <c r="D202" t="s">
        <v>5939</v>
      </c>
      <c r="E202" t="s">
        <v>6346</v>
      </c>
      <c r="F202" t="s">
        <v>6347</v>
      </c>
      <c r="G202" t="s">
        <v>5939</v>
      </c>
      <c r="H202" t="s">
        <v>6345</v>
      </c>
      <c r="I202" t="s">
        <v>90</v>
      </c>
      <c r="J202" t="s">
        <v>5728</v>
      </c>
    </row>
    <row r="203" spans="1:10" ht="15" customHeight="1" x14ac:dyDescent="0.25">
      <c r="A203" t="s">
        <v>6348</v>
      </c>
      <c r="B203" t="s">
        <v>3508</v>
      </c>
      <c r="C203" t="s">
        <v>5353</v>
      </c>
      <c r="D203">
        <v>1</v>
      </c>
      <c r="E203" t="s">
        <v>6349</v>
      </c>
      <c r="F203" t="s">
        <v>6349</v>
      </c>
      <c r="G203">
        <v>0</v>
      </c>
      <c r="H203" t="s">
        <v>6350</v>
      </c>
      <c r="I203" t="s">
        <v>90</v>
      </c>
      <c r="J203" t="s">
        <v>6351</v>
      </c>
    </row>
    <row r="204" spans="1:10" ht="15" customHeight="1" x14ac:dyDescent="0.25">
      <c r="A204" t="s">
        <v>6352</v>
      </c>
      <c r="B204" t="s">
        <v>41</v>
      </c>
      <c r="C204" t="s">
        <v>5715</v>
      </c>
      <c r="D204">
        <v>1</v>
      </c>
      <c r="E204" t="s">
        <v>6353</v>
      </c>
      <c r="F204" t="s">
        <v>6354</v>
      </c>
      <c r="G204">
        <v>1</v>
      </c>
      <c r="H204" t="s">
        <v>6355</v>
      </c>
      <c r="I204" t="s">
        <v>90</v>
      </c>
      <c r="J204" t="s">
        <v>5978</v>
      </c>
    </row>
    <row r="205" spans="1:10" ht="15" customHeight="1" x14ac:dyDescent="0.25">
      <c r="A205" t="s">
        <v>6356</v>
      </c>
      <c r="B205" t="s">
        <v>4290</v>
      </c>
      <c r="C205" t="s">
        <v>3649</v>
      </c>
      <c r="D205" t="s">
        <v>3990</v>
      </c>
      <c r="E205" t="s">
        <v>6081</v>
      </c>
      <c r="F205" t="s">
        <v>3452</v>
      </c>
      <c r="G205" t="s">
        <v>3990</v>
      </c>
      <c r="H205" t="s">
        <v>6356</v>
      </c>
      <c r="I205" t="s">
        <v>90</v>
      </c>
    </row>
    <row r="206" spans="1:10" ht="15" customHeight="1" x14ac:dyDescent="0.25">
      <c r="A206" t="s">
        <v>6357</v>
      </c>
      <c r="B206" t="s">
        <v>3496</v>
      </c>
      <c r="C206" t="s">
        <v>4590</v>
      </c>
      <c r="D206">
        <v>3</v>
      </c>
      <c r="E206" t="s">
        <v>6358</v>
      </c>
      <c r="F206" t="s">
        <v>6359</v>
      </c>
      <c r="G206">
        <v>3</v>
      </c>
      <c r="H206" t="s">
        <v>6360</v>
      </c>
      <c r="I206" t="s">
        <v>90</v>
      </c>
      <c r="J206" t="s">
        <v>5710</v>
      </c>
    </row>
    <row r="207" spans="1:10" ht="15" customHeight="1" x14ac:dyDescent="0.25">
      <c r="A207" t="s">
        <v>6361</v>
      </c>
      <c r="B207" t="s">
        <v>4290</v>
      </c>
      <c r="C207" t="s">
        <v>4238</v>
      </c>
      <c r="D207" t="s">
        <v>3990</v>
      </c>
      <c r="E207" t="s">
        <v>6362</v>
      </c>
      <c r="F207" t="s">
        <v>3452</v>
      </c>
      <c r="G207" t="s">
        <v>3452</v>
      </c>
      <c r="H207" t="s">
        <v>6361</v>
      </c>
      <c r="I207" t="s">
        <v>90</v>
      </c>
      <c r="J207" t="s">
        <v>5863</v>
      </c>
    </row>
    <row r="208" spans="1:10" ht="15" customHeight="1" x14ac:dyDescent="0.25">
      <c r="A208" t="s">
        <v>6363</v>
      </c>
      <c r="B208" t="s">
        <v>4290</v>
      </c>
      <c r="C208" t="s">
        <v>3649</v>
      </c>
      <c r="D208">
        <v>1</v>
      </c>
      <c r="E208" t="s">
        <v>6364</v>
      </c>
      <c r="F208" t="s">
        <v>3452</v>
      </c>
      <c r="G208" t="s">
        <v>3452</v>
      </c>
      <c r="H208" t="s">
        <v>6365</v>
      </c>
      <c r="I208" t="s">
        <v>501</v>
      </c>
      <c r="J208" t="s">
        <v>5786</v>
      </c>
    </row>
    <row r="209" spans="1:10" ht="15" customHeight="1" x14ac:dyDescent="0.25">
      <c r="A209" t="s">
        <v>4695</v>
      </c>
      <c r="B209" t="s">
        <v>41</v>
      </c>
      <c r="C209" t="s">
        <v>5715</v>
      </c>
      <c r="D209">
        <v>1</v>
      </c>
      <c r="E209" t="s">
        <v>6108</v>
      </c>
      <c r="F209" t="s">
        <v>6108</v>
      </c>
      <c r="G209">
        <v>1</v>
      </c>
      <c r="H209" t="s">
        <v>4698</v>
      </c>
      <c r="I209" t="s">
        <v>1046</v>
      </c>
      <c r="J209" t="s">
        <v>5748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5691</v>
      </c>
      <c r="E1" t="s">
        <v>3447</v>
      </c>
      <c r="F1" t="s">
        <v>6366</v>
      </c>
      <c r="G1" t="s">
        <v>6367</v>
      </c>
      <c r="H1" t="s">
        <v>6368</v>
      </c>
      <c r="I1" t="s">
        <v>6369</v>
      </c>
      <c r="J1" t="s">
        <v>5715</v>
      </c>
      <c r="K1" t="s">
        <v>4253</v>
      </c>
      <c r="L1" t="s">
        <v>1</v>
      </c>
      <c r="M1" t="s">
        <v>6370</v>
      </c>
      <c r="N1" t="s">
        <v>6371</v>
      </c>
      <c r="O1" t="s">
        <v>170</v>
      </c>
    </row>
    <row r="2" spans="1:15" ht="15" customHeight="1" x14ac:dyDescent="0.25">
      <c r="A2" t="s">
        <v>5694</v>
      </c>
      <c r="B2" t="s">
        <v>3508</v>
      </c>
      <c r="C2" t="s">
        <v>4590</v>
      </c>
      <c r="D2">
        <v>1</v>
      </c>
      <c r="E2" t="s">
        <v>5695</v>
      </c>
      <c r="F2" t="s">
        <v>6372</v>
      </c>
      <c r="G2" t="s">
        <v>5696</v>
      </c>
      <c r="H2" t="s">
        <v>6373</v>
      </c>
      <c r="I2">
        <v>1</v>
      </c>
      <c r="J2" t="s">
        <v>3452</v>
      </c>
      <c r="K2" t="s">
        <v>5694</v>
      </c>
      <c r="L2" t="s">
        <v>90</v>
      </c>
      <c r="M2" t="s">
        <v>3452</v>
      </c>
      <c r="N2" t="s">
        <v>3452</v>
      </c>
      <c r="O2" t="s">
        <v>5697</v>
      </c>
    </row>
    <row r="3" spans="1:15" ht="15" customHeight="1" x14ac:dyDescent="0.25">
      <c r="A3" t="s">
        <v>5698</v>
      </c>
      <c r="B3" t="s">
        <v>41</v>
      </c>
      <c r="C3" t="s">
        <v>5353</v>
      </c>
      <c r="D3">
        <v>1</v>
      </c>
      <c r="E3" t="s">
        <v>5699</v>
      </c>
      <c r="F3" t="s">
        <v>6374</v>
      </c>
      <c r="G3" t="s">
        <v>5700</v>
      </c>
      <c r="H3" t="s">
        <v>6375</v>
      </c>
      <c r="I3">
        <v>1</v>
      </c>
      <c r="J3" t="s">
        <v>3452</v>
      </c>
      <c r="K3" t="s">
        <v>5698</v>
      </c>
      <c r="L3" t="s">
        <v>90</v>
      </c>
      <c r="M3" t="s">
        <v>3452</v>
      </c>
      <c r="N3" t="s">
        <v>3452</v>
      </c>
      <c r="O3" t="s">
        <v>5701</v>
      </c>
    </row>
    <row r="4" spans="1:15" ht="15" customHeight="1" x14ac:dyDescent="0.25">
      <c r="A4" t="s">
        <v>5702</v>
      </c>
      <c r="B4" t="s">
        <v>3496</v>
      </c>
      <c r="C4" t="s">
        <v>5353</v>
      </c>
      <c r="D4">
        <v>0</v>
      </c>
      <c r="E4" t="s">
        <v>5703</v>
      </c>
      <c r="F4" t="s">
        <v>6376</v>
      </c>
      <c r="G4" t="s">
        <v>5704</v>
      </c>
      <c r="H4" t="s">
        <v>6377</v>
      </c>
      <c r="I4">
        <v>0</v>
      </c>
      <c r="J4" t="s">
        <v>3452</v>
      </c>
      <c r="K4" t="s">
        <v>5702</v>
      </c>
      <c r="L4" t="s">
        <v>90</v>
      </c>
      <c r="M4" t="s">
        <v>5489</v>
      </c>
      <c r="N4" t="s">
        <v>3452</v>
      </c>
      <c r="O4" t="s">
        <v>5705</v>
      </c>
    </row>
    <row r="5" spans="1:15" ht="15" customHeight="1" x14ac:dyDescent="0.25">
      <c r="A5" t="s">
        <v>5706</v>
      </c>
      <c r="B5" t="s">
        <v>3496</v>
      </c>
      <c r="C5" t="s">
        <v>4590</v>
      </c>
      <c r="D5">
        <v>1</v>
      </c>
      <c r="E5" t="s">
        <v>5707</v>
      </c>
      <c r="F5" t="s">
        <v>6378</v>
      </c>
      <c r="G5" t="s">
        <v>5708</v>
      </c>
      <c r="H5" t="s">
        <v>6378</v>
      </c>
      <c r="I5">
        <v>1</v>
      </c>
      <c r="J5" t="s">
        <v>3452</v>
      </c>
      <c r="K5" t="s">
        <v>5709</v>
      </c>
      <c r="L5" t="s">
        <v>90</v>
      </c>
      <c r="M5" t="s">
        <v>5428</v>
      </c>
      <c r="N5" t="s">
        <v>3452</v>
      </c>
      <c r="O5" t="s">
        <v>5710</v>
      </c>
    </row>
    <row r="6" spans="1:15" ht="15" customHeight="1" x14ac:dyDescent="0.25">
      <c r="A6" t="s">
        <v>5711</v>
      </c>
      <c r="B6" t="s">
        <v>3496</v>
      </c>
      <c r="C6" t="s">
        <v>5353</v>
      </c>
      <c r="D6">
        <v>1</v>
      </c>
      <c r="E6" t="s">
        <v>5712</v>
      </c>
      <c r="F6" t="s">
        <v>6379</v>
      </c>
      <c r="G6" t="s">
        <v>5712</v>
      </c>
      <c r="H6" t="s">
        <v>6379</v>
      </c>
      <c r="I6">
        <v>0</v>
      </c>
      <c r="J6" t="s">
        <v>3452</v>
      </c>
      <c r="K6" t="s">
        <v>5711</v>
      </c>
      <c r="L6" t="s">
        <v>90</v>
      </c>
      <c r="M6" t="s">
        <v>5489</v>
      </c>
      <c r="N6" t="s">
        <v>3452</v>
      </c>
      <c r="O6" t="s">
        <v>6380</v>
      </c>
    </row>
    <row r="7" spans="1:15" ht="15" customHeight="1" x14ac:dyDescent="0.25">
      <c r="A7" t="s">
        <v>5714</v>
      </c>
      <c r="B7" t="s">
        <v>3496</v>
      </c>
      <c r="C7" t="s">
        <v>5715</v>
      </c>
      <c r="D7">
        <v>2</v>
      </c>
      <c r="E7" t="s">
        <v>6381</v>
      </c>
      <c r="F7" t="s">
        <v>6382</v>
      </c>
      <c r="G7" t="s">
        <v>6383</v>
      </c>
      <c r="H7" t="s">
        <v>6384</v>
      </c>
      <c r="I7">
        <v>2</v>
      </c>
      <c r="J7" t="s">
        <v>6385</v>
      </c>
      <c r="K7" t="s">
        <v>5718</v>
      </c>
      <c r="L7" t="s">
        <v>90</v>
      </c>
      <c r="M7" t="s">
        <v>3452</v>
      </c>
      <c r="N7" t="s">
        <v>3452</v>
      </c>
      <c r="O7" t="s">
        <v>5719</v>
      </c>
    </row>
    <row r="8" spans="1:15" ht="15" customHeight="1" x14ac:dyDescent="0.25">
      <c r="A8" t="s">
        <v>5720</v>
      </c>
      <c r="B8" t="s">
        <v>3508</v>
      </c>
      <c r="C8" t="s">
        <v>5715</v>
      </c>
      <c r="D8">
        <v>1</v>
      </c>
      <c r="E8" t="s">
        <v>6386</v>
      </c>
      <c r="F8" t="s">
        <v>6387</v>
      </c>
      <c r="G8" t="s">
        <v>6388</v>
      </c>
      <c r="H8" t="s">
        <v>6389</v>
      </c>
      <c r="I8">
        <v>1</v>
      </c>
      <c r="J8" t="s">
        <v>6390</v>
      </c>
      <c r="K8" t="s">
        <v>5723</v>
      </c>
      <c r="L8" t="s">
        <v>90</v>
      </c>
      <c r="M8" t="s">
        <v>3452</v>
      </c>
      <c r="N8" t="s">
        <v>3452</v>
      </c>
      <c r="O8" t="s">
        <v>5724</v>
      </c>
    </row>
    <row r="9" spans="1:15" ht="15" customHeight="1" x14ac:dyDescent="0.25">
      <c r="A9" t="s">
        <v>5725</v>
      </c>
      <c r="B9" t="s">
        <v>41</v>
      </c>
      <c r="C9" t="s">
        <v>5715</v>
      </c>
      <c r="D9">
        <v>0</v>
      </c>
      <c r="E9" t="s">
        <v>5726</v>
      </c>
      <c r="F9" t="s">
        <v>6391</v>
      </c>
      <c r="G9" t="s">
        <v>5727</v>
      </c>
      <c r="H9" t="s">
        <v>6392</v>
      </c>
      <c r="I9">
        <v>0</v>
      </c>
      <c r="J9" t="s">
        <v>6393</v>
      </c>
      <c r="K9" t="s">
        <v>5725</v>
      </c>
      <c r="L9" t="s">
        <v>90</v>
      </c>
      <c r="M9" t="s">
        <v>3452</v>
      </c>
      <c r="N9" t="s">
        <v>3452</v>
      </c>
      <c r="O9" t="s">
        <v>5728</v>
      </c>
    </row>
    <row r="10" spans="1:15" ht="15" customHeight="1" x14ac:dyDescent="0.25">
      <c r="A10" t="s">
        <v>5729</v>
      </c>
      <c r="B10" t="s">
        <v>41</v>
      </c>
      <c r="C10" t="s">
        <v>5353</v>
      </c>
      <c r="D10">
        <v>1</v>
      </c>
      <c r="E10" t="s">
        <v>5730</v>
      </c>
      <c r="F10" t="s">
        <v>6394</v>
      </c>
      <c r="G10" t="s">
        <v>5731</v>
      </c>
      <c r="H10" t="s">
        <v>6395</v>
      </c>
      <c r="I10">
        <v>1</v>
      </c>
      <c r="J10" t="s">
        <v>3452</v>
      </c>
      <c r="K10" t="s">
        <v>5729</v>
      </c>
      <c r="L10" t="s">
        <v>90</v>
      </c>
      <c r="M10" t="s">
        <v>3452</v>
      </c>
      <c r="N10" t="s">
        <v>3452</v>
      </c>
      <c r="O10" t="s">
        <v>5732</v>
      </c>
    </row>
    <row r="11" spans="1:15" ht="15" customHeight="1" x14ac:dyDescent="0.25">
      <c r="A11" t="s">
        <v>5733</v>
      </c>
      <c r="B11" t="s">
        <v>41</v>
      </c>
      <c r="C11" t="s">
        <v>5353</v>
      </c>
      <c r="D11">
        <v>1</v>
      </c>
      <c r="E11" t="s">
        <v>5734</v>
      </c>
      <c r="F11" t="s">
        <v>6396</v>
      </c>
      <c r="G11" t="s">
        <v>5735</v>
      </c>
      <c r="H11" t="s">
        <v>6397</v>
      </c>
      <c r="I11">
        <v>1</v>
      </c>
      <c r="J11" t="s">
        <v>3452</v>
      </c>
      <c r="K11" t="s">
        <v>5733</v>
      </c>
      <c r="L11" t="s">
        <v>90</v>
      </c>
      <c r="M11" t="s">
        <v>3452</v>
      </c>
      <c r="N11" t="s">
        <v>3452</v>
      </c>
      <c r="O11" t="s">
        <v>5736</v>
      </c>
    </row>
    <row r="12" spans="1:15" ht="15" customHeight="1" x14ac:dyDescent="0.25">
      <c r="A12" t="s">
        <v>5737</v>
      </c>
      <c r="B12" t="s">
        <v>3508</v>
      </c>
      <c r="C12" t="s">
        <v>5715</v>
      </c>
      <c r="D12">
        <v>0</v>
      </c>
      <c r="E12" t="s">
        <v>5738</v>
      </c>
      <c r="F12" t="s">
        <v>6398</v>
      </c>
      <c r="G12" t="s">
        <v>5739</v>
      </c>
      <c r="H12" t="s">
        <v>6399</v>
      </c>
      <c r="I12">
        <v>0</v>
      </c>
      <c r="J12" t="s">
        <v>6385</v>
      </c>
      <c r="K12" t="s">
        <v>5737</v>
      </c>
      <c r="L12" t="s">
        <v>90</v>
      </c>
      <c r="M12" t="s">
        <v>6400</v>
      </c>
      <c r="N12" t="s">
        <v>3452</v>
      </c>
      <c r="O12" t="s">
        <v>5740</v>
      </c>
    </row>
    <row r="13" spans="1:15" ht="15" customHeight="1" x14ac:dyDescent="0.25">
      <c r="A13" t="s">
        <v>4420</v>
      </c>
      <c r="B13" t="s">
        <v>3508</v>
      </c>
      <c r="C13" t="s">
        <v>5353</v>
      </c>
      <c r="D13">
        <v>1</v>
      </c>
      <c r="E13" t="s">
        <v>5741</v>
      </c>
      <c r="F13" t="s">
        <v>6401</v>
      </c>
      <c r="G13" t="s">
        <v>5741</v>
      </c>
      <c r="H13" t="s">
        <v>6401</v>
      </c>
      <c r="I13">
        <v>1</v>
      </c>
      <c r="J13" t="s">
        <v>6402</v>
      </c>
      <c r="K13" t="s">
        <v>4425</v>
      </c>
      <c r="L13" t="s">
        <v>1649</v>
      </c>
      <c r="M13" t="s">
        <v>3452</v>
      </c>
      <c r="N13" t="s">
        <v>3452</v>
      </c>
      <c r="O13" t="s">
        <v>6403</v>
      </c>
    </row>
    <row r="14" spans="1:15" ht="15" customHeight="1" x14ac:dyDescent="0.25">
      <c r="A14" t="s">
        <v>5743</v>
      </c>
      <c r="B14" t="s">
        <v>41</v>
      </c>
      <c r="C14" t="s">
        <v>5715</v>
      </c>
      <c r="D14">
        <v>1</v>
      </c>
      <c r="E14" t="s">
        <v>6404</v>
      </c>
      <c r="F14" t="s">
        <v>6405</v>
      </c>
      <c r="G14" t="s">
        <v>6406</v>
      </c>
      <c r="H14" t="s">
        <v>6407</v>
      </c>
      <c r="I14">
        <v>1</v>
      </c>
      <c r="J14" t="s">
        <v>6402</v>
      </c>
      <c r="K14" t="s">
        <v>5743</v>
      </c>
      <c r="L14" t="s">
        <v>90</v>
      </c>
      <c r="M14" t="s">
        <v>3452</v>
      </c>
      <c r="N14" t="s">
        <v>3452</v>
      </c>
      <c r="O14" t="s">
        <v>6408</v>
      </c>
    </row>
    <row r="15" spans="1:15" ht="15" customHeight="1" x14ac:dyDescent="0.25">
      <c r="A15" t="s">
        <v>4431</v>
      </c>
      <c r="B15" t="s">
        <v>3508</v>
      </c>
      <c r="C15" t="s">
        <v>5715</v>
      </c>
      <c r="D15">
        <v>1</v>
      </c>
      <c r="E15" t="s">
        <v>5747</v>
      </c>
      <c r="F15" t="s">
        <v>6409</v>
      </c>
      <c r="G15" t="s">
        <v>5747</v>
      </c>
      <c r="H15" t="s">
        <v>6409</v>
      </c>
      <c r="I15">
        <v>1</v>
      </c>
      <c r="J15" t="s">
        <v>6410</v>
      </c>
      <c r="K15" t="s">
        <v>4431</v>
      </c>
      <c r="L15" t="s">
        <v>1046</v>
      </c>
      <c r="M15" t="s">
        <v>5420</v>
      </c>
      <c r="N15" t="s">
        <v>3452</v>
      </c>
      <c r="O15" t="s">
        <v>5748</v>
      </c>
    </row>
    <row r="16" spans="1:15" ht="15" customHeight="1" x14ac:dyDescent="0.25">
      <c r="A16" t="s">
        <v>3515</v>
      </c>
      <c r="B16" t="s">
        <v>3496</v>
      </c>
      <c r="C16" t="s">
        <v>4590</v>
      </c>
      <c r="D16">
        <v>3</v>
      </c>
      <c r="E16" s="8" t="s">
        <v>6411</v>
      </c>
      <c r="F16" t="s">
        <v>6412</v>
      </c>
      <c r="G16" s="8" t="s">
        <v>6411</v>
      </c>
      <c r="H16" t="s">
        <v>6412</v>
      </c>
      <c r="I16">
        <v>2</v>
      </c>
      <c r="J16" t="s">
        <v>3452</v>
      </c>
      <c r="K16" t="s">
        <v>3515</v>
      </c>
      <c r="L16" t="s">
        <v>90</v>
      </c>
      <c r="M16" t="s">
        <v>3452</v>
      </c>
      <c r="N16" t="s">
        <v>3452</v>
      </c>
      <c r="O16" t="s">
        <v>6413</v>
      </c>
    </row>
    <row r="17" spans="1:15" ht="15" customHeight="1" x14ac:dyDescent="0.25">
      <c r="A17" t="s">
        <v>3437</v>
      </c>
      <c r="B17" t="s">
        <v>3540</v>
      </c>
      <c r="C17" t="s">
        <v>5715</v>
      </c>
      <c r="D17">
        <v>2</v>
      </c>
      <c r="E17" t="s">
        <v>5750</v>
      </c>
      <c r="F17" t="s">
        <v>6414</v>
      </c>
      <c r="G17" t="s">
        <v>5751</v>
      </c>
      <c r="H17" t="s">
        <v>6415</v>
      </c>
      <c r="I17">
        <v>2</v>
      </c>
      <c r="J17" t="s">
        <v>6416</v>
      </c>
      <c r="K17" t="s">
        <v>3437</v>
      </c>
      <c r="L17" t="s">
        <v>90</v>
      </c>
      <c r="M17" t="s">
        <v>3452</v>
      </c>
      <c r="N17" t="s">
        <v>3452</v>
      </c>
      <c r="O17" t="s">
        <v>5728</v>
      </c>
    </row>
    <row r="18" spans="1:15" ht="15" customHeight="1" x14ac:dyDescent="0.25">
      <c r="A18" t="s">
        <v>5752</v>
      </c>
      <c r="B18" t="s">
        <v>3508</v>
      </c>
      <c r="C18" t="s">
        <v>5353</v>
      </c>
      <c r="D18">
        <v>0</v>
      </c>
      <c r="E18" s="8" t="s">
        <v>6417</v>
      </c>
      <c r="F18" t="s">
        <v>6418</v>
      </c>
      <c r="G18" s="8" t="s">
        <v>6419</v>
      </c>
      <c r="H18" t="s">
        <v>6420</v>
      </c>
      <c r="I18" t="s">
        <v>3452</v>
      </c>
      <c r="J18" t="s">
        <v>3452</v>
      </c>
      <c r="K18" t="s">
        <v>5755</v>
      </c>
      <c r="L18" t="s">
        <v>90</v>
      </c>
      <c r="M18" t="s">
        <v>3452</v>
      </c>
      <c r="N18" t="s">
        <v>3452</v>
      </c>
      <c r="O18" t="s">
        <v>5756</v>
      </c>
    </row>
    <row r="19" spans="1:15" ht="15" customHeight="1" x14ac:dyDescent="0.25">
      <c r="A19" t="s">
        <v>5757</v>
      </c>
      <c r="B19" t="s">
        <v>41</v>
      </c>
      <c r="C19" t="s">
        <v>5715</v>
      </c>
      <c r="D19">
        <v>0</v>
      </c>
      <c r="E19" t="s">
        <v>5758</v>
      </c>
      <c r="F19" t="s">
        <v>6421</v>
      </c>
      <c r="G19" t="s">
        <v>5759</v>
      </c>
      <c r="H19" t="s">
        <v>6422</v>
      </c>
      <c r="I19">
        <v>0</v>
      </c>
      <c r="J19" t="s">
        <v>6423</v>
      </c>
      <c r="K19" t="s">
        <v>5760</v>
      </c>
      <c r="L19" t="s">
        <v>90</v>
      </c>
      <c r="M19" t="s">
        <v>3452</v>
      </c>
      <c r="N19" t="s">
        <v>3452</v>
      </c>
      <c r="O19" t="s">
        <v>5761</v>
      </c>
    </row>
    <row r="20" spans="1:15" ht="15" customHeight="1" x14ac:dyDescent="0.25">
      <c r="A20" t="s">
        <v>5766</v>
      </c>
      <c r="B20" t="s">
        <v>41</v>
      </c>
      <c r="C20" t="s">
        <v>5353</v>
      </c>
      <c r="D20">
        <v>1</v>
      </c>
      <c r="E20" t="s">
        <v>5767</v>
      </c>
      <c r="F20" t="s">
        <v>6424</v>
      </c>
      <c r="G20" t="s">
        <v>5768</v>
      </c>
      <c r="H20" t="s">
        <v>6425</v>
      </c>
      <c r="I20">
        <v>1</v>
      </c>
      <c r="J20" t="s">
        <v>3452</v>
      </c>
      <c r="K20" t="s">
        <v>5769</v>
      </c>
      <c r="L20" t="s">
        <v>90</v>
      </c>
      <c r="M20" t="s">
        <v>3452</v>
      </c>
      <c r="N20" t="s">
        <v>3452</v>
      </c>
      <c r="O20" t="s">
        <v>5770</v>
      </c>
    </row>
    <row r="21" spans="1:15" ht="15" customHeight="1" x14ac:dyDescent="0.25">
      <c r="A21" t="s">
        <v>4458</v>
      </c>
      <c r="B21" t="s">
        <v>41</v>
      </c>
      <c r="C21" t="s">
        <v>5715</v>
      </c>
      <c r="D21">
        <v>1</v>
      </c>
      <c r="E21" t="s">
        <v>5771</v>
      </c>
      <c r="F21" t="s">
        <v>6426</v>
      </c>
      <c r="G21" t="s">
        <v>5771</v>
      </c>
      <c r="H21" t="s">
        <v>6426</v>
      </c>
      <c r="I21">
        <v>1</v>
      </c>
      <c r="J21" t="s">
        <v>6410</v>
      </c>
      <c r="K21" t="s">
        <v>4461</v>
      </c>
      <c r="L21" t="s">
        <v>1104</v>
      </c>
      <c r="M21" t="s">
        <v>5461</v>
      </c>
      <c r="N21" t="s">
        <v>3452</v>
      </c>
      <c r="O21" t="s">
        <v>5748</v>
      </c>
    </row>
    <row r="22" spans="1:15" ht="15" customHeight="1" x14ac:dyDescent="0.25">
      <c r="A22" t="s">
        <v>5772</v>
      </c>
      <c r="B22" t="s">
        <v>3508</v>
      </c>
      <c r="C22" t="s">
        <v>5715</v>
      </c>
      <c r="D22">
        <v>4</v>
      </c>
      <c r="E22" s="8" t="s">
        <v>5773</v>
      </c>
      <c r="F22" t="s">
        <v>6427</v>
      </c>
      <c r="G22" s="8" t="s">
        <v>5774</v>
      </c>
      <c r="H22" t="s">
        <v>6428</v>
      </c>
      <c r="I22">
        <v>3</v>
      </c>
      <c r="J22" t="s">
        <v>6393</v>
      </c>
      <c r="K22" t="s">
        <v>5775</v>
      </c>
      <c r="L22" t="s">
        <v>90</v>
      </c>
      <c r="M22" t="s">
        <v>3452</v>
      </c>
      <c r="N22" t="s">
        <v>3452</v>
      </c>
      <c r="O22" t="s">
        <v>5756</v>
      </c>
    </row>
    <row r="23" spans="1:15" ht="15" customHeight="1" x14ac:dyDescent="0.25">
      <c r="A23" t="s">
        <v>4462</v>
      </c>
      <c r="B23" t="s">
        <v>3496</v>
      </c>
      <c r="C23" t="s">
        <v>5715</v>
      </c>
      <c r="D23">
        <v>1</v>
      </c>
      <c r="E23" t="s">
        <v>6429</v>
      </c>
      <c r="F23" t="s">
        <v>6430</v>
      </c>
      <c r="G23" t="s">
        <v>6429</v>
      </c>
      <c r="H23" t="s">
        <v>6430</v>
      </c>
      <c r="I23">
        <v>1</v>
      </c>
      <c r="J23" t="s">
        <v>6431</v>
      </c>
      <c r="K23" t="s">
        <v>4465</v>
      </c>
      <c r="L23" t="s">
        <v>1621</v>
      </c>
      <c r="M23" t="s">
        <v>5424</v>
      </c>
      <c r="N23" t="s">
        <v>5376</v>
      </c>
      <c r="O23" t="s">
        <v>5748</v>
      </c>
    </row>
    <row r="24" spans="1:15" ht="15" customHeight="1" x14ac:dyDescent="0.25">
      <c r="A24" t="s">
        <v>5777</v>
      </c>
      <c r="B24" t="s">
        <v>41</v>
      </c>
      <c r="C24" t="s">
        <v>5353</v>
      </c>
      <c r="D24">
        <v>0</v>
      </c>
      <c r="E24" t="s">
        <v>5778</v>
      </c>
      <c r="F24" t="s">
        <v>6432</v>
      </c>
      <c r="G24" t="s">
        <v>5779</v>
      </c>
      <c r="H24" t="s">
        <v>6433</v>
      </c>
      <c r="I24">
        <v>0</v>
      </c>
      <c r="J24" t="s">
        <v>3452</v>
      </c>
      <c r="K24" t="s">
        <v>5777</v>
      </c>
      <c r="L24" t="s">
        <v>90</v>
      </c>
      <c r="M24" t="s">
        <v>3452</v>
      </c>
      <c r="N24" t="s">
        <v>3452</v>
      </c>
      <c r="O24" t="s">
        <v>5765</v>
      </c>
    </row>
    <row r="25" spans="1:15" ht="15" customHeight="1" x14ac:dyDescent="0.25">
      <c r="A25" t="s">
        <v>5780</v>
      </c>
      <c r="B25" t="s">
        <v>3496</v>
      </c>
      <c r="C25" t="s">
        <v>5715</v>
      </c>
      <c r="D25">
        <v>3</v>
      </c>
      <c r="E25" t="s">
        <v>5781</v>
      </c>
      <c r="F25" t="s">
        <v>6434</v>
      </c>
      <c r="G25" t="s">
        <v>5782</v>
      </c>
      <c r="H25" t="s">
        <v>6435</v>
      </c>
      <c r="I25">
        <v>3</v>
      </c>
      <c r="J25" t="s">
        <v>6436</v>
      </c>
      <c r="K25" t="s">
        <v>5780</v>
      </c>
      <c r="L25" t="s">
        <v>90</v>
      </c>
      <c r="M25" t="s">
        <v>3452</v>
      </c>
      <c r="N25" t="s">
        <v>3452</v>
      </c>
      <c r="O25" t="s">
        <v>5728</v>
      </c>
    </row>
    <row r="26" spans="1:15" ht="15" customHeight="1" x14ac:dyDescent="0.25">
      <c r="A26" t="s">
        <v>5153</v>
      </c>
      <c r="B26" t="s">
        <v>3508</v>
      </c>
      <c r="C26" t="s">
        <v>5353</v>
      </c>
      <c r="D26">
        <v>1</v>
      </c>
      <c r="E26" s="8" t="s">
        <v>6437</v>
      </c>
      <c r="F26" t="s">
        <v>6438</v>
      </c>
      <c r="G26" s="8" t="s">
        <v>6439</v>
      </c>
      <c r="H26" t="s">
        <v>6440</v>
      </c>
      <c r="I26">
        <v>1</v>
      </c>
      <c r="J26" t="s">
        <v>3452</v>
      </c>
      <c r="K26" t="s">
        <v>5153</v>
      </c>
      <c r="L26" t="s">
        <v>90</v>
      </c>
      <c r="M26" t="s">
        <v>3452</v>
      </c>
      <c r="N26" t="s">
        <v>3452</v>
      </c>
      <c r="O26" t="s">
        <v>5710</v>
      </c>
    </row>
    <row r="27" spans="1:15" ht="15" customHeight="1" x14ac:dyDescent="0.25">
      <c r="A27" t="s">
        <v>5789</v>
      </c>
      <c r="B27" t="s">
        <v>41</v>
      </c>
      <c r="C27" t="s">
        <v>5715</v>
      </c>
      <c r="D27">
        <v>1</v>
      </c>
      <c r="E27" t="s">
        <v>6441</v>
      </c>
      <c r="F27" t="s">
        <v>6442</v>
      </c>
      <c r="G27" t="s">
        <v>6441</v>
      </c>
      <c r="H27" t="s">
        <v>6442</v>
      </c>
      <c r="I27">
        <v>0</v>
      </c>
      <c r="J27" t="s">
        <v>6443</v>
      </c>
      <c r="K27" t="s">
        <v>5791</v>
      </c>
      <c r="L27" t="s">
        <v>90</v>
      </c>
      <c r="M27" t="s">
        <v>3452</v>
      </c>
      <c r="N27" t="s">
        <v>3452</v>
      </c>
      <c r="O27" t="s">
        <v>5728</v>
      </c>
    </row>
    <row r="28" spans="1:15" ht="15" customHeight="1" x14ac:dyDescent="0.25">
      <c r="A28" t="s">
        <v>5792</v>
      </c>
      <c r="B28" t="s">
        <v>3508</v>
      </c>
      <c r="C28" t="s">
        <v>5353</v>
      </c>
      <c r="D28">
        <v>0</v>
      </c>
      <c r="E28" t="s">
        <v>5793</v>
      </c>
      <c r="F28" t="s">
        <v>6444</v>
      </c>
      <c r="G28" t="s">
        <v>5794</v>
      </c>
      <c r="H28" t="s">
        <v>6445</v>
      </c>
      <c r="I28">
        <v>0</v>
      </c>
      <c r="J28" t="s">
        <v>3452</v>
      </c>
      <c r="K28" t="s">
        <v>5795</v>
      </c>
      <c r="L28" t="s">
        <v>90</v>
      </c>
      <c r="M28" t="s">
        <v>6400</v>
      </c>
      <c r="N28" t="s">
        <v>3452</v>
      </c>
      <c r="O28" t="s">
        <v>5796</v>
      </c>
    </row>
    <row r="29" spans="1:15" ht="15" customHeight="1" x14ac:dyDescent="0.25">
      <c r="A29" t="s">
        <v>5802</v>
      </c>
      <c r="B29" t="s">
        <v>3508</v>
      </c>
      <c r="C29" t="s">
        <v>5353</v>
      </c>
      <c r="D29">
        <v>2</v>
      </c>
      <c r="E29" t="s">
        <v>5803</v>
      </c>
      <c r="F29" t="s">
        <v>6446</v>
      </c>
      <c r="G29" t="s">
        <v>5804</v>
      </c>
      <c r="H29" t="s">
        <v>6447</v>
      </c>
      <c r="I29">
        <v>2</v>
      </c>
      <c r="J29" t="s">
        <v>6448</v>
      </c>
      <c r="K29" t="s">
        <v>5805</v>
      </c>
      <c r="L29" t="s">
        <v>90</v>
      </c>
      <c r="M29" t="s">
        <v>5424</v>
      </c>
      <c r="N29" t="s">
        <v>5247</v>
      </c>
      <c r="O29" t="s">
        <v>6449</v>
      </c>
    </row>
    <row r="30" spans="1:15" ht="15" customHeight="1" x14ac:dyDescent="0.25">
      <c r="A30" t="s">
        <v>5813</v>
      </c>
      <c r="B30" t="s">
        <v>3496</v>
      </c>
      <c r="C30" t="s">
        <v>5353</v>
      </c>
      <c r="D30">
        <v>3</v>
      </c>
      <c r="E30" s="8" t="s">
        <v>5814</v>
      </c>
      <c r="F30" t="s">
        <v>6450</v>
      </c>
      <c r="G30" s="8" t="s">
        <v>5814</v>
      </c>
      <c r="H30" t="s">
        <v>6450</v>
      </c>
      <c r="I30">
        <v>2</v>
      </c>
      <c r="J30" t="s">
        <v>3452</v>
      </c>
      <c r="K30" t="s">
        <v>5815</v>
      </c>
      <c r="L30" t="s">
        <v>90</v>
      </c>
      <c r="M30" t="s">
        <v>3452</v>
      </c>
      <c r="N30" t="s">
        <v>3452</v>
      </c>
      <c r="O30" t="s">
        <v>5816</v>
      </c>
    </row>
    <row r="31" spans="1:15" ht="15" customHeight="1" x14ac:dyDescent="0.25">
      <c r="A31" t="s">
        <v>3995</v>
      </c>
      <c r="B31" t="s">
        <v>4290</v>
      </c>
      <c r="C31" t="s">
        <v>3649</v>
      </c>
      <c r="D31" t="s">
        <v>3990</v>
      </c>
      <c r="E31" s="8" t="s">
        <v>5817</v>
      </c>
      <c r="F31" t="s">
        <v>6451</v>
      </c>
      <c r="G31" s="8" t="s">
        <v>3452</v>
      </c>
      <c r="H31" t="s">
        <v>3452</v>
      </c>
      <c r="I31" t="s">
        <v>3452</v>
      </c>
      <c r="J31" t="s">
        <v>3452</v>
      </c>
      <c r="K31" t="s">
        <v>3995</v>
      </c>
      <c r="L31" t="s">
        <v>90</v>
      </c>
      <c r="M31" t="s">
        <v>5456</v>
      </c>
      <c r="N31" t="s">
        <v>3452</v>
      </c>
      <c r="O31" t="s">
        <v>6452</v>
      </c>
    </row>
    <row r="32" spans="1:15" ht="15" customHeight="1" x14ac:dyDescent="0.25">
      <c r="A32" t="s">
        <v>5819</v>
      </c>
      <c r="B32" t="s">
        <v>3508</v>
      </c>
      <c r="C32" t="s">
        <v>5353</v>
      </c>
      <c r="D32">
        <v>1</v>
      </c>
      <c r="E32" t="s">
        <v>5820</v>
      </c>
      <c r="F32" t="s">
        <v>6453</v>
      </c>
      <c r="G32" t="s">
        <v>5821</v>
      </c>
      <c r="H32" t="s">
        <v>6454</v>
      </c>
      <c r="I32">
        <v>1</v>
      </c>
      <c r="J32" t="s">
        <v>3452</v>
      </c>
      <c r="K32" t="s">
        <v>5822</v>
      </c>
      <c r="L32" t="s">
        <v>90</v>
      </c>
      <c r="M32" t="s">
        <v>5489</v>
      </c>
      <c r="N32" t="s">
        <v>3452</v>
      </c>
      <c r="O32" t="s">
        <v>5823</v>
      </c>
    </row>
    <row r="33" spans="1:15" ht="15" customHeight="1" x14ac:dyDescent="0.25">
      <c r="A33" t="s">
        <v>5163</v>
      </c>
      <c r="B33" t="s">
        <v>3496</v>
      </c>
      <c r="C33" t="s">
        <v>5353</v>
      </c>
      <c r="D33">
        <v>1</v>
      </c>
      <c r="E33" s="8" t="s">
        <v>6455</v>
      </c>
      <c r="F33" t="s">
        <v>6456</v>
      </c>
      <c r="G33" s="8" t="s">
        <v>6457</v>
      </c>
      <c r="H33" t="s">
        <v>6458</v>
      </c>
      <c r="I33">
        <v>1</v>
      </c>
      <c r="J33" t="s">
        <v>3452</v>
      </c>
      <c r="K33" t="s">
        <v>5163</v>
      </c>
      <c r="L33" t="s">
        <v>90</v>
      </c>
      <c r="M33" t="s">
        <v>3452</v>
      </c>
      <c r="N33" t="s">
        <v>3452</v>
      </c>
      <c r="O33" t="s">
        <v>5816</v>
      </c>
    </row>
    <row r="34" spans="1:15" ht="15" customHeight="1" x14ac:dyDescent="0.25">
      <c r="A34" t="s">
        <v>5826</v>
      </c>
      <c r="B34" t="s">
        <v>3508</v>
      </c>
      <c r="C34" t="s">
        <v>5353</v>
      </c>
      <c r="D34">
        <v>0</v>
      </c>
      <c r="E34" s="8" t="s">
        <v>6459</v>
      </c>
      <c r="F34" t="s">
        <v>6460</v>
      </c>
      <c r="G34" s="8" t="s">
        <v>6461</v>
      </c>
      <c r="H34" t="s">
        <v>6462</v>
      </c>
      <c r="I34">
        <v>0</v>
      </c>
      <c r="J34" t="s">
        <v>3452</v>
      </c>
      <c r="K34" t="s">
        <v>5829</v>
      </c>
      <c r="L34" t="s">
        <v>90</v>
      </c>
      <c r="M34" t="s">
        <v>3452</v>
      </c>
      <c r="N34" t="s">
        <v>3452</v>
      </c>
      <c r="O34" t="s">
        <v>5830</v>
      </c>
    </row>
    <row r="35" spans="1:15" ht="15" customHeight="1" x14ac:dyDescent="0.25">
      <c r="A35" t="s">
        <v>5833</v>
      </c>
      <c r="B35" t="s">
        <v>3508</v>
      </c>
      <c r="C35" t="s">
        <v>5715</v>
      </c>
      <c r="D35">
        <v>2</v>
      </c>
      <c r="E35" t="s">
        <v>6463</v>
      </c>
      <c r="F35" t="s">
        <v>6464</v>
      </c>
      <c r="G35" t="s">
        <v>5835</v>
      </c>
      <c r="H35" t="s">
        <v>6465</v>
      </c>
      <c r="I35">
        <v>2</v>
      </c>
      <c r="J35" t="s">
        <v>6416</v>
      </c>
      <c r="K35" t="s">
        <v>5833</v>
      </c>
      <c r="L35" t="s">
        <v>90</v>
      </c>
      <c r="M35" t="s">
        <v>5415</v>
      </c>
      <c r="N35" t="s">
        <v>3452</v>
      </c>
      <c r="O35" t="s">
        <v>5728</v>
      </c>
    </row>
    <row r="36" spans="1:15" ht="15" customHeight="1" x14ac:dyDescent="0.25">
      <c r="A36" t="s">
        <v>5836</v>
      </c>
      <c r="B36" t="s">
        <v>3508</v>
      </c>
      <c r="C36" t="s">
        <v>5353</v>
      </c>
      <c r="D36">
        <v>1</v>
      </c>
      <c r="E36" s="8" t="s">
        <v>6466</v>
      </c>
      <c r="F36" t="s">
        <v>6467</v>
      </c>
      <c r="G36" s="8" t="s">
        <v>6468</v>
      </c>
      <c r="H36" t="s">
        <v>6469</v>
      </c>
      <c r="I36">
        <v>1</v>
      </c>
      <c r="J36" t="s">
        <v>3452</v>
      </c>
      <c r="K36" t="s">
        <v>5836</v>
      </c>
      <c r="L36" t="s">
        <v>90</v>
      </c>
      <c r="M36" t="s">
        <v>5489</v>
      </c>
      <c r="N36" t="s">
        <v>3452</v>
      </c>
      <c r="O36" t="s">
        <v>6470</v>
      </c>
    </row>
    <row r="37" spans="1:15" ht="15" customHeight="1" x14ac:dyDescent="0.25">
      <c r="A37" t="s">
        <v>5839</v>
      </c>
      <c r="B37" t="s">
        <v>3508</v>
      </c>
      <c r="C37" t="s">
        <v>5715</v>
      </c>
      <c r="D37">
        <v>2</v>
      </c>
      <c r="E37" s="8" t="s">
        <v>5840</v>
      </c>
      <c r="F37" t="s">
        <v>6471</v>
      </c>
      <c r="G37" s="8" t="s">
        <v>5841</v>
      </c>
      <c r="H37" t="s">
        <v>6472</v>
      </c>
      <c r="I37">
        <v>2</v>
      </c>
      <c r="J37" t="s">
        <v>6393</v>
      </c>
      <c r="K37" t="s">
        <v>5839</v>
      </c>
      <c r="L37" t="s">
        <v>90</v>
      </c>
      <c r="M37" t="s">
        <v>3452</v>
      </c>
      <c r="N37" t="s">
        <v>3452</v>
      </c>
      <c r="O37" t="s">
        <v>5842</v>
      </c>
    </row>
    <row r="38" spans="1:15" ht="15" customHeight="1" x14ac:dyDescent="0.25">
      <c r="A38" t="s">
        <v>5843</v>
      </c>
      <c r="B38" t="s">
        <v>41</v>
      </c>
      <c r="C38" t="s">
        <v>5715</v>
      </c>
      <c r="D38">
        <v>0</v>
      </c>
      <c r="E38" s="8" t="s">
        <v>6473</v>
      </c>
      <c r="F38" t="s">
        <v>6474</v>
      </c>
      <c r="G38" s="8" t="s">
        <v>6475</v>
      </c>
      <c r="H38" t="s">
        <v>6476</v>
      </c>
      <c r="I38">
        <v>0</v>
      </c>
      <c r="J38" t="s">
        <v>6477</v>
      </c>
      <c r="K38" t="s">
        <v>5843</v>
      </c>
      <c r="L38" t="s">
        <v>90</v>
      </c>
      <c r="M38" t="s">
        <v>3452</v>
      </c>
      <c r="N38" t="s">
        <v>3452</v>
      </c>
      <c r="O38" t="s">
        <v>5728</v>
      </c>
    </row>
    <row r="39" spans="1:15" ht="15" customHeight="1" x14ac:dyDescent="0.25">
      <c r="A39" t="s">
        <v>5846</v>
      </c>
      <c r="B39" t="s">
        <v>41</v>
      </c>
      <c r="C39" t="s">
        <v>5715</v>
      </c>
      <c r="D39">
        <v>0</v>
      </c>
      <c r="E39" t="s">
        <v>5847</v>
      </c>
      <c r="F39" t="s">
        <v>6478</v>
      </c>
      <c r="G39" t="s">
        <v>5848</v>
      </c>
      <c r="H39" t="s">
        <v>6479</v>
      </c>
      <c r="I39">
        <v>0</v>
      </c>
      <c r="J39" t="s">
        <v>6477</v>
      </c>
      <c r="K39" t="s">
        <v>5846</v>
      </c>
      <c r="L39" t="s">
        <v>90</v>
      </c>
      <c r="M39" t="s">
        <v>3452</v>
      </c>
      <c r="N39" t="s">
        <v>3452</v>
      </c>
      <c r="O39" t="s">
        <v>5849</v>
      </c>
    </row>
    <row r="40" spans="1:15" ht="15" customHeight="1" x14ac:dyDescent="0.25">
      <c r="A40" t="s">
        <v>5403</v>
      </c>
      <c r="B40" t="s">
        <v>41</v>
      </c>
      <c r="C40" t="s">
        <v>5715</v>
      </c>
      <c r="D40">
        <v>1</v>
      </c>
      <c r="E40" t="s">
        <v>5850</v>
      </c>
      <c r="F40" t="s">
        <v>6480</v>
      </c>
      <c r="G40" t="s">
        <v>5851</v>
      </c>
      <c r="H40" t="s">
        <v>6481</v>
      </c>
      <c r="I40">
        <v>1</v>
      </c>
      <c r="J40" t="s">
        <v>6482</v>
      </c>
      <c r="K40" t="s">
        <v>5403</v>
      </c>
      <c r="L40" t="s">
        <v>90</v>
      </c>
      <c r="M40" t="s">
        <v>3452</v>
      </c>
      <c r="N40" t="s">
        <v>3452</v>
      </c>
      <c r="O40" t="s">
        <v>6483</v>
      </c>
    </row>
    <row r="41" spans="1:15" ht="15" customHeight="1" x14ac:dyDescent="0.25">
      <c r="A41" t="s">
        <v>5853</v>
      </c>
      <c r="B41" t="s">
        <v>41</v>
      </c>
      <c r="C41" t="s">
        <v>5353</v>
      </c>
      <c r="D41">
        <v>1</v>
      </c>
      <c r="E41" t="s">
        <v>5854</v>
      </c>
      <c r="F41" t="s">
        <v>6484</v>
      </c>
      <c r="G41" t="s">
        <v>5855</v>
      </c>
      <c r="H41" t="s">
        <v>6485</v>
      </c>
      <c r="I41">
        <v>1</v>
      </c>
      <c r="J41" t="s">
        <v>3452</v>
      </c>
      <c r="K41" t="s">
        <v>5856</v>
      </c>
      <c r="L41" t="s">
        <v>90</v>
      </c>
      <c r="M41" t="s">
        <v>3452</v>
      </c>
      <c r="N41" t="s">
        <v>3452</v>
      </c>
      <c r="O41" t="s">
        <v>5710</v>
      </c>
    </row>
    <row r="42" spans="1:15" ht="15" customHeight="1" x14ac:dyDescent="0.25">
      <c r="A42" t="s">
        <v>5857</v>
      </c>
      <c r="B42" t="s">
        <v>41</v>
      </c>
      <c r="C42" t="s">
        <v>5715</v>
      </c>
      <c r="D42">
        <v>2</v>
      </c>
      <c r="E42" s="8" t="s">
        <v>6486</v>
      </c>
      <c r="F42" t="s">
        <v>6487</v>
      </c>
      <c r="G42" s="8" t="s">
        <v>6488</v>
      </c>
      <c r="H42" t="s">
        <v>6489</v>
      </c>
      <c r="I42" t="s">
        <v>3452</v>
      </c>
      <c r="J42" t="s">
        <v>6402</v>
      </c>
      <c r="K42" t="s">
        <v>5857</v>
      </c>
      <c r="L42" t="s">
        <v>90</v>
      </c>
      <c r="M42" t="s">
        <v>3452</v>
      </c>
      <c r="N42" t="s">
        <v>3452</v>
      </c>
      <c r="O42" t="s">
        <v>5860</v>
      </c>
    </row>
    <row r="43" spans="1:15" ht="15" customHeight="1" x14ac:dyDescent="0.25">
      <c r="A43" t="s">
        <v>5861</v>
      </c>
      <c r="B43" t="s">
        <v>4290</v>
      </c>
      <c r="C43" t="s">
        <v>4238</v>
      </c>
      <c r="D43" t="s">
        <v>3990</v>
      </c>
      <c r="E43" t="s">
        <v>5862</v>
      </c>
      <c r="F43" t="s">
        <v>4208</v>
      </c>
      <c r="G43" t="s">
        <v>3452</v>
      </c>
      <c r="H43" t="s">
        <v>3452</v>
      </c>
      <c r="I43" t="s">
        <v>3452</v>
      </c>
      <c r="J43" t="s">
        <v>3452</v>
      </c>
      <c r="K43" t="s">
        <v>5861</v>
      </c>
      <c r="L43" t="s">
        <v>90</v>
      </c>
      <c r="M43" t="s">
        <v>6490</v>
      </c>
      <c r="N43" t="s">
        <v>3452</v>
      </c>
      <c r="O43" t="s">
        <v>5863</v>
      </c>
    </row>
    <row r="44" spans="1:15" ht="15" customHeight="1" x14ac:dyDescent="0.25">
      <c r="A44" t="s">
        <v>5871</v>
      </c>
      <c r="B44" t="s">
        <v>3508</v>
      </c>
      <c r="C44" t="s">
        <v>5353</v>
      </c>
      <c r="D44">
        <v>0</v>
      </c>
      <c r="E44" s="8" t="s">
        <v>6491</v>
      </c>
      <c r="F44" t="s">
        <v>6492</v>
      </c>
      <c r="G44" s="8" t="s">
        <v>6493</v>
      </c>
      <c r="H44" t="s">
        <v>6494</v>
      </c>
      <c r="I44" t="s">
        <v>3452</v>
      </c>
      <c r="J44" t="s">
        <v>3452</v>
      </c>
      <c r="K44" t="s">
        <v>5871</v>
      </c>
      <c r="L44" t="s">
        <v>90</v>
      </c>
      <c r="M44" t="s">
        <v>3452</v>
      </c>
      <c r="N44" t="s">
        <v>3452</v>
      </c>
      <c r="O44" t="s">
        <v>6495</v>
      </c>
    </row>
    <row r="45" spans="1:15" ht="15" customHeight="1" x14ac:dyDescent="0.25">
      <c r="A45" t="s">
        <v>5172</v>
      </c>
      <c r="B45" t="s">
        <v>3496</v>
      </c>
      <c r="C45" t="s">
        <v>5353</v>
      </c>
      <c r="D45">
        <v>2</v>
      </c>
      <c r="E45" s="8" t="s">
        <v>5875</v>
      </c>
      <c r="F45" t="s">
        <v>6496</v>
      </c>
      <c r="G45" s="8" t="s">
        <v>5876</v>
      </c>
      <c r="H45" t="s">
        <v>6497</v>
      </c>
      <c r="I45">
        <v>2</v>
      </c>
      <c r="J45" t="s">
        <v>6498</v>
      </c>
      <c r="K45" t="s">
        <v>5174</v>
      </c>
      <c r="L45" t="s">
        <v>90</v>
      </c>
      <c r="M45" t="s">
        <v>3452</v>
      </c>
      <c r="N45" t="s">
        <v>3452</v>
      </c>
      <c r="O45" t="s">
        <v>6499</v>
      </c>
    </row>
    <row r="46" spans="1:15" ht="15" customHeight="1" x14ac:dyDescent="0.25">
      <c r="A46" t="s">
        <v>5880</v>
      </c>
      <c r="B46" t="s">
        <v>3508</v>
      </c>
      <c r="C46" t="s">
        <v>5353</v>
      </c>
      <c r="D46">
        <v>0</v>
      </c>
      <c r="E46" s="8" t="s">
        <v>6500</v>
      </c>
      <c r="F46" t="s">
        <v>6501</v>
      </c>
      <c r="G46" s="8" t="s">
        <v>6502</v>
      </c>
      <c r="H46" t="s">
        <v>6503</v>
      </c>
      <c r="I46" t="s">
        <v>3452</v>
      </c>
      <c r="J46" t="s">
        <v>6504</v>
      </c>
      <c r="K46" t="s">
        <v>5883</v>
      </c>
      <c r="L46" t="s">
        <v>90</v>
      </c>
      <c r="M46" t="s">
        <v>5489</v>
      </c>
      <c r="N46" t="s">
        <v>3452</v>
      </c>
      <c r="O46" t="s">
        <v>6505</v>
      </c>
    </row>
    <row r="47" spans="1:15" ht="15" customHeight="1" x14ac:dyDescent="0.25">
      <c r="A47" t="s">
        <v>5885</v>
      </c>
      <c r="B47" t="s">
        <v>41</v>
      </c>
      <c r="C47" t="s">
        <v>5715</v>
      </c>
      <c r="D47">
        <v>1</v>
      </c>
      <c r="E47" t="s">
        <v>5886</v>
      </c>
      <c r="F47" t="s">
        <v>6506</v>
      </c>
      <c r="G47" t="s">
        <v>5887</v>
      </c>
      <c r="H47" t="s">
        <v>6507</v>
      </c>
      <c r="I47">
        <v>1</v>
      </c>
      <c r="J47" t="s">
        <v>6508</v>
      </c>
      <c r="K47" t="s">
        <v>5888</v>
      </c>
      <c r="L47" t="s">
        <v>90</v>
      </c>
      <c r="M47" t="s">
        <v>3452</v>
      </c>
      <c r="N47" t="s">
        <v>3452</v>
      </c>
      <c r="O47" t="s">
        <v>5889</v>
      </c>
    </row>
    <row r="48" spans="1:15" ht="15" customHeight="1" x14ac:dyDescent="0.25">
      <c r="A48" t="s">
        <v>5890</v>
      </c>
      <c r="B48" t="s">
        <v>41</v>
      </c>
      <c r="C48" t="s">
        <v>5715</v>
      </c>
      <c r="D48">
        <v>1</v>
      </c>
      <c r="E48" t="s">
        <v>5891</v>
      </c>
      <c r="F48" t="s">
        <v>6509</v>
      </c>
      <c r="G48" t="s">
        <v>5892</v>
      </c>
      <c r="H48" t="s">
        <v>6510</v>
      </c>
      <c r="I48">
        <v>1</v>
      </c>
      <c r="J48" t="s">
        <v>6410</v>
      </c>
      <c r="K48" t="s">
        <v>5893</v>
      </c>
      <c r="L48" t="s">
        <v>90</v>
      </c>
      <c r="M48" t="s">
        <v>3452</v>
      </c>
      <c r="N48" t="s">
        <v>3452</v>
      </c>
      <c r="O48" t="s">
        <v>5894</v>
      </c>
    </row>
    <row r="49" spans="1:15" ht="15" customHeight="1" x14ac:dyDescent="0.25">
      <c r="A49" t="s">
        <v>3438</v>
      </c>
      <c r="B49" t="s">
        <v>3508</v>
      </c>
      <c r="C49" t="s">
        <v>5715</v>
      </c>
      <c r="D49">
        <v>2</v>
      </c>
      <c r="E49" s="8" t="s">
        <v>5898</v>
      </c>
      <c r="F49" t="s">
        <v>6511</v>
      </c>
      <c r="G49" s="8" t="s">
        <v>5899</v>
      </c>
      <c r="H49" t="s">
        <v>6512</v>
      </c>
      <c r="I49">
        <v>2</v>
      </c>
      <c r="J49" t="s">
        <v>6385</v>
      </c>
      <c r="K49" t="s">
        <v>3438</v>
      </c>
      <c r="L49" t="s">
        <v>90</v>
      </c>
      <c r="M49" t="s">
        <v>3452</v>
      </c>
      <c r="N49" t="s">
        <v>3452</v>
      </c>
      <c r="O49" t="s">
        <v>5900</v>
      </c>
    </row>
    <row r="50" spans="1:15" ht="15" customHeight="1" x14ac:dyDescent="0.25">
      <c r="A50" t="s">
        <v>5901</v>
      </c>
      <c r="B50" t="s">
        <v>4290</v>
      </c>
      <c r="C50" t="s">
        <v>3649</v>
      </c>
      <c r="D50" t="s">
        <v>3990</v>
      </c>
      <c r="E50" s="8" t="s">
        <v>6513</v>
      </c>
      <c r="F50" t="s">
        <v>4208</v>
      </c>
      <c r="G50" s="8" t="s">
        <v>3452</v>
      </c>
      <c r="H50" t="s">
        <v>3452</v>
      </c>
      <c r="I50" t="s">
        <v>3452</v>
      </c>
      <c r="J50" t="s">
        <v>3452</v>
      </c>
      <c r="K50" t="s">
        <v>5901</v>
      </c>
      <c r="L50" t="s">
        <v>90</v>
      </c>
      <c r="M50" t="s">
        <v>5415</v>
      </c>
      <c r="N50" t="s">
        <v>3452</v>
      </c>
      <c r="O50" t="s">
        <v>6452</v>
      </c>
    </row>
    <row r="51" spans="1:15" ht="15" customHeight="1" x14ac:dyDescent="0.25">
      <c r="A51" t="s">
        <v>5903</v>
      </c>
      <c r="B51" t="s">
        <v>41</v>
      </c>
      <c r="C51" t="s">
        <v>5353</v>
      </c>
      <c r="D51">
        <v>1</v>
      </c>
      <c r="E51" s="8" t="s">
        <v>5904</v>
      </c>
      <c r="F51" t="s">
        <v>6514</v>
      </c>
      <c r="G51" s="8" t="s">
        <v>5905</v>
      </c>
      <c r="H51" t="s">
        <v>6515</v>
      </c>
      <c r="I51">
        <v>1</v>
      </c>
      <c r="J51" t="s">
        <v>3452</v>
      </c>
      <c r="K51" t="s">
        <v>5906</v>
      </c>
      <c r="L51" t="s">
        <v>90</v>
      </c>
      <c r="M51" t="s">
        <v>3452</v>
      </c>
      <c r="N51" t="s">
        <v>3452</v>
      </c>
      <c r="O51" t="s">
        <v>6449</v>
      </c>
    </row>
    <row r="52" spans="1:15" ht="15" customHeight="1" x14ac:dyDescent="0.25">
      <c r="A52" t="s">
        <v>4252</v>
      </c>
      <c r="B52" t="s">
        <v>4290</v>
      </c>
      <c r="C52" t="s">
        <v>4238</v>
      </c>
      <c r="D52" t="s">
        <v>3990</v>
      </c>
      <c r="E52" t="s">
        <v>5907</v>
      </c>
      <c r="F52" t="s">
        <v>6451</v>
      </c>
      <c r="G52" t="s">
        <v>3452</v>
      </c>
      <c r="H52" t="s">
        <v>3452</v>
      </c>
      <c r="I52" t="s">
        <v>3452</v>
      </c>
      <c r="J52" t="s">
        <v>3452</v>
      </c>
      <c r="K52" t="s">
        <v>4252</v>
      </c>
      <c r="L52" t="s">
        <v>90</v>
      </c>
      <c r="M52" t="s">
        <v>5456</v>
      </c>
      <c r="N52" t="s">
        <v>3452</v>
      </c>
      <c r="O52" t="s">
        <v>5863</v>
      </c>
    </row>
    <row r="53" spans="1:15" ht="15" customHeight="1" x14ac:dyDescent="0.25">
      <c r="A53" t="s">
        <v>6516</v>
      </c>
      <c r="B53" t="s">
        <v>3540</v>
      </c>
      <c r="C53" t="s">
        <v>5353</v>
      </c>
      <c r="D53">
        <v>1</v>
      </c>
      <c r="E53" t="s">
        <v>5909</v>
      </c>
      <c r="F53" t="s">
        <v>6517</v>
      </c>
      <c r="G53" t="s">
        <v>5910</v>
      </c>
      <c r="H53" t="s">
        <v>6518</v>
      </c>
      <c r="I53">
        <v>1</v>
      </c>
      <c r="J53" t="s">
        <v>3452</v>
      </c>
      <c r="K53" t="s">
        <v>6519</v>
      </c>
      <c r="L53" t="s">
        <v>90</v>
      </c>
      <c r="M53" t="s">
        <v>3452</v>
      </c>
      <c r="N53" t="s">
        <v>3452</v>
      </c>
      <c r="O53" t="s">
        <v>6520</v>
      </c>
    </row>
    <row r="54" spans="1:15" ht="15" customHeight="1" x14ac:dyDescent="0.25">
      <c r="A54" t="s">
        <v>6521</v>
      </c>
      <c r="B54" t="s">
        <v>3540</v>
      </c>
      <c r="C54" t="s">
        <v>5353</v>
      </c>
      <c r="D54">
        <v>1</v>
      </c>
      <c r="E54" t="s">
        <v>5909</v>
      </c>
      <c r="F54" t="s">
        <v>6517</v>
      </c>
      <c r="G54" t="s">
        <v>5910</v>
      </c>
      <c r="H54" t="s">
        <v>6518</v>
      </c>
      <c r="I54">
        <v>1</v>
      </c>
      <c r="J54" t="s">
        <v>3452</v>
      </c>
      <c r="K54" t="s">
        <v>6522</v>
      </c>
      <c r="L54" t="s">
        <v>90</v>
      </c>
      <c r="M54" t="s">
        <v>3452</v>
      </c>
      <c r="N54" t="s">
        <v>3452</v>
      </c>
      <c r="O54" t="s">
        <v>6520</v>
      </c>
    </row>
    <row r="55" spans="1:15" ht="15" customHeight="1" x14ac:dyDescent="0.25">
      <c r="A55" t="s">
        <v>5913</v>
      </c>
      <c r="B55" t="s">
        <v>41</v>
      </c>
      <c r="C55" t="s">
        <v>5353</v>
      </c>
      <c r="D55">
        <v>0</v>
      </c>
      <c r="E55" s="8" t="s">
        <v>5914</v>
      </c>
      <c r="F55" t="s">
        <v>6523</v>
      </c>
      <c r="G55" s="8" t="s">
        <v>6524</v>
      </c>
      <c r="H55" t="s">
        <v>6525</v>
      </c>
      <c r="I55">
        <v>0</v>
      </c>
      <c r="J55" t="s">
        <v>3452</v>
      </c>
      <c r="K55" t="s">
        <v>5913</v>
      </c>
      <c r="L55" t="s">
        <v>90</v>
      </c>
      <c r="M55" t="s">
        <v>3452</v>
      </c>
      <c r="N55" t="s">
        <v>3452</v>
      </c>
      <c r="O55" t="s">
        <v>5710</v>
      </c>
    </row>
    <row r="56" spans="1:15" ht="15" customHeight="1" x14ac:dyDescent="0.25">
      <c r="A56" t="s">
        <v>4575</v>
      </c>
      <c r="B56" t="s">
        <v>3508</v>
      </c>
      <c r="C56" t="s">
        <v>5715</v>
      </c>
      <c r="D56">
        <v>1</v>
      </c>
      <c r="E56" t="s">
        <v>6526</v>
      </c>
      <c r="F56" t="s">
        <v>6527</v>
      </c>
      <c r="G56" t="s">
        <v>6526</v>
      </c>
      <c r="H56" t="s">
        <v>6527</v>
      </c>
      <c r="I56">
        <v>1</v>
      </c>
      <c r="J56" t="s">
        <v>6385</v>
      </c>
      <c r="K56" t="s">
        <v>4575</v>
      </c>
      <c r="L56" t="s">
        <v>1621</v>
      </c>
      <c r="M56" t="s">
        <v>5418</v>
      </c>
      <c r="N56" t="s">
        <v>3452</v>
      </c>
      <c r="O56" t="s">
        <v>5748</v>
      </c>
    </row>
    <row r="57" spans="1:15" ht="15" customHeight="1" x14ac:dyDescent="0.25">
      <c r="A57" t="s">
        <v>5922</v>
      </c>
      <c r="B57" t="s">
        <v>3496</v>
      </c>
      <c r="C57" t="s">
        <v>5715</v>
      </c>
      <c r="D57">
        <v>1</v>
      </c>
      <c r="E57" t="s">
        <v>5923</v>
      </c>
      <c r="F57" t="s">
        <v>6528</v>
      </c>
      <c r="G57" t="s">
        <v>5924</v>
      </c>
      <c r="H57" t="s">
        <v>6529</v>
      </c>
      <c r="I57">
        <v>1</v>
      </c>
      <c r="J57" t="s">
        <v>6530</v>
      </c>
      <c r="K57" t="s">
        <v>5925</v>
      </c>
      <c r="L57" t="s">
        <v>90</v>
      </c>
      <c r="M57" t="s">
        <v>5489</v>
      </c>
      <c r="N57" t="s">
        <v>3452</v>
      </c>
      <c r="O57" t="s">
        <v>5926</v>
      </c>
    </row>
    <row r="58" spans="1:15" ht="15" customHeight="1" x14ac:dyDescent="0.25">
      <c r="A58" t="s">
        <v>5927</v>
      </c>
      <c r="B58" t="s">
        <v>3508</v>
      </c>
      <c r="C58" t="s">
        <v>5353</v>
      </c>
      <c r="D58">
        <v>1</v>
      </c>
      <c r="E58" s="8" t="s">
        <v>5928</v>
      </c>
      <c r="F58" t="s">
        <v>6531</v>
      </c>
      <c r="G58" s="8" t="s">
        <v>5929</v>
      </c>
      <c r="H58" t="s">
        <v>6532</v>
      </c>
      <c r="I58">
        <v>1</v>
      </c>
      <c r="J58" t="s">
        <v>3452</v>
      </c>
      <c r="K58" t="s">
        <v>5927</v>
      </c>
      <c r="L58" t="s">
        <v>90</v>
      </c>
      <c r="M58" t="s">
        <v>5489</v>
      </c>
      <c r="N58" t="s">
        <v>3452</v>
      </c>
      <c r="O58" t="s">
        <v>5930</v>
      </c>
    </row>
    <row r="59" spans="1:15" ht="15" customHeight="1" x14ac:dyDescent="0.25">
      <c r="A59" t="s">
        <v>5931</v>
      </c>
      <c r="B59" t="s">
        <v>3508</v>
      </c>
      <c r="C59" t="s">
        <v>5353</v>
      </c>
      <c r="D59">
        <v>1</v>
      </c>
      <c r="E59" s="8" t="s">
        <v>5932</v>
      </c>
      <c r="F59" t="s">
        <v>6533</v>
      </c>
      <c r="G59" s="8" t="s">
        <v>5932</v>
      </c>
      <c r="H59" t="s">
        <v>6533</v>
      </c>
      <c r="I59">
        <v>0</v>
      </c>
      <c r="J59" t="s">
        <v>3452</v>
      </c>
      <c r="K59" t="s">
        <v>5931</v>
      </c>
      <c r="L59" t="s">
        <v>90</v>
      </c>
      <c r="M59" t="s">
        <v>5489</v>
      </c>
      <c r="N59" t="s">
        <v>3452</v>
      </c>
      <c r="O59" t="s">
        <v>5933</v>
      </c>
    </row>
    <row r="60" spans="1:15" ht="15" customHeight="1" x14ac:dyDescent="0.25">
      <c r="A60" t="s">
        <v>5934</v>
      </c>
      <c r="B60" t="s">
        <v>41</v>
      </c>
      <c r="C60" t="s">
        <v>5353</v>
      </c>
      <c r="D60">
        <v>1</v>
      </c>
      <c r="E60" s="8" t="s">
        <v>6534</v>
      </c>
      <c r="F60" t="s">
        <v>6535</v>
      </c>
      <c r="G60" s="8" t="s">
        <v>6536</v>
      </c>
      <c r="H60" t="s">
        <v>6537</v>
      </c>
      <c r="I60">
        <v>1</v>
      </c>
      <c r="J60" t="s">
        <v>3452</v>
      </c>
      <c r="K60" t="s">
        <v>5937</v>
      </c>
      <c r="L60" t="s">
        <v>90</v>
      </c>
      <c r="M60" t="s">
        <v>3452</v>
      </c>
      <c r="N60" t="s">
        <v>3452</v>
      </c>
      <c r="O60" t="s">
        <v>5710</v>
      </c>
    </row>
    <row r="61" spans="1:15" ht="15" customHeight="1" x14ac:dyDescent="0.25">
      <c r="A61" t="s">
        <v>5938</v>
      </c>
      <c r="B61" t="s">
        <v>3496</v>
      </c>
      <c r="C61" t="s">
        <v>5353</v>
      </c>
      <c r="D61" t="s">
        <v>5939</v>
      </c>
      <c r="E61" s="8" t="s">
        <v>6538</v>
      </c>
      <c r="F61" t="s">
        <v>6539</v>
      </c>
      <c r="G61" s="8" t="s">
        <v>6540</v>
      </c>
      <c r="H61" t="s">
        <v>6541</v>
      </c>
      <c r="I61" t="s">
        <v>3452</v>
      </c>
      <c r="J61" t="s">
        <v>3452</v>
      </c>
      <c r="K61" t="s">
        <v>5938</v>
      </c>
      <c r="L61" t="s">
        <v>90</v>
      </c>
      <c r="M61" t="s">
        <v>5489</v>
      </c>
      <c r="N61" t="s">
        <v>3452</v>
      </c>
      <c r="O61" t="s">
        <v>5942</v>
      </c>
    </row>
    <row r="62" spans="1:15" ht="15" customHeight="1" x14ac:dyDescent="0.25">
      <c r="A62" t="s">
        <v>5357</v>
      </c>
      <c r="B62" t="s">
        <v>3496</v>
      </c>
      <c r="C62" t="s">
        <v>5353</v>
      </c>
      <c r="D62">
        <v>1</v>
      </c>
      <c r="E62" s="8" t="s">
        <v>5943</v>
      </c>
      <c r="F62" t="s">
        <v>6542</v>
      </c>
      <c r="G62" s="8" t="s">
        <v>5944</v>
      </c>
      <c r="H62" t="s">
        <v>6543</v>
      </c>
      <c r="I62">
        <v>1</v>
      </c>
      <c r="J62" t="s">
        <v>3452</v>
      </c>
      <c r="K62" t="s">
        <v>5359</v>
      </c>
      <c r="L62" t="s">
        <v>90</v>
      </c>
      <c r="M62" t="s">
        <v>3452</v>
      </c>
      <c r="N62" t="s">
        <v>3452</v>
      </c>
      <c r="O62" t="s">
        <v>5728</v>
      </c>
    </row>
    <row r="63" spans="1:15" ht="15" customHeight="1" x14ac:dyDescent="0.25">
      <c r="A63" t="s">
        <v>5946</v>
      </c>
      <c r="B63" t="s">
        <v>4290</v>
      </c>
      <c r="C63" t="s">
        <v>4238</v>
      </c>
      <c r="D63" t="s">
        <v>3990</v>
      </c>
      <c r="E63" t="s">
        <v>5947</v>
      </c>
      <c r="F63" t="s">
        <v>6544</v>
      </c>
      <c r="G63" t="s">
        <v>3452</v>
      </c>
      <c r="H63" t="s">
        <v>3452</v>
      </c>
      <c r="I63" t="s">
        <v>3452</v>
      </c>
      <c r="J63" t="s">
        <v>3452</v>
      </c>
      <c r="K63" t="s">
        <v>5946</v>
      </c>
      <c r="L63" t="s">
        <v>90</v>
      </c>
      <c r="M63" t="s">
        <v>5456</v>
      </c>
      <c r="N63" t="s">
        <v>3452</v>
      </c>
      <c r="O63" t="s">
        <v>5863</v>
      </c>
    </row>
    <row r="64" spans="1:15" ht="15" customHeight="1" x14ac:dyDescent="0.25">
      <c r="A64" t="s">
        <v>5948</v>
      </c>
      <c r="B64" t="s">
        <v>3508</v>
      </c>
      <c r="C64" t="s">
        <v>5715</v>
      </c>
      <c r="D64">
        <v>1</v>
      </c>
      <c r="E64" s="8" t="s">
        <v>6545</v>
      </c>
      <c r="F64" t="s">
        <v>6546</v>
      </c>
      <c r="G64" s="8" t="s">
        <v>6547</v>
      </c>
      <c r="H64" t="s">
        <v>6548</v>
      </c>
      <c r="I64">
        <v>1</v>
      </c>
      <c r="J64" t="s">
        <v>6385</v>
      </c>
      <c r="K64" t="s">
        <v>5948</v>
      </c>
      <c r="L64" t="s">
        <v>90</v>
      </c>
      <c r="M64" t="s">
        <v>3452</v>
      </c>
      <c r="N64" t="s">
        <v>3452</v>
      </c>
      <c r="O64" t="s">
        <v>5951</v>
      </c>
    </row>
    <row r="65" spans="1:15" ht="15" customHeight="1" x14ac:dyDescent="0.25">
      <c r="A65" t="s">
        <v>5956</v>
      </c>
      <c r="B65" t="s">
        <v>3508</v>
      </c>
      <c r="C65" t="s">
        <v>5353</v>
      </c>
      <c r="D65">
        <v>1</v>
      </c>
      <c r="E65" s="8" t="s">
        <v>5957</v>
      </c>
      <c r="F65" t="s">
        <v>6549</v>
      </c>
      <c r="G65" s="8" t="s">
        <v>5958</v>
      </c>
      <c r="H65" t="s">
        <v>6550</v>
      </c>
      <c r="I65">
        <v>1</v>
      </c>
      <c r="J65" t="s">
        <v>3452</v>
      </c>
      <c r="K65" t="s">
        <v>5959</v>
      </c>
      <c r="L65" t="s">
        <v>90</v>
      </c>
      <c r="M65" t="s">
        <v>3452</v>
      </c>
      <c r="N65" t="s">
        <v>3452</v>
      </c>
      <c r="O65" t="s">
        <v>5756</v>
      </c>
    </row>
    <row r="66" spans="1:15" ht="15" customHeight="1" x14ac:dyDescent="0.25">
      <c r="A66" t="s">
        <v>5960</v>
      </c>
      <c r="B66" t="s">
        <v>3508</v>
      </c>
      <c r="C66" t="s">
        <v>5715</v>
      </c>
      <c r="D66">
        <v>0</v>
      </c>
      <c r="E66" s="8" t="s">
        <v>6551</v>
      </c>
      <c r="F66" t="s">
        <v>6552</v>
      </c>
      <c r="G66" s="8" t="s">
        <v>6553</v>
      </c>
      <c r="H66" t="s">
        <v>6554</v>
      </c>
      <c r="I66">
        <v>0</v>
      </c>
      <c r="J66" t="s">
        <v>6443</v>
      </c>
      <c r="K66" t="s">
        <v>5963</v>
      </c>
      <c r="L66" t="s">
        <v>90</v>
      </c>
      <c r="M66" t="s">
        <v>5489</v>
      </c>
      <c r="N66" t="s">
        <v>3452</v>
      </c>
      <c r="O66" t="s">
        <v>5770</v>
      </c>
    </row>
    <row r="67" spans="1:15" x14ac:dyDescent="0.25">
      <c r="A67" t="s">
        <v>5964</v>
      </c>
      <c r="B67" t="s">
        <v>3508</v>
      </c>
      <c r="C67" t="s">
        <v>5353</v>
      </c>
      <c r="D67">
        <v>2</v>
      </c>
      <c r="E67" s="8" t="s">
        <v>5965</v>
      </c>
      <c r="F67" t="s">
        <v>6555</v>
      </c>
      <c r="G67" s="8" t="s">
        <v>5965</v>
      </c>
      <c r="H67" t="s">
        <v>6555</v>
      </c>
      <c r="I67">
        <v>1</v>
      </c>
      <c r="J67" t="s">
        <v>3452</v>
      </c>
      <c r="K67" t="s">
        <v>5964</v>
      </c>
      <c r="L67" t="s">
        <v>90</v>
      </c>
      <c r="M67" t="s">
        <v>3452</v>
      </c>
      <c r="N67" t="s">
        <v>3452</v>
      </c>
      <c r="O67" t="s">
        <v>5732</v>
      </c>
    </row>
    <row r="68" spans="1:15" x14ac:dyDescent="0.25">
      <c r="A68" t="s">
        <v>5189</v>
      </c>
      <c r="B68" t="s">
        <v>3496</v>
      </c>
      <c r="C68" t="s">
        <v>4590</v>
      </c>
      <c r="D68">
        <v>2</v>
      </c>
      <c r="E68" s="8" t="s">
        <v>6556</v>
      </c>
      <c r="F68" t="s">
        <v>6557</v>
      </c>
      <c r="G68" s="8" t="s">
        <v>6556</v>
      </c>
      <c r="H68" t="s">
        <v>6557</v>
      </c>
      <c r="I68">
        <v>1</v>
      </c>
      <c r="J68" t="s">
        <v>3452</v>
      </c>
      <c r="K68" t="s">
        <v>5189</v>
      </c>
      <c r="L68" t="s">
        <v>90</v>
      </c>
      <c r="M68" t="s">
        <v>3452</v>
      </c>
      <c r="N68" t="s">
        <v>3452</v>
      </c>
      <c r="O68" t="s">
        <v>6558</v>
      </c>
    </row>
    <row r="69" spans="1:15" x14ac:dyDescent="0.25">
      <c r="A69" t="s">
        <v>5967</v>
      </c>
      <c r="B69" t="s">
        <v>3508</v>
      </c>
      <c r="C69" t="s">
        <v>5353</v>
      </c>
      <c r="D69">
        <v>0</v>
      </c>
      <c r="E69" s="8" t="s">
        <v>5968</v>
      </c>
      <c r="F69" t="s">
        <v>6559</v>
      </c>
      <c r="G69" s="8" t="s">
        <v>5969</v>
      </c>
      <c r="H69" t="s">
        <v>6560</v>
      </c>
      <c r="I69">
        <v>0</v>
      </c>
      <c r="J69" t="s">
        <v>3452</v>
      </c>
      <c r="K69" t="s">
        <v>5970</v>
      </c>
      <c r="L69" t="s">
        <v>90</v>
      </c>
      <c r="M69" t="s">
        <v>3452</v>
      </c>
      <c r="N69" t="s">
        <v>3452</v>
      </c>
      <c r="O69" t="s">
        <v>5971</v>
      </c>
    </row>
    <row r="70" spans="1:15" x14ac:dyDescent="0.25">
      <c r="A70" t="s">
        <v>5972</v>
      </c>
      <c r="B70" t="s">
        <v>3508</v>
      </c>
      <c r="C70" t="s">
        <v>5715</v>
      </c>
      <c r="D70">
        <v>3</v>
      </c>
      <c r="E70" s="8" t="s">
        <v>6561</v>
      </c>
      <c r="F70" t="s">
        <v>6562</v>
      </c>
      <c r="G70" s="8" t="s">
        <v>6563</v>
      </c>
      <c r="H70" t="s">
        <v>6564</v>
      </c>
      <c r="I70">
        <v>3</v>
      </c>
      <c r="J70" t="s">
        <v>6393</v>
      </c>
      <c r="K70" t="s">
        <v>5972</v>
      </c>
      <c r="L70" t="s">
        <v>90</v>
      </c>
      <c r="M70" t="s">
        <v>3452</v>
      </c>
      <c r="N70" t="s">
        <v>3452</v>
      </c>
      <c r="O70" t="s">
        <v>5975</v>
      </c>
    </row>
    <row r="71" spans="1:15" x14ac:dyDescent="0.25">
      <c r="A71" t="s">
        <v>5191</v>
      </c>
      <c r="B71" t="s">
        <v>3508</v>
      </c>
      <c r="C71" t="s">
        <v>4590</v>
      </c>
      <c r="D71">
        <v>1</v>
      </c>
      <c r="E71" s="8" t="s">
        <v>6565</v>
      </c>
      <c r="F71" t="s">
        <v>6566</v>
      </c>
      <c r="G71" s="8" t="s">
        <v>6567</v>
      </c>
      <c r="H71" t="s">
        <v>6568</v>
      </c>
      <c r="I71">
        <v>1</v>
      </c>
      <c r="J71" t="s">
        <v>3452</v>
      </c>
      <c r="K71" t="s">
        <v>5191</v>
      </c>
      <c r="L71" t="s">
        <v>90</v>
      </c>
      <c r="M71" t="s">
        <v>3452</v>
      </c>
      <c r="N71" t="s">
        <v>3452</v>
      </c>
      <c r="O71" t="s">
        <v>5978</v>
      </c>
    </row>
    <row r="72" spans="1:15" x14ac:dyDescent="0.25">
      <c r="A72" t="s">
        <v>5979</v>
      </c>
      <c r="B72" t="s">
        <v>3496</v>
      </c>
      <c r="C72" t="s">
        <v>5353</v>
      </c>
      <c r="D72">
        <v>1</v>
      </c>
      <c r="E72" s="8" t="s">
        <v>5980</v>
      </c>
      <c r="F72" t="s">
        <v>6569</v>
      </c>
      <c r="G72" s="8" t="s">
        <v>5980</v>
      </c>
      <c r="H72" t="s">
        <v>6569</v>
      </c>
      <c r="I72">
        <v>0</v>
      </c>
      <c r="J72" t="s">
        <v>3452</v>
      </c>
      <c r="K72" t="s">
        <v>5979</v>
      </c>
      <c r="L72" t="s">
        <v>90</v>
      </c>
      <c r="M72" t="s">
        <v>5489</v>
      </c>
      <c r="N72" t="s">
        <v>3452</v>
      </c>
      <c r="O72" t="s">
        <v>5981</v>
      </c>
    </row>
    <row r="73" spans="1:15" x14ac:dyDescent="0.25">
      <c r="A73" t="s">
        <v>5982</v>
      </c>
      <c r="B73" t="s">
        <v>3508</v>
      </c>
      <c r="C73" t="s">
        <v>5353</v>
      </c>
      <c r="D73">
        <v>1</v>
      </c>
      <c r="E73" s="8" t="s">
        <v>6570</v>
      </c>
      <c r="F73" t="s">
        <v>6571</v>
      </c>
      <c r="G73" s="8" t="s">
        <v>6572</v>
      </c>
      <c r="H73" t="s">
        <v>6573</v>
      </c>
      <c r="I73">
        <v>1</v>
      </c>
      <c r="J73" t="s">
        <v>3452</v>
      </c>
      <c r="K73" t="s">
        <v>5982</v>
      </c>
      <c r="L73" t="s">
        <v>90</v>
      </c>
      <c r="M73" t="s">
        <v>3452</v>
      </c>
      <c r="N73" t="s">
        <v>3452</v>
      </c>
      <c r="O73" t="s">
        <v>5985</v>
      </c>
    </row>
    <row r="74" spans="1:15" x14ac:dyDescent="0.25">
      <c r="A74" t="s">
        <v>5986</v>
      </c>
      <c r="B74" t="s">
        <v>3496</v>
      </c>
      <c r="C74" t="s">
        <v>5715</v>
      </c>
      <c r="D74">
        <v>1</v>
      </c>
      <c r="E74" s="8" t="s">
        <v>6574</v>
      </c>
      <c r="F74" t="s">
        <v>6575</v>
      </c>
      <c r="G74" s="8" t="s">
        <v>6576</v>
      </c>
      <c r="H74" t="s">
        <v>6577</v>
      </c>
      <c r="I74" t="s">
        <v>3452</v>
      </c>
      <c r="J74" t="s">
        <v>6393</v>
      </c>
      <c r="K74" t="s">
        <v>5986</v>
      </c>
      <c r="L74" t="s">
        <v>90</v>
      </c>
      <c r="M74" t="s">
        <v>5489</v>
      </c>
      <c r="N74" t="s">
        <v>3452</v>
      </c>
      <c r="O74" t="s">
        <v>5989</v>
      </c>
    </row>
    <row r="75" spans="1:15" x14ac:dyDescent="0.25">
      <c r="A75" t="s">
        <v>5199</v>
      </c>
      <c r="B75" t="s">
        <v>3508</v>
      </c>
      <c r="C75" t="s">
        <v>4590</v>
      </c>
      <c r="D75">
        <v>1</v>
      </c>
      <c r="E75" s="8" t="s">
        <v>6578</v>
      </c>
      <c r="F75" t="s">
        <v>6579</v>
      </c>
      <c r="G75" s="8" t="s">
        <v>6580</v>
      </c>
      <c r="H75" t="s">
        <v>6581</v>
      </c>
      <c r="I75">
        <v>1</v>
      </c>
      <c r="J75" t="s">
        <v>3452</v>
      </c>
      <c r="K75" t="s">
        <v>5201</v>
      </c>
      <c r="L75" t="s">
        <v>90</v>
      </c>
      <c r="M75" t="s">
        <v>3452</v>
      </c>
      <c r="N75" t="s">
        <v>3452</v>
      </c>
      <c r="O75" t="s">
        <v>5992</v>
      </c>
    </row>
    <row r="76" spans="1:15" x14ac:dyDescent="0.25">
      <c r="A76" t="s">
        <v>5993</v>
      </c>
      <c r="B76" t="s">
        <v>3496</v>
      </c>
      <c r="C76" t="s">
        <v>5715</v>
      </c>
      <c r="D76">
        <v>2</v>
      </c>
      <c r="E76" s="8" t="s">
        <v>6582</v>
      </c>
      <c r="F76" t="s">
        <v>6583</v>
      </c>
      <c r="G76" s="8" t="s">
        <v>6584</v>
      </c>
      <c r="H76" t="s">
        <v>6585</v>
      </c>
      <c r="I76">
        <v>2</v>
      </c>
      <c r="J76" t="s">
        <v>6410</v>
      </c>
      <c r="K76" t="s">
        <v>5996</v>
      </c>
      <c r="L76" t="s">
        <v>90</v>
      </c>
      <c r="M76" t="s">
        <v>5489</v>
      </c>
      <c r="N76" t="s">
        <v>4254</v>
      </c>
      <c r="O76" t="s">
        <v>5997</v>
      </c>
    </row>
    <row r="77" spans="1:15" x14ac:dyDescent="0.25">
      <c r="A77" t="s">
        <v>6000</v>
      </c>
      <c r="B77" t="s">
        <v>3508</v>
      </c>
      <c r="C77" t="s">
        <v>5715</v>
      </c>
      <c r="D77">
        <v>1</v>
      </c>
      <c r="E77" s="8" t="s">
        <v>6586</v>
      </c>
      <c r="F77" t="s">
        <v>6587</v>
      </c>
      <c r="G77" s="8" t="s">
        <v>6588</v>
      </c>
      <c r="H77" t="s">
        <v>6589</v>
      </c>
      <c r="I77" t="s">
        <v>3452</v>
      </c>
      <c r="J77" t="s">
        <v>6385</v>
      </c>
      <c r="K77" t="s">
        <v>6000</v>
      </c>
      <c r="L77" t="s">
        <v>90</v>
      </c>
      <c r="M77" t="s">
        <v>3452</v>
      </c>
      <c r="N77" t="s">
        <v>3452</v>
      </c>
      <c r="O77" t="s">
        <v>6590</v>
      </c>
    </row>
    <row r="78" spans="1:15" x14ac:dyDescent="0.25">
      <c r="A78" t="s">
        <v>5202</v>
      </c>
      <c r="B78" t="s">
        <v>3508</v>
      </c>
      <c r="C78" t="s">
        <v>4590</v>
      </c>
      <c r="D78">
        <v>1</v>
      </c>
      <c r="E78" s="8" t="s">
        <v>6591</v>
      </c>
      <c r="F78" t="s">
        <v>6592</v>
      </c>
      <c r="G78" s="8" t="s">
        <v>6593</v>
      </c>
      <c r="H78" t="s">
        <v>6594</v>
      </c>
      <c r="I78">
        <v>1</v>
      </c>
      <c r="J78" t="s">
        <v>3452</v>
      </c>
      <c r="K78" t="s">
        <v>5204</v>
      </c>
      <c r="L78" t="s">
        <v>90</v>
      </c>
      <c r="M78" t="s">
        <v>3452</v>
      </c>
      <c r="N78" t="s">
        <v>3452</v>
      </c>
      <c r="O78" t="s">
        <v>6005</v>
      </c>
    </row>
    <row r="79" spans="1:15" x14ac:dyDescent="0.25">
      <c r="A79" t="s">
        <v>5205</v>
      </c>
      <c r="B79" t="s">
        <v>3508</v>
      </c>
      <c r="C79" t="s">
        <v>5353</v>
      </c>
      <c r="D79">
        <v>2</v>
      </c>
      <c r="E79" s="8" t="s">
        <v>6595</v>
      </c>
      <c r="F79" t="s">
        <v>6596</v>
      </c>
      <c r="G79" s="8" t="s">
        <v>6597</v>
      </c>
      <c r="H79" t="s">
        <v>6598</v>
      </c>
      <c r="I79">
        <v>2</v>
      </c>
      <c r="J79" t="s">
        <v>3452</v>
      </c>
      <c r="K79" t="s">
        <v>5207</v>
      </c>
      <c r="L79" t="s">
        <v>90</v>
      </c>
      <c r="M79" t="s">
        <v>3452</v>
      </c>
      <c r="N79" t="s">
        <v>4254</v>
      </c>
      <c r="O79" t="s">
        <v>5732</v>
      </c>
    </row>
    <row r="80" spans="1:15" x14ac:dyDescent="0.25">
      <c r="A80" t="s">
        <v>6008</v>
      </c>
      <c r="B80" t="s">
        <v>3508</v>
      </c>
      <c r="C80" t="s">
        <v>5715</v>
      </c>
      <c r="D80">
        <v>1</v>
      </c>
      <c r="E80" s="8" t="s">
        <v>6599</v>
      </c>
      <c r="F80" t="s">
        <v>6600</v>
      </c>
      <c r="G80" s="8" t="s">
        <v>6601</v>
      </c>
      <c r="H80" t="s">
        <v>6602</v>
      </c>
      <c r="I80">
        <v>1</v>
      </c>
      <c r="J80" t="s">
        <v>6410</v>
      </c>
      <c r="K80" t="s">
        <v>6008</v>
      </c>
      <c r="L80" t="s">
        <v>90</v>
      </c>
      <c r="M80" t="s">
        <v>3452</v>
      </c>
      <c r="N80" t="s">
        <v>3452</v>
      </c>
      <c r="O80" t="s">
        <v>6590</v>
      </c>
    </row>
    <row r="81" spans="1:15" x14ac:dyDescent="0.25">
      <c r="A81" t="s">
        <v>6011</v>
      </c>
      <c r="B81" t="s">
        <v>41</v>
      </c>
      <c r="C81" t="s">
        <v>5353</v>
      </c>
      <c r="D81">
        <v>0</v>
      </c>
      <c r="E81" s="8" t="s">
        <v>6603</v>
      </c>
      <c r="F81" t="s">
        <v>6604</v>
      </c>
      <c r="G81" s="8" t="s">
        <v>6605</v>
      </c>
      <c r="H81" t="s">
        <v>6606</v>
      </c>
      <c r="I81" t="s">
        <v>3452</v>
      </c>
      <c r="J81" t="s">
        <v>3452</v>
      </c>
      <c r="K81" t="s">
        <v>6011</v>
      </c>
      <c r="L81" t="s">
        <v>90</v>
      </c>
      <c r="M81" t="s">
        <v>3452</v>
      </c>
      <c r="N81" t="s">
        <v>3452</v>
      </c>
      <c r="O81" t="s">
        <v>6052</v>
      </c>
    </row>
    <row r="82" spans="1:15" x14ac:dyDescent="0.25">
      <c r="A82" t="s">
        <v>6014</v>
      </c>
      <c r="B82" t="s">
        <v>41</v>
      </c>
      <c r="C82" t="s">
        <v>5715</v>
      </c>
      <c r="D82">
        <v>1</v>
      </c>
      <c r="E82" s="8" t="s">
        <v>6607</v>
      </c>
      <c r="F82" t="s">
        <v>6608</v>
      </c>
      <c r="G82" s="8" t="s">
        <v>6609</v>
      </c>
      <c r="H82" t="s">
        <v>6610</v>
      </c>
      <c r="I82" t="s">
        <v>3452</v>
      </c>
      <c r="J82" t="s">
        <v>6385</v>
      </c>
      <c r="K82" t="s">
        <v>6017</v>
      </c>
      <c r="L82" t="s">
        <v>90</v>
      </c>
      <c r="M82" t="s">
        <v>3452</v>
      </c>
      <c r="N82" t="s">
        <v>3452</v>
      </c>
      <c r="O82" t="s">
        <v>6018</v>
      </c>
    </row>
    <row r="83" spans="1:15" x14ac:dyDescent="0.25">
      <c r="A83" t="s">
        <v>6022</v>
      </c>
      <c r="B83" t="s">
        <v>3508</v>
      </c>
      <c r="C83" t="s">
        <v>5353</v>
      </c>
      <c r="D83">
        <v>1</v>
      </c>
      <c r="E83" s="8" t="s">
        <v>6611</v>
      </c>
      <c r="F83" t="s">
        <v>6444</v>
      </c>
      <c r="G83" s="8" t="s">
        <v>6612</v>
      </c>
      <c r="H83" t="s">
        <v>6445</v>
      </c>
      <c r="I83" t="s">
        <v>3452</v>
      </c>
      <c r="J83" t="s">
        <v>3452</v>
      </c>
      <c r="K83" t="s">
        <v>6025</v>
      </c>
      <c r="L83" t="s">
        <v>90</v>
      </c>
      <c r="M83" t="s">
        <v>5415</v>
      </c>
      <c r="N83" t="s">
        <v>3452</v>
      </c>
      <c r="O83" t="s">
        <v>5732</v>
      </c>
    </row>
    <row r="84" spans="1:15" x14ac:dyDescent="0.25">
      <c r="A84" t="s">
        <v>6027</v>
      </c>
      <c r="B84" t="s">
        <v>3496</v>
      </c>
      <c r="C84" t="s">
        <v>5715</v>
      </c>
      <c r="D84">
        <v>1</v>
      </c>
      <c r="E84" s="8" t="s">
        <v>6613</v>
      </c>
      <c r="F84" t="s">
        <v>6614</v>
      </c>
      <c r="G84" s="8" t="s">
        <v>6615</v>
      </c>
      <c r="H84" t="s">
        <v>6616</v>
      </c>
      <c r="I84" t="s">
        <v>3452</v>
      </c>
      <c r="J84" t="s">
        <v>6410</v>
      </c>
      <c r="K84" t="s">
        <v>6030</v>
      </c>
      <c r="L84" t="s">
        <v>90</v>
      </c>
      <c r="M84" t="s">
        <v>3452</v>
      </c>
      <c r="N84" t="s">
        <v>3452</v>
      </c>
      <c r="O84" t="s">
        <v>5770</v>
      </c>
    </row>
    <row r="85" spans="1:15" x14ac:dyDescent="0.25">
      <c r="A85" t="s">
        <v>6031</v>
      </c>
      <c r="B85" t="s">
        <v>41</v>
      </c>
      <c r="C85" t="s">
        <v>5715</v>
      </c>
      <c r="D85">
        <v>0</v>
      </c>
      <c r="E85" s="8" t="s">
        <v>6617</v>
      </c>
      <c r="F85" t="s">
        <v>6618</v>
      </c>
      <c r="G85" s="8" t="s">
        <v>6619</v>
      </c>
      <c r="H85" t="s">
        <v>6620</v>
      </c>
      <c r="I85">
        <v>0</v>
      </c>
      <c r="J85" t="s">
        <v>6477</v>
      </c>
      <c r="K85" t="s">
        <v>6034</v>
      </c>
      <c r="L85" t="s">
        <v>90</v>
      </c>
      <c r="M85" t="s">
        <v>3452</v>
      </c>
      <c r="N85" t="s">
        <v>3452</v>
      </c>
      <c r="O85" t="s">
        <v>5761</v>
      </c>
    </row>
    <row r="86" spans="1:15" x14ac:dyDescent="0.25">
      <c r="A86" t="s">
        <v>6035</v>
      </c>
      <c r="B86" t="s">
        <v>3496</v>
      </c>
      <c r="C86" t="s">
        <v>5715</v>
      </c>
      <c r="D86">
        <v>0</v>
      </c>
      <c r="E86" s="8" t="s">
        <v>6621</v>
      </c>
      <c r="F86" t="s">
        <v>6622</v>
      </c>
      <c r="G86" s="8" t="s">
        <v>6623</v>
      </c>
      <c r="H86" t="s">
        <v>6624</v>
      </c>
      <c r="I86">
        <v>0</v>
      </c>
      <c r="J86" t="s">
        <v>6625</v>
      </c>
      <c r="K86" t="s">
        <v>6038</v>
      </c>
      <c r="L86" t="s">
        <v>90</v>
      </c>
      <c r="M86" t="s">
        <v>3452</v>
      </c>
      <c r="N86" t="s">
        <v>3452</v>
      </c>
      <c r="O86" t="s">
        <v>5889</v>
      </c>
    </row>
    <row r="87" spans="1:15" x14ac:dyDescent="0.25">
      <c r="A87" t="s">
        <v>5109</v>
      </c>
      <c r="B87" t="s">
        <v>4290</v>
      </c>
      <c r="C87" t="s">
        <v>4238</v>
      </c>
      <c r="D87" t="s">
        <v>3990</v>
      </c>
      <c r="E87" t="s">
        <v>6626</v>
      </c>
      <c r="F87" t="s">
        <v>4208</v>
      </c>
      <c r="G87" t="s">
        <v>3452</v>
      </c>
      <c r="H87" t="s">
        <v>3452</v>
      </c>
      <c r="I87" t="s">
        <v>3452</v>
      </c>
      <c r="J87" t="s">
        <v>3452</v>
      </c>
      <c r="K87" t="s">
        <v>5109</v>
      </c>
      <c r="L87" t="s">
        <v>38</v>
      </c>
      <c r="M87" t="s">
        <v>6627</v>
      </c>
      <c r="N87" t="s">
        <v>3452</v>
      </c>
    </row>
    <row r="88" spans="1:15" x14ac:dyDescent="0.25">
      <c r="A88" t="s">
        <v>5125</v>
      </c>
      <c r="B88" t="s">
        <v>4290</v>
      </c>
      <c r="C88" t="s">
        <v>4238</v>
      </c>
      <c r="D88" t="s">
        <v>3990</v>
      </c>
      <c r="E88" t="s">
        <v>6628</v>
      </c>
      <c r="F88" t="s">
        <v>6629</v>
      </c>
      <c r="G88" t="s">
        <v>3452</v>
      </c>
      <c r="H88" t="s">
        <v>3452</v>
      </c>
      <c r="I88" t="s">
        <v>3452</v>
      </c>
      <c r="J88" t="s">
        <v>3452</v>
      </c>
      <c r="K88" t="s">
        <v>5125</v>
      </c>
      <c r="L88" t="s">
        <v>38</v>
      </c>
      <c r="M88" t="s">
        <v>5456</v>
      </c>
      <c r="N88" t="s">
        <v>3452</v>
      </c>
      <c r="O88" t="s">
        <v>5863</v>
      </c>
    </row>
    <row r="89" spans="1:15" x14ac:dyDescent="0.25">
      <c r="A89" t="s">
        <v>6040</v>
      </c>
      <c r="B89" t="s">
        <v>41</v>
      </c>
      <c r="C89" t="s">
        <v>5353</v>
      </c>
      <c r="D89">
        <v>1</v>
      </c>
      <c r="E89" s="8" t="s">
        <v>6041</v>
      </c>
      <c r="F89" t="s">
        <v>6630</v>
      </c>
      <c r="G89" s="8" t="s">
        <v>6041</v>
      </c>
      <c r="H89" t="s">
        <v>6630</v>
      </c>
      <c r="I89">
        <v>0</v>
      </c>
      <c r="J89" t="s">
        <v>3452</v>
      </c>
      <c r="K89" t="s">
        <v>6040</v>
      </c>
      <c r="L89" t="s">
        <v>90</v>
      </c>
      <c r="M89" t="s">
        <v>3452</v>
      </c>
      <c r="N89" t="s">
        <v>3452</v>
      </c>
      <c r="O89" t="s">
        <v>5997</v>
      </c>
    </row>
    <row r="90" spans="1:15" x14ac:dyDescent="0.25">
      <c r="A90" t="s">
        <v>6042</v>
      </c>
      <c r="B90" t="s">
        <v>41</v>
      </c>
      <c r="C90" t="s">
        <v>5715</v>
      </c>
      <c r="D90">
        <v>1</v>
      </c>
      <c r="E90" s="8" t="s">
        <v>6043</v>
      </c>
      <c r="F90" t="s">
        <v>6631</v>
      </c>
      <c r="G90" s="8" t="s">
        <v>6044</v>
      </c>
      <c r="H90" t="s">
        <v>6632</v>
      </c>
      <c r="I90">
        <v>1</v>
      </c>
      <c r="J90" t="s">
        <v>6393</v>
      </c>
      <c r="K90" t="s">
        <v>6042</v>
      </c>
      <c r="L90" t="s">
        <v>90</v>
      </c>
      <c r="M90" t="s">
        <v>3452</v>
      </c>
      <c r="N90" t="s">
        <v>3452</v>
      </c>
      <c r="O90" t="s">
        <v>5728</v>
      </c>
    </row>
    <row r="91" spans="1:15" x14ac:dyDescent="0.25">
      <c r="A91" t="s">
        <v>6048</v>
      </c>
      <c r="B91" t="s">
        <v>41</v>
      </c>
      <c r="C91" t="s">
        <v>5715</v>
      </c>
      <c r="D91">
        <v>2</v>
      </c>
      <c r="E91" t="s">
        <v>6049</v>
      </c>
      <c r="F91" t="s">
        <v>6633</v>
      </c>
      <c r="G91" t="s">
        <v>6050</v>
      </c>
      <c r="H91" t="s">
        <v>6634</v>
      </c>
      <c r="I91">
        <v>2</v>
      </c>
      <c r="J91" t="s">
        <v>6416</v>
      </c>
      <c r="K91" t="s">
        <v>6051</v>
      </c>
      <c r="L91" t="s">
        <v>90</v>
      </c>
      <c r="M91" t="s">
        <v>3452</v>
      </c>
      <c r="N91" t="s">
        <v>3452</v>
      </c>
      <c r="O91" t="s">
        <v>6052</v>
      </c>
    </row>
    <row r="92" spans="1:15" x14ac:dyDescent="0.25">
      <c r="A92" t="s">
        <v>6053</v>
      </c>
      <c r="B92" t="s">
        <v>3508</v>
      </c>
      <c r="C92" t="s">
        <v>5715</v>
      </c>
      <c r="D92">
        <v>1</v>
      </c>
      <c r="E92" s="8" t="s">
        <v>6635</v>
      </c>
      <c r="F92" t="s">
        <v>6636</v>
      </c>
      <c r="G92" s="8" t="s">
        <v>6637</v>
      </c>
      <c r="H92" t="s">
        <v>6638</v>
      </c>
      <c r="I92">
        <v>1</v>
      </c>
      <c r="J92" t="s">
        <v>6393</v>
      </c>
      <c r="K92" t="s">
        <v>6056</v>
      </c>
      <c r="L92" t="s">
        <v>90</v>
      </c>
      <c r="M92" t="s">
        <v>3452</v>
      </c>
      <c r="N92" t="s">
        <v>3452</v>
      </c>
      <c r="O92" t="s">
        <v>6639</v>
      </c>
    </row>
    <row r="93" spans="1:15" x14ac:dyDescent="0.25">
      <c r="A93" t="s">
        <v>6057</v>
      </c>
      <c r="B93" t="s">
        <v>3508</v>
      </c>
      <c r="C93" t="s">
        <v>5715</v>
      </c>
      <c r="D93">
        <v>1</v>
      </c>
      <c r="E93" s="8" t="s">
        <v>6058</v>
      </c>
      <c r="F93" t="s">
        <v>6640</v>
      </c>
      <c r="G93" s="8" t="s">
        <v>6059</v>
      </c>
      <c r="H93" t="s">
        <v>6641</v>
      </c>
      <c r="I93">
        <v>1</v>
      </c>
      <c r="J93" t="s">
        <v>6410</v>
      </c>
      <c r="K93" t="s">
        <v>6057</v>
      </c>
      <c r="L93" t="s">
        <v>90</v>
      </c>
      <c r="M93" t="s">
        <v>3452</v>
      </c>
      <c r="N93" t="s">
        <v>5376</v>
      </c>
      <c r="O93" t="s">
        <v>6642</v>
      </c>
    </row>
    <row r="94" spans="1:15" x14ac:dyDescent="0.25">
      <c r="A94" t="s">
        <v>6060</v>
      </c>
      <c r="B94" t="s">
        <v>41</v>
      </c>
      <c r="C94" t="s">
        <v>5353</v>
      </c>
      <c r="D94">
        <v>1</v>
      </c>
      <c r="E94" s="8" t="s">
        <v>6643</v>
      </c>
      <c r="F94" t="s">
        <v>6644</v>
      </c>
      <c r="G94" s="8" t="s">
        <v>6645</v>
      </c>
      <c r="H94" t="s">
        <v>6646</v>
      </c>
      <c r="I94">
        <v>1</v>
      </c>
      <c r="J94" t="s">
        <v>3452</v>
      </c>
      <c r="K94" t="s">
        <v>6060</v>
      </c>
      <c r="L94" t="s">
        <v>90</v>
      </c>
      <c r="M94" t="s">
        <v>3452</v>
      </c>
      <c r="N94" t="s">
        <v>3452</v>
      </c>
      <c r="O94" t="s">
        <v>6063</v>
      </c>
    </row>
    <row r="95" spans="1:15" x14ac:dyDescent="0.25">
      <c r="A95" t="s">
        <v>6064</v>
      </c>
      <c r="B95" t="s">
        <v>3496</v>
      </c>
      <c r="C95" t="s">
        <v>5715</v>
      </c>
      <c r="D95">
        <v>2</v>
      </c>
      <c r="E95" s="8" t="s">
        <v>6065</v>
      </c>
      <c r="F95" t="s">
        <v>6647</v>
      </c>
      <c r="G95" s="8" t="s">
        <v>6066</v>
      </c>
      <c r="H95" t="s">
        <v>6648</v>
      </c>
      <c r="I95">
        <v>2</v>
      </c>
      <c r="J95" t="s">
        <v>6649</v>
      </c>
      <c r="K95" t="s">
        <v>6064</v>
      </c>
      <c r="L95" t="s">
        <v>90</v>
      </c>
      <c r="M95" t="s">
        <v>3452</v>
      </c>
      <c r="N95" t="s">
        <v>4254</v>
      </c>
      <c r="O95" t="s">
        <v>5852</v>
      </c>
    </row>
    <row r="96" spans="1:15" x14ac:dyDescent="0.25">
      <c r="A96" t="s">
        <v>6067</v>
      </c>
      <c r="B96" t="s">
        <v>3496</v>
      </c>
      <c r="C96" t="s">
        <v>5353</v>
      </c>
      <c r="D96">
        <v>2</v>
      </c>
      <c r="E96" s="8" t="s">
        <v>6068</v>
      </c>
      <c r="F96" t="s">
        <v>6650</v>
      </c>
      <c r="G96" s="8" t="s">
        <v>6069</v>
      </c>
      <c r="H96" t="s">
        <v>6651</v>
      </c>
      <c r="I96">
        <v>2</v>
      </c>
      <c r="J96" t="s">
        <v>3452</v>
      </c>
      <c r="K96" t="s">
        <v>6067</v>
      </c>
      <c r="L96" t="s">
        <v>90</v>
      </c>
      <c r="M96" t="s">
        <v>5489</v>
      </c>
      <c r="N96" t="s">
        <v>3452</v>
      </c>
      <c r="O96" t="s">
        <v>5992</v>
      </c>
    </row>
    <row r="97" spans="1:15" x14ac:dyDescent="0.25">
      <c r="A97" t="s">
        <v>6070</v>
      </c>
      <c r="B97" t="s">
        <v>3508</v>
      </c>
      <c r="C97" t="s">
        <v>5353</v>
      </c>
      <c r="D97">
        <v>1</v>
      </c>
      <c r="E97" s="8" t="s">
        <v>6071</v>
      </c>
      <c r="F97" t="s">
        <v>6652</v>
      </c>
      <c r="G97" s="8" t="s">
        <v>6071</v>
      </c>
      <c r="H97" t="s">
        <v>6652</v>
      </c>
      <c r="I97">
        <v>0</v>
      </c>
      <c r="J97" t="s">
        <v>3452</v>
      </c>
      <c r="K97" t="s">
        <v>6072</v>
      </c>
      <c r="L97" t="s">
        <v>90</v>
      </c>
      <c r="M97" t="s">
        <v>5489</v>
      </c>
      <c r="N97" t="s">
        <v>3452</v>
      </c>
      <c r="O97" t="s">
        <v>6073</v>
      </c>
    </row>
    <row r="98" spans="1:15" x14ac:dyDescent="0.25">
      <c r="A98" t="s">
        <v>6078</v>
      </c>
      <c r="B98" t="s">
        <v>3508</v>
      </c>
      <c r="C98" t="s">
        <v>4590</v>
      </c>
      <c r="D98">
        <v>1</v>
      </c>
      <c r="E98" t="s">
        <v>6079</v>
      </c>
      <c r="F98" t="s">
        <v>6653</v>
      </c>
      <c r="G98" t="s">
        <v>6080</v>
      </c>
      <c r="H98" t="s">
        <v>6654</v>
      </c>
      <c r="I98">
        <v>1</v>
      </c>
      <c r="J98" t="s">
        <v>3452</v>
      </c>
      <c r="K98" t="s">
        <v>6078</v>
      </c>
      <c r="L98" t="s">
        <v>90</v>
      </c>
      <c r="M98" t="s">
        <v>3452</v>
      </c>
      <c r="N98" t="s">
        <v>3452</v>
      </c>
      <c r="O98" t="s">
        <v>5920</v>
      </c>
    </row>
    <row r="99" spans="1:15" x14ac:dyDescent="0.25">
      <c r="A99" t="s">
        <v>4246</v>
      </c>
      <c r="B99" t="s">
        <v>4290</v>
      </c>
      <c r="C99" t="s">
        <v>4238</v>
      </c>
      <c r="D99" t="s">
        <v>3990</v>
      </c>
      <c r="E99" t="s">
        <v>6081</v>
      </c>
      <c r="F99" t="s">
        <v>4208</v>
      </c>
      <c r="G99" t="s">
        <v>3452</v>
      </c>
      <c r="H99" t="s">
        <v>3452</v>
      </c>
      <c r="I99" t="s">
        <v>3452</v>
      </c>
      <c r="J99" t="s">
        <v>3452</v>
      </c>
      <c r="K99" t="s">
        <v>4246</v>
      </c>
      <c r="L99" t="s">
        <v>90</v>
      </c>
      <c r="M99" t="s">
        <v>5456</v>
      </c>
      <c r="N99" t="s">
        <v>3452</v>
      </c>
      <c r="O99" t="s">
        <v>5863</v>
      </c>
    </row>
    <row r="100" spans="1:15" x14ac:dyDescent="0.25">
      <c r="A100" t="s">
        <v>6082</v>
      </c>
      <c r="B100" t="s">
        <v>3508</v>
      </c>
      <c r="C100" t="s">
        <v>5353</v>
      </c>
      <c r="D100">
        <v>0</v>
      </c>
      <c r="E100" s="8" t="s">
        <v>6083</v>
      </c>
      <c r="F100" t="s">
        <v>6655</v>
      </c>
      <c r="G100" s="8" t="s">
        <v>6084</v>
      </c>
      <c r="H100" t="s">
        <v>6656</v>
      </c>
      <c r="I100">
        <v>0</v>
      </c>
      <c r="J100" t="s">
        <v>3452</v>
      </c>
      <c r="K100" t="s">
        <v>6082</v>
      </c>
      <c r="L100" t="s">
        <v>90</v>
      </c>
      <c r="M100" t="s">
        <v>5489</v>
      </c>
      <c r="N100" t="s">
        <v>3452</v>
      </c>
      <c r="O100" t="s">
        <v>5930</v>
      </c>
    </row>
    <row r="101" spans="1:15" x14ac:dyDescent="0.25">
      <c r="A101" t="s">
        <v>6085</v>
      </c>
      <c r="B101" t="s">
        <v>41</v>
      </c>
      <c r="C101" t="s">
        <v>5715</v>
      </c>
      <c r="D101">
        <v>1</v>
      </c>
      <c r="E101" t="s">
        <v>6086</v>
      </c>
      <c r="F101" t="s">
        <v>6657</v>
      </c>
      <c r="G101" t="s">
        <v>6087</v>
      </c>
      <c r="H101" t="s">
        <v>6658</v>
      </c>
      <c r="I101">
        <v>1</v>
      </c>
      <c r="J101" t="s">
        <v>6659</v>
      </c>
      <c r="K101" t="s">
        <v>6088</v>
      </c>
      <c r="L101" t="s">
        <v>90</v>
      </c>
      <c r="M101" t="s">
        <v>3452</v>
      </c>
      <c r="N101" t="s">
        <v>3452</v>
      </c>
      <c r="O101" t="s">
        <v>6089</v>
      </c>
    </row>
    <row r="102" spans="1:15" x14ac:dyDescent="0.25">
      <c r="A102" t="s">
        <v>6100</v>
      </c>
      <c r="B102" t="s">
        <v>41</v>
      </c>
      <c r="C102" t="s">
        <v>5353</v>
      </c>
      <c r="D102">
        <v>1</v>
      </c>
      <c r="E102" t="s">
        <v>6101</v>
      </c>
      <c r="F102" t="s">
        <v>6660</v>
      </c>
      <c r="G102" t="s">
        <v>6102</v>
      </c>
      <c r="H102" t="s">
        <v>6661</v>
      </c>
      <c r="I102">
        <v>1</v>
      </c>
      <c r="J102" t="s">
        <v>3452</v>
      </c>
      <c r="K102" t="s">
        <v>6100</v>
      </c>
      <c r="L102" t="s">
        <v>90</v>
      </c>
      <c r="M102" t="s">
        <v>3452</v>
      </c>
      <c r="N102" t="s">
        <v>3452</v>
      </c>
      <c r="O102" t="s">
        <v>5812</v>
      </c>
    </row>
    <row r="103" spans="1:15" x14ac:dyDescent="0.25">
      <c r="A103" t="s">
        <v>6103</v>
      </c>
      <c r="B103" t="s">
        <v>3508</v>
      </c>
      <c r="C103" t="s">
        <v>5353</v>
      </c>
      <c r="D103">
        <v>2</v>
      </c>
      <c r="E103" s="8" t="s">
        <v>6662</v>
      </c>
      <c r="F103" t="s">
        <v>6663</v>
      </c>
      <c r="G103" s="8" t="s">
        <v>6664</v>
      </c>
      <c r="H103" t="s">
        <v>6665</v>
      </c>
      <c r="I103">
        <v>2</v>
      </c>
      <c r="J103" t="s">
        <v>3452</v>
      </c>
      <c r="K103" t="s">
        <v>6106</v>
      </c>
      <c r="L103" t="s">
        <v>90</v>
      </c>
      <c r="M103" t="s">
        <v>3452</v>
      </c>
      <c r="N103" t="s">
        <v>3452</v>
      </c>
      <c r="O103" t="s">
        <v>6107</v>
      </c>
    </row>
    <row r="104" spans="1:15" x14ac:dyDescent="0.25">
      <c r="A104" t="s">
        <v>4686</v>
      </c>
      <c r="B104" t="s">
        <v>41</v>
      </c>
      <c r="C104" t="s">
        <v>5715</v>
      </c>
      <c r="D104">
        <v>2</v>
      </c>
      <c r="E104" t="s">
        <v>6666</v>
      </c>
      <c r="F104" t="s">
        <v>6667</v>
      </c>
      <c r="G104" t="s">
        <v>6666</v>
      </c>
      <c r="H104" t="s">
        <v>6667</v>
      </c>
      <c r="I104">
        <v>2</v>
      </c>
      <c r="J104" t="s">
        <v>6668</v>
      </c>
      <c r="K104" t="s">
        <v>4689</v>
      </c>
      <c r="L104" t="s">
        <v>1046</v>
      </c>
      <c r="M104" t="s">
        <v>3452</v>
      </c>
      <c r="N104" t="s">
        <v>4254</v>
      </c>
      <c r="O104" t="s">
        <v>5748</v>
      </c>
    </row>
    <row r="105" spans="1:15" x14ac:dyDescent="0.25">
      <c r="A105" t="s">
        <v>6109</v>
      </c>
      <c r="B105" t="s">
        <v>3496</v>
      </c>
      <c r="C105" t="s">
        <v>5353</v>
      </c>
      <c r="D105">
        <v>1</v>
      </c>
      <c r="E105" s="8" t="s">
        <v>6110</v>
      </c>
      <c r="F105" t="s">
        <v>6669</v>
      </c>
      <c r="G105" s="8" t="s">
        <v>6111</v>
      </c>
      <c r="H105" t="s">
        <v>6670</v>
      </c>
      <c r="I105">
        <v>1</v>
      </c>
      <c r="J105" t="s">
        <v>3452</v>
      </c>
      <c r="K105" t="s">
        <v>6112</v>
      </c>
      <c r="L105" t="s">
        <v>90</v>
      </c>
      <c r="M105" t="s">
        <v>3452</v>
      </c>
      <c r="N105" t="s">
        <v>3452</v>
      </c>
      <c r="O105" t="s">
        <v>5920</v>
      </c>
    </row>
    <row r="106" spans="1:15" x14ac:dyDescent="0.25">
      <c r="A106" t="s">
        <v>4695</v>
      </c>
      <c r="B106" t="s">
        <v>41</v>
      </c>
      <c r="C106" t="s">
        <v>5715</v>
      </c>
      <c r="D106">
        <v>1</v>
      </c>
      <c r="E106" s="8" t="s">
        <v>6671</v>
      </c>
      <c r="F106" t="s">
        <v>6672</v>
      </c>
      <c r="G106" s="8" t="s">
        <v>6671</v>
      </c>
      <c r="H106" t="s">
        <v>6672</v>
      </c>
      <c r="I106">
        <v>1</v>
      </c>
      <c r="J106" t="s">
        <v>6410</v>
      </c>
      <c r="K106" t="s">
        <v>4698</v>
      </c>
      <c r="L106" t="s">
        <v>1046</v>
      </c>
      <c r="M106" t="s">
        <v>3452</v>
      </c>
      <c r="N106" t="s">
        <v>3452</v>
      </c>
      <c r="O106" t="s">
        <v>5748</v>
      </c>
    </row>
    <row r="107" spans="1:15" x14ac:dyDescent="0.25">
      <c r="A107" t="s">
        <v>6121</v>
      </c>
      <c r="B107" t="s">
        <v>3496</v>
      </c>
      <c r="C107" t="s">
        <v>5353</v>
      </c>
      <c r="D107" t="s">
        <v>5939</v>
      </c>
      <c r="E107" s="8" t="s">
        <v>6673</v>
      </c>
      <c r="F107" t="s">
        <v>6674</v>
      </c>
      <c r="G107" s="8" t="s">
        <v>6675</v>
      </c>
      <c r="H107" t="s">
        <v>6676</v>
      </c>
      <c r="I107" t="s">
        <v>5939</v>
      </c>
      <c r="J107" t="s">
        <v>3452</v>
      </c>
      <c r="K107" t="s">
        <v>6121</v>
      </c>
      <c r="L107" t="s">
        <v>90</v>
      </c>
      <c r="M107" t="s">
        <v>5489</v>
      </c>
      <c r="N107" t="s">
        <v>3452</v>
      </c>
      <c r="O107" t="s">
        <v>6124</v>
      </c>
    </row>
    <row r="108" spans="1:15" x14ac:dyDescent="0.25">
      <c r="A108" t="s">
        <v>6125</v>
      </c>
      <c r="B108" t="s">
        <v>3508</v>
      </c>
      <c r="C108" t="s">
        <v>5715</v>
      </c>
      <c r="D108">
        <v>0</v>
      </c>
      <c r="E108" s="8" t="s">
        <v>6126</v>
      </c>
      <c r="F108" t="s">
        <v>6677</v>
      </c>
      <c r="G108" s="8" t="s">
        <v>6127</v>
      </c>
      <c r="H108" t="s">
        <v>6678</v>
      </c>
      <c r="I108">
        <v>0</v>
      </c>
      <c r="J108" t="s">
        <v>6385</v>
      </c>
      <c r="K108" t="s">
        <v>6128</v>
      </c>
      <c r="L108" t="s">
        <v>90</v>
      </c>
      <c r="M108" t="s">
        <v>3452</v>
      </c>
      <c r="N108" t="s">
        <v>3452</v>
      </c>
      <c r="O108" t="s">
        <v>5770</v>
      </c>
    </row>
    <row r="109" spans="1:15" x14ac:dyDescent="0.25">
      <c r="A109" t="s">
        <v>5690</v>
      </c>
      <c r="B109" t="s">
        <v>3540</v>
      </c>
      <c r="C109" t="s">
        <v>5715</v>
      </c>
      <c r="D109">
        <v>0</v>
      </c>
      <c r="E109" t="s">
        <v>6138</v>
      </c>
      <c r="F109" t="s">
        <v>6679</v>
      </c>
      <c r="G109" t="s">
        <v>6139</v>
      </c>
      <c r="H109" t="s">
        <v>6680</v>
      </c>
      <c r="I109">
        <v>0</v>
      </c>
      <c r="J109" t="s">
        <v>6393</v>
      </c>
      <c r="K109" t="s">
        <v>5690</v>
      </c>
      <c r="L109" t="s">
        <v>90</v>
      </c>
      <c r="M109" t="s">
        <v>3452</v>
      </c>
      <c r="N109" t="s">
        <v>3452</v>
      </c>
      <c r="O109" t="s">
        <v>5746</v>
      </c>
    </row>
    <row r="110" spans="1:15" x14ac:dyDescent="0.25">
      <c r="A110" t="s">
        <v>6140</v>
      </c>
      <c r="B110" t="s">
        <v>3496</v>
      </c>
      <c r="C110" t="s">
        <v>5353</v>
      </c>
      <c r="D110">
        <v>3</v>
      </c>
      <c r="E110" s="8" t="s">
        <v>6681</v>
      </c>
      <c r="F110" t="s">
        <v>6682</v>
      </c>
      <c r="G110" s="8" t="s">
        <v>6681</v>
      </c>
      <c r="H110" t="s">
        <v>6682</v>
      </c>
      <c r="I110">
        <v>2</v>
      </c>
      <c r="J110" t="s">
        <v>3452</v>
      </c>
      <c r="K110" t="s">
        <v>6140</v>
      </c>
      <c r="L110" t="s">
        <v>90</v>
      </c>
      <c r="M110" t="s">
        <v>3452</v>
      </c>
      <c r="N110" t="s">
        <v>3452</v>
      </c>
      <c r="O110" t="s">
        <v>5985</v>
      </c>
    </row>
    <row r="111" spans="1:15" x14ac:dyDescent="0.25">
      <c r="A111" t="s">
        <v>6146</v>
      </c>
      <c r="B111" t="s">
        <v>3496</v>
      </c>
      <c r="C111" t="s">
        <v>5353</v>
      </c>
      <c r="D111">
        <v>0</v>
      </c>
      <c r="E111" s="8" t="s">
        <v>6147</v>
      </c>
      <c r="F111" t="s">
        <v>6683</v>
      </c>
      <c r="G111" s="8" t="s">
        <v>6148</v>
      </c>
      <c r="H111" t="s">
        <v>6684</v>
      </c>
      <c r="I111">
        <v>0</v>
      </c>
      <c r="J111" t="s">
        <v>3452</v>
      </c>
      <c r="K111" t="s">
        <v>6146</v>
      </c>
      <c r="L111" t="s">
        <v>90</v>
      </c>
      <c r="M111" t="s">
        <v>5489</v>
      </c>
      <c r="N111" t="s">
        <v>3452</v>
      </c>
      <c r="O111" t="s">
        <v>6149</v>
      </c>
    </row>
    <row r="112" spans="1:15" x14ac:dyDescent="0.25">
      <c r="A112" t="s">
        <v>6150</v>
      </c>
      <c r="B112" t="s">
        <v>41</v>
      </c>
      <c r="C112" t="s">
        <v>5353</v>
      </c>
      <c r="D112">
        <v>1</v>
      </c>
      <c r="E112" s="8" t="s">
        <v>6151</v>
      </c>
      <c r="F112" t="s">
        <v>6685</v>
      </c>
      <c r="G112" s="8" t="s">
        <v>6152</v>
      </c>
      <c r="H112" t="s">
        <v>6686</v>
      </c>
      <c r="I112">
        <v>1</v>
      </c>
      <c r="J112" t="s">
        <v>3452</v>
      </c>
      <c r="K112" t="s">
        <v>6150</v>
      </c>
      <c r="L112" t="s">
        <v>90</v>
      </c>
      <c r="M112" t="s">
        <v>3452</v>
      </c>
      <c r="N112" t="s">
        <v>3452</v>
      </c>
      <c r="O112" t="s">
        <v>5816</v>
      </c>
    </row>
    <row r="113" spans="1:15" x14ac:dyDescent="0.25">
      <c r="A113" t="s">
        <v>6153</v>
      </c>
      <c r="B113" t="s">
        <v>4290</v>
      </c>
      <c r="C113" t="s">
        <v>4238</v>
      </c>
      <c r="D113" t="s">
        <v>3990</v>
      </c>
      <c r="E113" t="s">
        <v>6154</v>
      </c>
      <c r="F113" t="s">
        <v>6687</v>
      </c>
      <c r="G113" t="s">
        <v>3452</v>
      </c>
      <c r="H113" t="s">
        <v>3452</v>
      </c>
      <c r="I113" t="s">
        <v>3452</v>
      </c>
      <c r="J113" t="s">
        <v>3452</v>
      </c>
      <c r="K113" t="s">
        <v>6153</v>
      </c>
      <c r="L113" t="s">
        <v>90</v>
      </c>
      <c r="M113" t="s">
        <v>5456</v>
      </c>
      <c r="N113" t="s">
        <v>3452</v>
      </c>
      <c r="O113" t="s">
        <v>5863</v>
      </c>
    </row>
    <row r="114" spans="1:15" x14ac:dyDescent="0.25">
      <c r="A114" t="s">
        <v>6155</v>
      </c>
      <c r="B114" t="s">
        <v>41</v>
      </c>
      <c r="C114" t="s">
        <v>5715</v>
      </c>
      <c r="D114">
        <v>2</v>
      </c>
      <c r="E114" s="8" t="s">
        <v>6156</v>
      </c>
      <c r="F114" t="s">
        <v>6688</v>
      </c>
      <c r="G114" s="8" t="s">
        <v>6157</v>
      </c>
      <c r="H114" t="s">
        <v>6689</v>
      </c>
      <c r="I114">
        <v>2</v>
      </c>
      <c r="J114" t="s">
        <v>6402</v>
      </c>
      <c r="K114" t="s">
        <v>6158</v>
      </c>
      <c r="L114" t="s">
        <v>90</v>
      </c>
      <c r="M114" t="s">
        <v>3452</v>
      </c>
      <c r="N114" t="s">
        <v>3452</v>
      </c>
      <c r="O114" t="s">
        <v>6052</v>
      </c>
    </row>
    <row r="115" spans="1:15" x14ac:dyDescent="0.25">
      <c r="A115" t="s">
        <v>6159</v>
      </c>
      <c r="B115" t="s">
        <v>3496</v>
      </c>
      <c r="C115" t="s">
        <v>5353</v>
      </c>
      <c r="D115">
        <v>1</v>
      </c>
      <c r="E115" s="8" t="s">
        <v>6160</v>
      </c>
      <c r="F115" t="s">
        <v>6690</v>
      </c>
      <c r="G115" s="8" t="s">
        <v>6160</v>
      </c>
      <c r="H115" t="s">
        <v>6690</v>
      </c>
      <c r="I115">
        <v>0</v>
      </c>
      <c r="J115" t="s">
        <v>3452</v>
      </c>
      <c r="K115" t="s">
        <v>6161</v>
      </c>
      <c r="L115" t="s">
        <v>90</v>
      </c>
      <c r="M115" t="s">
        <v>3452</v>
      </c>
      <c r="N115" t="s">
        <v>3452</v>
      </c>
      <c r="O115" t="s">
        <v>5770</v>
      </c>
    </row>
    <row r="116" spans="1:15" x14ac:dyDescent="0.25">
      <c r="A116" t="s">
        <v>6162</v>
      </c>
      <c r="B116" t="s">
        <v>41</v>
      </c>
      <c r="C116" t="s">
        <v>5353</v>
      </c>
      <c r="D116">
        <v>1</v>
      </c>
      <c r="E116" s="8" t="s">
        <v>6691</v>
      </c>
      <c r="F116" t="s">
        <v>6692</v>
      </c>
      <c r="G116" s="8" t="s">
        <v>6693</v>
      </c>
      <c r="H116" t="s">
        <v>6694</v>
      </c>
      <c r="I116">
        <v>1</v>
      </c>
      <c r="J116" t="s">
        <v>3452</v>
      </c>
      <c r="K116" t="s">
        <v>6165</v>
      </c>
      <c r="L116" t="s">
        <v>90</v>
      </c>
      <c r="M116" t="s">
        <v>5489</v>
      </c>
      <c r="N116" t="s">
        <v>3452</v>
      </c>
      <c r="O116" t="s">
        <v>6124</v>
      </c>
    </row>
    <row r="117" spans="1:15" x14ac:dyDescent="0.25">
      <c r="A117" t="s">
        <v>6166</v>
      </c>
      <c r="B117" t="s">
        <v>41</v>
      </c>
      <c r="C117" t="s">
        <v>5715</v>
      </c>
      <c r="D117">
        <v>1</v>
      </c>
      <c r="E117" s="8" t="s">
        <v>6167</v>
      </c>
      <c r="F117" t="s">
        <v>6695</v>
      </c>
      <c r="G117" s="8" t="s">
        <v>6168</v>
      </c>
      <c r="H117" t="s">
        <v>6696</v>
      </c>
      <c r="I117">
        <v>1</v>
      </c>
      <c r="J117" t="s">
        <v>6393</v>
      </c>
      <c r="K117" t="s">
        <v>6169</v>
      </c>
      <c r="L117" t="s">
        <v>90</v>
      </c>
      <c r="M117" t="s">
        <v>3452</v>
      </c>
      <c r="N117" t="s">
        <v>5247</v>
      </c>
      <c r="O117" t="s">
        <v>5746</v>
      </c>
    </row>
    <row r="118" spans="1:15" x14ac:dyDescent="0.25">
      <c r="A118" t="s">
        <v>6170</v>
      </c>
      <c r="B118" t="s">
        <v>41</v>
      </c>
      <c r="C118" t="s">
        <v>5715</v>
      </c>
      <c r="D118">
        <v>1</v>
      </c>
      <c r="E118" t="s">
        <v>6171</v>
      </c>
      <c r="F118" t="s">
        <v>6697</v>
      </c>
      <c r="G118" t="s">
        <v>6172</v>
      </c>
      <c r="H118" t="s">
        <v>6698</v>
      </c>
      <c r="I118">
        <v>1</v>
      </c>
      <c r="J118" t="s">
        <v>6402</v>
      </c>
      <c r="K118" t="s">
        <v>6173</v>
      </c>
      <c r="L118" t="s">
        <v>90</v>
      </c>
      <c r="M118" t="s">
        <v>3452</v>
      </c>
      <c r="N118" t="s">
        <v>3452</v>
      </c>
      <c r="O118" t="s">
        <v>6699</v>
      </c>
    </row>
    <row r="119" spans="1:15" x14ac:dyDescent="0.25">
      <c r="A119" t="s">
        <v>6175</v>
      </c>
      <c r="B119" t="s">
        <v>3508</v>
      </c>
      <c r="C119" t="s">
        <v>5353</v>
      </c>
      <c r="D119">
        <v>1</v>
      </c>
      <c r="E119" s="8" t="s">
        <v>6176</v>
      </c>
      <c r="F119" t="s">
        <v>6700</v>
      </c>
      <c r="G119" s="8" t="s">
        <v>6177</v>
      </c>
      <c r="H119" t="s">
        <v>6701</v>
      </c>
      <c r="I119">
        <v>1</v>
      </c>
      <c r="J119" t="s">
        <v>3452</v>
      </c>
      <c r="K119" t="s">
        <v>6178</v>
      </c>
      <c r="L119" t="s">
        <v>90</v>
      </c>
      <c r="M119" t="s">
        <v>3452</v>
      </c>
      <c r="N119" t="s">
        <v>3452</v>
      </c>
      <c r="O119" t="s">
        <v>6179</v>
      </c>
    </row>
    <row r="120" spans="1:15" x14ac:dyDescent="0.25">
      <c r="A120" t="s">
        <v>6180</v>
      </c>
      <c r="B120" t="s">
        <v>41</v>
      </c>
      <c r="C120" t="s">
        <v>5715</v>
      </c>
      <c r="D120">
        <v>2</v>
      </c>
      <c r="E120" s="8" t="s">
        <v>6702</v>
      </c>
      <c r="F120" t="s">
        <v>6703</v>
      </c>
      <c r="G120" s="8" t="s">
        <v>6704</v>
      </c>
      <c r="H120" t="s">
        <v>6705</v>
      </c>
      <c r="I120" t="s">
        <v>3452</v>
      </c>
      <c r="J120" t="s">
        <v>6385</v>
      </c>
      <c r="K120" t="s">
        <v>6180</v>
      </c>
      <c r="L120" t="s">
        <v>90</v>
      </c>
      <c r="M120" t="s">
        <v>3452</v>
      </c>
      <c r="N120" t="s">
        <v>3452</v>
      </c>
      <c r="O120" t="s">
        <v>6198</v>
      </c>
    </row>
    <row r="121" spans="1:15" x14ac:dyDescent="0.25">
      <c r="A121" t="s">
        <v>6183</v>
      </c>
      <c r="B121" t="s">
        <v>41</v>
      </c>
      <c r="C121" t="s">
        <v>5353</v>
      </c>
      <c r="D121">
        <v>0</v>
      </c>
      <c r="E121" s="8" t="s">
        <v>6184</v>
      </c>
      <c r="F121" t="s">
        <v>6706</v>
      </c>
      <c r="G121" s="8" t="s">
        <v>6185</v>
      </c>
      <c r="H121" t="s">
        <v>6707</v>
      </c>
      <c r="I121" t="s">
        <v>3452</v>
      </c>
      <c r="J121" t="s">
        <v>3452</v>
      </c>
      <c r="K121" t="s">
        <v>6183</v>
      </c>
      <c r="L121" t="s">
        <v>90</v>
      </c>
      <c r="M121" t="s">
        <v>3452</v>
      </c>
      <c r="N121" t="s">
        <v>3452</v>
      </c>
      <c r="O121" t="s">
        <v>5701</v>
      </c>
    </row>
    <row r="122" spans="1:15" x14ac:dyDescent="0.25">
      <c r="A122" t="s">
        <v>5112</v>
      </c>
      <c r="B122" t="s">
        <v>4290</v>
      </c>
      <c r="C122" t="s">
        <v>4238</v>
      </c>
      <c r="D122">
        <v>1</v>
      </c>
      <c r="E122" s="3" t="s">
        <v>6708</v>
      </c>
      <c r="F122" t="s">
        <v>6709</v>
      </c>
      <c r="G122" t="s">
        <v>3452</v>
      </c>
      <c r="H122" t="s">
        <v>3452</v>
      </c>
      <c r="I122" t="s">
        <v>3452</v>
      </c>
      <c r="J122" t="s">
        <v>3452</v>
      </c>
      <c r="K122" t="s">
        <v>5112</v>
      </c>
      <c r="L122" t="s">
        <v>90</v>
      </c>
      <c r="M122" t="s">
        <v>6400</v>
      </c>
      <c r="N122" t="s">
        <v>3452</v>
      </c>
      <c r="O122" t="s">
        <v>5863</v>
      </c>
    </row>
    <row r="123" spans="1:15" x14ac:dyDescent="0.25">
      <c r="A123" t="s">
        <v>6186</v>
      </c>
      <c r="B123" t="s">
        <v>3508</v>
      </c>
      <c r="C123" t="s">
        <v>5715</v>
      </c>
      <c r="D123">
        <v>1</v>
      </c>
      <c r="E123" s="8" t="s">
        <v>6187</v>
      </c>
      <c r="F123" t="s">
        <v>6710</v>
      </c>
      <c r="G123" s="8" t="s">
        <v>6188</v>
      </c>
      <c r="H123" t="s">
        <v>6711</v>
      </c>
      <c r="I123">
        <v>1</v>
      </c>
      <c r="J123" t="s">
        <v>6393</v>
      </c>
      <c r="K123" t="s">
        <v>6186</v>
      </c>
      <c r="L123" t="s">
        <v>90</v>
      </c>
      <c r="M123" t="s">
        <v>5489</v>
      </c>
      <c r="N123" t="s">
        <v>3452</v>
      </c>
      <c r="O123" t="s">
        <v>5997</v>
      </c>
    </row>
    <row r="124" spans="1:15" x14ac:dyDescent="0.25">
      <c r="A124" t="s">
        <v>5137</v>
      </c>
      <c r="B124" t="s">
        <v>4290</v>
      </c>
      <c r="C124" t="s">
        <v>4238</v>
      </c>
      <c r="D124" t="s">
        <v>3990</v>
      </c>
      <c r="E124" t="s">
        <v>6189</v>
      </c>
      <c r="F124" t="s">
        <v>6712</v>
      </c>
      <c r="G124" t="s">
        <v>3452</v>
      </c>
      <c r="H124" t="s">
        <v>3452</v>
      </c>
      <c r="I124" t="s">
        <v>3452</v>
      </c>
      <c r="J124" t="s">
        <v>3452</v>
      </c>
      <c r="K124" t="s">
        <v>6190</v>
      </c>
      <c r="L124" t="s">
        <v>1649</v>
      </c>
      <c r="M124" t="s">
        <v>5456</v>
      </c>
      <c r="N124" t="s">
        <v>3452</v>
      </c>
    </row>
    <row r="125" spans="1:15" x14ac:dyDescent="0.25">
      <c r="A125" t="s">
        <v>6194</v>
      </c>
      <c r="B125" t="s">
        <v>41</v>
      </c>
      <c r="C125" t="s">
        <v>5715</v>
      </c>
      <c r="D125">
        <v>1</v>
      </c>
      <c r="E125" s="8" t="s">
        <v>6195</v>
      </c>
      <c r="F125" t="s">
        <v>6713</v>
      </c>
      <c r="G125" s="8" t="s">
        <v>6196</v>
      </c>
      <c r="H125" t="s">
        <v>6714</v>
      </c>
      <c r="I125">
        <v>1</v>
      </c>
      <c r="J125" t="s">
        <v>6477</v>
      </c>
      <c r="K125" t="s">
        <v>6197</v>
      </c>
      <c r="L125" t="s">
        <v>90</v>
      </c>
      <c r="M125" t="s">
        <v>3452</v>
      </c>
      <c r="N125" t="s">
        <v>3452</v>
      </c>
      <c r="O125" t="s">
        <v>6198</v>
      </c>
    </row>
    <row r="126" spans="1:15" x14ac:dyDescent="0.25">
      <c r="A126" t="s">
        <v>5355</v>
      </c>
      <c r="B126" t="s">
        <v>3508</v>
      </c>
      <c r="C126" t="s">
        <v>5353</v>
      </c>
      <c r="D126">
        <v>0</v>
      </c>
      <c r="E126" s="8" t="s">
        <v>6199</v>
      </c>
      <c r="F126" t="s">
        <v>6715</v>
      </c>
      <c r="G126" s="8" t="s">
        <v>6200</v>
      </c>
      <c r="H126" t="s">
        <v>6716</v>
      </c>
      <c r="I126">
        <v>0</v>
      </c>
      <c r="J126" t="s">
        <v>3452</v>
      </c>
      <c r="K126" t="s">
        <v>5355</v>
      </c>
      <c r="L126" t="s">
        <v>90</v>
      </c>
      <c r="M126" t="s">
        <v>3452</v>
      </c>
      <c r="N126" t="s">
        <v>3452</v>
      </c>
      <c r="O126" t="s">
        <v>5732</v>
      </c>
    </row>
    <row r="127" spans="1:15" x14ac:dyDescent="0.25">
      <c r="A127" t="s">
        <v>6201</v>
      </c>
      <c r="B127" t="s">
        <v>3508</v>
      </c>
      <c r="C127" t="s">
        <v>5715</v>
      </c>
      <c r="D127">
        <v>1</v>
      </c>
      <c r="E127" s="8" t="s">
        <v>6202</v>
      </c>
      <c r="F127" t="s">
        <v>6717</v>
      </c>
      <c r="G127" s="8" t="s">
        <v>6203</v>
      </c>
      <c r="H127" t="s">
        <v>6718</v>
      </c>
      <c r="I127">
        <v>1</v>
      </c>
      <c r="J127" t="s">
        <v>6477</v>
      </c>
      <c r="K127" t="s">
        <v>6201</v>
      </c>
      <c r="L127" t="s">
        <v>90</v>
      </c>
      <c r="M127" t="s">
        <v>3452</v>
      </c>
      <c r="N127" t="s">
        <v>3452</v>
      </c>
      <c r="O127" t="s">
        <v>6052</v>
      </c>
    </row>
    <row r="128" spans="1:15" x14ac:dyDescent="0.25">
      <c r="A128" t="s">
        <v>6205</v>
      </c>
      <c r="B128" t="s">
        <v>3496</v>
      </c>
      <c r="C128" t="s">
        <v>5715</v>
      </c>
      <c r="D128">
        <v>2</v>
      </c>
      <c r="E128" t="s">
        <v>6206</v>
      </c>
      <c r="F128" t="s">
        <v>6719</v>
      </c>
      <c r="G128" t="s">
        <v>6207</v>
      </c>
      <c r="H128" t="s">
        <v>6720</v>
      </c>
      <c r="I128">
        <v>2</v>
      </c>
      <c r="J128" t="s">
        <v>6482</v>
      </c>
      <c r="K128" t="s">
        <v>6205</v>
      </c>
      <c r="L128" t="s">
        <v>90</v>
      </c>
      <c r="M128" t="s">
        <v>6721</v>
      </c>
      <c r="N128" t="s">
        <v>3452</v>
      </c>
      <c r="O128" t="s">
        <v>5989</v>
      </c>
    </row>
    <row r="129" spans="1:15" x14ac:dyDescent="0.25">
      <c r="A129" t="s">
        <v>6208</v>
      </c>
      <c r="B129" t="s">
        <v>3508</v>
      </c>
      <c r="C129" t="s">
        <v>5715</v>
      </c>
      <c r="D129">
        <v>0</v>
      </c>
      <c r="E129" s="8" t="s">
        <v>6722</v>
      </c>
      <c r="F129" t="s">
        <v>6723</v>
      </c>
      <c r="G129" s="8" t="s">
        <v>6724</v>
      </c>
      <c r="H129" t="s">
        <v>6725</v>
      </c>
      <c r="I129">
        <v>0</v>
      </c>
      <c r="J129" t="s">
        <v>6443</v>
      </c>
      <c r="K129" t="s">
        <v>6211</v>
      </c>
      <c r="L129" t="s">
        <v>90</v>
      </c>
      <c r="M129" t="s">
        <v>3452</v>
      </c>
      <c r="N129" t="s">
        <v>3452</v>
      </c>
      <c r="O129" t="s">
        <v>6212</v>
      </c>
    </row>
    <row r="130" spans="1:15" x14ac:dyDescent="0.25">
      <c r="A130" t="s">
        <v>6216</v>
      </c>
      <c r="B130" t="s">
        <v>3508</v>
      </c>
      <c r="C130" t="s">
        <v>5353</v>
      </c>
      <c r="D130" t="s">
        <v>3990</v>
      </c>
      <c r="E130" t="s">
        <v>6217</v>
      </c>
      <c r="F130" t="s">
        <v>6726</v>
      </c>
      <c r="G130" t="s">
        <v>6218</v>
      </c>
      <c r="H130" t="s">
        <v>6727</v>
      </c>
      <c r="I130" t="s">
        <v>3990</v>
      </c>
      <c r="J130" t="s">
        <v>3452</v>
      </c>
      <c r="K130" t="s">
        <v>6216</v>
      </c>
      <c r="L130" t="s">
        <v>90</v>
      </c>
      <c r="M130" t="s">
        <v>5454</v>
      </c>
      <c r="N130" t="s">
        <v>3452</v>
      </c>
      <c r="O130" t="s">
        <v>5830</v>
      </c>
    </row>
    <row r="131" spans="1:15" x14ac:dyDescent="0.25">
      <c r="A131" t="s">
        <v>5102</v>
      </c>
      <c r="B131" t="s">
        <v>4290</v>
      </c>
      <c r="C131" t="s">
        <v>4238</v>
      </c>
      <c r="D131" t="s">
        <v>3990</v>
      </c>
      <c r="E131" t="s">
        <v>6219</v>
      </c>
      <c r="F131" t="s">
        <v>6728</v>
      </c>
      <c r="G131" t="s">
        <v>3452</v>
      </c>
      <c r="H131" t="s">
        <v>3452</v>
      </c>
      <c r="I131" t="s">
        <v>3452</v>
      </c>
      <c r="J131" t="s">
        <v>3452</v>
      </c>
      <c r="K131" t="s">
        <v>5102</v>
      </c>
      <c r="L131" t="s">
        <v>90</v>
      </c>
      <c r="M131" t="s">
        <v>5456</v>
      </c>
      <c r="N131" t="s">
        <v>3452</v>
      </c>
      <c r="O131" t="s">
        <v>5863</v>
      </c>
    </row>
    <row r="132" spans="1:15" x14ac:dyDescent="0.25">
      <c r="A132" t="s">
        <v>6220</v>
      </c>
      <c r="B132" t="s">
        <v>3508</v>
      </c>
      <c r="C132" t="s">
        <v>5715</v>
      </c>
      <c r="D132">
        <v>2</v>
      </c>
      <c r="E132" s="8" t="s">
        <v>6221</v>
      </c>
      <c r="F132" t="s">
        <v>6729</v>
      </c>
      <c r="G132" s="8" t="s">
        <v>6222</v>
      </c>
      <c r="H132" t="s">
        <v>6730</v>
      </c>
      <c r="I132" t="s">
        <v>3452</v>
      </c>
      <c r="J132" t="s">
        <v>6393</v>
      </c>
      <c r="K132" t="s">
        <v>6223</v>
      </c>
      <c r="L132" t="s">
        <v>90</v>
      </c>
      <c r="M132" t="s">
        <v>3452</v>
      </c>
      <c r="N132" t="s">
        <v>3452</v>
      </c>
      <c r="O132" t="s">
        <v>5770</v>
      </c>
    </row>
    <row r="133" spans="1:15" x14ac:dyDescent="0.25">
      <c r="A133" t="s">
        <v>4809</v>
      </c>
      <c r="B133" t="s">
        <v>3508</v>
      </c>
      <c r="C133" t="s">
        <v>5353</v>
      </c>
      <c r="D133">
        <v>1</v>
      </c>
      <c r="E133" s="8" t="s">
        <v>6231</v>
      </c>
      <c r="F133" t="s">
        <v>6731</v>
      </c>
      <c r="G133" s="8" t="s">
        <v>6231</v>
      </c>
      <c r="H133" t="s">
        <v>6731</v>
      </c>
      <c r="I133">
        <v>1</v>
      </c>
      <c r="J133" t="s">
        <v>6477</v>
      </c>
      <c r="K133" t="s">
        <v>4812</v>
      </c>
      <c r="L133" t="s">
        <v>1649</v>
      </c>
      <c r="M133" t="s">
        <v>3452</v>
      </c>
      <c r="N133" t="s">
        <v>3452</v>
      </c>
      <c r="O133" t="s">
        <v>6732</v>
      </c>
    </row>
    <row r="134" spans="1:15" x14ac:dyDescent="0.25">
      <c r="A134" t="s">
        <v>6232</v>
      </c>
      <c r="B134" t="s">
        <v>3508</v>
      </c>
      <c r="C134" t="s">
        <v>5715</v>
      </c>
      <c r="D134">
        <v>2</v>
      </c>
      <c r="E134" s="8" t="s">
        <v>6733</v>
      </c>
      <c r="F134" t="s">
        <v>6734</v>
      </c>
      <c r="G134" s="8" t="s">
        <v>3452</v>
      </c>
      <c r="H134" t="s">
        <v>3452</v>
      </c>
      <c r="I134" t="s">
        <v>3452</v>
      </c>
      <c r="J134" t="s">
        <v>6402</v>
      </c>
      <c r="K134" t="s">
        <v>6234</v>
      </c>
      <c r="L134" t="s">
        <v>90</v>
      </c>
      <c r="M134" t="s">
        <v>3452</v>
      </c>
      <c r="N134" t="s">
        <v>4254</v>
      </c>
      <c r="O134" t="s">
        <v>6052</v>
      </c>
    </row>
    <row r="135" spans="1:15" x14ac:dyDescent="0.25">
      <c r="A135" t="s">
        <v>6235</v>
      </c>
      <c r="B135" t="s">
        <v>3508</v>
      </c>
      <c r="C135" t="s">
        <v>5353</v>
      </c>
      <c r="D135">
        <v>1</v>
      </c>
      <c r="E135" s="8" t="s">
        <v>6236</v>
      </c>
      <c r="F135" t="s">
        <v>6735</v>
      </c>
      <c r="G135" s="8" t="s">
        <v>6237</v>
      </c>
      <c r="H135" t="s">
        <v>6736</v>
      </c>
      <c r="I135">
        <v>1</v>
      </c>
      <c r="J135" t="s">
        <v>3452</v>
      </c>
      <c r="K135" t="s">
        <v>6238</v>
      </c>
      <c r="L135" t="s">
        <v>90</v>
      </c>
      <c r="M135" t="s">
        <v>3452</v>
      </c>
      <c r="N135" t="s">
        <v>3452</v>
      </c>
      <c r="O135" t="s">
        <v>5992</v>
      </c>
    </row>
    <row r="136" spans="1:15" x14ac:dyDescent="0.25">
      <c r="A136" t="s">
        <v>6239</v>
      </c>
      <c r="B136" t="s">
        <v>3508</v>
      </c>
      <c r="C136" t="s">
        <v>5353</v>
      </c>
      <c r="D136">
        <v>1</v>
      </c>
      <c r="E136" s="8" t="s">
        <v>6240</v>
      </c>
      <c r="F136" t="s">
        <v>6737</v>
      </c>
      <c r="G136" s="8" t="s">
        <v>6240</v>
      </c>
      <c r="H136" t="s">
        <v>6737</v>
      </c>
      <c r="I136">
        <v>0</v>
      </c>
      <c r="J136" t="s">
        <v>3452</v>
      </c>
      <c r="K136" t="s">
        <v>6241</v>
      </c>
      <c r="L136" t="s">
        <v>90</v>
      </c>
      <c r="M136" t="s">
        <v>5489</v>
      </c>
      <c r="N136" t="s">
        <v>3452</v>
      </c>
      <c r="O136" t="s">
        <v>6242</v>
      </c>
    </row>
    <row r="137" spans="1:15" x14ac:dyDescent="0.25">
      <c r="A137" t="s">
        <v>6243</v>
      </c>
      <c r="B137" t="s">
        <v>3496</v>
      </c>
      <c r="C137" t="s">
        <v>5353</v>
      </c>
      <c r="D137">
        <v>0</v>
      </c>
      <c r="E137" s="8" t="s">
        <v>6738</v>
      </c>
      <c r="F137" t="s">
        <v>6739</v>
      </c>
      <c r="G137" s="8" t="s">
        <v>6740</v>
      </c>
      <c r="H137" t="s">
        <v>6741</v>
      </c>
      <c r="I137">
        <v>0</v>
      </c>
      <c r="J137" t="s">
        <v>3452</v>
      </c>
      <c r="K137" t="s">
        <v>6243</v>
      </c>
      <c r="L137" t="s">
        <v>90</v>
      </c>
      <c r="M137" t="s">
        <v>5489</v>
      </c>
      <c r="N137" t="s">
        <v>3452</v>
      </c>
      <c r="O137" t="s">
        <v>6246</v>
      </c>
    </row>
    <row r="138" spans="1:15" x14ac:dyDescent="0.25">
      <c r="A138" t="s">
        <v>6247</v>
      </c>
      <c r="B138" t="s">
        <v>3508</v>
      </c>
      <c r="C138" t="s">
        <v>5353</v>
      </c>
      <c r="D138">
        <v>1</v>
      </c>
      <c r="E138" s="8" t="s">
        <v>6248</v>
      </c>
      <c r="F138" t="s">
        <v>6742</v>
      </c>
      <c r="G138" s="8" t="s">
        <v>6249</v>
      </c>
      <c r="H138" t="s">
        <v>6743</v>
      </c>
      <c r="I138">
        <v>1</v>
      </c>
      <c r="J138" t="s">
        <v>3452</v>
      </c>
      <c r="K138" t="s">
        <v>6247</v>
      </c>
      <c r="L138" t="s">
        <v>90</v>
      </c>
      <c r="M138" t="s">
        <v>3452</v>
      </c>
      <c r="N138" t="s">
        <v>3452</v>
      </c>
      <c r="O138" t="s">
        <v>5992</v>
      </c>
    </row>
    <row r="139" spans="1:15" x14ac:dyDescent="0.25">
      <c r="A139" t="s">
        <v>6250</v>
      </c>
      <c r="B139" t="s">
        <v>3508</v>
      </c>
      <c r="C139" t="s">
        <v>5353</v>
      </c>
      <c r="D139">
        <v>1</v>
      </c>
      <c r="E139" s="8" t="s">
        <v>6744</v>
      </c>
      <c r="F139" t="s">
        <v>6745</v>
      </c>
      <c r="G139" s="8" t="s">
        <v>6744</v>
      </c>
      <c r="H139" t="s">
        <v>6745</v>
      </c>
      <c r="I139">
        <v>0</v>
      </c>
      <c r="J139" t="s">
        <v>3452</v>
      </c>
      <c r="K139" t="s">
        <v>6250</v>
      </c>
      <c r="L139" t="s">
        <v>90</v>
      </c>
      <c r="M139" t="s">
        <v>3452</v>
      </c>
      <c r="N139" t="s">
        <v>3452</v>
      </c>
      <c r="O139" t="s">
        <v>5816</v>
      </c>
    </row>
    <row r="140" spans="1:15" x14ac:dyDescent="0.25">
      <c r="A140" t="s">
        <v>6252</v>
      </c>
      <c r="B140" t="s">
        <v>3508</v>
      </c>
      <c r="C140" t="s">
        <v>5715</v>
      </c>
      <c r="D140">
        <v>2</v>
      </c>
      <c r="E140" s="8" t="s">
        <v>6746</v>
      </c>
      <c r="F140" t="s">
        <v>6747</v>
      </c>
      <c r="G140" s="8" t="s">
        <v>6748</v>
      </c>
      <c r="H140" t="s">
        <v>6749</v>
      </c>
      <c r="I140">
        <v>2</v>
      </c>
      <c r="J140" t="s">
        <v>6477</v>
      </c>
      <c r="K140" t="s">
        <v>6255</v>
      </c>
      <c r="L140" t="s">
        <v>90</v>
      </c>
      <c r="M140" t="s">
        <v>3452</v>
      </c>
      <c r="N140" t="s">
        <v>3452</v>
      </c>
      <c r="O140" t="s">
        <v>5997</v>
      </c>
    </row>
    <row r="141" spans="1:15" x14ac:dyDescent="0.25">
      <c r="A141" t="s">
        <v>6256</v>
      </c>
      <c r="B141" t="s">
        <v>4290</v>
      </c>
      <c r="C141" t="s">
        <v>4238</v>
      </c>
      <c r="D141" t="s">
        <v>3990</v>
      </c>
      <c r="E141" t="s">
        <v>6257</v>
      </c>
      <c r="F141" t="s">
        <v>6750</v>
      </c>
      <c r="G141" t="s">
        <v>3452</v>
      </c>
      <c r="H141" t="s">
        <v>3452</v>
      </c>
      <c r="I141" t="s">
        <v>3452</v>
      </c>
      <c r="J141" t="s">
        <v>3452</v>
      </c>
      <c r="K141" t="s">
        <v>6256</v>
      </c>
      <c r="L141" t="s">
        <v>90</v>
      </c>
      <c r="M141" t="s">
        <v>5456</v>
      </c>
      <c r="N141" t="s">
        <v>3452</v>
      </c>
      <c r="O141" t="s">
        <v>5863</v>
      </c>
    </row>
    <row r="142" spans="1:15" x14ac:dyDescent="0.25">
      <c r="A142" t="s">
        <v>6258</v>
      </c>
      <c r="B142" t="s">
        <v>4290</v>
      </c>
      <c r="C142" t="s">
        <v>5715</v>
      </c>
      <c r="D142">
        <v>0</v>
      </c>
      <c r="E142" t="s">
        <v>6259</v>
      </c>
      <c r="F142" t="s">
        <v>6751</v>
      </c>
      <c r="G142" t="s">
        <v>6260</v>
      </c>
      <c r="H142" t="s">
        <v>6409</v>
      </c>
      <c r="I142">
        <v>0</v>
      </c>
      <c r="J142" t="s">
        <v>6410</v>
      </c>
      <c r="K142" t="s">
        <v>6258</v>
      </c>
      <c r="L142" t="s">
        <v>90</v>
      </c>
      <c r="M142" t="s">
        <v>5489</v>
      </c>
      <c r="N142" t="s">
        <v>3452</v>
      </c>
      <c r="O142" t="s">
        <v>6752</v>
      </c>
    </row>
    <row r="143" spans="1:15" x14ac:dyDescent="0.25">
      <c r="A143" t="s">
        <v>6261</v>
      </c>
      <c r="B143" t="s">
        <v>3508</v>
      </c>
      <c r="C143" t="s">
        <v>5353</v>
      </c>
      <c r="D143">
        <v>2</v>
      </c>
      <c r="E143" s="8" t="s">
        <v>6262</v>
      </c>
      <c r="F143" t="s">
        <v>6753</v>
      </c>
      <c r="G143" s="8" t="s">
        <v>6263</v>
      </c>
      <c r="H143" t="s">
        <v>6754</v>
      </c>
      <c r="I143">
        <v>2</v>
      </c>
      <c r="J143" t="s">
        <v>3452</v>
      </c>
      <c r="K143" t="s">
        <v>6261</v>
      </c>
      <c r="L143" t="s">
        <v>90</v>
      </c>
      <c r="M143" t="s">
        <v>5489</v>
      </c>
      <c r="N143" t="s">
        <v>3452</v>
      </c>
      <c r="O143" t="s">
        <v>5930</v>
      </c>
    </row>
    <row r="144" spans="1:15" x14ac:dyDescent="0.25">
      <c r="A144" t="s">
        <v>6264</v>
      </c>
      <c r="B144" t="s">
        <v>41</v>
      </c>
      <c r="C144" t="s">
        <v>5353</v>
      </c>
      <c r="D144">
        <v>1</v>
      </c>
      <c r="E144" t="s">
        <v>6265</v>
      </c>
      <c r="F144" t="s">
        <v>6755</v>
      </c>
      <c r="G144" t="s">
        <v>6266</v>
      </c>
      <c r="H144" t="s">
        <v>6756</v>
      </c>
      <c r="I144">
        <v>1</v>
      </c>
      <c r="J144" t="s">
        <v>3452</v>
      </c>
      <c r="K144" t="s">
        <v>6267</v>
      </c>
      <c r="L144" t="s">
        <v>90</v>
      </c>
      <c r="M144" t="s">
        <v>3452</v>
      </c>
      <c r="N144" t="s">
        <v>3452</v>
      </c>
      <c r="O144" t="s">
        <v>6268</v>
      </c>
    </row>
    <row r="145" spans="1:15" x14ac:dyDescent="0.25">
      <c r="A145" t="s">
        <v>6269</v>
      </c>
      <c r="B145" t="s">
        <v>3508</v>
      </c>
      <c r="C145" t="s">
        <v>5715</v>
      </c>
      <c r="D145" t="s">
        <v>5939</v>
      </c>
      <c r="E145" t="s">
        <v>6270</v>
      </c>
      <c r="F145" t="s">
        <v>6757</v>
      </c>
      <c r="G145" t="s">
        <v>6271</v>
      </c>
      <c r="H145" t="s">
        <v>6758</v>
      </c>
      <c r="I145" t="s">
        <v>5939</v>
      </c>
      <c r="J145" t="s">
        <v>6759</v>
      </c>
      <c r="K145" t="s">
        <v>6269</v>
      </c>
      <c r="L145" t="s">
        <v>90</v>
      </c>
      <c r="M145" t="s">
        <v>3452</v>
      </c>
      <c r="N145" t="s">
        <v>3452</v>
      </c>
      <c r="O145" t="s">
        <v>5770</v>
      </c>
    </row>
    <row r="146" spans="1:15" x14ac:dyDescent="0.25">
      <c r="A146" t="s">
        <v>6272</v>
      </c>
      <c r="B146" t="s">
        <v>41</v>
      </c>
      <c r="C146" t="s">
        <v>5715</v>
      </c>
      <c r="D146">
        <v>0</v>
      </c>
      <c r="E146" s="8" t="s">
        <v>6273</v>
      </c>
      <c r="F146" t="s">
        <v>6760</v>
      </c>
      <c r="G146" s="8" t="s">
        <v>6274</v>
      </c>
      <c r="H146" t="s">
        <v>6761</v>
      </c>
      <c r="I146">
        <v>0</v>
      </c>
      <c r="J146" t="s">
        <v>6477</v>
      </c>
      <c r="K146" t="s">
        <v>6272</v>
      </c>
      <c r="L146" t="s">
        <v>90</v>
      </c>
      <c r="M146" t="s">
        <v>3452</v>
      </c>
      <c r="N146" t="s">
        <v>3452</v>
      </c>
      <c r="O146" t="s">
        <v>5770</v>
      </c>
    </row>
    <row r="147" spans="1:15" x14ac:dyDescent="0.25">
      <c r="A147" t="s">
        <v>6275</v>
      </c>
      <c r="B147" t="s">
        <v>4290</v>
      </c>
      <c r="C147" t="s">
        <v>3649</v>
      </c>
      <c r="D147">
        <v>1</v>
      </c>
      <c r="E147" t="s">
        <v>6276</v>
      </c>
      <c r="F147" t="s">
        <v>6762</v>
      </c>
      <c r="G147" t="s">
        <v>3452</v>
      </c>
      <c r="H147" t="s">
        <v>3452</v>
      </c>
      <c r="I147" t="s">
        <v>3452</v>
      </c>
      <c r="J147" t="s">
        <v>3452</v>
      </c>
      <c r="K147" t="s">
        <v>6275</v>
      </c>
      <c r="L147" t="s">
        <v>90</v>
      </c>
      <c r="M147" t="s">
        <v>5489</v>
      </c>
      <c r="N147" t="s">
        <v>3452</v>
      </c>
      <c r="O147" t="s">
        <v>6452</v>
      </c>
    </row>
    <row r="148" spans="1:15" x14ac:dyDescent="0.25">
      <c r="A148" t="s">
        <v>6277</v>
      </c>
      <c r="B148" t="s">
        <v>41</v>
      </c>
      <c r="C148" t="s">
        <v>5715</v>
      </c>
      <c r="D148">
        <v>2</v>
      </c>
      <c r="E148" s="8" t="s">
        <v>6278</v>
      </c>
      <c r="F148" t="s">
        <v>6763</v>
      </c>
      <c r="G148" s="8" t="s">
        <v>6279</v>
      </c>
      <c r="H148" t="s">
        <v>6764</v>
      </c>
      <c r="I148">
        <v>2</v>
      </c>
      <c r="J148" t="s">
        <v>6393</v>
      </c>
      <c r="K148" t="s">
        <v>6280</v>
      </c>
      <c r="L148" t="s">
        <v>90</v>
      </c>
      <c r="M148" t="s">
        <v>3452</v>
      </c>
      <c r="N148" t="s">
        <v>3452</v>
      </c>
      <c r="O148" t="s">
        <v>6018</v>
      </c>
    </row>
    <row r="149" spans="1:15" x14ac:dyDescent="0.25">
      <c r="A149" t="s">
        <v>6282</v>
      </c>
      <c r="B149" t="s">
        <v>3508</v>
      </c>
      <c r="C149" t="s">
        <v>5353</v>
      </c>
      <c r="D149">
        <v>1</v>
      </c>
      <c r="E149" s="8" t="s">
        <v>6283</v>
      </c>
      <c r="F149" t="s">
        <v>6765</v>
      </c>
      <c r="G149" s="8" t="s">
        <v>6284</v>
      </c>
      <c r="H149" t="s">
        <v>6766</v>
      </c>
      <c r="I149">
        <v>1</v>
      </c>
      <c r="J149" t="s">
        <v>3452</v>
      </c>
      <c r="K149" t="s">
        <v>6285</v>
      </c>
      <c r="L149" t="s">
        <v>90</v>
      </c>
      <c r="M149" t="s">
        <v>3452</v>
      </c>
      <c r="N149" t="s">
        <v>3452</v>
      </c>
      <c r="O149" t="s">
        <v>5920</v>
      </c>
    </row>
    <row r="150" spans="1:15" x14ac:dyDescent="0.25">
      <c r="A150" t="s">
        <v>6286</v>
      </c>
      <c r="B150" t="s">
        <v>3496</v>
      </c>
      <c r="C150" t="s">
        <v>5353</v>
      </c>
      <c r="D150">
        <v>1</v>
      </c>
      <c r="E150" t="s">
        <v>6287</v>
      </c>
      <c r="F150" t="s">
        <v>6767</v>
      </c>
      <c r="G150" t="s">
        <v>6288</v>
      </c>
      <c r="H150" t="s">
        <v>6768</v>
      </c>
      <c r="I150">
        <v>1</v>
      </c>
      <c r="J150" t="s">
        <v>3452</v>
      </c>
      <c r="K150" t="s">
        <v>6289</v>
      </c>
      <c r="L150" t="s">
        <v>90</v>
      </c>
      <c r="M150" t="s">
        <v>3452</v>
      </c>
      <c r="N150" t="s">
        <v>3452</v>
      </c>
      <c r="O150" t="s">
        <v>6290</v>
      </c>
    </row>
    <row r="151" spans="1:15" x14ac:dyDescent="0.25">
      <c r="A151" t="s">
        <v>6769</v>
      </c>
      <c r="B151" t="s">
        <v>3540</v>
      </c>
      <c r="C151" t="s">
        <v>5715</v>
      </c>
      <c r="D151">
        <v>1</v>
      </c>
      <c r="E151" t="s">
        <v>6273</v>
      </c>
      <c r="F151" t="s">
        <v>6760</v>
      </c>
      <c r="G151" t="s">
        <v>6274</v>
      </c>
      <c r="H151" t="s">
        <v>6761</v>
      </c>
      <c r="I151">
        <v>1</v>
      </c>
      <c r="J151" t="s">
        <v>6402</v>
      </c>
      <c r="K151" t="s">
        <v>6770</v>
      </c>
      <c r="L151" t="s">
        <v>90</v>
      </c>
      <c r="M151" t="s">
        <v>3452</v>
      </c>
      <c r="N151" t="s">
        <v>3452</v>
      </c>
      <c r="O151" t="s">
        <v>6771</v>
      </c>
    </row>
    <row r="152" spans="1:15" x14ac:dyDescent="0.25">
      <c r="A152" t="s">
        <v>6772</v>
      </c>
      <c r="B152" t="s">
        <v>3540</v>
      </c>
      <c r="C152" t="s">
        <v>5715</v>
      </c>
      <c r="D152">
        <v>1</v>
      </c>
      <c r="E152" t="s">
        <v>6273</v>
      </c>
      <c r="F152" t="s">
        <v>6760</v>
      </c>
      <c r="G152" t="s">
        <v>6274</v>
      </c>
      <c r="H152" t="s">
        <v>6761</v>
      </c>
      <c r="I152">
        <v>1</v>
      </c>
      <c r="J152" t="s">
        <v>6385</v>
      </c>
      <c r="K152" t="s">
        <v>6773</v>
      </c>
      <c r="L152" t="s">
        <v>90</v>
      </c>
      <c r="M152" t="s">
        <v>3452</v>
      </c>
      <c r="N152" t="s">
        <v>3452</v>
      </c>
      <c r="O152" t="s">
        <v>6771</v>
      </c>
    </row>
    <row r="153" spans="1:15" x14ac:dyDescent="0.25">
      <c r="A153" t="s">
        <v>6292</v>
      </c>
      <c r="B153" t="s">
        <v>41</v>
      </c>
      <c r="C153" t="s">
        <v>5715</v>
      </c>
      <c r="D153">
        <v>1</v>
      </c>
      <c r="E153" t="s">
        <v>6293</v>
      </c>
      <c r="F153" t="s">
        <v>6774</v>
      </c>
      <c r="G153" t="s">
        <v>6294</v>
      </c>
      <c r="H153" t="s">
        <v>6775</v>
      </c>
      <c r="I153">
        <v>1</v>
      </c>
      <c r="J153" t="s">
        <v>6385</v>
      </c>
      <c r="K153" t="s">
        <v>6295</v>
      </c>
      <c r="L153" t="s">
        <v>90</v>
      </c>
      <c r="M153" t="s">
        <v>3452</v>
      </c>
      <c r="N153" t="s">
        <v>3452</v>
      </c>
      <c r="O153" t="s">
        <v>5746</v>
      </c>
    </row>
    <row r="154" spans="1:15" x14ac:dyDescent="0.25">
      <c r="A154" t="s">
        <v>5689</v>
      </c>
      <c r="B154" t="s">
        <v>3540</v>
      </c>
      <c r="C154" t="s">
        <v>5353</v>
      </c>
      <c r="D154">
        <v>1</v>
      </c>
      <c r="E154" t="s">
        <v>6296</v>
      </c>
      <c r="F154" t="s">
        <v>6776</v>
      </c>
      <c r="G154" t="s">
        <v>6297</v>
      </c>
      <c r="H154" t="s">
        <v>6777</v>
      </c>
      <c r="I154">
        <v>1</v>
      </c>
      <c r="J154" t="s">
        <v>3452</v>
      </c>
      <c r="K154" t="s">
        <v>5689</v>
      </c>
      <c r="L154" t="s">
        <v>90</v>
      </c>
      <c r="M154" t="s">
        <v>3452</v>
      </c>
      <c r="N154" t="s">
        <v>3452</v>
      </c>
      <c r="O154" t="s">
        <v>6298</v>
      </c>
    </row>
    <row r="155" spans="1:15" x14ac:dyDescent="0.25">
      <c r="A155" t="s">
        <v>6299</v>
      </c>
      <c r="B155" t="s">
        <v>41</v>
      </c>
      <c r="C155" t="s">
        <v>5715</v>
      </c>
      <c r="D155">
        <v>1</v>
      </c>
      <c r="E155" t="s">
        <v>6300</v>
      </c>
      <c r="F155" t="s">
        <v>6778</v>
      </c>
      <c r="G155" t="s">
        <v>6301</v>
      </c>
      <c r="H155" t="s">
        <v>6779</v>
      </c>
      <c r="I155">
        <v>1</v>
      </c>
      <c r="J155" t="s">
        <v>6780</v>
      </c>
      <c r="K155" t="s">
        <v>6302</v>
      </c>
      <c r="L155" t="s">
        <v>90</v>
      </c>
      <c r="M155" t="s">
        <v>3452</v>
      </c>
      <c r="N155" t="s">
        <v>3452</v>
      </c>
      <c r="O155" t="s">
        <v>6303</v>
      </c>
    </row>
    <row r="156" spans="1:15" x14ac:dyDescent="0.25">
      <c r="A156" t="s">
        <v>6304</v>
      </c>
      <c r="B156" t="s">
        <v>41</v>
      </c>
      <c r="C156" t="s">
        <v>5715</v>
      </c>
      <c r="D156">
        <v>1</v>
      </c>
      <c r="E156" t="s">
        <v>6781</v>
      </c>
      <c r="F156" t="s">
        <v>6782</v>
      </c>
      <c r="G156" t="s">
        <v>6783</v>
      </c>
      <c r="H156" t="s">
        <v>6784</v>
      </c>
      <c r="I156">
        <v>1</v>
      </c>
      <c r="J156" t="s">
        <v>6785</v>
      </c>
      <c r="K156" t="s">
        <v>6307</v>
      </c>
      <c r="L156" t="s">
        <v>90</v>
      </c>
      <c r="M156" t="s">
        <v>5424</v>
      </c>
      <c r="N156" t="s">
        <v>3452</v>
      </c>
      <c r="O156" t="s">
        <v>5728</v>
      </c>
    </row>
    <row r="157" spans="1:15" x14ac:dyDescent="0.25">
      <c r="A157" t="s">
        <v>6308</v>
      </c>
      <c r="B157" t="s">
        <v>3508</v>
      </c>
      <c r="C157" t="s">
        <v>5353</v>
      </c>
      <c r="D157" t="s">
        <v>3990</v>
      </c>
      <c r="E157" t="s">
        <v>6309</v>
      </c>
      <c r="F157" t="s">
        <v>6786</v>
      </c>
      <c r="G157" t="s">
        <v>6310</v>
      </c>
      <c r="H157" t="s">
        <v>6737</v>
      </c>
      <c r="I157" t="s">
        <v>3990</v>
      </c>
      <c r="J157" t="s">
        <v>3452</v>
      </c>
      <c r="K157" t="s">
        <v>6308</v>
      </c>
      <c r="L157" t="s">
        <v>90</v>
      </c>
      <c r="M157" t="s">
        <v>5454</v>
      </c>
      <c r="N157" t="s">
        <v>3452</v>
      </c>
      <c r="O157" t="s">
        <v>6311</v>
      </c>
    </row>
    <row r="158" spans="1:15" x14ac:dyDescent="0.25">
      <c r="A158" t="s">
        <v>6316</v>
      </c>
      <c r="B158" t="s">
        <v>3508</v>
      </c>
      <c r="C158" t="s">
        <v>5353</v>
      </c>
      <c r="D158">
        <v>1</v>
      </c>
      <c r="E158" t="s">
        <v>6317</v>
      </c>
      <c r="F158" t="s">
        <v>6787</v>
      </c>
      <c r="G158" t="s">
        <v>6317</v>
      </c>
      <c r="H158" t="s">
        <v>6787</v>
      </c>
      <c r="I158">
        <v>0</v>
      </c>
      <c r="J158" t="s">
        <v>6443</v>
      </c>
      <c r="K158" t="s">
        <v>6316</v>
      </c>
      <c r="L158" t="s">
        <v>90</v>
      </c>
      <c r="M158" t="s">
        <v>5489</v>
      </c>
      <c r="N158" t="s">
        <v>3452</v>
      </c>
      <c r="O158" t="s">
        <v>6124</v>
      </c>
    </row>
    <row r="159" spans="1:15" x14ac:dyDescent="0.25">
      <c r="A159" t="s">
        <v>6318</v>
      </c>
      <c r="B159" t="s">
        <v>41</v>
      </c>
      <c r="C159" t="s">
        <v>5715</v>
      </c>
      <c r="D159">
        <v>1</v>
      </c>
      <c r="E159" t="s">
        <v>6788</v>
      </c>
      <c r="F159" t="s">
        <v>6789</v>
      </c>
      <c r="G159" t="s">
        <v>6790</v>
      </c>
      <c r="H159" t="s">
        <v>6791</v>
      </c>
      <c r="I159">
        <v>1</v>
      </c>
      <c r="J159" t="s">
        <v>6792</v>
      </c>
      <c r="K159" t="s">
        <v>6318</v>
      </c>
      <c r="L159" t="s">
        <v>90</v>
      </c>
      <c r="M159" t="s">
        <v>3452</v>
      </c>
      <c r="N159" t="s">
        <v>5384</v>
      </c>
      <c r="O159" t="s">
        <v>6793</v>
      </c>
    </row>
    <row r="160" spans="1:15" x14ac:dyDescent="0.25">
      <c r="A160" t="s">
        <v>6324</v>
      </c>
      <c r="B160" t="s">
        <v>41</v>
      </c>
      <c r="C160" t="s">
        <v>5353</v>
      </c>
      <c r="D160">
        <v>1</v>
      </c>
      <c r="E160" s="8" t="s">
        <v>6325</v>
      </c>
      <c r="F160" t="s">
        <v>6794</v>
      </c>
      <c r="G160" s="8" t="s">
        <v>6326</v>
      </c>
      <c r="H160" t="s">
        <v>6795</v>
      </c>
      <c r="I160">
        <v>1</v>
      </c>
      <c r="J160" t="s">
        <v>3452</v>
      </c>
      <c r="K160" t="s">
        <v>6327</v>
      </c>
      <c r="L160" t="s">
        <v>90</v>
      </c>
      <c r="M160" t="s">
        <v>3452</v>
      </c>
      <c r="N160" t="s">
        <v>3452</v>
      </c>
      <c r="O160" t="s">
        <v>5992</v>
      </c>
    </row>
    <row r="161" spans="1:15" x14ac:dyDescent="0.25">
      <c r="A161" t="s">
        <v>6328</v>
      </c>
      <c r="B161" t="s">
        <v>41</v>
      </c>
      <c r="C161" t="s">
        <v>5715</v>
      </c>
      <c r="D161">
        <v>1</v>
      </c>
      <c r="E161" t="s">
        <v>6329</v>
      </c>
      <c r="F161" t="s">
        <v>6796</v>
      </c>
      <c r="G161" t="s">
        <v>6330</v>
      </c>
      <c r="H161" t="s">
        <v>6797</v>
      </c>
      <c r="I161">
        <v>1</v>
      </c>
      <c r="J161" t="s">
        <v>6402</v>
      </c>
      <c r="K161" t="s">
        <v>6331</v>
      </c>
      <c r="L161" t="s">
        <v>90</v>
      </c>
      <c r="M161" t="s">
        <v>3452</v>
      </c>
      <c r="N161" t="s">
        <v>3452</v>
      </c>
      <c r="O161" t="s">
        <v>6798</v>
      </c>
    </row>
    <row r="162" spans="1:15" x14ac:dyDescent="0.25">
      <c r="A162" t="s">
        <v>6332</v>
      </c>
      <c r="B162" t="s">
        <v>3496</v>
      </c>
      <c r="C162" t="s">
        <v>5715</v>
      </c>
      <c r="D162">
        <v>1</v>
      </c>
      <c r="E162" s="8" t="s">
        <v>6333</v>
      </c>
      <c r="F162" t="s">
        <v>6799</v>
      </c>
      <c r="G162" s="8" t="s">
        <v>6334</v>
      </c>
      <c r="H162" t="s">
        <v>6800</v>
      </c>
      <c r="I162">
        <v>1</v>
      </c>
      <c r="J162" t="s">
        <v>6508</v>
      </c>
      <c r="K162" t="s">
        <v>6332</v>
      </c>
      <c r="L162" t="s">
        <v>90</v>
      </c>
      <c r="M162" t="s">
        <v>3452</v>
      </c>
      <c r="N162" t="s">
        <v>3452</v>
      </c>
      <c r="O162" t="s">
        <v>5975</v>
      </c>
    </row>
    <row r="163" spans="1:15" x14ac:dyDescent="0.25">
      <c r="A163" t="s">
        <v>6335</v>
      </c>
      <c r="B163" t="s">
        <v>3508</v>
      </c>
      <c r="C163" t="s">
        <v>5715</v>
      </c>
      <c r="D163">
        <v>2</v>
      </c>
      <c r="E163" t="s">
        <v>6336</v>
      </c>
      <c r="F163" t="s">
        <v>6801</v>
      </c>
      <c r="G163" t="s">
        <v>6337</v>
      </c>
      <c r="H163" t="s">
        <v>6802</v>
      </c>
      <c r="I163">
        <v>2</v>
      </c>
      <c r="J163" t="s">
        <v>6385</v>
      </c>
      <c r="K163" t="s">
        <v>6335</v>
      </c>
      <c r="L163" t="s">
        <v>90</v>
      </c>
      <c r="M163" t="s">
        <v>3452</v>
      </c>
      <c r="N163" t="s">
        <v>3452</v>
      </c>
      <c r="O163" t="s">
        <v>5860</v>
      </c>
    </row>
    <row r="164" spans="1:15" x14ac:dyDescent="0.25">
      <c r="A164" t="s">
        <v>6339</v>
      </c>
      <c r="B164" t="s">
        <v>41</v>
      </c>
      <c r="C164" t="s">
        <v>5353</v>
      </c>
      <c r="D164">
        <v>0</v>
      </c>
      <c r="E164" t="s">
        <v>6340</v>
      </c>
      <c r="F164" t="s">
        <v>6803</v>
      </c>
      <c r="G164" t="s">
        <v>6341</v>
      </c>
      <c r="H164" t="s">
        <v>6804</v>
      </c>
      <c r="I164">
        <v>0</v>
      </c>
      <c r="J164" t="s">
        <v>3452</v>
      </c>
      <c r="K164" t="s">
        <v>6339</v>
      </c>
      <c r="L164" t="s">
        <v>90</v>
      </c>
      <c r="M164" t="s">
        <v>5489</v>
      </c>
      <c r="N164" t="s">
        <v>3452</v>
      </c>
      <c r="O164" t="s">
        <v>5756</v>
      </c>
    </row>
    <row r="165" spans="1:15" x14ac:dyDescent="0.25">
      <c r="A165" t="s">
        <v>5284</v>
      </c>
      <c r="B165" t="s">
        <v>3508</v>
      </c>
      <c r="C165" t="s">
        <v>4590</v>
      </c>
      <c r="D165">
        <v>1</v>
      </c>
      <c r="E165" s="8" t="s">
        <v>6805</v>
      </c>
      <c r="F165" t="s">
        <v>6806</v>
      </c>
      <c r="G165" s="8" t="s">
        <v>6807</v>
      </c>
      <c r="H165" t="s">
        <v>6808</v>
      </c>
      <c r="I165">
        <v>1</v>
      </c>
      <c r="J165" t="s">
        <v>3452</v>
      </c>
      <c r="K165" t="s">
        <v>5286</v>
      </c>
      <c r="L165" t="s">
        <v>90</v>
      </c>
      <c r="M165" t="s">
        <v>3452</v>
      </c>
      <c r="N165" t="s">
        <v>3452</v>
      </c>
      <c r="O165" t="s">
        <v>6809</v>
      </c>
    </row>
    <row r="166" spans="1:15" x14ac:dyDescent="0.25">
      <c r="A166" t="s">
        <v>6345</v>
      </c>
      <c r="B166" t="s">
        <v>3508</v>
      </c>
      <c r="C166" t="s">
        <v>5715</v>
      </c>
      <c r="D166" t="s">
        <v>5939</v>
      </c>
      <c r="E166" t="s">
        <v>6810</v>
      </c>
      <c r="F166" t="s">
        <v>6811</v>
      </c>
      <c r="G166" t="s">
        <v>6812</v>
      </c>
      <c r="H166" t="s">
        <v>6813</v>
      </c>
      <c r="I166" t="s">
        <v>5939</v>
      </c>
      <c r="J166" t="s">
        <v>6482</v>
      </c>
      <c r="K166" t="s">
        <v>6345</v>
      </c>
      <c r="L166" t="s">
        <v>90</v>
      </c>
      <c r="M166" t="s">
        <v>3452</v>
      </c>
      <c r="N166" t="s">
        <v>3452</v>
      </c>
      <c r="O166" t="s">
        <v>5852</v>
      </c>
    </row>
    <row r="167" spans="1:15" x14ac:dyDescent="0.25">
      <c r="A167" t="s">
        <v>6348</v>
      </c>
      <c r="B167" t="s">
        <v>3508</v>
      </c>
      <c r="C167" t="s">
        <v>5353</v>
      </c>
      <c r="D167">
        <v>1</v>
      </c>
      <c r="E167" s="8" t="s">
        <v>6349</v>
      </c>
      <c r="F167" t="s">
        <v>6814</v>
      </c>
      <c r="G167" s="8" t="s">
        <v>6349</v>
      </c>
      <c r="H167" t="s">
        <v>6814</v>
      </c>
      <c r="I167">
        <v>0</v>
      </c>
      <c r="J167" t="s">
        <v>3452</v>
      </c>
      <c r="K167" t="s">
        <v>6350</v>
      </c>
      <c r="L167" t="s">
        <v>90</v>
      </c>
      <c r="M167" t="s">
        <v>5489</v>
      </c>
      <c r="N167" t="s">
        <v>3452</v>
      </c>
      <c r="O167" t="s">
        <v>6815</v>
      </c>
    </row>
    <row r="168" spans="1:15" x14ac:dyDescent="0.25">
      <c r="A168" t="s">
        <v>6352</v>
      </c>
      <c r="B168" t="s">
        <v>41</v>
      </c>
      <c r="C168" t="s">
        <v>5715</v>
      </c>
      <c r="D168">
        <v>1</v>
      </c>
      <c r="E168" s="8" t="s">
        <v>6353</v>
      </c>
      <c r="F168" t="s">
        <v>6816</v>
      </c>
      <c r="G168" s="8" t="s">
        <v>6354</v>
      </c>
      <c r="H168" t="s">
        <v>6817</v>
      </c>
      <c r="I168">
        <v>1</v>
      </c>
      <c r="J168" t="s">
        <v>6443</v>
      </c>
      <c r="K168" t="s">
        <v>6355</v>
      </c>
      <c r="L168" t="s">
        <v>90</v>
      </c>
      <c r="M168" t="s">
        <v>3452</v>
      </c>
      <c r="N168" t="s">
        <v>3452</v>
      </c>
      <c r="O168" t="s">
        <v>6212</v>
      </c>
    </row>
    <row r="169" spans="1:15" x14ac:dyDescent="0.25">
      <c r="A169" t="s">
        <v>6356</v>
      </c>
      <c r="B169" t="s">
        <v>4290</v>
      </c>
      <c r="C169" t="s">
        <v>3649</v>
      </c>
      <c r="D169" t="s">
        <v>3990</v>
      </c>
      <c r="E169" s="8" t="s">
        <v>6081</v>
      </c>
      <c r="F169" t="s">
        <v>4208</v>
      </c>
      <c r="G169" s="8" t="s">
        <v>3452</v>
      </c>
      <c r="H169" t="s">
        <v>3452</v>
      </c>
      <c r="I169" t="s">
        <v>3452</v>
      </c>
      <c r="J169" t="s">
        <v>3452</v>
      </c>
      <c r="K169" t="s">
        <v>6356</v>
      </c>
      <c r="L169" t="s">
        <v>90</v>
      </c>
      <c r="M169" t="s">
        <v>3452</v>
      </c>
      <c r="N169" t="s">
        <v>3452</v>
      </c>
      <c r="O169" t="s">
        <v>6452</v>
      </c>
    </row>
    <row r="170" spans="1:15" x14ac:dyDescent="0.25">
      <c r="A170" t="s">
        <v>6357</v>
      </c>
      <c r="B170" t="s">
        <v>3496</v>
      </c>
      <c r="C170" t="s">
        <v>4590</v>
      </c>
      <c r="D170">
        <v>3</v>
      </c>
      <c r="E170" s="8" t="s">
        <v>6818</v>
      </c>
      <c r="F170" t="s">
        <v>6819</v>
      </c>
      <c r="G170" s="8" t="s">
        <v>6820</v>
      </c>
      <c r="H170" t="s">
        <v>6821</v>
      </c>
      <c r="I170" t="s">
        <v>3452</v>
      </c>
      <c r="J170" t="s">
        <v>3452</v>
      </c>
      <c r="K170" t="s">
        <v>6360</v>
      </c>
      <c r="L170" t="s">
        <v>90</v>
      </c>
      <c r="M170" t="s">
        <v>3452</v>
      </c>
      <c r="N170" t="s">
        <v>3452</v>
      </c>
      <c r="O170" t="s">
        <v>5710</v>
      </c>
    </row>
    <row r="171" spans="1:15" x14ac:dyDescent="0.25">
      <c r="A171" t="s">
        <v>6361</v>
      </c>
      <c r="B171" t="s">
        <v>4290</v>
      </c>
      <c r="C171" t="s">
        <v>4238</v>
      </c>
      <c r="D171" t="s">
        <v>3990</v>
      </c>
      <c r="E171" t="s">
        <v>6362</v>
      </c>
      <c r="F171" t="s">
        <v>4208</v>
      </c>
      <c r="G171" t="s">
        <v>3452</v>
      </c>
      <c r="H171" t="s">
        <v>3452</v>
      </c>
      <c r="I171" t="s">
        <v>3452</v>
      </c>
      <c r="J171" t="s">
        <v>3452</v>
      </c>
      <c r="K171" t="s">
        <v>6361</v>
      </c>
      <c r="L171" t="s">
        <v>90</v>
      </c>
      <c r="M171" t="s">
        <v>5456</v>
      </c>
      <c r="N171" t="s">
        <v>3452</v>
      </c>
      <c r="O171" t="s">
        <v>5863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6822</v>
      </c>
      <c r="C1" t="s">
        <v>6823</v>
      </c>
      <c r="D1" t="s">
        <v>3447</v>
      </c>
      <c r="E1" t="s">
        <v>3490</v>
      </c>
      <c r="F1" t="s">
        <v>6824</v>
      </c>
    </row>
    <row r="2" spans="1:6" ht="15" customHeight="1" x14ac:dyDescent="0.25">
      <c r="A2" t="s">
        <v>6825</v>
      </c>
      <c r="B2" t="s">
        <v>4686</v>
      </c>
      <c r="C2" t="s">
        <v>6826</v>
      </c>
      <c r="D2" t="s">
        <v>6827</v>
      </c>
      <c r="E2" t="s">
        <v>6828</v>
      </c>
      <c r="F2" t="s">
        <v>6829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6830</v>
      </c>
      <c r="D1" t="s">
        <v>171</v>
      </c>
      <c r="E1" t="s">
        <v>4442</v>
      </c>
      <c r="F1" t="s">
        <v>6</v>
      </c>
    </row>
    <row r="2" spans="1:6" ht="15" customHeight="1" x14ac:dyDescent="0.25">
      <c r="A2" t="s">
        <v>6831</v>
      </c>
      <c r="B2" t="s">
        <v>6832</v>
      </c>
      <c r="C2" t="s">
        <v>5166</v>
      </c>
      <c r="D2" t="s">
        <v>3649</v>
      </c>
      <c r="E2" t="s">
        <v>3452</v>
      </c>
      <c r="F2" t="s">
        <v>3452</v>
      </c>
    </row>
    <row r="3" spans="1:6" ht="15" customHeight="1" x14ac:dyDescent="0.25">
      <c r="A3" t="s">
        <v>6833</v>
      </c>
      <c r="B3" t="s">
        <v>6834</v>
      </c>
      <c r="C3" t="s">
        <v>6835</v>
      </c>
      <c r="D3" t="s">
        <v>3649</v>
      </c>
      <c r="E3" t="s">
        <v>3452</v>
      </c>
      <c r="F3" t="s">
        <v>3452</v>
      </c>
    </row>
    <row r="4" spans="1:6" ht="15" customHeight="1" x14ac:dyDescent="0.25">
      <c r="A4" t="s">
        <v>6836</v>
      </c>
      <c r="B4" t="s">
        <v>6837</v>
      </c>
      <c r="C4" t="s">
        <v>5169</v>
      </c>
      <c r="D4" t="s">
        <v>6836</v>
      </c>
      <c r="E4" t="s">
        <v>3975</v>
      </c>
      <c r="F4" t="s">
        <v>3496</v>
      </c>
    </row>
    <row r="5" spans="1:6" ht="15" customHeight="1" x14ac:dyDescent="0.25">
      <c r="A5" t="s">
        <v>6838</v>
      </c>
      <c r="B5" t="s">
        <v>6839</v>
      </c>
      <c r="C5" t="s">
        <v>6840</v>
      </c>
      <c r="D5" t="s">
        <v>3506</v>
      </c>
      <c r="E5" t="s">
        <v>3992</v>
      </c>
      <c r="F5" t="s">
        <v>41</v>
      </c>
    </row>
    <row r="6" spans="1:6" ht="15" customHeight="1" x14ac:dyDescent="0.25">
      <c r="A6" t="s">
        <v>6841</v>
      </c>
      <c r="B6" t="s">
        <v>6842</v>
      </c>
      <c r="C6" t="s">
        <v>6840</v>
      </c>
      <c r="D6" t="s">
        <v>3649</v>
      </c>
      <c r="E6" t="s">
        <v>3452</v>
      </c>
      <c r="F6" t="s">
        <v>3508</v>
      </c>
    </row>
    <row r="7" spans="1:6" ht="15" customHeight="1" x14ac:dyDescent="0.25">
      <c r="A7" t="s">
        <v>6843</v>
      </c>
      <c r="B7" t="s">
        <v>6844</v>
      </c>
      <c r="C7" t="s">
        <v>6835</v>
      </c>
      <c r="D7" t="s">
        <v>3649</v>
      </c>
      <c r="E7" t="s">
        <v>3452</v>
      </c>
    </row>
    <row r="8" spans="1:6" ht="15" customHeight="1" x14ac:dyDescent="0.25">
      <c r="A8" t="s">
        <v>6845</v>
      </c>
      <c r="B8" t="s">
        <v>6846</v>
      </c>
      <c r="C8" t="s">
        <v>5166</v>
      </c>
      <c r="D8" t="s">
        <v>3649</v>
      </c>
      <c r="E8" t="s">
        <v>3452</v>
      </c>
      <c r="F8" t="s">
        <v>3452</v>
      </c>
    </row>
    <row r="9" spans="1:6" ht="15" customHeight="1" x14ac:dyDescent="0.25">
      <c r="A9" t="s">
        <v>6847</v>
      </c>
      <c r="B9" t="s">
        <v>6848</v>
      </c>
      <c r="C9" t="s">
        <v>5169</v>
      </c>
      <c r="D9" t="s">
        <v>5715</v>
      </c>
      <c r="E9" t="s">
        <v>3975</v>
      </c>
      <c r="F9" t="s">
        <v>41</v>
      </c>
    </row>
    <row r="10" spans="1:6" ht="15" customHeight="1" x14ac:dyDescent="0.25">
      <c r="A10" t="s">
        <v>6849</v>
      </c>
      <c r="B10" t="s">
        <v>6850</v>
      </c>
      <c r="C10" t="s">
        <v>6835</v>
      </c>
      <c r="D10" t="s">
        <v>3649</v>
      </c>
      <c r="E10" t="s">
        <v>5016</v>
      </c>
      <c r="F10" t="s">
        <v>41</v>
      </c>
    </row>
    <row r="11" spans="1:6" ht="15" customHeight="1" x14ac:dyDescent="0.25">
      <c r="A11" t="s">
        <v>6851</v>
      </c>
      <c r="B11" t="s">
        <v>6852</v>
      </c>
      <c r="C11" t="s">
        <v>6840</v>
      </c>
      <c r="D11" t="s">
        <v>3435</v>
      </c>
      <c r="E11" t="s">
        <v>3452</v>
      </c>
      <c r="F11" t="s">
        <v>3508</v>
      </c>
    </row>
    <row r="12" spans="1:6" ht="15" customHeight="1" x14ac:dyDescent="0.25">
      <c r="A12" t="s">
        <v>6853</v>
      </c>
      <c r="B12" t="s">
        <v>6854</v>
      </c>
      <c r="C12" t="s">
        <v>5169</v>
      </c>
      <c r="D12" t="s">
        <v>3649</v>
      </c>
      <c r="E12" t="s">
        <v>5016</v>
      </c>
      <c r="F12" t="s">
        <v>41</v>
      </c>
    </row>
    <row r="13" spans="1:6" ht="15" customHeight="1" x14ac:dyDescent="0.25">
      <c r="A13" t="s">
        <v>6855</v>
      </c>
      <c r="B13" t="s">
        <v>6856</v>
      </c>
      <c r="C13" t="s">
        <v>6835</v>
      </c>
      <c r="D13" t="s">
        <v>3649</v>
      </c>
      <c r="E13" t="s">
        <v>3452</v>
      </c>
      <c r="F13" t="s">
        <v>3452</v>
      </c>
    </row>
    <row r="14" spans="1:6" ht="15" customHeight="1" x14ac:dyDescent="0.25">
      <c r="A14" t="s">
        <v>6857</v>
      </c>
      <c r="B14" t="s">
        <v>6858</v>
      </c>
      <c r="C14" t="s">
        <v>6835</v>
      </c>
      <c r="D14" t="s">
        <v>3649</v>
      </c>
      <c r="E14" t="s">
        <v>3452</v>
      </c>
      <c r="F14" t="s">
        <v>3452</v>
      </c>
    </row>
    <row r="15" spans="1:6" ht="15" customHeight="1" x14ac:dyDescent="0.25">
      <c r="A15" t="s">
        <v>6859</v>
      </c>
      <c r="B15" t="s">
        <v>6860</v>
      </c>
      <c r="C15" t="s">
        <v>5169</v>
      </c>
      <c r="D15" t="s">
        <v>5715</v>
      </c>
      <c r="E15" t="s">
        <v>6861</v>
      </c>
      <c r="F15" t="s">
        <v>3496</v>
      </c>
    </row>
    <row r="16" spans="1:6" ht="15" customHeight="1" x14ac:dyDescent="0.25">
      <c r="A16" t="s">
        <v>6862</v>
      </c>
      <c r="B16" t="s">
        <v>6863</v>
      </c>
      <c r="C16" t="s">
        <v>6835</v>
      </c>
      <c r="D16" t="s">
        <v>6862</v>
      </c>
      <c r="E16" t="s">
        <v>3452</v>
      </c>
      <c r="F16" t="s">
        <v>41</v>
      </c>
    </row>
    <row r="17" spans="1:6" ht="15" customHeight="1" x14ac:dyDescent="0.25">
      <c r="A17" t="s">
        <v>6153</v>
      </c>
      <c r="B17" t="s">
        <v>6864</v>
      </c>
      <c r="C17" t="s">
        <v>6835</v>
      </c>
      <c r="D17" t="s">
        <v>3649</v>
      </c>
      <c r="E17" t="s">
        <v>3975</v>
      </c>
      <c r="F17" t="s">
        <v>3452</v>
      </c>
    </row>
    <row r="18" spans="1:6" ht="15" customHeight="1" x14ac:dyDescent="0.25">
      <c r="A18" t="s">
        <v>5668</v>
      </c>
      <c r="B18" t="s">
        <v>6865</v>
      </c>
      <c r="C18" t="s">
        <v>6835</v>
      </c>
      <c r="D18" t="s">
        <v>3649</v>
      </c>
      <c r="E18" t="s">
        <v>5016</v>
      </c>
      <c r="F18" t="s">
        <v>3496</v>
      </c>
    </row>
    <row r="19" spans="1:6" ht="15" customHeight="1" x14ac:dyDescent="0.25">
      <c r="A19" t="s">
        <v>6866</v>
      </c>
      <c r="B19" t="s">
        <v>6867</v>
      </c>
      <c r="C19" t="s">
        <v>6835</v>
      </c>
      <c r="D19" t="s">
        <v>3649</v>
      </c>
      <c r="E19" t="s">
        <v>3452</v>
      </c>
      <c r="F19" t="s">
        <v>3452</v>
      </c>
    </row>
    <row r="20" spans="1:6" ht="15" customHeight="1" x14ac:dyDescent="0.25">
      <c r="A20" t="s">
        <v>6868</v>
      </c>
      <c r="B20" t="s">
        <v>6869</v>
      </c>
      <c r="C20" t="s">
        <v>5166</v>
      </c>
      <c r="D20" t="s">
        <v>3649</v>
      </c>
      <c r="E20" t="s">
        <v>3452</v>
      </c>
      <c r="F20" t="s">
        <v>3452</v>
      </c>
    </row>
    <row r="21" spans="1:6" ht="15" customHeight="1" x14ac:dyDescent="0.25">
      <c r="A21" t="s">
        <v>6870</v>
      </c>
      <c r="B21" t="s">
        <v>6871</v>
      </c>
      <c r="C21" t="s">
        <v>6840</v>
      </c>
      <c r="D21" t="s">
        <v>6870</v>
      </c>
      <c r="E21" t="s">
        <v>6861</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5691</v>
      </c>
      <c r="C1" t="s">
        <v>6</v>
      </c>
      <c r="D1" t="s">
        <v>3447</v>
      </c>
      <c r="E1" t="s">
        <v>6370</v>
      </c>
      <c r="F1" t="s">
        <v>6872</v>
      </c>
      <c r="G1" t="s">
        <v>1</v>
      </c>
      <c r="H1" t="s">
        <v>6371</v>
      </c>
      <c r="I1" t="s">
        <v>171</v>
      </c>
    </row>
    <row r="2" spans="1:9" ht="15" customHeight="1" x14ac:dyDescent="0.25">
      <c r="A2" t="s">
        <v>6873</v>
      </c>
      <c r="B2">
        <v>6</v>
      </c>
      <c r="C2" t="s">
        <v>3496</v>
      </c>
      <c r="D2" t="s">
        <v>6874</v>
      </c>
      <c r="E2" t="s">
        <v>3452</v>
      </c>
      <c r="F2" t="s">
        <v>3990</v>
      </c>
      <c r="G2" t="s">
        <v>2361</v>
      </c>
      <c r="H2" t="s">
        <v>5379</v>
      </c>
      <c r="I2" t="s">
        <v>6873</v>
      </c>
    </row>
    <row r="3" spans="1:9" ht="15" customHeight="1" x14ac:dyDescent="0.25">
      <c r="A3" t="s">
        <v>6875</v>
      </c>
      <c r="B3">
        <v>3</v>
      </c>
      <c r="C3" t="s">
        <v>3508</v>
      </c>
      <c r="D3" t="s">
        <v>6876</v>
      </c>
      <c r="E3" t="s">
        <v>3452</v>
      </c>
      <c r="F3" t="s">
        <v>187</v>
      </c>
      <c r="G3" t="s">
        <v>2361</v>
      </c>
      <c r="H3" t="s">
        <v>3452</v>
      </c>
      <c r="I3" t="s">
        <v>6875</v>
      </c>
    </row>
    <row r="4" spans="1:9" ht="15" customHeight="1" x14ac:dyDescent="0.25">
      <c r="A4" t="s">
        <v>6877</v>
      </c>
      <c r="B4">
        <v>3</v>
      </c>
      <c r="C4" t="s">
        <v>3496</v>
      </c>
      <c r="D4" t="s">
        <v>6878</v>
      </c>
      <c r="E4" t="s">
        <v>5407</v>
      </c>
      <c r="F4" t="s">
        <v>187</v>
      </c>
      <c r="G4" t="s">
        <v>2361</v>
      </c>
      <c r="H4" t="s">
        <v>3452</v>
      </c>
      <c r="I4" t="s">
        <v>6877</v>
      </c>
    </row>
    <row r="5" spans="1:9" ht="15" customHeight="1" x14ac:dyDescent="0.25">
      <c r="A5" t="s">
        <v>6879</v>
      </c>
      <c r="B5">
        <v>6</v>
      </c>
      <c r="C5" t="s">
        <v>3496</v>
      </c>
      <c r="D5" t="s">
        <v>6880</v>
      </c>
      <c r="E5" t="s">
        <v>3452</v>
      </c>
      <c r="F5" t="s">
        <v>187</v>
      </c>
      <c r="G5" t="s">
        <v>2361</v>
      </c>
      <c r="H5" t="s">
        <v>4254</v>
      </c>
      <c r="I5" t="s">
        <v>6879</v>
      </c>
    </row>
    <row r="6" spans="1:9" ht="15" customHeight="1" x14ac:dyDescent="0.25">
      <c r="A6" t="s">
        <v>3995</v>
      </c>
      <c r="B6">
        <v>1</v>
      </c>
      <c r="C6" t="s">
        <v>3508</v>
      </c>
      <c r="D6" t="s">
        <v>6881</v>
      </c>
      <c r="E6" t="s">
        <v>3452</v>
      </c>
      <c r="F6" t="s">
        <v>187</v>
      </c>
      <c r="G6" t="s">
        <v>2361</v>
      </c>
      <c r="H6" t="s">
        <v>4254</v>
      </c>
      <c r="I6" t="s">
        <v>3995</v>
      </c>
    </row>
    <row r="7" spans="1:9" ht="15" customHeight="1" x14ac:dyDescent="0.25">
      <c r="A7" t="s">
        <v>6882</v>
      </c>
      <c r="B7">
        <v>3</v>
      </c>
      <c r="C7" t="s">
        <v>3496</v>
      </c>
      <c r="D7" t="s">
        <v>6883</v>
      </c>
      <c r="E7" t="s">
        <v>3452</v>
      </c>
      <c r="F7" t="s">
        <v>187</v>
      </c>
      <c r="G7" t="s">
        <v>2361</v>
      </c>
      <c r="H7" t="s">
        <v>3452</v>
      </c>
      <c r="I7" t="s">
        <v>6882</v>
      </c>
    </row>
    <row r="8" spans="1:9" ht="15" customHeight="1" x14ac:dyDescent="0.25">
      <c r="A8" t="s">
        <v>6884</v>
      </c>
      <c r="B8">
        <v>1</v>
      </c>
      <c r="C8" t="s">
        <v>3508</v>
      </c>
      <c r="D8" t="s">
        <v>6885</v>
      </c>
      <c r="E8" t="s">
        <v>5405</v>
      </c>
      <c r="F8" t="s">
        <v>187</v>
      </c>
      <c r="G8" t="s">
        <v>2361</v>
      </c>
      <c r="H8" t="s">
        <v>3452</v>
      </c>
      <c r="I8" t="s">
        <v>6884</v>
      </c>
    </row>
    <row r="9" spans="1:9" ht="15" customHeight="1" x14ac:dyDescent="0.25">
      <c r="A9" t="s">
        <v>6886</v>
      </c>
      <c r="B9">
        <v>2</v>
      </c>
      <c r="C9" t="s">
        <v>41</v>
      </c>
      <c r="D9" t="s">
        <v>4551</v>
      </c>
      <c r="E9" t="s">
        <v>5422</v>
      </c>
      <c r="F9" t="s">
        <v>3990</v>
      </c>
      <c r="G9" t="s">
        <v>2361</v>
      </c>
      <c r="H9" t="s">
        <v>3452</v>
      </c>
      <c r="I9" t="s">
        <v>6886</v>
      </c>
    </row>
    <row r="10" spans="1:9" ht="15" customHeight="1" x14ac:dyDescent="0.25">
      <c r="A10" t="s">
        <v>6887</v>
      </c>
      <c r="B10">
        <v>1</v>
      </c>
      <c r="C10" t="s">
        <v>3496</v>
      </c>
      <c r="D10" t="s">
        <v>6888</v>
      </c>
      <c r="E10" t="s">
        <v>5405</v>
      </c>
      <c r="F10" t="s">
        <v>3990</v>
      </c>
      <c r="G10" t="s">
        <v>2361</v>
      </c>
      <c r="H10" t="s">
        <v>5376</v>
      </c>
      <c r="I10" t="s">
        <v>6887</v>
      </c>
    </row>
    <row r="11" spans="1:9" ht="15" customHeight="1" x14ac:dyDescent="0.25">
      <c r="A11" t="s">
        <v>6889</v>
      </c>
      <c r="B11">
        <v>15</v>
      </c>
      <c r="C11" t="s">
        <v>3496</v>
      </c>
      <c r="D11" t="s">
        <v>6890</v>
      </c>
      <c r="E11" t="s">
        <v>3452</v>
      </c>
      <c r="F11" t="s">
        <v>3990</v>
      </c>
      <c r="G11" t="s">
        <v>2361</v>
      </c>
      <c r="H11" t="s">
        <v>5379</v>
      </c>
      <c r="I11" t="s">
        <v>6889</v>
      </c>
    </row>
    <row r="12" spans="1:9" ht="15" customHeight="1" x14ac:dyDescent="0.25">
      <c r="A12" t="s">
        <v>6891</v>
      </c>
      <c r="B12">
        <v>2</v>
      </c>
      <c r="C12" t="s">
        <v>41</v>
      </c>
      <c r="D12" t="s">
        <v>6892</v>
      </c>
      <c r="E12" t="s">
        <v>3452</v>
      </c>
      <c r="F12" t="s">
        <v>3990</v>
      </c>
      <c r="G12" t="s">
        <v>2361</v>
      </c>
      <c r="H12" t="s">
        <v>5376</v>
      </c>
      <c r="I12" t="s">
        <v>6891</v>
      </c>
    </row>
    <row r="13" spans="1:9" ht="15" customHeight="1" x14ac:dyDescent="0.25">
      <c r="A13" t="s">
        <v>6893</v>
      </c>
      <c r="B13">
        <v>3</v>
      </c>
      <c r="C13" t="s">
        <v>3496</v>
      </c>
      <c r="D13" t="s">
        <v>6894</v>
      </c>
      <c r="E13" t="s">
        <v>3452</v>
      </c>
      <c r="F13" t="s">
        <v>187</v>
      </c>
      <c r="G13" t="s">
        <v>2361</v>
      </c>
      <c r="H13" t="s">
        <v>5247</v>
      </c>
      <c r="I13" t="s">
        <v>6893</v>
      </c>
    </row>
    <row r="14" spans="1:9" ht="15" customHeight="1" x14ac:dyDescent="0.25">
      <c r="A14" t="s">
        <v>6895</v>
      </c>
      <c r="B14">
        <v>1</v>
      </c>
      <c r="C14" t="s">
        <v>41</v>
      </c>
      <c r="D14" t="s">
        <v>6896</v>
      </c>
      <c r="E14" t="s">
        <v>5405</v>
      </c>
      <c r="F14" t="s">
        <v>187</v>
      </c>
      <c r="G14" t="s">
        <v>2361</v>
      </c>
      <c r="H14" t="s">
        <v>3452</v>
      </c>
      <c r="I14" t="s">
        <v>6895</v>
      </c>
    </row>
    <row r="15" spans="1:9" ht="15" customHeight="1" x14ac:dyDescent="0.25">
      <c r="A15" t="s">
        <v>6897</v>
      </c>
      <c r="B15">
        <v>2</v>
      </c>
      <c r="C15" t="s">
        <v>41</v>
      </c>
      <c r="D15" t="s">
        <v>6898</v>
      </c>
      <c r="E15" t="s">
        <v>5452</v>
      </c>
      <c r="F15" t="s">
        <v>187</v>
      </c>
      <c r="G15" t="s">
        <v>2361</v>
      </c>
      <c r="H15" t="s">
        <v>5382</v>
      </c>
      <c r="I15" t="s">
        <v>6897</v>
      </c>
    </row>
    <row r="16" spans="1:9" ht="15" customHeight="1" x14ac:dyDescent="0.25">
      <c r="A16" t="s">
        <v>6899</v>
      </c>
      <c r="B16">
        <v>2</v>
      </c>
      <c r="C16" t="s">
        <v>41</v>
      </c>
      <c r="D16" t="s">
        <v>6900</v>
      </c>
      <c r="E16" t="s">
        <v>5452</v>
      </c>
      <c r="F16" t="s">
        <v>187</v>
      </c>
      <c r="G16" t="s">
        <v>2361</v>
      </c>
      <c r="H16" t="s">
        <v>5382</v>
      </c>
      <c r="I16" t="s">
        <v>6899</v>
      </c>
    </row>
    <row r="17" spans="1:9" ht="15" customHeight="1" x14ac:dyDescent="0.25">
      <c r="A17" t="s">
        <v>6901</v>
      </c>
      <c r="B17">
        <v>3</v>
      </c>
      <c r="C17" t="s">
        <v>3508</v>
      </c>
      <c r="D17" t="s">
        <v>6902</v>
      </c>
      <c r="E17" t="s">
        <v>3452</v>
      </c>
      <c r="F17" t="s">
        <v>187</v>
      </c>
      <c r="G17" t="s">
        <v>2361</v>
      </c>
      <c r="H17" t="s">
        <v>5391</v>
      </c>
      <c r="I17" t="s">
        <v>6901</v>
      </c>
    </row>
    <row r="18" spans="1:9" ht="15" customHeight="1" x14ac:dyDescent="0.25">
      <c r="A18" t="s">
        <v>6903</v>
      </c>
      <c r="B18">
        <v>3</v>
      </c>
      <c r="C18" t="s">
        <v>41</v>
      </c>
      <c r="D18" t="s">
        <v>6904</v>
      </c>
      <c r="E18" t="s">
        <v>5452</v>
      </c>
      <c r="F18" t="s">
        <v>187</v>
      </c>
      <c r="G18" t="s">
        <v>2361</v>
      </c>
      <c r="H18" t="s">
        <v>4254</v>
      </c>
      <c r="I18" t="s">
        <v>6903</v>
      </c>
    </row>
    <row r="19" spans="1:9" ht="15" customHeight="1" x14ac:dyDescent="0.25">
      <c r="A19" t="s">
        <v>6905</v>
      </c>
      <c r="B19">
        <v>4</v>
      </c>
      <c r="C19" t="s">
        <v>41</v>
      </c>
      <c r="D19" t="s">
        <v>6906</v>
      </c>
      <c r="E19" t="s">
        <v>5400</v>
      </c>
      <c r="F19" t="s">
        <v>187</v>
      </c>
      <c r="G19" t="s">
        <v>2361</v>
      </c>
      <c r="H19" t="s">
        <v>5382</v>
      </c>
      <c r="I19" t="s">
        <v>6905</v>
      </c>
    </row>
    <row r="20" spans="1:9" ht="15" customHeight="1" x14ac:dyDescent="0.25">
      <c r="A20" t="s">
        <v>6907</v>
      </c>
      <c r="B20">
        <v>2</v>
      </c>
      <c r="C20" t="s">
        <v>3508</v>
      </c>
      <c r="D20" t="s">
        <v>6908</v>
      </c>
      <c r="E20" t="s">
        <v>5405</v>
      </c>
      <c r="F20" t="s">
        <v>3990</v>
      </c>
      <c r="G20" t="s">
        <v>2361</v>
      </c>
      <c r="H20" t="s">
        <v>5384</v>
      </c>
      <c r="I20" t="s">
        <v>6907</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6909</v>
      </c>
      <c r="D1" t="s">
        <v>1</v>
      </c>
      <c r="E1" t="s">
        <v>7</v>
      </c>
    </row>
    <row r="2" spans="1:5" ht="15" customHeight="1" x14ac:dyDescent="0.25">
      <c r="A2" t="s">
        <v>6910</v>
      </c>
      <c r="B2" t="s">
        <v>41</v>
      </c>
      <c r="C2" t="s">
        <v>4368</v>
      </c>
      <c r="D2" t="s">
        <v>1294</v>
      </c>
      <c r="E2" t="s">
        <v>6911</v>
      </c>
    </row>
    <row r="3" spans="1:5" ht="15" customHeight="1" x14ac:dyDescent="0.25">
      <c r="A3" t="s">
        <v>6912</v>
      </c>
      <c r="B3" t="s">
        <v>3508</v>
      </c>
      <c r="C3" t="s">
        <v>4368</v>
      </c>
      <c r="D3" t="s">
        <v>1294</v>
      </c>
      <c r="E3" t="s">
        <v>6913</v>
      </c>
    </row>
    <row r="4" spans="1:5" ht="15" customHeight="1" x14ac:dyDescent="0.25">
      <c r="A4" t="s">
        <v>6914</v>
      </c>
      <c r="B4" t="s">
        <v>3496</v>
      </c>
      <c r="C4" t="s">
        <v>4368</v>
      </c>
      <c r="D4" t="s">
        <v>1294</v>
      </c>
      <c r="E4" t="s">
        <v>6915</v>
      </c>
    </row>
    <row r="5" spans="1:5" ht="15" customHeight="1" x14ac:dyDescent="0.25">
      <c r="A5" t="s">
        <v>6916</v>
      </c>
      <c r="B5" t="s">
        <v>41</v>
      </c>
      <c r="C5" t="s">
        <v>4366</v>
      </c>
      <c r="D5" t="s">
        <v>1294</v>
      </c>
      <c r="E5" t="s">
        <v>6917</v>
      </c>
    </row>
    <row r="6" spans="1:5" ht="15" customHeight="1" x14ac:dyDescent="0.25">
      <c r="A6" t="s">
        <v>6918</v>
      </c>
      <c r="B6" t="s">
        <v>3508</v>
      </c>
      <c r="C6" t="s">
        <v>4366</v>
      </c>
      <c r="D6" t="s">
        <v>1294</v>
      </c>
      <c r="E6" t="s">
        <v>6919</v>
      </c>
    </row>
    <row r="7" spans="1:5" ht="15" customHeight="1" x14ac:dyDescent="0.25">
      <c r="A7" t="s">
        <v>6920</v>
      </c>
      <c r="B7" t="s">
        <v>3496</v>
      </c>
      <c r="C7" t="s">
        <v>4366</v>
      </c>
      <c r="D7" t="s">
        <v>1294</v>
      </c>
      <c r="E7" t="s">
        <v>6921</v>
      </c>
    </row>
    <row r="8" spans="1:5" ht="15" customHeight="1" x14ac:dyDescent="0.25">
      <c r="A8" t="s">
        <v>6922</v>
      </c>
      <c r="B8" t="s">
        <v>41</v>
      </c>
      <c r="C8" t="s">
        <v>4375</v>
      </c>
      <c r="D8" t="s">
        <v>1294</v>
      </c>
      <c r="E8" t="s">
        <v>6923</v>
      </c>
    </row>
    <row r="9" spans="1:5" ht="15" customHeight="1" x14ac:dyDescent="0.25">
      <c r="A9" t="s">
        <v>6924</v>
      </c>
      <c r="B9" t="s">
        <v>3508</v>
      </c>
      <c r="C9" t="s">
        <v>4375</v>
      </c>
      <c r="D9" t="s">
        <v>1294</v>
      </c>
      <c r="E9" t="s">
        <v>6925</v>
      </c>
    </row>
    <row r="10" spans="1:5" ht="15" customHeight="1" x14ac:dyDescent="0.25">
      <c r="A10" t="s">
        <v>6926</v>
      </c>
      <c r="B10" t="s">
        <v>3496</v>
      </c>
      <c r="C10" t="s">
        <v>4375</v>
      </c>
      <c r="D10" t="s">
        <v>1294</v>
      </c>
      <c r="E10" t="s">
        <v>6927</v>
      </c>
    </row>
    <row r="11" spans="1:5" ht="15" customHeight="1" x14ac:dyDescent="0.25">
      <c r="A11" t="s">
        <v>6928</v>
      </c>
      <c r="B11" t="s">
        <v>41</v>
      </c>
      <c r="C11" t="s">
        <v>4357</v>
      </c>
      <c r="D11" t="s">
        <v>1294</v>
      </c>
      <c r="E11" t="s">
        <v>6929</v>
      </c>
    </row>
    <row r="12" spans="1:5" ht="15" customHeight="1" x14ac:dyDescent="0.25">
      <c r="A12" t="s">
        <v>6930</v>
      </c>
      <c r="B12" t="s">
        <v>3508</v>
      </c>
      <c r="C12" t="s">
        <v>4357</v>
      </c>
      <c r="D12" t="s">
        <v>1294</v>
      </c>
      <c r="E12" t="s">
        <v>6931</v>
      </c>
    </row>
    <row r="13" spans="1:5" ht="15" customHeight="1" x14ac:dyDescent="0.25">
      <c r="A13" t="s">
        <v>6932</v>
      </c>
      <c r="B13" t="s">
        <v>3496</v>
      </c>
      <c r="C13" t="s">
        <v>4357</v>
      </c>
      <c r="D13" t="s">
        <v>1294</v>
      </c>
      <c r="E13" t="s">
        <v>6933</v>
      </c>
    </row>
    <row r="14" spans="1:5" ht="15" customHeight="1" x14ac:dyDescent="0.25">
      <c r="A14" t="s">
        <v>6934</v>
      </c>
      <c r="B14" t="s">
        <v>41</v>
      </c>
      <c r="C14" t="s">
        <v>4382</v>
      </c>
      <c r="D14" t="s">
        <v>1294</v>
      </c>
      <c r="E14" t="s">
        <v>6935</v>
      </c>
    </row>
    <row r="15" spans="1:5" ht="15" customHeight="1" x14ac:dyDescent="0.25">
      <c r="A15" t="s">
        <v>6936</v>
      </c>
      <c r="B15" t="s">
        <v>3508</v>
      </c>
      <c r="C15" t="s">
        <v>4382</v>
      </c>
      <c r="D15" t="s">
        <v>1294</v>
      </c>
      <c r="E15" t="s">
        <v>6937</v>
      </c>
    </row>
    <row r="16" spans="1:5" ht="15" customHeight="1" x14ac:dyDescent="0.25">
      <c r="A16" t="s">
        <v>6938</v>
      </c>
      <c r="B16" t="s">
        <v>3496</v>
      </c>
      <c r="C16" t="s">
        <v>4382</v>
      </c>
      <c r="D16" t="s">
        <v>1294</v>
      </c>
      <c r="E16" t="s">
        <v>6939</v>
      </c>
    </row>
    <row r="17" spans="1:5" ht="15" customHeight="1" x14ac:dyDescent="0.25">
      <c r="A17" t="s">
        <v>6940</v>
      </c>
      <c r="B17" t="s">
        <v>41</v>
      </c>
      <c r="C17" t="s">
        <v>4389</v>
      </c>
      <c r="D17" t="s">
        <v>1294</v>
      </c>
      <c r="E17" t="s">
        <v>6941</v>
      </c>
    </row>
    <row r="18" spans="1:5" ht="15" customHeight="1" x14ac:dyDescent="0.25">
      <c r="A18" t="s">
        <v>6942</v>
      </c>
      <c r="B18" t="s">
        <v>3508</v>
      </c>
      <c r="C18" t="s">
        <v>4389</v>
      </c>
      <c r="D18" t="s">
        <v>1294</v>
      </c>
      <c r="E18" t="s">
        <v>6943</v>
      </c>
    </row>
    <row r="19" spans="1:5" ht="15" customHeight="1" x14ac:dyDescent="0.25">
      <c r="A19" t="s">
        <v>6944</v>
      </c>
      <c r="B19" t="s">
        <v>3496</v>
      </c>
      <c r="C19" t="s">
        <v>4389</v>
      </c>
      <c r="D19" t="s">
        <v>1294</v>
      </c>
      <c r="E19" t="s">
        <v>6945</v>
      </c>
    </row>
    <row r="20" spans="1:5" ht="15" customHeight="1" x14ac:dyDescent="0.25">
      <c r="A20" t="s">
        <v>6946</v>
      </c>
      <c r="B20" t="s">
        <v>41</v>
      </c>
      <c r="C20" t="s">
        <v>4389</v>
      </c>
      <c r="D20" t="s">
        <v>709</v>
      </c>
      <c r="E20" t="s">
        <v>6947</v>
      </c>
    </row>
    <row r="21" spans="1:5" ht="15" customHeight="1" x14ac:dyDescent="0.25">
      <c r="A21" t="s">
        <v>6948</v>
      </c>
      <c r="B21" t="s">
        <v>41</v>
      </c>
      <c r="C21" t="s">
        <v>4389</v>
      </c>
      <c r="D21" t="s">
        <v>709</v>
      </c>
      <c r="E21" t="s">
        <v>6949</v>
      </c>
    </row>
    <row r="22" spans="1:5" ht="15" customHeight="1" x14ac:dyDescent="0.25">
      <c r="A22" t="s">
        <v>6950</v>
      </c>
      <c r="B22" t="s">
        <v>3508</v>
      </c>
      <c r="C22" t="s">
        <v>4389</v>
      </c>
      <c r="D22" t="s">
        <v>709</v>
      </c>
      <c r="E22" t="s">
        <v>6951</v>
      </c>
    </row>
    <row r="23" spans="1:5" ht="15" customHeight="1" x14ac:dyDescent="0.25">
      <c r="A23" t="s">
        <v>6952</v>
      </c>
      <c r="B23" t="s">
        <v>3508</v>
      </c>
      <c r="C23" t="s">
        <v>4389</v>
      </c>
      <c r="D23" t="s">
        <v>709</v>
      </c>
      <c r="E23" t="s">
        <v>6953</v>
      </c>
    </row>
    <row r="24" spans="1:5" ht="15" customHeight="1" x14ac:dyDescent="0.25">
      <c r="A24" t="s">
        <v>6954</v>
      </c>
      <c r="B24" t="s">
        <v>3496</v>
      </c>
      <c r="C24" t="s">
        <v>4389</v>
      </c>
      <c r="D24" t="s">
        <v>709</v>
      </c>
      <c r="E24" t="s">
        <v>6955</v>
      </c>
    </row>
    <row r="25" spans="1:5" ht="15" customHeight="1" x14ac:dyDescent="0.25">
      <c r="A25" t="s">
        <v>6956</v>
      </c>
      <c r="B25" t="s">
        <v>3496</v>
      </c>
      <c r="C25" t="s">
        <v>4389</v>
      </c>
      <c r="D25" t="s">
        <v>709</v>
      </c>
      <c r="E25" t="s">
        <v>6957</v>
      </c>
    </row>
    <row r="26" spans="1:5" ht="15" customHeight="1" x14ac:dyDescent="0.25">
      <c r="A26" t="s">
        <v>6958</v>
      </c>
      <c r="B26" t="s">
        <v>3496</v>
      </c>
      <c r="C26" t="s">
        <v>4389</v>
      </c>
      <c r="D26" t="s">
        <v>709</v>
      </c>
      <c r="E26" t="s">
        <v>6959</v>
      </c>
    </row>
    <row r="27" spans="1:5" ht="15" customHeight="1" x14ac:dyDescent="0.25">
      <c r="A27" t="s">
        <v>6960</v>
      </c>
      <c r="B27" t="s">
        <v>3496</v>
      </c>
      <c r="C27" t="s">
        <v>4389</v>
      </c>
      <c r="D27" t="s">
        <v>709</v>
      </c>
      <c r="E27" t="s">
        <v>6961</v>
      </c>
    </row>
    <row r="28" spans="1:5" ht="15" customHeight="1" x14ac:dyDescent="0.25">
      <c r="A28" t="s">
        <v>6962</v>
      </c>
      <c r="B28" t="s">
        <v>3496</v>
      </c>
      <c r="C28" t="s">
        <v>4389</v>
      </c>
      <c r="D28" t="s">
        <v>709</v>
      </c>
      <c r="E28" t="s">
        <v>6963</v>
      </c>
    </row>
    <row r="29" spans="1:5" ht="15" customHeight="1" x14ac:dyDescent="0.25">
      <c r="A29" t="s">
        <v>6964</v>
      </c>
      <c r="B29" t="s">
        <v>3508</v>
      </c>
      <c r="C29" t="s">
        <v>4366</v>
      </c>
      <c r="D29" t="s">
        <v>918</v>
      </c>
      <c r="E29" t="s">
        <v>6965</v>
      </c>
    </row>
    <row r="30" spans="1:5" ht="15" customHeight="1" x14ac:dyDescent="0.25">
      <c r="A30" t="s">
        <v>6966</v>
      </c>
      <c r="B30" t="s">
        <v>3508</v>
      </c>
      <c r="C30" t="s">
        <v>6967</v>
      </c>
      <c r="D30" t="s">
        <v>918</v>
      </c>
      <c r="E30" t="s">
        <v>6968</v>
      </c>
    </row>
    <row r="31" spans="1:5" ht="15" customHeight="1" x14ac:dyDescent="0.25">
      <c r="A31" t="s">
        <v>6969</v>
      </c>
      <c r="B31" t="s">
        <v>41</v>
      </c>
      <c r="C31" t="s">
        <v>4395</v>
      </c>
      <c r="D31" t="s">
        <v>918</v>
      </c>
      <c r="E31" t="s">
        <v>6970</v>
      </c>
    </row>
    <row r="32" spans="1:5" ht="15" customHeight="1" x14ac:dyDescent="0.25">
      <c r="A32" t="s">
        <v>6971</v>
      </c>
      <c r="B32" t="s">
        <v>3496</v>
      </c>
      <c r="C32" t="s">
        <v>4389</v>
      </c>
      <c r="D32" t="s">
        <v>918</v>
      </c>
      <c r="E32" t="s">
        <v>6972</v>
      </c>
    </row>
    <row r="33" spans="1:5" ht="15" customHeight="1" x14ac:dyDescent="0.25">
      <c r="A33" t="s">
        <v>6973</v>
      </c>
      <c r="B33" t="s">
        <v>41</v>
      </c>
      <c r="C33" t="s">
        <v>4395</v>
      </c>
      <c r="D33" t="s">
        <v>918</v>
      </c>
      <c r="E33" t="s">
        <v>6974</v>
      </c>
    </row>
    <row r="34" spans="1:5" ht="15" customHeight="1" x14ac:dyDescent="0.25">
      <c r="A34" t="s">
        <v>6975</v>
      </c>
      <c r="B34" t="s">
        <v>3508</v>
      </c>
      <c r="C34" t="s">
        <v>4389</v>
      </c>
      <c r="D34" t="s">
        <v>918</v>
      </c>
      <c r="E34" t="s">
        <v>6976</v>
      </c>
    </row>
    <row r="35" spans="1:5" ht="15" customHeight="1" x14ac:dyDescent="0.25">
      <c r="A35" t="s">
        <v>6977</v>
      </c>
      <c r="B35" t="s">
        <v>41</v>
      </c>
      <c r="C35" t="s">
        <v>4389</v>
      </c>
      <c r="D35" t="s">
        <v>918</v>
      </c>
      <c r="E35" t="s">
        <v>6978</v>
      </c>
    </row>
    <row r="36" spans="1:5" ht="15" customHeight="1" x14ac:dyDescent="0.25">
      <c r="A36" t="s">
        <v>6979</v>
      </c>
      <c r="B36" t="s">
        <v>41</v>
      </c>
      <c r="C36" t="s">
        <v>4389</v>
      </c>
      <c r="D36" t="s">
        <v>918</v>
      </c>
      <c r="E36" t="s">
        <v>6980</v>
      </c>
    </row>
    <row r="37" spans="1:5" ht="15" customHeight="1" x14ac:dyDescent="0.25">
      <c r="A37" t="s">
        <v>6981</v>
      </c>
      <c r="B37" t="s">
        <v>41</v>
      </c>
      <c r="C37" t="s">
        <v>4368</v>
      </c>
      <c r="D37" t="s">
        <v>1298</v>
      </c>
      <c r="E37" t="s">
        <v>6982</v>
      </c>
    </row>
    <row r="38" spans="1:5" ht="15" customHeight="1" x14ac:dyDescent="0.25">
      <c r="A38" t="s">
        <v>6983</v>
      </c>
      <c r="B38" t="s">
        <v>3508</v>
      </c>
      <c r="C38" t="s">
        <v>4368</v>
      </c>
      <c r="D38" t="s">
        <v>1298</v>
      </c>
      <c r="E38" t="s">
        <v>6984</v>
      </c>
    </row>
    <row r="39" spans="1:5" ht="15" customHeight="1" x14ac:dyDescent="0.25">
      <c r="A39" t="s">
        <v>6985</v>
      </c>
      <c r="B39" t="s">
        <v>3496</v>
      </c>
      <c r="C39" t="s">
        <v>4368</v>
      </c>
      <c r="D39" t="s">
        <v>1298</v>
      </c>
      <c r="E39" t="s">
        <v>6986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5010</v>
      </c>
      <c r="E1" s="9" t="s">
        <v>5011</v>
      </c>
      <c r="F1" s="9" t="s">
        <v>5012</v>
      </c>
      <c r="G1" t="s">
        <v>3732</v>
      </c>
      <c r="H1" t="s">
        <v>1</v>
      </c>
      <c r="I1" t="s">
        <v>5013</v>
      </c>
      <c r="J1" t="s">
        <v>6987</v>
      </c>
      <c r="K1" t="s">
        <v>171</v>
      </c>
      <c r="L1" t="s">
        <v>5015</v>
      </c>
      <c r="M1" t="s">
        <v>3733</v>
      </c>
    </row>
    <row r="2" spans="1:13" ht="15" customHeight="1" x14ac:dyDescent="0.25">
      <c r="A2" t="s">
        <v>6988</v>
      </c>
      <c r="B2" t="s">
        <v>3975</v>
      </c>
      <c r="C2" t="s">
        <v>4356</v>
      </c>
      <c r="D2">
        <v>2</v>
      </c>
      <c r="E2" s="9">
        <v>30</v>
      </c>
      <c r="F2" s="9">
        <v>34</v>
      </c>
      <c r="G2" t="s">
        <v>6989</v>
      </c>
      <c r="H2" t="s">
        <v>2132</v>
      </c>
      <c r="I2" t="s">
        <v>4389</v>
      </c>
      <c r="J2" t="s">
        <v>6990</v>
      </c>
      <c r="K2" t="s">
        <v>6988</v>
      </c>
      <c r="L2" t="s">
        <v>3452</v>
      </c>
    </row>
    <row r="3" spans="1:13" ht="15" customHeight="1" x14ac:dyDescent="0.25">
      <c r="A3" t="s">
        <v>6991</v>
      </c>
      <c r="B3" t="s">
        <v>3975</v>
      </c>
      <c r="C3" t="s">
        <v>4360</v>
      </c>
      <c r="D3">
        <v>2</v>
      </c>
      <c r="E3" s="9">
        <v>64</v>
      </c>
      <c r="F3" s="9">
        <v>70</v>
      </c>
      <c r="G3" t="s">
        <v>6989</v>
      </c>
      <c r="H3" t="s">
        <v>2132</v>
      </c>
      <c r="I3" t="s">
        <v>4389</v>
      </c>
      <c r="J3" t="s">
        <v>6992</v>
      </c>
      <c r="K3" t="s">
        <v>6993</v>
      </c>
      <c r="L3" t="s">
        <v>3452</v>
      </c>
    </row>
    <row r="4" spans="1:13" ht="15" customHeight="1" x14ac:dyDescent="0.25">
      <c r="A4" t="s">
        <v>6994</v>
      </c>
      <c r="B4" t="s">
        <v>3975</v>
      </c>
      <c r="C4" t="s">
        <v>5019</v>
      </c>
      <c r="D4">
        <v>7</v>
      </c>
      <c r="E4" s="9">
        <v>150</v>
      </c>
      <c r="F4" s="9">
        <v>160</v>
      </c>
      <c r="G4" t="s">
        <v>6989</v>
      </c>
      <c r="H4" t="s">
        <v>2132</v>
      </c>
      <c r="I4" t="s">
        <v>4389</v>
      </c>
      <c r="J4" t="s">
        <v>6995</v>
      </c>
      <c r="K4" t="s">
        <v>6996</v>
      </c>
      <c r="L4" t="s">
        <v>3452</v>
      </c>
    </row>
    <row r="5" spans="1:13" ht="15" customHeight="1" x14ac:dyDescent="0.25">
      <c r="A5" t="s">
        <v>5075</v>
      </c>
      <c r="B5" t="s">
        <v>3975</v>
      </c>
      <c r="C5" t="s">
        <v>4356</v>
      </c>
      <c r="D5" t="s">
        <v>3452</v>
      </c>
      <c r="E5" s="9">
        <v>20</v>
      </c>
      <c r="F5" s="9">
        <v>24</v>
      </c>
      <c r="G5" t="s">
        <v>3452</v>
      </c>
      <c r="H5" t="s">
        <v>160</v>
      </c>
      <c r="I5" t="s">
        <v>4389</v>
      </c>
      <c r="J5" t="s">
        <v>6997</v>
      </c>
      <c r="K5" t="s">
        <v>5075</v>
      </c>
      <c r="L5" t="s">
        <v>3452</v>
      </c>
    </row>
    <row r="6" spans="1:13" ht="15" customHeight="1" x14ac:dyDescent="0.25">
      <c r="A6" t="s">
        <v>5066</v>
      </c>
      <c r="B6" t="s">
        <v>3975</v>
      </c>
      <c r="C6" t="s">
        <v>4356</v>
      </c>
      <c r="D6">
        <v>2</v>
      </c>
      <c r="E6" s="9">
        <v>20</v>
      </c>
      <c r="F6" s="9">
        <v>24</v>
      </c>
      <c r="G6" t="s">
        <v>6998</v>
      </c>
      <c r="H6" t="s">
        <v>160</v>
      </c>
      <c r="I6" t="s">
        <v>4389</v>
      </c>
      <c r="J6" t="s">
        <v>6999</v>
      </c>
      <c r="K6" t="s">
        <v>5066</v>
      </c>
      <c r="L6" t="s">
        <v>3452</v>
      </c>
    </row>
    <row r="7" spans="1:13" ht="15" customHeight="1" x14ac:dyDescent="0.25">
      <c r="A7" t="s">
        <v>5073</v>
      </c>
      <c r="B7" t="s">
        <v>3975</v>
      </c>
      <c r="C7" t="s">
        <v>4356</v>
      </c>
      <c r="D7" t="s">
        <v>3452</v>
      </c>
      <c r="E7" s="9">
        <v>20</v>
      </c>
      <c r="F7" s="9">
        <v>24</v>
      </c>
      <c r="G7" t="s">
        <v>3452</v>
      </c>
      <c r="H7" t="s">
        <v>160</v>
      </c>
      <c r="I7" t="s">
        <v>4389</v>
      </c>
      <c r="J7" t="s">
        <v>7000</v>
      </c>
      <c r="K7" t="s">
        <v>5073</v>
      </c>
      <c r="L7" t="s">
        <v>3452</v>
      </c>
    </row>
    <row r="8" spans="1:13" ht="15" customHeight="1" x14ac:dyDescent="0.25">
      <c r="A8" t="s">
        <v>7001</v>
      </c>
      <c r="B8" t="s">
        <v>3975</v>
      </c>
      <c r="C8" t="s">
        <v>4360</v>
      </c>
      <c r="D8">
        <v>3</v>
      </c>
      <c r="E8" s="9">
        <v>48</v>
      </c>
      <c r="F8" s="9">
        <v>54</v>
      </c>
      <c r="G8" t="s">
        <v>3452</v>
      </c>
      <c r="H8" t="s">
        <v>160</v>
      </c>
      <c r="I8" t="s">
        <v>4389</v>
      </c>
      <c r="J8" t="s">
        <v>7002</v>
      </c>
      <c r="K8" t="s">
        <v>7003</v>
      </c>
      <c r="L8" t="s">
        <v>3452</v>
      </c>
    </row>
    <row r="9" spans="1:13" ht="15" customHeight="1" x14ac:dyDescent="0.25">
      <c r="A9" t="s">
        <v>7004</v>
      </c>
      <c r="B9" t="s">
        <v>3975</v>
      </c>
      <c r="C9" t="s">
        <v>5019</v>
      </c>
      <c r="D9">
        <v>7</v>
      </c>
      <c r="E9" s="9">
        <v>130</v>
      </c>
      <c r="F9" s="9">
        <v>140</v>
      </c>
      <c r="G9" t="s">
        <v>7005</v>
      </c>
      <c r="H9" t="s">
        <v>160</v>
      </c>
      <c r="I9" t="s">
        <v>4389</v>
      </c>
      <c r="J9" t="s">
        <v>7006</v>
      </c>
      <c r="K9" t="s">
        <v>7007</v>
      </c>
      <c r="L9" t="s">
        <v>3452</v>
      </c>
      <c r="M9" t="s">
        <v>4626</v>
      </c>
    </row>
    <row r="10" spans="1:13" ht="15" customHeight="1" x14ac:dyDescent="0.25">
      <c r="A10" t="s">
        <v>3837</v>
      </c>
      <c r="B10" t="s">
        <v>6861</v>
      </c>
      <c r="C10" t="s">
        <v>4356</v>
      </c>
      <c r="D10">
        <v>1</v>
      </c>
      <c r="E10" s="9">
        <v>20</v>
      </c>
      <c r="F10" s="9">
        <v>24</v>
      </c>
      <c r="G10" t="s">
        <v>5240</v>
      </c>
      <c r="H10" t="s">
        <v>501</v>
      </c>
      <c r="I10" t="s">
        <v>4392</v>
      </c>
      <c r="J10" t="s">
        <v>7008</v>
      </c>
      <c r="K10" t="s">
        <v>3837</v>
      </c>
      <c r="L10" t="s">
        <v>3452</v>
      </c>
    </row>
    <row r="11" spans="1:13" ht="15" customHeight="1" x14ac:dyDescent="0.25">
      <c r="A11" t="s">
        <v>7009</v>
      </c>
      <c r="B11" t="s">
        <v>6861</v>
      </c>
      <c r="C11" t="s">
        <v>4356</v>
      </c>
      <c r="D11">
        <v>2</v>
      </c>
      <c r="E11" s="9">
        <v>30</v>
      </c>
      <c r="F11" s="9">
        <v>34</v>
      </c>
      <c r="G11" t="s">
        <v>5240</v>
      </c>
      <c r="H11" t="s">
        <v>501</v>
      </c>
      <c r="I11" t="s">
        <v>4392</v>
      </c>
      <c r="J11" t="s">
        <v>7010</v>
      </c>
      <c r="K11" t="s">
        <v>7011</v>
      </c>
      <c r="L11" t="s">
        <v>3452</v>
      </c>
    </row>
    <row r="12" spans="1:13" ht="15" customHeight="1" x14ac:dyDescent="0.25">
      <c r="A12" t="s">
        <v>7012</v>
      </c>
      <c r="B12" t="s">
        <v>6861</v>
      </c>
      <c r="C12" t="s">
        <v>4356</v>
      </c>
      <c r="D12">
        <v>3</v>
      </c>
      <c r="E12" s="9">
        <v>40</v>
      </c>
      <c r="F12" s="9">
        <v>44</v>
      </c>
      <c r="G12" t="s">
        <v>7013</v>
      </c>
      <c r="H12" t="s">
        <v>501</v>
      </c>
      <c r="I12" t="s">
        <v>4392</v>
      </c>
      <c r="J12" t="s">
        <v>7014</v>
      </c>
      <c r="K12" t="s">
        <v>7015</v>
      </c>
      <c r="L12" t="s">
        <v>3452</v>
      </c>
    </row>
    <row r="13" spans="1:13" ht="15" customHeight="1" x14ac:dyDescent="0.25">
      <c r="A13" t="s">
        <v>7016</v>
      </c>
      <c r="B13" t="s">
        <v>6861</v>
      </c>
      <c r="C13" t="s">
        <v>4356</v>
      </c>
      <c r="D13" t="s">
        <v>3452</v>
      </c>
      <c r="E13" s="9">
        <v>12</v>
      </c>
      <c r="F13" s="9">
        <v>14</v>
      </c>
      <c r="G13" t="s">
        <v>5240</v>
      </c>
      <c r="H13" t="s">
        <v>501</v>
      </c>
      <c r="I13" t="s">
        <v>4392</v>
      </c>
      <c r="J13" t="s">
        <v>7017</v>
      </c>
      <c r="K13" t="s">
        <v>7016</v>
      </c>
      <c r="L13" t="s">
        <v>3452</v>
      </c>
    </row>
    <row r="14" spans="1:13" ht="15" customHeight="1" x14ac:dyDescent="0.25">
      <c r="A14" t="s">
        <v>3845</v>
      </c>
      <c r="B14" t="s">
        <v>6861</v>
      </c>
      <c r="C14" t="s">
        <v>4360</v>
      </c>
      <c r="D14">
        <v>3</v>
      </c>
      <c r="E14" s="9">
        <v>130</v>
      </c>
      <c r="F14" s="9">
        <v>140</v>
      </c>
      <c r="G14" t="s">
        <v>7018</v>
      </c>
      <c r="H14" t="s">
        <v>501</v>
      </c>
      <c r="I14" t="s">
        <v>4375</v>
      </c>
      <c r="J14" t="s">
        <v>7019</v>
      </c>
      <c r="K14" t="s">
        <v>3845</v>
      </c>
      <c r="L14" t="s">
        <v>3452</v>
      </c>
    </row>
    <row r="15" spans="1:13" ht="15" customHeight="1" x14ac:dyDescent="0.25">
      <c r="A15" t="s">
        <v>7020</v>
      </c>
      <c r="B15" t="s">
        <v>6861</v>
      </c>
      <c r="C15" t="s">
        <v>4360</v>
      </c>
      <c r="D15" t="s">
        <v>3452</v>
      </c>
      <c r="E15" s="9">
        <v>130</v>
      </c>
      <c r="F15" s="9">
        <v>140</v>
      </c>
      <c r="G15" t="s">
        <v>7018</v>
      </c>
      <c r="H15" t="s">
        <v>501</v>
      </c>
      <c r="I15" t="s">
        <v>4375</v>
      </c>
      <c r="J15" t="s">
        <v>7021</v>
      </c>
      <c r="K15" t="s">
        <v>7022</v>
      </c>
      <c r="L15" t="s">
        <v>3845</v>
      </c>
    </row>
    <row r="16" spans="1:13" ht="15" customHeight="1" x14ac:dyDescent="0.25">
      <c r="A16" t="s">
        <v>7023</v>
      </c>
      <c r="B16" t="s">
        <v>6861</v>
      </c>
      <c r="C16" t="s">
        <v>5019</v>
      </c>
      <c r="D16">
        <v>5</v>
      </c>
      <c r="E16" s="9">
        <v>100</v>
      </c>
      <c r="F16" s="9">
        <v>110</v>
      </c>
      <c r="G16" t="s">
        <v>7024</v>
      </c>
      <c r="H16" t="s">
        <v>501</v>
      </c>
      <c r="I16" t="s">
        <v>4382</v>
      </c>
      <c r="J16" t="s">
        <v>7025</v>
      </c>
      <c r="K16" t="s">
        <v>7026</v>
      </c>
      <c r="L16" t="s">
        <v>3452</v>
      </c>
    </row>
    <row r="17" spans="1:13" ht="15" customHeight="1" x14ac:dyDescent="0.25">
      <c r="A17" t="s">
        <v>7027</v>
      </c>
      <c r="B17" t="s">
        <v>3992</v>
      </c>
      <c r="C17" t="s">
        <v>4356</v>
      </c>
      <c r="D17">
        <v>1</v>
      </c>
      <c r="E17" s="9">
        <v>30</v>
      </c>
      <c r="F17" s="9">
        <v>34</v>
      </c>
      <c r="G17" t="s">
        <v>5253</v>
      </c>
      <c r="H17" t="s">
        <v>2154</v>
      </c>
      <c r="I17" t="s">
        <v>4389</v>
      </c>
      <c r="J17" t="s">
        <v>7028</v>
      </c>
      <c r="K17" t="s">
        <v>7027</v>
      </c>
      <c r="L17" t="s">
        <v>3452</v>
      </c>
      <c r="M17" t="s">
        <v>3836</v>
      </c>
    </row>
    <row r="18" spans="1:13" ht="15" customHeight="1" x14ac:dyDescent="0.25">
      <c r="A18" t="s">
        <v>7029</v>
      </c>
      <c r="B18" t="s">
        <v>3992</v>
      </c>
      <c r="C18" t="s">
        <v>4360</v>
      </c>
      <c r="D18">
        <v>3</v>
      </c>
      <c r="E18" s="9">
        <v>40</v>
      </c>
      <c r="F18" s="9">
        <v>46</v>
      </c>
      <c r="G18" t="s">
        <v>7030</v>
      </c>
      <c r="H18" t="s">
        <v>2154</v>
      </c>
      <c r="I18" t="s">
        <v>4389</v>
      </c>
      <c r="J18" t="s">
        <v>7031</v>
      </c>
      <c r="K18" t="s">
        <v>7029</v>
      </c>
      <c r="L18" t="s">
        <v>3452</v>
      </c>
    </row>
    <row r="19" spans="1:13" ht="15" customHeight="1" x14ac:dyDescent="0.25">
      <c r="A19" t="s">
        <v>7032</v>
      </c>
      <c r="B19" t="s">
        <v>3992</v>
      </c>
      <c r="C19" t="s">
        <v>4360</v>
      </c>
      <c r="D19">
        <v>4</v>
      </c>
      <c r="E19" s="9">
        <v>60</v>
      </c>
      <c r="F19" s="9">
        <v>66</v>
      </c>
      <c r="G19" t="s">
        <v>5253</v>
      </c>
      <c r="H19" t="s">
        <v>2154</v>
      </c>
      <c r="I19" t="s">
        <v>4389</v>
      </c>
      <c r="J19" t="s">
        <v>7033</v>
      </c>
      <c r="K19" t="s">
        <v>7032</v>
      </c>
      <c r="L19" t="s">
        <v>3452</v>
      </c>
    </row>
    <row r="20" spans="1:13" ht="15" customHeight="1" x14ac:dyDescent="0.25">
      <c r="A20" t="s">
        <v>3964</v>
      </c>
      <c r="B20" t="s">
        <v>3992</v>
      </c>
      <c r="C20" t="s">
        <v>5019</v>
      </c>
      <c r="D20">
        <v>9</v>
      </c>
      <c r="E20" s="9">
        <v>250</v>
      </c>
      <c r="F20" s="9">
        <v>270</v>
      </c>
      <c r="G20" t="s">
        <v>7034</v>
      </c>
      <c r="H20" t="s">
        <v>2154</v>
      </c>
      <c r="I20" t="s">
        <v>4389</v>
      </c>
      <c r="J20" t="s">
        <v>7035</v>
      </c>
      <c r="K20" t="s">
        <v>3964</v>
      </c>
      <c r="L20" t="s">
        <v>3452</v>
      </c>
      <c r="M20" t="s">
        <v>7036</v>
      </c>
    </row>
    <row r="21" spans="1:13" ht="15" customHeight="1" x14ac:dyDescent="0.25">
      <c r="A21" t="s">
        <v>3795</v>
      </c>
      <c r="B21" t="s">
        <v>5016</v>
      </c>
      <c r="C21" t="s">
        <v>4356</v>
      </c>
      <c r="D21">
        <v>2</v>
      </c>
      <c r="E21" s="9">
        <v>48</v>
      </c>
      <c r="F21" s="9">
        <v>54</v>
      </c>
      <c r="G21" t="s">
        <v>3452</v>
      </c>
      <c r="H21" t="s">
        <v>90</v>
      </c>
      <c r="I21" t="s">
        <v>4389</v>
      </c>
      <c r="J21" t="s">
        <v>7037</v>
      </c>
      <c r="K21" t="s">
        <v>3795</v>
      </c>
      <c r="L21" t="s">
        <v>3452</v>
      </c>
    </row>
    <row r="22" spans="1:13" ht="15" customHeight="1" x14ac:dyDescent="0.25">
      <c r="A22" t="s">
        <v>3824</v>
      </c>
      <c r="B22" t="s">
        <v>5016</v>
      </c>
      <c r="C22" t="s">
        <v>4360</v>
      </c>
      <c r="D22">
        <v>6</v>
      </c>
      <c r="E22" s="9">
        <v>114</v>
      </c>
      <c r="F22" s="9">
        <v>120</v>
      </c>
      <c r="G22" t="s">
        <v>3452</v>
      </c>
      <c r="H22" t="s">
        <v>90</v>
      </c>
      <c r="I22" t="s">
        <v>4389</v>
      </c>
      <c r="J22" t="s">
        <v>7038</v>
      </c>
      <c r="K22" t="s">
        <v>3824</v>
      </c>
      <c r="L22" t="s">
        <v>3452</v>
      </c>
    </row>
    <row r="23" spans="1:13" ht="15" customHeight="1" x14ac:dyDescent="0.25">
      <c r="A23" t="s">
        <v>3830</v>
      </c>
      <c r="B23" t="s">
        <v>5016</v>
      </c>
      <c r="C23" t="s">
        <v>5019</v>
      </c>
      <c r="D23">
        <v>9</v>
      </c>
      <c r="E23" s="9">
        <v>999</v>
      </c>
      <c r="F23" s="9">
        <v>999</v>
      </c>
      <c r="G23" t="s">
        <v>5020</v>
      </c>
      <c r="H23" t="s">
        <v>90</v>
      </c>
      <c r="I23" t="s">
        <v>4389</v>
      </c>
      <c r="J23" t="s">
        <v>7039</v>
      </c>
      <c r="K23" t="s">
        <v>3830</v>
      </c>
      <c r="L23" t="s">
        <v>3452</v>
      </c>
    </row>
    <row r="24" spans="1:13" ht="15" customHeight="1" x14ac:dyDescent="0.25">
      <c r="A24" t="s">
        <v>7040</v>
      </c>
      <c r="B24" t="s">
        <v>6861</v>
      </c>
      <c r="C24" t="s">
        <v>4356</v>
      </c>
      <c r="D24">
        <v>1</v>
      </c>
      <c r="E24" s="9">
        <v>20</v>
      </c>
      <c r="F24" s="9">
        <v>24</v>
      </c>
      <c r="G24" t="s">
        <v>7041</v>
      </c>
      <c r="H24" t="s">
        <v>2361</v>
      </c>
      <c r="I24" t="s">
        <v>4368</v>
      </c>
      <c r="J24" t="s">
        <v>7042</v>
      </c>
      <c r="K24" t="s">
        <v>7040</v>
      </c>
      <c r="L24" t="s">
        <v>3452</v>
      </c>
      <c r="M24" t="s">
        <v>3755</v>
      </c>
    </row>
    <row r="25" spans="1:13" ht="15" customHeight="1" x14ac:dyDescent="0.25">
      <c r="A25" t="s">
        <v>7043</v>
      </c>
      <c r="B25" t="s">
        <v>6861</v>
      </c>
      <c r="C25" t="s">
        <v>4360</v>
      </c>
      <c r="D25">
        <v>3</v>
      </c>
      <c r="E25" s="9">
        <v>48</v>
      </c>
      <c r="F25" s="9">
        <v>54</v>
      </c>
      <c r="G25" t="s">
        <v>3452</v>
      </c>
      <c r="H25" t="s">
        <v>2361</v>
      </c>
      <c r="I25" t="s">
        <v>4389</v>
      </c>
      <c r="J25" t="s">
        <v>7044</v>
      </c>
      <c r="K25" t="s">
        <v>7043</v>
      </c>
      <c r="L25" t="s">
        <v>3452</v>
      </c>
    </row>
    <row r="26" spans="1:13" ht="15" customHeight="1" x14ac:dyDescent="0.25">
      <c r="A26" t="s">
        <v>7045</v>
      </c>
      <c r="B26" t="s">
        <v>6861</v>
      </c>
      <c r="C26" t="s">
        <v>5019</v>
      </c>
      <c r="D26">
        <v>3</v>
      </c>
      <c r="E26" s="9">
        <v>60</v>
      </c>
      <c r="F26" s="9">
        <v>66</v>
      </c>
      <c r="G26" t="s">
        <v>7046</v>
      </c>
      <c r="H26" t="s">
        <v>2361</v>
      </c>
      <c r="I26" t="s">
        <v>4389</v>
      </c>
      <c r="J26" t="s">
        <v>7047</v>
      </c>
      <c r="K26" t="s">
        <v>7045</v>
      </c>
      <c r="L26" t="s">
        <v>3452</v>
      </c>
    </row>
    <row r="27" spans="1:13" ht="15" customHeight="1" x14ac:dyDescent="0.25">
      <c r="A27" t="s">
        <v>5022</v>
      </c>
      <c r="B27" t="s">
        <v>5016</v>
      </c>
      <c r="C27" t="s">
        <v>4356</v>
      </c>
      <c r="D27">
        <v>3</v>
      </c>
      <c r="E27" s="9">
        <v>40</v>
      </c>
      <c r="F27" s="9">
        <v>44</v>
      </c>
      <c r="G27" t="s">
        <v>3452</v>
      </c>
      <c r="H27" t="s">
        <v>90</v>
      </c>
      <c r="I27" t="s">
        <v>4389</v>
      </c>
      <c r="J27" t="s">
        <v>7048</v>
      </c>
      <c r="K27" t="s">
        <v>5024</v>
      </c>
      <c r="L27" t="s">
        <v>3452</v>
      </c>
    </row>
    <row r="28" spans="1:13" ht="15" customHeight="1" x14ac:dyDescent="0.25">
      <c r="A28" t="s">
        <v>5025</v>
      </c>
      <c r="B28" t="s">
        <v>5016</v>
      </c>
      <c r="C28" t="s">
        <v>4356</v>
      </c>
      <c r="D28">
        <v>1</v>
      </c>
      <c r="E28" s="9">
        <v>10</v>
      </c>
      <c r="F28" s="9">
        <v>15</v>
      </c>
      <c r="G28" t="s">
        <v>5026</v>
      </c>
      <c r="H28" t="s">
        <v>90</v>
      </c>
      <c r="I28" t="s">
        <v>4389</v>
      </c>
      <c r="J28" t="s">
        <v>7049</v>
      </c>
      <c r="K28" t="s">
        <v>5028</v>
      </c>
      <c r="L28" t="s">
        <v>3452</v>
      </c>
      <c r="M28" t="s">
        <v>4626</v>
      </c>
    </row>
    <row r="29" spans="1:13" ht="15" customHeight="1" x14ac:dyDescent="0.25">
      <c r="A29" t="s">
        <v>5029</v>
      </c>
      <c r="B29" t="s">
        <v>5016</v>
      </c>
      <c r="C29" t="s">
        <v>4356</v>
      </c>
      <c r="D29">
        <v>1</v>
      </c>
      <c r="E29" s="9">
        <v>11</v>
      </c>
      <c r="F29" s="9">
        <v>17</v>
      </c>
      <c r="G29" t="s">
        <v>5026</v>
      </c>
      <c r="H29" t="s">
        <v>90</v>
      </c>
      <c r="I29" t="s">
        <v>4389</v>
      </c>
      <c r="J29" t="s">
        <v>7050</v>
      </c>
      <c r="K29" t="s">
        <v>5031</v>
      </c>
      <c r="L29" t="s">
        <v>3452</v>
      </c>
      <c r="M29" t="s">
        <v>4626</v>
      </c>
    </row>
    <row r="30" spans="1:13" ht="15" customHeight="1" x14ac:dyDescent="0.25">
      <c r="A30" t="s">
        <v>5032</v>
      </c>
      <c r="B30" t="s">
        <v>5016</v>
      </c>
      <c r="C30" t="s">
        <v>4356</v>
      </c>
      <c r="D30">
        <v>4</v>
      </c>
      <c r="E30" s="9">
        <v>65</v>
      </c>
      <c r="F30" s="9">
        <v>69</v>
      </c>
      <c r="G30" t="s">
        <v>5033</v>
      </c>
      <c r="H30" t="s">
        <v>90</v>
      </c>
      <c r="I30" t="s">
        <v>4389</v>
      </c>
      <c r="J30" t="s">
        <v>7051</v>
      </c>
      <c r="K30" t="s">
        <v>5035</v>
      </c>
      <c r="L30" t="s">
        <v>3452</v>
      </c>
      <c r="M30" t="s">
        <v>3820</v>
      </c>
    </row>
    <row r="31" spans="1:13" ht="15" customHeight="1" x14ac:dyDescent="0.25">
      <c r="A31" t="s">
        <v>5036</v>
      </c>
      <c r="B31" t="s">
        <v>5016</v>
      </c>
      <c r="C31" t="s">
        <v>4356</v>
      </c>
      <c r="D31">
        <v>2</v>
      </c>
      <c r="E31" s="9">
        <v>28</v>
      </c>
      <c r="F31" s="9">
        <v>32</v>
      </c>
      <c r="G31" t="s">
        <v>3452</v>
      </c>
      <c r="H31" t="s">
        <v>90</v>
      </c>
      <c r="I31" t="s">
        <v>4389</v>
      </c>
      <c r="J31" t="s">
        <v>7052</v>
      </c>
      <c r="K31" t="s">
        <v>5038</v>
      </c>
      <c r="L31" t="s">
        <v>3452</v>
      </c>
      <c r="M31" t="s">
        <v>3820</v>
      </c>
    </row>
    <row r="32" spans="1:13" ht="15" customHeight="1" x14ac:dyDescent="0.25">
      <c r="A32" t="s">
        <v>5039</v>
      </c>
      <c r="B32" t="s">
        <v>5016</v>
      </c>
      <c r="C32" t="s">
        <v>4356</v>
      </c>
      <c r="D32">
        <v>1</v>
      </c>
      <c r="E32" s="9">
        <v>8</v>
      </c>
      <c r="F32" s="9">
        <v>12</v>
      </c>
      <c r="G32" t="s">
        <v>3452</v>
      </c>
      <c r="H32" t="s">
        <v>90</v>
      </c>
      <c r="I32" t="s">
        <v>4389</v>
      </c>
      <c r="J32" t="s">
        <v>7053</v>
      </c>
      <c r="K32" t="s">
        <v>5041</v>
      </c>
      <c r="L32" t="s">
        <v>3452</v>
      </c>
      <c r="M32" t="s">
        <v>3820</v>
      </c>
    </row>
    <row r="33" spans="1:13" ht="15" customHeight="1" x14ac:dyDescent="0.25">
      <c r="A33" t="s">
        <v>3817</v>
      </c>
      <c r="B33" t="s">
        <v>5016</v>
      </c>
      <c r="C33" t="s">
        <v>4356</v>
      </c>
      <c r="D33">
        <v>4</v>
      </c>
      <c r="E33" s="9">
        <v>64</v>
      </c>
      <c r="F33" s="9">
        <v>70</v>
      </c>
      <c r="G33" t="s">
        <v>5042</v>
      </c>
      <c r="H33" t="s">
        <v>90</v>
      </c>
      <c r="I33" t="s">
        <v>4389</v>
      </c>
      <c r="J33" t="s">
        <v>7054</v>
      </c>
      <c r="K33" t="s">
        <v>3819</v>
      </c>
      <c r="L33" t="s">
        <v>3452</v>
      </c>
      <c r="M33" t="s">
        <v>3820</v>
      </c>
    </row>
    <row r="34" spans="1:13" ht="15" customHeight="1" x14ac:dyDescent="0.25">
      <c r="A34" t="s">
        <v>5044</v>
      </c>
      <c r="B34" t="s">
        <v>5016</v>
      </c>
      <c r="C34" t="s">
        <v>4356</v>
      </c>
      <c r="D34">
        <v>2</v>
      </c>
      <c r="E34" s="9">
        <v>28</v>
      </c>
      <c r="F34" s="9">
        <v>32</v>
      </c>
      <c r="G34" t="s">
        <v>3452</v>
      </c>
      <c r="H34" t="s">
        <v>90</v>
      </c>
      <c r="I34" t="s">
        <v>4389</v>
      </c>
      <c r="J34" t="s">
        <v>7055</v>
      </c>
      <c r="K34" t="s">
        <v>5046</v>
      </c>
      <c r="L34" t="s">
        <v>3452</v>
      </c>
      <c r="M34" t="s">
        <v>3820</v>
      </c>
    </row>
    <row r="35" spans="1:13" ht="15" customHeight="1" x14ac:dyDescent="0.25">
      <c r="A35" t="s">
        <v>5047</v>
      </c>
      <c r="B35" t="s">
        <v>5016</v>
      </c>
      <c r="C35" t="s">
        <v>4356</v>
      </c>
      <c r="D35">
        <v>1</v>
      </c>
      <c r="E35" s="9">
        <v>10</v>
      </c>
      <c r="F35" s="9">
        <v>14</v>
      </c>
      <c r="G35" t="s">
        <v>3452</v>
      </c>
      <c r="H35" t="s">
        <v>90</v>
      </c>
      <c r="I35" t="s">
        <v>4389</v>
      </c>
      <c r="J35" t="s">
        <v>7056</v>
      </c>
      <c r="K35" t="s">
        <v>5049</v>
      </c>
      <c r="L35" t="s">
        <v>3452</v>
      </c>
      <c r="M35" t="s">
        <v>3820</v>
      </c>
    </row>
    <row r="36" spans="1:13" ht="15" customHeight="1" x14ac:dyDescent="0.25">
      <c r="A36" t="s">
        <v>7057</v>
      </c>
      <c r="B36" t="s">
        <v>6861</v>
      </c>
      <c r="C36" t="s">
        <v>5019</v>
      </c>
      <c r="D36">
        <v>1</v>
      </c>
      <c r="E36" s="9">
        <v>20</v>
      </c>
      <c r="F36" s="9">
        <v>24</v>
      </c>
      <c r="G36" t="s">
        <v>3452</v>
      </c>
      <c r="H36" t="s">
        <v>1649</v>
      </c>
      <c r="I36" t="s">
        <v>4368</v>
      </c>
      <c r="J36" t="s">
        <v>7058</v>
      </c>
      <c r="K36" t="s">
        <v>7057</v>
      </c>
      <c r="L36" t="s">
        <v>3452</v>
      </c>
      <c r="M36" t="s">
        <v>7059</v>
      </c>
    </row>
    <row r="37" spans="1:13" ht="15" customHeight="1" x14ac:dyDescent="0.25">
      <c r="A37" t="s">
        <v>7060</v>
      </c>
      <c r="B37" t="s">
        <v>6861</v>
      </c>
      <c r="C37" t="s">
        <v>4356</v>
      </c>
      <c r="D37">
        <v>0.5</v>
      </c>
      <c r="E37" s="9">
        <v>4</v>
      </c>
      <c r="F37" s="9">
        <v>6</v>
      </c>
      <c r="G37" t="s">
        <v>3452</v>
      </c>
      <c r="H37" t="s">
        <v>1649</v>
      </c>
      <c r="I37" t="s">
        <v>3452</v>
      </c>
      <c r="J37" t="s">
        <v>7061</v>
      </c>
      <c r="K37" t="s">
        <v>7060</v>
      </c>
      <c r="L37" t="s">
        <v>3452</v>
      </c>
      <c r="M37" t="s">
        <v>4626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5050</v>
      </c>
      <c r="C1" t="s">
        <v>3727</v>
      </c>
      <c r="D1" t="s">
        <v>5010</v>
      </c>
      <c r="E1" t="s">
        <v>1</v>
      </c>
      <c r="F1" t="s">
        <v>3733</v>
      </c>
      <c r="G1" t="s">
        <v>5011</v>
      </c>
      <c r="H1" t="s">
        <v>5012</v>
      </c>
      <c r="I1" t="s">
        <v>3980</v>
      </c>
      <c r="J1" t="s">
        <v>7062</v>
      </c>
      <c r="K1" t="s">
        <v>5054</v>
      </c>
      <c r="L1" t="s">
        <v>171</v>
      </c>
      <c r="M1" t="s">
        <v>7063</v>
      </c>
      <c r="N1" t="s">
        <v>7064</v>
      </c>
      <c r="O1" t="s">
        <v>3436</v>
      </c>
      <c r="P1" t="s">
        <v>7065</v>
      </c>
      <c r="Q1" t="s">
        <v>3732</v>
      </c>
    </row>
    <row r="2" spans="1:17" ht="15" customHeight="1" x14ac:dyDescent="0.25">
      <c r="A2" t="s">
        <v>7027</v>
      </c>
      <c r="B2" t="s">
        <v>7066</v>
      </c>
      <c r="C2" t="s">
        <v>4356</v>
      </c>
      <c r="D2">
        <v>2</v>
      </c>
      <c r="E2" t="s">
        <v>2154</v>
      </c>
      <c r="G2">
        <v>20</v>
      </c>
      <c r="H2">
        <v>24</v>
      </c>
      <c r="I2">
        <v>0</v>
      </c>
      <c r="J2" t="s">
        <v>7067</v>
      </c>
      <c r="K2" t="s">
        <v>7068</v>
      </c>
      <c r="M2">
        <v>1</v>
      </c>
      <c r="N2">
        <v>3</v>
      </c>
      <c r="O2" t="s">
        <v>7069</v>
      </c>
      <c r="P2" t="s">
        <v>7070</v>
      </c>
    </row>
    <row r="3" spans="1:17" ht="15" customHeight="1" x14ac:dyDescent="0.25">
      <c r="A3" t="s">
        <v>7071</v>
      </c>
      <c r="B3" t="s">
        <v>7072</v>
      </c>
      <c r="C3" t="s">
        <v>4360</v>
      </c>
      <c r="D3">
        <v>2</v>
      </c>
      <c r="E3" t="s">
        <v>2154</v>
      </c>
      <c r="F3" t="s">
        <v>4941</v>
      </c>
      <c r="G3">
        <v>12</v>
      </c>
      <c r="H3">
        <v>18</v>
      </c>
      <c r="I3">
        <v>4</v>
      </c>
      <c r="J3" t="s">
        <v>7073</v>
      </c>
      <c r="K3" t="s">
        <v>7074</v>
      </c>
      <c r="M3">
        <v>2</v>
      </c>
      <c r="N3">
        <v>3</v>
      </c>
      <c r="O3" t="s">
        <v>7075</v>
      </c>
      <c r="P3" t="s">
        <v>7076</v>
      </c>
    </row>
    <row r="4" spans="1:17" ht="15" customHeight="1" x14ac:dyDescent="0.25">
      <c r="A4" t="s">
        <v>7077</v>
      </c>
      <c r="B4" t="s">
        <v>7078</v>
      </c>
      <c r="C4" t="s">
        <v>4356</v>
      </c>
      <c r="D4">
        <v>1</v>
      </c>
      <c r="E4" t="s">
        <v>1795</v>
      </c>
      <c r="F4" t="s">
        <v>7079</v>
      </c>
      <c r="G4">
        <v>5</v>
      </c>
      <c r="H4">
        <v>5</v>
      </c>
      <c r="I4">
        <v>4</v>
      </c>
      <c r="J4" t="s">
        <v>7073</v>
      </c>
      <c r="K4" t="s">
        <v>7080</v>
      </c>
      <c r="L4" t="s">
        <v>7077</v>
      </c>
      <c r="M4">
        <v>1</v>
      </c>
      <c r="N4">
        <v>4</v>
      </c>
      <c r="O4" t="s">
        <v>7081</v>
      </c>
      <c r="P4" t="s">
        <v>7082</v>
      </c>
    </row>
    <row r="5" spans="1:17" ht="15" customHeight="1" x14ac:dyDescent="0.25">
      <c r="A5" t="s">
        <v>7083</v>
      </c>
      <c r="B5" t="s">
        <v>4941</v>
      </c>
      <c r="C5" t="s">
        <v>4356</v>
      </c>
      <c r="D5">
        <v>1</v>
      </c>
      <c r="E5" t="s">
        <v>2154</v>
      </c>
      <c r="F5" t="s">
        <v>4941</v>
      </c>
      <c r="G5">
        <v>8</v>
      </c>
      <c r="H5">
        <v>11</v>
      </c>
      <c r="I5">
        <v>4</v>
      </c>
      <c r="J5" t="s">
        <v>7084</v>
      </c>
      <c r="K5" t="s">
        <v>7085</v>
      </c>
      <c r="M5">
        <v>1</v>
      </c>
      <c r="N5">
        <v>4</v>
      </c>
      <c r="O5" t="s">
        <v>7086</v>
      </c>
      <c r="P5" t="s">
        <v>7087</v>
      </c>
    </row>
    <row r="6" spans="1:17" ht="15" customHeight="1" x14ac:dyDescent="0.25">
      <c r="A6" t="s">
        <v>7032</v>
      </c>
      <c r="B6" t="s">
        <v>7088</v>
      </c>
      <c r="C6" t="s">
        <v>4360</v>
      </c>
      <c r="D6">
        <v>5</v>
      </c>
      <c r="E6" t="s">
        <v>2154</v>
      </c>
      <c r="G6">
        <v>60</v>
      </c>
      <c r="H6">
        <v>66</v>
      </c>
      <c r="I6">
        <v>-4</v>
      </c>
      <c r="J6" t="s">
        <v>7089</v>
      </c>
      <c r="K6" t="s">
        <v>7090</v>
      </c>
      <c r="M6">
        <v>4</v>
      </c>
      <c r="N6">
        <v>1</v>
      </c>
      <c r="O6" t="s">
        <v>7091</v>
      </c>
      <c r="P6" t="s">
        <v>7092</v>
      </c>
      <c r="Q6" t="s">
        <v>7093</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7094</v>
      </c>
      <c r="C1" t="s">
        <v>7095</v>
      </c>
      <c r="D1" t="s">
        <v>7096</v>
      </c>
      <c r="E1" t="s">
        <v>7097</v>
      </c>
      <c r="F1" t="s">
        <v>7098</v>
      </c>
      <c r="G1" t="s">
        <v>7099</v>
      </c>
      <c r="H1" t="s">
        <v>7100</v>
      </c>
      <c r="I1" t="s">
        <v>1</v>
      </c>
    </row>
    <row r="2" spans="1:9" ht="15" customHeight="1" x14ac:dyDescent="0.25">
      <c r="A2" t="s">
        <v>5861</v>
      </c>
      <c r="B2">
        <v>6</v>
      </c>
      <c r="C2" t="s">
        <v>7101</v>
      </c>
      <c r="D2" t="s">
        <v>7102</v>
      </c>
      <c r="E2" t="s">
        <v>7103</v>
      </c>
      <c r="F2" t="s">
        <v>7103</v>
      </c>
      <c r="G2" t="s">
        <v>7101</v>
      </c>
      <c r="H2" t="s">
        <v>7102</v>
      </c>
      <c r="I2" t="s">
        <v>2361</v>
      </c>
    </row>
    <row r="3" spans="1:9" ht="15" customHeight="1" x14ac:dyDescent="0.25">
      <c r="A3" t="s">
        <v>5884</v>
      </c>
      <c r="B3">
        <v>6</v>
      </c>
      <c r="C3" t="s">
        <v>7104</v>
      </c>
      <c r="D3" t="s">
        <v>7105</v>
      </c>
      <c r="E3" t="s">
        <v>7106</v>
      </c>
      <c r="F3" t="s">
        <v>7106</v>
      </c>
      <c r="G3" t="s">
        <v>7107</v>
      </c>
      <c r="H3" t="s">
        <v>4210</v>
      </c>
      <c r="I3" t="s">
        <v>2361</v>
      </c>
    </row>
    <row r="4" spans="1:9" ht="15" customHeight="1" x14ac:dyDescent="0.25">
      <c r="A4" t="s">
        <v>5911</v>
      </c>
      <c r="B4">
        <v>6</v>
      </c>
      <c r="C4" t="s">
        <v>7108</v>
      </c>
      <c r="D4" t="s">
        <v>7109</v>
      </c>
      <c r="E4" t="s">
        <v>7110</v>
      </c>
      <c r="F4" t="s">
        <v>7110</v>
      </c>
      <c r="G4" t="s">
        <v>7111</v>
      </c>
      <c r="H4" t="s">
        <v>5939</v>
      </c>
      <c r="I4" t="s">
        <v>2361</v>
      </c>
    </row>
    <row r="5" spans="1:9" ht="15" customHeight="1" x14ac:dyDescent="0.25">
      <c r="A5" t="s">
        <v>5952</v>
      </c>
      <c r="B5">
        <v>6</v>
      </c>
      <c r="C5" t="s">
        <v>7112</v>
      </c>
      <c r="D5" t="s">
        <v>7113</v>
      </c>
      <c r="E5" t="s">
        <v>7114</v>
      </c>
      <c r="F5" t="s">
        <v>7114</v>
      </c>
      <c r="G5" t="s">
        <v>7115</v>
      </c>
      <c r="H5" t="s">
        <v>5939</v>
      </c>
      <c r="I5" t="s">
        <v>2361</v>
      </c>
    </row>
    <row r="6" spans="1:9" ht="15" customHeight="1" x14ac:dyDescent="0.25">
      <c r="A6" t="s">
        <v>5998</v>
      </c>
      <c r="B6">
        <v>6</v>
      </c>
      <c r="C6" t="s">
        <v>7116</v>
      </c>
      <c r="D6" t="s">
        <v>7116</v>
      </c>
      <c r="E6" t="s">
        <v>7110</v>
      </c>
      <c r="F6" t="s">
        <v>7110</v>
      </c>
      <c r="G6" t="s">
        <v>7111</v>
      </c>
      <c r="H6" t="s">
        <v>7111</v>
      </c>
      <c r="I6" t="s">
        <v>2361</v>
      </c>
    </row>
    <row r="7" spans="1:9" ht="15" customHeight="1" x14ac:dyDescent="0.25">
      <c r="A7" t="s">
        <v>6021</v>
      </c>
      <c r="B7">
        <v>6</v>
      </c>
      <c r="C7" t="s">
        <v>7117</v>
      </c>
      <c r="D7" t="s">
        <v>7105</v>
      </c>
      <c r="E7" t="s">
        <v>5939</v>
      </c>
      <c r="F7" t="s">
        <v>5939</v>
      </c>
      <c r="G7" t="s">
        <v>7118</v>
      </c>
      <c r="H7" t="s">
        <v>5939</v>
      </c>
      <c r="I7" t="s">
        <v>2361</v>
      </c>
    </row>
    <row r="8" spans="1:9" ht="15" customHeight="1" x14ac:dyDescent="0.25">
      <c r="A8" t="s">
        <v>6026</v>
      </c>
      <c r="B8">
        <v>6</v>
      </c>
      <c r="C8" t="s">
        <v>7119</v>
      </c>
      <c r="D8" t="s">
        <v>7120</v>
      </c>
      <c r="E8" t="s">
        <v>7121</v>
      </c>
      <c r="F8" t="s">
        <v>7121</v>
      </c>
      <c r="G8" t="s">
        <v>7109</v>
      </c>
      <c r="H8" t="s">
        <v>5939</v>
      </c>
      <c r="I8" t="s">
        <v>2361</v>
      </c>
    </row>
    <row r="9" spans="1:9" ht="15" customHeight="1" x14ac:dyDescent="0.25">
      <c r="A9" t="s">
        <v>6045</v>
      </c>
      <c r="B9">
        <v>6</v>
      </c>
      <c r="C9" t="s">
        <v>7114</v>
      </c>
      <c r="D9" t="s">
        <v>7122</v>
      </c>
      <c r="E9" t="s">
        <v>7123</v>
      </c>
      <c r="F9" t="s">
        <v>7123</v>
      </c>
      <c r="G9" t="s">
        <v>7122</v>
      </c>
      <c r="H9" t="s">
        <v>5939</v>
      </c>
      <c r="I9" t="s">
        <v>2361</v>
      </c>
    </row>
    <row r="10" spans="1:9" ht="15" customHeight="1" x14ac:dyDescent="0.25">
      <c r="A10" t="s">
        <v>5680</v>
      </c>
      <c r="B10">
        <v>6</v>
      </c>
      <c r="C10" t="s">
        <v>7124</v>
      </c>
      <c r="D10" t="s">
        <v>7125</v>
      </c>
      <c r="E10" t="s">
        <v>7126</v>
      </c>
      <c r="F10" t="s">
        <v>7127</v>
      </c>
      <c r="G10" t="s">
        <v>7128</v>
      </c>
      <c r="H10" t="s">
        <v>7129</v>
      </c>
      <c r="I10" t="s">
        <v>160</v>
      </c>
    </row>
    <row r="11" spans="1:9" ht="15" customHeight="1" x14ac:dyDescent="0.25">
      <c r="A11" t="s">
        <v>6091</v>
      </c>
      <c r="B11">
        <v>6</v>
      </c>
      <c r="C11" t="s">
        <v>7104</v>
      </c>
      <c r="D11" t="s">
        <v>7130</v>
      </c>
      <c r="E11" t="s">
        <v>7131</v>
      </c>
      <c r="F11" t="s">
        <v>7131</v>
      </c>
      <c r="G11" t="s">
        <v>7132</v>
      </c>
      <c r="H11" t="s">
        <v>5939</v>
      </c>
      <c r="I11" t="s">
        <v>2361</v>
      </c>
    </row>
    <row r="12" spans="1:9" ht="15" customHeight="1" x14ac:dyDescent="0.25">
      <c r="A12" t="s">
        <v>6098</v>
      </c>
      <c r="B12">
        <v>6</v>
      </c>
      <c r="C12" t="s">
        <v>7133</v>
      </c>
      <c r="D12" t="s">
        <v>7133</v>
      </c>
      <c r="E12" t="s">
        <v>7101</v>
      </c>
      <c r="F12" t="s">
        <v>7101</v>
      </c>
      <c r="G12" t="s">
        <v>7102</v>
      </c>
      <c r="H12" t="s">
        <v>5939</v>
      </c>
      <c r="I12" t="s">
        <v>2361</v>
      </c>
    </row>
    <row r="13" spans="1:9" ht="15" customHeight="1" x14ac:dyDescent="0.25">
      <c r="A13" t="s">
        <v>6099</v>
      </c>
      <c r="B13">
        <v>6</v>
      </c>
      <c r="C13" t="s">
        <v>7105</v>
      </c>
      <c r="D13" t="s">
        <v>5645</v>
      </c>
      <c r="E13" t="s">
        <v>5939</v>
      </c>
      <c r="F13" t="s">
        <v>5939</v>
      </c>
      <c r="G13" t="s">
        <v>5939</v>
      </c>
      <c r="H13" t="s">
        <v>5939</v>
      </c>
      <c r="I13" t="s">
        <v>2361</v>
      </c>
    </row>
    <row r="14" spans="1:9" ht="15" customHeight="1" x14ac:dyDescent="0.25">
      <c r="A14" t="s">
        <v>6118</v>
      </c>
      <c r="B14">
        <v>6</v>
      </c>
      <c r="C14" t="s">
        <v>7114</v>
      </c>
      <c r="D14" t="s">
        <v>7114</v>
      </c>
      <c r="E14" t="s">
        <v>7122</v>
      </c>
      <c r="F14" t="s">
        <v>7122</v>
      </c>
      <c r="G14" t="s">
        <v>5939</v>
      </c>
      <c r="H14" t="s">
        <v>5939</v>
      </c>
      <c r="I14" t="s">
        <v>2361</v>
      </c>
    </row>
    <row r="15" spans="1:9" ht="15" customHeight="1" x14ac:dyDescent="0.25">
      <c r="A15" t="s">
        <v>6135</v>
      </c>
      <c r="B15">
        <v>6</v>
      </c>
      <c r="C15" t="s">
        <v>7134</v>
      </c>
      <c r="D15" t="s">
        <v>7135</v>
      </c>
      <c r="E15" t="s">
        <v>7135</v>
      </c>
      <c r="F15" t="s">
        <v>7135</v>
      </c>
      <c r="G15" t="s">
        <v>7122</v>
      </c>
      <c r="H15" t="s">
        <v>5939</v>
      </c>
      <c r="I15" t="s">
        <v>2361</v>
      </c>
    </row>
    <row r="16" spans="1:9" ht="15" customHeight="1" x14ac:dyDescent="0.25">
      <c r="A16" t="s">
        <v>6204</v>
      </c>
      <c r="B16">
        <v>6</v>
      </c>
      <c r="C16" t="s">
        <v>7136</v>
      </c>
      <c r="D16" t="s">
        <v>7137</v>
      </c>
      <c r="E16" t="s">
        <v>7137</v>
      </c>
      <c r="F16" t="s">
        <v>7137</v>
      </c>
      <c r="G16" t="s">
        <v>7138</v>
      </c>
      <c r="H16" t="s">
        <v>5939</v>
      </c>
      <c r="I16" t="s">
        <v>2361</v>
      </c>
    </row>
    <row r="17" spans="1:9" ht="15" customHeight="1" x14ac:dyDescent="0.25">
      <c r="A17" t="s">
        <v>6281</v>
      </c>
      <c r="B17">
        <v>6</v>
      </c>
      <c r="C17" t="s">
        <v>7106</v>
      </c>
      <c r="D17" t="s">
        <v>7106</v>
      </c>
      <c r="E17" t="s">
        <v>7116</v>
      </c>
      <c r="F17" t="s">
        <v>7116</v>
      </c>
      <c r="G17" t="s">
        <v>7109</v>
      </c>
      <c r="H17" t="s">
        <v>7109</v>
      </c>
      <c r="I17" t="s">
        <v>2361</v>
      </c>
    </row>
    <row r="18" spans="1:9" ht="15" customHeight="1" x14ac:dyDescent="0.25">
      <c r="A18" t="s">
        <v>6338</v>
      </c>
      <c r="B18">
        <v>6</v>
      </c>
      <c r="C18" t="s">
        <v>7105</v>
      </c>
      <c r="D18" t="s">
        <v>7105</v>
      </c>
      <c r="E18" t="s">
        <v>7106</v>
      </c>
      <c r="F18" t="s">
        <v>7106</v>
      </c>
      <c r="G18" t="s">
        <v>7108</v>
      </c>
      <c r="H18" t="s">
        <v>7108</v>
      </c>
      <c r="I18" t="s">
        <v>2361</v>
      </c>
    </row>
    <row r="19" spans="1:9" ht="15" customHeight="1" x14ac:dyDescent="0.25">
      <c r="A19" t="s">
        <v>6342</v>
      </c>
      <c r="B19">
        <v>6</v>
      </c>
      <c r="C19" t="s">
        <v>5645</v>
      </c>
      <c r="D19" t="s">
        <v>7108</v>
      </c>
      <c r="E19" t="s">
        <v>7116</v>
      </c>
      <c r="F19" t="s">
        <v>7116</v>
      </c>
      <c r="G19" t="s">
        <v>7109</v>
      </c>
      <c r="H19" t="s">
        <v>7111</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7139</v>
      </c>
      <c r="D1" t="s">
        <v>171</v>
      </c>
      <c r="E1" t="s">
        <v>7140</v>
      </c>
    </row>
    <row r="2" spans="1:5" ht="15" customHeight="1" x14ac:dyDescent="0.25">
      <c r="A2" t="s">
        <v>7141</v>
      </c>
      <c r="B2">
        <v>2022</v>
      </c>
      <c r="C2" t="s">
        <v>2619</v>
      </c>
      <c r="D2" t="s">
        <v>7142</v>
      </c>
    </row>
    <row r="3" spans="1:5" ht="15" customHeight="1" x14ac:dyDescent="0.25">
      <c r="A3" t="s">
        <v>7143</v>
      </c>
      <c r="B3">
        <v>2022</v>
      </c>
      <c r="C3" t="s">
        <v>90</v>
      </c>
      <c r="D3" t="s">
        <v>7144</v>
      </c>
    </row>
    <row r="4" spans="1:5" ht="15" customHeight="1" x14ac:dyDescent="0.25">
      <c r="A4" t="s">
        <v>7145</v>
      </c>
      <c r="B4">
        <v>2024</v>
      </c>
      <c r="C4" t="s">
        <v>353</v>
      </c>
      <c r="D4" t="s">
        <v>7146</v>
      </c>
    </row>
    <row r="5" spans="1:5" ht="15" customHeight="1" x14ac:dyDescent="0.25">
      <c r="A5" t="s">
        <v>7147</v>
      </c>
      <c r="B5">
        <v>2020</v>
      </c>
      <c r="C5" t="s">
        <v>2132</v>
      </c>
      <c r="D5" t="s">
        <v>7148</v>
      </c>
    </row>
    <row r="6" spans="1:5" ht="15" customHeight="1" x14ac:dyDescent="0.25">
      <c r="A6" t="s">
        <v>7149</v>
      </c>
      <c r="B6">
        <v>2021</v>
      </c>
      <c r="C6" t="s">
        <v>2136</v>
      </c>
      <c r="D6" t="s">
        <v>7150</v>
      </c>
    </row>
    <row r="7" spans="1:5" ht="15" customHeight="1" x14ac:dyDescent="0.25">
      <c r="A7" t="s">
        <v>7151</v>
      </c>
      <c r="B7">
        <v>2024</v>
      </c>
      <c r="C7" t="s">
        <v>353</v>
      </c>
      <c r="D7" t="s">
        <v>7152</v>
      </c>
    </row>
    <row r="8" spans="1:5" x14ac:dyDescent="0.25">
      <c r="A8" t="s">
        <v>7153</v>
      </c>
      <c r="B8">
        <v>2024</v>
      </c>
      <c r="C8" t="s">
        <v>353</v>
      </c>
      <c r="E8" s="10" t="s">
        <v>7154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7155</v>
      </c>
      <c r="B2" t="s">
        <v>7156</v>
      </c>
      <c r="C2" t="s">
        <v>4007</v>
      </c>
    </row>
    <row r="3" spans="1:3" ht="15" customHeight="1" x14ac:dyDescent="0.25">
      <c r="A3" t="s">
        <v>7157</v>
      </c>
      <c r="B3" t="s">
        <v>7158</v>
      </c>
      <c r="C3" t="s">
        <v>4007</v>
      </c>
    </row>
    <row r="4" spans="1:3" ht="15" customHeight="1" x14ac:dyDescent="0.25">
      <c r="A4" t="s">
        <v>4380</v>
      </c>
      <c r="B4" t="s">
        <v>7159</v>
      </c>
      <c r="C4" t="s">
        <v>4024</v>
      </c>
    </row>
    <row r="5" spans="1:3" ht="15" customHeight="1" x14ac:dyDescent="0.25">
      <c r="A5" t="s">
        <v>3984</v>
      </c>
      <c r="B5" t="s">
        <v>7160</v>
      </c>
      <c r="C5" t="s">
        <v>4007</v>
      </c>
    </row>
    <row r="6" spans="1:3" ht="15" customHeight="1" x14ac:dyDescent="0.25">
      <c r="A6" t="s">
        <v>7161</v>
      </c>
      <c r="B6" t="s">
        <v>7162</v>
      </c>
      <c r="C6" t="s">
        <v>4024</v>
      </c>
    </row>
    <row r="7" spans="1:3" ht="15" customHeight="1" x14ac:dyDescent="0.25">
      <c r="A7" t="s">
        <v>7163</v>
      </c>
      <c r="B7" t="s">
        <v>7164</v>
      </c>
      <c r="C7" t="s">
        <v>4007</v>
      </c>
    </row>
    <row r="8" spans="1:3" ht="15" customHeight="1" x14ac:dyDescent="0.25">
      <c r="A8" t="s">
        <v>7165</v>
      </c>
      <c r="B8" t="s">
        <v>7166</v>
      </c>
      <c r="C8" t="s">
        <v>4007</v>
      </c>
    </row>
    <row r="9" spans="1:3" ht="15" customHeight="1" x14ac:dyDescent="0.25">
      <c r="A9" t="s">
        <v>7167</v>
      </c>
      <c r="B9" t="s">
        <v>7168</v>
      </c>
      <c r="C9" t="s">
        <v>4007</v>
      </c>
    </row>
    <row r="10" spans="1:3" ht="15" customHeight="1" x14ac:dyDescent="0.25">
      <c r="A10" t="s">
        <v>7169</v>
      </c>
      <c r="B10" t="s">
        <v>7170</v>
      </c>
      <c r="C10" t="s">
        <v>4035</v>
      </c>
    </row>
    <row r="11" spans="1:3" ht="15" customHeight="1" x14ac:dyDescent="0.25">
      <c r="A11" t="s">
        <v>7171</v>
      </c>
      <c r="B11" t="s">
        <v>7172</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7173</v>
      </c>
      <c r="C1" t="s">
        <v>4590</v>
      </c>
      <c r="D1" t="s">
        <v>7174</v>
      </c>
      <c r="E1" t="s">
        <v>3447</v>
      </c>
      <c r="F1" t="s">
        <v>167</v>
      </c>
    </row>
    <row r="2" spans="1:6" ht="15" customHeight="1" x14ac:dyDescent="0.25">
      <c r="A2" t="s">
        <v>7175</v>
      </c>
      <c r="B2" t="s">
        <v>5016</v>
      </c>
      <c r="C2" t="s">
        <v>4356</v>
      </c>
      <c r="D2" t="s">
        <v>7176</v>
      </c>
      <c r="E2" t="s">
        <v>7177</v>
      </c>
      <c r="F2" t="s">
        <v>7178</v>
      </c>
    </row>
    <row r="3" spans="1:6" ht="15" customHeight="1" x14ac:dyDescent="0.25">
      <c r="A3" t="s">
        <v>7179</v>
      </c>
      <c r="B3" t="s">
        <v>5016</v>
      </c>
      <c r="C3" t="s">
        <v>4360</v>
      </c>
      <c r="D3" t="s">
        <v>7176</v>
      </c>
      <c r="E3" t="s">
        <v>7180</v>
      </c>
      <c r="F3" t="s">
        <v>7178</v>
      </c>
    </row>
    <row r="4" spans="1:6" ht="15" customHeight="1" x14ac:dyDescent="0.25">
      <c r="A4" t="s">
        <v>7181</v>
      </c>
      <c r="B4" t="s">
        <v>5016</v>
      </c>
      <c r="C4" t="s">
        <v>5019</v>
      </c>
      <c r="D4" t="s">
        <v>7176</v>
      </c>
      <c r="E4" t="s">
        <v>7182</v>
      </c>
      <c r="F4" t="s">
        <v>7178</v>
      </c>
    </row>
    <row r="5" spans="1:6" ht="15" customHeight="1" x14ac:dyDescent="0.25">
      <c r="A5" t="s">
        <v>7183</v>
      </c>
      <c r="B5" t="s">
        <v>5016</v>
      </c>
      <c r="C5" t="s">
        <v>4356</v>
      </c>
      <c r="D5" t="s">
        <v>7176</v>
      </c>
      <c r="E5" t="s">
        <v>7184</v>
      </c>
      <c r="F5" t="s">
        <v>7178</v>
      </c>
    </row>
    <row r="6" spans="1:6" ht="15" customHeight="1" x14ac:dyDescent="0.25">
      <c r="A6" t="s">
        <v>7185</v>
      </c>
      <c r="B6" t="s">
        <v>5016</v>
      </c>
      <c r="C6" t="s">
        <v>4360</v>
      </c>
      <c r="D6" t="s">
        <v>7176</v>
      </c>
      <c r="E6" t="s">
        <v>7186</v>
      </c>
      <c r="F6" t="s">
        <v>7178</v>
      </c>
    </row>
    <row r="7" spans="1:6" ht="15" customHeight="1" x14ac:dyDescent="0.25">
      <c r="A7" t="s">
        <v>7187</v>
      </c>
      <c r="B7" t="s">
        <v>5016</v>
      </c>
      <c r="C7" t="s">
        <v>5019</v>
      </c>
      <c r="D7" t="s">
        <v>7176</v>
      </c>
      <c r="E7" t="s">
        <v>7188</v>
      </c>
      <c r="F7" t="s">
        <v>7178</v>
      </c>
    </row>
    <row r="8" spans="1:6" ht="15" customHeight="1" x14ac:dyDescent="0.25">
      <c r="A8" t="s">
        <v>7189</v>
      </c>
      <c r="B8" t="s">
        <v>5016</v>
      </c>
      <c r="C8" t="s">
        <v>4356</v>
      </c>
      <c r="D8" t="s">
        <v>7190</v>
      </c>
      <c r="E8" t="s">
        <v>7191</v>
      </c>
      <c r="F8" t="s">
        <v>7178</v>
      </c>
    </row>
    <row r="9" spans="1:6" ht="15" customHeight="1" x14ac:dyDescent="0.25">
      <c r="A9" t="s">
        <v>7192</v>
      </c>
      <c r="B9" t="s">
        <v>5016</v>
      </c>
      <c r="C9" t="s">
        <v>4360</v>
      </c>
      <c r="D9" t="s">
        <v>7176</v>
      </c>
      <c r="E9" t="s">
        <v>7191</v>
      </c>
      <c r="F9" t="s">
        <v>7178</v>
      </c>
    </row>
    <row r="10" spans="1:6" ht="15" customHeight="1" x14ac:dyDescent="0.25">
      <c r="A10" t="s">
        <v>7193</v>
      </c>
      <c r="B10" t="s">
        <v>5016</v>
      </c>
      <c r="C10" t="s">
        <v>5019</v>
      </c>
      <c r="D10" t="s">
        <v>7194</v>
      </c>
      <c r="E10" t="s">
        <v>7191</v>
      </c>
      <c r="F10" t="s">
        <v>7178</v>
      </c>
    </row>
    <row r="11" spans="1:6" ht="15" customHeight="1" x14ac:dyDescent="0.25">
      <c r="A11" t="s">
        <v>7195</v>
      </c>
      <c r="B11" t="s">
        <v>3992</v>
      </c>
      <c r="C11" t="s">
        <v>4356</v>
      </c>
      <c r="D11" t="s">
        <v>7190</v>
      </c>
      <c r="E11" t="s">
        <v>7196</v>
      </c>
      <c r="F11" t="s">
        <v>7178</v>
      </c>
    </row>
    <row r="12" spans="1:6" ht="15" customHeight="1" x14ac:dyDescent="0.25">
      <c r="A12" t="s">
        <v>7197</v>
      </c>
      <c r="B12" t="s">
        <v>3992</v>
      </c>
      <c r="C12" t="s">
        <v>4360</v>
      </c>
      <c r="D12" t="s">
        <v>7190</v>
      </c>
      <c r="E12" t="s">
        <v>7198</v>
      </c>
      <c r="F12" t="s">
        <v>7178</v>
      </c>
    </row>
    <row r="13" spans="1:6" ht="15" customHeight="1" x14ac:dyDescent="0.25">
      <c r="A13" t="s">
        <v>7199</v>
      </c>
      <c r="B13" t="s">
        <v>3992</v>
      </c>
      <c r="C13" t="s">
        <v>5019</v>
      </c>
      <c r="D13" t="s">
        <v>7190</v>
      </c>
      <c r="E13" t="s">
        <v>7200</v>
      </c>
      <c r="F13" t="s">
        <v>7178</v>
      </c>
    </row>
    <row r="14" spans="1:6" ht="15" customHeight="1" x14ac:dyDescent="0.25">
      <c r="A14" t="s">
        <v>7201</v>
      </c>
      <c r="B14" t="s">
        <v>6861</v>
      </c>
      <c r="C14" t="s">
        <v>4356</v>
      </c>
      <c r="D14" t="s">
        <v>7202</v>
      </c>
      <c r="E14" t="s">
        <v>7203</v>
      </c>
      <c r="F14" t="s">
        <v>3825</v>
      </c>
    </row>
    <row r="15" spans="1:6" ht="15" customHeight="1" x14ac:dyDescent="0.25">
      <c r="A15" t="s">
        <v>7204</v>
      </c>
      <c r="B15" t="s">
        <v>6861</v>
      </c>
      <c r="C15" t="s">
        <v>4360</v>
      </c>
      <c r="D15" t="s">
        <v>7205</v>
      </c>
      <c r="E15" t="s">
        <v>7203</v>
      </c>
      <c r="F15" t="s">
        <v>3825</v>
      </c>
    </row>
    <row r="16" spans="1:6" ht="15" customHeight="1" x14ac:dyDescent="0.25">
      <c r="A16" t="s">
        <v>7206</v>
      </c>
      <c r="B16" t="s">
        <v>6861</v>
      </c>
      <c r="C16" t="s">
        <v>5019</v>
      </c>
      <c r="D16" t="s">
        <v>7207</v>
      </c>
      <c r="E16" t="s">
        <v>7203</v>
      </c>
      <c r="F16" t="s">
        <v>3825</v>
      </c>
    </row>
    <row r="17" spans="1:6" ht="15" customHeight="1" x14ac:dyDescent="0.25">
      <c r="A17" t="s">
        <v>7208</v>
      </c>
      <c r="B17" t="s">
        <v>6861</v>
      </c>
      <c r="C17" t="s">
        <v>4356</v>
      </c>
      <c r="D17" t="s">
        <v>7209</v>
      </c>
      <c r="E17" t="s">
        <v>7210</v>
      </c>
      <c r="F17" t="s">
        <v>7211</v>
      </c>
    </row>
    <row r="18" spans="1:6" ht="15" customHeight="1" x14ac:dyDescent="0.25">
      <c r="A18" t="s">
        <v>7212</v>
      </c>
      <c r="B18" t="s">
        <v>6861</v>
      </c>
      <c r="C18" t="s">
        <v>4360</v>
      </c>
      <c r="D18" t="s">
        <v>7209</v>
      </c>
      <c r="E18" t="s">
        <v>7213</v>
      </c>
      <c r="F18" t="s">
        <v>7211</v>
      </c>
    </row>
    <row r="19" spans="1:6" ht="15" customHeight="1" x14ac:dyDescent="0.25">
      <c r="A19" t="s">
        <v>7214</v>
      </c>
      <c r="B19" t="s">
        <v>6861</v>
      </c>
      <c r="C19" t="s">
        <v>5019</v>
      </c>
      <c r="D19" t="s">
        <v>7209</v>
      </c>
      <c r="E19" t="s">
        <v>7215</v>
      </c>
      <c r="F19" t="s">
        <v>7211</v>
      </c>
    </row>
    <row r="20" spans="1:6" ht="15" customHeight="1" x14ac:dyDescent="0.25">
      <c r="A20" t="s">
        <v>7216</v>
      </c>
      <c r="B20" t="s">
        <v>6861</v>
      </c>
      <c r="C20" t="s">
        <v>4356</v>
      </c>
      <c r="D20" t="s">
        <v>7217</v>
      </c>
      <c r="E20" t="s">
        <v>7218</v>
      </c>
      <c r="F20" t="s">
        <v>7211</v>
      </c>
    </row>
    <row r="21" spans="1:6" ht="15" customHeight="1" x14ac:dyDescent="0.25">
      <c r="A21" t="s">
        <v>7219</v>
      </c>
      <c r="B21" t="s">
        <v>6861</v>
      </c>
      <c r="C21" t="s">
        <v>4360</v>
      </c>
      <c r="D21" t="s">
        <v>7220</v>
      </c>
      <c r="E21" t="s">
        <v>7218</v>
      </c>
      <c r="F21" t="s">
        <v>7211</v>
      </c>
    </row>
    <row r="22" spans="1:6" ht="15" customHeight="1" x14ac:dyDescent="0.25">
      <c r="A22" t="s">
        <v>7221</v>
      </c>
      <c r="B22" t="s">
        <v>6861</v>
      </c>
      <c r="C22" t="s">
        <v>5019</v>
      </c>
      <c r="D22" t="s">
        <v>7222</v>
      </c>
      <c r="E22" t="s">
        <v>7218</v>
      </c>
      <c r="F22" t="s">
        <v>7211</v>
      </c>
    </row>
    <row r="23" spans="1:6" ht="15" customHeight="1" x14ac:dyDescent="0.25">
      <c r="A23" t="s">
        <v>7223</v>
      </c>
      <c r="B23" t="s">
        <v>3975</v>
      </c>
      <c r="C23" t="s">
        <v>4356</v>
      </c>
      <c r="D23" t="s">
        <v>7202</v>
      </c>
      <c r="E23" t="s">
        <v>7224</v>
      </c>
      <c r="F23" t="s">
        <v>3825</v>
      </c>
    </row>
    <row r="24" spans="1:6" ht="15" customHeight="1" x14ac:dyDescent="0.25">
      <c r="A24" t="s">
        <v>7225</v>
      </c>
      <c r="B24" t="s">
        <v>3975</v>
      </c>
      <c r="C24" t="s">
        <v>4360</v>
      </c>
      <c r="D24" t="s">
        <v>7202</v>
      </c>
      <c r="E24" t="s">
        <v>7226</v>
      </c>
      <c r="F24" t="s">
        <v>3825</v>
      </c>
    </row>
    <row r="25" spans="1:6" ht="15" customHeight="1" x14ac:dyDescent="0.25">
      <c r="A25" t="s">
        <v>7227</v>
      </c>
      <c r="B25" t="s">
        <v>3975</v>
      </c>
      <c r="C25" t="s">
        <v>5019</v>
      </c>
      <c r="D25" t="s">
        <v>7202</v>
      </c>
      <c r="E25" t="s">
        <v>7228</v>
      </c>
      <c r="F25" t="s">
        <v>3825</v>
      </c>
    </row>
    <row r="26" spans="1:6" ht="15" customHeight="1" x14ac:dyDescent="0.25">
      <c r="A26" t="s">
        <v>7229</v>
      </c>
      <c r="B26" t="s">
        <v>3975</v>
      </c>
      <c r="C26" t="s">
        <v>4356</v>
      </c>
      <c r="D26" t="s">
        <v>7230</v>
      </c>
      <c r="E26" t="s">
        <v>7231</v>
      </c>
      <c r="F26" t="s">
        <v>7211</v>
      </c>
    </row>
    <row r="27" spans="1:6" ht="15" customHeight="1" x14ac:dyDescent="0.25">
      <c r="A27" t="s">
        <v>7232</v>
      </c>
      <c r="B27" t="s">
        <v>3975</v>
      </c>
      <c r="C27" t="s">
        <v>4360</v>
      </c>
      <c r="D27" t="s">
        <v>7233</v>
      </c>
      <c r="E27" t="s">
        <v>7231</v>
      </c>
      <c r="F27" t="s">
        <v>7211</v>
      </c>
    </row>
    <row r="28" spans="1:6" ht="15" customHeight="1" x14ac:dyDescent="0.25">
      <c r="A28" t="s">
        <v>7234</v>
      </c>
      <c r="B28" t="s">
        <v>3975</v>
      </c>
      <c r="C28" t="s">
        <v>5019</v>
      </c>
      <c r="D28" t="s">
        <v>7235</v>
      </c>
      <c r="E28" t="s">
        <v>7231</v>
      </c>
      <c r="F28" t="s">
        <v>7211</v>
      </c>
    </row>
    <row r="29" spans="1:6" ht="15" customHeight="1" x14ac:dyDescent="0.25">
      <c r="A29" t="s">
        <v>7236</v>
      </c>
      <c r="B29" t="s">
        <v>3975</v>
      </c>
      <c r="C29" t="s">
        <v>4356</v>
      </c>
      <c r="D29" t="s">
        <v>7237</v>
      </c>
      <c r="E29" t="s">
        <v>7238</v>
      </c>
      <c r="F29" t="s">
        <v>7211</v>
      </c>
    </row>
    <row r="30" spans="1:6" ht="15" customHeight="1" x14ac:dyDescent="0.25">
      <c r="A30" t="s">
        <v>7239</v>
      </c>
      <c r="B30" t="s">
        <v>3975</v>
      </c>
      <c r="C30" t="s">
        <v>4360</v>
      </c>
      <c r="D30" t="s">
        <v>7240</v>
      </c>
      <c r="E30" t="s">
        <v>7238</v>
      </c>
      <c r="F30" t="s">
        <v>7211</v>
      </c>
    </row>
    <row r="31" spans="1:6" ht="15" customHeight="1" x14ac:dyDescent="0.25">
      <c r="A31" t="s">
        <v>7241</v>
      </c>
      <c r="B31" t="s">
        <v>3975</v>
      </c>
      <c r="C31" t="s">
        <v>5019</v>
      </c>
      <c r="D31" t="s">
        <v>7242</v>
      </c>
      <c r="E31" t="s">
        <v>7238</v>
      </c>
      <c r="F31" t="s">
        <v>7211</v>
      </c>
    </row>
    <row r="32" spans="1:6" ht="15" customHeight="1" x14ac:dyDescent="0.25">
      <c r="A32" t="s">
        <v>7243</v>
      </c>
      <c r="B32" t="s">
        <v>3992</v>
      </c>
      <c r="C32" t="s">
        <v>4356</v>
      </c>
      <c r="D32" t="s">
        <v>7244</v>
      </c>
      <c r="E32" t="s">
        <v>7245</v>
      </c>
      <c r="F32" t="s">
        <v>7211</v>
      </c>
    </row>
    <row r="33" spans="1:6" ht="15" customHeight="1" x14ac:dyDescent="0.25">
      <c r="A33" t="s">
        <v>7246</v>
      </c>
      <c r="B33" t="s">
        <v>3992</v>
      </c>
      <c r="C33" t="s">
        <v>4360</v>
      </c>
      <c r="D33" t="s">
        <v>7244</v>
      </c>
      <c r="E33" t="s">
        <v>7245</v>
      </c>
      <c r="F33" t="s">
        <v>7211</v>
      </c>
    </row>
    <row r="34" spans="1:6" ht="15" customHeight="1" x14ac:dyDescent="0.25">
      <c r="A34" t="s">
        <v>7247</v>
      </c>
      <c r="B34" t="s">
        <v>3992</v>
      </c>
      <c r="C34" t="s">
        <v>5019</v>
      </c>
      <c r="D34" t="s">
        <v>7244</v>
      </c>
      <c r="E34" t="s">
        <v>7245</v>
      </c>
      <c r="F34" t="s">
        <v>7211</v>
      </c>
    </row>
    <row r="35" spans="1:6" ht="15" customHeight="1" x14ac:dyDescent="0.25">
      <c r="A35" t="s">
        <v>7248</v>
      </c>
      <c r="B35" t="s">
        <v>5016</v>
      </c>
      <c r="C35" t="s">
        <v>4356</v>
      </c>
      <c r="D35" t="s">
        <v>7190</v>
      </c>
      <c r="E35" t="s">
        <v>7249</v>
      </c>
      <c r="F35" t="s">
        <v>7178</v>
      </c>
    </row>
    <row r="36" spans="1:6" ht="15" customHeight="1" x14ac:dyDescent="0.25">
      <c r="A36" t="s">
        <v>7250</v>
      </c>
      <c r="B36" t="s">
        <v>5016</v>
      </c>
      <c r="C36" t="s">
        <v>4360</v>
      </c>
      <c r="D36" t="s">
        <v>7176</v>
      </c>
      <c r="E36" t="s">
        <v>7249</v>
      </c>
      <c r="F36" t="s">
        <v>7178</v>
      </c>
    </row>
    <row r="37" spans="1:6" ht="15" customHeight="1" x14ac:dyDescent="0.25">
      <c r="A37" t="s">
        <v>7251</v>
      </c>
      <c r="B37" t="s">
        <v>5016</v>
      </c>
      <c r="C37" t="s">
        <v>5019</v>
      </c>
      <c r="D37" t="s">
        <v>7194</v>
      </c>
      <c r="E37" t="s">
        <v>7249</v>
      </c>
      <c r="F37" t="s">
        <v>7178</v>
      </c>
    </row>
    <row r="38" spans="1:6" ht="15" customHeight="1" x14ac:dyDescent="0.25">
      <c r="A38" t="s">
        <v>7252</v>
      </c>
      <c r="B38" t="s">
        <v>3992</v>
      </c>
      <c r="C38" t="s">
        <v>4356</v>
      </c>
      <c r="D38" t="s">
        <v>7190</v>
      </c>
      <c r="E38" t="s">
        <v>7253</v>
      </c>
      <c r="F38" t="s">
        <v>7178</v>
      </c>
    </row>
    <row r="39" spans="1:6" ht="15" customHeight="1" x14ac:dyDescent="0.25">
      <c r="A39" t="s">
        <v>7254</v>
      </c>
      <c r="B39" t="s">
        <v>3992</v>
      </c>
      <c r="C39" t="s">
        <v>4360</v>
      </c>
      <c r="D39" t="s">
        <v>7176</v>
      </c>
      <c r="E39" t="s">
        <v>7253</v>
      </c>
      <c r="F39" t="s">
        <v>7178</v>
      </c>
    </row>
    <row r="40" spans="1:6" ht="15" customHeight="1" x14ac:dyDescent="0.25">
      <c r="A40" t="s">
        <v>7255</v>
      </c>
      <c r="B40" t="s">
        <v>3992</v>
      </c>
      <c r="C40" t="s">
        <v>5019</v>
      </c>
      <c r="D40" t="s">
        <v>7194</v>
      </c>
      <c r="E40" t="s">
        <v>7253</v>
      </c>
      <c r="F40" t="s">
        <v>7178</v>
      </c>
    </row>
    <row r="41" spans="1:6" ht="15" customHeight="1" x14ac:dyDescent="0.25">
      <c r="A41" t="s">
        <v>7256</v>
      </c>
      <c r="B41" t="s">
        <v>5016</v>
      </c>
      <c r="C41" t="s">
        <v>4356</v>
      </c>
      <c r="D41" t="s">
        <v>7194</v>
      </c>
      <c r="E41" t="s">
        <v>7257</v>
      </c>
      <c r="F41" t="s">
        <v>7178</v>
      </c>
    </row>
    <row r="42" spans="1:6" ht="15" customHeight="1" x14ac:dyDescent="0.25">
      <c r="A42" t="s">
        <v>7258</v>
      </c>
      <c r="B42" t="s">
        <v>5016</v>
      </c>
      <c r="C42" t="s">
        <v>4360</v>
      </c>
      <c r="D42" t="s">
        <v>7194</v>
      </c>
      <c r="E42" t="s">
        <v>7259</v>
      </c>
      <c r="F42" t="s">
        <v>7178</v>
      </c>
    </row>
    <row r="43" spans="1:6" ht="15" customHeight="1" x14ac:dyDescent="0.25">
      <c r="A43" t="s">
        <v>7260</v>
      </c>
      <c r="B43" t="s">
        <v>5016</v>
      </c>
      <c r="C43" t="s">
        <v>5019</v>
      </c>
      <c r="D43" t="s">
        <v>7194</v>
      </c>
      <c r="E43" t="s">
        <v>7261</v>
      </c>
      <c r="F43" t="s">
        <v>7178</v>
      </c>
    </row>
    <row r="44" spans="1:6" ht="15" customHeight="1" x14ac:dyDescent="0.25">
      <c r="A44" t="s">
        <v>7262</v>
      </c>
      <c r="B44" t="s">
        <v>6861</v>
      </c>
      <c r="C44" t="s">
        <v>4356</v>
      </c>
      <c r="D44" t="s">
        <v>7190</v>
      </c>
      <c r="E44" t="s">
        <v>7263</v>
      </c>
      <c r="F44" t="s">
        <v>7178</v>
      </c>
    </row>
    <row r="45" spans="1:6" ht="15" customHeight="1" x14ac:dyDescent="0.25">
      <c r="A45" t="s">
        <v>7264</v>
      </c>
      <c r="B45" t="s">
        <v>6861</v>
      </c>
      <c r="C45" t="s">
        <v>4360</v>
      </c>
      <c r="D45" t="s">
        <v>7176</v>
      </c>
      <c r="E45" t="s">
        <v>7263</v>
      </c>
      <c r="F45" t="s">
        <v>7178</v>
      </c>
    </row>
    <row r="46" spans="1:6" ht="15" customHeight="1" x14ac:dyDescent="0.25">
      <c r="A46" t="s">
        <v>7265</v>
      </c>
      <c r="B46" t="s">
        <v>6861</v>
      </c>
      <c r="C46" t="s">
        <v>5019</v>
      </c>
      <c r="D46" t="s">
        <v>7194</v>
      </c>
      <c r="E46" t="s">
        <v>7263</v>
      </c>
      <c r="F46" t="s">
        <v>7178</v>
      </c>
    </row>
    <row r="47" spans="1:6" ht="15" customHeight="1" x14ac:dyDescent="0.25">
      <c r="A47" t="s">
        <v>7266</v>
      </c>
      <c r="B47" t="s">
        <v>3975</v>
      </c>
      <c r="C47" t="s">
        <v>4356</v>
      </c>
      <c r="D47" t="s">
        <v>7237</v>
      </c>
      <c r="E47" t="s">
        <v>7267</v>
      </c>
      <c r="F47" t="s">
        <v>7211</v>
      </c>
    </row>
    <row r="48" spans="1:6" ht="15" customHeight="1" x14ac:dyDescent="0.25">
      <c r="A48" t="s">
        <v>7268</v>
      </c>
      <c r="B48" t="s">
        <v>3975</v>
      </c>
      <c r="C48" t="s">
        <v>4360</v>
      </c>
      <c r="D48" t="s">
        <v>7240</v>
      </c>
      <c r="E48" t="s">
        <v>7269</v>
      </c>
      <c r="F48" t="s">
        <v>7211</v>
      </c>
    </row>
    <row r="49" spans="1:6" ht="15" customHeight="1" x14ac:dyDescent="0.25">
      <c r="A49" t="s">
        <v>7270</v>
      </c>
      <c r="B49" t="s">
        <v>3975</v>
      </c>
      <c r="C49" t="s">
        <v>5019</v>
      </c>
      <c r="D49" t="s">
        <v>7242</v>
      </c>
      <c r="E49" t="s">
        <v>7271</v>
      </c>
      <c r="F49" t="s">
        <v>7211</v>
      </c>
    </row>
    <row r="50" spans="1:6" ht="15" customHeight="1" x14ac:dyDescent="0.25">
      <c r="A50" t="s">
        <v>7272</v>
      </c>
      <c r="B50" t="s">
        <v>3992</v>
      </c>
      <c r="C50" t="s">
        <v>4356</v>
      </c>
      <c r="D50" t="s">
        <v>7190</v>
      </c>
      <c r="E50" t="s">
        <v>7273</v>
      </c>
      <c r="F50" t="s">
        <v>7178</v>
      </c>
    </row>
    <row r="51" spans="1:6" ht="15" customHeight="1" x14ac:dyDescent="0.25">
      <c r="A51" t="s">
        <v>7274</v>
      </c>
      <c r="B51" t="s">
        <v>3992</v>
      </c>
      <c r="C51" t="s">
        <v>4360</v>
      </c>
      <c r="D51" t="s">
        <v>7176</v>
      </c>
      <c r="E51" t="s">
        <v>7273</v>
      </c>
      <c r="F51" t="s">
        <v>7178</v>
      </c>
    </row>
    <row r="52" spans="1:6" ht="15" customHeight="1" x14ac:dyDescent="0.25">
      <c r="A52" t="s">
        <v>7275</v>
      </c>
      <c r="B52" t="s">
        <v>3992</v>
      </c>
      <c r="C52" t="s">
        <v>5019</v>
      </c>
      <c r="D52" t="s">
        <v>7194</v>
      </c>
      <c r="E52" t="s">
        <v>7273</v>
      </c>
      <c r="F52" t="s">
        <v>7178</v>
      </c>
    </row>
    <row r="53" spans="1:6" ht="15" customHeight="1" x14ac:dyDescent="0.25">
      <c r="A53" t="s">
        <v>7276</v>
      </c>
      <c r="B53" t="s">
        <v>3975</v>
      </c>
      <c r="C53" t="s">
        <v>4356</v>
      </c>
      <c r="D53" t="s">
        <v>7277</v>
      </c>
      <c r="E53" t="s">
        <v>7278</v>
      </c>
      <c r="F53" t="s">
        <v>7211</v>
      </c>
    </row>
    <row r="54" spans="1:6" ht="15" customHeight="1" x14ac:dyDescent="0.25">
      <c r="A54" t="s">
        <v>7279</v>
      </c>
      <c r="B54" t="s">
        <v>3975</v>
      </c>
      <c r="C54" t="s">
        <v>4360</v>
      </c>
      <c r="D54" t="s">
        <v>7280</v>
      </c>
      <c r="E54" t="s">
        <v>7278</v>
      </c>
      <c r="F54" t="s">
        <v>7211</v>
      </c>
    </row>
    <row r="55" spans="1:6" ht="15" customHeight="1" x14ac:dyDescent="0.25">
      <c r="A55" t="s">
        <v>7281</v>
      </c>
      <c r="B55" t="s">
        <v>3975</v>
      </c>
      <c r="C55" t="s">
        <v>5019</v>
      </c>
      <c r="D55" t="s">
        <v>7282</v>
      </c>
      <c r="E55" t="s">
        <v>7278</v>
      </c>
      <c r="F55" t="s">
        <v>7211</v>
      </c>
    </row>
    <row r="56" spans="1:6" ht="15" customHeight="1" x14ac:dyDescent="0.25">
      <c r="A56" t="s">
        <v>7283</v>
      </c>
      <c r="B56" t="s">
        <v>5016</v>
      </c>
      <c r="C56" t="s">
        <v>4356</v>
      </c>
      <c r="D56" t="s">
        <v>7284</v>
      </c>
      <c r="E56" t="s">
        <v>7285</v>
      </c>
      <c r="F56" t="s">
        <v>7211</v>
      </c>
    </row>
    <row r="57" spans="1:6" ht="15" customHeight="1" x14ac:dyDescent="0.25">
      <c r="A57" t="s">
        <v>7286</v>
      </c>
      <c r="B57" t="s">
        <v>5016</v>
      </c>
      <c r="C57" t="s">
        <v>4360</v>
      </c>
      <c r="D57" t="s">
        <v>7287</v>
      </c>
      <c r="E57" t="s">
        <v>7285</v>
      </c>
      <c r="F57" t="s">
        <v>7211</v>
      </c>
    </row>
    <row r="58" spans="1:6" ht="15" customHeight="1" x14ac:dyDescent="0.25">
      <c r="A58" t="s">
        <v>7288</v>
      </c>
      <c r="B58" t="s">
        <v>5016</v>
      </c>
      <c r="C58" t="s">
        <v>5019</v>
      </c>
      <c r="D58" t="s">
        <v>7289</v>
      </c>
      <c r="E58" t="s">
        <v>7285</v>
      </c>
      <c r="F58" t="s">
        <v>7211</v>
      </c>
    </row>
    <row r="59" spans="1:6" ht="15" customHeight="1" x14ac:dyDescent="0.25">
      <c r="A59" t="s">
        <v>7290</v>
      </c>
      <c r="B59" t="s">
        <v>5016</v>
      </c>
      <c r="C59" t="s">
        <v>4356</v>
      </c>
      <c r="D59" t="s">
        <v>7190</v>
      </c>
      <c r="E59" t="s">
        <v>7291</v>
      </c>
      <c r="F59" t="s">
        <v>3825</v>
      </c>
    </row>
    <row r="60" spans="1:6" ht="15" customHeight="1" x14ac:dyDescent="0.25">
      <c r="A60" t="s">
        <v>7292</v>
      </c>
      <c r="B60" t="s">
        <v>5016</v>
      </c>
      <c r="C60" t="s">
        <v>4360</v>
      </c>
      <c r="D60" t="s">
        <v>7176</v>
      </c>
      <c r="E60" t="s">
        <v>7291</v>
      </c>
      <c r="F60" t="s">
        <v>3825</v>
      </c>
    </row>
    <row r="61" spans="1:6" ht="15" customHeight="1" x14ac:dyDescent="0.25">
      <c r="A61" t="s">
        <v>7293</v>
      </c>
      <c r="B61" t="s">
        <v>5016</v>
      </c>
      <c r="C61" t="s">
        <v>5019</v>
      </c>
      <c r="D61" t="s">
        <v>7194</v>
      </c>
      <c r="E61" t="s">
        <v>7291</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7294</v>
      </c>
      <c r="B2" t="s">
        <v>4938</v>
      </c>
    </row>
    <row r="3" spans="1:2" ht="15" customHeight="1" x14ac:dyDescent="0.25">
      <c r="A3" t="s">
        <v>7295</v>
      </c>
      <c r="B3" t="s">
        <v>4938</v>
      </c>
    </row>
    <row r="4" spans="1:2" ht="15" customHeight="1" x14ac:dyDescent="0.25">
      <c r="A4" t="s">
        <v>7296</v>
      </c>
      <c r="B4" t="s">
        <v>4938</v>
      </c>
    </row>
    <row r="5" spans="1:2" ht="15" customHeight="1" x14ac:dyDescent="0.25">
      <c r="A5" t="s">
        <v>7297</v>
      </c>
      <c r="B5" t="s">
        <v>4938</v>
      </c>
    </row>
    <row r="6" spans="1:2" ht="15" customHeight="1" x14ac:dyDescent="0.25">
      <c r="A6" t="s">
        <v>3950</v>
      </c>
      <c r="B6" t="s">
        <v>4938</v>
      </c>
    </row>
    <row r="7" spans="1:2" ht="15" customHeight="1" x14ac:dyDescent="0.25">
      <c r="A7" t="s">
        <v>7298</v>
      </c>
      <c r="B7" t="s">
        <v>4938</v>
      </c>
    </row>
    <row r="8" spans="1:2" ht="15" customHeight="1" x14ac:dyDescent="0.25">
      <c r="A8" t="s">
        <v>7299</v>
      </c>
      <c r="B8" t="s">
        <v>4938</v>
      </c>
    </row>
    <row r="9" spans="1:2" ht="15" customHeight="1" x14ac:dyDescent="0.25">
      <c r="A9" t="s">
        <v>7300</v>
      </c>
      <c r="B9" t="s">
        <v>4938</v>
      </c>
    </row>
    <row r="10" spans="1:2" ht="15" customHeight="1" x14ac:dyDescent="0.25">
      <c r="A10" t="s">
        <v>7301</v>
      </c>
      <c r="B10" t="s">
        <v>4938</v>
      </c>
    </row>
    <row r="11" spans="1:2" ht="15" customHeight="1" x14ac:dyDescent="0.25">
      <c r="A11" t="s">
        <v>7302</v>
      </c>
      <c r="B11" t="s">
        <v>4938</v>
      </c>
    </row>
    <row r="12" spans="1:2" ht="15" customHeight="1" x14ac:dyDescent="0.25">
      <c r="A12" t="s">
        <v>7303</v>
      </c>
      <c r="B12" t="s">
        <v>4365</v>
      </c>
    </row>
    <row r="13" spans="1:2" ht="15" customHeight="1" x14ac:dyDescent="0.25">
      <c r="A13" t="s">
        <v>7304</v>
      </c>
      <c r="B13" t="s">
        <v>4365</v>
      </c>
    </row>
    <row r="14" spans="1:2" ht="15" customHeight="1" x14ac:dyDescent="0.25">
      <c r="A14" t="s">
        <v>7305</v>
      </c>
      <c r="B14" t="s">
        <v>4365</v>
      </c>
    </row>
    <row r="15" spans="1:2" ht="15" customHeight="1" x14ac:dyDescent="0.25">
      <c r="A15" t="s">
        <v>7306</v>
      </c>
      <c r="B15" t="s">
        <v>4365</v>
      </c>
    </row>
    <row r="16" spans="1:2" ht="15" customHeight="1" x14ac:dyDescent="0.25">
      <c r="A16" t="s">
        <v>7307</v>
      </c>
      <c r="B16" t="s">
        <v>4365</v>
      </c>
    </row>
    <row r="17" spans="1:2" ht="15" customHeight="1" x14ac:dyDescent="0.25">
      <c r="A17" t="s">
        <v>7308</v>
      </c>
      <c r="B17" t="s">
        <v>4365</v>
      </c>
    </row>
    <row r="18" spans="1:2" ht="15" customHeight="1" x14ac:dyDescent="0.25">
      <c r="A18" t="s">
        <v>7309</v>
      </c>
      <c r="B18" t="s">
        <v>7310</v>
      </c>
    </row>
    <row r="19" spans="1:2" ht="15" customHeight="1" x14ac:dyDescent="0.25">
      <c r="A19" t="s">
        <v>7311</v>
      </c>
      <c r="B19" t="s">
        <v>7310</v>
      </c>
    </row>
    <row r="20" spans="1:2" ht="15" customHeight="1" x14ac:dyDescent="0.25">
      <c r="A20" t="s">
        <v>7312</v>
      </c>
      <c r="B20" t="s">
        <v>7310</v>
      </c>
    </row>
    <row r="21" spans="1:2" ht="15" customHeight="1" x14ac:dyDescent="0.25">
      <c r="A21" t="s">
        <v>7313</v>
      </c>
      <c r="B21" t="s">
        <v>7310</v>
      </c>
    </row>
    <row r="22" spans="1:2" ht="15" customHeight="1" x14ac:dyDescent="0.25">
      <c r="A22" t="s">
        <v>7314</v>
      </c>
      <c r="B22" t="s">
        <v>7310</v>
      </c>
    </row>
    <row r="23" spans="1:2" ht="15" customHeight="1" x14ac:dyDescent="0.25">
      <c r="A23" t="s">
        <v>3947</v>
      </c>
      <c r="B23" t="s">
        <v>7310</v>
      </c>
    </row>
    <row r="24" spans="1:2" ht="15" customHeight="1" x14ac:dyDescent="0.25">
      <c r="A24" t="s">
        <v>7315</v>
      </c>
      <c r="B24" t="s">
        <v>7310</v>
      </c>
    </row>
    <row r="25" spans="1:2" ht="15" customHeight="1" x14ac:dyDescent="0.25">
      <c r="A25" t="s">
        <v>7316</v>
      </c>
      <c r="B25" t="s">
        <v>7310</v>
      </c>
    </row>
    <row r="26" spans="1:2" ht="15" customHeight="1" x14ac:dyDescent="0.25">
      <c r="A26" t="s">
        <v>7317</v>
      </c>
      <c r="B26" t="s">
        <v>7310</v>
      </c>
    </row>
    <row r="27" spans="1:2" ht="15" customHeight="1" x14ac:dyDescent="0.25">
      <c r="A27" t="s">
        <v>7318</v>
      </c>
      <c r="B27" t="s">
        <v>7310</v>
      </c>
    </row>
    <row r="28" spans="1:2" ht="15" customHeight="1" x14ac:dyDescent="0.25">
      <c r="A28" t="s">
        <v>7319</v>
      </c>
      <c r="B28" t="s">
        <v>7310</v>
      </c>
    </row>
    <row r="29" spans="1:2" ht="15" customHeight="1" x14ac:dyDescent="0.25">
      <c r="A29" t="s">
        <v>7320</v>
      </c>
      <c r="B29" t="s">
        <v>7310</v>
      </c>
    </row>
    <row r="30" spans="1:2" ht="15" customHeight="1" x14ac:dyDescent="0.25">
      <c r="A30" t="s">
        <v>7321</v>
      </c>
      <c r="B30" t="s">
        <v>7310</v>
      </c>
    </row>
    <row r="31" spans="1:2" ht="15" customHeight="1" x14ac:dyDescent="0.25">
      <c r="A31" t="s">
        <v>7322</v>
      </c>
      <c r="B31" t="s">
        <v>7310</v>
      </c>
    </row>
    <row r="32" spans="1:2" ht="15" customHeight="1" x14ac:dyDescent="0.25">
      <c r="A32" t="s">
        <v>7323</v>
      </c>
      <c r="B32" t="s">
        <v>7310</v>
      </c>
    </row>
    <row r="33" spans="1:2" ht="15" customHeight="1" x14ac:dyDescent="0.25">
      <c r="A33" t="s">
        <v>7324</v>
      </c>
      <c r="B33" t="s">
        <v>7310</v>
      </c>
    </row>
    <row r="34" spans="1:2" ht="15" customHeight="1" x14ac:dyDescent="0.25">
      <c r="A34" t="s">
        <v>7325</v>
      </c>
      <c r="B34" t="s">
        <v>7310</v>
      </c>
    </row>
    <row r="35" spans="1:2" ht="15" customHeight="1" x14ac:dyDescent="0.25">
      <c r="A35" t="s">
        <v>7326</v>
      </c>
      <c r="B35" t="s">
        <v>7310</v>
      </c>
    </row>
    <row r="36" spans="1:2" ht="15" customHeight="1" x14ac:dyDescent="0.25">
      <c r="A36" t="s">
        <v>7327</v>
      </c>
      <c r="B36" t="s">
        <v>7310</v>
      </c>
    </row>
    <row r="37" spans="1:2" ht="15" customHeight="1" x14ac:dyDescent="0.25">
      <c r="A37" t="s">
        <v>7328</v>
      </c>
      <c r="B37" t="s">
        <v>7310</v>
      </c>
    </row>
    <row r="38" spans="1:2" ht="15" customHeight="1" x14ac:dyDescent="0.25">
      <c r="A38" t="s">
        <v>7329</v>
      </c>
      <c r="B38" t="s">
        <v>7310</v>
      </c>
    </row>
    <row r="39" spans="1:2" ht="15" customHeight="1" x14ac:dyDescent="0.25">
      <c r="A39" t="s">
        <v>7330</v>
      </c>
      <c r="B39" t="s">
        <v>4365</v>
      </c>
    </row>
    <row r="40" spans="1:2" ht="15" customHeight="1" x14ac:dyDescent="0.25">
      <c r="A40" t="s">
        <v>7331</v>
      </c>
      <c r="B40" t="s">
        <v>7310</v>
      </c>
    </row>
    <row r="41" spans="1:2" ht="15" customHeight="1" x14ac:dyDescent="0.25">
      <c r="A41" t="s">
        <v>7332</v>
      </c>
      <c r="B41" t="s">
        <v>7310</v>
      </c>
    </row>
    <row r="42" spans="1:2" ht="15" customHeight="1" x14ac:dyDescent="0.25">
      <c r="A42" t="s">
        <v>7333</v>
      </c>
      <c r="B42" t="s">
        <v>7310</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4300</v>
      </c>
      <c r="E1" s="14" t="s">
        <v>7334</v>
      </c>
      <c r="F1" s="14" t="s">
        <v>7335</v>
      </c>
      <c r="G1" s="14" t="s">
        <v>7336</v>
      </c>
      <c r="H1" s="14" t="s">
        <v>7337</v>
      </c>
      <c r="I1" s="14" t="s">
        <v>7338</v>
      </c>
      <c r="J1" s="14" t="s">
        <v>7339</v>
      </c>
      <c r="K1" s="14" t="s">
        <v>7340</v>
      </c>
      <c r="L1" s="14" t="s">
        <v>7341</v>
      </c>
      <c r="M1" s="14" t="s">
        <v>7342</v>
      </c>
      <c r="N1" s="14" t="s">
        <v>7343</v>
      </c>
      <c r="O1" s="14" t="s">
        <v>7344</v>
      </c>
      <c r="P1" s="14" t="s">
        <v>172</v>
      </c>
      <c r="Q1" s="14" t="s">
        <v>7345</v>
      </c>
      <c r="R1" s="14" t="s">
        <v>4302</v>
      </c>
      <c r="T1" s="14" t="s">
        <v>7346</v>
      </c>
      <c r="U1" s="14" t="s">
        <v>7347</v>
      </c>
      <c r="V1" s="14" t="s">
        <v>7348</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12</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12.000266</v>
      </c>
      <c r="P266" t="str">
        <f>IF(OR($A266="",games!$H266=""),"",games!$H266)</f>
        <v>Yes</v>
      </c>
      <c r="Q266">
        <f t="shared" si="63"/>
        <v>12.000266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Popup Dungeon</v>
      </c>
      <c r="B599">
        <f>IF($A599="","",games!$B599)</f>
        <v>2020</v>
      </c>
      <c r="C599" t="str">
        <f>IF($A599="","",games!$C599)</f>
        <v>Strategy</v>
      </c>
      <c r="D599">
        <f>IF($A599="","",COUNTIF(connections!$A$2:$A$2500,$A599)+COUNTIF(connections!$B$2:$B$2500,$A599))</f>
        <v>1</v>
      </c>
      <c r="E599">
        <f t="shared" si="117"/>
        <v>2</v>
      </c>
      <c r="F599">
        <f t="shared" si="118"/>
        <v>21</v>
      </c>
      <c r="G599" t="e">
        <f t="shared" si="119"/>
        <v>#N/A</v>
      </c>
      <c r="H599" t="e">
        <f t="shared" si="120"/>
        <v>#N/A</v>
      </c>
      <c r="I599">
        <f t="shared" si="121"/>
        <v>2020</v>
      </c>
      <c r="J599">
        <f t="shared" si="122"/>
        <v>2.4830000000000001</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Powder</v>
      </c>
      <c r="B600">
        <f>IF($A600="","",games!$B600)</f>
        <v>2003</v>
      </c>
      <c r="C600" t="str">
        <f>IF($A600="","",games!$C600)</f>
        <v>Traditional</v>
      </c>
      <c r="D600">
        <f>IF($A600="","",COUNTIF(connections!$A$2:$A$2500,$A600)+COUNTIF(connections!$B$2:$B$2500,$A600))</f>
        <v>11</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2003</v>
      </c>
      <c r="N600">
        <f t="shared" si="126"/>
        <v>4.5060000000000002</v>
      </c>
      <c r="O600">
        <f t="shared" si="127"/>
        <v>11.0006</v>
      </c>
      <c r="P600" t="str">
        <f>IF(OR($A600="",games!$H600=""),"",games!$H600)</f>
        <v>Yes</v>
      </c>
      <c r="Q600">
        <f t="shared" si="128"/>
        <v>11.0006</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Prime Monster</v>
      </c>
      <c r="B601">
        <f>IF($A601="","",games!$B601)</f>
        <v>2026</v>
      </c>
      <c r="C601" t="str">
        <f>IF($A601="","",games!$C601)</f>
        <v>Deckbuilder</v>
      </c>
      <c r="D601">
        <f>IF($A601="","",COUNTIF(connections!$A$2:$A$2500,$A601)+COUNTIF(connections!$B$2:$B$2500,$A601))</f>
        <v>0</v>
      </c>
      <c r="E601">
        <f t="shared" si="117"/>
        <v>3</v>
      </c>
      <c r="F601">
        <f t="shared" si="118"/>
        <v>23</v>
      </c>
      <c r="G601" t="e">
        <f t="shared" si="119"/>
        <v>#N/A</v>
      </c>
      <c r="H601" t="e">
        <f t="shared" si="120"/>
        <v>#N/A</v>
      </c>
      <c r="I601" t="e">
        <f t="shared" si="121"/>
        <v>#N/A</v>
      </c>
      <c r="J601" t="e">
        <f t="shared" si="122"/>
        <v>#N/A</v>
      </c>
      <c r="K601">
        <f t="shared" si="123"/>
        <v>2026</v>
      </c>
      <c r="L601">
        <f t="shared" si="124"/>
        <v>3.5289999999999999</v>
      </c>
      <c r="M601" t="e">
        <f t="shared" si="125"/>
        <v>#N/A</v>
      </c>
      <c r="N601" t="e">
        <f t="shared" si="126"/>
        <v>#N/A</v>
      </c>
      <c r="O601">
        <f t="shared" si="127"/>
        <v>6.0099999999999997E-4</v>
      </c>
      <c r="P601" t="str">
        <f>IF(OR($A601="",games!$H601=""),"",games!$H601)</f>
        <v/>
      </c>
      <c r="Q601" t="str">
        <f t="shared" si="128"/>
        <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Primordialis</v>
      </c>
      <c r="B602">
        <f>IF($A602="","",games!$B602)</f>
        <v>2024</v>
      </c>
      <c r="C602" t="str">
        <f>IF($A602="","",games!$C602)</f>
        <v>Action</v>
      </c>
      <c r="D602">
        <f>IF($A602="","",COUNTIF(connections!$A$2:$A$2500,$A602)+COUNTIF(connections!$B$2:$B$2500,$A602))</f>
        <v>1</v>
      </c>
      <c r="E602">
        <f t="shared" si="117"/>
        <v>1</v>
      </c>
      <c r="F602">
        <f t="shared" si="118"/>
        <v>24</v>
      </c>
      <c r="G602">
        <f t="shared" si="119"/>
        <v>2024</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Pro Jank Footy</v>
      </c>
      <c r="B603">
        <f>IF($A603="","",games!$B603)</f>
        <v>2026</v>
      </c>
      <c r="C603" t="str">
        <f>IF($A603="","",games!$C603)</f>
        <v>Action</v>
      </c>
      <c r="D603">
        <f>IF($A603="","",COUNTIF(connections!$A$2:$A$2500,$A603)+COUNTIF(connections!$B$2:$B$2500,$A603))</f>
        <v>0</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Pronoun Palace</v>
      </c>
      <c r="B604">
        <f>IF($A604="","",games!$B604)</f>
        <v>2026</v>
      </c>
      <c r="C604" t="str">
        <f>IF($A604="","",games!$C604)</f>
        <v>Strategy</v>
      </c>
      <c r="D604">
        <f>IF($A604="","",COUNTIF(connections!$A$2:$A$2500,$A604)+COUNTIF(connections!$B$2:$B$2500,$A604))</f>
        <v>2</v>
      </c>
      <c r="E604">
        <f t="shared" si="117"/>
        <v>2</v>
      </c>
      <c r="F604">
        <f t="shared" si="118"/>
        <v>26</v>
      </c>
      <c r="G604" t="e">
        <f t="shared" si="119"/>
        <v>#N/A</v>
      </c>
      <c r="H604" t="e">
        <f t="shared" si="120"/>
        <v>#N/A</v>
      </c>
      <c r="I604">
        <f t="shared" si="121"/>
        <v>2026</v>
      </c>
      <c r="J604">
        <f t="shared" si="122"/>
        <v>2.5979999999999999</v>
      </c>
      <c r="K604" t="e">
        <f t="shared" si="123"/>
        <v>#N/A</v>
      </c>
      <c r="L604" t="e">
        <f t="shared" si="124"/>
        <v>#N/A</v>
      </c>
      <c r="M604" t="e">
        <f t="shared" si="125"/>
        <v>#N/A</v>
      </c>
      <c r="N604" t="e">
        <f t="shared" si="126"/>
        <v>#N/A</v>
      </c>
      <c r="O604">
        <f t="shared" si="127"/>
        <v>2.000604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Putrid Shot Ultra</v>
      </c>
      <c r="B605">
        <f>IF($A605="","",games!$B605)</f>
        <v>2022</v>
      </c>
      <c r="C605" t="str">
        <f>IF($A605="","",games!$C605)</f>
        <v>Action</v>
      </c>
      <c r="D605">
        <f>IF($A605="","",COUNTIF(connections!$A$2:$A$2500,$A605)+COUNTIF(connections!$B$2:$B$2500,$A605))</f>
        <v>3</v>
      </c>
      <c r="E605">
        <f t="shared" si="117"/>
        <v>1</v>
      </c>
      <c r="F605">
        <f t="shared" si="118"/>
        <v>27</v>
      </c>
      <c r="G605">
        <f t="shared" si="119"/>
        <v>2022</v>
      </c>
      <c r="H605">
        <f t="shared" si="120"/>
        <v>1.621</v>
      </c>
      <c r="I605" t="e">
        <f t="shared" si="121"/>
        <v>#N/A</v>
      </c>
      <c r="J605" t="e">
        <f t="shared" si="122"/>
        <v>#N/A</v>
      </c>
      <c r="K605" t="e">
        <f t="shared" si="123"/>
        <v>#N/A</v>
      </c>
      <c r="L605" t="e">
        <f t="shared" si="124"/>
        <v>#N/A</v>
      </c>
      <c r="M605" t="e">
        <f t="shared" si="125"/>
        <v>#N/A</v>
      </c>
      <c r="N605" t="e">
        <f t="shared" si="126"/>
        <v>#N/A</v>
      </c>
      <c r="O605">
        <f t="shared" si="127"/>
        <v>3.0006050000000002</v>
      </c>
      <c r="P605" t="str">
        <f>IF(OR($A605="",games!$H605=""),"",games!$H605)</f>
        <v>Yes</v>
      </c>
      <c r="Q605">
        <f t="shared" si="128"/>
        <v>3.0006050000000002</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Pyrene</v>
      </c>
      <c r="B606">
        <f>IF($A606="","",games!$B606)</f>
        <v>2024</v>
      </c>
      <c r="C606" t="str">
        <f>IF($A606="","",games!$C606)</f>
        <v>Deckbuilder</v>
      </c>
      <c r="D606">
        <f>IF($A606="","",COUNTIF(connections!$A$2:$A$2500,$A606)+COUNTIF(connections!$B$2:$B$2500,$A606))</f>
        <v>1</v>
      </c>
      <c r="E606">
        <f t="shared" si="117"/>
        <v>3</v>
      </c>
      <c r="F606">
        <f t="shared" si="118"/>
        <v>28</v>
      </c>
      <c r="G606" t="e">
        <f t="shared" si="119"/>
        <v>#N/A</v>
      </c>
      <c r="H606" t="e">
        <f t="shared" si="120"/>
        <v>#N/A</v>
      </c>
      <c r="I606" t="e">
        <f t="shared" si="121"/>
        <v>#N/A</v>
      </c>
      <c r="J606" t="e">
        <f t="shared" si="122"/>
        <v>#N/A</v>
      </c>
      <c r="K606">
        <f t="shared" si="123"/>
        <v>2024</v>
      </c>
      <c r="L606">
        <f t="shared" si="124"/>
        <v>3.6440000000000001</v>
      </c>
      <c r="M606" t="e">
        <f t="shared" si="125"/>
        <v>#N/A</v>
      </c>
      <c r="N606" t="e">
        <f t="shared" si="126"/>
        <v>#N/A</v>
      </c>
      <c r="O606">
        <f t="shared" si="127"/>
        <v>1.0006060000000001</v>
      </c>
      <c r="P606" t="str">
        <f>IF(OR($A606="",games!$H606=""),"",games!$H606)</f>
        <v/>
      </c>
      <c r="Q606" t="str">
        <f t="shared" si="128"/>
        <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Quasimorph</v>
      </c>
      <c r="B607">
        <f>IF($A607="","",games!$B607)</f>
        <v>2023</v>
      </c>
      <c r="C607" t="str">
        <f>IF($A607="","",games!$C607)</f>
        <v>Traditional</v>
      </c>
      <c r="D607">
        <f>IF($A607="","",COUNTIF(connections!$A$2:$A$2500,$A607)+COUNTIF(connections!$B$2:$B$2500,$A607))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2023</v>
      </c>
      <c r="N607">
        <f t="shared" si="126"/>
        <v>4.6669999999999998</v>
      </c>
      <c r="O607">
        <f t="shared" si="127"/>
        <v>2.000607</v>
      </c>
      <c r="P607" t="str">
        <f>IF(OR($A607="",games!$H607=""),"",games!$H607)</f>
        <v>Yes</v>
      </c>
      <c r="Q607">
        <f t="shared" si="128"/>
        <v>2.000607</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Quest of Dungeons</v>
      </c>
      <c r="B608">
        <f>IF($A608="","",games!$B608)</f>
        <v>2014</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2014</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Rabbit and Steel</v>
      </c>
      <c r="B609">
        <f>IF($A609="","",games!$B609)</f>
        <v>2024</v>
      </c>
      <c r="C609" t="str">
        <f>IF($A609="","",games!$C609)</f>
        <v>Action</v>
      </c>
      <c r="D609">
        <f>IF($A609="","",COUNTIF(connections!$A$2:$A$2500,$A609)+COUNTIF(connections!$B$2:$B$2500,$A609))</f>
        <v>1</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Raccoin: Coin Pusher Roguelike</v>
      </c>
      <c r="B610">
        <f>IF($A610="","",games!$B610)</f>
        <v>2026</v>
      </c>
      <c r="C610" t="str">
        <f>IF($A610="","",games!$C610)</f>
        <v>Deckbuilder</v>
      </c>
      <c r="D610">
        <f>IF($A610="","",COUNTIF(connections!$A$2:$A$2500,$A610)+COUNTIF(connections!$B$2:$B$2500,$A610))</f>
        <v>2</v>
      </c>
      <c r="E610">
        <f t="shared" si="117"/>
        <v>3</v>
      </c>
      <c r="F610">
        <f t="shared" si="118"/>
        <v>32</v>
      </c>
      <c r="G610" t="e">
        <f t="shared" si="119"/>
        <v>#N/A</v>
      </c>
      <c r="H610" t="e">
        <f t="shared" si="120"/>
        <v>#N/A</v>
      </c>
      <c r="I610" t="e">
        <f t="shared" si="121"/>
        <v>#N/A</v>
      </c>
      <c r="J610" t="e">
        <f t="shared" si="122"/>
        <v>#N/A</v>
      </c>
      <c r="K610">
        <f t="shared" si="123"/>
        <v>2026</v>
      </c>
      <c r="L610">
        <f t="shared" si="124"/>
        <v>3.7359999999999998</v>
      </c>
      <c r="M610" t="e">
        <f t="shared" si="125"/>
        <v>#N/A</v>
      </c>
      <c r="N610" t="e">
        <f t="shared" si="126"/>
        <v>#N/A</v>
      </c>
      <c r="O610">
        <f t="shared" si="127"/>
        <v>2.00061</v>
      </c>
      <c r="P610" t="str">
        <f>IF(OR($A610="",games!$H610=""),"",games!$H610)</f>
        <v>Yes</v>
      </c>
      <c r="Q610">
        <f t="shared" si="128"/>
        <v>2.00061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Rack and Slay</v>
      </c>
      <c r="B611">
        <f>IF($A611="","",games!$B611)</f>
        <v>2024</v>
      </c>
      <c r="C611" t="str">
        <f>IF($A611="","",games!$C611)</f>
        <v>Strategy</v>
      </c>
      <c r="D611">
        <f>IF($A611="","",COUNTIF(connections!$A$2:$A$2500,$A611)+COUNTIF(connections!$B$2:$B$2500,$A611))</f>
        <v>2</v>
      </c>
      <c r="E611">
        <f t="shared" si="117"/>
        <v>2</v>
      </c>
      <c r="F611">
        <f t="shared" si="118"/>
        <v>33</v>
      </c>
      <c r="G611" t="e">
        <f t="shared" si="119"/>
        <v>#N/A</v>
      </c>
      <c r="H611" t="e">
        <f t="shared" si="120"/>
        <v>#N/A</v>
      </c>
      <c r="I611">
        <f t="shared" si="121"/>
        <v>2024</v>
      </c>
      <c r="J611">
        <f t="shared" si="122"/>
        <v>2.7589999999999999</v>
      </c>
      <c r="K611" t="e">
        <f t="shared" si="123"/>
        <v>#N/A</v>
      </c>
      <c r="L611" t="e">
        <f t="shared" si="124"/>
        <v>#N/A</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Ragnarok</v>
      </c>
      <c r="B612">
        <f>IF($A612="","",games!$B612)</f>
        <v>1992</v>
      </c>
      <c r="C612" t="str">
        <f>IF($A612="","",games!$C612)</f>
        <v>Traditional</v>
      </c>
      <c r="D612">
        <f>IF($A612="","",COUNTIF(connections!$A$2:$A$2500,$A612)+COUNTIF(connections!$B$2:$B$2500,$A612))</f>
        <v>3</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1992</v>
      </c>
      <c r="N612">
        <f t="shared" si="126"/>
        <v>4</v>
      </c>
      <c r="O612">
        <f t="shared" si="127"/>
        <v>3.0006119999999998</v>
      </c>
      <c r="P612" t="str">
        <f>IF(OR($A612="",games!$H612=""),"",games!$H612)</f>
        <v>Yes</v>
      </c>
      <c r="Q612">
        <f t="shared" si="128"/>
        <v>3.0006119999999998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RAM: Random Access Mayhem</v>
      </c>
      <c r="B613">
        <f>IF($A613="","",games!$B613)</f>
        <v>2024</v>
      </c>
      <c r="C613" t="str">
        <f>IF($A613="","",games!$C613)</f>
        <v>Action</v>
      </c>
      <c r="D613">
        <f>IF($A613="","",COUNTIF(connections!$A$2:$A$2500,$A613)+COUNTIF(connections!$B$2:$B$2500,$A613))</f>
        <v>2</v>
      </c>
      <c r="E613">
        <f t="shared" si="117"/>
        <v>1</v>
      </c>
      <c r="F613">
        <f t="shared" si="118"/>
        <v>1</v>
      </c>
      <c r="G613">
        <f t="shared" si="119"/>
        <v>2024</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Rampage Knights</v>
      </c>
      <c r="B614">
        <f>IF($A614="","",games!$B614)</f>
        <v>2015</v>
      </c>
      <c r="C614" t="str">
        <f>IF($A614="","",games!$C614)</f>
        <v>Action</v>
      </c>
      <c r="D614">
        <f>IF($A614="","",COUNTIF(connections!$A$2:$A$2500,$A614)+COUNTIF(connections!$B$2:$B$2500,$A614))</f>
        <v>1</v>
      </c>
      <c r="E614">
        <f t="shared" si="117"/>
        <v>1</v>
      </c>
      <c r="F614">
        <f t="shared" si="118"/>
        <v>2</v>
      </c>
      <c r="G614">
        <f t="shared" si="119"/>
        <v>2015</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Rangedrifter</v>
      </c>
      <c r="B615">
        <f>IF($A615="","",games!$B615)</f>
        <v>2026</v>
      </c>
      <c r="C615" t="str">
        <f>IF($A615="","",games!$C615)</f>
        <v>Traditional</v>
      </c>
      <c r="D615">
        <f>IF($A615="","",COUNTIF(connections!$A$2:$A$2500,$A615)+COUNTIF(connections!$B$2:$B$2500,$A615))</f>
        <v>1</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2026</v>
      </c>
      <c r="N615">
        <f t="shared" si="126"/>
        <v>4.069</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Ratatan</v>
      </c>
      <c r="B616">
        <f>IF($A616="","",games!$B616)</f>
        <v>2025</v>
      </c>
      <c r="C616" t="str">
        <f>IF($A616="","",games!$C616)</f>
        <v>Action</v>
      </c>
      <c r="D616">
        <f>IF($A616="","",COUNTIF(connections!$A$2:$A$2500,$A616)+COUNTIF(connections!$B$2:$B$2500,$A616))</f>
        <v>0</v>
      </c>
      <c r="E616">
        <f t="shared" si="117"/>
        <v>1</v>
      </c>
      <c r="F616">
        <f t="shared" si="118"/>
        <v>4</v>
      </c>
      <c r="G616">
        <f t="shared" si="119"/>
        <v>2025</v>
      </c>
      <c r="H616">
        <f t="shared" si="120"/>
        <v>1.0920000000000001</v>
      </c>
      <c r="I616" t="e">
        <f t="shared" si="121"/>
        <v>#N/A</v>
      </c>
      <c r="J616" t="e">
        <f t="shared" si="122"/>
        <v>#N/A</v>
      </c>
      <c r="K616" t="e">
        <f t="shared" si="123"/>
        <v>#N/A</v>
      </c>
      <c r="L616" t="e">
        <f t="shared" si="124"/>
        <v>#N/A</v>
      </c>
      <c r="M616" t="e">
        <f t="shared" si="125"/>
        <v>#N/A</v>
      </c>
      <c r="N616" t="e">
        <f t="shared" si="126"/>
        <v>#N/A</v>
      </c>
      <c r="O616">
        <f t="shared" si="127"/>
        <v>6.1600000000000001E-4</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Ratropolis</v>
      </c>
      <c r="B617">
        <f>IF($A617="","",games!$B617)</f>
        <v>2019</v>
      </c>
      <c r="C617" t="str">
        <f>IF($A617="","",games!$C617)</f>
        <v>Deckbuilder</v>
      </c>
      <c r="D617">
        <f>IF($A617="","",COUNTIF(connections!$A$2:$A$2500,$A617)+COUNTIF(connections!$B$2:$B$2500,$A617))</f>
        <v>2</v>
      </c>
      <c r="E617">
        <f t="shared" si="117"/>
        <v>3</v>
      </c>
      <c r="F617">
        <f t="shared" si="118"/>
        <v>5</v>
      </c>
      <c r="G617" t="e">
        <f t="shared" si="119"/>
        <v>#N/A</v>
      </c>
      <c r="H617" t="e">
        <f t="shared" si="120"/>
        <v>#N/A</v>
      </c>
      <c r="I617" t="e">
        <f t="shared" si="121"/>
        <v>#N/A</v>
      </c>
      <c r="J617" t="e">
        <f t="shared" si="122"/>
        <v>#N/A</v>
      </c>
      <c r="K617">
        <f t="shared" si="123"/>
        <v>2019</v>
      </c>
      <c r="L617">
        <f t="shared" si="124"/>
        <v>3.1150000000000002</v>
      </c>
      <c r="M617" t="e">
        <f t="shared" si="125"/>
        <v>#N/A</v>
      </c>
      <c r="N617" t="e">
        <f t="shared" si="126"/>
        <v>#N/A</v>
      </c>
      <c r="O617">
        <f t="shared" si="127"/>
        <v>2.0006170000000001</v>
      </c>
      <c r="P617" t="str">
        <f>IF(OR($A617="",games!$H617=""),"",games!$H617)</f>
        <v>Yes</v>
      </c>
      <c r="Q617">
        <f t="shared" si="128"/>
        <v>2.0006170000000001</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Ravenswatch</v>
      </c>
      <c r="B618">
        <f>IF($A618="","",games!$B618)</f>
        <v>2023</v>
      </c>
      <c r="C618" t="str">
        <f>IF($A618="","",games!$C618)</f>
        <v>Action</v>
      </c>
      <c r="D618">
        <f>IF($A618="","",COUNTIF(connections!$A$2:$A$2500,$A618)+COUNTIF(connections!$B$2:$B$2500,$A618))</f>
        <v>2</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Reality Break</v>
      </c>
      <c r="B619">
        <f>IF($A619="","",games!$B619)</f>
        <v>2025</v>
      </c>
      <c r="C619" t="str">
        <f>IF($A619="","",games!$C619)</f>
        <v>Action</v>
      </c>
      <c r="D619">
        <f>IF($A619="","",COUNTIF(connections!$A$2:$A$2500,$A619)+COUNTIF(connections!$B$2:$B$2500,$A619))</f>
        <v>2</v>
      </c>
      <c r="E619">
        <f t="shared" si="117"/>
        <v>1</v>
      </c>
      <c r="F619">
        <f t="shared" si="118"/>
        <v>7</v>
      </c>
      <c r="G619">
        <f t="shared" si="119"/>
        <v>2025</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Realm of Ink</v>
      </c>
      <c r="B620">
        <f>IF($A620="","",games!$B620)</f>
        <v>2024</v>
      </c>
      <c r="C620" t="str">
        <f>IF($A620="","",games!$C620)</f>
        <v>Action</v>
      </c>
      <c r="D620">
        <f>IF($A620="","",COUNTIF(connections!$A$2:$A$2500,$A620)+COUNTIF(connections!$B$2:$B$2500,$A620))</f>
        <v>2</v>
      </c>
      <c r="E620">
        <f t="shared" si="117"/>
        <v>1</v>
      </c>
      <c r="F620">
        <f t="shared" si="118"/>
        <v>8</v>
      </c>
      <c r="G620">
        <f t="shared" si="119"/>
        <v>2024</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the Mad God</v>
      </c>
      <c r="B621">
        <f>IF($A621="","",games!$B621)</f>
        <v>2010</v>
      </c>
      <c r="C621" t="str">
        <f>IF($A621="","",games!$C621)</f>
        <v>Action</v>
      </c>
      <c r="D621">
        <f>IF($A621="","",COUNTIF(connections!$A$2:$A$2500,$A621)+COUNTIF(connections!$B$2:$B$2500,$A621))</f>
        <v>4</v>
      </c>
      <c r="E621">
        <f t="shared" si="117"/>
        <v>1</v>
      </c>
      <c r="F621">
        <f t="shared" si="118"/>
        <v>9</v>
      </c>
      <c r="G621">
        <f t="shared" si="119"/>
        <v>2010</v>
      </c>
      <c r="H621">
        <f t="shared" si="120"/>
        <v>1.2070000000000001</v>
      </c>
      <c r="I621" t="e">
        <f t="shared" si="121"/>
        <v>#N/A</v>
      </c>
      <c r="J621" t="e">
        <f t="shared" si="122"/>
        <v>#N/A</v>
      </c>
      <c r="K621" t="e">
        <f t="shared" si="123"/>
        <v>#N/A</v>
      </c>
      <c r="L621" t="e">
        <f t="shared" si="124"/>
        <v>#N/A</v>
      </c>
      <c r="M621" t="e">
        <f t="shared" si="125"/>
        <v>#N/A</v>
      </c>
      <c r="N621" t="e">
        <f t="shared" si="126"/>
        <v>#N/A</v>
      </c>
      <c r="O621">
        <f t="shared" si="127"/>
        <v>4.0006209999999998</v>
      </c>
      <c r="P621" t="str">
        <f>IF(OR($A621="",games!$H621=""),"",games!$H621)</f>
        <v>Yes</v>
      </c>
      <c r="Q621">
        <f t="shared" si="128"/>
        <v>4.0006209999999998</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Red Rogue</v>
      </c>
      <c r="B622">
        <f>IF($A622="","",games!$B622)</f>
        <v>2012</v>
      </c>
      <c r="C622" t="str">
        <f>IF($A622="","",games!$C622)</f>
        <v>Action</v>
      </c>
      <c r="D622">
        <f>IF($A622="","",COUNTIF(connections!$A$2:$A$2500,$A622)+COUNTIF(connections!$B$2:$B$2500,$A622))</f>
        <v>3</v>
      </c>
      <c r="E622">
        <f t="shared" si="117"/>
        <v>1</v>
      </c>
      <c r="F622">
        <f t="shared" si="118"/>
        <v>10</v>
      </c>
      <c r="G622">
        <f t="shared" si="119"/>
        <v>2012</v>
      </c>
      <c r="H622">
        <f t="shared" si="120"/>
        <v>1.23</v>
      </c>
      <c r="I622" t="e">
        <f t="shared" si="121"/>
        <v>#N/A</v>
      </c>
      <c r="J622" t="e">
        <f t="shared" si="122"/>
        <v>#N/A</v>
      </c>
      <c r="K622" t="e">
        <f t="shared" si="123"/>
        <v>#N/A</v>
      </c>
      <c r="L622" t="e">
        <f t="shared" si="124"/>
        <v>#N/A</v>
      </c>
      <c r="M622" t="e">
        <f t="shared" si="125"/>
        <v>#N/A</v>
      </c>
      <c r="N622" t="e">
        <f t="shared" si="126"/>
        <v>#N/A</v>
      </c>
      <c r="O622">
        <f t="shared" si="127"/>
        <v>3.0006219999999999</v>
      </c>
      <c r="P622" t="str">
        <f>IF(OR($A622="",games!$H622=""),"",games!$H622)</f>
        <v>Yes</v>
      </c>
      <c r="Q622">
        <f t="shared" si="128"/>
        <v>3.0006219999999999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Reignbreaker</v>
      </c>
      <c r="B623">
        <f>IF($A623="","",games!$B623)</f>
        <v>2025</v>
      </c>
      <c r="C623" t="str">
        <f>IF($A623="","",games!$C623)</f>
        <v>Action</v>
      </c>
      <c r="D623">
        <f>IF($A623="","",COUNTIF(connections!$A$2:$A$2500,$A623)+COUNTIF(connections!$B$2:$B$2500,$A623))</f>
        <v>2</v>
      </c>
      <c r="E623">
        <f t="shared" si="117"/>
        <v>1</v>
      </c>
      <c r="F623">
        <f t="shared" si="118"/>
        <v>11</v>
      </c>
      <c r="G623">
        <f t="shared" si="119"/>
        <v>2025</v>
      </c>
      <c r="H623">
        <f t="shared" si="120"/>
        <v>1.2530000000000001</v>
      </c>
      <c r="I623" t="e">
        <f t="shared" si="121"/>
        <v>#N/A</v>
      </c>
      <c r="J623" t="e">
        <f t="shared" si="122"/>
        <v>#N/A</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Renowned Explorers: International Society</v>
      </c>
      <c r="B624">
        <f>IF($A624="","",games!$B624)</f>
        <v>2015</v>
      </c>
      <c r="C624" t="str">
        <f>IF($A624="","",games!$C624)</f>
        <v>Strategy</v>
      </c>
      <c r="D624">
        <f>IF($A624="","",COUNTIF(connections!$A$2:$A$2500,$A624)+COUNTIF(connections!$B$2:$B$2500,$A624))</f>
        <v>2</v>
      </c>
      <c r="E624">
        <f t="shared" si="117"/>
        <v>2</v>
      </c>
      <c r="F624">
        <f t="shared" si="118"/>
        <v>12</v>
      </c>
      <c r="G624" t="e">
        <f t="shared" si="119"/>
        <v>#N/A</v>
      </c>
      <c r="H624" t="e">
        <f t="shared" si="120"/>
        <v>#N/A</v>
      </c>
      <c r="I624">
        <f t="shared" si="121"/>
        <v>2015</v>
      </c>
      <c r="J624">
        <f t="shared" si="122"/>
        <v>2.2759999999999998</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Repetendium</v>
      </c>
      <c r="B625">
        <f>IF($A625="","",games!$B625)</f>
        <v>2022</v>
      </c>
      <c r="C625" t="str">
        <f>IF($A625="","",games!$C625)</f>
        <v>Action</v>
      </c>
      <c r="D625">
        <f>IF($A625="","",COUNTIF(connections!$A$2:$A$2500,$A625)+COUNTIF(connections!$B$2:$B$2500,$A625))</f>
        <v>1</v>
      </c>
      <c r="E625">
        <f t="shared" si="117"/>
        <v>1</v>
      </c>
      <c r="F625">
        <f t="shared" si="118"/>
        <v>13</v>
      </c>
      <c r="G625">
        <f t="shared" si="119"/>
        <v>2022</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Replicat</v>
      </c>
      <c r="B626">
        <f>IF($A626="","",games!$B626)</f>
        <v>2025</v>
      </c>
      <c r="C626" t="str">
        <f>IF($A626="","",games!$C626)</f>
        <v>Deckbuilder</v>
      </c>
      <c r="D626">
        <f>IF($A626="","",COUNTIF(connections!$A$2:$A$2500,$A626)+COUNTIF(connections!$B$2:$B$2500,$A626))</f>
        <v>2</v>
      </c>
      <c r="E626">
        <f t="shared" si="117"/>
        <v>3</v>
      </c>
      <c r="F626">
        <f t="shared" si="118"/>
        <v>14</v>
      </c>
      <c r="G626" t="e">
        <f t="shared" si="119"/>
        <v>#N/A</v>
      </c>
      <c r="H626" t="e">
        <f t="shared" si="120"/>
        <v>#N/A</v>
      </c>
      <c r="I626" t="e">
        <f t="shared" si="121"/>
        <v>#N/A</v>
      </c>
      <c r="J626" t="e">
        <f t="shared" si="122"/>
        <v>#N/A</v>
      </c>
      <c r="K626">
        <f t="shared" si="123"/>
        <v>2025</v>
      </c>
      <c r="L626">
        <f t="shared" si="124"/>
        <v>3.3220000000000001</v>
      </c>
      <c r="M626" t="e">
        <f t="shared" si="125"/>
        <v>#N/A</v>
      </c>
      <c r="N626" t="e">
        <f t="shared" si="126"/>
        <v>#N/A</v>
      </c>
      <c r="O626">
        <f t="shared" si="127"/>
        <v>2.000626</v>
      </c>
      <c r="P626" t="str">
        <f>IF(OR($A626="",games!$H626=""),"",games!$H626)</f>
        <v/>
      </c>
      <c r="Q626" t="str">
        <f t="shared" si="128"/>
        <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Return to Abyss</v>
      </c>
      <c r="B627">
        <f>IF($A627="","",games!$B627)</f>
        <v>2023</v>
      </c>
      <c r="C627" t="str">
        <f>IF($A627="","",games!$C627)</f>
        <v>Action</v>
      </c>
      <c r="D627">
        <f>IF($A627="","",COUNTIF(connections!$A$2:$A$2500,$A627)+COUNTIF(connections!$B$2:$B$2500,$A627))</f>
        <v>1</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Returnal</v>
      </c>
      <c r="B628">
        <f>IF($A628="","",games!$B628)</f>
        <v>2023</v>
      </c>
      <c r="C628" t="str">
        <f>IF($A628="","",games!$C628)</f>
        <v>Action</v>
      </c>
      <c r="D628">
        <f>IF($A628="","",COUNTIF(connections!$A$2:$A$2500,$A628)+COUNTIF(connections!$B$2:$B$2500,$A628))</f>
        <v>5</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5.0006279999999999</v>
      </c>
      <c r="P628" t="str">
        <f>IF(OR($A628="",games!$H628=""),"",games!$H628)</f>
        <v>Yes</v>
      </c>
      <c r="Q628">
        <f t="shared" si="128"/>
        <v>5.0006279999999999</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Revita</v>
      </c>
      <c r="B629">
        <f>IF($A629="","",games!$B629)</f>
        <v>2021</v>
      </c>
      <c r="C629" t="str">
        <f>IF($A629="","",games!$C629)</f>
        <v>Action</v>
      </c>
      <c r="D629">
        <f>IF($A629="","",COUNTIF(connections!$A$2:$A$2500,$A629)+COUNTIF(connections!$B$2:$B$2500,$A629))</f>
        <v>2</v>
      </c>
      <c r="E629">
        <f t="shared" si="117"/>
        <v>1</v>
      </c>
      <c r="F629">
        <f t="shared" si="118"/>
        <v>17</v>
      </c>
      <c r="G629">
        <f t="shared" si="119"/>
        <v>2021</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Rhythm Witch: Beat Death</v>
      </c>
      <c r="B630">
        <f>IF($A630="","",games!$B630)</f>
        <v>2025</v>
      </c>
      <c r="C630" t="str">
        <f>IF($A630="","",games!$C630)</f>
        <v>Action</v>
      </c>
      <c r="D630">
        <f>IF($A630="","",COUNTIF(connections!$A$2:$A$2500,$A630)+COUNTIF(connections!$B$2:$B$2500,$A630))</f>
        <v>2</v>
      </c>
      <c r="E630">
        <f t="shared" si="117"/>
        <v>1</v>
      </c>
      <c r="F630">
        <f t="shared" si="118"/>
        <v>18</v>
      </c>
      <c r="G630">
        <f t="shared" si="119"/>
        <v>2025</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Rift Wizard</v>
      </c>
      <c r="B631">
        <f>IF($A631="","",games!$B631)</f>
        <v>2020</v>
      </c>
      <c r="C631" t="str">
        <f>IF($A631="","",games!$C631)</f>
        <v>Traditional</v>
      </c>
      <c r="D631">
        <f>IF($A631="","",COUNTIF(connections!$A$2:$A$2500,$A631)+COUNTIF(connections!$B$2:$B$2500,$A631))</f>
        <v>7</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2020</v>
      </c>
      <c r="N631">
        <f t="shared" si="126"/>
        <v>4.4370000000000003</v>
      </c>
      <c r="O631">
        <f t="shared" si="127"/>
        <v>7.0006310000000003</v>
      </c>
      <c r="P631" t="str">
        <f>IF(OR($A631="",games!$H631=""),"",games!$H631)</f>
        <v>Yes</v>
      </c>
      <c r="Q631">
        <f t="shared" si="128"/>
        <v>7.0006310000000003</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 2</v>
      </c>
      <c r="B632">
        <f>IF($A632="","",games!$B632)</f>
        <v>2024</v>
      </c>
      <c r="C632" t="str">
        <f>IF($A632="","",games!$C632)</f>
        <v>Traditional</v>
      </c>
      <c r="D632">
        <f>IF($A632="","",COUNTIF(connections!$A$2:$A$2500,$A632)+COUNTIF(connections!$B$2:$B$2500,$A632))</f>
        <v>2</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2024</v>
      </c>
      <c r="N632">
        <f t="shared" si="126"/>
        <v>4.46</v>
      </c>
      <c r="O632">
        <f t="shared" si="127"/>
        <v>2.000632</v>
      </c>
      <c r="P632" t="str">
        <f>IF(OR($A632="",games!$H632=""),"",games!$H632)</f>
        <v>Yes</v>
      </c>
      <c r="Q632">
        <f t="shared" si="128"/>
        <v>2.000632</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3</v>
      </c>
      <c r="B633">
        <f>IF($A633="","",games!$B633)</f>
        <v>2026</v>
      </c>
      <c r="C633" t="str">
        <f>IF($A633="","",games!$C633)</f>
        <v>Traditional</v>
      </c>
      <c r="D633">
        <f>IF($A633="","",COUNTIF(connections!$A$2:$A$2500,$A633)+COUNTIF(connections!$B$2:$B$2500,$A633))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2026</v>
      </c>
      <c r="N633">
        <f t="shared" si="126"/>
        <v>4.4829999999999997</v>
      </c>
      <c r="O633">
        <f t="shared" si="127"/>
        <v>1.0006330000000001</v>
      </c>
      <c r="P633" t="str">
        <f>IF(OR($A633="",games!$H633=""),"",games!$H633)</f>
        <v/>
      </c>
      <c r="Q633" t="str">
        <f t="shared" si="128"/>
        <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Rig Riot</v>
      </c>
      <c r="B634">
        <f>IF($A634="","",games!$B634)</f>
        <v>2026</v>
      </c>
      <c r="C634" t="str">
        <f>IF($A634="","",games!$C634)</f>
        <v>Action</v>
      </c>
      <c r="D634">
        <f>IF($A634="","",COUNTIF(connections!$A$2:$A$2500,$A634)+COUNTIF(connections!$B$2:$B$2500,$A634))</f>
        <v>2</v>
      </c>
      <c r="E634">
        <f t="shared" si="117"/>
        <v>1</v>
      </c>
      <c r="F634">
        <f t="shared" si="118"/>
        <v>22</v>
      </c>
      <c r="G634">
        <f t="shared" si="119"/>
        <v>2026</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Right and Down</v>
      </c>
      <c r="B635">
        <f>IF($A635="","",games!$B635)</f>
        <v>2022</v>
      </c>
      <c r="C635" t="str">
        <f>IF($A635="","",games!$C635)</f>
        <v>Deckbuilder</v>
      </c>
      <c r="D635">
        <f>IF($A635="","",COUNTIF(connections!$A$2:$A$2500,$A635)+COUNTIF(connections!$B$2:$B$2500,$A635))</f>
        <v>1</v>
      </c>
      <c r="E635">
        <f t="shared" si="117"/>
        <v>3</v>
      </c>
      <c r="F635">
        <f t="shared" si="118"/>
        <v>23</v>
      </c>
      <c r="G635" t="e">
        <f t="shared" si="119"/>
        <v>#N/A</v>
      </c>
      <c r="H635" t="e">
        <f t="shared" si="120"/>
        <v>#N/A</v>
      </c>
      <c r="I635" t="e">
        <f t="shared" si="121"/>
        <v>#N/A</v>
      </c>
      <c r="J635" t="e">
        <f t="shared" si="122"/>
        <v>#N/A</v>
      </c>
      <c r="K635">
        <f t="shared" si="123"/>
        <v>2022</v>
      </c>
      <c r="L635">
        <f t="shared" si="124"/>
        <v>3.5289999999999999</v>
      </c>
      <c r="M635" t="e">
        <f t="shared" si="125"/>
        <v>#N/A</v>
      </c>
      <c r="N635" t="e">
        <f t="shared" si="126"/>
        <v>#N/A</v>
      </c>
      <c r="O635">
        <f t="shared" si="127"/>
        <v>1.0006349999999999</v>
      </c>
      <c r="P635" t="str">
        <f>IF(OR($A635="",games!$H635=""),"",games!$H635)</f>
        <v>Yes</v>
      </c>
      <c r="Q635">
        <f t="shared" si="128"/>
        <v>1.0006349999999999</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Ring of Pain</v>
      </c>
      <c r="B636">
        <f>IF($A636="","",games!$B636)</f>
        <v>2020</v>
      </c>
      <c r="C636" t="str">
        <f>IF($A636="","",games!$C636)</f>
        <v>Strategy</v>
      </c>
      <c r="D636">
        <f>IF($A636="","",COUNTIF(connections!$A$2:$A$2500,$A636)+COUNTIF(connections!$B$2:$B$2500,$A636))</f>
        <v>2</v>
      </c>
      <c r="E636">
        <f t="shared" si="117"/>
        <v>2</v>
      </c>
      <c r="F636">
        <f t="shared" si="118"/>
        <v>24</v>
      </c>
      <c r="G636" t="e">
        <f t="shared" si="119"/>
        <v>#N/A</v>
      </c>
      <c r="H636" t="e">
        <f t="shared" si="120"/>
        <v>#N/A</v>
      </c>
      <c r="I636">
        <f t="shared" si="121"/>
        <v>2020</v>
      </c>
      <c r="J636">
        <f t="shared" si="122"/>
        <v>2.552</v>
      </c>
      <c r="K636" t="e">
        <f t="shared" si="123"/>
        <v>#N/A</v>
      </c>
      <c r="L636" t="e">
        <f t="shared" si="124"/>
        <v>#N/A</v>
      </c>
      <c r="M636" t="e">
        <f t="shared" si="125"/>
        <v>#N/A</v>
      </c>
      <c r="N636" t="e">
        <f t="shared" si="126"/>
        <v>#N/A</v>
      </c>
      <c r="O636">
        <f t="shared" si="127"/>
        <v>2.0006360000000001</v>
      </c>
      <c r="P636" t="str">
        <f>IF(OR($A636="",games!$H636=""),"",games!$H636)</f>
        <v>Yes</v>
      </c>
      <c r="Q636">
        <f t="shared" si="128"/>
        <v>2.0006360000000001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Ringer</v>
      </c>
      <c r="B637">
        <f>IF($A637="","",games!$B637)</f>
        <v>2025</v>
      </c>
      <c r="C637" t="str">
        <f>IF($A637="","",games!$C637)</f>
        <v>Deckbuilder</v>
      </c>
      <c r="D637">
        <f>IF($A637="","",COUNTIF(connections!$A$2:$A$2500,$A637)+COUNTIF(connections!$B$2:$B$2500,$A637))</f>
        <v>0</v>
      </c>
      <c r="E637">
        <f t="shared" si="117"/>
        <v>3</v>
      </c>
      <c r="F637">
        <f t="shared" si="118"/>
        <v>25</v>
      </c>
      <c r="G637" t="e">
        <f t="shared" si="119"/>
        <v>#N/A</v>
      </c>
      <c r="H637" t="e">
        <f t="shared" si="120"/>
        <v>#N/A</v>
      </c>
      <c r="I637" t="e">
        <f t="shared" si="121"/>
        <v>#N/A</v>
      </c>
      <c r="J637" t="e">
        <f t="shared" si="122"/>
        <v>#N/A</v>
      </c>
      <c r="K637">
        <f t="shared" si="123"/>
        <v>2025</v>
      </c>
      <c r="L637">
        <f t="shared" si="124"/>
        <v>3.5750000000000002</v>
      </c>
      <c r="M637" t="e">
        <f t="shared" si="125"/>
        <v>#N/A</v>
      </c>
      <c r="N637" t="e">
        <f t="shared" si="126"/>
        <v>#N/A</v>
      </c>
      <c r="O637">
        <f t="shared" si="127"/>
        <v>6.3699999999999998E-4</v>
      </c>
      <c r="P637" t="str">
        <f>IF(OR($A637="",games!$H637=""),"",games!$H637)</f>
        <v>Yes</v>
      </c>
      <c r="Q637">
        <f t="shared" si="128"/>
        <v>6.3699999999999998E-4</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Riptale</v>
      </c>
      <c r="B638">
        <f>IF($A638="","",games!$B638)</f>
        <v>2017</v>
      </c>
      <c r="C638" t="str">
        <f>IF($A638="","",games!$C638)</f>
        <v>Action</v>
      </c>
      <c r="D638">
        <f>IF($A638="","",COUNTIF(connections!$A$2:$A$2500,$A638)+COUNTIF(connections!$B$2:$B$2500,$A638))</f>
        <v>2</v>
      </c>
      <c r="E638">
        <f t="shared" si="117"/>
        <v>1</v>
      </c>
      <c r="F638">
        <f t="shared" si="118"/>
        <v>26</v>
      </c>
      <c r="G638">
        <f t="shared" si="119"/>
        <v>2017</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Risk of Rain</v>
      </c>
      <c r="B639">
        <f>IF($A639="","",games!$B639)</f>
        <v>2013</v>
      </c>
      <c r="C639" t="str">
        <f>IF($A639="","",games!$C639)</f>
        <v>Action</v>
      </c>
      <c r="D639">
        <f>IF($A639="","",COUNTIF(connections!$A$2:$A$2500,$A639)+COUNTIF(connections!$B$2:$B$2500,$A639))</f>
        <v>9</v>
      </c>
      <c r="E639">
        <f t="shared" si="117"/>
        <v>1</v>
      </c>
      <c r="F639">
        <f t="shared" si="118"/>
        <v>27</v>
      </c>
      <c r="G639">
        <f t="shared" si="119"/>
        <v>2013</v>
      </c>
      <c r="H639">
        <f t="shared" si="120"/>
        <v>1.621</v>
      </c>
      <c r="I639" t="e">
        <f t="shared" si="121"/>
        <v>#N/A</v>
      </c>
      <c r="J639" t="e">
        <f t="shared" si="122"/>
        <v>#N/A</v>
      </c>
      <c r="K639" t="e">
        <f t="shared" si="123"/>
        <v>#N/A</v>
      </c>
      <c r="L639" t="e">
        <f t="shared" si="124"/>
        <v>#N/A</v>
      </c>
      <c r="M639" t="e">
        <f t="shared" si="125"/>
        <v>#N/A</v>
      </c>
      <c r="N639" t="e">
        <f t="shared" si="126"/>
        <v>#N/A</v>
      </c>
      <c r="O639">
        <f t="shared" si="127"/>
        <v>9.0006389999999996</v>
      </c>
      <c r="P639" t="str">
        <f>IF(OR($A639="",games!$H639=""),"",games!$H639)</f>
        <v>Yes</v>
      </c>
      <c r="Q639">
        <f t="shared" si="128"/>
        <v>9.0006389999999996</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 2</v>
      </c>
      <c r="B640">
        <f>IF($A640="","",games!$B640)</f>
        <v>2020</v>
      </c>
      <c r="C640" t="str">
        <f>IF($A640="","",games!$C640)</f>
        <v>Action</v>
      </c>
      <c r="D640">
        <f>IF($A640="","",COUNTIF(connections!$A$2:$A$2500,$A640)+COUNTIF(connections!$B$2:$B$2500,$A640))</f>
        <v>24</v>
      </c>
      <c r="E640">
        <f t="shared" si="117"/>
        <v>1</v>
      </c>
      <c r="F640">
        <f t="shared" si="118"/>
        <v>28</v>
      </c>
      <c r="G640">
        <f t="shared" si="119"/>
        <v>2020</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24.000640000000001</v>
      </c>
      <c r="P640" t="str">
        <f>IF(OR($A640="",games!$H640=""),"",games!$H640)</f>
        <v>Yes</v>
      </c>
      <c r="Q640">
        <f t="shared" si="128"/>
        <v>24.000640000000001</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Returns</v>
      </c>
      <c r="B641">
        <f>IF($A641="","",games!$B641)</f>
        <v>2023</v>
      </c>
      <c r="C641" t="str">
        <f>IF($A641="","",games!$C641)</f>
        <v>Action</v>
      </c>
      <c r="D641">
        <f>IF($A641="","",COUNTIF(connections!$A$2:$A$2500,$A641)+COUNTIF(connections!$B$2:$B$2500,$A641))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Yes</v>
      </c>
      <c r="Q641">
        <f t="shared" si="128"/>
        <v>2.0006409999999999</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Road Not Taken</v>
      </c>
      <c r="B642">
        <f>IF($A642="","",games!$B642)</f>
        <v>2014</v>
      </c>
      <c r="C642" t="str">
        <f>IF($A642="","",games!$C642)</f>
        <v>Strategy</v>
      </c>
      <c r="D642">
        <f>IF($A642="","",COUNTIF(connections!$A$2:$A$2500,$A642)+COUNTIF(connections!$B$2:$B$2500,$A642))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2014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Roboquest</v>
      </c>
      <c r="B643">
        <f>IF($A643="","",games!$B643)</f>
        <v>2020</v>
      </c>
      <c r="C643" t="str">
        <f>IF($A643="","",games!$C643)</f>
        <v>Action</v>
      </c>
      <c r="D643">
        <f>IF($A643="","",COUNTIF(connections!$A$2:$A$2500,$A643)+COUNTIF(connections!$B$2:$B$2500,$A643))</f>
        <v>9</v>
      </c>
      <c r="E643">
        <f t="shared" si="130"/>
        <v>1</v>
      </c>
      <c r="F643">
        <f t="shared" si="131"/>
        <v>31</v>
      </c>
      <c r="G643">
        <f t="shared" si="132"/>
        <v>2020</v>
      </c>
      <c r="H643">
        <f t="shared" si="133"/>
        <v>1.7130000000000001</v>
      </c>
      <c r="I643" t="e">
        <f t="shared" si="134"/>
        <v>#N/A</v>
      </c>
      <c r="J643" t="e">
        <f t="shared" si="135"/>
        <v>#N/A</v>
      </c>
      <c r="K643" t="e">
        <f t="shared" si="136"/>
        <v>#N/A</v>
      </c>
      <c r="L643" t="e">
        <f t="shared" si="137"/>
        <v>#N/A</v>
      </c>
      <c r="M643" t="e">
        <f t="shared" si="138"/>
        <v>#N/A</v>
      </c>
      <c r="N643" t="e">
        <f t="shared" si="139"/>
        <v>#N/A</v>
      </c>
      <c r="O643">
        <f t="shared" si="140"/>
        <v>9.0006430000000002</v>
      </c>
      <c r="P643" t="str">
        <f>IF(OR($A643="",games!$H643=""),"",games!$H643)</f>
        <v>Yes</v>
      </c>
      <c r="Q643">
        <f t="shared" si="141"/>
        <v>9.0006430000000002</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Rocket Rats</v>
      </c>
      <c r="B644">
        <f>IF($A644="","",games!$B644)</f>
        <v>2024</v>
      </c>
      <c r="C644" t="str">
        <f>IF($A644="","",games!$C644)</f>
        <v>Action</v>
      </c>
      <c r="D644">
        <f>IF($A644="","",COUNTIF(connections!$A$2:$A$2500,$A644)+COUNTIF(connections!$B$2:$B$2500,$A644))</f>
        <v>1</v>
      </c>
      <c r="E644">
        <f t="shared" si="130"/>
        <v>1</v>
      </c>
      <c r="F644">
        <f t="shared" si="131"/>
        <v>32</v>
      </c>
      <c r="G644">
        <f t="shared" si="132"/>
        <v>2024</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Yes</v>
      </c>
      <c r="Q644">
        <f t="shared" si="141"/>
        <v>1.0006440000000001</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Rogue</v>
      </c>
      <c r="B645">
        <f>IF($A645="","",games!$B645)</f>
        <v>1980</v>
      </c>
      <c r="C645" t="str">
        <f>IF($A645="","",games!$C645)</f>
        <v>Traditional</v>
      </c>
      <c r="D645">
        <f>IF($A645="","",COUNTIF(connections!$A$2:$A$2500,$A645)+COUNTIF(connections!$B$2:$B$2500,$A645))</f>
        <v>29</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1980</v>
      </c>
      <c r="N645">
        <f t="shared" si="139"/>
        <v>4.7590000000000003</v>
      </c>
      <c r="O645">
        <f t="shared" si="140"/>
        <v>29.000644999999999</v>
      </c>
      <c r="P645" t="str">
        <f>IF(OR($A645="",games!$H645=""),"",games!$H645)</f>
        <v>Yes</v>
      </c>
      <c r="Q645">
        <f t="shared" si="141"/>
        <v>29.000644999999999</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 Blight</v>
      </c>
      <c r="B646">
        <f>IF($A646="","",games!$B646)</f>
        <v>2026</v>
      </c>
      <c r="C646" t="str">
        <f>IF($A646="","",games!$C646)</f>
        <v>Action</v>
      </c>
      <c r="D646">
        <f>IF($A646="","",COUNTIF(connections!$A$2:$A$2500,$A646)+COUNTIF(connections!$B$2:$B$2500,$A646))</f>
        <v>1</v>
      </c>
      <c r="E646">
        <f t="shared" si="130"/>
        <v>1</v>
      </c>
      <c r="F646">
        <f t="shared" si="131"/>
        <v>0</v>
      </c>
      <c r="G646">
        <f t="shared" si="132"/>
        <v>2026</v>
      </c>
      <c r="H646">
        <f t="shared" si="133"/>
        <v>1</v>
      </c>
      <c r="I646" t="e">
        <f t="shared" si="134"/>
        <v>#N/A</v>
      </c>
      <c r="J646" t="e">
        <f t="shared" si="135"/>
        <v>#N/A</v>
      </c>
      <c r="K646" t="e">
        <f t="shared" si="136"/>
        <v>#N/A</v>
      </c>
      <c r="L646" t="e">
        <f t="shared" si="137"/>
        <v>#N/A</v>
      </c>
      <c r="M646" t="e">
        <f t="shared" si="138"/>
        <v>#N/A</v>
      </c>
      <c r="N646" t="e">
        <f t="shared" si="139"/>
        <v>#N/A</v>
      </c>
      <c r="O646">
        <f t="shared" si="140"/>
        <v>1.0006459999999999</v>
      </c>
      <c r="P646" t="str">
        <f>IF(OR($A646="",games!$H646=""),"",games!$H646)</f>
        <v/>
      </c>
      <c r="Q646" t="str">
        <f t="shared" si="141"/>
        <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Command</v>
      </c>
      <c r="B647">
        <f>IF($A647="","",games!$B647)</f>
        <v>2024</v>
      </c>
      <c r="C647" t="str">
        <f>IF($A647="","",games!$C647)</f>
        <v>Strategy</v>
      </c>
      <c r="D647">
        <f>IF($A647="","",COUNTIF(connections!$A$2:$A$2500,$A647)+COUNTIF(connections!$B$2:$B$2500,$A647))</f>
        <v>3</v>
      </c>
      <c r="E647">
        <f t="shared" si="130"/>
        <v>2</v>
      </c>
      <c r="F647">
        <f t="shared" si="131"/>
        <v>1</v>
      </c>
      <c r="G647" t="e">
        <f t="shared" si="132"/>
        <v>#N/A</v>
      </c>
      <c r="H647" t="e">
        <f t="shared" si="133"/>
        <v>#N/A</v>
      </c>
      <c r="I647">
        <f t="shared" si="134"/>
        <v>2024</v>
      </c>
      <c r="J647">
        <f t="shared" si="135"/>
        <v>2.0230000000000001</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Empire</v>
      </c>
      <c r="B648">
        <f>IF($A648="","",games!$B648)</f>
        <v>2019</v>
      </c>
      <c r="C648" t="str">
        <f>IF($A648="","",games!$C648)</f>
        <v>Traditional</v>
      </c>
      <c r="D648">
        <f>IF($A648="","",COUNTIF(connections!$A$2:$A$2500,$A648)+COUNTIF(connections!$B$2:$B$2500,$A648))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2019</v>
      </c>
      <c r="N648">
        <f t="shared" si="139"/>
        <v>4.0460000000000003</v>
      </c>
      <c r="O648">
        <f t="shared" si="140"/>
        <v>2.000648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Factory</v>
      </c>
      <c r="B649">
        <f>IF($A649="","",games!$B649)</f>
        <v>2026</v>
      </c>
      <c r="C649" t="str">
        <f>IF($A649="","",games!$C649)</f>
        <v>Action</v>
      </c>
      <c r="D649">
        <f>IF($A649="","",COUNTIF(connections!$A$2:$A$2500,$A649)+COUNTIF(connections!$B$2:$B$2500,$A649))</f>
        <v>2</v>
      </c>
      <c r="E649">
        <f t="shared" si="130"/>
        <v>1</v>
      </c>
      <c r="F649">
        <f t="shared" si="131"/>
        <v>3</v>
      </c>
      <c r="G649">
        <f t="shared" si="132"/>
        <v>2026</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Flight</v>
      </c>
      <c r="B650">
        <f>IF($A650="","",games!$B650)</f>
        <v>2024</v>
      </c>
      <c r="C650" t="str">
        <f>IF($A650="","",games!$C650)</f>
        <v>Action</v>
      </c>
      <c r="D650">
        <f>IF($A650="","",COUNTIF(connections!$A$2:$A$2500,$A650)+COUNTIF(connections!$B$2:$B$2500,$A650))</f>
        <v>0</v>
      </c>
      <c r="E650">
        <f t="shared" si="130"/>
        <v>1</v>
      </c>
      <c r="F650">
        <f t="shared" si="131"/>
        <v>4</v>
      </c>
      <c r="G650">
        <f t="shared" si="132"/>
        <v>2024</v>
      </c>
      <c r="H650">
        <f t="shared" si="133"/>
        <v>1.0920000000000001</v>
      </c>
      <c r="I650" t="e">
        <f t="shared" si="134"/>
        <v>#N/A</v>
      </c>
      <c r="J650" t="e">
        <f t="shared" si="135"/>
        <v>#N/A</v>
      </c>
      <c r="K650" t="e">
        <f t="shared" si="136"/>
        <v>#N/A</v>
      </c>
      <c r="L650" t="e">
        <f t="shared" si="137"/>
        <v>#N/A</v>
      </c>
      <c r="M650" t="e">
        <f t="shared" si="138"/>
        <v>#N/A</v>
      </c>
      <c r="N650" t="e">
        <f t="shared" si="139"/>
        <v>#N/A</v>
      </c>
      <c r="O650">
        <f t="shared" si="140"/>
        <v>6.4999999999999997E-4</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Hearts Dungeon</v>
      </c>
      <c r="B651">
        <f>IF($A651="","",games!$B651)</f>
        <v>2007</v>
      </c>
      <c r="C651" t="str">
        <f>IF($A651="","",games!$C651)</f>
        <v>Traditional</v>
      </c>
      <c r="D651">
        <f>IF($A651="","",COUNTIF(connections!$A$2:$A$2500,$A651)+COUNTIF(connections!$B$2:$B$2500,$A651))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2007</v>
      </c>
      <c r="N651">
        <f t="shared" si="139"/>
        <v>4.1150000000000002</v>
      </c>
      <c r="O651">
        <f t="shared" si="140"/>
        <v>2.000651</v>
      </c>
      <c r="P651" t="str">
        <f>IF(OR($A651="",games!$H651=""),"",games!$H651)</f>
        <v>Yes</v>
      </c>
      <c r="Q651">
        <f t="shared" si="141"/>
        <v>2.000651</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Heroes: Ruins of Tasos</v>
      </c>
      <c r="B652">
        <f>IF($A652="","",games!$B652)</f>
        <v>2021</v>
      </c>
      <c r="C652" t="str">
        <f>IF($A652="","",games!$C652)</f>
        <v>Action</v>
      </c>
      <c r="D652">
        <f>IF($A652="","",COUNTIF(connections!$A$2:$A$2500,$A652)+COUNTIF(connections!$B$2:$B$2500,$A652))</f>
        <v>1</v>
      </c>
      <c r="E652">
        <f t="shared" si="130"/>
        <v>1</v>
      </c>
      <c r="F652">
        <f t="shared" si="131"/>
        <v>6</v>
      </c>
      <c r="G652">
        <f t="shared" si="132"/>
        <v>2021</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Legacy</v>
      </c>
      <c r="B653">
        <f>IF($A653="","",games!$B653)</f>
        <v>2013</v>
      </c>
      <c r="C653" t="str">
        <f>IF($A653="","",games!$C653)</f>
        <v>Action</v>
      </c>
      <c r="D653">
        <f>IF($A653="","",COUNTIF(connections!$A$2:$A$2500,$A653)+COUNTIF(connections!$B$2:$B$2500,$A653))</f>
        <v>19</v>
      </c>
      <c r="E653">
        <f t="shared" si="130"/>
        <v>1</v>
      </c>
      <c r="F653">
        <f t="shared" si="131"/>
        <v>7</v>
      </c>
      <c r="G653">
        <f t="shared" si="132"/>
        <v>2013</v>
      </c>
      <c r="H653">
        <f t="shared" si="133"/>
        <v>1.161</v>
      </c>
      <c r="I653" t="e">
        <f t="shared" si="134"/>
        <v>#N/A</v>
      </c>
      <c r="J653" t="e">
        <f t="shared" si="135"/>
        <v>#N/A</v>
      </c>
      <c r="K653" t="e">
        <f t="shared" si="136"/>
        <v>#N/A</v>
      </c>
      <c r="L653" t="e">
        <f t="shared" si="137"/>
        <v>#N/A</v>
      </c>
      <c r="M653" t="e">
        <f t="shared" si="138"/>
        <v>#N/A</v>
      </c>
      <c r="N653" t="e">
        <f t="shared" si="139"/>
        <v>#N/A</v>
      </c>
      <c r="O653">
        <f t="shared" si="140"/>
        <v>19.000653</v>
      </c>
      <c r="P653" t="str">
        <f>IF(OR($A653="",games!$H653=""),"",games!$H653)</f>
        <v>Yes</v>
      </c>
      <c r="Q653">
        <f t="shared" si="141"/>
        <v>19.000653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 2</v>
      </c>
      <c r="B654">
        <f>IF($A654="","",games!$B654)</f>
        <v>2020</v>
      </c>
      <c r="C654" t="str">
        <f>IF($A654="","",games!$C654)</f>
        <v>Action</v>
      </c>
      <c r="D654">
        <f>IF($A654="","",COUNTIF(connections!$A$2:$A$2500,$A654)+COUNTIF(connections!$B$2:$B$2500,$A654))</f>
        <v>1</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Lords</v>
      </c>
      <c r="B655">
        <f>IF($A655="","",games!$B655)</f>
        <v>2021</v>
      </c>
      <c r="C655" t="str">
        <f>IF($A655="","",games!$C655)</f>
        <v>Strategy</v>
      </c>
      <c r="D655">
        <f>IF($A655="","",COUNTIF(connections!$A$2:$A$2500,$A655)+COUNTIF(connections!$B$2:$B$2500,$A655))</f>
        <v>1</v>
      </c>
      <c r="E655">
        <f t="shared" si="130"/>
        <v>2</v>
      </c>
      <c r="F655">
        <f t="shared" si="131"/>
        <v>9</v>
      </c>
      <c r="G655" t="e">
        <f t="shared" si="132"/>
        <v>#N/A</v>
      </c>
      <c r="H655" t="e">
        <f t="shared" si="133"/>
        <v>#N/A</v>
      </c>
      <c r="I655">
        <f t="shared" si="134"/>
        <v>2021</v>
      </c>
      <c r="J655">
        <f t="shared" si="135"/>
        <v>2.2069999999999999</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Tower</v>
      </c>
      <c r="B656">
        <f>IF($A656="","",games!$B656)</f>
        <v>2022</v>
      </c>
      <c r="C656" t="str">
        <f>IF($A656="","",games!$C656)</f>
        <v>Strategy</v>
      </c>
      <c r="D656">
        <f>IF($A656="","",COUNTIF(connections!$A$2:$A$2500,$A656)+COUNTIF(connections!$B$2:$B$2500,$A656))</f>
        <v>2</v>
      </c>
      <c r="E656">
        <f t="shared" si="130"/>
        <v>2</v>
      </c>
      <c r="F656">
        <f t="shared" si="131"/>
        <v>10</v>
      </c>
      <c r="G656" t="e">
        <f t="shared" si="132"/>
        <v>#N/A</v>
      </c>
      <c r="H656" t="e">
        <f t="shared" si="133"/>
        <v>#N/A</v>
      </c>
      <c r="I656">
        <f t="shared" si="134"/>
        <v>2022</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Voltage</v>
      </c>
      <c r="B657">
        <f>IF($A657="","",games!$B657)</f>
        <v>2024</v>
      </c>
      <c r="C657" t="str">
        <f>IF($A657="","",games!$C657)</f>
        <v>Deckbuilder</v>
      </c>
      <c r="D657">
        <f>IF($A657="","",COUNTIF(connections!$A$2:$A$2500,$A657)+COUNTIF(connections!$B$2:$B$2500,$A657))</f>
        <v>6</v>
      </c>
      <c r="E657">
        <f t="shared" si="130"/>
        <v>3</v>
      </c>
      <c r="F657">
        <f t="shared" si="131"/>
        <v>11</v>
      </c>
      <c r="G657" t="e">
        <f t="shared" si="132"/>
        <v>#N/A</v>
      </c>
      <c r="H657" t="e">
        <f t="shared" si="133"/>
        <v>#N/A</v>
      </c>
      <c r="I657" t="e">
        <f t="shared" si="134"/>
        <v>#N/A</v>
      </c>
      <c r="J657" t="e">
        <f t="shared" si="135"/>
        <v>#N/A</v>
      </c>
      <c r="K657">
        <f t="shared" si="136"/>
        <v>2024</v>
      </c>
      <c r="L657">
        <f t="shared" si="137"/>
        <v>3.2530000000000001</v>
      </c>
      <c r="M657" t="e">
        <f t="shared" si="138"/>
        <v>#N/A</v>
      </c>
      <c r="N657" t="e">
        <f t="shared" si="139"/>
        <v>#N/A</v>
      </c>
      <c r="O657">
        <f t="shared" si="140"/>
        <v>6.0006570000000004</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Wizards</v>
      </c>
      <c r="B658">
        <f>IF($A658="","",games!$B658)</f>
        <v>2016</v>
      </c>
      <c r="C658" t="str">
        <f>IF($A658="","",games!$C658)</f>
        <v>Strategy</v>
      </c>
      <c r="D658">
        <f>IF($A658="","",COUNTIF(connections!$A$2:$A$2500,$A658)+COUNTIF(connections!$B$2:$B$2500,$A658))</f>
        <v>2</v>
      </c>
      <c r="E658">
        <f t="shared" si="130"/>
        <v>2</v>
      </c>
      <c r="F658">
        <f t="shared" si="131"/>
        <v>12</v>
      </c>
      <c r="G658" t="e">
        <f t="shared" si="132"/>
        <v>#N/A</v>
      </c>
      <c r="H658" t="e">
        <f t="shared" si="133"/>
        <v>#N/A</v>
      </c>
      <c r="I658">
        <f t="shared" si="134"/>
        <v>2016</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Genesia</v>
      </c>
      <c r="B659">
        <f>IF($A659="","",games!$B659)</f>
        <v>2022</v>
      </c>
      <c r="C659" t="str">
        <f>IF($A659="","",games!$C659)</f>
        <v>Action</v>
      </c>
      <c r="D659">
        <f>IF($A659="","",COUNTIF(connections!$A$2:$A$2500,$A659)+COUNTIF(connections!$B$2:$B$2500,$A659))</f>
        <v>3</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Yes</v>
      </c>
      <c r="Q659">
        <f t="shared" si="141"/>
        <v>3.0006590000000002</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Roguebook</v>
      </c>
      <c r="B660">
        <f>IF($A660="","",games!$B660)</f>
        <v>2021</v>
      </c>
      <c r="C660" t="str">
        <f>IF($A660="","",games!$C660)</f>
        <v>Deckbuilder</v>
      </c>
      <c r="D660">
        <f>IF($A660="","",COUNTIF(connections!$A$2:$A$2500,$A660)+COUNTIF(connections!$B$2:$B$2500,$A660))</f>
        <v>3</v>
      </c>
      <c r="E660">
        <f t="shared" si="130"/>
        <v>3</v>
      </c>
      <c r="F660">
        <f t="shared" si="131"/>
        <v>14</v>
      </c>
      <c r="G660" t="e">
        <f t="shared" si="132"/>
        <v>#N/A</v>
      </c>
      <c r="H660" t="e">
        <f t="shared" si="133"/>
        <v>#N/A</v>
      </c>
      <c r="I660" t="e">
        <f t="shared" si="134"/>
        <v>#N/A</v>
      </c>
      <c r="J660" t="e">
        <f t="shared" si="135"/>
        <v>#N/A</v>
      </c>
      <c r="K660">
        <f t="shared" si="136"/>
        <v>2021</v>
      </c>
      <c r="L660">
        <f t="shared" si="137"/>
        <v>3.3220000000000001</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Rogue-Fp</v>
      </c>
      <c r="B661">
        <f>IF($A661="","",games!$B661)</f>
        <v>2023</v>
      </c>
      <c r="C661" t="str">
        <f>IF($A661="","",games!$C661)</f>
        <v>Traditional</v>
      </c>
      <c r="D661">
        <f>IF($A661="","",COUNTIF(connections!$A$2:$A$2500,$A661)+COUNTIF(connections!$B$2:$B$2500,$A661))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2023</v>
      </c>
      <c r="N661">
        <f t="shared" si="139"/>
        <v>4.3449999999999998</v>
      </c>
      <c r="O661">
        <f t="shared" si="140"/>
        <v>2.000661</v>
      </c>
      <c r="P661" t="str">
        <f>IF(OR($A661="",games!$H661=""),"",games!$H661)</f>
        <v/>
      </c>
      <c r="Q661" t="str">
        <f t="shared" si="141"/>
        <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RogueJack21</v>
      </c>
      <c r="B662">
        <f>IF($A662="","",games!$B662)</f>
        <v>2026</v>
      </c>
      <c r="C662" t="str">
        <f>IF($A662="","",games!$C662)</f>
        <v>Deckbuilder</v>
      </c>
      <c r="D662">
        <f>IF($A662="","",COUNTIF(connections!$A$2:$A$2500,$A662)+COUNTIF(connections!$B$2:$B$2500,$A662))</f>
        <v>2</v>
      </c>
      <c r="E662">
        <f t="shared" si="130"/>
        <v>3</v>
      </c>
      <c r="F662">
        <f t="shared" si="131"/>
        <v>16</v>
      </c>
      <c r="G662" t="e">
        <f t="shared" si="132"/>
        <v>#N/A</v>
      </c>
      <c r="H662" t="e">
        <f t="shared" si="133"/>
        <v>#N/A</v>
      </c>
      <c r="I662" t="e">
        <f t="shared" si="134"/>
        <v>#N/A</v>
      </c>
      <c r="J662" t="e">
        <f t="shared" si="135"/>
        <v>#N/A</v>
      </c>
      <c r="K662">
        <f t="shared" si="136"/>
        <v>2026</v>
      </c>
      <c r="L662">
        <f t="shared" si="137"/>
        <v>3.3679999999999999</v>
      </c>
      <c r="M662" t="e">
        <f t="shared" si="138"/>
        <v>#N/A</v>
      </c>
      <c r="N662" t="e">
        <f t="shared" si="139"/>
        <v>#N/A</v>
      </c>
      <c r="O662">
        <f t="shared" si="140"/>
        <v>2.0006620000000002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Rogue's Tale</v>
      </c>
      <c r="B663">
        <f>IF($A663="","",games!$B663)</f>
        <v>2014</v>
      </c>
      <c r="C663" t="str">
        <f>IF($A663="","",games!$C663)</f>
        <v>Traditional</v>
      </c>
      <c r="D663">
        <f>IF($A663="","",COUNTIF(connections!$A$2:$A$2500,$A663)+COUNTIF(connections!$B$2:$B$2500,$A663))</f>
        <v>1</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2014</v>
      </c>
      <c r="N663">
        <f t="shared" si="139"/>
        <v>4.391</v>
      </c>
      <c r="O663">
        <f t="shared" si="140"/>
        <v>1.0006630000000001</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RogueSlide</v>
      </c>
      <c r="B664">
        <f>IF($A664="","",games!$B664)</f>
        <v>2022</v>
      </c>
      <c r="C664" t="str">
        <f>IF($A664="","",games!$C664)</f>
        <v>Strategy</v>
      </c>
      <c r="D664">
        <f>IF($A664="","",COUNTIF(connections!$A$2:$A$2500,$A664)+COUNTIF(connections!$B$2:$B$2500,$A664))</f>
        <v>0</v>
      </c>
      <c r="E664">
        <f t="shared" si="130"/>
        <v>2</v>
      </c>
      <c r="F664">
        <f t="shared" si="131"/>
        <v>18</v>
      </c>
      <c r="G664" t="e">
        <f t="shared" si="132"/>
        <v>#N/A</v>
      </c>
      <c r="H664" t="e">
        <f t="shared" si="133"/>
        <v>#N/A</v>
      </c>
      <c r="I664">
        <f t="shared" si="134"/>
        <v>2022</v>
      </c>
      <c r="J664">
        <f t="shared" si="135"/>
        <v>2.4140000000000001</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Roll</v>
      </c>
      <c r="B665">
        <f>IF($A665="","",games!$B665)</f>
        <v>2021</v>
      </c>
      <c r="C665" t="str">
        <f>IF($A665="","",games!$C665)</f>
        <v>Strategy</v>
      </c>
      <c r="D665">
        <f>IF($A665="","",COUNTIF(connections!$A$2:$A$2500,$A665)+COUNTIF(connections!$B$2:$B$2500,$A665))</f>
        <v>1</v>
      </c>
      <c r="E665">
        <f t="shared" si="130"/>
        <v>2</v>
      </c>
      <c r="F665">
        <f t="shared" si="131"/>
        <v>19</v>
      </c>
      <c r="G665" t="e">
        <f t="shared" si="132"/>
        <v>#N/A</v>
      </c>
      <c r="H665" t="e">
        <f t="shared" si="133"/>
        <v>#N/A</v>
      </c>
      <c r="I665">
        <f t="shared" si="134"/>
        <v>2021</v>
      </c>
      <c r="J665">
        <f t="shared" si="135"/>
        <v>2.4369999999999998</v>
      </c>
      <c r="K665" t="e">
        <f t="shared" si="136"/>
        <v>#N/A</v>
      </c>
      <c r="L665" t="e">
        <f t="shared" si="137"/>
        <v>#N/A</v>
      </c>
      <c r="M665" t="e">
        <f t="shared" si="138"/>
        <v>#N/A</v>
      </c>
      <c r="N665" t="e">
        <f t="shared" si="139"/>
        <v>#N/A</v>
      </c>
      <c r="O665">
        <f t="shared" si="140"/>
        <v>1.0006649999999999</v>
      </c>
      <c r="P665" t="str">
        <f>IF(OR($A665="",games!$H665=""),"",games!$H665)</f>
        <v>Yes</v>
      </c>
      <c r="Q665">
        <f t="shared" si="141"/>
        <v>1.0006649999999999</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RollScape</v>
      </c>
      <c r="B666">
        <f>IF($A666="","",games!$B666)</f>
        <v>2024</v>
      </c>
      <c r="C666" t="str">
        <f>IF($A666="","",games!$C666)</f>
        <v>Strategy</v>
      </c>
      <c r="D666">
        <f>IF($A666="","",COUNTIF(connections!$A$2:$A$2500,$A666)+COUNTIF(connections!$B$2:$B$2500,$A666))</f>
        <v>2</v>
      </c>
      <c r="E666">
        <f t="shared" si="130"/>
        <v>2</v>
      </c>
      <c r="F666">
        <f t="shared" si="131"/>
        <v>20</v>
      </c>
      <c r="G666" t="e">
        <f t="shared" si="132"/>
        <v>#N/A</v>
      </c>
      <c r="H666" t="e">
        <f t="shared" si="133"/>
        <v>#N/A</v>
      </c>
      <c r="I666">
        <f t="shared" si="134"/>
        <v>2024</v>
      </c>
      <c r="J666">
        <f t="shared" si="135"/>
        <v>2.46</v>
      </c>
      <c r="K666" t="e">
        <f t="shared" si="136"/>
        <v>#N/A</v>
      </c>
      <c r="L666" t="e">
        <f t="shared" si="137"/>
        <v>#N/A</v>
      </c>
      <c r="M666" t="e">
        <f t="shared" si="138"/>
        <v>#N/A</v>
      </c>
      <c r="N666" t="e">
        <f t="shared" si="139"/>
        <v>#N/A</v>
      </c>
      <c r="O666">
        <f t="shared" si="140"/>
        <v>2.0006659999999998</v>
      </c>
      <c r="P666" t="str">
        <f>IF(OR($A666="",games!$H666=""),"",games!$H666)</f>
        <v>Yes</v>
      </c>
      <c r="Q666">
        <f t="shared" si="141"/>
        <v>2.0006659999999998</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Roulette Dungeon</v>
      </c>
      <c r="B667">
        <f>IF($A667="","",games!$B667)</f>
        <v>2026</v>
      </c>
      <c r="C667" t="str">
        <f>IF($A667="","",games!$C667)</f>
        <v>Deckbuilder</v>
      </c>
      <c r="D667">
        <f>IF($A667="","",COUNTIF(connections!$A$2:$A$2500,$A667)+COUNTIF(connections!$B$2:$B$2500,$A667))</f>
        <v>1</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1.000667</v>
      </c>
      <c r="P667" t="str">
        <f>IF(OR($A667="",games!$H667=""),"",games!$H667)</f>
        <v/>
      </c>
      <c r="Q667" t="str">
        <f t="shared" si="141"/>
        <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Roulette Hero</v>
      </c>
      <c r="B668">
        <f>IF($A668="","",games!$B668)</f>
        <v>2025</v>
      </c>
      <c r="C668" t="str">
        <f>IF($A668="","",games!$C668)</f>
        <v>Deckbuilder</v>
      </c>
      <c r="D668">
        <f>IF($A668="","",COUNTIF(connections!$A$2:$A$2500,$A668)+COUNTIF(connections!$B$2:$B$2500,$A668))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Rounds</v>
      </c>
      <c r="B669">
        <f>IF($A669="","",games!$B669)</f>
        <v>2021</v>
      </c>
      <c r="C669" t="str">
        <f>IF($A669="","",games!$C669)</f>
        <v>Action</v>
      </c>
      <c r="D669">
        <f>IF($A669="","",COUNTIF(connections!$A$2:$A$2500,$A669)+COUNTIF(connections!$B$2:$B$2500,$A669))</f>
        <v>1</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1.000669</v>
      </c>
      <c r="P669" t="str">
        <f>IF(OR($A669="",games!$H669=""),"",games!$H669)</f>
        <v>Yes</v>
      </c>
      <c r="Q669">
        <f t="shared" si="141"/>
        <v>1.000669</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Rune Dice</v>
      </c>
      <c r="B670">
        <f>IF($A670="","",games!$B670)</f>
        <v>2026</v>
      </c>
      <c r="C670" t="str">
        <f>IF($A670="","",games!$C670)</f>
        <v>Deckbuilder</v>
      </c>
      <c r="D670">
        <f>IF($A670="","",COUNTIF(connections!$A$2:$A$2500,$A670)+COUNTIF(connections!$B$2:$B$2500,$A670))</f>
        <v>1</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1.0006699999999999</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Runeborn</v>
      </c>
      <c r="B671">
        <f>IF($A671="","",games!$B671)</f>
        <v>2025</v>
      </c>
      <c r="C671" t="str">
        <f>IF($A671="","",games!$C671)</f>
        <v>Deckbuilder</v>
      </c>
      <c r="D671">
        <f>IF($A671="","",COUNTIF(connections!$A$2:$A$2500,$A671)+COUNTIF(connections!$B$2:$B$2500,$A671))</f>
        <v>4</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4.0006709999999996</v>
      </c>
      <c r="P671" t="str">
        <f>IF(OR($A671="",games!$H671=""),"",games!$H671)</f>
        <v>Yes</v>
      </c>
      <c r="Q671">
        <f t="shared" si="141"/>
        <v>4.0006709999999996</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Runeveil</v>
      </c>
      <c r="B672">
        <f>IF($A672="","",games!$B672)</f>
        <v>2026</v>
      </c>
      <c r="C672" t="str">
        <f>IF($A672="","",games!$C672)</f>
        <v>Deckbuilder</v>
      </c>
      <c r="D672">
        <f>IF($A672="","",COUNTIF(connections!$A$2:$A$2500,$A672)+COUNTIF(connections!$B$2:$B$2500,$A672))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Rungore</v>
      </c>
      <c r="B673">
        <f>IF($A673="","",games!$B673)</f>
        <v>2023</v>
      </c>
      <c r="C673" t="str">
        <f>IF($A673="","",games!$C673)</f>
        <v>Deckbuilder</v>
      </c>
      <c r="D673">
        <f>IF($A673="","",COUNTIF(connections!$A$2:$A$2500,$A673)+COUNTIF(connections!$B$2:$B$2500,$A673))</f>
        <v>2</v>
      </c>
      <c r="E673">
        <f t="shared" si="130"/>
        <v>3</v>
      </c>
      <c r="F673">
        <f t="shared" si="131"/>
        <v>27</v>
      </c>
      <c r="G673" t="e">
        <f t="shared" si="132"/>
        <v>#N/A</v>
      </c>
      <c r="H673" t="e">
        <f t="shared" si="133"/>
        <v>#N/A</v>
      </c>
      <c r="I673" t="e">
        <f t="shared" si="134"/>
        <v>#N/A</v>
      </c>
      <c r="J673" t="e">
        <f t="shared" si="135"/>
        <v>#N/A</v>
      </c>
      <c r="K673">
        <f t="shared" si="136"/>
        <v>2023</v>
      </c>
      <c r="L673">
        <f t="shared" si="137"/>
        <v>3.621</v>
      </c>
      <c r="M673" t="e">
        <f t="shared" si="138"/>
        <v>#N/A</v>
      </c>
      <c r="N673" t="e">
        <f t="shared" si="139"/>
        <v>#N/A</v>
      </c>
      <c r="O673">
        <f t="shared" si="140"/>
        <v>2.0006729999999999</v>
      </c>
      <c r="P673" t="str">
        <f>IF(OR($A673="",games!$H673=""),"",games!$H673)</f>
        <v/>
      </c>
      <c r="Q673" t="str">
        <f t="shared" si="141"/>
        <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Runic Survivor</v>
      </c>
      <c r="B674">
        <f>IF($A674="","",games!$B674)</f>
        <v>2022</v>
      </c>
      <c r="C674" t="str">
        <f>IF($A674="","",games!$C674)</f>
        <v>Action</v>
      </c>
      <c r="D674">
        <f>IF($A674="","",COUNTIF(connections!$A$2:$A$2500,$A674)+COUNTIF(connections!$B$2:$B$2500,$A674))</f>
        <v>2</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2.0006740000000001</v>
      </c>
      <c r="P674" t="str">
        <f>IF(OR($A674="",games!$H674=""),"",games!$H674)</f>
        <v>Yes</v>
      </c>
      <c r="Q674">
        <f t="shared" si="141"/>
        <v>2.0006740000000001</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Sanae no Chou Tokkyuu: The Express Trial</v>
      </c>
      <c r="B675">
        <f>IF($A675="","",games!$B675)</f>
        <v>2010</v>
      </c>
      <c r="C675" t="str">
        <f>IF($A675="","",games!$C675)</f>
        <v>Traditional</v>
      </c>
      <c r="D675">
        <f>IF($A675="","",COUNTIF(connections!$A$2:$A$2500,$A675)+COUNTIF(connections!$B$2:$B$2500,$A675))</f>
        <v>1</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1.000675</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Sandwalkers</v>
      </c>
      <c r="B676">
        <f>IF($A676="","",games!$B676)</f>
        <v>2024</v>
      </c>
      <c r="C676" t="str">
        <f>IF($A676="","",games!$C676)</f>
        <v>Action</v>
      </c>
      <c r="D676">
        <f>IF($A676="","",COUNTIF(connections!$A$2:$A$2500,$A676)+COUNTIF(connections!$B$2:$B$2500,$A676))</f>
        <v>3</v>
      </c>
      <c r="E676">
        <f t="shared" si="130"/>
        <v>1</v>
      </c>
      <c r="F676">
        <f t="shared" si="131"/>
        <v>30</v>
      </c>
      <c r="G676">
        <f t="shared" si="132"/>
        <v>2024</v>
      </c>
      <c r="H676">
        <f t="shared" si="133"/>
        <v>1.69</v>
      </c>
      <c r="I676" t="e">
        <f t="shared" si="134"/>
        <v>#N/A</v>
      </c>
      <c r="J676" t="e">
        <f t="shared" si="135"/>
        <v>#N/A</v>
      </c>
      <c r="K676" t="e">
        <f t="shared" si="136"/>
        <v>#N/A</v>
      </c>
      <c r="L676" t="e">
        <f t="shared" si="137"/>
        <v>#N/A</v>
      </c>
      <c r="M676" t="e">
        <f t="shared" si="138"/>
        <v>#N/A</v>
      </c>
      <c r="N676" t="e">
        <f t="shared" si="139"/>
        <v>#N/A</v>
      </c>
      <c r="O676">
        <f t="shared" si="140"/>
        <v>3.0006759999999999</v>
      </c>
      <c r="P676" t="str">
        <f>IF(OR($A676="",games!$H676=""),"",games!$H676)</f>
        <v>Yes</v>
      </c>
      <c r="Q676">
        <f t="shared" si="141"/>
        <v>3.0006759999999999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Scarlet Skips</v>
      </c>
      <c r="B677">
        <f>IF($A677="","",games!$B677)</f>
        <v>2026</v>
      </c>
      <c r="C677" t="str">
        <f>IF($A677="","",games!$C677)</f>
        <v>Action</v>
      </c>
      <c r="D677">
        <f>IF($A677="","",COUNTIF(connections!$A$2:$A$2500,$A677)+COUNTIF(connections!$B$2:$B$2500,$A677))</f>
        <v>0</v>
      </c>
      <c r="E677">
        <f t="shared" si="130"/>
        <v>1</v>
      </c>
      <c r="F677">
        <f t="shared" si="131"/>
        <v>31</v>
      </c>
      <c r="G677">
        <f t="shared" si="132"/>
        <v>2026</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6.7699999999999998E-4</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Scarlet Tower</v>
      </c>
      <c r="B678">
        <f>IF($A678="","",games!$B678)</f>
        <v>2022</v>
      </c>
      <c r="C678" t="str">
        <f>IF($A678="","",games!$C678)</f>
        <v>Action</v>
      </c>
      <c r="D678">
        <f>IF($A678="","",COUNTIF(connections!$A$2:$A$2500,$A678)+COUNTIF(connections!$B$2:$B$2500,$A678))</f>
        <v>1</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Schism</v>
      </c>
      <c r="B679">
        <f>IF($A679="","",games!$B679)</f>
        <v>2023</v>
      </c>
      <c r="C679" t="str">
        <f>IF($A679="","",games!$C679)</f>
        <v>Action</v>
      </c>
      <c r="D679">
        <f>IF($A679="","",COUNTIF(connections!$A$2:$A$2500,$A679)+COUNTIF(connections!$B$2:$B$2500,$A679))</f>
        <v>2</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Scourgebringer</v>
      </c>
      <c r="B680">
        <f>IF($A680="","",games!$B680)</f>
        <v>2020</v>
      </c>
      <c r="C680" t="str">
        <f>IF($A680="","",games!$C680)</f>
        <v>Action</v>
      </c>
      <c r="D680">
        <f>IF($A680="","",COUNTIF(connections!$A$2:$A$2500,$A680)+COUNTIF(connections!$B$2:$B$2500,$A680))</f>
        <v>8</v>
      </c>
      <c r="E680">
        <f t="shared" si="130"/>
        <v>1</v>
      </c>
      <c r="F680">
        <f t="shared" si="131"/>
        <v>0</v>
      </c>
      <c r="G680">
        <f t="shared" si="132"/>
        <v>2020</v>
      </c>
      <c r="H680">
        <f t="shared" si="133"/>
        <v>1</v>
      </c>
      <c r="I680" t="e">
        <f t="shared" si="134"/>
        <v>#N/A</v>
      </c>
      <c r="J680" t="e">
        <f t="shared" si="135"/>
        <v>#N/A</v>
      </c>
      <c r="K680" t="e">
        <f t="shared" si="136"/>
        <v>#N/A</v>
      </c>
      <c r="L680" t="e">
        <f t="shared" si="137"/>
        <v>#N/A</v>
      </c>
      <c r="M680" t="e">
        <f t="shared" si="138"/>
        <v>#N/A</v>
      </c>
      <c r="N680" t="e">
        <f t="shared" si="139"/>
        <v>#N/A</v>
      </c>
      <c r="O680">
        <f t="shared" si="140"/>
        <v>8.0006799999999991</v>
      </c>
      <c r="P680" t="str">
        <f>IF(OR($A680="",games!$H680=""),"",games!$H680)</f>
        <v>Yes</v>
      </c>
      <c r="Q680">
        <f t="shared" si="141"/>
        <v>8.0006799999999991</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Sea of Survivors</v>
      </c>
      <c r="B681">
        <f>IF($A681="","",games!$B681)</f>
        <v>2023</v>
      </c>
      <c r="C681" t="str">
        <f>IF($A681="","",games!$C681)</f>
        <v>Action</v>
      </c>
      <c r="D681">
        <f>IF($A681="","",COUNTIF(connections!$A$2:$A$2500,$A681)+COUNTIF(connections!$B$2:$B$2500,$A681))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Section 13</v>
      </c>
      <c r="B682">
        <f>IF($A682="","",games!$B682)</f>
        <v>2023</v>
      </c>
      <c r="C682" t="str">
        <f>IF($A682="","",games!$C682)</f>
        <v>Action</v>
      </c>
      <c r="D682">
        <f>IF($A682="","",COUNTIF(connections!$A$2:$A$2500,$A682)+COUNTIF(connections!$B$2:$B$2500,$A682))</f>
        <v>1</v>
      </c>
      <c r="E682">
        <f t="shared" si="130"/>
        <v>1</v>
      </c>
      <c r="F682">
        <f t="shared" si="131"/>
        <v>2</v>
      </c>
      <c r="G682">
        <f t="shared" si="132"/>
        <v>2023</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Seedborne Soldiers</v>
      </c>
      <c r="B683">
        <f>IF($A683="","",games!$B683)</f>
        <v>2025</v>
      </c>
      <c r="C683" t="str">
        <f>IF($A683="","",games!$C683)</f>
        <v>Strategy</v>
      </c>
      <c r="D683">
        <f>IF($A683="","",COUNTIF(connections!$A$2:$A$2500,$A683)+COUNTIF(connections!$B$2:$B$2500,$A683))</f>
        <v>2</v>
      </c>
      <c r="E683">
        <f t="shared" si="130"/>
        <v>2</v>
      </c>
      <c r="F683">
        <f t="shared" si="131"/>
        <v>3</v>
      </c>
      <c r="G683" t="e">
        <f t="shared" si="132"/>
        <v>#N/A</v>
      </c>
      <c r="H683" t="e">
        <f t="shared" si="133"/>
        <v>#N/A</v>
      </c>
      <c r="I683">
        <f t="shared" si="134"/>
        <v>2025</v>
      </c>
      <c r="J683">
        <f t="shared" si="135"/>
        <v>2.069</v>
      </c>
      <c r="K683" t="e">
        <f t="shared" si="136"/>
        <v>#N/A</v>
      </c>
      <c r="L683" t="e">
        <f t="shared" si="137"/>
        <v>#N/A</v>
      </c>
      <c r="M683" t="e">
        <f t="shared" si="138"/>
        <v>#N/A</v>
      </c>
      <c r="N683" t="e">
        <f t="shared" si="139"/>
        <v>#N/A</v>
      </c>
      <c r="O683">
        <f t="shared" si="140"/>
        <v>2.000683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Sephiria</v>
      </c>
      <c r="B684">
        <f>IF($A684="","",games!$B684)</f>
        <v>2025</v>
      </c>
      <c r="C684" t="str">
        <f>IF($A684="","",games!$C684)</f>
        <v>Action</v>
      </c>
      <c r="D684">
        <f>IF($A684="","",COUNTIF(connections!$A$2:$A$2500,$A684)+COUNTIF(connections!$B$2:$B$2500,$A684))</f>
        <v>5</v>
      </c>
      <c r="E684">
        <f t="shared" si="130"/>
        <v>1</v>
      </c>
      <c r="F684">
        <f t="shared" si="131"/>
        <v>4</v>
      </c>
      <c r="G684">
        <f t="shared" si="132"/>
        <v>2025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5.0006839999999997</v>
      </c>
      <c r="P684" t="str">
        <f>IF(OR($A684="",games!$H684=""),"",games!$H684)</f>
        <v/>
      </c>
      <c r="Q684" t="str">
        <f t="shared" si="141"/>
        <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Seraph's Last Stand</v>
      </c>
      <c r="B685">
        <f>IF($A685="","",games!$B685)</f>
        <v>2022</v>
      </c>
      <c r="C685" t="str">
        <f>IF($A685="","",games!$C685)</f>
        <v>Action</v>
      </c>
      <c r="D685">
        <f>IF($A685="","",COUNTIF(connections!$A$2:$A$2500,$A685)+COUNTIF(connections!$B$2:$B$2500,$A685))</f>
        <v>1</v>
      </c>
      <c r="E685">
        <f t="shared" si="130"/>
        <v>1</v>
      </c>
      <c r="F685">
        <f t="shared" si="131"/>
        <v>5</v>
      </c>
      <c r="G685">
        <f t="shared" si="132"/>
        <v>2022</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Serpent's Gaze</v>
      </c>
      <c r="B686">
        <f>IF($A686="","",games!$B686)</f>
        <v>2026</v>
      </c>
      <c r="C686" t="str">
        <f>IF($A686="","",games!$C686)</f>
        <v>Action</v>
      </c>
      <c r="D686">
        <f>IF($A686="","",COUNTIF(connections!$A$2:$A$2500,$A686)+COUNTIF(connections!$B$2:$B$2500,$A686))</f>
        <v>3</v>
      </c>
      <c r="E686">
        <f t="shared" si="130"/>
        <v>1</v>
      </c>
      <c r="F686">
        <f t="shared" si="131"/>
        <v>6</v>
      </c>
      <c r="G686">
        <f t="shared" si="132"/>
        <v>2026</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Shadow of the Wyrm</v>
      </c>
      <c r="B687">
        <f>IF($A687="","",games!$B687)</f>
        <v>2015</v>
      </c>
      <c r="C687" t="str">
        <f>IF($A687="","",games!$C687)</f>
        <v>Traditional</v>
      </c>
      <c r="D687">
        <f>IF($A687="","",COUNTIF(connections!$A$2:$A$2500,$A687)+COUNTIF(connections!$B$2:$B$2500,$A687))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2015</v>
      </c>
      <c r="N687">
        <f t="shared" si="139"/>
        <v>4.1609999999999996</v>
      </c>
      <c r="O687">
        <f t="shared" si="140"/>
        <v>2.0006870000000001</v>
      </c>
      <c r="P687" t="str">
        <f>IF(OR($A687="",games!$H687=""),"",games!$H687)</f>
        <v>Yes</v>
      </c>
      <c r="Q687">
        <f t="shared" si="141"/>
        <v>2.0006870000000001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Shadowveil: Legend of The Five Rings</v>
      </c>
      <c r="B688">
        <f>IF($A688="","",games!$B688)</f>
        <v>2025</v>
      </c>
      <c r="C688" t="str">
        <f>IF($A688="","",games!$C688)</f>
        <v>Strategy</v>
      </c>
      <c r="D688">
        <f>IF($A688="","",COUNTIF(connections!$A$2:$A$2500,$A688)+COUNTIF(connections!$B$2:$B$2500,$A688))</f>
        <v>3</v>
      </c>
      <c r="E688">
        <f t="shared" si="130"/>
        <v>2</v>
      </c>
      <c r="F688">
        <f t="shared" si="131"/>
        <v>8</v>
      </c>
      <c r="G688" t="e">
        <f t="shared" si="132"/>
        <v>#N/A</v>
      </c>
      <c r="H688" t="e">
        <f t="shared" si="133"/>
        <v>#N/A</v>
      </c>
      <c r="I688">
        <f t="shared" si="134"/>
        <v>2025</v>
      </c>
      <c r="J688">
        <f t="shared" si="135"/>
        <v>2.1840000000000002</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Shape of Dreams</v>
      </c>
      <c r="B689">
        <f>IF($A689="","",games!$B689)</f>
        <v>2025</v>
      </c>
      <c r="C689" t="str">
        <f>IF($A689="","",games!$C689)</f>
        <v>Action</v>
      </c>
      <c r="D689">
        <f>IF($A689="","",COUNTIF(connections!$A$2:$A$2500,$A689)+COUNTIF(connections!$B$2:$B$2500,$A689))</f>
        <v>3</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Shape Shifter: Formations</v>
      </c>
      <c r="B690">
        <f>IF($A690="","",games!$B690)</f>
        <v>2023</v>
      </c>
      <c r="C690" t="str">
        <f>IF($A690="","",games!$C690)</f>
        <v>Action</v>
      </c>
      <c r="D690">
        <f>IF($A690="","",COUNTIF(connections!$A$2:$A$2500,$A690)+COUNTIF(connections!$B$2:$B$2500,$A690))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Shard Squad</v>
      </c>
      <c r="B691">
        <f>IF($A691="","",games!$B691)</f>
        <v>2025</v>
      </c>
      <c r="C691" t="str">
        <f>IF($A691="","",games!$C691)</f>
        <v>Action</v>
      </c>
      <c r="D691">
        <f>IF($A691="","",COUNTIF(connections!$A$2:$A$2500,$A691)+COUNTIF(connections!$B$2:$B$2500,$A691))</f>
        <v>1</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
      </c>
      <c r="Q691" t="str">
        <f t="shared" si="141"/>
        <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Shattered Pixel Dungeon</v>
      </c>
      <c r="B692">
        <f>IF($A692="","",games!$B692)</f>
        <v>2014</v>
      </c>
      <c r="C692" t="str">
        <f>IF($A692="","",games!$C692)</f>
        <v>Traditional</v>
      </c>
      <c r="D692">
        <f>IF($A692="","",COUNTIF(connections!$A$2:$A$2500,$A692)+COUNTIF(connections!$B$2:$B$2500,$A692))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Ship of Fools</v>
      </c>
      <c r="B693">
        <f>IF($A693="","",games!$B693)</f>
        <v>2022</v>
      </c>
      <c r="C693" t="str">
        <f>IF($A693="","",games!$C693)</f>
        <v>Action</v>
      </c>
      <c r="D693">
        <f>IF($A693="","",COUNTIF(connections!$A$2:$A$2500,$A693)+COUNTIF(connections!$B$2:$B$2500,$A693))</f>
        <v>3</v>
      </c>
      <c r="E693">
        <f t="shared" si="130"/>
        <v>1</v>
      </c>
      <c r="F693">
        <f t="shared" si="131"/>
        <v>13</v>
      </c>
      <c r="G693">
        <f t="shared" si="132"/>
        <v>2022</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Shiren the Wanderer (2008)</v>
      </c>
      <c r="B694">
        <f>IF($A694="","",games!$B694)</f>
        <v>2008</v>
      </c>
      <c r="C694" t="str">
        <f>IF($A694="","",games!$C694)</f>
        <v>Traditional</v>
      </c>
      <c r="D694">
        <f>IF($A694="","",COUNTIF(connections!$A$2:$A$2500,$A694)+COUNTIF(connections!$B$2:$B$2500,$A694))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2008</v>
      </c>
      <c r="N694">
        <f t="shared" si="139"/>
        <v>4.3220000000000001</v>
      </c>
      <c r="O694">
        <f t="shared" si="140"/>
        <v>2.0006940000000002</v>
      </c>
      <c r="P694" t="str">
        <f>IF(OR($A694="",games!$H694=""),"",games!$H694)</f>
        <v>Yes</v>
      </c>
      <c r="Q694">
        <f t="shared" si="141"/>
        <v>2.0006940000000002</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Shiren the Wanderer 2: Shiren's Castle and the Oni Invasion</v>
      </c>
      <c r="B695">
        <f>IF($A695="","",games!$B695)</f>
        <v>2000</v>
      </c>
      <c r="C695" t="str">
        <f>IF($A695="","",games!$C695)</f>
        <v>Traditional</v>
      </c>
      <c r="D695">
        <f>IF($A695="","",COUNTIF(connections!$A$2:$A$2500,$A695)+COUNTIF(connections!$B$2:$B$2500,$A695))</f>
        <v>3</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2000</v>
      </c>
      <c r="N695">
        <f t="shared" si="139"/>
        <v>4.3449999999999998</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4: The Eye of God and the Devil's Navel</v>
      </c>
      <c r="B696">
        <f>IF($A696="","",games!$B696)</f>
        <v>2010</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2010</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Gaiden: Asuka the Swordswoman</v>
      </c>
      <c r="B697">
        <f>IF($A697="","",games!$B697)</f>
        <v>2002</v>
      </c>
      <c r="C697" t="str">
        <f>IF($A697="","",games!$C697)</f>
        <v>Traditional</v>
      </c>
      <c r="D697">
        <f>IF($A697="","",COUNTIF(connections!$A$2:$A$2500,$A697)+COUNTIF(connections!$B$2:$B$2500,$A697))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2002</v>
      </c>
      <c r="N697">
        <f t="shared" si="139"/>
        <v>4.391</v>
      </c>
      <c r="O697">
        <f t="shared" si="140"/>
        <v>1.0006969999999999</v>
      </c>
      <c r="P697" t="str">
        <f>IF(OR($A697="",games!$H697=""),"",games!$H697)</f>
        <v>Yes</v>
      </c>
      <c r="Q697">
        <f t="shared" si="141"/>
        <v>1.0006969999999999</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GB: Monster of Moonlight Village</v>
      </c>
      <c r="B698">
        <f>IF($A698="","",games!$B698)</f>
        <v>1996</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1996</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GB2: Magic Castle of the Desert</v>
      </c>
      <c r="B699">
        <f>IF($A699="","",games!$B699)</f>
        <v>2001</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2001</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The Mystery Dungeon of Serpentcoil Island</v>
      </c>
      <c r="B700">
        <f>IF($A700="","",games!$B700)</f>
        <v>2024</v>
      </c>
      <c r="C700" t="str">
        <f>IF($A700="","",games!$C700)</f>
        <v>Traditional</v>
      </c>
      <c r="D700">
        <f>IF($A700="","",COUNTIF(connections!$A$2:$A$2500,$A700)+COUNTIF(connections!$B$2:$B$2500,$A700))</f>
        <v>1</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2024</v>
      </c>
      <c r="N700">
        <f t="shared" si="139"/>
        <v>4.46</v>
      </c>
      <c r="O700">
        <f t="shared" si="140"/>
        <v>1.0006999999999999</v>
      </c>
      <c r="P700" t="str">
        <f>IF(OR($A700="",games!$H700=""),"",games!$H700)</f>
        <v>Yes</v>
      </c>
      <c r="Q700">
        <f t="shared" si="141"/>
        <v>1.0006999999999999</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The Tower of Fortune and the Dice of Fate</v>
      </c>
      <c r="B701">
        <f>IF($A701="","",games!$B701)</f>
        <v>2010</v>
      </c>
      <c r="C701" t="str">
        <f>IF($A701="","",games!$C701)</f>
        <v>Traditional</v>
      </c>
      <c r="D701">
        <f>IF($A701="","",COUNTIF(connections!$A$2:$A$2500,$A701)+COUNTIF(connections!$B$2:$B$2500,$A701))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2010</v>
      </c>
      <c r="N701">
        <f t="shared" si="139"/>
        <v>4.4829999999999997</v>
      </c>
      <c r="O701">
        <f t="shared" si="140"/>
        <v>2.0007009999999998</v>
      </c>
      <c r="P701" t="str">
        <f>IF(OR($A701="",games!$H701=""),"",games!$H701)</f>
        <v>Yes</v>
      </c>
      <c r="Q701">
        <f t="shared" si="141"/>
        <v>2.0007009999999998</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Shogun Showdown</v>
      </c>
      <c r="B702">
        <f>IF($A702="","",games!$B702)</f>
        <v>2023</v>
      </c>
      <c r="C702" t="str">
        <f>IF($A702="","",games!$C702)</f>
        <v>Strategy</v>
      </c>
      <c r="D702">
        <f>IF($A702="","",COUNTIF(connections!$A$2:$A$2500,$A702)+COUNTIF(connections!$B$2:$B$2500,$A702))</f>
        <v>5</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5.0007020000000004</v>
      </c>
      <c r="P702" t="str">
        <f>IF(OR($A702="",games!$H702=""),"",games!$H702)</f>
        <v>Yes</v>
      </c>
      <c r="Q702">
        <f t="shared" si="141"/>
        <v>5.0007020000000004</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Shoot First</v>
      </c>
      <c r="B703">
        <f>IF($A703="","",games!$B703)</f>
        <v>2010</v>
      </c>
      <c r="C703" t="str">
        <f>IF($A703="","",games!$C703)</f>
        <v>Action</v>
      </c>
      <c r="D703">
        <f>IF($A703="","",COUNTIF(connections!$A$2:$A$2500,$A703)+COUNTIF(connections!$B$2:$B$2500,$A703))</f>
        <v>1</v>
      </c>
      <c r="E703">
        <f t="shared" si="130"/>
        <v>1</v>
      </c>
      <c r="F703">
        <f t="shared" si="131"/>
        <v>23</v>
      </c>
      <c r="G703">
        <f t="shared" si="132"/>
        <v>2010</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Shotgun King: The Final Checkmate</v>
      </c>
      <c r="B704">
        <f>IF($A704="","",games!$B704)</f>
        <v>2022</v>
      </c>
      <c r="C704" t="str">
        <f>IF($A704="","",games!$C704)</f>
        <v>Strategy</v>
      </c>
      <c r="D704">
        <f>IF($A704="","",COUNTIF(connections!$A$2:$A$2500,$A704)+COUNTIF(connections!$B$2:$B$2500,$A704))</f>
        <v>4</v>
      </c>
      <c r="E704">
        <f t="shared" si="130"/>
        <v>2</v>
      </c>
      <c r="F704">
        <f t="shared" si="131"/>
        <v>24</v>
      </c>
      <c r="G704" t="e">
        <f t="shared" si="132"/>
        <v>#N/A</v>
      </c>
      <c r="H704" t="e">
        <f t="shared" si="133"/>
        <v>#N/A</v>
      </c>
      <c r="I704">
        <f t="shared" si="134"/>
        <v>2022</v>
      </c>
      <c r="J704">
        <f t="shared" si="135"/>
        <v>2.552</v>
      </c>
      <c r="K704" t="e">
        <f t="shared" si="136"/>
        <v>#N/A</v>
      </c>
      <c r="L704" t="e">
        <f t="shared" si="137"/>
        <v>#N/A</v>
      </c>
      <c r="M704" t="e">
        <f t="shared" si="138"/>
        <v>#N/A</v>
      </c>
      <c r="N704" t="e">
        <f t="shared" si="139"/>
        <v>#N/A</v>
      </c>
      <c r="O704">
        <f t="shared" si="140"/>
        <v>4.0007039999999998</v>
      </c>
      <c r="P704" t="str">
        <f>IF(OR($A704="",games!$H704=""),"",games!$H704)</f>
        <v>Yes</v>
      </c>
      <c r="Q704">
        <f t="shared" si="141"/>
        <v>4.0007039999999998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Shovel Knight Dig</v>
      </c>
      <c r="B705">
        <f>IF($A705="","",games!$B705)</f>
        <v>2022</v>
      </c>
      <c r="C705" t="str">
        <f>IF($A705="","",games!$C705)</f>
        <v>Action</v>
      </c>
      <c r="D705">
        <f>IF($A705="","",COUNTIF(connections!$A$2:$A$2500,$A705)+COUNTIF(connections!$B$2:$B$2500,$A705))</f>
        <v>2</v>
      </c>
      <c r="E705">
        <f t="shared" si="130"/>
        <v>1</v>
      </c>
      <c r="F705">
        <f t="shared" si="131"/>
        <v>25</v>
      </c>
      <c r="G705">
        <f t="shared" si="132"/>
        <v>2022</v>
      </c>
      <c r="H705">
        <f t="shared" si="133"/>
        <v>1.575</v>
      </c>
      <c r="I705" t="e">
        <f t="shared" si="134"/>
        <v>#N/A</v>
      </c>
      <c r="J705" t="e">
        <f t="shared" si="135"/>
        <v>#N/A</v>
      </c>
      <c r="K705" t="e">
        <f t="shared" si="136"/>
        <v>#N/A</v>
      </c>
      <c r="L705" t="e">
        <f t="shared" si="137"/>
        <v>#N/A</v>
      </c>
      <c r="M705" t="e">
        <f t="shared" si="138"/>
        <v>#N/A</v>
      </c>
      <c r="N705" t="e">
        <f t="shared" si="139"/>
        <v>#N/A</v>
      </c>
      <c r="O705">
        <f t="shared" si="140"/>
        <v>2.000705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Shroom and Gloom</v>
      </c>
      <c r="B706">
        <f>IF($A706="","",games!$B706)</f>
        <v>2026</v>
      </c>
      <c r="C706" t="str">
        <f>IF($A706="","",games!$C706)</f>
        <v>Deckbuilder</v>
      </c>
      <c r="D706">
        <f>IF($A706="","",COUNTIF(connections!$A$2:$A$2500,$A706)+COUNTIF(connections!$B$2:$B$2500,$A706))</f>
        <v>2</v>
      </c>
      <c r="E706">
        <f t="shared" ref="E706:E769" si="143">IF($A706="","",IFERROR(MATCH($C706,$R$2:$R$5,0),0))</f>
        <v>3</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f t="shared" ref="K706:K769" si="149">IF($A706="",NA(),IF($C706="Deckbuilder",$B706,NA()))</f>
        <v>2026</v>
      </c>
      <c r="L706">
        <f t="shared" ref="L706:L769" si="150">IF($A706="",NA(),IF($C706="Deckbuilder",3+$F706*0.023,NA()))</f>
        <v>3.5979999999999999</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
      </c>
      <c r="Q706" t="str">
        <f t="shared" ref="Q706:Q769" si="154">IF(OR($A706="",$P706&lt;&gt;"Yes"),"",$D706+ROW()/1000000)</f>
        <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Sil</v>
      </c>
      <c r="B707">
        <f>IF($A707="","",games!$B707)</f>
        <v>2012</v>
      </c>
      <c r="C707" t="str">
        <f>IF($A707="","",games!$C707)</f>
        <v>Traditional</v>
      </c>
      <c r="D707">
        <f>IF($A707="","",COUNTIF(connections!$A$2:$A$2500,$A707)+COUNTIF(connections!$B$2:$B$2500,$A707))</f>
        <v>1</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2012</v>
      </c>
      <c r="N707">
        <f t="shared" si="152"/>
        <v>4.6210000000000004</v>
      </c>
      <c r="O707">
        <f t="shared" si="153"/>
        <v>1.000707</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Sir, We Have an Orc Problem</v>
      </c>
      <c r="B708">
        <f>IF($A708="","",games!$B708)</f>
        <v>2026</v>
      </c>
      <c r="C708" t="str">
        <f>IF($A708="","",games!$C708)</f>
        <v>Strategy</v>
      </c>
      <c r="D708">
        <f>IF($A708="","",COUNTIF(connections!$A$2:$A$2500,$A708)+COUNTIF(connections!$B$2:$B$2500,$A708))</f>
        <v>1</v>
      </c>
      <c r="E708">
        <f t="shared" si="143"/>
        <v>2</v>
      </c>
      <c r="F708">
        <f t="shared" si="144"/>
        <v>28</v>
      </c>
      <c r="G708" t="e">
        <f t="shared" si="145"/>
        <v>#N/A</v>
      </c>
      <c r="H708" t="e">
        <f t="shared" si="146"/>
        <v>#N/A</v>
      </c>
      <c r="I708">
        <f t="shared" si="147"/>
        <v>2026</v>
      </c>
      <c r="J708">
        <f t="shared" si="148"/>
        <v>2.6440000000000001</v>
      </c>
      <c r="K708" t="e">
        <f t="shared" si="149"/>
        <v>#N/A</v>
      </c>
      <c r="L708" t="e">
        <f t="shared" si="150"/>
        <v>#N/A</v>
      </c>
      <c r="M708" t="e">
        <f t="shared" si="151"/>
        <v>#N/A</v>
      </c>
      <c r="N708" t="e">
        <f t="shared" si="152"/>
        <v>#N/A</v>
      </c>
      <c r="O708">
        <f t="shared" si="153"/>
        <v>1.0007079999999999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Skul: The Hero Slayer</v>
      </c>
      <c r="B709">
        <f>IF($A709="","",games!$B709)</f>
        <v>2020</v>
      </c>
      <c r="C709" t="str">
        <f>IF($A709="","",games!$C709)</f>
        <v>Action</v>
      </c>
      <c r="D709">
        <f>IF($A709="","",COUNTIF(connections!$A$2:$A$2500,$A709)+COUNTIF(connections!$B$2:$B$2500,$A709))</f>
        <v>3</v>
      </c>
      <c r="E709">
        <f t="shared" si="143"/>
        <v>1</v>
      </c>
      <c r="F709">
        <f t="shared" si="144"/>
        <v>29</v>
      </c>
      <c r="G709">
        <f t="shared" si="145"/>
        <v>2020</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Skull Horde</v>
      </c>
      <c r="B710">
        <f>IF($A710="","",games!$B710)</f>
        <v>2026</v>
      </c>
      <c r="C710" t="str">
        <f>IF($A710="","",games!$C710)</f>
        <v>Action</v>
      </c>
      <c r="D710">
        <f>IF($A710="","",COUNTIF(connections!$A$2:$A$2500,$A710)+COUNTIF(connections!$B$2:$B$2500,$A710))</f>
        <v>3</v>
      </c>
      <c r="E710">
        <f t="shared" si="143"/>
        <v>1</v>
      </c>
      <c r="F710">
        <f t="shared" si="144"/>
        <v>30</v>
      </c>
      <c r="G710">
        <f t="shared" si="145"/>
        <v>2026</v>
      </c>
      <c r="H710">
        <f t="shared" si="146"/>
        <v>1.69</v>
      </c>
      <c r="I710" t="e">
        <f t="shared" si="147"/>
        <v>#N/A</v>
      </c>
      <c r="J710" t="e">
        <f t="shared" si="148"/>
        <v>#N/A</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Sky Rogue</v>
      </c>
      <c r="B711">
        <f>IF($A711="","",games!$B711)</f>
        <v>2014</v>
      </c>
      <c r="C711" t="str">
        <f>IF($A711="","",games!$C711)</f>
        <v>Action</v>
      </c>
      <c r="D711">
        <f>IF($A711="","",COUNTIF(connections!$A$2:$A$2500,$A711)+COUNTIF(connections!$B$2:$B$2500,$A711))</f>
        <v>1</v>
      </c>
      <c r="E711">
        <f t="shared" si="143"/>
        <v>1</v>
      </c>
      <c r="F711">
        <f t="shared" si="144"/>
        <v>31</v>
      </c>
      <c r="G711">
        <f t="shared" si="145"/>
        <v>2014</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Sky's The Limit MAH-JONG</v>
      </c>
      <c r="B712">
        <f>IF($A712="","",games!$B712)</f>
        <v>2024</v>
      </c>
      <c r="C712" t="str">
        <f>IF($A712="","",games!$C712)</f>
        <v>Deckbuilder</v>
      </c>
      <c r="D712">
        <f>IF($A712="","",COUNTIF(connections!$A$2:$A$2500,$A712)+COUNTIF(connections!$B$2:$B$2500,$A712))</f>
        <v>1</v>
      </c>
      <c r="E712">
        <f t="shared" si="143"/>
        <v>3</v>
      </c>
      <c r="F712">
        <f t="shared" si="144"/>
        <v>32</v>
      </c>
      <c r="G712" t="e">
        <f t="shared" si="145"/>
        <v>#N/A</v>
      </c>
      <c r="H712" t="e">
        <f t="shared" si="146"/>
        <v>#N/A</v>
      </c>
      <c r="I712" t="e">
        <f t="shared" si="147"/>
        <v>#N/A</v>
      </c>
      <c r="J712" t="e">
        <f t="shared" si="148"/>
        <v>#N/A</v>
      </c>
      <c r="K712">
        <f t="shared" si="149"/>
        <v>2024</v>
      </c>
      <c r="L712">
        <f t="shared" si="150"/>
        <v>3.7359999999999998</v>
      </c>
      <c r="M712" t="e">
        <f t="shared" si="151"/>
        <v>#N/A</v>
      </c>
      <c r="N712" t="e">
        <f t="shared" si="152"/>
        <v>#N/A</v>
      </c>
      <c r="O712">
        <f t="shared" si="153"/>
        <v>1.000712</v>
      </c>
      <c r="P712" t="str">
        <f>IF(OR($A712="",games!$H712=""),"",games!$H712)</f>
        <v>Yes</v>
      </c>
      <c r="Q712">
        <f t="shared" si="154"/>
        <v>1.000712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Slash'EM</v>
      </c>
      <c r="B713">
        <f>IF($A713="","",games!$B713)</f>
        <v>2006</v>
      </c>
      <c r="C713" t="str">
        <f>IF($A713="","",games!$C713)</f>
        <v>Traditional</v>
      </c>
      <c r="D713">
        <f>IF($A713="","",COUNTIF(connections!$A$2:$A$2500,$A713)+COUNTIF(connections!$B$2:$B$2500,$A713))</f>
        <v>2</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2006</v>
      </c>
      <c r="N713">
        <f t="shared" si="152"/>
        <v>4.7590000000000003</v>
      </c>
      <c r="O713">
        <f t="shared" si="153"/>
        <v>2.0007130000000002</v>
      </c>
      <c r="P713" t="str">
        <f>IF(OR($A713="",games!$H713=""),"",games!$H713)</f>
        <v>Yes</v>
      </c>
      <c r="Q713">
        <f t="shared" si="154"/>
        <v>2.0007130000000002</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Slasher's Keep</v>
      </c>
      <c r="B714">
        <f>IF($A714="","",games!$B714)</f>
        <v>2018</v>
      </c>
      <c r="C714" t="str">
        <f>IF($A714="","",games!$C714)</f>
        <v>Action</v>
      </c>
      <c r="D714">
        <f>IF($A714="","",COUNTIF(connections!$A$2:$A$2500,$A714)+COUNTIF(connections!$B$2:$B$2500,$A714))</f>
        <v>0</v>
      </c>
      <c r="E714">
        <f t="shared" si="143"/>
        <v>1</v>
      </c>
      <c r="F714">
        <f t="shared" si="144"/>
        <v>0</v>
      </c>
      <c r="G714">
        <f t="shared" si="145"/>
        <v>2018</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Slay the Spire</v>
      </c>
      <c r="B715">
        <f>IF($A715="","",games!$B715)</f>
        <v>2017</v>
      </c>
      <c r="C715" t="str">
        <f>IF($A715="","",games!$C715)</f>
        <v>Deckbuilder</v>
      </c>
      <c r="D715">
        <f>IF($A715="","",COUNTIF(connections!$A$2:$A$2500,$A715)+COUNTIF(connections!$B$2:$B$2500,$A715))</f>
        <v>161</v>
      </c>
      <c r="E715">
        <f t="shared" si="143"/>
        <v>3</v>
      </c>
      <c r="F715">
        <f t="shared" si="144"/>
        <v>1</v>
      </c>
      <c r="G715" t="e">
        <f t="shared" si="145"/>
        <v>#N/A</v>
      </c>
      <c r="H715" t="e">
        <f t="shared" si="146"/>
        <v>#N/A</v>
      </c>
      <c r="I715" t="e">
        <f t="shared" si="147"/>
        <v>#N/A</v>
      </c>
      <c r="J715" t="e">
        <f t="shared" si="148"/>
        <v>#N/A</v>
      </c>
      <c r="K715">
        <f t="shared" si="149"/>
        <v>2017</v>
      </c>
      <c r="L715">
        <f t="shared" si="150"/>
        <v>3.0230000000000001</v>
      </c>
      <c r="M715" t="e">
        <f t="shared" si="151"/>
        <v>#N/A</v>
      </c>
      <c r="N715" t="e">
        <f t="shared" si="152"/>
        <v>#N/A</v>
      </c>
      <c r="O715">
        <f t="shared" si="153"/>
        <v>161.00071500000001</v>
      </c>
      <c r="P715" t="str">
        <f>IF(OR($A715="",games!$H715=""),"",games!$H715)</f>
        <v>Yes</v>
      </c>
      <c r="Q715">
        <f t="shared" si="154"/>
        <v>161.00071500000001</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Slay the Spire 2</v>
      </c>
      <c r="B716">
        <f>IF($A716="","",games!$B716)</f>
        <v>2026</v>
      </c>
      <c r="C716" t="str">
        <f>IF($A716="","",games!$C716)</f>
        <v>Deckbuilder</v>
      </c>
      <c r="D716">
        <f>IF($A716="","",COUNTIF(connections!$A$2:$A$2500,$A716)+COUNTIF(connections!$B$2:$B$2500,$A716))</f>
        <v>1</v>
      </c>
      <c r="E716">
        <f t="shared" si="143"/>
        <v>3</v>
      </c>
      <c r="F716">
        <f t="shared" si="144"/>
        <v>2</v>
      </c>
      <c r="G716" t="e">
        <f t="shared" si="145"/>
        <v>#N/A</v>
      </c>
      <c r="H716" t="e">
        <f t="shared" si="146"/>
        <v>#N/A</v>
      </c>
      <c r="I716" t="e">
        <f t="shared" si="147"/>
        <v>#N/A</v>
      </c>
      <c r="J716" t="e">
        <f t="shared" si="148"/>
        <v>#N/A</v>
      </c>
      <c r="K716">
        <f t="shared" si="149"/>
        <v>2026</v>
      </c>
      <c r="L716">
        <f t="shared" si="150"/>
        <v>3.0459999999999998</v>
      </c>
      <c r="M716" t="e">
        <f t="shared" si="151"/>
        <v>#N/A</v>
      </c>
      <c r="N716" t="e">
        <f t="shared" si="152"/>
        <v>#N/A</v>
      </c>
      <c r="O716">
        <f t="shared" si="153"/>
        <v>1.0007159999999999</v>
      </c>
      <c r="P716" t="str">
        <f>IF(OR($A716="",games!$H716=""),"",games!$H716)</f>
        <v>Yes</v>
      </c>
      <c r="Q716">
        <f t="shared" si="154"/>
        <v>1.0007159999999999</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Slayblade</v>
      </c>
      <c r="B717">
        <f>IF($A717="","",games!$B717)</f>
        <v>2026</v>
      </c>
      <c r="C717" t="str">
        <f>IF($A717="","",games!$C717)</f>
        <v>Action</v>
      </c>
      <c r="D717">
        <f>IF($A717="","",COUNTIF(connections!$A$2:$A$2500,$A717)+COUNTIF(connections!$B$2:$B$2500,$A717))</f>
        <v>0</v>
      </c>
      <c r="E717">
        <f t="shared" si="143"/>
        <v>1</v>
      </c>
      <c r="F717">
        <f t="shared" si="144"/>
        <v>3</v>
      </c>
      <c r="G717">
        <f t="shared" si="145"/>
        <v>2026</v>
      </c>
      <c r="H717">
        <f t="shared" si="146"/>
        <v>1.069</v>
      </c>
      <c r="I717" t="e">
        <f t="shared" si="147"/>
        <v>#N/A</v>
      </c>
      <c r="J717" t="e">
        <f t="shared" si="148"/>
        <v>#N/A</v>
      </c>
      <c r="K717" t="e">
        <f t="shared" si="149"/>
        <v>#N/A</v>
      </c>
      <c r="L717" t="e">
        <f t="shared" si="150"/>
        <v>#N/A</v>
      </c>
      <c r="M717" t="e">
        <f t="shared" si="151"/>
        <v>#N/A</v>
      </c>
      <c r="N717" t="e">
        <f t="shared" si="152"/>
        <v>#N/A</v>
      </c>
      <c r="O717">
        <f t="shared" si="153"/>
        <v>7.1699999999999997E-4</v>
      </c>
      <c r="P717" t="str">
        <f>IF(OR($A717="",games!$H717=""),"",games!$H717)</f>
        <v>Yes</v>
      </c>
      <c r="Q717">
        <f t="shared" si="154"/>
        <v>7.1699999999999997E-4</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Slice &amp; Dice</v>
      </c>
      <c r="B718">
        <f>IF($A718="","",games!$B718)</f>
        <v>2018</v>
      </c>
      <c r="C718" t="str">
        <f>IF($A718="","",games!$C718)</f>
        <v>Strategy</v>
      </c>
      <c r="D718">
        <f>IF($A718="","",COUNTIF(connections!$A$2:$A$2500,$A718)+COUNTIF(connections!$B$2:$B$2500,$A718))</f>
        <v>5</v>
      </c>
      <c r="E718">
        <f t="shared" si="143"/>
        <v>2</v>
      </c>
      <c r="F718">
        <f t="shared" si="144"/>
        <v>4</v>
      </c>
      <c r="G718" t="e">
        <f t="shared" si="145"/>
        <v>#N/A</v>
      </c>
      <c r="H718" t="e">
        <f t="shared" si="146"/>
        <v>#N/A</v>
      </c>
      <c r="I718">
        <f t="shared" si="147"/>
        <v>2018</v>
      </c>
      <c r="J718">
        <f t="shared" si="148"/>
        <v>2.0920000000000001</v>
      </c>
      <c r="K718" t="e">
        <f t="shared" si="149"/>
        <v>#N/A</v>
      </c>
      <c r="L718" t="e">
        <f t="shared" si="150"/>
        <v>#N/A</v>
      </c>
      <c r="M718" t="e">
        <f t="shared" si="151"/>
        <v>#N/A</v>
      </c>
      <c r="N718" t="e">
        <f t="shared" si="152"/>
        <v>#N/A</v>
      </c>
      <c r="O718">
        <f t="shared" si="153"/>
        <v>5.000718</v>
      </c>
      <c r="P718" t="str">
        <f>IF(OR($A718="",games!$H718=""),"",games!$H718)</f>
        <v>Yes</v>
      </c>
      <c r="Q718">
        <f t="shared" si="154"/>
        <v>5.000718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Slime 3k: Demake</v>
      </c>
      <c r="B719">
        <f>IF($A719="","",games!$B719)</f>
        <v>2024</v>
      </c>
      <c r="C719" t="str">
        <f>IF($A719="","",games!$C719)</f>
        <v>Action</v>
      </c>
      <c r="D719">
        <f>IF($A719="","",COUNTIF(connections!$A$2:$A$2500,$A719)+COUNTIF(connections!$B$2:$B$2500,$A719))</f>
        <v>1</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Slime 3K: Rise Against Despot</v>
      </c>
      <c r="B720">
        <f>IF($A720="","",games!$B720)</f>
        <v>2023</v>
      </c>
      <c r="C720" t="str">
        <f>IF($A720="","",games!$C720)</f>
        <v>Action</v>
      </c>
      <c r="D720">
        <f>IF($A720="","",COUNTIF(connections!$A$2:$A$2500,$A720)+COUNTIF(connections!$B$2:$B$2500,$A720))</f>
        <v>9</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9.0007199999999994</v>
      </c>
      <c r="P720" t="str">
        <f>IF(OR($A720="",games!$H720=""),"",games!$H720)</f>
        <v>Yes</v>
      </c>
      <c r="Q720">
        <f t="shared" si="154"/>
        <v>9.0007199999999994</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Slot &amp; Dungeons</v>
      </c>
      <c r="B721">
        <f>IF($A721="","",games!$B721)</f>
        <v>2025</v>
      </c>
      <c r="C721" t="str">
        <f>IF($A721="","",games!$C721)</f>
        <v>Deckbuilder</v>
      </c>
      <c r="D721">
        <f>IF($A721="","",COUNTIF(connections!$A$2:$A$2500,$A721)+COUNTIF(connections!$B$2:$B$2500,$A721))</f>
        <v>4</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4.0007210000000004</v>
      </c>
      <c r="P721" t="str">
        <f>IF(OR($A721="",games!$H721=""),"",games!$H721)</f>
        <v/>
      </c>
      <c r="Q721" t="str">
        <f t="shared" si="154"/>
        <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Slot or Not</v>
      </c>
      <c r="B722">
        <f>IF($A722="","",games!$B722)</f>
        <v>2026</v>
      </c>
      <c r="C722" t="str">
        <f>IF($A722="","",games!$C722)</f>
        <v>Deckbuilder</v>
      </c>
      <c r="D722">
        <f>IF($A722="","",COUNTIF(connections!$A$2:$A$2500,$A722)+COUNTIF(connections!$B$2:$B$2500,$A722))</f>
        <v>2</v>
      </c>
      <c r="E722">
        <f t="shared" si="143"/>
        <v>3</v>
      </c>
      <c r="F722">
        <f t="shared" si="144"/>
        <v>8</v>
      </c>
      <c r="G722" t="e">
        <f t="shared" si="145"/>
        <v>#N/A</v>
      </c>
      <c r="H722" t="e">
        <f t="shared" si="146"/>
        <v>#N/A</v>
      </c>
      <c r="I722" t="e">
        <f t="shared" si="147"/>
        <v>#N/A</v>
      </c>
      <c r="J722" t="e">
        <f t="shared" si="148"/>
        <v>#N/A</v>
      </c>
      <c r="K722">
        <f t="shared" si="149"/>
        <v>2026</v>
      </c>
      <c r="L722">
        <f t="shared" si="150"/>
        <v>3.1840000000000002</v>
      </c>
      <c r="M722" t="e">
        <f t="shared" si="151"/>
        <v>#N/A</v>
      </c>
      <c r="N722" t="e">
        <f t="shared" si="152"/>
        <v>#N/A</v>
      </c>
      <c r="O722">
        <f t="shared" si="153"/>
        <v>2.0007220000000001</v>
      </c>
      <c r="P722" t="str">
        <f>IF(OR($A722="",games!$H722=""),"",games!$H722)</f>
        <v/>
      </c>
      <c r="Q722" t="str">
        <f t="shared" si="154"/>
        <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Slots &amp; Daggers</v>
      </c>
      <c r="B723">
        <f>IF($A723="","",games!$B723)</f>
        <v>2025</v>
      </c>
      <c r="C723" t="str">
        <f>IF($A723="","",games!$C723)</f>
        <v>Deckbuilder</v>
      </c>
      <c r="D723">
        <f>IF($A723="","",COUNTIF(connections!$A$2:$A$2500,$A723)+COUNTIF(connections!$B$2:$B$2500,$A723))</f>
        <v>0</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7.2300000000000001E-4</v>
      </c>
      <c r="P723" t="str">
        <f>IF(OR($A723="",games!$H723=""),"",games!$H723)</f>
        <v>Yes</v>
      </c>
      <c r="Q723">
        <f t="shared" si="154"/>
        <v>7.2300000000000001E-4</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SNKRX</v>
      </c>
      <c r="B724">
        <f>IF($A724="","",games!$B724)</f>
        <v>2021</v>
      </c>
      <c r="C724" t="str">
        <f>IF($A724="","",games!$C724)</f>
        <v>Action</v>
      </c>
      <c r="D724">
        <f>IF($A724="","",COUNTIF(connections!$A$2:$A$2500,$A724)+COUNTIF(connections!$B$2:$B$2500,$A724))</f>
        <v>7</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7.0007239999999999</v>
      </c>
      <c r="P724" t="str">
        <f>IF(OR($A724="",games!$H724=""),"",games!$H724)</f>
        <v>Yes</v>
      </c>
      <c r="Q724">
        <f t="shared" si="154"/>
        <v>7.0007239999999999</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Sodaman</v>
      </c>
      <c r="B725">
        <f>IF($A725="","",games!$B725)</f>
        <v>2025</v>
      </c>
      <c r="C725" t="str">
        <f>IF($A725="","",games!$C725)</f>
        <v>Action</v>
      </c>
      <c r="D725">
        <f>IF($A725="","",COUNTIF(connections!$A$2:$A$2500,$A725)+COUNTIF(connections!$B$2:$B$2500,$A725))</f>
        <v>3</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Sol Cesto</v>
      </c>
      <c r="B726">
        <f>IF($A726="","",games!$B726)</f>
        <v>2025</v>
      </c>
      <c r="C726" t="str">
        <f>IF($A726="","",games!$C726)</f>
        <v>Strategy</v>
      </c>
      <c r="D726">
        <f>IF($A726="","",COUNTIF(connections!$A$2:$A$2500,$A726)+COUNTIF(connections!$B$2:$B$2500,$A726))</f>
        <v>3</v>
      </c>
      <c r="E726">
        <f t="shared" si="143"/>
        <v>2</v>
      </c>
      <c r="F726">
        <f t="shared" si="144"/>
        <v>12</v>
      </c>
      <c r="G726" t="e">
        <f t="shared" si="145"/>
        <v>#N/A</v>
      </c>
      <c r="H726" t="e">
        <f t="shared" si="146"/>
        <v>#N/A</v>
      </c>
      <c r="I726">
        <f t="shared" si="147"/>
        <v>2025</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Solitairica</v>
      </c>
      <c r="B727">
        <f>IF($A727="","",games!$B727)</f>
        <v>2016</v>
      </c>
      <c r="C727" t="str">
        <f>IF($A727="","",games!$C727)</f>
        <v>Deckbuilder</v>
      </c>
      <c r="D727">
        <f>IF($A727="","",COUNTIF(connections!$A$2:$A$2500,$A727)+COUNTIF(connections!$B$2:$B$2500,$A727))</f>
        <v>1</v>
      </c>
      <c r="E727">
        <f t="shared" si="143"/>
        <v>3</v>
      </c>
      <c r="F727">
        <f t="shared" si="144"/>
        <v>13</v>
      </c>
      <c r="G727" t="e">
        <f t="shared" si="145"/>
        <v>#N/A</v>
      </c>
      <c r="H727" t="e">
        <f t="shared" si="146"/>
        <v>#N/A</v>
      </c>
      <c r="I727" t="e">
        <f t="shared" si="147"/>
        <v>#N/A</v>
      </c>
      <c r="J727" t="e">
        <f t="shared" si="148"/>
        <v>#N/A</v>
      </c>
      <c r="K727">
        <f t="shared" si="149"/>
        <v>2016</v>
      </c>
      <c r="L727">
        <f t="shared" si="150"/>
        <v>3.2989999999999999</v>
      </c>
      <c r="M727" t="e">
        <f t="shared" si="151"/>
        <v>#N/A</v>
      </c>
      <c r="N727" t="e">
        <f t="shared" si="152"/>
        <v>#N/A</v>
      </c>
      <c r="O727">
        <f t="shared" si="153"/>
        <v>1.0007269999999999</v>
      </c>
      <c r="P727" t="str">
        <f>IF(OR($A727="",games!$H727=""),"",games!$H727)</f>
        <v>Yes</v>
      </c>
      <c r="Q727">
        <f t="shared" si="154"/>
        <v>1.0007269999999999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Soulash</v>
      </c>
      <c r="B728">
        <f>IF($A728="","",games!$B728)</f>
        <v>2022</v>
      </c>
      <c r="C728" t="str">
        <f>IF($A728="","",games!$C728)</f>
        <v>Traditional</v>
      </c>
      <c r="D728">
        <f>IF($A728="","",COUNTIF(connections!$A$2:$A$2500,$A728)+COUNTIF(connections!$B$2:$B$2500,$A728))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2022</v>
      </c>
      <c r="N728">
        <f t="shared" si="152"/>
        <v>4.3220000000000001</v>
      </c>
      <c r="O728">
        <f t="shared" si="153"/>
        <v>3.0007280000000001</v>
      </c>
      <c r="P728" t="str">
        <f>IF(OR($A728="",games!$H728=""),"",games!$H728)</f>
        <v/>
      </c>
      <c r="Q728" t="str">
        <f t="shared" si="154"/>
        <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Soulash 2</v>
      </c>
      <c r="B729">
        <f>IF($A729="","",games!$B729)</f>
        <v>2023</v>
      </c>
      <c r="C729" t="str">
        <f>IF($A729="","",games!$C729)</f>
        <v>Traditional</v>
      </c>
      <c r="D729">
        <f>IF($A729="","",COUNTIF(connections!$A$2:$A$2500,$A729)+COUNTIF(connections!$B$2:$B$2500,$A729))</f>
        <v>2</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2023</v>
      </c>
      <c r="N729">
        <f t="shared" si="152"/>
        <v>4.3449999999999998</v>
      </c>
      <c r="O729">
        <f t="shared" si="153"/>
        <v>2.0007290000000002</v>
      </c>
      <c r="P729" t="str">
        <f>IF(OR($A729="",games!$H729=""),"",games!$H729)</f>
        <v/>
      </c>
      <c r="Q729" t="str">
        <f t="shared" si="154"/>
        <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Soulstone Survivors</v>
      </c>
      <c r="B730">
        <f>IF($A730="","",games!$B730)</f>
        <v>2022</v>
      </c>
      <c r="C730" t="str">
        <f>IF($A730="","",games!$C730)</f>
        <v>Action</v>
      </c>
      <c r="D730">
        <f>IF($A730="","",COUNTIF(connections!$A$2:$A$2500,$A730)+COUNTIF(connections!$B$2:$B$2500,$A730))</f>
        <v>6</v>
      </c>
      <c r="E730">
        <f t="shared" si="143"/>
        <v>1</v>
      </c>
      <c r="F730">
        <f t="shared" si="144"/>
        <v>16</v>
      </c>
      <c r="G730">
        <f t="shared" si="145"/>
        <v>2022</v>
      </c>
      <c r="H730">
        <f t="shared" si="146"/>
        <v>1.3679999999999999</v>
      </c>
      <c r="I730" t="e">
        <f t="shared" si="147"/>
        <v>#N/A</v>
      </c>
      <c r="J730" t="e">
        <f t="shared" si="148"/>
        <v>#N/A</v>
      </c>
      <c r="K730" t="e">
        <f t="shared" si="149"/>
        <v>#N/A</v>
      </c>
      <c r="L730" t="e">
        <f t="shared" si="150"/>
        <v>#N/A</v>
      </c>
      <c r="M730" t="e">
        <f t="shared" si="151"/>
        <v>#N/A</v>
      </c>
      <c r="N730" t="e">
        <f t="shared" si="152"/>
        <v>#N/A</v>
      </c>
      <c r="O730">
        <f t="shared" si="153"/>
        <v>6.0007299999999999</v>
      </c>
      <c r="P730" t="str">
        <f>IF(OR($A730="",games!$H730=""),"",games!$H730)</f>
        <v>Yes</v>
      </c>
      <c r="Q730">
        <f t="shared" si="154"/>
        <v>6.0007299999999999</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Source of Madness</v>
      </c>
      <c r="B731">
        <f>IF($A731="","",games!$B731)</f>
        <v>2021</v>
      </c>
      <c r="C731" t="str">
        <f>IF($A731="","",games!$C731)</f>
        <v>Action</v>
      </c>
      <c r="D731">
        <f>IF($A731="","",COUNTIF(connections!$A$2:$A$2500,$A731)+COUNTIF(connections!$B$2:$B$2500,$A731))</f>
        <v>1</v>
      </c>
      <c r="E731">
        <f t="shared" si="143"/>
        <v>1</v>
      </c>
      <c r="F731">
        <f t="shared" si="144"/>
        <v>17</v>
      </c>
      <c r="G731">
        <f t="shared" si="145"/>
        <v>2021</v>
      </c>
      <c r="H731">
        <f t="shared" si="146"/>
        <v>1.391</v>
      </c>
      <c r="I731" t="e">
        <f t="shared" si="147"/>
        <v>#N/A</v>
      </c>
      <c r="J731" t="e">
        <f t="shared" si="148"/>
        <v>#N/A</v>
      </c>
      <c r="K731" t="e">
        <f t="shared" si="149"/>
        <v>#N/A</v>
      </c>
      <c r="L731" t="e">
        <f t="shared" si="150"/>
        <v>#N/A</v>
      </c>
      <c r="M731" t="e">
        <f t="shared" si="151"/>
        <v>#N/A</v>
      </c>
      <c r="N731" t="e">
        <f t="shared" si="152"/>
        <v>#N/A</v>
      </c>
      <c r="O731">
        <f t="shared" si="153"/>
        <v>1.000731</v>
      </c>
      <c r="P731" t="str">
        <f>IF(OR($A731="",games!$H731=""),"",games!$H731)</f>
        <v>Yes</v>
      </c>
      <c r="Q731">
        <f t="shared" si="154"/>
        <v>1.000731</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Space Beast Terror Fright</v>
      </c>
      <c r="B732">
        <f>IF($A732="","",games!$B732)</f>
        <v>2015</v>
      </c>
      <c r="C732" t="str">
        <f>IF($A732="","",games!$C732)</f>
        <v>Action</v>
      </c>
      <c r="D732">
        <f>IF($A732="","",COUNTIF(connections!$A$2:$A$2500,$A732)+COUNTIF(connections!$B$2:$B$2500,$A732))</f>
        <v>0</v>
      </c>
      <c r="E732">
        <f t="shared" si="143"/>
        <v>1</v>
      </c>
      <c r="F732">
        <f t="shared" si="144"/>
        <v>18</v>
      </c>
      <c r="G732">
        <f t="shared" si="145"/>
        <v>2015</v>
      </c>
      <c r="H732">
        <f t="shared" si="146"/>
        <v>1.4139999999999999</v>
      </c>
      <c r="I732" t="e">
        <f t="shared" si="147"/>
        <v>#N/A</v>
      </c>
      <c r="J732" t="e">
        <f t="shared" si="148"/>
        <v>#N/A</v>
      </c>
      <c r="K732" t="e">
        <f t="shared" si="149"/>
        <v>#N/A</v>
      </c>
      <c r="L732" t="e">
        <f t="shared" si="150"/>
        <v>#N/A</v>
      </c>
      <c r="M732" t="e">
        <f t="shared" si="151"/>
        <v>#N/A</v>
      </c>
      <c r="N732" t="e">
        <f t="shared" si="152"/>
        <v>#N/A</v>
      </c>
      <c r="O732">
        <f t="shared" si="153"/>
        <v>7.3200000000000001E-4</v>
      </c>
      <c r="P732" t="str">
        <f>IF(OR($A732="",games!$H732=""),"",games!$H732)</f>
        <v/>
      </c>
      <c r="Q732" t="str">
        <f t="shared" si="154"/>
        <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Space Gladiators</v>
      </c>
      <c r="B733">
        <f>IF($A733="","",games!$B733)</f>
        <v>2019</v>
      </c>
      <c r="C733" t="str">
        <f>IF($A733="","",games!$C733)</f>
        <v>Action</v>
      </c>
      <c r="D733">
        <f>IF($A733="","",COUNTIF(connections!$A$2:$A$2500,$A733)+COUNTIF(connections!$B$2:$B$2500,$A733))</f>
        <v>4</v>
      </c>
      <c r="E733">
        <f t="shared" si="143"/>
        <v>1</v>
      </c>
      <c r="F733">
        <f t="shared" si="144"/>
        <v>19</v>
      </c>
      <c r="G733">
        <f t="shared" si="145"/>
        <v>2019</v>
      </c>
      <c r="H733">
        <f t="shared" si="146"/>
        <v>1.4370000000000001</v>
      </c>
      <c r="I733" t="e">
        <f t="shared" si="147"/>
        <v>#N/A</v>
      </c>
      <c r="J733" t="e">
        <f t="shared" si="148"/>
        <v>#N/A</v>
      </c>
      <c r="K733" t="e">
        <f t="shared" si="149"/>
        <v>#N/A</v>
      </c>
      <c r="L733" t="e">
        <f t="shared" si="150"/>
        <v>#N/A</v>
      </c>
      <c r="M733" t="e">
        <f t="shared" si="151"/>
        <v>#N/A</v>
      </c>
      <c r="N733" t="e">
        <f t="shared" si="152"/>
        <v>#N/A</v>
      </c>
      <c r="O733">
        <f t="shared" si="153"/>
        <v>4.0007330000000003</v>
      </c>
      <c r="P733" t="str">
        <f>IF(OR($A733="",games!$H733=""),"",games!$H733)</f>
        <v/>
      </c>
      <c r="Q733" t="str">
        <f t="shared" si="154"/>
        <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Grunts</v>
      </c>
      <c r="B734">
        <f>IF($A734="","",games!$B734)</f>
        <v>2016</v>
      </c>
      <c r="C734" t="str">
        <f>IF($A734="","",games!$C734)</f>
        <v>Traditional</v>
      </c>
      <c r="D734">
        <f>IF($A734="","",COUNTIF(connections!$A$2:$A$2500,$A734)+COUNTIF(connections!$B$2:$B$2500,$A734))</f>
        <v>2</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2016</v>
      </c>
      <c r="N734">
        <f t="shared" si="152"/>
        <v>4.46</v>
      </c>
      <c r="O734">
        <f t="shared" si="153"/>
        <v>2.000734</v>
      </c>
      <c r="P734" t="str">
        <f>IF(OR($A734="",games!$H734=""),"",games!$H734)</f>
        <v>Yes</v>
      </c>
      <c r="Q734">
        <f t="shared" si="154"/>
        <v>2.000734</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Prison</v>
      </c>
      <c r="B735">
        <f>IF($A735="","",games!$B735)</f>
        <v>2024</v>
      </c>
      <c r="C735" t="str">
        <f>IF($A735="","",games!$C735)</f>
        <v>Strategy</v>
      </c>
      <c r="D735">
        <f>IF($A735="","",COUNTIF(connections!$A$2:$A$2500,$A735)+COUNTIF(connections!$B$2:$B$2500,$A735))</f>
        <v>4</v>
      </c>
      <c r="E735">
        <f t="shared" si="143"/>
        <v>2</v>
      </c>
      <c r="F735">
        <f t="shared" si="144"/>
        <v>21</v>
      </c>
      <c r="G735" t="e">
        <f t="shared" si="145"/>
        <v>#N/A</v>
      </c>
      <c r="H735" t="e">
        <f t="shared" si="146"/>
        <v>#N/A</v>
      </c>
      <c r="I735">
        <f t="shared" si="147"/>
        <v>2024</v>
      </c>
      <c r="J735">
        <f t="shared" si="148"/>
        <v>2.4830000000000001</v>
      </c>
      <c r="K735" t="e">
        <f t="shared" si="149"/>
        <v>#N/A</v>
      </c>
      <c r="L735" t="e">
        <f t="shared" si="150"/>
        <v>#N/A</v>
      </c>
      <c r="M735" t="e">
        <f t="shared" si="151"/>
        <v>#N/A</v>
      </c>
      <c r="N735" t="e">
        <f t="shared" si="152"/>
        <v>#N/A</v>
      </c>
      <c r="O735">
        <f t="shared" si="153"/>
        <v>4.0007349999999997</v>
      </c>
      <c r="P735" t="str">
        <f>IF(OR($A735="",games!$H735=""),"",games!$H735)</f>
        <v>Yes</v>
      </c>
      <c r="Q735">
        <f t="shared" si="154"/>
        <v>4.0007349999999997</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Sparklite</v>
      </c>
      <c r="B736">
        <f>IF($A736="","",games!$B736)</f>
        <v>2019</v>
      </c>
      <c r="C736" t="str">
        <f>IF($A736="","",games!$C736)</f>
        <v>Action</v>
      </c>
      <c r="D736">
        <f>IF($A736="","",COUNTIF(connections!$A$2:$A$2500,$A736)+COUNTIF(connections!$B$2:$B$2500,$A736))</f>
        <v>3</v>
      </c>
      <c r="E736">
        <f t="shared" si="143"/>
        <v>1</v>
      </c>
      <c r="F736">
        <f t="shared" si="144"/>
        <v>22</v>
      </c>
      <c r="G736">
        <f t="shared" si="145"/>
        <v>2019</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Spellbook Demonslayers</v>
      </c>
      <c r="B737">
        <f>IF($A737="","",games!$B737)</f>
        <v>2022</v>
      </c>
      <c r="C737" t="str">
        <f>IF($A737="","",games!$C737)</f>
        <v>Action</v>
      </c>
      <c r="D737">
        <f>IF($A737="","",COUNTIF(connections!$A$2:$A$2500,$A737)+COUNTIF(connections!$B$2:$B$2500,$A737))</f>
        <v>2</v>
      </c>
      <c r="E737">
        <f t="shared" si="143"/>
        <v>1</v>
      </c>
      <c r="F737">
        <f t="shared" si="144"/>
        <v>23</v>
      </c>
      <c r="G737">
        <f t="shared" si="145"/>
        <v>2022</v>
      </c>
      <c r="H737">
        <f t="shared" si="146"/>
        <v>1.5289999999999999</v>
      </c>
      <c r="I737" t="e">
        <f t="shared" si="147"/>
        <v>#N/A</v>
      </c>
      <c r="J737" t="e">
        <f t="shared" si="148"/>
        <v>#N/A</v>
      </c>
      <c r="K737" t="e">
        <f t="shared" si="149"/>
        <v>#N/A</v>
      </c>
      <c r="L737" t="e">
        <f t="shared" si="150"/>
        <v>#N/A</v>
      </c>
      <c r="M737" t="e">
        <f t="shared" si="151"/>
        <v>#N/A</v>
      </c>
      <c r="N737" t="e">
        <f t="shared" si="152"/>
        <v>#N/A</v>
      </c>
      <c r="O737">
        <f t="shared" si="153"/>
        <v>2.000737</v>
      </c>
      <c r="P737" t="str">
        <f>IF(OR($A737="",games!$H737=""),"",games!$H737)</f>
        <v>Yes</v>
      </c>
      <c r="Q737">
        <f t="shared" si="154"/>
        <v>2.000737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Spellmasons</v>
      </c>
      <c r="B738">
        <f>IF($A738="","",games!$B738)</f>
        <v>2023</v>
      </c>
      <c r="C738" t="str">
        <f>IF($A738="","",games!$C738)</f>
        <v>Strategy</v>
      </c>
      <c r="D738">
        <f>IF($A738="","",COUNTIF(connections!$A$2:$A$2500,$A738)+COUNTIF(connections!$B$2:$B$2500,$A738))</f>
        <v>3</v>
      </c>
      <c r="E738">
        <f t="shared" si="143"/>
        <v>2</v>
      </c>
      <c r="F738">
        <f t="shared" si="144"/>
        <v>24</v>
      </c>
      <c r="G738" t="e">
        <f t="shared" si="145"/>
        <v>#N/A</v>
      </c>
      <c r="H738" t="e">
        <f t="shared" si="146"/>
        <v>#N/A</v>
      </c>
      <c r="I738">
        <f t="shared" si="147"/>
        <v>2023</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SpellRogue</v>
      </c>
      <c r="B739">
        <f>IF($A739="","",games!$B739)</f>
        <v>2024</v>
      </c>
      <c r="C739" t="str">
        <f>IF($A739="","",games!$C739)</f>
        <v>Deckbuilder</v>
      </c>
      <c r="D739">
        <f>IF($A739="","",COUNTIF(connections!$A$2:$A$2500,$A739)+COUNTIF(connections!$B$2:$B$2500,$A739))</f>
        <v>2</v>
      </c>
      <c r="E739">
        <f t="shared" si="143"/>
        <v>3</v>
      </c>
      <c r="F739">
        <f t="shared" si="144"/>
        <v>25</v>
      </c>
      <c r="G739" t="e">
        <f t="shared" si="145"/>
        <v>#N/A</v>
      </c>
      <c r="H739" t="e">
        <f t="shared" si="146"/>
        <v>#N/A</v>
      </c>
      <c r="I739" t="e">
        <f t="shared" si="147"/>
        <v>#N/A</v>
      </c>
      <c r="J739" t="e">
        <f t="shared" si="148"/>
        <v>#N/A</v>
      </c>
      <c r="K739">
        <f t="shared" si="149"/>
        <v>2024</v>
      </c>
      <c r="L739">
        <f t="shared" si="150"/>
        <v>3.5750000000000002</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Spelunky</v>
      </c>
      <c r="B740">
        <f>IF($A740="","",games!$B740)</f>
        <v>2012</v>
      </c>
      <c r="C740" t="str">
        <f>IF($A740="","",games!$C740)</f>
        <v>Action</v>
      </c>
      <c r="D740">
        <f>IF($A740="","",COUNTIF(connections!$A$2:$A$2500,$A740)+COUNTIF(connections!$B$2:$B$2500,$A740))</f>
        <v>2</v>
      </c>
      <c r="E740">
        <f t="shared" si="143"/>
        <v>1</v>
      </c>
      <c r="F740">
        <f t="shared" si="144"/>
        <v>26</v>
      </c>
      <c r="G740">
        <f t="shared" si="145"/>
        <v>2012</v>
      </c>
      <c r="H740">
        <f t="shared" si="146"/>
        <v>1.5979999999999999</v>
      </c>
      <c r="I740" t="e">
        <f t="shared" si="147"/>
        <v>#N/A</v>
      </c>
      <c r="J740" t="e">
        <f t="shared" si="148"/>
        <v>#N/A</v>
      </c>
      <c r="K740" t="e">
        <f t="shared" si="149"/>
        <v>#N/A</v>
      </c>
      <c r="L740" t="e">
        <f t="shared" si="150"/>
        <v>#N/A</v>
      </c>
      <c r="M740" t="e">
        <f t="shared" si="151"/>
        <v>#N/A</v>
      </c>
      <c r="N740" t="e">
        <f t="shared" si="152"/>
        <v>#N/A</v>
      </c>
      <c r="O740">
        <f t="shared" si="153"/>
        <v>2.00074</v>
      </c>
      <c r="P740" t="str">
        <f>IF(OR($A740="",games!$H740=""),"",games!$H740)</f>
        <v>Yes</v>
      </c>
      <c r="Q740">
        <f t="shared" si="154"/>
        <v>2.00074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Spelunky 2</v>
      </c>
      <c r="B741">
        <f>IF($A741="","",games!$B741)</f>
        <v>2020</v>
      </c>
      <c r="C741" t="str">
        <f>IF($A741="","",games!$C741)</f>
        <v>Action</v>
      </c>
      <c r="D741">
        <f>IF($A741="","",COUNTIF(connections!$A$2:$A$2500,$A741)+COUNTIF(connections!$B$2:$B$2500,$A741))</f>
        <v>1</v>
      </c>
      <c r="E741">
        <f t="shared" si="143"/>
        <v>1</v>
      </c>
      <c r="F741">
        <f t="shared" si="144"/>
        <v>27</v>
      </c>
      <c r="G741">
        <f t="shared" si="145"/>
        <v>2020</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Yes</v>
      </c>
      <c r="Q741">
        <f t="shared" si="154"/>
        <v>1.0007410000000001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 Classic</v>
      </c>
      <c r="B742">
        <f>IF($A742="","",games!$B742)</f>
        <v>2008</v>
      </c>
      <c r="C742" t="str">
        <f>IF($A742="","",games!$C742)</f>
        <v>Action</v>
      </c>
      <c r="D742">
        <f>IF($A742="","",COUNTIF(connections!$A$2:$A$2500,$A742)+COUNTIF(connections!$B$2:$B$2500,$A742))</f>
        <v>46</v>
      </c>
      <c r="E742">
        <f t="shared" si="143"/>
        <v>1</v>
      </c>
      <c r="F742">
        <f t="shared" si="144"/>
        <v>28</v>
      </c>
      <c r="G742">
        <f t="shared" si="145"/>
        <v>2008</v>
      </c>
      <c r="H742">
        <f t="shared" si="146"/>
        <v>1.6440000000000001</v>
      </c>
      <c r="I742" t="e">
        <f t="shared" si="147"/>
        <v>#N/A</v>
      </c>
      <c r="J742" t="e">
        <f t="shared" si="148"/>
        <v>#N/A</v>
      </c>
      <c r="K742" t="e">
        <f t="shared" si="149"/>
        <v>#N/A</v>
      </c>
      <c r="L742" t="e">
        <f t="shared" si="150"/>
        <v>#N/A</v>
      </c>
      <c r="M742" t="e">
        <f t="shared" si="151"/>
        <v>#N/A</v>
      </c>
      <c r="N742" t="e">
        <f t="shared" si="152"/>
        <v>#N/A</v>
      </c>
      <c r="O742">
        <f t="shared" si="153"/>
        <v>46.000742000000002</v>
      </c>
      <c r="P742" t="str">
        <f>IF(OR($A742="",games!$H742=""),"",games!$H742)</f>
        <v>Yes</v>
      </c>
      <c r="Q742">
        <f t="shared" si="154"/>
        <v>46.000742000000002</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Spin Hero</v>
      </c>
      <c r="B743">
        <f>IF($A743="","",games!$B743)</f>
        <v>2024</v>
      </c>
      <c r="C743" t="str">
        <f>IF($A743="","",games!$C743)</f>
        <v>Deckbuilder</v>
      </c>
      <c r="D743">
        <f>IF($A743="","",COUNTIF(connections!$A$2:$A$2500,$A743)+COUNTIF(connections!$B$2:$B$2500,$A743))</f>
        <v>3</v>
      </c>
      <c r="E743">
        <f t="shared" si="143"/>
        <v>3</v>
      </c>
      <c r="F743">
        <f t="shared" si="144"/>
        <v>29</v>
      </c>
      <c r="G743" t="e">
        <f t="shared" si="145"/>
        <v>#N/A</v>
      </c>
      <c r="H743" t="e">
        <f t="shared" si="146"/>
        <v>#N/A</v>
      </c>
      <c r="I743" t="e">
        <f t="shared" si="147"/>
        <v>#N/A</v>
      </c>
      <c r="J743" t="e">
        <f t="shared" si="148"/>
        <v>#N/A</v>
      </c>
      <c r="K743">
        <f t="shared" si="149"/>
        <v>2024</v>
      </c>
      <c r="L743">
        <f t="shared" si="150"/>
        <v>3.6669999999999998</v>
      </c>
      <c r="M743" t="e">
        <f t="shared" si="151"/>
        <v>#N/A</v>
      </c>
      <c r="N743" t="e">
        <f t="shared" si="152"/>
        <v>#N/A</v>
      </c>
      <c r="O743">
        <f t="shared" si="153"/>
        <v>3.0007429999999999</v>
      </c>
      <c r="P743" t="str">
        <f>IF(OR($A743="",games!$H743=""),"",games!$H743)</f>
        <v>Yes</v>
      </c>
      <c r="Q743">
        <f t="shared" si="154"/>
        <v>3.0007429999999999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Spinny Dungeon</v>
      </c>
      <c r="B744">
        <f>IF($A744="","",games!$B744)</f>
        <v>2026</v>
      </c>
      <c r="C744" t="str">
        <f>IF($A744="","",games!$C744)</f>
        <v>Deckbuilder</v>
      </c>
      <c r="D744">
        <f>IF($A744="","",COUNTIF(connections!$A$2:$A$2500,$A744)+COUNTIF(connections!$B$2:$B$2500,$A744))</f>
        <v>1</v>
      </c>
      <c r="E744">
        <f t="shared" si="143"/>
        <v>3</v>
      </c>
      <c r="F744">
        <f t="shared" si="144"/>
        <v>30</v>
      </c>
      <c r="G744" t="e">
        <f t="shared" si="145"/>
        <v>#N/A</v>
      </c>
      <c r="H744" t="e">
        <f t="shared" si="146"/>
        <v>#N/A</v>
      </c>
      <c r="I744" t="e">
        <f t="shared" si="147"/>
        <v>#N/A</v>
      </c>
      <c r="J744" t="e">
        <f t="shared" si="148"/>
        <v>#N/A</v>
      </c>
      <c r="K744">
        <f t="shared" si="149"/>
        <v>2026</v>
      </c>
      <c r="L744">
        <f t="shared" si="150"/>
        <v>3.69</v>
      </c>
      <c r="M744" t="e">
        <f t="shared" si="151"/>
        <v>#N/A</v>
      </c>
      <c r="N744" t="e">
        <f t="shared" si="152"/>
        <v>#N/A</v>
      </c>
      <c r="O744">
        <f t="shared" si="153"/>
        <v>1.0007440000000001</v>
      </c>
      <c r="P744" t="str">
        <f>IF(OR($A744="",games!$H744=""),"",games!$H744)</f>
        <v/>
      </c>
      <c r="Q744" t="str">
        <f t="shared" si="154"/>
        <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Spirit Hunters: Infinite Horde</v>
      </c>
      <c r="B745">
        <f>IF($A745="","",games!$B745)</f>
        <v>2022</v>
      </c>
      <c r="C745" t="str">
        <f>IF($A745="","",games!$C745)</f>
        <v>Action</v>
      </c>
      <c r="D745">
        <f>IF($A745="","",COUNTIF(connections!$A$2:$A$2500,$A745)+COUNTIF(connections!$B$2:$B$2500,$A745))</f>
        <v>2</v>
      </c>
      <c r="E745">
        <f t="shared" si="143"/>
        <v>1</v>
      </c>
      <c r="F745">
        <f t="shared" si="144"/>
        <v>31</v>
      </c>
      <c r="G745">
        <f t="shared" si="145"/>
        <v>2022</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Spiritfall</v>
      </c>
      <c r="B746">
        <f>IF($A746="","",games!$B746)</f>
        <v>2023</v>
      </c>
      <c r="C746" t="str">
        <f>IF($A746="","",games!$C746)</f>
        <v>Action</v>
      </c>
      <c r="D746">
        <f>IF($A746="","",COUNTIF(connections!$A$2:$A$2500,$A746)+COUNTIF(connections!$B$2:$B$2500,$A746))</f>
        <v>2</v>
      </c>
      <c r="E746">
        <f t="shared" si="143"/>
        <v>1</v>
      </c>
      <c r="F746">
        <f t="shared" si="144"/>
        <v>32</v>
      </c>
      <c r="G746">
        <f t="shared" si="145"/>
        <v>2023</v>
      </c>
      <c r="H746">
        <f t="shared" si="146"/>
        <v>1.736</v>
      </c>
      <c r="I746" t="e">
        <f t="shared" si="147"/>
        <v>#N/A</v>
      </c>
      <c r="J746" t="e">
        <f t="shared" si="148"/>
        <v>#N/A</v>
      </c>
      <c r="K746" t="e">
        <f t="shared" si="149"/>
        <v>#N/A</v>
      </c>
      <c r="L746" t="e">
        <f t="shared" si="150"/>
        <v>#N/A</v>
      </c>
      <c r="M746" t="e">
        <f t="shared" si="151"/>
        <v>#N/A</v>
      </c>
      <c r="N746" t="e">
        <f t="shared" si="152"/>
        <v>#N/A</v>
      </c>
      <c r="O746">
        <f t="shared" si="153"/>
        <v>2.0007459999999999</v>
      </c>
      <c r="P746" t="str">
        <f>IF(OR($A746="",games!$H746=""),"",games!$H746)</f>
        <v>Yes</v>
      </c>
      <c r="Q746">
        <f t="shared" si="154"/>
        <v>2.0007459999999999</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Spirits Abyss</v>
      </c>
      <c r="B747">
        <f>IF($A747="","",games!$B747)</f>
        <v>2019</v>
      </c>
      <c r="C747" t="str">
        <f>IF($A747="","",games!$C747)</f>
        <v>Action</v>
      </c>
      <c r="D747">
        <f>IF($A747="","",COUNTIF(connections!$A$2:$A$2500,$A747)+COUNTIF(connections!$B$2:$B$2500,$A747))</f>
        <v>2</v>
      </c>
      <c r="E747">
        <f t="shared" si="143"/>
        <v>1</v>
      </c>
      <c r="F747">
        <f t="shared" si="144"/>
        <v>33</v>
      </c>
      <c r="G747">
        <f t="shared" si="145"/>
        <v>2019</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Sproggiwood</v>
      </c>
      <c r="B748">
        <f>IF($A748="","",games!$B748)</f>
        <v>2014</v>
      </c>
      <c r="C748" t="str">
        <f>IF($A748="","",games!$C748)</f>
        <v>Traditional</v>
      </c>
      <c r="D748">
        <f>IF($A748="","",COUNTIF(connections!$A$2:$A$2500,$A748)+COUNTIF(connections!$B$2:$B$2500,$A748))</f>
        <v>3</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3.0007480000000002</v>
      </c>
      <c r="P748" t="str">
        <f>IF(OR($A748="",games!$H748=""),"",games!$H748)</f>
        <v>Yes</v>
      </c>
      <c r="Q748">
        <f t="shared" si="154"/>
        <v>3.0007480000000002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Squeaky Squad</v>
      </c>
      <c r="B749">
        <f>IF($A749="","",games!$B749)</f>
        <v>2024</v>
      </c>
      <c r="C749" t="str">
        <f>IF($A749="","",games!$C749)</f>
        <v>Action</v>
      </c>
      <c r="D749">
        <f>IF($A749="","",COUNTIF(connections!$A$2:$A$2500,$A749)+COUNTIF(connections!$B$2:$B$2500,$A749))</f>
        <v>0</v>
      </c>
      <c r="E749">
        <f t="shared" si="143"/>
        <v>1</v>
      </c>
      <c r="F749">
        <f t="shared" si="144"/>
        <v>1</v>
      </c>
      <c r="G749">
        <f t="shared" si="145"/>
        <v>2024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Stackflow</v>
      </c>
      <c r="B750">
        <f>IF($A750="","",games!$B750)</f>
        <v>2025</v>
      </c>
      <c r="C750" t="str">
        <f>IF($A750="","",games!$C750)</f>
        <v>Deckbuilder</v>
      </c>
      <c r="D750">
        <f>IF($A750="","",COUNTIF(connections!$A$2:$A$2500,$A750)+COUNTIF(connections!$B$2:$B$2500,$A750))</f>
        <v>2</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2.00075</v>
      </c>
      <c r="P750" t="str">
        <f>IF(OR($A750="",games!$H750=""),"",games!$H750)</f>
        <v>Yes</v>
      </c>
      <c r="Q750">
        <f t="shared" si="154"/>
        <v>2.00075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Star of Providence</v>
      </c>
      <c r="B751">
        <f>IF($A751="","",games!$B751)</f>
        <v>2017</v>
      </c>
      <c r="C751" t="str">
        <f>IF($A751="","",games!$C751)</f>
        <v>Action</v>
      </c>
      <c r="D751">
        <f>IF($A751="","",COUNTIF(connections!$A$2:$A$2500,$A751)+COUNTIF(connections!$B$2:$B$2500,$A751))</f>
        <v>2</v>
      </c>
      <c r="E751">
        <f t="shared" si="143"/>
        <v>1</v>
      </c>
      <c r="F751">
        <f t="shared" si="144"/>
        <v>3</v>
      </c>
      <c r="G751">
        <f t="shared" si="145"/>
        <v>2017</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Star Renegades</v>
      </c>
      <c r="B752">
        <f>IF($A752="","",games!$B752)</f>
        <v>2020</v>
      </c>
      <c r="C752" t="str">
        <f>IF($A752="","",games!$C752)</f>
        <v>Strategy</v>
      </c>
      <c r="D752">
        <f>IF($A752="","",COUNTIF(connections!$A$2:$A$2500,$A752)+COUNTIF(connections!$B$2:$B$2500,$A752))</f>
        <v>3</v>
      </c>
      <c r="E752">
        <f t="shared" si="143"/>
        <v>2</v>
      </c>
      <c r="F752">
        <f t="shared" si="144"/>
        <v>4</v>
      </c>
      <c r="G752" t="e">
        <f t="shared" si="145"/>
        <v>#N/A</v>
      </c>
      <c r="H752" t="e">
        <f t="shared" si="146"/>
        <v>#N/A</v>
      </c>
      <c r="I752">
        <f t="shared" si="147"/>
        <v>2020</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Survivor</v>
      </c>
      <c r="B753">
        <f>IF($A753="","",games!$B753)</f>
        <v>2023</v>
      </c>
      <c r="C753" t="str">
        <f>IF($A753="","",games!$C753)</f>
        <v>Action</v>
      </c>
      <c r="D753">
        <f>IF($A753="","",COUNTIF(connections!$A$2:$A$2500,$A753)+COUNTIF(connections!$B$2:$B$2500,$A753))</f>
        <v>10</v>
      </c>
      <c r="E753">
        <f t="shared" si="143"/>
        <v>1</v>
      </c>
      <c r="F753">
        <f t="shared" si="144"/>
        <v>5</v>
      </c>
      <c r="G753">
        <f t="shared" si="145"/>
        <v>2023</v>
      </c>
      <c r="H753">
        <f t="shared" si="146"/>
        <v>1.115</v>
      </c>
      <c r="I753" t="e">
        <f t="shared" si="147"/>
        <v>#N/A</v>
      </c>
      <c r="J753" t="e">
        <f t="shared" si="148"/>
        <v>#N/A</v>
      </c>
      <c r="K753" t="e">
        <f t="shared" si="149"/>
        <v>#N/A</v>
      </c>
      <c r="L753" t="e">
        <f t="shared" si="150"/>
        <v>#N/A</v>
      </c>
      <c r="M753" t="e">
        <f t="shared" si="151"/>
        <v>#N/A</v>
      </c>
      <c r="N753" t="e">
        <f t="shared" si="152"/>
        <v>#N/A</v>
      </c>
      <c r="O753">
        <f t="shared" si="153"/>
        <v>10.000753</v>
      </c>
      <c r="P753" t="str">
        <f>IF(OR($A753="",games!$H753=""),"",games!$H753)</f>
        <v>Yes</v>
      </c>
      <c r="Q753">
        <f t="shared" si="154"/>
        <v>10.000753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Wars: Galactic Racer</v>
      </c>
      <c r="B754">
        <f>IF($A754="","",games!$B754)</f>
        <v>2026</v>
      </c>
      <c r="C754" t="str">
        <f>IF($A754="","",games!$C754)</f>
        <v>Action</v>
      </c>
      <c r="D754">
        <f>IF($A754="","",COUNTIF(connections!$A$2:$A$2500,$A754)+COUNTIF(connections!$B$2:$B$2500,$A754))</f>
        <v>3</v>
      </c>
      <c r="E754">
        <f t="shared" si="143"/>
        <v>1</v>
      </c>
      <c r="F754">
        <f t="shared" si="144"/>
        <v>6</v>
      </c>
      <c r="G754">
        <f t="shared" si="145"/>
        <v>2026</v>
      </c>
      <c r="H754">
        <f t="shared" si="146"/>
        <v>1.1379999999999999</v>
      </c>
      <c r="I754" t="e">
        <f t="shared" si="147"/>
        <v>#N/A</v>
      </c>
      <c r="J754" t="e">
        <f t="shared" si="148"/>
        <v>#N/A</v>
      </c>
      <c r="K754" t="e">
        <f t="shared" si="149"/>
        <v>#N/A</v>
      </c>
      <c r="L754" t="e">
        <f t="shared" si="150"/>
        <v>#N/A</v>
      </c>
      <c r="M754" t="e">
        <f t="shared" si="151"/>
        <v>#N/A</v>
      </c>
      <c r="N754" t="e">
        <f t="shared" si="152"/>
        <v>#N/A</v>
      </c>
      <c r="O754">
        <f t="shared" si="153"/>
        <v>3.0007540000000001</v>
      </c>
      <c r="P754" t="str">
        <f>IF(OR($A754="",games!$H754=""),"",games!$H754)</f>
        <v/>
      </c>
      <c r="Q754" t="str">
        <f t="shared" si="154"/>
        <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Starlight Revolver</v>
      </c>
      <c r="B755">
        <f>IF($A755="","",games!$B755)</f>
        <v>2025</v>
      </c>
      <c r="C755" t="str">
        <f>IF($A755="","",games!$C755)</f>
        <v>Action</v>
      </c>
      <c r="D755">
        <f>IF($A755="","",COUNTIF(connections!$A$2:$A$2500,$A755)+COUNTIF(connections!$B$2:$B$2500,$A755))</f>
        <v>1</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Yes</v>
      </c>
      <c r="Q755">
        <f t="shared" si="154"/>
        <v>1.0007550000000001</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StarVaders</v>
      </c>
      <c r="B756">
        <f>IF($A756="","",games!$B756)</f>
        <v>2025</v>
      </c>
      <c r="C756" t="str">
        <f>IF($A756="","",games!$C756)</f>
        <v>Deckbuilder</v>
      </c>
      <c r="D756">
        <f>IF($A756="","",COUNTIF(connections!$A$2:$A$2500,$A756)+COUNTIF(connections!$B$2:$B$2500,$A756))</f>
        <v>2</v>
      </c>
      <c r="E756">
        <f t="shared" si="143"/>
        <v>3</v>
      </c>
      <c r="F756">
        <f t="shared" si="144"/>
        <v>8</v>
      </c>
      <c r="G756" t="e">
        <f t="shared" si="145"/>
        <v>#N/A</v>
      </c>
      <c r="H756" t="e">
        <f t="shared" si="146"/>
        <v>#N/A</v>
      </c>
      <c r="I756" t="e">
        <f t="shared" si="147"/>
        <v>#N/A</v>
      </c>
      <c r="J756" t="e">
        <f t="shared" si="148"/>
        <v>#N/A</v>
      </c>
      <c r="K756">
        <f t="shared" si="149"/>
        <v>2025</v>
      </c>
      <c r="L756">
        <f t="shared" si="150"/>
        <v>3.1840000000000002</v>
      </c>
      <c r="M756" t="e">
        <f t="shared" si="151"/>
        <v>#N/A</v>
      </c>
      <c r="N756" t="e">
        <f t="shared" si="152"/>
        <v>#N/A</v>
      </c>
      <c r="O756">
        <f t="shared" si="153"/>
        <v>2.000756</v>
      </c>
      <c r="P756" t="str">
        <f>IF(OR($A756="",games!$H756=""),"",games!$H756)</f>
        <v>Yes</v>
      </c>
      <c r="Q756">
        <f t="shared" si="154"/>
        <v>2.000756</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Steve's Warehouse: Physics. Roguelike. Chaos.</v>
      </c>
      <c r="B757">
        <f>IF($A757="","",games!$B757)</f>
        <v>2025</v>
      </c>
      <c r="C757" t="str">
        <f>IF($A757="","",games!$C757)</f>
        <v>Deckbuilder</v>
      </c>
      <c r="D757">
        <f>IF($A757="","",COUNTIF(connections!$A$2:$A$2500,$A757)+COUNTIF(connections!$B$2:$B$2500,$A757))</f>
        <v>3</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3.0007570000000001</v>
      </c>
      <c r="P757" t="str">
        <f>IF(OR($A757="",games!$H757=""),"",games!$H757)</f>
        <v/>
      </c>
      <c r="Q757" t="str">
        <f t="shared" si="154"/>
        <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Stick It to the Stickman</v>
      </c>
      <c r="B758">
        <f>IF($A758="","",games!$B758)</f>
        <v>2025</v>
      </c>
      <c r="C758" t="str">
        <f>IF($A758="","",games!$C758)</f>
        <v>Action</v>
      </c>
      <c r="D758">
        <f>IF($A758="","",COUNTIF(connections!$A$2:$A$2500,$A758)+COUNTIF(connections!$B$2:$B$2500,$A758))</f>
        <v>0</v>
      </c>
      <c r="E758">
        <f t="shared" si="143"/>
        <v>1</v>
      </c>
      <c r="F758">
        <f t="shared" si="144"/>
        <v>10</v>
      </c>
      <c r="G758">
        <f t="shared" si="145"/>
        <v>2025</v>
      </c>
      <c r="H758">
        <f t="shared" si="146"/>
        <v>1.23</v>
      </c>
      <c r="I758" t="e">
        <f t="shared" si="147"/>
        <v>#N/A</v>
      </c>
      <c r="J758" t="e">
        <f t="shared" si="148"/>
        <v>#N/A</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Stolen Realm Survivors</v>
      </c>
      <c r="B759">
        <f>IF($A759="","",games!$B759)</f>
        <v>2026</v>
      </c>
      <c r="C759" t="str">
        <f>IF($A759="","",games!$C759)</f>
        <v>Action</v>
      </c>
      <c r="D759">
        <f>IF($A759="","",COUNTIF(connections!$A$2:$A$2500,$A759)+COUNTIF(connections!$B$2:$B$2500,$A759))</f>
        <v>3</v>
      </c>
      <c r="E759">
        <f t="shared" si="143"/>
        <v>1</v>
      </c>
      <c r="F759">
        <f t="shared" si="144"/>
        <v>11</v>
      </c>
      <c r="G759">
        <f t="shared" si="145"/>
        <v>2026</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Stoneshard</v>
      </c>
      <c r="B760">
        <f>IF($A760="","",games!$B760)</f>
        <v>2020</v>
      </c>
      <c r="C760" t="str">
        <f>IF($A760="","",games!$C760)</f>
        <v>Traditional</v>
      </c>
      <c r="D760">
        <f>IF($A760="","",COUNTIF(connections!$A$2:$A$2500,$A760)+COUNTIF(connections!$B$2:$B$2500,$A760))</f>
        <v>5</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2020</v>
      </c>
      <c r="N760">
        <f t="shared" si="152"/>
        <v>4.2759999999999998</v>
      </c>
      <c r="O760">
        <f t="shared" si="153"/>
        <v>5.0007599999999996</v>
      </c>
      <c r="P760" t="str">
        <f>IF(OR($A760="",games!$H760=""),"",games!$H760)</f>
        <v/>
      </c>
      <c r="Q760" t="str">
        <f t="shared" si="154"/>
        <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Stories from the Outbreak</v>
      </c>
      <c r="B761">
        <f>IF($A761="","",games!$B761)</f>
        <v>2023</v>
      </c>
      <c r="C761" t="str">
        <f>IF($A761="","",games!$C761)</f>
        <v>Strategy</v>
      </c>
      <c r="D761">
        <f>IF($A761="","",COUNTIF(connections!$A$2:$A$2500,$A761)+COUNTIF(connections!$B$2:$B$2500,$A761))</f>
        <v>0</v>
      </c>
      <c r="E761">
        <f t="shared" si="143"/>
        <v>2</v>
      </c>
      <c r="F761">
        <f t="shared" si="144"/>
        <v>13</v>
      </c>
      <c r="G761" t="e">
        <f t="shared" si="145"/>
        <v>#N/A</v>
      </c>
      <c r="H761" t="e">
        <f t="shared" si="146"/>
        <v>#N/A</v>
      </c>
      <c r="I761">
        <f t="shared" si="147"/>
        <v>2023</v>
      </c>
      <c r="J761">
        <f t="shared" si="148"/>
        <v>2.2989999999999999</v>
      </c>
      <c r="K761" t="e">
        <f t="shared" si="149"/>
        <v>#N/A</v>
      </c>
      <c r="L761" t="e">
        <f t="shared" si="150"/>
        <v>#N/A</v>
      </c>
      <c r="M761" t="e">
        <f t="shared" si="151"/>
        <v>#N/A</v>
      </c>
      <c r="N761" t="e">
        <f t="shared" si="152"/>
        <v>#N/A</v>
      </c>
      <c r="O761">
        <f t="shared" si="153"/>
        <v>7.6099999999999996E-4</v>
      </c>
      <c r="P761" t="str">
        <f>IF(OR($A761="",games!$H761=""),"",games!$H761)</f>
        <v>Yes</v>
      </c>
      <c r="Q761">
        <f t="shared" si="154"/>
        <v>7.6099999999999996E-4</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Strafe</v>
      </c>
      <c r="B762">
        <f>IF($A762="","",games!$B762)</f>
        <v>2017</v>
      </c>
      <c r="C762" t="str">
        <f>IF($A762="","",games!$C762)</f>
        <v>Action</v>
      </c>
      <c r="D762">
        <f>IF($A762="","",COUNTIF(connections!$A$2:$A$2500,$A762)+COUNTIF(connections!$B$2:$B$2500,$A762))</f>
        <v>1</v>
      </c>
      <c r="E762">
        <f t="shared" si="143"/>
        <v>1</v>
      </c>
      <c r="F762">
        <f t="shared" si="144"/>
        <v>14</v>
      </c>
      <c r="G762">
        <f t="shared" si="145"/>
        <v>2017</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Strange Adventures in Infinite Space</v>
      </c>
      <c r="B763">
        <f>IF($A763="","",games!$B763)</f>
        <v>2002</v>
      </c>
      <c r="C763" t="str">
        <f>IF($A763="","",games!$C763)</f>
        <v>Strategy</v>
      </c>
      <c r="D763">
        <f>IF($A763="","",COUNTIF(connections!$A$2:$A$2500,$A763)+COUNTIF(connections!$B$2:$B$2500,$A763))</f>
        <v>3</v>
      </c>
      <c r="E763">
        <f t="shared" si="143"/>
        <v>2</v>
      </c>
      <c r="F763">
        <f t="shared" si="144"/>
        <v>15</v>
      </c>
      <c r="G763" t="e">
        <f t="shared" si="145"/>
        <v>#N/A</v>
      </c>
      <c r="H763" t="e">
        <f t="shared" si="146"/>
        <v>#N/A</v>
      </c>
      <c r="I763">
        <f t="shared" si="147"/>
        <v>2002</v>
      </c>
      <c r="J763">
        <f t="shared" si="148"/>
        <v>2.3449999999999998</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Stray Path</v>
      </c>
      <c r="B764">
        <f>IF($A764="","",games!$B764)</f>
        <v>2025</v>
      </c>
      <c r="C764" t="str">
        <f>IF($A764="","",games!$C764)</f>
        <v>Strategy</v>
      </c>
      <c r="D764">
        <f>IF($A764="","",COUNTIF(connections!$A$2:$A$2500,$A764)+COUNTIF(connections!$B$2:$B$2500,$A764))</f>
        <v>2</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Streets of Rogue</v>
      </c>
      <c r="B765">
        <f>IF($A765="","",games!$B765)</f>
        <v>2019</v>
      </c>
      <c r="C765" t="str">
        <f>IF($A765="","",games!$C765)</f>
        <v>Action</v>
      </c>
      <c r="D765">
        <f>IF($A765="","",COUNTIF(connections!$A$2:$A$2500,$A765)+COUNTIF(connections!$B$2:$B$2500,$A765))</f>
        <v>3</v>
      </c>
      <c r="E765">
        <f t="shared" si="143"/>
        <v>1</v>
      </c>
      <c r="F765">
        <f t="shared" si="144"/>
        <v>17</v>
      </c>
      <c r="G765">
        <f t="shared" si="145"/>
        <v>2019</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SULFUR</v>
      </c>
      <c r="B766">
        <f>IF($A766="","",games!$B766)</f>
        <v>2024</v>
      </c>
      <c r="C766" t="str">
        <f>IF($A766="","",games!$C766)</f>
        <v>Action</v>
      </c>
      <c r="D766">
        <f>IF($A766="","",COUNTIF(connections!$A$2:$A$2500,$A766)+COUNTIF(connections!$B$2:$B$2500,$A766))</f>
        <v>3</v>
      </c>
      <c r="E766">
        <f t="shared" si="143"/>
        <v>1</v>
      </c>
      <c r="F766">
        <f t="shared" si="144"/>
        <v>18</v>
      </c>
      <c r="G766">
        <f t="shared" si="145"/>
        <v>2024</v>
      </c>
      <c r="H766">
        <f t="shared" si="146"/>
        <v>1.4139999999999999</v>
      </c>
      <c r="I766" t="e">
        <f t="shared" si="147"/>
        <v>#N/A</v>
      </c>
      <c r="J766" t="e">
        <f t="shared" si="148"/>
        <v>#N/A</v>
      </c>
      <c r="K766" t="e">
        <f t="shared" si="149"/>
        <v>#N/A</v>
      </c>
      <c r="L766" t="e">
        <f t="shared" si="150"/>
        <v>#N/A</v>
      </c>
      <c r="M766" t="e">
        <f t="shared" si="151"/>
        <v>#N/A</v>
      </c>
      <c r="N766" t="e">
        <f t="shared" si="152"/>
        <v>#N/A</v>
      </c>
      <c r="O766">
        <f t="shared" si="153"/>
        <v>3.000766</v>
      </c>
      <c r="P766" t="str">
        <f>IF(OR($A766="",games!$H766=""),"",games!$H766)</f>
        <v/>
      </c>
      <c r="Q766" t="str">
        <f t="shared" si="154"/>
        <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Sundered</v>
      </c>
      <c r="B767">
        <f>IF($A767="","",games!$B767)</f>
        <v>2017</v>
      </c>
      <c r="C767" t="str">
        <f>IF($A767="","",games!$C767)</f>
        <v>Action</v>
      </c>
      <c r="D767">
        <f>IF($A767="","",COUNTIF(connections!$A$2:$A$2500,$A767)+COUNTIF(connections!$B$2:$B$2500,$A767))</f>
        <v>2</v>
      </c>
      <c r="E767">
        <f t="shared" si="143"/>
        <v>1</v>
      </c>
      <c r="F767">
        <f t="shared" si="144"/>
        <v>19</v>
      </c>
      <c r="G767">
        <f t="shared" si="145"/>
        <v>2017</v>
      </c>
      <c r="H767">
        <f t="shared" si="146"/>
        <v>1.4370000000000001</v>
      </c>
      <c r="I767" t="e">
        <f t="shared" si="147"/>
        <v>#N/A</v>
      </c>
      <c r="J767" t="e">
        <f t="shared" si="148"/>
        <v>#N/A</v>
      </c>
      <c r="K767" t="e">
        <f t="shared" si="149"/>
        <v>#N/A</v>
      </c>
      <c r="L767" t="e">
        <f t="shared" si="150"/>
        <v>#N/A</v>
      </c>
      <c r="M767" t="e">
        <f t="shared" si="151"/>
        <v>#N/A</v>
      </c>
      <c r="N767" t="e">
        <f t="shared" si="152"/>
        <v>#N/A</v>
      </c>
      <c r="O767">
        <f t="shared" si="153"/>
        <v>2.0007670000000002</v>
      </c>
      <c r="P767" t="str">
        <f>IF(OR($A767="",games!$H767=""),"",games!$H767)</f>
        <v>Yes</v>
      </c>
      <c r="Q767">
        <f t="shared" si="154"/>
        <v>2.0007670000000002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Sunless Sea</v>
      </c>
      <c r="B768">
        <f>IF($A768="","",games!$B768)</f>
        <v>2015</v>
      </c>
      <c r="C768" t="str">
        <f>IF($A768="","",games!$C768)</f>
        <v>Strategy</v>
      </c>
      <c r="D768">
        <f>IF($A768="","",COUNTIF(connections!$A$2:$A$2500,$A768)+COUNTIF(connections!$B$2:$B$2500,$A768))</f>
        <v>3</v>
      </c>
      <c r="E768">
        <f t="shared" si="143"/>
        <v>2</v>
      </c>
      <c r="F768">
        <f t="shared" si="144"/>
        <v>20</v>
      </c>
      <c r="G768" t="e">
        <f t="shared" si="145"/>
        <v>#N/A</v>
      </c>
      <c r="H768" t="e">
        <f t="shared" si="146"/>
        <v>#N/A</v>
      </c>
      <c r="I768">
        <f t="shared" si="147"/>
        <v>2015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Super Auto Pets</v>
      </c>
      <c r="B769">
        <f>IF($A769="","",games!$B769)</f>
        <v>2021</v>
      </c>
      <c r="C769" t="str">
        <f>IF($A769="","",games!$C769)</f>
        <v>Strategy</v>
      </c>
      <c r="D769">
        <f>IF($A769="","",COUNTIF(connections!$A$2:$A$2500,$A769)+COUNTIF(connections!$B$2:$B$2500,$A769))</f>
        <v>15</v>
      </c>
      <c r="E769">
        <f t="shared" si="143"/>
        <v>2</v>
      </c>
      <c r="F769">
        <f t="shared" si="144"/>
        <v>21</v>
      </c>
      <c r="G769" t="e">
        <f t="shared" si="145"/>
        <v>#N/A</v>
      </c>
      <c r="H769" t="e">
        <f t="shared" si="146"/>
        <v>#N/A</v>
      </c>
      <c r="I769">
        <f t="shared" si="147"/>
        <v>2021</v>
      </c>
      <c r="J769">
        <f t="shared" si="148"/>
        <v>2.4830000000000001</v>
      </c>
      <c r="K769" t="e">
        <f t="shared" si="149"/>
        <v>#N/A</v>
      </c>
      <c r="L769" t="e">
        <f t="shared" si="150"/>
        <v>#N/A</v>
      </c>
      <c r="M769" t="e">
        <f t="shared" si="151"/>
        <v>#N/A</v>
      </c>
      <c r="N769" t="e">
        <f t="shared" si="152"/>
        <v>#N/A</v>
      </c>
      <c r="O769">
        <f t="shared" si="153"/>
        <v>15.000769</v>
      </c>
      <c r="P769" t="str">
        <f>IF(OR($A769="",games!$H769=""),"",games!$H769)</f>
        <v>Yes</v>
      </c>
      <c r="Q769">
        <f t="shared" si="154"/>
        <v>15.000769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Super Bullet Break</v>
      </c>
      <c r="B770">
        <f>IF($A770="","",games!$B770)</f>
        <v>2022</v>
      </c>
      <c r="C770" t="str">
        <f>IF($A770="","",games!$C770)</f>
        <v>Deckbuilder</v>
      </c>
      <c r="D770">
        <f>IF($A770="","",COUNTIF(connections!$A$2:$A$2500,$A770)+COUNTIF(connections!$B$2:$B$2500,$A770))</f>
        <v>1</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2022</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Fantasy Kingdom</v>
      </c>
      <c r="B771">
        <f>IF($A771="","",games!$B771)</f>
        <v>2025</v>
      </c>
      <c r="C771" t="str">
        <f>IF($A771="","",games!$C771)</f>
        <v>Strategy</v>
      </c>
      <c r="D771">
        <f>IF($A771="","",COUNTIF(connections!$A$2:$A$2500,$A771)+COUNTIF(connections!$B$2:$B$2500,$A771))</f>
        <v>3</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House of Dead Ninjas</v>
      </c>
      <c r="B772">
        <f>IF($A772="","",games!$B772)</f>
        <v>2013</v>
      </c>
      <c r="C772" t="str">
        <f>IF($A772="","",games!$C772)</f>
        <v>Action</v>
      </c>
      <c r="D772">
        <f>IF($A772="","",COUNTIF(connections!$A$2:$A$2500,$A772)+COUNTIF(connections!$B$2:$B$2500,$A772))</f>
        <v>1</v>
      </c>
      <c r="E772">
        <f t="shared" si="156"/>
        <v>1</v>
      </c>
      <c r="F772">
        <f t="shared" si="157"/>
        <v>24</v>
      </c>
      <c r="G772">
        <f t="shared" si="158"/>
        <v>2013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Tax City</v>
      </c>
      <c r="B773">
        <f>IF($A773="","",games!$B773)</f>
        <v>2025</v>
      </c>
      <c r="C773" t="str">
        <f>IF($A773="","",games!$C773)</f>
        <v>Deckbuilder</v>
      </c>
      <c r="D773">
        <f>IF($A773="","",COUNTIF(connections!$A$2:$A$2500,$A773)+COUNTIF(connections!$B$2:$B$2500,$A773))</f>
        <v>2</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2.0007730000000001</v>
      </c>
      <c r="P773" t="str">
        <f>IF(OR($A773="",games!$H773=""),"",games!$H773)</f>
        <v>Yes</v>
      </c>
      <c r="Q773">
        <f t="shared" si="167"/>
        <v>2.0007730000000001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Swapmeat</v>
      </c>
      <c r="B774">
        <f>IF($A774="","",games!$B774)</f>
        <v>2025</v>
      </c>
      <c r="C774" t="str">
        <f>IF($A774="","",games!$C774)</f>
        <v>Action</v>
      </c>
      <c r="D774">
        <f>IF($A774="","",COUNTIF(connections!$A$2:$A$2500,$A774)+COUNTIF(connections!$B$2:$B$2500,$A774))</f>
        <v>3</v>
      </c>
      <c r="E774">
        <f t="shared" si="156"/>
        <v>1</v>
      </c>
      <c r="F774">
        <f t="shared" si="157"/>
        <v>26</v>
      </c>
      <c r="G774">
        <f t="shared" si="158"/>
        <v>2025</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
      </c>
      <c r="Q774" t="str">
        <f t="shared" si="167"/>
        <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Swarm Grinder</v>
      </c>
      <c r="B775">
        <f>IF($A775="","",games!$B775)</f>
        <v>2023</v>
      </c>
      <c r="C775" t="str">
        <f>IF($A775="","",games!$C775)</f>
        <v>Action</v>
      </c>
      <c r="D775">
        <f>IF($A775="","",COUNTIF(connections!$A$2:$A$2500,$A775)+COUNTIF(connections!$B$2:$B$2500,$A775))</f>
        <v>1</v>
      </c>
      <c r="E775">
        <f t="shared" si="156"/>
        <v>1</v>
      </c>
      <c r="F775">
        <f t="shared" si="157"/>
        <v>27</v>
      </c>
      <c r="G775">
        <f t="shared" si="158"/>
        <v>2023</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Switchcars</v>
      </c>
      <c r="B776">
        <f>IF($A776="","",games!$B776)</f>
        <v>2016</v>
      </c>
      <c r="C776" t="str">
        <f>IF($A776="","",games!$C776)</f>
        <v>Action</v>
      </c>
      <c r="D776">
        <f>IF($A776="","",COUNTIF(connections!$A$2:$A$2500,$A776)+COUNTIF(connections!$B$2:$B$2500,$A776))</f>
        <v>3</v>
      </c>
      <c r="E776">
        <f t="shared" si="156"/>
        <v>1</v>
      </c>
      <c r="F776">
        <f t="shared" si="157"/>
        <v>28</v>
      </c>
      <c r="G776">
        <f t="shared" si="158"/>
        <v>2016</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Sword of Fargoal</v>
      </c>
      <c r="B777">
        <f>IF($A777="","",games!$B777)</f>
        <v>1982</v>
      </c>
      <c r="C777" t="str">
        <f>IF($A777="","",games!$C777)</f>
        <v>Traditional</v>
      </c>
      <c r="D777">
        <f>IF($A777="","",COUNTIF(connections!$A$2:$A$2500,$A777)+COUNTIF(connections!$B$2:$B$2500,$A777))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1982</v>
      </c>
      <c r="N777">
        <f t="shared" si="165"/>
        <v>4.6669999999999998</v>
      </c>
      <c r="O777">
        <f t="shared" si="166"/>
        <v>1.000777</v>
      </c>
      <c r="P777" t="str">
        <f>IF(OR($A777="",games!$H777=""),"",games!$H777)</f>
        <v/>
      </c>
      <c r="Q777" t="str">
        <f t="shared" si="167"/>
        <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Sword of the Necromancer</v>
      </c>
      <c r="B778">
        <f>IF($A778="","",games!$B778)</f>
        <v>2021</v>
      </c>
      <c r="C778" t="str">
        <f>IF($A778="","",games!$C778)</f>
        <v>Action</v>
      </c>
      <c r="D778">
        <f>IF($A778="","",COUNTIF(connections!$A$2:$A$2500,$A778)+COUNTIF(connections!$B$2:$B$2500,$A778))</f>
        <v>3</v>
      </c>
      <c r="E778">
        <f t="shared" si="156"/>
        <v>1</v>
      </c>
      <c r="F778">
        <f t="shared" si="157"/>
        <v>30</v>
      </c>
      <c r="G778">
        <f t="shared" si="158"/>
        <v>2021</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the Necromancer: Resurrection</v>
      </c>
      <c r="B779">
        <f>IF($A779="","",games!$B779)</f>
        <v>2025</v>
      </c>
      <c r="C779" t="str">
        <f>IF($A779="","",games!$C779)</f>
        <v>Action</v>
      </c>
      <c r="D779">
        <f>IF($A779="","",COUNTIF(connections!$A$2:$A$2500,$A779)+COUNTIF(connections!$B$2:$B$2500,$A779))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Stars: The Pit</v>
      </c>
      <c r="B780">
        <f>IF($A780="","",games!$B780)</f>
        <v>2013</v>
      </c>
      <c r="C780" t="str">
        <f>IF($A780="","",games!$C780)</f>
        <v>Traditional</v>
      </c>
      <c r="D780">
        <f>IF($A780="","",COUNTIF(connections!$A$2:$A$2500,$A780)+COUNTIF(connections!$B$2:$B$2500,$A780))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2013</v>
      </c>
      <c r="N780">
        <f t="shared" si="165"/>
        <v>4.7359999999999998</v>
      </c>
      <c r="O780">
        <f t="shared" si="166"/>
        <v>3.0007799999999998</v>
      </c>
      <c r="P780" t="str">
        <f>IF(OR($A780="",games!$H780=""),"",games!$H780)</f>
        <v/>
      </c>
      <c r="Q780" t="str">
        <f t="shared" si="167"/>
        <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Swordship</v>
      </c>
      <c r="B781">
        <f>IF($A781="","",games!$B781)</f>
        <v>2022</v>
      </c>
      <c r="C781" t="str">
        <f>IF($A781="","",games!$C781)</f>
        <v>Action</v>
      </c>
      <c r="D781">
        <f>IF($A781="","",COUNTIF(connections!$A$2:$A$2500,$A781)+COUNTIF(connections!$B$2:$B$2500,$A781))</f>
        <v>1</v>
      </c>
      <c r="E781">
        <f t="shared" si="156"/>
        <v>1</v>
      </c>
      <c r="F781">
        <f t="shared" si="157"/>
        <v>33</v>
      </c>
      <c r="G781">
        <f t="shared" si="158"/>
        <v>2022</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Yes</v>
      </c>
      <c r="Q781">
        <f t="shared" si="167"/>
        <v>1.0007809999999999</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Sworn</v>
      </c>
      <c r="B782">
        <f>IF($A782="","",games!$B782)</f>
        <v>2025</v>
      </c>
      <c r="C782" t="str">
        <f>IF($A782="","",games!$C782)</f>
        <v>Action</v>
      </c>
      <c r="D782">
        <f>IF($A782="","",COUNTIF(connections!$A$2:$A$2500,$A782)+COUNTIF(connections!$B$2:$B$2500,$A782))</f>
        <v>1</v>
      </c>
      <c r="E782">
        <f t="shared" si="156"/>
        <v>1</v>
      </c>
      <c r="F782">
        <f t="shared" si="157"/>
        <v>0</v>
      </c>
      <c r="G782">
        <f t="shared" si="158"/>
        <v>2025</v>
      </c>
      <c r="H782">
        <f t="shared" si="159"/>
        <v>1</v>
      </c>
      <c r="I782" t="e">
        <f t="shared" si="160"/>
        <v>#N/A</v>
      </c>
      <c r="J782" t="e">
        <f t="shared" si="161"/>
        <v>#N/A</v>
      </c>
      <c r="K782" t="e">
        <f t="shared" si="162"/>
        <v>#N/A</v>
      </c>
      <c r="L782" t="e">
        <f t="shared" si="163"/>
        <v>#N/A</v>
      </c>
      <c r="M782" t="e">
        <f t="shared" si="164"/>
        <v>#N/A</v>
      </c>
      <c r="N782" t="e">
        <f t="shared" si="165"/>
        <v>#N/A</v>
      </c>
      <c r="O782">
        <f t="shared" si="166"/>
        <v>1.0007820000000001</v>
      </c>
      <c r="P782" t="str">
        <f>IF(OR($A782="",games!$H782=""),"",games!$H782)</f>
        <v>Yes</v>
      </c>
      <c r="Q782">
        <f t="shared" si="167"/>
        <v>1.0007820000000001</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Synthetik 2</v>
      </c>
      <c r="B783">
        <f>IF($A783="","",games!$B783)</f>
        <v>2021</v>
      </c>
      <c r="C783" t="str">
        <f>IF($A783="","",games!$C783)</f>
        <v>Action</v>
      </c>
      <c r="D783">
        <f>IF($A783="","",COUNTIF(connections!$A$2:$A$2500,$A783)+COUNTIF(connections!$B$2:$B$2500,$A783))</f>
        <v>1</v>
      </c>
      <c r="E783">
        <f t="shared" si="156"/>
        <v>1</v>
      </c>
      <c r="F783">
        <f t="shared" si="157"/>
        <v>1</v>
      </c>
      <c r="G783">
        <f t="shared" si="158"/>
        <v>2021</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Synthetik: Legion Rising</v>
      </c>
      <c r="B784">
        <f>IF($A784="","",games!$B784)</f>
        <v>2018</v>
      </c>
      <c r="C784" t="str">
        <f>IF($A784="","",games!$C784)</f>
        <v>Action</v>
      </c>
      <c r="D784">
        <f>IF($A784="","",COUNTIF(connections!$A$2:$A$2500,$A784)+COUNTIF(connections!$B$2:$B$2500,$A784))</f>
        <v>2</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Tabletop Tavern</v>
      </c>
      <c r="B785">
        <f>IF($A785="","",games!$B785)</f>
        <v>2026</v>
      </c>
      <c r="C785" t="str">
        <f>IF($A785="","",games!$C785)</f>
        <v>Strategy</v>
      </c>
      <c r="D785">
        <f>IF($A785="","",COUNTIF(connections!$A$2:$A$2500,$A785)+COUNTIF(connections!$B$2:$B$2500,$A785))</f>
        <v>5</v>
      </c>
      <c r="E785">
        <f t="shared" si="156"/>
        <v>2</v>
      </c>
      <c r="F785">
        <f t="shared" si="157"/>
        <v>3</v>
      </c>
      <c r="G785" t="e">
        <f t="shared" si="158"/>
        <v>#N/A</v>
      </c>
      <c r="H785" t="e">
        <f t="shared" si="159"/>
        <v>#N/A</v>
      </c>
      <c r="I785">
        <f t="shared" si="160"/>
        <v>2026</v>
      </c>
      <c r="J785">
        <f t="shared" si="161"/>
        <v>2.069</v>
      </c>
      <c r="K785" t="e">
        <f t="shared" si="162"/>
        <v>#N/A</v>
      </c>
      <c r="L785" t="e">
        <f t="shared" si="163"/>
        <v>#N/A</v>
      </c>
      <c r="M785" t="e">
        <f t="shared" si="164"/>
        <v>#N/A</v>
      </c>
      <c r="N785" t="e">
        <f t="shared" si="165"/>
        <v>#N/A</v>
      </c>
      <c r="O785">
        <f t="shared" si="166"/>
        <v>5.0007849999999996</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Tainted Grail: Conquest</v>
      </c>
      <c r="B786">
        <f>IF($A786="","",games!$B786)</f>
        <v>2020</v>
      </c>
      <c r="C786" t="str">
        <f>IF($A786="","",games!$C786)</f>
        <v>Deckbuilder</v>
      </c>
      <c r="D786">
        <f>IF($A786="","",COUNTIF(connections!$A$2:$A$2500,$A786)+COUNTIF(connections!$B$2:$B$2500,$A786))</f>
        <v>1</v>
      </c>
      <c r="E786">
        <f t="shared" si="156"/>
        <v>3</v>
      </c>
      <c r="F786">
        <f t="shared" si="157"/>
        <v>4</v>
      </c>
      <c r="G786" t="e">
        <f t="shared" si="158"/>
        <v>#N/A</v>
      </c>
      <c r="H786" t="e">
        <f t="shared" si="159"/>
        <v>#N/A</v>
      </c>
      <c r="I786" t="e">
        <f t="shared" si="160"/>
        <v>#N/A</v>
      </c>
      <c r="J786" t="e">
        <f t="shared" si="161"/>
        <v>#N/A</v>
      </c>
      <c r="K786">
        <f t="shared" si="162"/>
        <v>2020</v>
      </c>
      <c r="L786">
        <f t="shared" si="163"/>
        <v>3.0920000000000001</v>
      </c>
      <c r="M786" t="e">
        <f t="shared" si="164"/>
        <v>#N/A</v>
      </c>
      <c r="N786" t="e">
        <f t="shared" si="165"/>
        <v>#N/A</v>
      </c>
      <c r="O786">
        <f t="shared" si="166"/>
        <v>1.000786</v>
      </c>
      <c r="P786" t="str">
        <f>IF(OR($A786="",games!$H786=""),"",games!$H786)</f>
        <v>Yes</v>
      </c>
      <c r="Q786">
        <f t="shared" si="167"/>
        <v>1.000786</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Talented</v>
      </c>
      <c r="B787">
        <f>IF($A787="","",games!$B787)</f>
        <v>2023</v>
      </c>
      <c r="C787" t="str">
        <f>IF($A787="","",games!$C787)</f>
        <v>Action</v>
      </c>
      <c r="D787">
        <f>IF($A787="","",COUNTIF(connections!$A$2:$A$2500,$A787)+COUNTIF(connections!$B$2:$B$2500,$A787))</f>
        <v>3</v>
      </c>
      <c r="E787">
        <f t="shared" si="156"/>
        <v>1</v>
      </c>
      <c r="F787">
        <f t="shared" si="157"/>
        <v>5</v>
      </c>
      <c r="G787">
        <f t="shared" si="158"/>
        <v>2023</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Yes</v>
      </c>
      <c r="Q787">
        <f t="shared" si="167"/>
        <v>3.0007869999999999</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Tales of Maj'Eyal</v>
      </c>
      <c r="B788">
        <f>IF($A788="","",games!$B788)</f>
        <v>1998</v>
      </c>
      <c r="C788" t="str">
        <f>IF($A788="","",games!$C788)</f>
        <v>Traditional</v>
      </c>
      <c r="D788">
        <f>IF($A788="","",COUNTIF(connections!$A$2:$A$2500,$A788)+COUNTIF(connections!$B$2:$B$2500,$A788))</f>
        <v>9</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1998</v>
      </c>
      <c r="N788">
        <f t="shared" si="165"/>
        <v>4.1379999999999999</v>
      </c>
      <c r="O788">
        <f t="shared" si="166"/>
        <v>9.000788</v>
      </c>
      <c r="P788" t="str">
        <f>IF(OR($A788="",games!$H788=""),"",games!$H788)</f>
        <v>Yes</v>
      </c>
      <c r="Q788">
        <f t="shared" si="167"/>
        <v>9.000788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Talespinner</v>
      </c>
      <c r="B789">
        <f>IF($A789="","",games!$B789)</f>
        <v>2026</v>
      </c>
      <c r="C789" t="str">
        <f>IF($A789="","",games!$C789)</f>
        <v>Deckbuilder</v>
      </c>
      <c r="D789">
        <f>IF($A789="","",COUNTIF(connections!$A$2:$A$2500,$A789)+COUNTIF(connections!$B$2:$B$2500,$A789))</f>
        <v>1</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1.0007889999999999</v>
      </c>
      <c r="P789" t="str">
        <f>IF(OR($A789="",games!$H789=""),"",games!$H789)</f>
        <v/>
      </c>
      <c r="Q789" t="str">
        <f t="shared" si="167"/>
        <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Tangledeep</v>
      </c>
      <c r="B790">
        <f>IF($A790="","",games!$B790)</f>
        <v>2017</v>
      </c>
      <c r="C790" t="str">
        <f>IF($A790="","",games!$C790)</f>
        <v>Traditional</v>
      </c>
      <c r="D790">
        <f>IF($A790="","",COUNTIF(connections!$A$2:$A$2500,$A790)+COUNTIF(connections!$B$2:$B$2500,$A790))</f>
        <v>4</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2017</v>
      </c>
      <c r="N790">
        <f t="shared" si="165"/>
        <v>4.1840000000000002</v>
      </c>
      <c r="O790">
        <f t="shared" si="166"/>
        <v>4.0007900000000003</v>
      </c>
      <c r="P790" t="str">
        <f>IF(OR($A790="",games!$H790=""),"",games!$H790)</f>
        <v>Yes</v>
      </c>
      <c r="Q790">
        <f t="shared" si="167"/>
        <v>4.0007900000000003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Tangy TD</v>
      </c>
      <c r="B791">
        <f>IF($A791="","",games!$B791)</f>
        <v>2026</v>
      </c>
      <c r="C791" t="str">
        <f>IF($A791="","",games!$C791)</f>
        <v>Strategy</v>
      </c>
      <c r="D791">
        <f>IF($A791="","",COUNTIF(connections!$A$2:$A$2500,$A791)+COUNTIF(connections!$B$2:$B$2500,$A791))</f>
        <v>0</v>
      </c>
      <c r="E791">
        <f t="shared" si="156"/>
        <v>2</v>
      </c>
      <c r="F791">
        <f t="shared" si="157"/>
        <v>9</v>
      </c>
      <c r="G791" t="e">
        <f t="shared" si="158"/>
        <v>#N/A</v>
      </c>
      <c r="H791" t="e">
        <f t="shared" si="159"/>
        <v>#N/A</v>
      </c>
      <c r="I791">
        <f t="shared" si="160"/>
        <v>2026</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Tao's Adventure: Curse of the Demon Seal</v>
      </c>
      <c r="B792">
        <f>IF($A792="","",games!$B792)</f>
        <v>2006</v>
      </c>
      <c r="C792" t="str">
        <f>IF($A792="","",games!$C792)</f>
        <v>Traditional</v>
      </c>
      <c r="D792">
        <f>IF($A792="","",COUNTIF(connections!$A$2:$A$2500,$A792)+COUNTIF(connections!$B$2:$B$2500,$A792))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2006</v>
      </c>
      <c r="N792">
        <f t="shared" si="165"/>
        <v>4.2300000000000004</v>
      </c>
      <c r="O792">
        <f t="shared" si="166"/>
        <v>1.0007919999999999</v>
      </c>
      <c r="P792" t="str">
        <f>IF(OR($A792="",games!$H792=""),"",games!$H792)</f>
        <v>Yes</v>
      </c>
      <c r="Q792">
        <f t="shared" si="167"/>
        <v>1.0007919999999999</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Tape to Tape</v>
      </c>
      <c r="B793">
        <f>IF($A793="","",games!$B793)</f>
        <v>2023</v>
      </c>
      <c r="C793" t="str">
        <f>IF($A793="","",games!$C793)</f>
        <v>Action</v>
      </c>
      <c r="D793">
        <f>IF($A793="","",COUNTIF(connections!$A$2:$A$2500,$A793)+COUNTIF(connections!$B$2:$B$2500,$A793))</f>
        <v>3</v>
      </c>
      <c r="E793">
        <f t="shared" si="156"/>
        <v>1</v>
      </c>
      <c r="F793">
        <f t="shared" si="157"/>
        <v>11</v>
      </c>
      <c r="G793">
        <f t="shared" si="158"/>
        <v>2023</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Teamfight Tactics</v>
      </c>
      <c r="B794">
        <f>IF($A794="","",games!$B794)</f>
        <v>2019</v>
      </c>
      <c r="C794" t="str">
        <f>IF($A794="","",games!$C794)</f>
        <v>Strategy</v>
      </c>
      <c r="D794">
        <f>IF($A794="","",COUNTIF(connections!$A$2:$A$2500,$A794)+COUNTIF(connections!$B$2:$B$2500,$A794))</f>
        <v>7</v>
      </c>
      <c r="E794">
        <f t="shared" si="156"/>
        <v>2</v>
      </c>
      <c r="F794">
        <f t="shared" si="157"/>
        <v>12</v>
      </c>
      <c r="G794" t="e">
        <f t="shared" si="158"/>
        <v>#N/A</v>
      </c>
      <c r="H794" t="e">
        <f t="shared" si="159"/>
        <v>#N/A</v>
      </c>
      <c r="I794">
        <f t="shared" si="160"/>
        <v>2019</v>
      </c>
      <c r="J794">
        <f t="shared" si="161"/>
        <v>2.2759999999999998</v>
      </c>
      <c r="K794" t="e">
        <f t="shared" si="162"/>
        <v>#N/A</v>
      </c>
      <c r="L794" t="e">
        <f t="shared" si="163"/>
        <v>#N/A</v>
      </c>
      <c r="M794" t="e">
        <f t="shared" si="164"/>
        <v>#N/A</v>
      </c>
      <c r="N794" t="e">
        <f t="shared" si="165"/>
        <v>#N/A</v>
      </c>
      <c r="O794">
        <f t="shared" si="166"/>
        <v>7.000794</v>
      </c>
      <c r="P794" t="str">
        <f>IF(OR($A794="",games!$H794=""),"",games!$H794)</f>
        <v/>
      </c>
      <c r="Q794" t="str">
        <f t="shared" si="167"/>
        <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Tears of Metal</v>
      </c>
      <c r="B795">
        <f>IF($A795="","",games!$B795)</f>
        <v>2026</v>
      </c>
      <c r="C795" t="str">
        <f>IF($A795="","",games!$C795)</f>
        <v>Action</v>
      </c>
      <c r="D795">
        <f>IF($A795="","",COUNTIF(connections!$A$2:$A$2500,$A795)+COUNTIF(connections!$B$2:$B$2500,$A795))</f>
        <v>1</v>
      </c>
      <c r="E795">
        <f t="shared" si="156"/>
        <v>1</v>
      </c>
      <c r="F795">
        <f t="shared" si="157"/>
        <v>13</v>
      </c>
      <c r="G795">
        <f t="shared" si="158"/>
        <v>2026</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Teenage Mutant Ninja Turtles: Splintered Fate</v>
      </c>
      <c r="B796">
        <f>IF($A796="","",games!$B796)</f>
        <v>2024</v>
      </c>
      <c r="C796" t="str">
        <f>IF($A796="","",games!$C796)</f>
        <v>Action</v>
      </c>
      <c r="D796">
        <f>IF($A796="","",COUNTIF(connections!$A$2:$A$2500,$A796)+COUNTIF(connections!$B$2:$B$2500,$A796))</f>
        <v>3</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3.0007959999999998</v>
      </c>
      <c r="P796" t="str">
        <f>IF(OR($A796="",games!$H796=""),"",games!$H796)</f>
        <v>Yes</v>
      </c>
      <c r="Q796">
        <f t="shared" si="167"/>
        <v>3.0007959999999998</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Temtem: Swarm</v>
      </c>
      <c r="B797">
        <f>IF($A797="","",games!$B797)</f>
        <v>2024</v>
      </c>
      <c r="C797" t="str">
        <f>IF($A797="","",games!$C797)</f>
        <v>Action</v>
      </c>
      <c r="D797">
        <f>IF($A797="","",COUNTIF(connections!$A$2:$A$2500,$A797)+COUNTIF(connections!$B$2:$B$2500,$A797))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Terraformers</v>
      </c>
      <c r="B798">
        <f>IF($A798="","",games!$B798)</f>
        <v>2022</v>
      </c>
      <c r="C798" t="str">
        <f>IF($A798="","",games!$C798)</f>
        <v>Strategy</v>
      </c>
      <c r="D798">
        <f>IF($A798="","",COUNTIF(connections!$A$2:$A$2500,$A798)+COUNTIF(connections!$B$2:$B$2500,$A798))</f>
        <v>1</v>
      </c>
      <c r="E798">
        <f t="shared" si="156"/>
        <v>2</v>
      </c>
      <c r="F798">
        <f t="shared" si="157"/>
        <v>16</v>
      </c>
      <c r="G798" t="e">
        <f t="shared" si="158"/>
        <v>#N/A</v>
      </c>
      <c r="H798" t="e">
        <f t="shared" si="159"/>
        <v>#N/A</v>
      </c>
      <c r="I798">
        <f t="shared" si="160"/>
        <v>2022</v>
      </c>
      <c r="J798">
        <f t="shared" si="161"/>
        <v>2.3679999999999999</v>
      </c>
      <c r="K798" t="e">
        <f t="shared" si="162"/>
        <v>#N/A</v>
      </c>
      <c r="L798" t="e">
        <f t="shared" si="163"/>
        <v>#N/A</v>
      </c>
      <c r="M798" t="e">
        <f t="shared" si="164"/>
        <v>#N/A</v>
      </c>
      <c r="N798" t="e">
        <f t="shared" si="165"/>
        <v>#N/A</v>
      </c>
      <c r="O798">
        <f t="shared" si="166"/>
        <v>1.0007980000000001</v>
      </c>
      <c r="P798" t="str">
        <f>IF(OR($A798="",games!$H798=""),"",games!$H798)</f>
        <v>Yes</v>
      </c>
      <c r="Q798">
        <f t="shared" si="167"/>
        <v>1.0007980000000001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TerraTech Legion</v>
      </c>
      <c r="B799">
        <f>IF($A799="","",games!$B799)</f>
        <v>2026</v>
      </c>
      <c r="C799" t="str">
        <f>IF($A799="","",games!$C799)</f>
        <v>Action</v>
      </c>
      <c r="D799">
        <f>IF($A799="","",COUNTIF(connections!$A$2:$A$2500,$A799)+COUNTIF(connections!$B$2:$B$2500,$A799))</f>
        <v>1</v>
      </c>
      <c r="E799">
        <f t="shared" si="156"/>
        <v>1</v>
      </c>
      <c r="F799">
        <f t="shared" si="157"/>
        <v>17</v>
      </c>
      <c r="G799">
        <f t="shared" si="158"/>
        <v>2026</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TerRoguelike</v>
      </c>
      <c r="B800">
        <f>IF($A800="","",games!$B800)</f>
        <v>2024</v>
      </c>
      <c r="C800" t="str">
        <f>IF($A800="","",games!$C800)</f>
        <v>Action</v>
      </c>
      <c r="D800">
        <f>IF($A800="","",COUNTIF(connections!$A$2:$A$2500,$A800)+COUNTIF(connections!$B$2:$B$2500,$A800))</f>
        <v>1</v>
      </c>
      <c r="E800">
        <f t="shared" si="156"/>
        <v>1</v>
      </c>
      <c r="F800">
        <f t="shared" si="157"/>
        <v>18</v>
      </c>
      <c r="G800">
        <f t="shared" si="158"/>
        <v>2024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The Bazaar</v>
      </c>
      <c r="B801">
        <f>IF($A801="","",games!$B801)</f>
        <v>2025</v>
      </c>
      <c r="C801" t="str">
        <f>IF($A801="","",games!$C801)</f>
        <v>Strategy</v>
      </c>
      <c r="D801">
        <f>IF($A801="","",COUNTIF(connections!$A$2:$A$2500,$A801)+COUNTIF(connections!$B$2:$B$2500,$A801))</f>
        <v>5</v>
      </c>
      <c r="E801">
        <f t="shared" si="156"/>
        <v>2</v>
      </c>
      <c r="F801">
        <f t="shared" si="157"/>
        <v>19</v>
      </c>
      <c r="G801" t="e">
        <f t="shared" si="158"/>
        <v>#N/A</v>
      </c>
      <c r="H801" t="e">
        <f t="shared" si="159"/>
        <v>#N/A</v>
      </c>
      <c r="I801">
        <f t="shared" si="160"/>
        <v>2025</v>
      </c>
      <c r="J801">
        <f t="shared" si="161"/>
        <v>2.4369999999999998</v>
      </c>
      <c r="K801" t="e">
        <f t="shared" si="162"/>
        <v>#N/A</v>
      </c>
      <c r="L801" t="e">
        <f t="shared" si="163"/>
        <v>#N/A</v>
      </c>
      <c r="M801" t="e">
        <f t="shared" si="164"/>
        <v>#N/A</v>
      </c>
      <c r="N801" t="e">
        <f t="shared" si="165"/>
        <v>#N/A</v>
      </c>
      <c r="O801">
        <f t="shared" si="166"/>
        <v>5.0008010000000001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The Binding of Isaac</v>
      </c>
      <c r="B802">
        <f>IF($A802="","",games!$B802)</f>
        <v>2011</v>
      </c>
      <c r="C802" t="str">
        <f>IF($A802="","",games!$C802)</f>
        <v>Action</v>
      </c>
      <c r="D802">
        <f>IF($A802="","",COUNTIF(connections!$A$2:$A$2500,$A802)+COUNTIF(connections!$B$2:$B$2500,$A802))</f>
        <v>80</v>
      </c>
      <c r="E802">
        <f t="shared" si="156"/>
        <v>1</v>
      </c>
      <c r="F802">
        <f t="shared" si="157"/>
        <v>20</v>
      </c>
      <c r="G802">
        <f t="shared" si="158"/>
        <v>2011</v>
      </c>
      <c r="H802">
        <f t="shared" si="159"/>
        <v>1.46</v>
      </c>
      <c r="I802" t="e">
        <f t="shared" si="160"/>
        <v>#N/A</v>
      </c>
      <c r="J802" t="e">
        <f t="shared" si="161"/>
        <v>#N/A</v>
      </c>
      <c r="K802" t="e">
        <f t="shared" si="162"/>
        <v>#N/A</v>
      </c>
      <c r="L802" t="e">
        <f t="shared" si="163"/>
        <v>#N/A</v>
      </c>
      <c r="M802" t="e">
        <f t="shared" si="164"/>
        <v>#N/A</v>
      </c>
      <c r="N802" t="e">
        <f t="shared" si="165"/>
        <v>#N/A</v>
      </c>
      <c r="O802">
        <f t="shared" si="166"/>
        <v>80.000801999999993</v>
      </c>
      <c r="P802" t="str">
        <f>IF(OR($A802="",games!$H802=""),"",games!$H802)</f>
        <v>Yes</v>
      </c>
      <c r="Q802">
        <f t="shared" si="167"/>
        <v>80.000801999999993</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Binding of Isaac: Rebirth</v>
      </c>
      <c r="B803">
        <f>IF($A803="","",games!$B803)</f>
        <v>2014</v>
      </c>
      <c r="C803" t="str">
        <f>IF($A803="","",games!$C803)</f>
        <v>Action</v>
      </c>
      <c r="D803">
        <f>IF($A803="","",COUNTIF(connections!$A$2:$A$2500,$A803)+COUNTIF(connections!$B$2:$B$2500,$A803))</f>
        <v>1</v>
      </c>
      <c r="E803">
        <f t="shared" si="156"/>
        <v>1</v>
      </c>
      <c r="F803">
        <f t="shared" si="157"/>
        <v>21</v>
      </c>
      <c r="G803">
        <f t="shared" si="158"/>
        <v>2014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Doors of Trithius</v>
      </c>
      <c r="B804">
        <f>IF($A804="","",games!$B804)</f>
        <v>2021</v>
      </c>
      <c r="C804" t="str">
        <f>IF($A804="","",games!$C804)</f>
        <v>Traditional</v>
      </c>
      <c r="D804">
        <f>IF($A804="","",COUNTIF(connections!$A$2:$A$2500,$A804)+COUNTIF(connections!$B$2:$B$2500,$A804))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2021</v>
      </c>
      <c r="N804">
        <f t="shared" si="165"/>
        <v>4.5060000000000002</v>
      </c>
      <c r="O804">
        <f t="shared" si="166"/>
        <v>3.000804</v>
      </c>
      <c r="P804" t="str">
        <f>IF(OR($A804="",games!$H804=""),"",games!$H804)</f>
        <v/>
      </c>
      <c r="Q804" t="str">
        <f t="shared" si="167"/>
        <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Dungeon RPG</v>
      </c>
      <c r="B805">
        <f>IF($A805="","",games!$B805)</f>
        <v>2000</v>
      </c>
      <c r="C805" t="str">
        <f>IF($A805="","",games!$C805)</f>
        <v>Traditional</v>
      </c>
      <c r="D805">
        <f>IF($A805="","",COUNTIF(connections!$A$2:$A$2500,$A805)+COUNTIF(connections!$B$2:$B$2500,$A805))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2000</v>
      </c>
      <c r="N805">
        <f t="shared" si="165"/>
        <v>4.5289999999999999</v>
      </c>
      <c r="O805">
        <f t="shared" si="166"/>
        <v>4.0008049999999997</v>
      </c>
      <c r="P805" t="str">
        <f>IF(OR($A805="",games!$H805=""),"",games!$H805)</f>
        <v>Yes</v>
      </c>
      <c r="Q805">
        <f t="shared" si="167"/>
        <v>4.0008049999999997</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Fable: Manga Build Roguelike</v>
      </c>
      <c r="B806">
        <f>IF($A806="","",games!$B806)</f>
        <v>2025</v>
      </c>
      <c r="C806" t="str">
        <f>IF($A806="","",games!$C806)</f>
        <v>Deckbuilder</v>
      </c>
      <c r="D806">
        <f>IF($A806="","",COUNTIF(connections!$A$2:$A$2500,$A806)+COUNTIF(connections!$B$2:$B$2500,$A806))</f>
        <v>0</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8.0599999999999997E-4</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Flame in the Flood</v>
      </c>
      <c r="B807">
        <f>IF($A807="","",games!$B807)</f>
        <v>2016</v>
      </c>
      <c r="C807" t="str">
        <f>IF($A807="","",games!$C807)</f>
        <v>Action</v>
      </c>
      <c r="D807">
        <f>IF($A807="","",COUNTIF(connections!$A$2:$A$2500,$A807)+COUNTIF(connections!$B$2:$B$2500,$A807))</f>
        <v>1</v>
      </c>
      <c r="E807">
        <f t="shared" si="156"/>
        <v>1</v>
      </c>
      <c r="F807">
        <f t="shared" si="157"/>
        <v>25</v>
      </c>
      <c r="G807">
        <f t="shared" si="158"/>
        <v>2016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Ground Gives Way</v>
      </c>
      <c r="B808">
        <f>IF($A808="","",games!$B808)</f>
        <v>2014</v>
      </c>
      <c r="C808" t="str">
        <f>IF($A808="","",games!$C808)</f>
        <v>Traditional</v>
      </c>
      <c r="D808">
        <f>IF($A808="","",COUNTIF(connections!$A$2:$A$2500,$A808)+COUNTIF(connections!$B$2:$B$2500,$A808))</f>
        <v>4</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2014</v>
      </c>
      <c r="N808">
        <f t="shared" si="165"/>
        <v>4.5979999999999999</v>
      </c>
      <c r="O808">
        <f t="shared" si="166"/>
        <v>4.0008080000000001</v>
      </c>
      <c r="P808" t="str">
        <f>IF(OR($A808="",games!$H808=""),"",games!$H808)</f>
        <v>Yes</v>
      </c>
      <c r="Q808">
        <f t="shared" si="167"/>
        <v>4.0008080000000001</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Guided Fate Paradox</v>
      </c>
      <c r="B809">
        <f>IF($A809="","",games!$B809)</f>
        <v>2013</v>
      </c>
      <c r="C809" t="str">
        <f>IF($A809="","",games!$C809)</f>
        <v>Traditional</v>
      </c>
      <c r="D809">
        <f>IF($A809="","",COUNTIF(connections!$A$2:$A$2500,$A809)+COUNTIF(connections!$B$2:$B$2500,$A809))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2013</v>
      </c>
      <c r="N809">
        <f t="shared" si="165"/>
        <v>4.6210000000000004</v>
      </c>
      <c r="O809">
        <f t="shared" si="166"/>
        <v>1.0008090000000001</v>
      </c>
      <c r="P809" t="str">
        <f>IF(OR($A809="",games!$H809=""),"",games!$H809)</f>
        <v/>
      </c>
      <c r="Q809" t="str">
        <f t="shared" si="167"/>
        <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King is Watching</v>
      </c>
      <c r="B810">
        <f>IF($A810="","",games!$B810)</f>
        <v>2025</v>
      </c>
      <c r="C810" t="str">
        <f>IF($A810="","",games!$C810)</f>
        <v>Strategy</v>
      </c>
      <c r="D810">
        <f>IF($A810="","",COUNTIF(connections!$A$2:$A$2500,$A810)+COUNTIF(connections!$B$2:$B$2500,$A810))</f>
        <v>0</v>
      </c>
      <c r="E810">
        <f t="shared" si="156"/>
        <v>2</v>
      </c>
      <c r="F810">
        <f t="shared" si="157"/>
        <v>28</v>
      </c>
      <c r="G810" t="e">
        <f t="shared" si="158"/>
        <v>#N/A</v>
      </c>
      <c r="H810" t="e">
        <f t="shared" si="159"/>
        <v>#N/A</v>
      </c>
      <c r="I810">
        <f t="shared" si="160"/>
        <v>2025</v>
      </c>
      <c r="J810">
        <f t="shared" si="161"/>
        <v>2.6440000000000001</v>
      </c>
      <c r="K810" t="e">
        <f t="shared" si="162"/>
        <v>#N/A</v>
      </c>
      <c r="L810" t="e">
        <f t="shared" si="163"/>
        <v>#N/A</v>
      </c>
      <c r="M810" t="e">
        <f t="shared" si="164"/>
        <v>#N/A</v>
      </c>
      <c r="N810" t="e">
        <f t="shared" si="165"/>
        <v>#N/A</v>
      </c>
      <c r="O810">
        <f t="shared" si="166"/>
        <v>8.0999999999999996E-4</v>
      </c>
      <c r="P810" t="str">
        <f>IF(OR($A810="",games!$H810=""),"",games!$H810)</f>
        <v>Yes</v>
      </c>
      <c r="Q810">
        <f t="shared" si="167"/>
        <v>8.0999999999999996E-4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Last Flame</v>
      </c>
      <c r="B811">
        <f>IF($A811="","",games!$B811)</f>
        <v>2024</v>
      </c>
      <c r="C811" t="str">
        <f>IF($A811="","",games!$C811)</f>
        <v>Strategy</v>
      </c>
      <c r="D811">
        <f>IF($A811="","",COUNTIF(connections!$A$2:$A$2500,$A811)+COUNTIF(connections!$B$2:$B$2500,$A811))</f>
        <v>2</v>
      </c>
      <c r="E811">
        <f t="shared" si="156"/>
        <v>2</v>
      </c>
      <c r="F811">
        <f t="shared" si="157"/>
        <v>29</v>
      </c>
      <c r="G811" t="e">
        <f t="shared" si="158"/>
        <v>#N/A</v>
      </c>
      <c r="H811" t="e">
        <f t="shared" si="159"/>
        <v>#N/A</v>
      </c>
      <c r="I811">
        <f t="shared" si="160"/>
        <v>2024</v>
      </c>
      <c r="J811">
        <f t="shared" si="161"/>
        <v>2.6669999999999998</v>
      </c>
      <c r="K811" t="e">
        <f t="shared" si="162"/>
        <v>#N/A</v>
      </c>
      <c r="L811" t="e">
        <f t="shared" si="163"/>
        <v>#N/A</v>
      </c>
      <c r="M811" t="e">
        <f t="shared" si="164"/>
        <v>#N/A</v>
      </c>
      <c r="N811" t="e">
        <f t="shared" si="165"/>
        <v>#N/A</v>
      </c>
      <c r="O811">
        <f t="shared" si="166"/>
        <v>2.0008110000000001</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Last Game</v>
      </c>
      <c r="B812">
        <f>IF($A812="","",games!$B812)</f>
        <v>2023</v>
      </c>
      <c r="C812" t="str">
        <f>IF($A812="","",games!$C812)</f>
        <v>Action</v>
      </c>
      <c r="D812">
        <f>IF($A812="","",COUNTIF(connections!$A$2:$A$2500,$A812)+COUNTIF(connections!$B$2:$B$2500,$A812))</f>
        <v>2</v>
      </c>
      <c r="E812">
        <f t="shared" si="156"/>
        <v>1</v>
      </c>
      <c r="F812">
        <f t="shared" si="157"/>
        <v>30</v>
      </c>
      <c r="G812">
        <f t="shared" si="158"/>
        <v>2023</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Spell</v>
      </c>
      <c r="B813">
        <f>IF($A813="","",games!$B813)</f>
        <v>2021</v>
      </c>
      <c r="C813" t="str">
        <f>IF($A813="","",games!$C813)</f>
        <v>Strategy</v>
      </c>
      <c r="D813">
        <f>IF($A813="","",COUNTIF(connections!$A$2:$A$2500,$A813)+COUNTIF(connections!$B$2:$B$2500,$A813))</f>
        <v>4</v>
      </c>
      <c r="E813">
        <f t="shared" si="156"/>
        <v>2</v>
      </c>
      <c r="F813">
        <f t="shared" si="157"/>
        <v>31</v>
      </c>
      <c r="G813" t="e">
        <f t="shared" si="158"/>
        <v>#N/A</v>
      </c>
      <c r="H813" t="e">
        <f t="shared" si="159"/>
        <v>#N/A</v>
      </c>
      <c r="I813">
        <f t="shared" si="160"/>
        <v>2021</v>
      </c>
      <c r="J813">
        <f t="shared" si="161"/>
        <v>2.7130000000000001</v>
      </c>
      <c r="K813" t="e">
        <f t="shared" si="162"/>
        <v>#N/A</v>
      </c>
      <c r="L813" t="e">
        <f t="shared" si="163"/>
        <v>#N/A</v>
      </c>
      <c r="M813" t="e">
        <f t="shared" si="164"/>
        <v>#N/A</v>
      </c>
      <c r="N813" t="e">
        <f t="shared" si="165"/>
        <v>#N/A</v>
      </c>
      <c r="O813">
        <f t="shared" si="166"/>
        <v>4.000813</v>
      </c>
      <c r="P813" t="str">
        <f>IF(OR($A813="",games!$H813=""),"",games!$H813)</f>
        <v>Yes</v>
      </c>
      <c r="Q813">
        <f t="shared" si="167"/>
        <v>4.000813</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Legend of Bum-Bo</v>
      </c>
      <c r="B814">
        <f>IF($A814="","",games!$B814)</f>
        <v>2019</v>
      </c>
      <c r="C814" t="str">
        <f>IF($A814="","",games!$C814)</f>
        <v>Strategy</v>
      </c>
      <c r="D814">
        <f>IF($A814="","",COUNTIF(connections!$A$2:$A$2500,$A814)+COUNTIF(connections!$B$2:$B$2500,$A814))</f>
        <v>3</v>
      </c>
      <c r="E814">
        <f t="shared" si="156"/>
        <v>2</v>
      </c>
      <c r="F814">
        <f t="shared" si="157"/>
        <v>32</v>
      </c>
      <c r="G814" t="e">
        <f t="shared" si="158"/>
        <v>#N/A</v>
      </c>
      <c r="H814" t="e">
        <f t="shared" si="159"/>
        <v>#N/A</v>
      </c>
      <c r="I814">
        <f t="shared" si="160"/>
        <v>2019</v>
      </c>
      <c r="J814">
        <f t="shared" si="161"/>
        <v>2.7359999999999998</v>
      </c>
      <c r="K814" t="e">
        <f t="shared" si="162"/>
        <v>#N/A</v>
      </c>
      <c r="L814" t="e">
        <f t="shared" si="163"/>
        <v>#N/A</v>
      </c>
      <c r="M814" t="e">
        <f t="shared" si="164"/>
        <v>#N/A</v>
      </c>
      <c r="N814" t="e">
        <f t="shared" si="165"/>
        <v>#N/A</v>
      </c>
      <c r="O814">
        <f t="shared" si="166"/>
        <v>3.0008140000000001</v>
      </c>
      <c r="P814" t="str">
        <f>IF(OR($A814="",games!$H814=""),"",games!$H814)</f>
        <v>Yes</v>
      </c>
      <c r="Q814">
        <f t="shared" si="167"/>
        <v>3.0008140000000001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Loopler</v>
      </c>
      <c r="B815">
        <f>IF($A815="","",games!$B815)</f>
        <v>2026</v>
      </c>
      <c r="C815" t="str">
        <f>IF($A815="","",games!$C815)</f>
        <v>Deckbuilder</v>
      </c>
      <c r="D815">
        <f>IF($A815="","",COUNTIF(connections!$A$2:$A$2500,$A815)+COUNTIF(connections!$B$2:$B$2500,$A815))</f>
        <v>1</v>
      </c>
      <c r="E815">
        <f t="shared" si="156"/>
        <v>3</v>
      </c>
      <c r="F815">
        <f t="shared" si="157"/>
        <v>33</v>
      </c>
      <c r="G815" t="e">
        <f t="shared" si="158"/>
        <v>#N/A</v>
      </c>
      <c r="H815" t="e">
        <f t="shared" si="159"/>
        <v>#N/A</v>
      </c>
      <c r="I815" t="e">
        <f t="shared" si="160"/>
        <v>#N/A</v>
      </c>
      <c r="J815" t="e">
        <f t="shared" si="161"/>
        <v>#N/A</v>
      </c>
      <c r="K815">
        <f t="shared" si="162"/>
        <v>2026</v>
      </c>
      <c r="L815">
        <f t="shared" si="163"/>
        <v>3.7589999999999999</v>
      </c>
      <c r="M815" t="e">
        <f t="shared" si="164"/>
        <v>#N/A</v>
      </c>
      <c r="N815" t="e">
        <f t="shared" si="165"/>
        <v>#N/A</v>
      </c>
      <c r="O815">
        <f t="shared" si="166"/>
        <v>1.000815</v>
      </c>
      <c r="P815" t="str">
        <f>IF(OR($A815="",games!$H815=""),"",games!$H815)</f>
        <v/>
      </c>
      <c r="Q815" t="str">
        <f t="shared" si="167"/>
        <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Magus Circle</v>
      </c>
      <c r="B816">
        <f>IF($A816="","",games!$B816)</f>
        <v>2026</v>
      </c>
      <c r="C816" t="str">
        <f>IF($A816="","",games!$C816)</f>
        <v>Action</v>
      </c>
      <c r="D816">
        <f>IF($A816="","",COUNTIF(connections!$A$2:$A$2500,$A816)+COUNTIF(connections!$B$2:$B$2500,$A816))</f>
        <v>1</v>
      </c>
      <c r="E816">
        <f t="shared" si="156"/>
        <v>1</v>
      </c>
      <c r="F816">
        <f t="shared" si="157"/>
        <v>0</v>
      </c>
      <c r="G816">
        <f t="shared" si="158"/>
        <v>2026</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Nightmare of Druaga</v>
      </c>
      <c r="B817">
        <f>IF($A817="","",games!$B817)</f>
        <v>2004</v>
      </c>
      <c r="C817" t="str">
        <f>IF($A817="","",games!$C817)</f>
        <v>Traditional</v>
      </c>
      <c r="D817">
        <f>IF($A817="","",COUNTIF(connections!$A$2:$A$2500,$A817)+COUNTIF(connections!$B$2:$B$2500,$A817))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2004</v>
      </c>
      <c r="N817">
        <f t="shared" si="165"/>
        <v>4.0229999999999997</v>
      </c>
      <c r="O817">
        <f t="shared" si="166"/>
        <v>1.0008170000000001</v>
      </c>
      <c r="P817" t="str">
        <f>IF(OR($A817="",games!$H817=""),"",games!$H817)</f>
        <v>Yes</v>
      </c>
      <c r="Q817">
        <f t="shared" si="167"/>
        <v>1.0008170000000001</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Ouroboros King</v>
      </c>
      <c r="B818">
        <f>IF($A818="","",games!$B818)</f>
        <v>2023</v>
      </c>
      <c r="C818" t="str">
        <f>IF($A818="","",games!$C818)</f>
        <v>Strategy</v>
      </c>
      <c r="D818">
        <f>IF($A818="","",COUNTIF(connections!$A$2:$A$2500,$A818)+COUNTIF(connections!$B$2:$B$2500,$A818))</f>
        <v>4</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4.0008179999999998</v>
      </c>
      <c r="P818" t="str">
        <f>IF(OR($A818="",games!$H818=""),"",games!$H818)</f>
        <v>Yes</v>
      </c>
      <c r="Q818">
        <f t="shared" si="167"/>
        <v>4.0008179999999998</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Rogue Prince of Persia</v>
      </c>
      <c r="B819">
        <f>IF($A819="","",games!$B819)</f>
        <v>2024</v>
      </c>
      <c r="C819" t="str">
        <f>IF($A819="","",games!$C819)</f>
        <v>Action</v>
      </c>
      <c r="D819">
        <f>IF($A819="","",COUNTIF(connections!$A$2:$A$2500,$A819)+COUNTIF(connections!$B$2:$B$2500,$A819))</f>
        <v>1</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Royal Writ</v>
      </c>
      <c r="B820">
        <f>IF($A820="","",games!$B820)</f>
        <v>2025</v>
      </c>
      <c r="C820" t="str">
        <f>IF($A820="","",games!$C820)</f>
        <v>Deckbuilder</v>
      </c>
      <c r="D820">
        <f>IF($A820="","",COUNTIF(connections!$A$2:$A$2500,$A820)+COUNTIF(connections!$B$2:$B$2500,$A820))</f>
        <v>5</v>
      </c>
      <c r="E820">
        <f t="shared" si="156"/>
        <v>3</v>
      </c>
      <c r="F820">
        <f t="shared" si="157"/>
        <v>4</v>
      </c>
      <c r="G820" t="e">
        <f t="shared" si="158"/>
        <v>#N/A</v>
      </c>
      <c r="H820" t="e">
        <f t="shared" si="159"/>
        <v>#N/A</v>
      </c>
      <c r="I820" t="e">
        <f t="shared" si="160"/>
        <v>#N/A</v>
      </c>
      <c r="J820" t="e">
        <f t="shared" si="161"/>
        <v>#N/A</v>
      </c>
      <c r="K820">
        <f t="shared" si="162"/>
        <v>2025</v>
      </c>
      <c r="L820">
        <f t="shared" si="163"/>
        <v>3.0920000000000001</v>
      </c>
      <c r="M820" t="e">
        <f t="shared" si="164"/>
        <v>#N/A</v>
      </c>
      <c r="N820" t="e">
        <f t="shared" si="165"/>
        <v>#N/A</v>
      </c>
      <c r="O820">
        <f t="shared" si="166"/>
        <v>5.00082</v>
      </c>
      <c r="P820" t="str">
        <f>IF(OR($A820="",games!$H820=""),"",games!$H820)</f>
        <v>Yes</v>
      </c>
      <c r="Q820">
        <f t="shared" si="167"/>
        <v>5.00082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Spell Brigade</v>
      </c>
      <c r="B821">
        <f>IF($A821="","",games!$B821)</f>
        <v>2024</v>
      </c>
      <c r="C821" t="str">
        <f>IF($A821="","",games!$C821)</f>
        <v>Action</v>
      </c>
      <c r="D821">
        <f>IF($A821="","",COUNTIF(connections!$A$2:$A$2500,$A821)+COUNTIF(connections!$B$2:$B$2500,$A821))</f>
        <v>3</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
      </c>
      <c r="Q821" t="str">
        <f t="shared" si="167"/>
        <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Spirit Lift</v>
      </c>
      <c r="B822">
        <f>IF($A822="","",games!$B822)</f>
        <v>2026</v>
      </c>
      <c r="C822" t="str">
        <f>IF($A822="","",games!$C822)</f>
        <v>Deckbuilder</v>
      </c>
      <c r="D822">
        <f>IF($A822="","",COUNTIF(connections!$A$2:$A$2500,$A822)+COUNTIF(connections!$B$2:$B$2500,$A822))</f>
        <v>2</v>
      </c>
      <c r="E822">
        <f t="shared" si="156"/>
        <v>3</v>
      </c>
      <c r="F822">
        <f t="shared" si="157"/>
        <v>6</v>
      </c>
      <c r="G822" t="e">
        <f t="shared" si="158"/>
        <v>#N/A</v>
      </c>
      <c r="H822" t="e">
        <f t="shared" si="159"/>
        <v>#N/A</v>
      </c>
      <c r="I822" t="e">
        <f t="shared" si="160"/>
        <v>#N/A</v>
      </c>
      <c r="J822" t="e">
        <f t="shared" si="161"/>
        <v>#N/A</v>
      </c>
      <c r="K822">
        <f t="shared" si="162"/>
        <v>2026</v>
      </c>
      <c r="L822">
        <f t="shared" si="163"/>
        <v>3.1379999999999999</v>
      </c>
      <c r="M822" t="e">
        <f t="shared" si="164"/>
        <v>#N/A</v>
      </c>
      <c r="N822" t="e">
        <f t="shared" si="165"/>
        <v>#N/A</v>
      </c>
      <c r="O822">
        <f t="shared" si="166"/>
        <v>2.0008219999999999</v>
      </c>
      <c r="P822" t="str">
        <f>IF(OR($A822="",games!$H822=""),"",games!$H822)</f>
        <v>Yes</v>
      </c>
      <c r="Q822">
        <f t="shared" si="167"/>
        <v>2.0008219999999999</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Unliving</v>
      </c>
      <c r="B823">
        <f>IF($A823="","",games!$B823)</f>
        <v>2022</v>
      </c>
      <c r="C823" t="str">
        <f>IF($A823="","",games!$C823)</f>
        <v>Action</v>
      </c>
      <c r="D823">
        <f>IF($A823="","",COUNTIF(connections!$A$2:$A$2500,$A823)+COUNTIF(connections!$B$2:$B$2500,$A823))</f>
        <v>3</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Yes</v>
      </c>
      <c r="Q823">
        <f t="shared" si="167"/>
        <v>3.000823</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Void Rains Upon Her Heart</v>
      </c>
      <c r="B824">
        <f>IF($A824="","",games!$B824)</f>
        <v>2018</v>
      </c>
      <c r="C824" t="str">
        <f>IF($A824="","",games!$C824)</f>
        <v>Action</v>
      </c>
      <c r="D824">
        <f>IF($A824="","",COUNTIF(connections!$A$2:$A$2500,$A824)+COUNTIF(connections!$B$2:$B$2500,$A824))</f>
        <v>1</v>
      </c>
      <c r="E824">
        <f t="shared" si="156"/>
        <v>1</v>
      </c>
      <c r="F824">
        <f t="shared" si="157"/>
        <v>8</v>
      </c>
      <c r="G824">
        <f t="shared" si="158"/>
        <v>2018</v>
      </c>
      <c r="H824">
        <f t="shared" si="159"/>
        <v>1.1839999999999999</v>
      </c>
      <c r="I824" t="e">
        <f t="shared" si="160"/>
        <v>#N/A</v>
      </c>
      <c r="J824" t="e">
        <f t="shared" si="161"/>
        <v>#N/A</v>
      </c>
      <c r="K824" t="e">
        <f t="shared" si="162"/>
        <v>#N/A</v>
      </c>
      <c r="L824" t="e">
        <f t="shared" si="163"/>
        <v>#N/A</v>
      </c>
      <c r="M824" t="e">
        <f t="shared" si="164"/>
        <v>#N/A</v>
      </c>
      <c r="N824" t="e">
        <f t="shared" si="165"/>
        <v>#N/A</v>
      </c>
      <c r="O824">
        <f t="shared" si="166"/>
        <v>1.0008239999999999</v>
      </c>
      <c r="P824" t="str">
        <f>IF(OR($A824="",games!$H824=""),"",games!$H824)</f>
        <v/>
      </c>
      <c r="Q824" t="str">
        <f t="shared" si="167"/>
        <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World is Your Weapon</v>
      </c>
      <c r="B825">
        <f>IF($A825="","",games!$B825)</f>
        <v>2014</v>
      </c>
      <c r="C825" t="str">
        <f>IF($A825="","",games!$C825)</f>
        <v>Traditional</v>
      </c>
      <c r="D825">
        <f>IF($A825="","",COUNTIF(connections!$A$2:$A$2500,$A825)+COUNTIF(connections!$B$2:$B$2500,$A825))</f>
        <v>1</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2014</v>
      </c>
      <c r="N825">
        <f t="shared" si="165"/>
        <v>4.2069999999999999</v>
      </c>
      <c r="O825">
        <f t="shared" si="166"/>
        <v>1.0008250000000001</v>
      </c>
      <c r="P825" t="str">
        <f>IF(OR($A825="",games!$H825=""),"",games!$H825)</f>
        <v/>
      </c>
      <c r="Q825" t="str">
        <f t="shared" si="167"/>
        <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There Are No Orcs</v>
      </c>
      <c r="B826">
        <f>IF($A826="","",games!$B826)</f>
        <v>2025</v>
      </c>
      <c r="C826" t="str">
        <f>IF($A826="","",games!$C826)</f>
        <v>Strategy</v>
      </c>
      <c r="D826">
        <f>IF($A826="","",COUNTIF(connections!$A$2:$A$2500,$A826)+COUNTIF(connections!$B$2:$B$2500,$A826))</f>
        <v>0</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8.2600000000000002E-4</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Tic Tactic</v>
      </c>
      <c r="B827">
        <f>IF($A827="","",games!$B827)</f>
        <v>2025</v>
      </c>
      <c r="C827" t="str">
        <f>IF($A827="","",games!$C827)</f>
        <v>Deckbuilder</v>
      </c>
      <c r="D827">
        <f>IF($A827="","",COUNTIF(connections!$A$2:$A$2500,$A827)+COUNTIF(connections!$B$2:$B$2500,$A827))</f>
        <v>3</v>
      </c>
      <c r="E827">
        <f t="shared" si="156"/>
        <v>3</v>
      </c>
      <c r="F827">
        <f t="shared" si="157"/>
        <v>11</v>
      </c>
      <c r="G827" t="e">
        <f t="shared" si="158"/>
        <v>#N/A</v>
      </c>
      <c r="H827" t="e">
        <f t="shared" si="159"/>
        <v>#N/A</v>
      </c>
      <c r="I827" t="e">
        <f t="shared" si="160"/>
        <v>#N/A</v>
      </c>
      <c r="J827" t="e">
        <f t="shared" si="161"/>
        <v>#N/A</v>
      </c>
      <c r="K827">
        <f t="shared" si="162"/>
        <v>2025</v>
      </c>
      <c r="L827">
        <f t="shared" si="163"/>
        <v>3.2530000000000001</v>
      </c>
      <c r="M827" t="e">
        <f t="shared" si="164"/>
        <v>#N/A</v>
      </c>
      <c r="N827" t="e">
        <f t="shared" si="165"/>
        <v>#N/A</v>
      </c>
      <c r="O827">
        <f t="shared" si="166"/>
        <v>3.0008270000000001</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Time Survivors</v>
      </c>
      <c r="B828">
        <f>IF($A828="","",games!$B828)</f>
        <v>2023</v>
      </c>
      <c r="C828" t="str">
        <f>IF($A828="","",games!$C828)</f>
        <v>Action</v>
      </c>
      <c r="D828">
        <f>IF($A828="","",COUNTIF(connections!$A$2:$A$2500,$A828)+COUNTIF(connections!$B$2:$B$2500,$A828))</f>
        <v>1</v>
      </c>
      <c r="E828">
        <f t="shared" si="156"/>
        <v>1</v>
      </c>
      <c r="F828">
        <f t="shared" si="157"/>
        <v>12</v>
      </c>
      <c r="G828">
        <f t="shared" si="158"/>
        <v>2023</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Time Wasters</v>
      </c>
      <c r="B829">
        <f>IF($A829="","",games!$B829)</f>
        <v>2023</v>
      </c>
      <c r="C829" t="str">
        <f>IF($A829="","",games!$C829)</f>
        <v>Action</v>
      </c>
      <c r="D829">
        <f>IF($A829="","",COUNTIF(connections!$A$2:$A$2500,$A829)+COUNTIF(connections!$B$2:$B$2500,$A829))</f>
        <v>1</v>
      </c>
      <c r="E829">
        <f t="shared" si="156"/>
        <v>1</v>
      </c>
      <c r="F829">
        <f t="shared" si="157"/>
        <v>13</v>
      </c>
      <c r="G829">
        <f t="shared" si="158"/>
        <v>2023</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Tinker Shot</v>
      </c>
      <c r="B830">
        <f>IF($A830="","",games!$B830)</f>
        <v>2026</v>
      </c>
      <c r="C830" t="str">
        <f>IF($A830="","",games!$C830)</f>
        <v>Deckbuilder</v>
      </c>
      <c r="D830">
        <f>IF($A830="","",COUNTIF(connections!$A$2:$A$2500,$A830)+COUNTIF(connections!$B$2:$B$2500,$A830))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Tiny Auto Knights</v>
      </c>
      <c r="B831">
        <f>IF($A831="","",games!$B831)</f>
        <v>2025</v>
      </c>
      <c r="C831" t="str">
        <f>IF($A831="","",games!$C831)</f>
        <v>Deckbuilder</v>
      </c>
      <c r="D831">
        <f>IF($A831="","",COUNTIF(connections!$A$2:$A$2500,$A831)+COUNTIF(connections!$B$2:$B$2500,$A831))</f>
        <v>5</v>
      </c>
      <c r="E831">
        <f t="shared" si="156"/>
        <v>3</v>
      </c>
      <c r="F831">
        <f t="shared" si="157"/>
        <v>15</v>
      </c>
      <c r="G831" t="e">
        <f t="shared" si="158"/>
        <v>#N/A</v>
      </c>
      <c r="H831" t="e">
        <f t="shared" si="159"/>
        <v>#N/A</v>
      </c>
      <c r="I831" t="e">
        <f t="shared" si="160"/>
        <v>#N/A</v>
      </c>
      <c r="J831" t="e">
        <f t="shared" si="161"/>
        <v>#N/A</v>
      </c>
      <c r="K831">
        <f t="shared" si="162"/>
        <v>2025</v>
      </c>
      <c r="L831">
        <f t="shared" si="163"/>
        <v>3.3449999999999998</v>
      </c>
      <c r="M831" t="e">
        <f t="shared" si="164"/>
        <v>#N/A</v>
      </c>
      <c r="N831" t="e">
        <f t="shared" si="165"/>
        <v>#N/A</v>
      </c>
      <c r="O831">
        <f t="shared" si="166"/>
        <v>5.0008309999999998</v>
      </c>
      <c r="P831" t="str">
        <f>IF(OR($A831="",games!$H831=""),"",games!$H831)</f>
        <v/>
      </c>
      <c r="Q831" t="str">
        <f t="shared" si="167"/>
        <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Tiny Rogues</v>
      </c>
      <c r="B832">
        <f>IF($A832="","",games!$B832)</f>
        <v>2022</v>
      </c>
      <c r="C832" t="str">
        <f>IF($A832="","",games!$C832)</f>
        <v>Action</v>
      </c>
      <c r="D832">
        <f>IF($A832="","",COUNTIF(connections!$A$2:$A$2500,$A832)+COUNTIF(connections!$B$2:$B$2500,$A832))</f>
        <v>9</v>
      </c>
      <c r="E832">
        <f t="shared" si="156"/>
        <v>1</v>
      </c>
      <c r="F832">
        <f t="shared" si="157"/>
        <v>16</v>
      </c>
      <c r="G832">
        <f t="shared" si="158"/>
        <v>2022</v>
      </c>
      <c r="H832">
        <f t="shared" si="159"/>
        <v>1.3679999999999999</v>
      </c>
      <c r="I832" t="e">
        <f t="shared" si="160"/>
        <v>#N/A</v>
      </c>
      <c r="J832" t="e">
        <f t="shared" si="161"/>
        <v>#N/A</v>
      </c>
      <c r="K832" t="e">
        <f t="shared" si="162"/>
        <v>#N/A</v>
      </c>
      <c r="L832" t="e">
        <f t="shared" si="163"/>
        <v>#N/A</v>
      </c>
      <c r="M832" t="e">
        <f t="shared" si="164"/>
        <v>#N/A</v>
      </c>
      <c r="N832" t="e">
        <f t="shared" si="165"/>
        <v>#N/A</v>
      </c>
      <c r="O832">
        <f t="shared" si="166"/>
        <v>9.0008320000000008</v>
      </c>
      <c r="P832" t="str">
        <f>IF(OR($A832="",games!$H832=""),"",games!$H832)</f>
        <v>Yes</v>
      </c>
      <c r="Q832">
        <f t="shared" si="167"/>
        <v>9.0008320000000008</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Tinyfolks</v>
      </c>
      <c r="B833">
        <f>IF($A833="","",games!$B833)</f>
        <v>2022</v>
      </c>
      <c r="C833" t="str">
        <f>IF($A833="","",games!$C833)</f>
        <v>Strategy</v>
      </c>
      <c r="D833">
        <f>IF($A833="","",COUNTIF(connections!$A$2:$A$2500,$A833)+COUNTIF(connections!$B$2:$B$2500,$A833))</f>
        <v>1</v>
      </c>
      <c r="E833">
        <f t="shared" si="156"/>
        <v>2</v>
      </c>
      <c r="F833">
        <f t="shared" si="157"/>
        <v>17</v>
      </c>
      <c r="G833" t="e">
        <f t="shared" si="158"/>
        <v>#N/A</v>
      </c>
      <c r="H833" t="e">
        <f t="shared" si="159"/>
        <v>#N/A</v>
      </c>
      <c r="I833">
        <f t="shared" si="160"/>
        <v>2022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ToeJam &amp; Earl</v>
      </c>
      <c r="B834">
        <f>IF($A834="","",games!$B834)</f>
        <v>1991</v>
      </c>
      <c r="C834" t="str">
        <f>IF($A834="","",games!$C834)</f>
        <v>Action</v>
      </c>
      <c r="D834">
        <f>IF($A834="","",COUNTIF(connections!$A$2:$A$2500,$A834)+COUNTIF(connections!$B$2:$B$2500,$A834))</f>
        <v>3</v>
      </c>
      <c r="E834">
        <f t="shared" ref="E834:E897" si="169">IF($A834="","",IFERROR(MATCH($C834,$R$2:$R$5,0),0))</f>
        <v>1</v>
      </c>
      <c r="F834">
        <f t="shared" ref="F834:F897" si="170">IF($A834="","",MOD(ROW(),34))</f>
        <v>18</v>
      </c>
      <c r="G834">
        <f t="shared" ref="G834:G897" si="171">IF($A834="",NA(),IF($C834="Action",$B834,NA()))</f>
        <v>1991</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Yes</v>
      </c>
      <c r="Q834">
        <f t="shared" ref="Q834:Q897" si="180">IF(OR($A834="",$P834&lt;&gt;"Yes"),"",$D834+ROW()/1000000)</f>
        <v>3.0008339999999998</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ToeJam &amp; Earl: Back in the Groove!</v>
      </c>
      <c r="B835">
        <f>IF($A835="","",games!$B835)</f>
        <v>2019</v>
      </c>
      <c r="C835" t="str">
        <f>IF($A835="","",games!$C835)</f>
        <v>Action</v>
      </c>
      <c r="D835">
        <f>IF($A835="","",COUNTIF(connections!$A$2:$A$2500,$A835)+COUNTIF(connections!$B$2:$B$2500,$A835))</f>
        <v>1</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TombStar</v>
      </c>
      <c r="B836">
        <f>IF($A836="","",games!$B836)</f>
        <v>2022</v>
      </c>
      <c r="C836" t="str">
        <f>IF($A836="","",games!$C836)</f>
        <v>Action</v>
      </c>
      <c r="D836">
        <f>IF($A836="","",COUNTIF(connections!$A$2:$A$2500,$A836)+COUNTIF(connections!$B$2:$B$2500,$A836))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Torneko: The Last Hope</v>
      </c>
      <c r="B837">
        <f>IF($A837="","",games!$B837)</f>
        <v>1999</v>
      </c>
      <c r="C837" t="str">
        <f>IF($A837="","",games!$C837)</f>
        <v>Traditional</v>
      </c>
      <c r="D837">
        <f>IF($A837="","",COUNTIF(connections!$A$2:$A$2500,$A837)+COUNTIF(connections!$B$2:$B$2500,$A837))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1999</v>
      </c>
      <c r="N837">
        <f t="shared" si="178"/>
        <v>4.4829999999999997</v>
      </c>
      <c r="O837">
        <f t="shared" si="179"/>
        <v>3.0008370000000002</v>
      </c>
      <c r="P837" t="str">
        <f>IF(OR($A837="",games!$H837=""),"",games!$H837)</f>
        <v>Yes</v>
      </c>
      <c r="Q837">
        <f t="shared" si="180"/>
        <v>3.0008370000000002</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Torneko's Great Adventure 3</v>
      </c>
      <c r="B838">
        <f>IF($A838="","",games!$B838)</f>
        <v>2002</v>
      </c>
      <c r="C838" t="str">
        <f>IF($A838="","",games!$C838)</f>
        <v>Traditional</v>
      </c>
      <c r="D838">
        <f>IF($A838="","",COUNTIF(connections!$A$2:$A$2500,$A838)+COUNTIF(connections!$B$2:$B$2500,$A838))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2002</v>
      </c>
      <c r="N838">
        <f t="shared" si="178"/>
        <v>4.5060000000000002</v>
      </c>
      <c r="O838">
        <f t="shared" si="179"/>
        <v>1.0008379999999999</v>
      </c>
      <c r="P838" t="str">
        <f>IF(OR($A838="",games!$H838=""),"",games!$H838)</f>
        <v>Yes</v>
      </c>
      <c r="Q838">
        <f t="shared" si="180"/>
        <v>1.0008379999999999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Torneko's Great Adventure: Mystery Dungeon</v>
      </c>
      <c r="B839">
        <f>IF($A839="","",games!$B839)</f>
        <v>1993</v>
      </c>
      <c r="C839" t="str">
        <f>IF($A839="","",games!$C839)</f>
        <v>Traditional</v>
      </c>
      <c r="D839">
        <f>IF($A839="","",COUNTIF(connections!$A$2:$A$2500,$A839)+COUNTIF(connections!$B$2:$B$2500,$A839))</f>
        <v>28</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1993</v>
      </c>
      <c r="N839">
        <f t="shared" si="178"/>
        <v>4.5289999999999999</v>
      </c>
      <c r="O839">
        <f t="shared" si="179"/>
        <v>28.000838999999999</v>
      </c>
      <c r="P839" t="str">
        <f>IF(OR($A839="",games!$H839=""),"",games!$H839)</f>
        <v>Yes</v>
      </c>
      <c r="Q839">
        <f t="shared" si="180"/>
        <v>28.000838999999999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Touhou Crawl</v>
      </c>
      <c r="B840">
        <f>IF($A840="","",games!$B840)</f>
        <v>2025</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2025</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Touhou Genso Wanderer: Foresight</v>
      </c>
      <c r="B841">
        <f>IF($A841="","",games!$B841)</f>
        <v>2024</v>
      </c>
      <c r="C841" t="str">
        <f>IF($A841="","",games!$C841)</f>
        <v>Traditional</v>
      </c>
      <c r="D841">
        <f>IF($A841="","",COUNTIF(connections!$A$2:$A$2500,$A841)+COUNTIF(connections!$B$2:$B$2500,$A841))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2024</v>
      </c>
      <c r="N841">
        <f t="shared" si="178"/>
        <v>4.5750000000000002</v>
      </c>
      <c r="O841">
        <f t="shared" si="179"/>
        <v>1.0008410000000001</v>
      </c>
      <c r="P841" t="str">
        <f>IF(OR($A841="",games!$H841=""),"",games!$H841)</f>
        <v/>
      </c>
      <c r="Q841" t="str">
        <f t="shared" si="180"/>
        <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Genso Wanderer: Lotus Labyrinth R</v>
      </c>
      <c r="B842">
        <f>IF($A842="","",games!$B842)</f>
        <v>2021</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2021</v>
      </c>
      <c r="N842">
        <f t="shared" si="178"/>
        <v>4.5979999999999999</v>
      </c>
      <c r="O842">
        <f t="shared" si="179"/>
        <v>1.000842</v>
      </c>
      <c r="P842" t="str">
        <f>IF(OR($A842="",games!$H842=""),"",games!$H842)</f>
        <v/>
      </c>
      <c r="Q842" t="str">
        <f t="shared" si="180"/>
        <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Lost Branch of Legend</v>
      </c>
      <c r="B843">
        <f>IF($A843="","",games!$B843)</f>
        <v>2022</v>
      </c>
      <c r="C843" t="str">
        <f>IF($A843="","",games!$C843)</f>
        <v>Deckbuilder</v>
      </c>
      <c r="D843">
        <f>IF($A843="","",COUNTIF(connections!$A$2:$A$2500,$A843)+COUNTIF(connections!$B$2:$B$2500,$A843))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Red Empress Devil</v>
      </c>
      <c r="B844">
        <f>IF($A844="","",games!$B844)</f>
        <v>2024</v>
      </c>
      <c r="C844" t="str">
        <f>IF($A844="","",games!$C844)</f>
        <v>Action</v>
      </c>
      <c r="D844">
        <f>IF($A844="","",COUNTIF(connections!$A$2:$A$2500,$A844)+COUNTIF(connections!$B$2:$B$2500,$A844))</f>
        <v>0</v>
      </c>
      <c r="E844">
        <f t="shared" si="169"/>
        <v>1</v>
      </c>
      <c r="F844">
        <f t="shared" si="170"/>
        <v>28</v>
      </c>
      <c r="G844">
        <f t="shared" si="171"/>
        <v>2024</v>
      </c>
      <c r="H844">
        <f t="shared" si="172"/>
        <v>1.6440000000000001</v>
      </c>
      <c r="I844" t="e">
        <f t="shared" si="173"/>
        <v>#N/A</v>
      </c>
      <c r="J844" t="e">
        <f t="shared" si="174"/>
        <v>#N/A</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Tower Dominion</v>
      </c>
      <c r="B845">
        <f>IF($A845="","",games!$B845)</f>
        <v>2025</v>
      </c>
      <c r="C845" t="str">
        <f>IF($A845="","",games!$C845)</f>
        <v>Strategy</v>
      </c>
      <c r="D845">
        <f>IF($A845="","",COUNTIF(connections!$A$2:$A$2500,$A845)+COUNTIF(connections!$B$2:$B$2500,$A845))</f>
        <v>1</v>
      </c>
      <c r="E845">
        <f t="shared" si="169"/>
        <v>2</v>
      </c>
      <c r="F845">
        <f t="shared" si="170"/>
        <v>29</v>
      </c>
      <c r="G845" t="e">
        <f t="shared" si="171"/>
        <v>#N/A</v>
      </c>
      <c r="H845" t="e">
        <f t="shared" si="172"/>
        <v>#N/A</v>
      </c>
      <c r="I845">
        <f t="shared" si="173"/>
        <v>2025</v>
      </c>
      <c r="J845">
        <f t="shared" si="174"/>
        <v>2.6669999999999998</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Tower Escape</v>
      </c>
      <c r="B846">
        <f>IF($A846="","",games!$B846)</f>
        <v>2023</v>
      </c>
      <c r="C846" t="str">
        <f>IF($A846="","",games!$C846)</f>
        <v>Deckbuilder</v>
      </c>
      <c r="D846">
        <f>IF($A846="","",COUNTIF(connections!$A$2:$A$2500,$A846)+COUNTIF(connections!$B$2:$B$2500,$A846))</f>
        <v>2</v>
      </c>
      <c r="E846">
        <f t="shared" si="169"/>
        <v>3</v>
      </c>
      <c r="F846">
        <f t="shared" si="170"/>
        <v>30</v>
      </c>
      <c r="G846" t="e">
        <f t="shared" si="171"/>
        <v>#N/A</v>
      </c>
      <c r="H846" t="e">
        <f t="shared" si="172"/>
        <v>#N/A</v>
      </c>
      <c r="I846" t="e">
        <f t="shared" si="173"/>
        <v>#N/A</v>
      </c>
      <c r="J846" t="e">
        <f t="shared" si="174"/>
        <v>#N/A</v>
      </c>
      <c r="K846">
        <f t="shared" si="175"/>
        <v>2023</v>
      </c>
      <c r="L846">
        <f t="shared" si="176"/>
        <v>3.69</v>
      </c>
      <c r="M846" t="e">
        <f t="shared" si="177"/>
        <v>#N/A</v>
      </c>
      <c r="N846" t="e">
        <f t="shared" si="178"/>
        <v>#N/A</v>
      </c>
      <c r="O846">
        <f t="shared" si="179"/>
        <v>2.0008460000000001</v>
      </c>
      <c r="P846" t="str">
        <f>IF(OR($A846="",games!$H846=""),"",games!$H846)</f>
        <v>Yes</v>
      </c>
      <c r="Q846">
        <f t="shared" si="180"/>
        <v>2.0008460000000001</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Factory</v>
      </c>
      <c r="B847">
        <f>IF($A847="","",games!$B847)</f>
        <v>2024</v>
      </c>
      <c r="C847" t="str">
        <f>IF($A847="","",games!$C847)</f>
        <v>Strategy</v>
      </c>
      <c r="D847">
        <f>IF($A847="","",COUNTIF(connections!$A$2:$A$2500,$A847)+COUNTIF(connections!$B$2:$B$2500,$A847))</f>
        <v>2</v>
      </c>
      <c r="E847">
        <f t="shared" si="169"/>
        <v>2</v>
      </c>
      <c r="F847">
        <f t="shared" si="170"/>
        <v>31</v>
      </c>
      <c r="G847" t="e">
        <f t="shared" si="171"/>
        <v>#N/A</v>
      </c>
      <c r="H847" t="e">
        <f t="shared" si="172"/>
        <v>#N/A</v>
      </c>
      <c r="I847">
        <f t="shared" si="173"/>
        <v>2024</v>
      </c>
      <c r="J847">
        <f t="shared" si="174"/>
        <v>2.7130000000000001</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Fortress</v>
      </c>
      <c r="B848">
        <f>IF($A848="","",games!$B848)</f>
        <v>2017</v>
      </c>
      <c r="C848" t="str">
        <f>IF($A848="","",games!$C848)</f>
        <v>Action</v>
      </c>
      <c r="D848">
        <f>IF($A848="","",COUNTIF(connections!$A$2:$A$2500,$A848)+COUNTIF(connections!$B$2:$B$2500,$A848))</f>
        <v>1</v>
      </c>
      <c r="E848">
        <f t="shared" si="169"/>
        <v>1</v>
      </c>
      <c r="F848">
        <f t="shared" si="170"/>
        <v>32</v>
      </c>
      <c r="G848">
        <f t="shared" si="171"/>
        <v>2017</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of Guns</v>
      </c>
      <c r="B849">
        <f>IF($A849="","",games!$B849)</f>
        <v>2014</v>
      </c>
      <c r="C849" t="str">
        <f>IF($A849="","",games!$C849)</f>
        <v>Action</v>
      </c>
      <c r="D849">
        <f>IF($A849="","",COUNTIF(connections!$A$2:$A$2500,$A849)+COUNTIF(connections!$B$2:$B$2500,$A849))</f>
        <v>2</v>
      </c>
      <c r="E849">
        <f t="shared" si="169"/>
        <v>1</v>
      </c>
      <c r="F849">
        <f t="shared" si="170"/>
        <v>33</v>
      </c>
      <c r="G849">
        <f t="shared" si="171"/>
        <v>2014</v>
      </c>
      <c r="H849">
        <f t="shared" si="172"/>
        <v>1.7589999999999999</v>
      </c>
      <c r="I849" t="e">
        <f t="shared" si="173"/>
        <v>#N/A</v>
      </c>
      <c r="J849" t="e">
        <f t="shared" si="174"/>
        <v>#N/A</v>
      </c>
      <c r="K849" t="e">
        <f t="shared" si="175"/>
        <v>#N/A</v>
      </c>
      <c r="L849" t="e">
        <f t="shared" si="176"/>
        <v>#N/A</v>
      </c>
      <c r="M849" t="e">
        <f t="shared" si="177"/>
        <v>#N/A</v>
      </c>
      <c r="N849" t="e">
        <f t="shared" si="178"/>
        <v>#N/A</v>
      </c>
      <c r="O849">
        <f t="shared" si="179"/>
        <v>2.0008490000000001</v>
      </c>
      <c r="P849" t="str">
        <f>IF(OR($A849="",games!$H849=""),"",games!$H849)</f>
        <v>Yes</v>
      </c>
      <c r="Q849">
        <f t="shared" si="180"/>
        <v>2.0008490000000001</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Tactics: Liberation</v>
      </c>
      <c r="B850">
        <f>IF($A850="","",games!$B850)</f>
        <v>2021</v>
      </c>
      <c r="C850" t="str">
        <f>IF($A850="","",games!$C850)</f>
        <v>Deckbuilder</v>
      </c>
      <c r="D850">
        <f>IF($A850="","",COUNTIF(connections!$A$2:$A$2500,$A850)+COUNTIF(connections!$B$2:$B$2500,$A850))</f>
        <v>3</v>
      </c>
      <c r="E850">
        <f t="shared" si="169"/>
        <v>3</v>
      </c>
      <c r="F850">
        <f t="shared" si="170"/>
        <v>0</v>
      </c>
      <c r="G850" t="e">
        <f t="shared" si="171"/>
        <v>#N/A</v>
      </c>
      <c r="H850" t="e">
        <f t="shared" si="172"/>
        <v>#N/A</v>
      </c>
      <c r="I850" t="e">
        <f t="shared" si="173"/>
        <v>#N/A</v>
      </c>
      <c r="J850" t="e">
        <f t="shared" si="174"/>
        <v>#N/A</v>
      </c>
      <c r="K850">
        <f t="shared" si="175"/>
        <v>2021</v>
      </c>
      <c r="L850">
        <f t="shared" si="176"/>
        <v>3</v>
      </c>
      <c r="M850" t="e">
        <f t="shared" si="177"/>
        <v>#N/A</v>
      </c>
      <c r="N850" t="e">
        <f t="shared" si="178"/>
        <v>#N/A</v>
      </c>
      <c r="O850">
        <f t="shared" si="179"/>
        <v>3.0008499999999998</v>
      </c>
      <c r="P850" t="str">
        <f>IF(OR($A850="",games!$H850=""),"",games!$H850)</f>
        <v>Yes</v>
      </c>
      <c r="Q850">
        <f t="shared" si="180"/>
        <v>3.0008499999999998</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Toy Smash Kaboom!</v>
      </c>
      <c r="B851">
        <f>IF($A851="","",games!$B851)</f>
        <v>2025</v>
      </c>
      <c r="C851" t="str">
        <f>IF($A851="","",games!$C851)</f>
        <v>Deckbuilder</v>
      </c>
      <c r="D851">
        <f>IF($A851="","",COUNTIF(connections!$A$2:$A$2500,$A851)+COUNTIF(connections!$B$2:$B$2500,$A851))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
      </c>
      <c r="Q851" t="str">
        <f t="shared" si="180"/>
        <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Trash of the Titans</v>
      </c>
      <c r="B852">
        <f>IF($A852="","",games!$B852)</f>
        <v>2024</v>
      </c>
      <c r="C852" t="str">
        <f>IF($A852="","",games!$C852)</f>
        <v>Strategy</v>
      </c>
      <c r="D852">
        <f>IF($A852="","",COUNTIF(connections!$A$2:$A$2500,$A852)+COUNTIF(connections!$B$2:$B$2500,$A852))</f>
        <v>1</v>
      </c>
      <c r="E852">
        <f t="shared" si="169"/>
        <v>2</v>
      </c>
      <c r="F852">
        <f t="shared" si="170"/>
        <v>2</v>
      </c>
      <c r="G852" t="e">
        <f t="shared" si="171"/>
        <v>#N/A</v>
      </c>
      <c r="H852" t="e">
        <f t="shared" si="172"/>
        <v>#N/A</v>
      </c>
      <c r="I852">
        <f t="shared" si="173"/>
        <v>2024</v>
      </c>
      <c r="J852">
        <f t="shared" si="174"/>
        <v>2.0459999999999998</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Trials of Fire</v>
      </c>
      <c r="B853">
        <f>IF($A853="","",games!$B853)</f>
        <v>2019</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2019</v>
      </c>
      <c r="L853">
        <f t="shared" si="176"/>
        <v>3.069</v>
      </c>
      <c r="M853" t="e">
        <f t="shared" si="177"/>
        <v>#N/A</v>
      </c>
      <c r="N853" t="e">
        <f t="shared" si="178"/>
        <v>#N/A</v>
      </c>
      <c r="O853">
        <f t="shared" si="179"/>
        <v>1.000853</v>
      </c>
      <c r="P853" t="str">
        <f>IF(OR($A853="",games!$H853=""),"",games!$H853)</f>
        <v>Yes</v>
      </c>
      <c r="Q853">
        <f t="shared" si="180"/>
        <v>1.000853</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TumbleSeed</v>
      </c>
      <c r="B854">
        <f>IF($A854="","",games!$B854)</f>
        <v>2017</v>
      </c>
      <c r="C854" t="str">
        <f>IF($A854="","",games!$C854)</f>
        <v>Action</v>
      </c>
      <c r="D854">
        <f>IF($A854="","",COUNTIF(connections!$A$2:$A$2500,$A854)+COUNTIF(connections!$B$2:$B$2500,$A854))</f>
        <v>3</v>
      </c>
      <c r="E854">
        <f t="shared" si="169"/>
        <v>1</v>
      </c>
      <c r="F854">
        <f t="shared" si="170"/>
        <v>4</v>
      </c>
      <c r="G854">
        <f t="shared" si="171"/>
        <v>2017</v>
      </c>
      <c r="H854">
        <f t="shared" si="172"/>
        <v>1.0920000000000001</v>
      </c>
      <c r="I854" t="e">
        <f t="shared" si="173"/>
        <v>#N/A</v>
      </c>
      <c r="J854" t="e">
        <f t="shared" si="174"/>
        <v>#N/A</v>
      </c>
      <c r="K854" t="e">
        <f t="shared" si="175"/>
        <v>#N/A</v>
      </c>
      <c r="L854" t="e">
        <f t="shared" si="176"/>
        <v>#N/A</v>
      </c>
      <c r="M854" t="e">
        <f t="shared" si="177"/>
        <v>#N/A</v>
      </c>
      <c r="N854" t="e">
        <f t="shared" si="178"/>
        <v>#N/A</v>
      </c>
      <c r="O854">
        <f t="shared" si="179"/>
        <v>3.0008539999999999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Turnbound</v>
      </c>
      <c r="B855">
        <f>IF($A855="","",games!$B855)</f>
        <v>2026</v>
      </c>
      <c r="C855" t="str">
        <f>IF($A855="","",games!$C855)</f>
        <v>Deckbuilder</v>
      </c>
      <c r="D855">
        <f>IF($A855="","",COUNTIF(connections!$A$2:$A$2500,$A855)+COUNTIF(connections!$B$2:$B$2500,$A855))</f>
        <v>2</v>
      </c>
      <c r="E855">
        <f t="shared" si="169"/>
        <v>3</v>
      </c>
      <c r="F855">
        <f t="shared" si="170"/>
        <v>5</v>
      </c>
      <c r="G855" t="e">
        <f t="shared" si="171"/>
        <v>#N/A</v>
      </c>
      <c r="H855" t="e">
        <f t="shared" si="172"/>
        <v>#N/A</v>
      </c>
      <c r="I855" t="e">
        <f t="shared" si="173"/>
        <v>#N/A</v>
      </c>
      <c r="J855" t="e">
        <f t="shared" si="174"/>
        <v>#N/A</v>
      </c>
      <c r="K855">
        <f t="shared" si="175"/>
        <v>2026</v>
      </c>
      <c r="L855">
        <f t="shared" si="176"/>
        <v>3.1150000000000002</v>
      </c>
      <c r="M855" t="e">
        <f t="shared" si="177"/>
        <v>#N/A</v>
      </c>
      <c r="N855" t="e">
        <f t="shared" si="178"/>
        <v>#N/A</v>
      </c>
      <c r="O855">
        <f t="shared" si="179"/>
        <v>2.0008550000000001</v>
      </c>
      <c r="P855" t="str">
        <f>IF(OR($A855="",games!$H855=""),"",games!$H855)</f>
        <v>Yes</v>
      </c>
      <c r="Q855">
        <f t="shared" si="180"/>
        <v>2.0008550000000001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Tyrant's Realm</v>
      </c>
      <c r="B856">
        <f>IF($A856="","",games!$B856)</f>
        <v>2025</v>
      </c>
      <c r="C856" t="str">
        <f>IF($A856="","",games!$C856)</f>
        <v>Action</v>
      </c>
      <c r="D856">
        <f>IF($A856="","",COUNTIF(connections!$A$2:$A$2500,$A856)+COUNTIF(connections!$B$2:$B$2500,$A856))</f>
        <v>1</v>
      </c>
      <c r="E856">
        <f t="shared" si="169"/>
        <v>1</v>
      </c>
      <c r="F856">
        <f t="shared" si="170"/>
        <v>6</v>
      </c>
      <c r="G856">
        <f t="shared" si="171"/>
        <v>2025</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Ultima Ratio Regum</v>
      </c>
      <c r="B857">
        <f>IF($A857="","",games!$B857)</f>
        <v>2012</v>
      </c>
      <c r="C857" t="str">
        <f>IF($A857="","",games!$C857)</f>
        <v>Traditional</v>
      </c>
      <c r="D857">
        <f>IF($A857="","",COUNTIF(connections!$A$2:$A$2500,$A857)+COUNTIF(connections!$B$2:$B$2500,$A857))</f>
        <v>3</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2012</v>
      </c>
      <c r="N857">
        <f t="shared" si="178"/>
        <v>4.1609999999999996</v>
      </c>
      <c r="O857">
        <f t="shared" si="179"/>
        <v>3.0008569999999999</v>
      </c>
      <c r="P857" t="str">
        <f>IF(OR($A857="",games!$H857=""),"",games!$H857)</f>
        <v/>
      </c>
      <c r="Q857" t="str">
        <f t="shared" si="180"/>
        <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Ultimate ADOM</v>
      </c>
      <c r="B858">
        <f>IF($A858="","",games!$B858)</f>
        <v>2021</v>
      </c>
      <c r="C858" t="str">
        <f>IF($A858="","",games!$C858)</f>
        <v>Traditional</v>
      </c>
      <c r="D858">
        <f>IF($A858="","",COUNTIF(connections!$A$2:$A$2500,$A858)+COUNTIF(connections!$B$2:$B$2500,$A858))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2021</v>
      </c>
      <c r="N858">
        <f t="shared" si="178"/>
        <v>4.1840000000000002</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Ultra Mega Cats</v>
      </c>
      <c r="B859">
        <f>IF($A859="","",games!$B859)</f>
        <v>2025</v>
      </c>
      <c r="C859" t="str">
        <f>IF($A859="","",games!$C859)</f>
        <v>Action</v>
      </c>
      <c r="D859">
        <f>IF($A859="","",COUNTIF(connections!$A$2:$A$2500,$A859)+COUNTIF(connections!$B$2:$B$2500,$A859))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Ultrapool</v>
      </c>
      <c r="B860">
        <f>IF($A860="","",games!$B860)</f>
        <v>2026</v>
      </c>
      <c r="C860" t="str">
        <f>IF($A860="","",games!$C860)</f>
        <v>Deckbuilder</v>
      </c>
      <c r="D860">
        <f>IF($A860="","",COUNTIF(connections!$A$2:$A$2500,$A860)+COUNTIF(connections!$B$2:$B$2500,$A860))</f>
        <v>2</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2.0008599999999999</v>
      </c>
      <c r="P860" t="str">
        <f>IF(OR($A860="",games!$H860=""),"",games!$H860)</f>
        <v/>
      </c>
      <c r="Q860" t="str">
        <f t="shared" si="180"/>
        <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Uma Musume: Pretty Derby</v>
      </c>
      <c r="B861">
        <f>IF($A861="","",games!$B861)</f>
        <v>2021</v>
      </c>
      <c r="C861" t="str">
        <f>IF($A861="","",games!$C861)</f>
        <v>Strategy</v>
      </c>
      <c r="D861">
        <f>IF($A861="","",COUNTIF(connections!$A$2:$A$2500,$A861)+COUNTIF(connections!$B$2:$B$2500,$A861))</f>
        <v>1</v>
      </c>
      <c r="E861">
        <f t="shared" si="169"/>
        <v>2</v>
      </c>
      <c r="F861">
        <f t="shared" si="170"/>
        <v>11</v>
      </c>
      <c r="G861" t="e">
        <f t="shared" si="171"/>
        <v>#N/A</v>
      </c>
      <c r="H861" t="e">
        <f t="shared" si="172"/>
        <v>#N/A</v>
      </c>
      <c r="I861">
        <f t="shared" si="173"/>
        <v>2021</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Underdogs</v>
      </c>
      <c r="B862">
        <f>IF($A862="","",games!$B862)</f>
        <v>2024</v>
      </c>
      <c r="C862" t="str">
        <f>IF($A862="","",games!$C862)</f>
        <v>Action</v>
      </c>
      <c r="D862">
        <f>IF($A862="","",COUNTIF(connections!$A$2:$A$2500,$A862)+COUNTIF(connections!$B$2:$B$2500,$A862))</f>
        <v>0</v>
      </c>
      <c r="E862">
        <f t="shared" si="169"/>
        <v>1</v>
      </c>
      <c r="F862">
        <f t="shared" si="170"/>
        <v>12</v>
      </c>
      <c r="G862">
        <f t="shared" si="171"/>
        <v>2024</v>
      </c>
      <c r="H862">
        <f t="shared" si="172"/>
        <v>1.276</v>
      </c>
      <c r="I862" t="e">
        <f t="shared" si="173"/>
        <v>#N/A</v>
      </c>
      <c r="J862" t="e">
        <f t="shared" si="174"/>
        <v>#N/A</v>
      </c>
      <c r="K862" t="e">
        <f t="shared" si="175"/>
        <v>#N/A</v>
      </c>
      <c r="L862" t="e">
        <f t="shared" si="176"/>
        <v>#N/A</v>
      </c>
      <c r="M862" t="e">
        <f t="shared" si="177"/>
        <v>#N/A</v>
      </c>
      <c r="N862" t="e">
        <f t="shared" si="178"/>
        <v>#N/A</v>
      </c>
      <c r="O862">
        <f t="shared" si="179"/>
        <v>8.6200000000000003E-4</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UnderMine</v>
      </c>
      <c r="B863">
        <f>IF($A863="","",games!$B863)</f>
        <v>2019</v>
      </c>
      <c r="C863" t="str">
        <f>IF($A863="","",games!$C863)</f>
        <v>Action</v>
      </c>
      <c r="D863">
        <f>IF($A863="","",COUNTIF(connections!$A$2:$A$2500,$A863)+COUNTIF(connections!$B$2:$B$2500,$A863))</f>
        <v>6</v>
      </c>
      <c r="E863">
        <f t="shared" si="169"/>
        <v>1</v>
      </c>
      <c r="F863">
        <f t="shared" si="170"/>
        <v>13</v>
      </c>
      <c r="G863">
        <f t="shared" si="171"/>
        <v>2019</v>
      </c>
      <c r="H863">
        <f t="shared" si="172"/>
        <v>1.2989999999999999</v>
      </c>
      <c r="I863" t="e">
        <f t="shared" si="173"/>
        <v>#N/A</v>
      </c>
      <c r="J863" t="e">
        <f t="shared" si="174"/>
        <v>#N/A</v>
      </c>
      <c r="K863" t="e">
        <f t="shared" si="175"/>
        <v>#N/A</v>
      </c>
      <c r="L863" t="e">
        <f t="shared" si="176"/>
        <v>#N/A</v>
      </c>
      <c r="M863" t="e">
        <f t="shared" si="177"/>
        <v>#N/A</v>
      </c>
      <c r="N863" t="e">
        <f t="shared" si="178"/>
        <v>#N/A</v>
      </c>
      <c r="O863">
        <f t="shared" si="179"/>
        <v>6.0008629999999998</v>
      </c>
      <c r="P863" t="str">
        <f>IF(OR($A863="",games!$H863=""),"",games!$H863)</f>
        <v>Yes</v>
      </c>
      <c r="Q863">
        <f t="shared" si="180"/>
        <v>6.0008629999999998</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UnderMine 2</v>
      </c>
      <c r="B864">
        <f>IF($A864="","",games!$B864)</f>
        <v>2025</v>
      </c>
      <c r="C864" t="str">
        <f>IF($A864="","",games!$C864)</f>
        <v>Action</v>
      </c>
      <c r="D864">
        <f>IF($A864="","",COUNTIF(connections!$A$2:$A$2500,$A864)+COUNTIF(connections!$B$2:$B$2500,$A864))</f>
        <v>2</v>
      </c>
      <c r="E864">
        <f t="shared" si="169"/>
        <v>1</v>
      </c>
      <c r="F864">
        <f t="shared" si="170"/>
        <v>14</v>
      </c>
      <c r="G864">
        <f t="shared" si="171"/>
        <v>2025</v>
      </c>
      <c r="H864">
        <f t="shared" si="172"/>
        <v>1.3220000000000001</v>
      </c>
      <c r="I864" t="e">
        <f t="shared" si="173"/>
        <v>#N/A</v>
      </c>
      <c r="J864" t="e">
        <f t="shared" si="174"/>
        <v>#N/A</v>
      </c>
      <c r="K864" t="e">
        <f t="shared" si="175"/>
        <v>#N/A</v>
      </c>
      <c r="L864" t="e">
        <f t="shared" si="176"/>
        <v>#N/A</v>
      </c>
      <c r="M864" t="e">
        <f t="shared" si="177"/>
        <v>#N/A</v>
      </c>
      <c r="N864" t="e">
        <f t="shared" si="178"/>
        <v>#N/A</v>
      </c>
      <c r="O864">
        <f t="shared" si="179"/>
        <v>2.000864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Unexplored</v>
      </c>
      <c r="B865">
        <f>IF($A865="","",games!$B865)</f>
        <v>2017</v>
      </c>
      <c r="C865" t="str">
        <f>IF($A865="","",games!$C865)</f>
        <v>Action</v>
      </c>
      <c r="D865">
        <f>IF($A865="","",COUNTIF(connections!$A$2:$A$2500,$A865)+COUNTIF(connections!$B$2:$B$2500,$A865))</f>
        <v>5</v>
      </c>
      <c r="E865">
        <f t="shared" si="169"/>
        <v>1</v>
      </c>
      <c r="F865">
        <f t="shared" si="170"/>
        <v>15</v>
      </c>
      <c r="G865">
        <f t="shared" si="171"/>
        <v>2017</v>
      </c>
      <c r="H865">
        <f t="shared" si="172"/>
        <v>1.345</v>
      </c>
      <c r="I865" t="e">
        <f t="shared" si="173"/>
        <v>#N/A</v>
      </c>
      <c r="J865" t="e">
        <f t="shared" si="174"/>
        <v>#N/A</v>
      </c>
      <c r="K865" t="e">
        <f t="shared" si="175"/>
        <v>#N/A</v>
      </c>
      <c r="L865" t="e">
        <f t="shared" si="176"/>
        <v>#N/A</v>
      </c>
      <c r="M865" t="e">
        <f t="shared" si="177"/>
        <v>#N/A</v>
      </c>
      <c r="N865" t="e">
        <f t="shared" si="178"/>
        <v>#N/A</v>
      </c>
      <c r="O865">
        <f t="shared" si="179"/>
        <v>5.0008650000000001</v>
      </c>
      <c r="P865" t="str">
        <f>IF(OR($A865="",games!$H865=""),"",games!$H865)</f>
        <v>Yes</v>
      </c>
      <c r="Q865">
        <f t="shared" si="180"/>
        <v>5.0008650000000001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Unexplored 2: The Wayfarer's Legacy</v>
      </c>
      <c r="B866">
        <f>IF($A866="","",games!$B866)</f>
        <v>2022</v>
      </c>
      <c r="C866" t="str">
        <f>IF($A866="","",games!$C866)</f>
        <v>Action</v>
      </c>
      <c r="D866">
        <f>IF($A866="","",COUNTIF(connections!$A$2:$A$2500,$A866)+COUNTIF(connections!$B$2:$B$2500,$A866))</f>
        <v>1</v>
      </c>
      <c r="E866">
        <f t="shared" si="169"/>
        <v>1</v>
      </c>
      <c r="F866">
        <f t="shared" si="170"/>
        <v>16</v>
      </c>
      <c r="G866">
        <f t="shared" si="171"/>
        <v>2022</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UnReal World</v>
      </c>
      <c r="B867">
        <f>IF($A867="","",games!$B867)</f>
        <v>1992</v>
      </c>
      <c r="C867" t="str">
        <f>IF($A867="","",games!$C867)</f>
        <v>Traditional</v>
      </c>
      <c r="D867">
        <f>IF($A867="","",COUNTIF(connections!$A$2:$A$2500,$A867)+COUNTIF(connections!$B$2:$B$2500,$A867))</f>
        <v>3</v>
      </c>
      <c r="E867">
        <f t="shared" si="169"/>
        <v>4</v>
      </c>
      <c r="F867">
        <f t="shared" si="170"/>
        <v>17</v>
      </c>
      <c r="G867" t="e">
        <f t="shared" si="171"/>
        <v>#N/A</v>
      </c>
      <c r="H867" t="e">
        <f t="shared" si="172"/>
        <v>#N/A</v>
      </c>
      <c r="I867" t="e">
        <f t="shared" si="173"/>
        <v>#N/A</v>
      </c>
      <c r="J867" t="e">
        <f t="shared" si="174"/>
        <v>#N/A</v>
      </c>
      <c r="K867" t="e">
        <f t="shared" si="175"/>
        <v>#N/A</v>
      </c>
      <c r="L867" t="e">
        <f t="shared" si="176"/>
        <v>#N/A</v>
      </c>
      <c r="M867">
        <f t="shared" si="177"/>
        <v>1992</v>
      </c>
      <c r="N867">
        <f t="shared" si="178"/>
        <v>4.391</v>
      </c>
      <c r="O867">
        <f t="shared" si="179"/>
        <v>3.000867</v>
      </c>
      <c r="P867" t="str">
        <f>IF(OR($A867="",games!$H867=""),"",games!$H867)</f>
        <v>Yes</v>
      </c>
      <c r="Q867">
        <f t="shared" si="180"/>
        <v>3.000867</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Vagante</v>
      </c>
      <c r="B868">
        <f>IF($A868="","",games!$B868)</f>
        <v>2018</v>
      </c>
      <c r="C868" t="str">
        <f>IF($A868="","",games!$C868)</f>
        <v>Action</v>
      </c>
      <c r="D868">
        <f>IF($A868="","",COUNTIF(connections!$A$2:$A$2500,$A868)+COUNTIF(connections!$B$2:$B$2500,$A868))</f>
        <v>3</v>
      </c>
      <c r="E868">
        <f t="shared" si="169"/>
        <v>1</v>
      </c>
      <c r="F868">
        <f t="shared" si="170"/>
        <v>18</v>
      </c>
      <c r="G868">
        <f t="shared" si="171"/>
        <v>2018</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Vampire Crawlers</v>
      </c>
      <c r="B869">
        <f>IF($A869="","",games!$B869)</f>
        <v>2026</v>
      </c>
      <c r="C869" t="str">
        <f>IF($A869="","",games!$C869)</f>
        <v>Deckbuilder</v>
      </c>
      <c r="D869">
        <f>IF($A869="","",COUNTIF(connections!$A$2:$A$2500,$A869)+COUNTIF(connections!$B$2:$B$2500,$A869))</f>
        <v>1</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1.000869</v>
      </c>
      <c r="P869" t="str">
        <f>IF(OR($A869="",games!$H869=""),"",games!$H869)</f>
        <v/>
      </c>
      <c r="Q869" t="str">
        <f t="shared" si="180"/>
        <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Vampire Hunters</v>
      </c>
      <c r="B870">
        <f>IF($A870="","",games!$B870)</f>
        <v>2023</v>
      </c>
      <c r="C870" t="str">
        <f>IF($A870="","",games!$C870)</f>
        <v>Action</v>
      </c>
      <c r="D870">
        <f>IF($A870="","",COUNTIF(connections!$A$2:$A$2500,$A870)+COUNTIF(connections!$B$2:$B$2500,$A870))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Yes</v>
      </c>
      <c r="Q870">
        <f t="shared" si="180"/>
        <v>3.0008699999999999</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Survivors</v>
      </c>
      <c r="B871">
        <f>IF($A871="","",games!$B871)</f>
        <v>2021</v>
      </c>
      <c r="C871" t="str">
        <f>IF($A871="","",games!$C871)</f>
        <v>Action</v>
      </c>
      <c r="D871">
        <f>IF($A871="","",COUNTIF(connections!$A$2:$A$2500,$A871)+COUNTIF(connections!$B$2:$B$2500,$A871))</f>
        <v>99</v>
      </c>
      <c r="E871">
        <f t="shared" si="169"/>
        <v>1</v>
      </c>
      <c r="F871">
        <f t="shared" si="170"/>
        <v>21</v>
      </c>
      <c r="G871">
        <f t="shared" si="171"/>
        <v>2021</v>
      </c>
      <c r="H871">
        <f t="shared" si="172"/>
        <v>1.4830000000000001</v>
      </c>
      <c r="I871" t="e">
        <f t="shared" si="173"/>
        <v>#N/A</v>
      </c>
      <c r="J871" t="e">
        <f t="shared" si="174"/>
        <v>#N/A</v>
      </c>
      <c r="K871" t="e">
        <f t="shared" si="175"/>
        <v>#N/A</v>
      </c>
      <c r="L871" t="e">
        <f t="shared" si="176"/>
        <v>#N/A</v>
      </c>
      <c r="M871" t="e">
        <f t="shared" si="177"/>
        <v>#N/A</v>
      </c>
      <c r="N871" t="e">
        <f t="shared" si="178"/>
        <v>#N/A</v>
      </c>
      <c r="O871">
        <f t="shared" si="179"/>
        <v>99.000871000000004</v>
      </c>
      <c r="P871" t="str">
        <f>IF(OR($A871="",games!$H871=""),"",games!$H871)</f>
        <v>Yes</v>
      </c>
      <c r="Q871">
        <f t="shared" si="180"/>
        <v>99.000871000000004</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Vault of the Void</v>
      </c>
      <c r="B872">
        <f>IF($A872="","",games!$B872)</f>
        <v>2020</v>
      </c>
      <c r="C872" t="str">
        <f>IF($A872="","",games!$C872)</f>
        <v>Deckbuilder</v>
      </c>
      <c r="D872">
        <f>IF($A872="","",COUNTIF(connections!$A$2:$A$2500,$A872)+COUNTIF(connections!$B$2:$B$2500,$A872))</f>
        <v>1</v>
      </c>
      <c r="E872">
        <f t="shared" si="169"/>
        <v>3</v>
      </c>
      <c r="F872">
        <f t="shared" si="170"/>
        <v>22</v>
      </c>
      <c r="G872" t="e">
        <f t="shared" si="171"/>
        <v>#N/A</v>
      </c>
      <c r="H872" t="e">
        <f t="shared" si="172"/>
        <v>#N/A</v>
      </c>
      <c r="I872" t="e">
        <f t="shared" si="173"/>
        <v>#N/A</v>
      </c>
      <c r="J872" t="e">
        <f t="shared" si="174"/>
        <v>#N/A</v>
      </c>
      <c r="K872">
        <f t="shared" si="175"/>
        <v>2020</v>
      </c>
      <c r="L872">
        <f t="shared" si="176"/>
        <v>3.5060000000000002</v>
      </c>
      <c r="M872" t="e">
        <f t="shared" si="177"/>
        <v>#N/A</v>
      </c>
      <c r="N872" t="e">
        <f t="shared" si="178"/>
        <v>#N/A</v>
      </c>
      <c r="O872">
        <f t="shared" si="179"/>
        <v>1.000872</v>
      </c>
      <c r="P872" t="str">
        <f>IF(OR($A872="",games!$H872=""),"",games!$H872)</f>
        <v>Yes</v>
      </c>
      <c r="Q872">
        <f t="shared" si="180"/>
        <v>1.000872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Vellum</v>
      </c>
      <c r="B873">
        <f>IF($A873="","",games!$B873)</f>
        <v>2024</v>
      </c>
      <c r="C873" t="str">
        <f>IF($A873="","",games!$C873)</f>
        <v>Action</v>
      </c>
      <c r="D873">
        <f>IF($A873="","",COUNTIF(connections!$A$2:$A$2500,$A873)+COUNTIF(connections!$B$2:$B$2500,$A873))</f>
        <v>6</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6.0008730000000003</v>
      </c>
      <c r="P873" t="str">
        <f>IF(OR($A873="",games!$H873=""),"",games!$H873)</f>
        <v/>
      </c>
      <c r="Q873" t="str">
        <f t="shared" si="180"/>
        <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Vital Shell</v>
      </c>
      <c r="B874">
        <f>IF($A874="","",games!$B874)</f>
        <v>2026</v>
      </c>
      <c r="C874" t="str">
        <f>IF($A874="","",games!$C874)</f>
        <v>Action</v>
      </c>
      <c r="D874">
        <f>IF($A874="","",COUNTIF(connections!$A$2:$A$2500,$A874)+COUNTIF(connections!$B$2:$B$2500,$A874))</f>
        <v>1</v>
      </c>
      <c r="E874">
        <f t="shared" si="169"/>
        <v>1</v>
      </c>
      <c r="F874">
        <f t="shared" si="170"/>
        <v>24</v>
      </c>
      <c r="G874">
        <f t="shared" si="171"/>
        <v>2026</v>
      </c>
      <c r="H874">
        <f t="shared" si="172"/>
        <v>1.552</v>
      </c>
      <c r="I874" t="e">
        <f t="shared" si="173"/>
        <v>#N/A</v>
      </c>
      <c r="J874" t="e">
        <f t="shared" si="174"/>
        <v>#N/A</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Vivid Knight</v>
      </c>
      <c r="B875">
        <f>IF($A875="","",games!$B875)</f>
        <v>2021</v>
      </c>
      <c r="C875" t="str">
        <f>IF($A875="","",games!$C875)</f>
        <v>Deckbuilder</v>
      </c>
      <c r="D875">
        <f>IF($A875="","",COUNTIF(connections!$A$2:$A$2500,$A875)+COUNTIF(connections!$B$2:$B$2500,$A875))</f>
        <v>4</v>
      </c>
      <c r="E875">
        <f t="shared" si="169"/>
        <v>3</v>
      </c>
      <c r="F875">
        <f t="shared" si="170"/>
        <v>25</v>
      </c>
      <c r="G875" t="e">
        <f t="shared" si="171"/>
        <v>#N/A</v>
      </c>
      <c r="H875" t="e">
        <f t="shared" si="172"/>
        <v>#N/A</v>
      </c>
      <c r="I875" t="e">
        <f t="shared" si="173"/>
        <v>#N/A</v>
      </c>
      <c r="J875" t="e">
        <f t="shared" si="174"/>
        <v>#N/A</v>
      </c>
      <c r="K875">
        <f t="shared" si="175"/>
        <v>2021</v>
      </c>
      <c r="L875">
        <f t="shared" si="176"/>
        <v>3.5750000000000002</v>
      </c>
      <c r="M875" t="e">
        <f t="shared" si="177"/>
        <v>#N/A</v>
      </c>
      <c r="N875" t="e">
        <f t="shared" si="178"/>
        <v>#N/A</v>
      </c>
      <c r="O875">
        <f t="shared" si="179"/>
        <v>4.0008749999999997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Vivid World</v>
      </c>
      <c r="B876">
        <f>IF($A876="","",games!$B876)</f>
        <v>2025</v>
      </c>
      <c r="C876" t="str">
        <f>IF($A876="","",games!$C876)</f>
        <v>Deckbuilder</v>
      </c>
      <c r="D876">
        <f>IF($A876="","",COUNTIF(connections!$A$2:$A$2500,$A876)+COUNTIF(connections!$B$2:$B$2500,$A876))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Voice of Belldona</v>
      </c>
      <c r="B877">
        <f>IF($A877="","",games!$B877)</f>
        <v>2026</v>
      </c>
      <c r="C877" t="str">
        <f>IF($A877="","",games!$C877)</f>
        <v>Deckbuilder</v>
      </c>
      <c r="D877">
        <f>IF($A877="","",COUNTIF(connections!$A$2:$A$2500,$A877)+COUNTIF(connections!$B$2:$B$2500,$A877))</f>
        <v>2</v>
      </c>
      <c r="E877">
        <f t="shared" si="169"/>
        <v>3</v>
      </c>
      <c r="F877">
        <f t="shared" si="170"/>
        <v>27</v>
      </c>
      <c r="G877" t="e">
        <f t="shared" si="171"/>
        <v>#N/A</v>
      </c>
      <c r="H877" t="e">
        <f t="shared" si="172"/>
        <v>#N/A</v>
      </c>
      <c r="I877" t="e">
        <f t="shared" si="173"/>
        <v>#N/A</v>
      </c>
      <c r="J877" t="e">
        <f t="shared" si="174"/>
        <v>#N/A</v>
      </c>
      <c r="K877">
        <f t="shared" si="175"/>
        <v>2026</v>
      </c>
      <c r="L877">
        <f t="shared" si="176"/>
        <v>3.621</v>
      </c>
      <c r="M877" t="e">
        <f t="shared" si="177"/>
        <v>#N/A</v>
      </c>
      <c r="N877" t="e">
        <f t="shared" si="178"/>
        <v>#N/A</v>
      </c>
      <c r="O877">
        <f t="shared" si="179"/>
        <v>2.000877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Void Bastards</v>
      </c>
      <c r="B878">
        <f>IF($A878="","",games!$B878)</f>
        <v>2019</v>
      </c>
      <c r="C878" t="str">
        <f>IF($A878="","",games!$C878)</f>
        <v>Action</v>
      </c>
      <c r="D878">
        <f>IF($A878="","",COUNTIF(connections!$A$2:$A$2500,$A878)+COUNTIF(connections!$B$2:$B$2500,$A878))</f>
        <v>2</v>
      </c>
      <c r="E878">
        <f t="shared" si="169"/>
        <v>1</v>
      </c>
      <c r="F878">
        <f t="shared" si="170"/>
        <v>28</v>
      </c>
      <c r="G878">
        <f t="shared" si="171"/>
        <v>2019</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Void Scrappers</v>
      </c>
      <c r="B879">
        <f>IF($A879="","",games!$B879)</f>
        <v>2022</v>
      </c>
      <c r="C879" t="str">
        <f>IF($A879="","",games!$C879)</f>
        <v>Action</v>
      </c>
      <c r="D879">
        <f>IF($A879="","",COUNTIF(connections!$A$2:$A$2500,$A879)+COUNTIF(connections!$B$2:$B$2500,$A879))</f>
        <v>3</v>
      </c>
      <c r="E879">
        <f t="shared" si="169"/>
        <v>1</v>
      </c>
      <c r="F879">
        <f t="shared" si="170"/>
        <v>29</v>
      </c>
      <c r="G879">
        <f t="shared" si="171"/>
        <v>2022</v>
      </c>
      <c r="H879">
        <f t="shared" si="172"/>
        <v>1.667</v>
      </c>
      <c r="I879" t="e">
        <f t="shared" si="173"/>
        <v>#N/A</v>
      </c>
      <c r="J879" t="e">
        <f t="shared" si="174"/>
        <v>#N/A</v>
      </c>
      <c r="K879" t="e">
        <f t="shared" si="175"/>
        <v>#N/A</v>
      </c>
      <c r="L879" t="e">
        <f t="shared" si="176"/>
        <v>#N/A</v>
      </c>
      <c r="M879" t="e">
        <f t="shared" si="177"/>
        <v>#N/A</v>
      </c>
      <c r="N879" t="e">
        <f t="shared" si="178"/>
        <v>#N/A</v>
      </c>
      <c r="O879">
        <f t="shared" si="179"/>
        <v>3.0008789999999999</v>
      </c>
      <c r="P879" t="str">
        <f>IF(OR($A879="",games!$H879=""),"",games!$H879)</f>
        <v>Yes</v>
      </c>
      <c r="Q879">
        <f t="shared" si="180"/>
        <v>3.0008789999999999</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War</v>
      </c>
      <c r="B880">
        <f>IF($A880="","",games!$B880)</f>
        <v>2024</v>
      </c>
      <c r="C880" t="str">
        <f>IF($A880="","",games!$C880)</f>
        <v>Strategy</v>
      </c>
      <c r="D880">
        <f>IF($A880="","",COUNTIF(connections!$A$2:$A$2500,$A880)+COUNTIF(connections!$B$2:$B$2500,$A880))</f>
        <v>2</v>
      </c>
      <c r="E880">
        <f t="shared" si="169"/>
        <v>2</v>
      </c>
      <c r="F880">
        <f t="shared" si="170"/>
        <v>30</v>
      </c>
      <c r="G880" t="e">
        <f t="shared" si="171"/>
        <v>#N/A</v>
      </c>
      <c r="H880" t="e">
        <f t="shared" si="172"/>
        <v>#N/A</v>
      </c>
      <c r="I880">
        <f t="shared" si="173"/>
        <v>2024</v>
      </c>
      <c r="J880">
        <f t="shared" si="174"/>
        <v>2.69</v>
      </c>
      <c r="K880" t="e">
        <f t="shared" si="175"/>
        <v>#N/A</v>
      </c>
      <c r="L880" t="e">
        <f t="shared" si="176"/>
        <v>#N/A</v>
      </c>
      <c r="M880" t="e">
        <f t="shared" si="177"/>
        <v>#N/A</v>
      </c>
      <c r="N880" t="e">
        <f t="shared" si="178"/>
        <v>#N/A</v>
      </c>
      <c r="O880">
        <f t="shared" si="179"/>
        <v>2.00088</v>
      </c>
      <c r="P880" t="str">
        <f>IF(OR($A880="",games!$H880=""),"",games!$H880)</f>
        <v/>
      </c>
      <c r="Q880" t="str">
        <f t="shared" si="180"/>
        <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Voidigo</v>
      </c>
      <c r="B881">
        <f>IF($A881="","",games!$B881)</f>
        <v>2023</v>
      </c>
      <c r="C881" t="str">
        <f>IF($A881="","",games!$C881)</f>
        <v>Action</v>
      </c>
      <c r="D881">
        <f>IF($A881="","",COUNTIF(connections!$A$2:$A$2500,$A881)+COUNTIF(connections!$B$2:$B$2500,$A881))</f>
        <v>1</v>
      </c>
      <c r="E881">
        <f t="shared" si="169"/>
        <v>1</v>
      </c>
      <c r="F881">
        <f t="shared" si="170"/>
        <v>31</v>
      </c>
      <c r="G881">
        <f t="shared" si="171"/>
        <v>2023</v>
      </c>
      <c r="H881">
        <f t="shared" si="172"/>
        <v>1.7130000000000001</v>
      </c>
      <c r="I881" t="e">
        <f t="shared" si="173"/>
        <v>#N/A</v>
      </c>
      <c r="J881" t="e">
        <f t="shared" si="174"/>
        <v>#N/A</v>
      </c>
      <c r="K881" t="e">
        <f t="shared" si="175"/>
        <v>#N/A</v>
      </c>
      <c r="L881" t="e">
        <f t="shared" si="176"/>
        <v>#N/A</v>
      </c>
      <c r="M881" t="e">
        <f t="shared" si="177"/>
        <v>#N/A</v>
      </c>
      <c r="N881" t="e">
        <f t="shared" si="178"/>
        <v>#N/A</v>
      </c>
      <c r="O881">
        <f t="shared" si="179"/>
        <v>1.0008809999999999</v>
      </c>
      <c r="P881" t="str">
        <f>IF(OR($A881="",games!$H881=""),"",games!$H881)</f>
        <v>Yes</v>
      </c>
      <c r="Q881">
        <f t="shared" si="180"/>
        <v>1.0008809999999999</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Voids Vigil</v>
      </c>
      <c r="B882">
        <f>IF($A882="","",games!$B882)</f>
        <v>2024</v>
      </c>
      <c r="C882" t="str">
        <f>IF($A882="","",games!$C882)</f>
        <v>Action</v>
      </c>
      <c r="D882">
        <f>IF($A882="","",COUNTIF(connections!$A$2:$A$2500,$A882)+COUNTIF(connections!$B$2:$B$2500,$A882))</f>
        <v>2</v>
      </c>
      <c r="E882">
        <f t="shared" si="169"/>
        <v>1</v>
      </c>
      <c r="F882">
        <f t="shared" si="170"/>
        <v>32</v>
      </c>
      <c r="G882">
        <f t="shared" si="171"/>
        <v>2024</v>
      </c>
      <c r="H882">
        <f t="shared" si="172"/>
        <v>1.736</v>
      </c>
      <c r="I882" t="e">
        <f t="shared" si="173"/>
        <v>#N/A</v>
      </c>
      <c r="J882" t="e">
        <f t="shared" si="174"/>
        <v>#N/A</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Voin</v>
      </c>
      <c r="B883">
        <f>IF($A883="","",games!$B883)</f>
        <v>2024</v>
      </c>
      <c r="C883" t="str">
        <f>IF($A883="","",games!$C883)</f>
        <v>Action</v>
      </c>
      <c r="D883">
        <f>IF($A883="","",COUNTIF(connections!$A$2:$A$2500,$A883)+COUNTIF(connections!$B$2:$B$2500,$A883))</f>
        <v>2</v>
      </c>
      <c r="E883">
        <f t="shared" si="169"/>
        <v>1</v>
      </c>
      <c r="F883">
        <f t="shared" si="170"/>
        <v>33</v>
      </c>
      <c r="G883">
        <f t="shared" si="171"/>
        <v>2024</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Waku Waku Puyo Puyo Dungeon</v>
      </c>
      <c r="B884">
        <f>IF($A884="","",games!$B884)</f>
        <v>1998</v>
      </c>
      <c r="C884" t="str">
        <f>IF($A884="","",games!$C884)</f>
        <v>Traditional</v>
      </c>
      <c r="D884">
        <f>IF($A884="","",COUNTIF(connections!$A$2:$A$2500,$A884)+COUNTIF(connections!$B$2:$B$2500,$A884))</f>
        <v>1</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1998</v>
      </c>
      <c r="N884">
        <f t="shared" si="178"/>
        <v>4</v>
      </c>
      <c r="O884">
        <f t="shared" si="179"/>
        <v>1.0008840000000001</v>
      </c>
      <c r="P884" t="str">
        <f>IF(OR($A884="",games!$H884=""),"",games!$H884)</f>
        <v>Yes</v>
      </c>
      <c r="Q884">
        <f t="shared" si="180"/>
        <v>1.0008840000000001</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Wall World</v>
      </c>
      <c r="B885">
        <f>IF($A885="","",games!$B885)</f>
        <v>2023</v>
      </c>
      <c r="C885" t="str">
        <f>IF($A885="","",games!$C885)</f>
        <v>Strategy</v>
      </c>
      <c r="D885">
        <f>IF($A885="","",COUNTIF(connections!$A$2:$A$2500,$A885)+COUNTIF(connections!$B$2:$B$2500,$A885))</f>
        <v>2</v>
      </c>
      <c r="E885">
        <f t="shared" si="169"/>
        <v>2</v>
      </c>
      <c r="F885">
        <f t="shared" si="170"/>
        <v>1</v>
      </c>
      <c r="G885" t="e">
        <f t="shared" si="171"/>
        <v>#N/A</v>
      </c>
      <c r="H885" t="e">
        <f t="shared" si="172"/>
        <v>#N/A</v>
      </c>
      <c r="I885">
        <f t="shared" si="173"/>
        <v>2023</v>
      </c>
      <c r="J885">
        <f t="shared" si="174"/>
        <v>2.0230000000000001</v>
      </c>
      <c r="K885" t="e">
        <f t="shared" si="175"/>
        <v>#N/A</v>
      </c>
      <c r="L885" t="e">
        <f t="shared" si="176"/>
        <v>#N/A</v>
      </c>
      <c r="M885" t="e">
        <f t="shared" si="177"/>
        <v>#N/A</v>
      </c>
      <c r="N885" t="e">
        <f t="shared" si="178"/>
        <v>#N/A</v>
      </c>
      <c r="O885">
        <f t="shared" si="179"/>
        <v>2.0008849999999998</v>
      </c>
      <c r="P885" t="str">
        <f>IF(OR($A885="",games!$H885=""),"",games!$H885)</f>
        <v>Yes</v>
      </c>
      <c r="Q885">
        <f t="shared" si="180"/>
        <v>2.0008849999999998</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Wall World 2</v>
      </c>
      <c r="B886">
        <f>IF($A886="","",games!$B886)</f>
        <v>2025</v>
      </c>
      <c r="C886" t="str">
        <f>IF($A886="","",games!$C886)</f>
        <v>Strategy</v>
      </c>
      <c r="D886">
        <f>IF($A886="","",COUNTIF(connections!$A$2:$A$2500,$A886)+COUNTIF(connections!$B$2:$B$2500,$A886))</f>
        <v>1</v>
      </c>
      <c r="E886">
        <f t="shared" si="169"/>
        <v>2</v>
      </c>
      <c r="F886">
        <f t="shared" si="170"/>
        <v>2</v>
      </c>
      <c r="G886" t="e">
        <f t="shared" si="171"/>
        <v>#N/A</v>
      </c>
      <c r="H886" t="e">
        <f t="shared" si="172"/>
        <v>#N/A</v>
      </c>
      <c r="I886">
        <f t="shared" si="173"/>
        <v>2025</v>
      </c>
      <c r="J886">
        <f t="shared" si="174"/>
        <v>2.0459999999999998</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Wanderburg</v>
      </c>
      <c r="B887">
        <f>IF($A887="","",games!$B887)</f>
        <v>2026</v>
      </c>
      <c r="C887" t="str">
        <f>IF($A887="","",games!$C887)</f>
        <v>Action</v>
      </c>
      <c r="D887">
        <f>IF($A887="","",COUNTIF(connections!$A$2:$A$2500,$A887)+COUNTIF(connections!$B$2:$B$2500,$A887))</f>
        <v>2</v>
      </c>
      <c r="E887">
        <f t="shared" si="169"/>
        <v>1</v>
      </c>
      <c r="F887">
        <f t="shared" si="170"/>
        <v>3</v>
      </c>
      <c r="G887">
        <f t="shared" si="171"/>
        <v>2026</v>
      </c>
      <c r="H887">
        <f t="shared" si="172"/>
        <v>1.069</v>
      </c>
      <c r="I887" t="e">
        <f t="shared" si="173"/>
        <v>#N/A</v>
      </c>
      <c r="J887" t="e">
        <f t="shared" si="174"/>
        <v>#N/A</v>
      </c>
      <c r="K887" t="e">
        <f t="shared" si="175"/>
        <v>#N/A</v>
      </c>
      <c r="L887" t="e">
        <f t="shared" si="176"/>
        <v>#N/A</v>
      </c>
      <c r="M887" t="e">
        <f t="shared" si="177"/>
        <v>#N/A</v>
      </c>
      <c r="N887" t="e">
        <f t="shared" si="178"/>
        <v>#N/A</v>
      </c>
      <c r="O887">
        <f t="shared" si="179"/>
        <v>2.0008870000000001</v>
      </c>
      <c r="P887" t="str">
        <f>IF(OR($A887="",games!$H887=""),"",games!$H887)</f>
        <v/>
      </c>
      <c r="Q887" t="str">
        <f t="shared" si="180"/>
        <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Warhammer Survivors</v>
      </c>
      <c r="B888">
        <f>IF($A888="","",games!$B888)</f>
        <v>2026</v>
      </c>
      <c r="C888" t="str">
        <f>IF($A888="","",games!$C888)</f>
        <v>Action</v>
      </c>
      <c r="D888">
        <f>IF($A888="","",COUNTIF(connections!$A$2:$A$2500,$A888)+COUNTIF(connections!$B$2:$B$2500,$A888))</f>
        <v>1</v>
      </c>
      <c r="E888">
        <f t="shared" si="169"/>
        <v>1</v>
      </c>
      <c r="F888">
        <f t="shared" si="170"/>
        <v>4</v>
      </c>
      <c r="G888">
        <f t="shared" si="171"/>
        <v>2026</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WarpVector</v>
      </c>
      <c r="B889">
        <f>IF($A889="","",games!$B889)</f>
        <v>2023</v>
      </c>
      <c r="C889" t="str">
        <f>IF($A889="","",games!$C889)</f>
        <v>Traditional</v>
      </c>
      <c r="D889">
        <f>IF($A889="","",COUNTIF(connections!$A$2:$A$2500,$A889)+COUNTIF(connections!$B$2:$B$2500,$A889))</f>
        <v>2</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2023</v>
      </c>
      <c r="N889">
        <f t="shared" si="178"/>
        <v>4.1150000000000002</v>
      </c>
      <c r="O889">
        <f t="shared" si="179"/>
        <v>2.0008889999999999</v>
      </c>
      <c r="P889" t="str">
        <f>IF(OR($A889="",games!$H889=""),"",games!$H889)</f>
        <v>Yes</v>
      </c>
      <c r="Q889">
        <f t="shared" si="180"/>
        <v>2.0008889999999999</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Warriors: Abyss</v>
      </c>
      <c r="B890">
        <f>IF($A890="","",games!$B890)</f>
        <v>2025</v>
      </c>
      <c r="C890" t="str">
        <f>IF($A890="","",games!$C890)</f>
        <v>Action</v>
      </c>
      <c r="D890">
        <f>IF($A890="","",COUNTIF(connections!$A$2:$A$2500,$A890)+COUNTIF(connections!$B$2:$B$2500,$A890))</f>
        <v>1</v>
      </c>
      <c r="E890">
        <f t="shared" si="169"/>
        <v>1</v>
      </c>
      <c r="F890">
        <f t="shared" si="170"/>
        <v>6</v>
      </c>
      <c r="G890">
        <f t="shared" si="171"/>
        <v>2025</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Yes</v>
      </c>
      <c r="Q890">
        <f t="shared" si="180"/>
        <v>1.0008900000000001</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Warsim: The Realm of Aslona</v>
      </c>
      <c r="B891">
        <f>IF($A891="","",games!$B891)</f>
        <v>2017</v>
      </c>
      <c r="C891" t="str">
        <f>IF($A891="","",games!$C891)</f>
        <v>Strategy</v>
      </c>
      <c r="D891">
        <f>IF($A891="","",COUNTIF(connections!$A$2:$A$2500,$A891)+COUNTIF(connections!$B$2:$B$2500,$A891))</f>
        <v>1</v>
      </c>
      <c r="E891">
        <f t="shared" si="169"/>
        <v>2</v>
      </c>
      <c r="F891">
        <f t="shared" si="170"/>
        <v>7</v>
      </c>
      <c r="G891" t="e">
        <f t="shared" si="171"/>
        <v>#N/A</v>
      </c>
      <c r="H891" t="e">
        <f t="shared" si="172"/>
        <v>#N/A</v>
      </c>
      <c r="I891">
        <f t="shared" si="173"/>
        <v>2017</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Wayward</v>
      </c>
      <c r="B892">
        <f>IF($A892="","",games!$B892)</f>
        <v>2011</v>
      </c>
      <c r="C892" t="str">
        <f>IF($A892="","",games!$C892)</f>
        <v>Traditional</v>
      </c>
      <c r="D892">
        <f>IF($A892="","",COUNTIF(connections!$A$2:$A$2500,$A892)+COUNTIF(connections!$B$2:$B$2500,$A892))</f>
        <v>3</v>
      </c>
      <c r="E892">
        <f t="shared" si="169"/>
        <v>4</v>
      </c>
      <c r="F892">
        <f t="shared" si="170"/>
        <v>8</v>
      </c>
      <c r="G892" t="e">
        <f t="shared" si="171"/>
        <v>#N/A</v>
      </c>
      <c r="H892" t="e">
        <f t="shared" si="172"/>
        <v>#N/A</v>
      </c>
      <c r="I892" t="e">
        <f t="shared" si="173"/>
        <v>#N/A</v>
      </c>
      <c r="J892" t="e">
        <f t="shared" si="174"/>
        <v>#N/A</v>
      </c>
      <c r="K892" t="e">
        <f t="shared" si="175"/>
        <v>#N/A</v>
      </c>
      <c r="L892" t="e">
        <f t="shared" si="176"/>
        <v>#N/A</v>
      </c>
      <c r="M892">
        <f t="shared" si="177"/>
        <v>2011</v>
      </c>
      <c r="N892">
        <f t="shared" si="178"/>
        <v>4.1840000000000002</v>
      </c>
      <c r="O892">
        <f t="shared" si="179"/>
        <v>3.0008919999999999</v>
      </c>
      <c r="P892" t="str">
        <f>IF(OR($A892="",games!$H892=""),"",games!$H892)</f>
        <v/>
      </c>
      <c r="Q892" t="str">
        <f t="shared" si="180"/>
        <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WazHack</v>
      </c>
      <c r="B893">
        <f>IF($A893="","",games!$B893)</f>
        <v>2012</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2012</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We Need To Go Deeper</v>
      </c>
      <c r="B894">
        <f>IF($A894="","",games!$B894)</f>
        <v>2017</v>
      </c>
      <c r="C894" t="str">
        <f>IF($A894="","",games!$C894)</f>
        <v>Action</v>
      </c>
      <c r="D894">
        <f>IF($A894="","",COUNTIF(connections!$A$2:$A$2500,$A894)+COUNTIF(connections!$B$2:$B$2500,$A894))</f>
        <v>0</v>
      </c>
      <c r="E894">
        <f t="shared" si="169"/>
        <v>1</v>
      </c>
      <c r="F894">
        <f t="shared" si="170"/>
        <v>10</v>
      </c>
      <c r="G894">
        <f t="shared" si="171"/>
        <v>2017</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Yes</v>
      </c>
      <c r="Q894">
        <f t="shared" si="180"/>
        <v>8.9400000000000005E-4</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Weird Worlds: Return to Infinite Space</v>
      </c>
      <c r="B895">
        <f>IF($A895="","",games!$B895)</f>
        <v>2005</v>
      </c>
      <c r="C895" t="str">
        <f>IF($A895="","",games!$C895)</f>
        <v>Strategy</v>
      </c>
      <c r="D895">
        <f>IF($A895="","",COUNTIF(connections!$A$2:$A$2500,$A895)+COUNTIF(connections!$B$2:$B$2500,$A895))</f>
        <v>3</v>
      </c>
      <c r="E895">
        <f t="shared" si="169"/>
        <v>2</v>
      </c>
      <c r="F895">
        <f t="shared" si="170"/>
        <v>11</v>
      </c>
      <c r="G895" t="e">
        <f t="shared" si="171"/>
        <v>#N/A</v>
      </c>
      <c r="H895" t="e">
        <f t="shared" si="172"/>
        <v>#N/A</v>
      </c>
      <c r="I895">
        <f t="shared" si="173"/>
        <v>2005</v>
      </c>
      <c r="J895">
        <f t="shared" si="174"/>
        <v>2.2530000000000001</v>
      </c>
      <c r="K895" t="e">
        <f t="shared" si="175"/>
        <v>#N/A</v>
      </c>
      <c r="L895" t="e">
        <f t="shared" si="176"/>
        <v>#N/A</v>
      </c>
      <c r="M895" t="e">
        <f t="shared" si="177"/>
        <v>#N/A</v>
      </c>
      <c r="N895" t="e">
        <f t="shared" si="178"/>
        <v>#N/A</v>
      </c>
      <c r="O895">
        <f t="shared" si="179"/>
        <v>3.0008949999999999</v>
      </c>
      <c r="P895" t="str">
        <f>IF(OR($A895="",games!$H895=""),"",games!$H895)</f>
        <v>Yes</v>
      </c>
      <c r="Q895">
        <f t="shared" si="180"/>
        <v>3.0008949999999999</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West of Dead</v>
      </c>
      <c r="B896">
        <f>IF($A896="","",games!$B896)</f>
        <v>2020</v>
      </c>
      <c r="C896" t="str">
        <f>IF($A896="","",games!$C896)</f>
        <v>Action</v>
      </c>
      <c r="D896">
        <f>IF($A896="","",COUNTIF(connections!$A$2:$A$2500,$A896)+COUNTIF(connections!$B$2:$B$2500,$A896))</f>
        <v>1</v>
      </c>
      <c r="E896">
        <f t="shared" si="169"/>
        <v>1</v>
      </c>
      <c r="F896">
        <f t="shared" si="170"/>
        <v>12</v>
      </c>
      <c r="G896">
        <f t="shared" si="171"/>
        <v>2020</v>
      </c>
      <c r="H896">
        <f t="shared" si="172"/>
        <v>1.276</v>
      </c>
      <c r="I896" t="e">
        <f t="shared" si="173"/>
        <v>#N/A</v>
      </c>
      <c r="J896" t="e">
        <f t="shared" si="174"/>
        <v>#N/A</v>
      </c>
      <c r="K896" t="e">
        <f t="shared" si="175"/>
        <v>#N/A</v>
      </c>
      <c r="L896" t="e">
        <f t="shared" si="176"/>
        <v>#N/A</v>
      </c>
      <c r="M896" t="e">
        <f t="shared" si="177"/>
        <v>#N/A</v>
      </c>
      <c r="N896" t="e">
        <f t="shared" si="178"/>
        <v>#N/A</v>
      </c>
      <c r="O896">
        <f t="shared" si="179"/>
        <v>1.000896</v>
      </c>
      <c r="P896" t="str">
        <f>IF(OR($A896="",games!$H896=""),"",games!$H896)</f>
        <v>Yes</v>
      </c>
      <c r="Q896">
        <f t="shared" si="180"/>
        <v>1.000896</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Whisker Squadron: Survivor</v>
      </c>
      <c r="B897">
        <f>IF($A897="","",games!$B897)</f>
        <v>2025</v>
      </c>
      <c r="C897" t="str">
        <f>IF($A897="","",games!$C897)</f>
        <v>Action</v>
      </c>
      <c r="D897">
        <f>IF($A897="","",COUNTIF(connections!$A$2:$A$2500,$A897)+COUNTIF(connections!$B$2:$B$2500,$A897))</f>
        <v>1</v>
      </c>
      <c r="E897">
        <f t="shared" si="169"/>
        <v>1</v>
      </c>
      <c r="F897">
        <f t="shared" si="170"/>
        <v>13</v>
      </c>
      <c r="G897">
        <f t="shared" si="171"/>
        <v>2025</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White Knuckle</v>
      </c>
      <c r="B898">
        <f>IF($A898="","",games!$B898)</f>
        <v>2025</v>
      </c>
      <c r="C898" t="str">
        <f>IF($A898="","",games!$C898)</f>
        <v>Action</v>
      </c>
      <c r="D898">
        <f>IF($A898="","",COUNTIF(connections!$A$2:$A$2500,$A898)+COUNTIF(connections!$B$2:$B$2500,$A898))</f>
        <v>0</v>
      </c>
      <c r="E898">
        <f t="shared" ref="E898:E961" si="182">IF($A898="","",IFERROR(MATCH($C898,$R$2:$R$5,0),0))</f>
        <v>1</v>
      </c>
      <c r="F898">
        <f t="shared" ref="F898:F961" si="183">IF($A898="","",MOD(ROW(),34))</f>
        <v>14</v>
      </c>
      <c r="G898">
        <f t="shared" ref="G898:G961" si="184">IF($A898="",NA(),IF($C898="Action",$B898,NA()))</f>
        <v>2025</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8.9800000000000004E-4</v>
      </c>
      <c r="P898" t="str">
        <f>IF(OR($A898="",games!$H898=""),"",games!$H898)</f>
        <v/>
      </c>
      <c r="Q898" t="str">
        <f t="shared" ref="Q898:Q961" si="193">IF(OR($A898="",$P898&lt;&gt;"Yes"),"",$D898+ROW()/1000000)</f>
        <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Wild Bastards</v>
      </c>
      <c r="B899">
        <f>IF($A899="","",games!$B899)</f>
        <v>2024</v>
      </c>
      <c r="C899" t="str">
        <f>IF($A899="","",games!$C899)</f>
        <v>Action</v>
      </c>
      <c r="D899">
        <f>IF($A899="","",COUNTIF(connections!$A$2:$A$2500,$A899)+COUNTIF(connections!$B$2:$B$2500,$A899))</f>
        <v>1</v>
      </c>
      <c r="E899">
        <f t="shared" si="182"/>
        <v>1</v>
      </c>
      <c r="F899">
        <f t="shared" si="183"/>
        <v>15</v>
      </c>
      <c r="G899">
        <f t="shared" si="184"/>
        <v>2024</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Wildermyth</v>
      </c>
      <c r="B900">
        <f>IF($A900="","",games!$B900)</f>
        <v>2019</v>
      </c>
      <c r="C900" t="str">
        <f>IF($A900="","",games!$C900)</f>
        <v>Strategy</v>
      </c>
      <c r="D900">
        <f>IF($A900="","",COUNTIF(connections!$A$2:$A$2500,$A900)+COUNTIF(connections!$B$2:$B$2500,$A900))</f>
        <v>0</v>
      </c>
      <c r="E900">
        <f t="shared" si="182"/>
        <v>2</v>
      </c>
      <c r="F900">
        <f t="shared" si="183"/>
        <v>16</v>
      </c>
      <c r="G900" t="e">
        <f t="shared" si="184"/>
        <v>#N/A</v>
      </c>
      <c r="H900" t="e">
        <f t="shared" si="185"/>
        <v>#N/A</v>
      </c>
      <c r="I900">
        <f t="shared" si="186"/>
        <v>2019</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Wildfrost</v>
      </c>
      <c r="B901">
        <f>IF($A901="","",games!$B901)</f>
        <v>2023</v>
      </c>
      <c r="C901" t="str">
        <f>IF($A901="","",games!$C901)</f>
        <v>Deckbuilder</v>
      </c>
      <c r="D901">
        <f>IF($A901="","",COUNTIF(connections!$A$2:$A$2500,$A901)+COUNTIF(connections!$B$2:$B$2500,$A901))</f>
        <v>8</v>
      </c>
      <c r="E901">
        <f t="shared" si="182"/>
        <v>3</v>
      </c>
      <c r="F901">
        <f t="shared" si="183"/>
        <v>17</v>
      </c>
      <c r="G901" t="e">
        <f t="shared" si="184"/>
        <v>#N/A</v>
      </c>
      <c r="H901" t="e">
        <f t="shared" si="185"/>
        <v>#N/A</v>
      </c>
      <c r="I901" t="e">
        <f t="shared" si="186"/>
        <v>#N/A</v>
      </c>
      <c r="J901" t="e">
        <f t="shared" si="187"/>
        <v>#N/A</v>
      </c>
      <c r="K901">
        <f t="shared" si="188"/>
        <v>2023</v>
      </c>
      <c r="L901">
        <f t="shared" si="189"/>
        <v>3.391</v>
      </c>
      <c r="M901" t="e">
        <f t="shared" si="190"/>
        <v>#N/A</v>
      </c>
      <c r="N901" t="e">
        <f t="shared" si="191"/>
        <v>#N/A</v>
      </c>
      <c r="O901">
        <f t="shared" si="192"/>
        <v>8.0009010000000007</v>
      </c>
      <c r="P901" t="str">
        <f>IF(OR($A901="",games!$H901=""),"",games!$H901)</f>
        <v>Yes</v>
      </c>
      <c r="Q901">
        <f t="shared" si="193"/>
        <v>8.0009010000000007</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Windblown</v>
      </c>
      <c r="B902">
        <f>IF($A902="","",games!$B902)</f>
        <v>2024</v>
      </c>
      <c r="C902" t="str">
        <f>IF($A902="","",games!$C902)</f>
        <v>Action</v>
      </c>
      <c r="D902">
        <f>IF($A902="","",COUNTIF(connections!$A$2:$A$2500,$A902)+COUNTIF(connections!$B$2:$B$2500,$A902))</f>
        <v>1</v>
      </c>
      <c r="E902">
        <f t="shared" si="182"/>
        <v>1</v>
      </c>
      <c r="F902">
        <f t="shared" si="183"/>
        <v>18</v>
      </c>
      <c r="G902">
        <f t="shared" si="184"/>
        <v>2024</v>
      </c>
      <c r="H902">
        <f t="shared" si="185"/>
        <v>1.4139999999999999</v>
      </c>
      <c r="I902" t="e">
        <f t="shared" si="186"/>
        <v>#N/A</v>
      </c>
      <c r="J902" t="e">
        <f t="shared" si="187"/>
        <v>#N/A</v>
      </c>
      <c r="K902" t="e">
        <f t="shared" si="188"/>
        <v>#N/A</v>
      </c>
      <c r="L902" t="e">
        <f t="shared" si="189"/>
        <v>#N/A</v>
      </c>
      <c r="M902" t="e">
        <f t="shared" si="190"/>
        <v>#N/A</v>
      </c>
      <c r="N902" t="e">
        <f t="shared" si="191"/>
        <v>#N/A</v>
      </c>
      <c r="O902">
        <f t="shared" si="192"/>
        <v>1.000902</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Winnie's Hole</v>
      </c>
      <c r="B903">
        <f>IF($A903="","",games!$B903)</f>
        <v>2026</v>
      </c>
      <c r="C903" t="str">
        <f>IF($A903="","",games!$C903)</f>
        <v>Deckbuilder</v>
      </c>
      <c r="D903">
        <f>IF($A903="","",COUNTIF(connections!$A$2:$A$2500,$A903)+COUNTIF(connections!$B$2:$B$2500,$A903))</f>
        <v>4</v>
      </c>
      <c r="E903">
        <f t="shared" si="182"/>
        <v>3</v>
      </c>
      <c r="F903">
        <f t="shared" si="183"/>
        <v>19</v>
      </c>
      <c r="G903" t="e">
        <f t="shared" si="184"/>
        <v>#N/A</v>
      </c>
      <c r="H903" t="e">
        <f t="shared" si="185"/>
        <v>#N/A</v>
      </c>
      <c r="I903" t="e">
        <f t="shared" si="186"/>
        <v>#N/A</v>
      </c>
      <c r="J903" t="e">
        <f t="shared" si="187"/>
        <v>#N/A</v>
      </c>
      <c r="K903">
        <f t="shared" si="188"/>
        <v>2026</v>
      </c>
      <c r="L903">
        <f t="shared" si="189"/>
        <v>3.4369999999999998</v>
      </c>
      <c r="M903" t="e">
        <f t="shared" si="190"/>
        <v>#N/A</v>
      </c>
      <c r="N903" t="e">
        <f t="shared" si="191"/>
        <v>#N/A</v>
      </c>
      <c r="O903">
        <f t="shared" si="192"/>
        <v>4.0009030000000001</v>
      </c>
      <c r="P903" t="str">
        <f>IF(OR($A903="",games!$H903=""),"",games!$H903)</f>
        <v/>
      </c>
      <c r="Q903" t="str">
        <f t="shared" si="193"/>
        <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Wireworks</v>
      </c>
      <c r="B904">
        <f>IF($A904="","",games!$B904)</f>
        <v>2026</v>
      </c>
      <c r="C904" t="str">
        <f>IF($A904="","",games!$C904)</f>
        <v>Strategy</v>
      </c>
      <c r="D904">
        <f>IF($A904="","",COUNTIF(connections!$A$2:$A$2500,$A904)+COUNTIF(connections!$B$2:$B$2500,$A904))</f>
        <v>0</v>
      </c>
      <c r="E904">
        <f t="shared" si="182"/>
        <v>2</v>
      </c>
      <c r="F904">
        <f t="shared" si="183"/>
        <v>20</v>
      </c>
      <c r="G904" t="e">
        <f t="shared" si="184"/>
        <v>#N/A</v>
      </c>
      <c r="H904" t="e">
        <f t="shared" si="185"/>
        <v>#N/A</v>
      </c>
      <c r="I904">
        <f t="shared" si="186"/>
        <v>2026</v>
      </c>
      <c r="J904">
        <f t="shared" si="187"/>
        <v>2.46</v>
      </c>
      <c r="K904" t="e">
        <f t="shared" si="188"/>
        <v>#N/A</v>
      </c>
      <c r="L904" t="e">
        <f t="shared" si="189"/>
        <v>#N/A</v>
      </c>
      <c r="M904" t="e">
        <f t="shared" si="190"/>
        <v>#N/A</v>
      </c>
      <c r="N904" t="e">
        <f t="shared" si="191"/>
        <v>#N/A</v>
      </c>
      <c r="O904">
        <f t="shared" si="192"/>
        <v>9.0399999999999996E-4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Witchfire</v>
      </c>
      <c r="B905">
        <f>IF($A905="","",games!$B905)</f>
        <v>2023</v>
      </c>
      <c r="C905" t="str">
        <f>IF($A905="","",games!$C905)</f>
        <v>Action</v>
      </c>
      <c r="D905">
        <f>IF($A905="","",COUNTIF(connections!$A$2:$A$2500,$A905)+COUNTIF(connections!$B$2:$B$2500,$A905))</f>
        <v>3</v>
      </c>
      <c r="E905">
        <f t="shared" si="182"/>
        <v>1</v>
      </c>
      <c r="F905">
        <f t="shared" si="183"/>
        <v>21</v>
      </c>
      <c r="G905">
        <f t="shared" si="184"/>
        <v>2023</v>
      </c>
      <c r="H905">
        <f t="shared" si="185"/>
        <v>1.4830000000000001</v>
      </c>
      <c r="I905" t="e">
        <f t="shared" si="186"/>
        <v>#N/A</v>
      </c>
      <c r="J905" t="e">
        <f t="shared" si="187"/>
        <v>#N/A</v>
      </c>
      <c r="K905" t="e">
        <f t="shared" si="188"/>
        <v>#N/A</v>
      </c>
      <c r="L905" t="e">
        <f t="shared" si="189"/>
        <v>#N/A</v>
      </c>
      <c r="M905" t="e">
        <f t="shared" si="190"/>
        <v>#N/A</v>
      </c>
      <c r="N905" t="e">
        <f t="shared" si="191"/>
        <v>#N/A</v>
      </c>
      <c r="O905">
        <f t="shared" si="192"/>
        <v>3.0009049999999999</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Witch's Apocalyptic Journey</v>
      </c>
      <c r="B906">
        <f>IF($A906="","",games!$B906)</f>
        <v>2026</v>
      </c>
      <c r="C906" t="str">
        <f>IF($A906="","",games!$C906)</f>
        <v>Deckbuilder</v>
      </c>
      <c r="D906">
        <f>IF($A906="","",COUNTIF(connections!$A$2:$A$2500,$A906)+COUNTIF(connections!$B$2:$B$2500,$A906))</f>
        <v>1</v>
      </c>
      <c r="E906">
        <f t="shared" si="182"/>
        <v>3</v>
      </c>
      <c r="F906">
        <f t="shared" si="183"/>
        <v>22</v>
      </c>
      <c r="G906" t="e">
        <f t="shared" si="184"/>
        <v>#N/A</v>
      </c>
      <c r="H906" t="e">
        <f t="shared" si="185"/>
        <v>#N/A</v>
      </c>
      <c r="I906" t="e">
        <f t="shared" si="186"/>
        <v>#N/A</v>
      </c>
      <c r="J906" t="e">
        <f t="shared" si="187"/>
        <v>#N/A</v>
      </c>
      <c r="K906">
        <f t="shared" si="188"/>
        <v>2026</v>
      </c>
      <c r="L906">
        <f t="shared" si="189"/>
        <v>3.5060000000000002</v>
      </c>
      <c r="M906" t="e">
        <f t="shared" si="190"/>
        <v>#N/A</v>
      </c>
      <c r="N906" t="e">
        <f t="shared" si="191"/>
        <v>#N/A</v>
      </c>
      <c r="O906">
        <f t="shared" si="192"/>
        <v>1.0009060000000001</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Wizard of Legend</v>
      </c>
      <c r="B907">
        <f>IF($A907="","",games!$B907)</f>
        <v>2018</v>
      </c>
      <c r="C907" t="str">
        <f>IF($A907="","",games!$C907)</f>
        <v>Action</v>
      </c>
      <c r="D907">
        <f>IF($A907="","",COUNTIF(connections!$A$2:$A$2500,$A907)+COUNTIF(connections!$B$2:$B$2500,$A907))</f>
        <v>5</v>
      </c>
      <c r="E907">
        <f t="shared" si="182"/>
        <v>1</v>
      </c>
      <c r="F907">
        <f t="shared" si="183"/>
        <v>23</v>
      </c>
      <c r="G907">
        <f t="shared" si="184"/>
        <v>2018</v>
      </c>
      <c r="H907">
        <f t="shared" si="185"/>
        <v>1.5289999999999999</v>
      </c>
      <c r="I907" t="e">
        <f t="shared" si="186"/>
        <v>#N/A</v>
      </c>
      <c r="J907" t="e">
        <f t="shared" si="187"/>
        <v>#N/A</v>
      </c>
      <c r="K907" t="e">
        <f t="shared" si="188"/>
        <v>#N/A</v>
      </c>
      <c r="L907" t="e">
        <f t="shared" si="189"/>
        <v>#N/A</v>
      </c>
      <c r="M907" t="e">
        <f t="shared" si="190"/>
        <v>#N/A</v>
      </c>
      <c r="N907" t="e">
        <f t="shared" si="191"/>
        <v>#N/A</v>
      </c>
      <c r="O907">
        <f t="shared" si="192"/>
        <v>5.0009069999999998</v>
      </c>
      <c r="P907" t="str">
        <f>IF(OR($A907="",games!$H907=""),"",games!$H907)</f>
        <v>Yes</v>
      </c>
      <c r="Q907">
        <f t="shared" si="193"/>
        <v>5.0009069999999998</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Wizard of Legend 2</v>
      </c>
      <c r="B908">
        <f>IF($A908="","",games!$B908)</f>
        <v>2024</v>
      </c>
      <c r="C908" t="str">
        <f>IF($A908="","",games!$C908)</f>
        <v>Action</v>
      </c>
      <c r="D908">
        <f>IF($A908="","",COUNTIF(connections!$A$2:$A$2500,$A908)+COUNTIF(connections!$B$2:$B$2500,$A908))</f>
        <v>1</v>
      </c>
      <c r="E908">
        <f t="shared" si="182"/>
        <v>1</v>
      </c>
      <c r="F908">
        <f t="shared" si="183"/>
        <v>24</v>
      </c>
      <c r="G908">
        <f t="shared" si="184"/>
        <v>2024</v>
      </c>
      <c r="H908">
        <f t="shared" si="185"/>
        <v>1.552</v>
      </c>
      <c r="I908" t="e">
        <f t="shared" si="186"/>
        <v>#N/A</v>
      </c>
      <c r="J908" t="e">
        <f t="shared" si="187"/>
        <v>#N/A</v>
      </c>
      <c r="K908" t="e">
        <f t="shared" si="188"/>
        <v>#N/A</v>
      </c>
      <c r="L908" t="e">
        <f t="shared" si="189"/>
        <v>#N/A</v>
      </c>
      <c r="M908" t="e">
        <f t="shared" si="190"/>
        <v>#N/A</v>
      </c>
      <c r="N908" t="e">
        <f t="shared" si="191"/>
        <v>#N/A</v>
      </c>
      <c r="O908">
        <f t="shared" si="192"/>
        <v>1.0009079999999999</v>
      </c>
      <c r="P908" t="str">
        <f>IF(OR($A908="",games!$H908=""),"",games!$H908)</f>
        <v>Yes</v>
      </c>
      <c r="Q908">
        <f t="shared" si="193"/>
        <v>1.0009079999999999</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WizardChess</v>
      </c>
      <c r="B909">
        <f>IF($A909="","",games!$B909)</f>
        <v>2021</v>
      </c>
      <c r="C909" t="str">
        <f>IF($A909="","",games!$C909)</f>
        <v>Strategy</v>
      </c>
      <c r="D909">
        <f>IF($A909="","",COUNTIF(connections!$A$2:$A$2500,$A909)+COUNTIF(connections!$B$2:$B$2500,$A909))</f>
        <v>1</v>
      </c>
      <c r="E909">
        <f t="shared" si="182"/>
        <v>2</v>
      </c>
      <c r="F909">
        <f t="shared" si="183"/>
        <v>25</v>
      </c>
      <c r="G909" t="e">
        <f t="shared" si="184"/>
        <v>#N/A</v>
      </c>
      <c r="H909" t="e">
        <f t="shared" si="185"/>
        <v>#N/A</v>
      </c>
      <c r="I909">
        <f t="shared" si="186"/>
        <v>2021</v>
      </c>
      <c r="J909">
        <f t="shared" si="187"/>
        <v>2.5750000000000002</v>
      </c>
      <c r="K909" t="e">
        <f t="shared" si="188"/>
        <v>#N/A</v>
      </c>
      <c r="L909" t="e">
        <f t="shared" si="189"/>
        <v>#N/A</v>
      </c>
      <c r="M909" t="e">
        <f t="shared" si="190"/>
        <v>#N/A</v>
      </c>
      <c r="N909" t="e">
        <f t="shared" si="191"/>
        <v>#N/A</v>
      </c>
      <c r="O909">
        <f t="shared" si="192"/>
        <v>1.000909</v>
      </c>
      <c r="P909" t="str">
        <f>IF(OR($A909="",games!$H909=""),"",games!$H909)</f>
        <v>Yes</v>
      </c>
      <c r="Q909">
        <f t="shared" si="193"/>
        <v>1.000909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Word Play</v>
      </c>
      <c r="B910">
        <f>IF($A910="","",games!$B910)</f>
        <v>2025</v>
      </c>
      <c r="C910" t="str">
        <f>IF($A910="","",games!$C910)</f>
        <v>Deckbuilder</v>
      </c>
      <c r="D910">
        <f>IF($A910="","",COUNTIF(connections!$A$2:$A$2500,$A910)+COUNTIF(connections!$B$2:$B$2500,$A910))</f>
        <v>1</v>
      </c>
      <c r="E910">
        <f t="shared" si="182"/>
        <v>3</v>
      </c>
      <c r="F910">
        <f t="shared" si="183"/>
        <v>26</v>
      </c>
      <c r="G910" t="e">
        <f t="shared" si="184"/>
        <v>#N/A</v>
      </c>
      <c r="H910" t="e">
        <f t="shared" si="185"/>
        <v>#N/A</v>
      </c>
      <c r="I910" t="e">
        <f t="shared" si="186"/>
        <v>#N/A</v>
      </c>
      <c r="J910" t="e">
        <f t="shared" si="187"/>
        <v>#N/A</v>
      </c>
      <c r="K910">
        <f t="shared" si="188"/>
        <v>2025</v>
      </c>
      <c r="L910">
        <f t="shared" si="189"/>
        <v>3.5979999999999999</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Wordatro!</v>
      </c>
      <c r="B911">
        <f>IF($A911="","",games!$B911)</f>
        <v>2025</v>
      </c>
      <c r="C911" t="str">
        <f>IF($A911="","",games!$C911)</f>
        <v>Deckbuilder</v>
      </c>
      <c r="D911">
        <f>IF($A911="","",COUNTIF(connections!$A$2:$A$2500,$A911)+COUNTIF(connections!$B$2:$B$2500,$A911))</f>
        <v>1</v>
      </c>
      <c r="E911">
        <f t="shared" si="182"/>
        <v>3</v>
      </c>
      <c r="F911">
        <f t="shared" si="183"/>
        <v>27</v>
      </c>
      <c r="G911" t="e">
        <f t="shared" si="184"/>
        <v>#N/A</v>
      </c>
      <c r="H911" t="e">
        <f t="shared" si="185"/>
        <v>#N/A</v>
      </c>
      <c r="I911" t="e">
        <f t="shared" si="186"/>
        <v>#N/A</v>
      </c>
      <c r="J911" t="e">
        <f t="shared" si="187"/>
        <v>#N/A</v>
      </c>
      <c r="K911">
        <f t="shared" si="188"/>
        <v>2025</v>
      </c>
      <c r="L911">
        <f t="shared" si="189"/>
        <v>3.621</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Words Can Kill</v>
      </c>
      <c r="B912">
        <f>IF($A912="","",games!$B912)</f>
        <v>2022</v>
      </c>
      <c r="C912" t="str">
        <f>IF($A912="","",games!$C912)</f>
        <v>Deckbuilder</v>
      </c>
      <c r="D912">
        <f>IF($A912="","",COUNTIF(connections!$A$2:$A$2500,$A912)+COUNTIF(connections!$B$2:$B$2500,$A912))</f>
        <v>2</v>
      </c>
      <c r="E912">
        <f t="shared" si="182"/>
        <v>3</v>
      </c>
      <c r="F912">
        <f t="shared" si="183"/>
        <v>28</v>
      </c>
      <c r="G912" t="e">
        <f t="shared" si="184"/>
        <v>#N/A</v>
      </c>
      <c r="H912" t="e">
        <f t="shared" si="185"/>
        <v>#N/A</v>
      </c>
      <c r="I912" t="e">
        <f t="shared" si="186"/>
        <v>#N/A</v>
      </c>
      <c r="J912" t="e">
        <f t="shared" si="187"/>
        <v>#N/A</v>
      </c>
      <c r="K912">
        <f t="shared" si="188"/>
        <v>2022</v>
      </c>
      <c r="L912">
        <f t="shared" si="189"/>
        <v>3.6440000000000001</v>
      </c>
      <c r="M912" t="e">
        <f t="shared" si="190"/>
        <v>#N/A</v>
      </c>
      <c r="N912" t="e">
        <f t="shared" si="191"/>
        <v>#N/A</v>
      </c>
      <c r="O912">
        <f t="shared" si="192"/>
        <v>2.000912</v>
      </c>
      <c r="P912" t="str">
        <f>IF(OR($A912="",games!$H912=""),"",games!$H912)</f>
        <v>Yes</v>
      </c>
      <c r="Q912">
        <f t="shared" si="193"/>
        <v>2.000912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Worlds Upon The Wind</v>
      </c>
      <c r="B913">
        <f>IF($A913="","",games!$B913)</f>
        <v>2026</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2026</v>
      </c>
      <c r="L913">
        <f t="shared" si="189"/>
        <v>3.6669999999999998</v>
      </c>
      <c r="M913" t="e">
        <f t="shared" si="190"/>
        <v>#N/A</v>
      </c>
      <c r="N913" t="e">
        <f t="shared" si="191"/>
        <v>#N/A</v>
      </c>
      <c r="O913">
        <f t="shared" si="192"/>
        <v>1.0009129999999999</v>
      </c>
      <c r="P913" t="str">
        <f>IF(OR($A913="",games!$H913=""),"",games!$H913)</f>
        <v/>
      </c>
      <c r="Q913" t="str">
        <f t="shared" si="193"/>
        <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Yasha: Legends of the Demon Blade</v>
      </c>
      <c r="B914">
        <f>IF($A914="","",games!$B914)</f>
        <v>2025</v>
      </c>
      <c r="C914" t="str">
        <f>IF($A914="","",games!$C914)</f>
        <v>Action</v>
      </c>
      <c r="D914">
        <f>IF($A914="","",COUNTIF(connections!$A$2:$A$2500,$A914)+COUNTIF(connections!$B$2:$B$2500,$A914))</f>
        <v>1</v>
      </c>
      <c r="E914">
        <f t="shared" si="182"/>
        <v>1</v>
      </c>
      <c r="F914">
        <f t="shared" si="183"/>
        <v>30</v>
      </c>
      <c r="G914">
        <f t="shared" si="184"/>
        <v>2025</v>
      </c>
      <c r="H914">
        <f t="shared" si="185"/>
        <v>1.69</v>
      </c>
      <c r="I914" t="e">
        <f t="shared" si="186"/>
        <v>#N/A</v>
      </c>
      <c r="J914" t="e">
        <f t="shared" si="187"/>
        <v>#N/A</v>
      </c>
      <c r="K914" t="e">
        <f t="shared" si="188"/>
        <v>#N/A</v>
      </c>
      <c r="L914" t="e">
        <f t="shared" si="189"/>
        <v>#N/A</v>
      </c>
      <c r="M914" t="e">
        <f t="shared" si="190"/>
        <v>#N/A</v>
      </c>
      <c r="N914" t="e">
        <f t="shared" si="191"/>
        <v>#N/A</v>
      </c>
      <c r="O914">
        <f t="shared" si="192"/>
        <v>1.0009140000000001</v>
      </c>
      <c r="P914" t="str">
        <f>IF(OR($A914="",games!$H914=""),"",games!$H914)</f>
        <v/>
      </c>
      <c r="Q914" t="str">
        <f t="shared" si="193"/>
        <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Yet Another Zombie Survivors</v>
      </c>
      <c r="B915">
        <f>IF($A915="","",games!$B915)</f>
        <v>2023</v>
      </c>
      <c r="C915" t="str">
        <f>IF($A915="","",games!$C915)</f>
        <v>Action</v>
      </c>
      <c r="D915">
        <f>IF($A915="","",COUNTIF(connections!$A$2:$A$2500,$A915)+COUNTIF(connections!$B$2:$B$2500,$A915))</f>
        <v>1</v>
      </c>
      <c r="E915">
        <f t="shared" si="182"/>
        <v>1</v>
      </c>
      <c r="F915">
        <f t="shared" si="183"/>
        <v>31</v>
      </c>
      <c r="G915">
        <f t="shared" si="184"/>
        <v>2023</v>
      </c>
      <c r="H915">
        <f t="shared" si="185"/>
        <v>1.7130000000000001</v>
      </c>
      <c r="I915" t="e">
        <f t="shared" si="186"/>
        <v>#N/A</v>
      </c>
      <c r="J915" t="e">
        <f t="shared" si="187"/>
        <v>#N/A</v>
      </c>
      <c r="K915" t="e">
        <f t="shared" si="188"/>
        <v>#N/A</v>
      </c>
      <c r="L915" t="e">
        <f t="shared" si="189"/>
        <v>#N/A</v>
      </c>
      <c r="M915" t="e">
        <f t="shared" si="190"/>
        <v>#N/A</v>
      </c>
      <c r="N915" t="e">
        <f t="shared" si="191"/>
        <v>#N/A</v>
      </c>
      <c r="O915">
        <f t="shared" si="192"/>
        <v>1.000915</v>
      </c>
      <c r="P915" t="str">
        <f>IF(OR($A915="",games!$H915=""),"",games!$H915)</f>
        <v>Yes</v>
      </c>
      <c r="Q915">
        <f t="shared" si="193"/>
        <v>1.000915</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Yohane the Parhelion: Numazu in the Mirage</v>
      </c>
      <c r="B916">
        <f>IF($A916="","",games!$B916)</f>
        <v>2024</v>
      </c>
      <c r="C916" t="str">
        <f>IF($A916="","",games!$C916)</f>
        <v>Deckbuilder</v>
      </c>
      <c r="D916">
        <f>IF($A916="","",COUNTIF(connections!$A$2:$A$2500,$A916)+COUNTIF(connections!$B$2:$B$2500,$A916))</f>
        <v>1</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1.0009159999999999</v>
      </c>
      <c r="P916" t="str">
        <f>IF(OR($A916="",games!$H916=""),"",games!$H916)</f>
        <v>Yes</v>
      </c>
      <c r="Q916">
        <f t="shared" si="193"/>
        <v>1.0009159999999999</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Youdanji</v>
      </c>
      <c r="B917">
        <f>IF($A917="","",games!$B917)</f>
        <v>2017</v>
      </c>
      <c r="C917" t="str">
        <f>IF($A917="","",games!$C917)</f>
        <v>Traditional</v>
      </c>
      <c r="D917">
        <f>IF($A917="","",COUNTIF(connections!$A$2:$A$2500,$A917)+COUNTIF(connections!$B$2:$B$2500,$A917))</f>
        <v>1</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2017</v>
      </c>
      <c r="N917">
        <f t="shared" si="191"/>
        <v>4.7590000000000003</v>
      </c>
      <c r="O917">
        <f t="shared" si="192"/>
        <v>1.0009170000000001</v>
      </c>
      <c r="P917" t="str">
        <f>IF(OR($A917="",games!$H917=""),"",games!$H917)</f>
        <v/>
      </c>
      <c r="Q917" t="str">
        <f t="shared" si="193"/>
        <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Z.H.P. Unlosing Ranger VS Darkdeath Evilman</v>
      </c>
      <c r="B918">
        <f>IF($A918="","",games!$B918)</f>
        <v>2010</v>
      </c>
      <c r="C918" t="str">
        <f>IF($A918="","",games!$C918)</f>
        <v>Traditional</v>
      </c>
      <c r="D918">
        <f>IF($A918="","",COUNTIF(connections!$A$2:$A$2500,$A918)+COUNTIF(connections!$B$2:$B$2500,$A918))</f>
        <v>2</v>
      </c>
      <c r="E918">
        <f t="shared" si="182"/>
        <v>4</v>
      </c>
      <c r="F918">
        <f t="shared" si="183"/>
        <v>0</v>
      </c>
      <c r="G918" t="e">
        <f t="shared" si="184"/>
        <v>#N/A</v>
      </c>
      <c r="H918" t="e">
        <f t="shared" si="185"/>
        <v>#N/A</v>
      </c>
      <c r="I918" t="e">
        <f t="shared" si="186"/>
        <v>#N/A</v>
      </c>
      <c r="J918" t="e">
        <f t="shared" si="187"/>
        <v>#N/A</v>
      </c>
      <c r="K918" t="e">
        <f t="shared" si="188"/>
        <v>#N/A</v>
      </c>
      <c r="L918" t="e">
        <f t="shared" si="189"/>
        <v>#N/A</v>
      </c>
      <c r="M918">
        <f t="shared" si="190"/>
        <v>2010</v>
      </c>
      <c r="N918">
        <f t="shared" si="191"/>
        <v>4</v>
      </c>
      <c r="O918">
        <f t="shared" si="192"/>
        <v>2.000918</v>
      </c>
      <c r="P918" t="str">
        <f>IF(OR($A918="",games!$H918=""),"",games!$H918)</f>
        <v>Yes</v>
      </c>
      <c r="Q918">
        <f t="shared" si="193"/>
        <v>2.000918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Zangband</v>
      </c>
      <c r="B919">
        <f>IF($A919="","",games!$B919)</f>
        <v>1994</v>
      </c>
      <c r="C919" t="str">
        <f>IF($A919="","",games!$C919)</f>
        <v>Traditional</v>
      </c>
      <c r="D919">
        <f>IF($A919="","",COUNTIF(connections!$A$2:$A$2500,$A919)+COUNTIF(connections!$B$2:$B$2500,$A919))</f>
        <v>4</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1994</v>
      </c>
      <c r="N919">
        <f t="shared" si="191"/>
        <v>4.0229999999999997</v>
      </c>
      <c r="O919">
        <f t="shared" si="192"/>
        <v>4.0009189999999997</v>
      </c>
      <c r="P919" t="str">
        <f>IF(OR($A919="",games!$H919=""),"",games!$H919)</f>
        <v>Yes</v>
      </c>
      <c r="Q919">
        <f t="shared" si="193"/>
        <v>4.0009189999999997</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Zet Zillions</v>
      </c>
      <c r="B920">
        <f>IF($A920="","",games!$B920)</f>
        <v>2024</v>
      </c>
      <c r="C920" t="str">
        <f>IF($A920="","",games!$C920)</f>
        <v>Deckbuilder</v>
      </c>
      <c r="D920">
        <f>IF($A920="","",COUNTIF(connections!$A$2:$A$2500,$A920)+COUNTIF(connections!$B$2:$B$2500,$A920))</f>
        <v>2</v>
      </c>
      <c r="E920">
        <f t="shared" si="182"/>
        <v>3</v>
      </c>
      <c r="F920">
        <f t="shared" si="183"/>
        <v>2</v>
      </c>
      <c r="G920" t="e">
        <f t="shared" si="184"/>
        <v>#N/A</v>
      </c>
      <c r="H920" t="e">
        <f t="shared" si="185"/>
        <v>#N/A</v>
      </c>
      <c r="I920" t="e">
        <f t="shared" si="186"/>
        <v>#N/A</v>
      </c>
      <c r="J920" t="e">
        <f t="shared" si="187"/>
        <v>#N/A</v>
      </c>
      <c r="K920">
        <f t="shared" si="188"/>
        <v>2024</v>
      </c>
      <c r="L920">
        <f t="shared" si="189"/>
        <v>3.0459999999999998</v>
      </c>
      <c r="M920" t="e">
        <f t="shared" si="190"/>
        <v>#N/A</v>
      </c>
      <c r="N920" t="e">
        <f t="shared" si="191"/>
        <v>#N/A</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Ziggurat</v>
      </c>
      <c r="B921">
        <f>IF($A921="","",games!$B921)</f>
        <v>2014</v>
      </c>
      <c r="C921" t="str">
        <f>IF($A921="","",games!$C921)</f>
        <v>Action</v>
      </c>
      <c r="D921">
        <f>IF($A921="","",COUNTIF(connections!$A$2:$A$2500,$A921)+COUNTIF(connections!$B$2:$B$2500,$A921))</f>
        <v>3</v>
      </c>
      <c r="E921">
        <f t="shared" si="182"/>
        <v>1</v>
      </c>
      <c r="F921">
        <f t="shared" si="183"/>
        <v>3</v>
      </c>
      <c r="G921">
        <f t="shared" si="184"/>
        <v>2014</v>
      </c>
      <c r="H921">
        <f t="shared" si="185"/>
        <v>1.069</v>
      </c>
      <c r="I921" t="e">
        <f t="shared" si="186"/>
        <v>#N/A</v>
      </c>
      <c r="J921" t="e">
        <f t="shared" si="187"/>
        <v>#N/A</v>
      </c>
      <c r="K921" t="e">
        <f t="shared" si="188"/>
        <v>#N/A</v>
      </c>
      <c r="L921" t="e">
        <f t="shared" si="189"/>
        <v>#N/A</v>
      </c>
      <c r="M921" t="e">
        <f t="shared" si="190"/>
        <v>#N/A</v>
      </c>
      <c r="N921" t="e">
        <f t="shared" si="191"/>
        <v>#N/A</v>
      </c>
      <c r="O921">
        <f t="shared" si="192"/>
        <v>3.0009209999999999</v>
      </c>
      <c r="P921" t="str">
        <f>IF(OR($A921="",games!$H921=""),"",games!$H921)</f>
        <v>Yes</v>
      </c>
      <c r="Q921">
        <f t="shared" si="193"/>
        <v>3.0009209999999999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Ziggurat 2</v>
      </c>
      <c r="B922">
        <f>IF($A922="","",games!$B922)</f>
        <v>2020</v>
      </c>
      <c r="C922" t="str">
        <f>IF($A922="","",games!$C922)</f>
        <v>Action</v>
      </c>
      <c r="D922">
        <f>IF($A922="","",COUNTIF(connections!$A$2:$A$2500,$A922)+COUNTIF(connections!$B$2:$B$2500,$A922))</f>
        <v>1</v>
      </c>
      <c r="E922">
        <f t="shared" si="182"/>
        <v>1</v>
      </c>
      <c r="F922">
        <f t="shared" si="183"/>
        <v>4</v>
      </c>
      <c r="G922">
        <f t="shared" si="184"/>
        <v>2020</v>
      </c>
      <c r="H922">
        <f t="shared" si="185"/>
        <v>1.0920000000000001</v>
      </c>
      <c r="I922" t="e">
        <f t="shared" si="186"/>
        <v>#N/A</v>
      </c>
      <c r="J922" t="e">
        <f t="shared" si="187"/>
        <v>#N/A</v>
      </c>
      <c r="K922" t="e">
        <f t="shared" si="188"/>
        <v>#N/A</v>
      </c>
      <c r="L922" t="e">
        <f t="shared" si="189"/>
        <v>#N/A</v>
      </c>
      <c r="M922" t="e">
        <f t="shared" si="190"/>
        <v>#N/A</v>
      </c>
      <c r="N922" t="e">
        <f t="shared" si="191"/>
        <v>#N/A</v>
      </c>
      <c r="O922">
        <f t="shared" si="192"/>
        <v>1.0009220000000001</v>
      </c>
      <c r="P922" t="str">
        <f>IF(OR($A922="",games!$H922=""),"",games!$H922)</f>
        <v>Yes</v>
      </c>
      <c r="Q922">
        <f t="shared" si="193"/>
        <v>1.0009220000000001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ZMAngband</v>
      </c>
      <c r="B923">
        <f>IF($A923="","",games!$B923)</f>
        <v>2025</v>
      </c>
      <c r="C923" t="str">
        <f>IF($A923="","",games!$C923)</f>
        <v>Traditional</v>
      </c>
      <c r="D923">
        <f>IF($A923="","",COUNTIF(connections!$A$2:$A$2500,$A923)+COUNTIF(connections!$B$2:$B$2500,$A923))</f>
        <v>6</v>
      </c>
      <c r="E923">
        <f t="shared" si="182"/>
        <v>4</v>
      </c>
      <c r="F923">
        <f t="shared" si="183"/>
        <v>5</v>
      </c>
      <c r="G923" t="e">
        <f t="shared" si="184"/>
        <v>#N/A</v>
      </c>
      <c r="H923" t="e">
        <f t="shared" si="185"/>
        <v>#N/A</v>
      </c>
      <c r="I923" t="e">
        <f t="shared" si="186"/>
        <v>#N/A</v>
      </c>
      <c r="J923" t="e">
        <f t="shared" si="187"/>
        <v>#N/A</v>
      </c>
      <c r="K923" t="e">
        <f t="shared" si="188"/>
        <v>#N/A</v>
      </c>
      <c r="L923" t="e">
        <f t="shared" si="189"/>
        <v>#N/A</v>
      </c>
      <c r="M923">
        <f t="shared" si="190"/>
        <v>2025</v>
      </c>
      <c r="N923">
        <f t="shared" si="191"/>
        <v>4.1150000000000002</v>
      </c>
      <c r="O923">
        <f t="shared" si="192"/>
        <v>6.0009230000000002</v>
      </c>
      <c r="P923" t="str">
        <f>IF(OR($A923="",games!$H923=""),"",games!$H923)</f>
        <v>Yes</v>
      </c>
      <c r="Q923">
        <f t="shared" si="193"/>
        <v>6.0009230000000002</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Zoeti</v>
      </c>
      <c r="B924">
        <f>IF($A924="","",games!$B924)</f>
        <v>2023</v>
      </c>
      <c r="C924" t="str">
        <f>IF($A924="","",games!$C924)</f>
        <v>Deckbuilder</v>
      </c>
      <c r="D924">
        <f>IF($A924="","",COUNTIF(connections!$A$2:$A$2500,$A924)+COUNTIF(connections!$B$2:$B$2500,$A924))</f>
        <v>3</v>
      </c>
      <c r="E924">
        <f t="shared" si="182"/>
        <v>3</v>
      </c>
      <c r="F924">
        <f t="shared" si="183"/>
        <v>6</v>
      </c>
      <c r="G924" t="e">
        <f t="shared" si="184"/>
        <v>#N/A</v>
      </c>
      <c r="H924" t="e">
        <f t="shared" si="185"/>
        <v>#N/A</v>
      </c>
      <c r="I924" t="e">
        <f t="shared" si="186"/>
        <v>#N/A</v>
      </c>
      <c r="J924" t="e">
        <f t="shared" si="187"/>
        <v>#N/A</v>
      </c>
      <c r="K924">
        <f t="shared" si="188"/>
        <v>2023</v>
      </c>
      <c r="L924">
        <f t="shared" si="189"/>
        <v>3.1379999999999999</v>
      </c>
      <c r="M924" t="e">
        <f t="shared" si="190"/>
        <v>#N/A</v>
      </c>
      <c r="N924" t="e">
        <f t="shared" si="191"/>
        <v>#N/A</v>
      </c>
      <c r="O924">
        <f t="shared" si="192"/>
        <v>3.0009239999999999</v>
      </c>
      <c r="P924" t="str">
        <f>IF(OR($A924="",games!$H924=""),"",games!$H924)</f>
        <v>Yes</v>
      </c>
      <c r="Q924">
        <f t="shared" si="193"/>
        <v>3.0009239999999999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Zoominoes</v>
      </c>
      <c r="B925">
        <f>IF($A925="","",games!$B925)</f>
        <v>2026</v>
      </c>
      <c r="C925" t="str">
        <f>IF($A925="","",games!$C925)</f>
        <v>Deckbuilder</v>
      </c>
      <c r="D925">
        <f>IF($A925="","",COUNTIF(connections!$A$2:$A$2500,$A925)+COUNTIF(connections!$B$2:$B$2500,$A925))</f>
        <v>1</v>
      </c>
      <c r="E925">
        <f t="shared" si="182"/>
        <v>3</v>
      </c>
      <c r="F925">
        <f t="shared" si="183"/>
        <v>7</v>
      </c>
      <c r="G925" t="e">
        <f t="shared" si="184"/>
        <v>#N/A</v>
      </c>
      <c r="H925" t="e">
        <f t="shared" si="185"/>
        <v>#N/A</v>
      </c>
      <c r="I925" t="e">
        <f t="shared" si="186"/>
        <v>#N/A</v>
      </c>
      <c r="J925" t="e">
        <f t="shared" si="187"/>
        <v>#N/A</v>
      </c>
      <c r="K925">
        <f t="shared" si="188"/>
        <v>2026</v>
      </c>
      <c r="L925">
        <f t="shared" si="189"/>
        <v>3.161</v>
      </c>
      <c r="M925" t="e">
        <f t="shared" si="190"/>
        <v>#N/A</v>
      </c>
      <c r="N925" t="e">
        <f t="shared" si="191"/>
        <v>#N/A</v>
      </c>
      <c r="O925">
        <f t="shared" si="192"/>
        <v>1.0009250000000001</v>
      </c>
      <c r="P925" t="str">
        <f>IF(OR($A925="",games!$H925=""),"",games!$H925)</f>
        <v/>
      </c>
      <c r="Q925" t="str">
        <f t="shared" si="193"/>
        <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Zorbus</v>
      </c>
      <c r="B926">
        <f>IF($A926="","",games!$B926)</f>
        <v>2022</v>
      </c>
      <c r="C926" t="str">
        <f>IF($A926="","",games!$C926)</f>
        <v>Traditional</v>
      </c>
      <c r="D926">
        <f>IF($A926="","",COUNTIF(connections!$A$2:$A$2500,$A926)+COUNTIF(connections!$B$2:$B$2500,$A926))</f>
        <v>1</v>
      </c>
      <c r="E926">
        <f t="shared" si="182"/>
        <v>4</v>
      </c>
      <c r="F926">
        <f t="shared" si="183"/>
        <v>8</v>
      </c>
      <c r="G926" t="e">
        <f t="shared" si="184"/>
        <v>#N/A</v>
      </c>
      <c r="H926" t="e">
        <f t="shared" si="185"/>
        <v>#N/A</v>
      </c>
      <c r="I926" t="e">
        <f t="shared" si="186"/>
        <v>#N/A</v>
      </c>
      <c r="J926" t="e">
        <f t="shared" si="187"/>
        <v>#N/A</v>
      </c>
      <c r="K926" t="e">
        <f t="shared" si="188"/>
        <v>#N/A</v>
      </c>
      <c r="L926" t="e">
        <f t="shared" si="189"/>
        <v>#N/A</v>
      </c>
      <c r="M926">
        <f t="shared" si="190"/>
        <v>2022</v>
      </c>
      <c r="N926">
        <f t="shared" si="191"/>
        <v>4.1840000000000002</v>
      </c>
      <c r="O926">
        <f t="shared" si="192"/>
        <v>1.000926</v>
      </c>
      <c r="P926" t="str">
        <f>IF(OR($A926="",games!$H926=""),"",games!$H926)</f>
        <v>Yes</v>
      </c>
      <c r="Q926">
        <f t="shared" si="193"/>
        <v>1.000926</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
      </c>
      <c r="B927" t="str">
        <f>IF($A927="","",games!$B927)</f>
        <v/>
      </c>
      <c r="C927" t="str">
        <f>IF($A927="","",games!$C927)</f>
        <v/>
      </c>
      <c r="D927" t="str">
        <f>IF($A927="","",COUNTIF(connections!$A$2:$A$2500,$A927)+COUNTIF(connections!$B$2:$B$2500,$A927))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
      </c>
      <c r="B928" t="str">
        <f>IF($A928="","",games!$B928)</f>
        <v/>
      </c>
      <c r="C928" t="str">
        <f>IF($A928="","",games!$C928)</f>
        <v/>
      </c>
      <c r="D928" t="str">
        <f>IF($A928="","",COUNTIF(connections!$A$2:$A$2500,$A928)+COUNTIF(connections!$B$2:$B$2500,$A928))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1994</v>
      </c>
      <c r="U989">
        <f>IF(connections!$A989="","",IFERROR(INDEX(games!$B$2:$B$1200,MATCH(connections!$B989,games!$A$2:$A$1200,0)),""))</f>
        <v>2003</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1990</v>
      </c>
      <c r="U990">
        <f>IF(connections!$A990="","",IFERROR(INDEX(games!$B$2:$B$1200,MATCH(connections!$B990,games!$A$2:$A$1200,0)),""))</f>
        <v>2003</v>
      </c>
      <c r="V990">
        <f t="shared" si="207"/>
        <v>13</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1996</v>
      </c>
      <c r="U991">
        <f>IF(connections!$A991="","",IFERROR(INDEX(games!$B$2:$B$1200,MATCH(connections!$B991,games!$A$2:$A$1200,0)),""))</f>
        <v>2003</v>
      </c>
      <c r="V991">
        <f t="shared" si="207"/>
        <v>7</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1995</v>
      </c>
      <c r="U992">
        <f>IF(connections!$A992="","",IFERROR(INDEX(games!$B$2:$B$1200,MATCH(connections!$B992,games!$A$2:$A$1200,0)),""))</f>
        <v>2003</v>
      </c>
      <c r="V992">
        <f t="shared" si="207"/>
        <v>8</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1983</v>
      </c>
      <c r="U993">
        <f>IF(connections!$A993="","",IFERROR(INDEX(games!$B$2:$B$1200,MATCH(connections!$B993,games!$A$2:$A$1200,0)),""))</f>
        <v>2003</v>
      </c>
      <c r="V993">
        <f t="shared" si="207"/>
        <v>20</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1987</v>
      </c>
      <c r="U994">
        <f>IF(connections!$A994="","",IFERROR(INDEX(games!$B$2:$B$1200,MATCH(connections!$B994,games!$A$2:$A$1200,0)),""))</f>
        <v>2003</v>
      </c>
      <c r="V994">
        <f t="shared" si="207"/>
        <v>16</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2019</v>
      </c>
      <c r="U995">
        <f>IF(connections!$A995="","",IFERROR(INDEX(games!$B$2:$B$1200,MATCH(connections!$B995,games!$A$2:$A$1200,0)),""))</f>
        <v>2024</v>
      </c>
      <c r="V995">
        <f t="shared" si="207"/>
        <v>5</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2011</v>
      </c>
      <c r="U996">
        <f>IF(connections!$A996="","",IFERROR(INDEX(games!$B$2:$B$1200,MATCH(connections!$B996,games!$A$2:$A$1200,0)),""))</f>
        <v>2026</v>
      </c>
      <c r="V996">
        <f t="shared" si="207"/>
        <v>15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2019</v>
      </c>
      <c r="U997">
        <f>IF(connections!$A997="","",IFERROR(INDEX(games!$B$2:$B$1200,MATCH(connections!$B997,games!$A$2:$A$1200,0)),""))</f>
        <v>2026</v>
      </c>
      <c r="V997">
        <f t="shared" si="207"/>
        <v>7</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2022</v>
      </c>
      <c r="V998">
        <f t="shared" si="207"/>
        <v>3</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2013</v>
      </c>
      <c r="U999">
        <f>IF(connections!$A999="","",IFERROR(INDEX(games!$B$2:$B$1200,MATCH(connections!$B999,games!$A$2:$A$1200,0)),""))</f>
        <v>2022</v>
      </c>
      <c r="V999">
        <f t="shared" si="207"/>
        <v>9</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2018</v>
      </c>
      <c r="U1000">
        <f>IF(connections!$A1000="","",IFERROR(INDEX(games!$B$2:$B$1200,MATCH(connections!$B1000,games!$A$2:$A$1200,0)),""))</f>
        <v>2022</v>
      </c>
      <c r="V1000">
        <f t="shared" si="207"/>
        <v>4</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2022</v>
      </c>
      <c r="U1001">
        <f>IF(connections!$A1001="","",IFERROR(INDEX(games!$B$2:$B$1200,MATCH(connections!$B1001,games!$A$2:$A$1200,0)),""))</f>
        <v>2024</v>
      </c>
      <c r="V1001">
        <f t="shared" si="207"/>
        <v>2</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2002</v>
      </c>
      <c r="U1002">
        <f>IF(connections!$A1002="","",IFERROR(INDEX(games!$B$2:$B$1200,MATCH(connections!$B1002,games!$A$2:$A$1200,0)),""))</f>
        <v>2023</v>
      </c>
      <c r="V1002">
        <f t="shared" si="207"/>
        <v>21</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1980</v>
      </c>
      <c r="U1003">
        <f>IF(connections!$A1003="","",IFERROR(INDEX(games!$B$2:$B$1200,MATCH(connections!$B1003,games!$A$2:$A$1200,0)),""))</f>
        <v>2023</v>
      </c>
      <c r="V1003">
        <f t="shared" si="207"/>
        <v>43</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2010</v>
      </c>
      <c r="U1004">
        <f>IF(connections!$A1004="","",IFERROR(INDEX(games!$B$2:$B$1200,MATCH(connections!$B1004,games!$A$2:$A$1200,0)),""))</f>
        <v>2014</v>
      </c>
      <c r="V1004">
        <f t="shared" si="207"/>
        <v>4</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2011</v>
      </c>
      <c r="U1005">
        <f>IF(connections!$A1005="","",IFERROR(INDEX(games!$B$2:$B$1200,MATCH(connections!$B1005,games!$A$2:$A$1200,0)),""))</f>
        <v>2014</v>
      </c>
      <c r="V1005">
        <f t="shared" si="207"/>
        <v>3</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2019</v>
      </c>
      <c r="U1006">
        <f>IF(connections!$A1006="","",IFERROR(INDEX(games!$B$2:$B$1200,MATCH(connections!$B1006,games!$A$2:$A$1200,0)),""))</f>
        <v>2024</v>
      </c>
      <c r="V1006">
        <f t="shared" si="207"/>
        <v>5</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2023</v>
      </c>
      <c r="U1007">
        <f>IF(connections!$A1007="","",IFERROR(INDEX(games!$B$2:$B$1200,MATCH(connections!$B1007,games!$A$2:$A$1200,0)),""))</f>
        <v>2026</v>
      </c>
      <c r="V1007">
        <f t="shared" si="207"/>
        <v>3</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2024</v>
      </c>
      <c r="U1008">
        <f>IF(connections!$A1008="","",IFERROR(INDEX(games!$B$2:$B$1200,MATCH(connections!$B1008,games!$A$2:$A$1200,0)),""))</f>
        <v>2026</v>
      </c>
      <c r="V1008">
        <f t="shared" si="207"/>
        <v>2</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2014</v>
      </c>
      <c r="U1009">
        <f>IF(connections!$A1009="","",IFERROR(INDEX(games!$B$2:$B$1200,MATCH(connections!$B1009,games!$A$2:$A$1200,0)),""))</f>
        <v>2024</v>
      </c>
      <c r="V1009">
        <f t="shared" si="207"/>
        <v>10</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2022</v>
      </c>
      <c r="U1010">
        <f>IF(connections!$A1010="","",IFERROR(INDEX(games!$B$2:$B$1200,MATCH(connections!$B1010,games!$A$2:$A$1200,0)),""))</f>
        <v>2024</v>
      </c>
      <c r="V1010">
        <f t="shared" si="207"/>
        <v>2</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1987</v>
      </c>
      <c r="U1011">
        <f>IF(connections!$A1011="","",IFERROR(INDEX(games!$B$2:$B$1200,MATCH(connections!$B1011,games!$A$2:$A$1200,0)),""))</f>
        <v>1992</v>
      </c>
      <c r="V1011">
        <f t="shared" si="207"/>
        <v>5</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1980</v>
      </c>
      <c r="U1012">
        <f>IF(connections!$A1012="","",IFERROR(INDEX(games!$B$2:$B$1200,MATCH(connections!$B1012,games!$A$2:$A$1200,0)),""))</f>
        <v>1992</v>
      </c>
      <c r="V1012">
        <f t="shared" si="207"/>
        <v>12</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2016</v>
      </c>
      <c r="U1013">
        <f>IF(connections!$A1013="","",IFERROR(INDEX(games!$B$2:$B$1200,MATCH(connections!$B1013,games!$A$2:$A$1200,0)),""))</f>
        <v>2024</v>
      </c>
      <c r="V1013">
        <f t="shared" si="207"/>
        <v>8</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2015</v>
      </c>
      <c r="U1014">
        <f>IF(connections!$A1014="","",IFERROR(INDEX(games!$B$2:$B$1200,MATCH(connections!$B1014,games!$A$2:$A$1200,0)),""))</f>
        <v>2024</v>
      </c>
      <c r="V1014">
        <f t="shared" si="207"/>
        <v>9</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2011</v>
      </c>
      <c r="U1015">
        <f>IF(connections!$A1015="","",IFERROR(INDEX(games!$B$2:$B$1200,MATCH(connections!$B1015,games!$A$2:$A$1200,0)),""))</f>
        <v>2015</v>
      </c>
      <c r="V1015">
        <f t="shared" si="207"/>
        <v>4</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2012</v>
      </c>
      <c r="U1016">
        <f>IF(connections!$A1016="","",IFERROR(INDEX(games!$B$2:$B$1200,MATCH(connections!$B1016,games!$A$2:$A$1200,0)),""))</f>
        <v>2026</v>
      </c>
      <c r="V1016">
        <f t="shared" si="207"/>
        <v>14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2016</v>
      </c>
      <c r="U1017">
        <f>IF(connections!$A1017="","",IFERROR(INDEX(games!$B$2:$B$1200,MATCH(connections!$B1017,games!$A$2:$A$1200,0)),""))</f>
        <v>2019</v>
      </c>
      <c r="V1017">
        <f t="shared" si="207"/>
        <v>3</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2017</v>
      </c>
      <c r="U1018">
        <f>IF(connections!$A1018="","",IFERROR(INDEX(games!$B$2:$B$1200,MATCH(connections!$B1018,games!$A$2:$A$1200,0)),""))</f>
        <v>2019</v>
      </c>
      <c r="V1018">
        <f t="shared" si="207"/>
        <v>2</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2020</v>
      </c>
      <c r="U1019">
        <f>IF(connections!$A1019="","",IFERROR(INDEX(games!$B$2:$B$1200,MATCH(connections!$B1019,games!$A$2:$A$1200,0)),""))</f>
        <v>2023</v>
      </c>
      <c r="V1019">
        <f t="shared" si="207"/>
        <v>3</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2018</v>
      </c>
      <c r="U1020">
        <f>IF(connections!$A1020="","",IFERROR(INDEX(games!$B$2:$B$1200,MATCH(connections!$B1020,games!$A$2:$A$1200,0)),""))</f>
        <v>2025</v>
      </c>
      <c r="V1020">
        <f t="shared" si="207"/>
        <v>7</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2019</v>
      </c>
      <c r="U1021">
        <f>IF(connections!$A1021="","",IFERROR(INDEX(games!$B$2:$B$1200,MATCH(connections!$B1021,games!$A$2:$A$1200,0)),""))</f>
        <v>2025</v>
      </c>
      <c r="V1021">
        <f t="shared" si="207"/>
        <v>6</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2024</v>
      </c>
      <c r="V1022">
        <f t="shared" si="207"/>
        <v>5</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2020</v>
      </c>
      <c r="U1023">
        <f>IF(connections!$A1023="","",IFERROR(INDEX(games!$B$2:$B$1200,MATCH(connections!$B1023,games!$A$2:$A$1200,0)),""))</f>
        <v>2024</v>
      </c>
      <c r="V1023">
        <f t="shared" si="207"/>
        <v>4</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1987</v>
      </c>
      <c r="U1024">
        <f>IF(connections!$A1024="","",IFERROR(INDEX(games!$B$2:$B$1200,MATCH(connections!$B1024,games!$A$2:$A$1200,0)),""))</f>
        <v>2010</v>
      </c>
      <c r="V1024">
        <f t="shared" si="207"/>
        <v>23</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2008</v>
      </c>
      <c r="U1025">
        <f>IF(connections!$A1025="","",IFERROR(INDEX(games!$B$2:$B$1200,MATCH(connections!$B1025,games!$A$2:$A$1200,0)),""))</f>
        <v>2010</v>
      </c>
      <c r="V1025">
        <f t="shared" si="207"/>
        <v>2</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2015</v>
      </c>
      <c r="U1026">
        <f>IF(connections!$A1026="","",IFERROR(INDEX(games!$B$2:$B$1200,MATCH(connections!$B1026,games!$A$2:$A$1200,0)),""))</f>
        <v>2012</v>
      </c>
      <c r="V1026">
        <f t="shared" ref="V1026:V1089" si="220">IF(OR($T1026="",$U1026=""),"",$U1026-$T1026)</f>
        <v>-3</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1980</v>
      </c>
      <c r="U1027">
        <f>IF(connections!$A1027="","",IFERROR(INDEX(games!$B$2:$B$1200,MATCH(connections!$B1027,games!$A$2:$A$1200,0)),""))</f>
        <v>2012</v>
      </c>
      <c r="V1027">
        <f t="shared" si="220"/>
        <v>32</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2008</v>
      </c>
      <c r="U1028">
        <f>IF(connections!$A1028="","",IFERROR(INDEX(games!$B$2:$B$1200,MATCH(connections!$B1028,games!$A$2:$A$1200,0)),""))</f>
        <v>2012</v>
      </c>
      <c r="V1028">
        <f t="shared" si="220"/>
        <v>4</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1996</v>
      </c>
      <c r="U1029">
        <f>IF(connections!$A1029="","",IFERROR(INDEX(games!$B$2:$B$1200,MATCH(connections!$B1029,games!$A$2:$A$1200,0)),""))</f>
        <v>2025</v>
      </c>
      <c r="V1029">
        <f t="shared" si="220"/>
        <v>29</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2019</v>
      </c>
      <c r="U1030">
        <f>IF(connections!$A1030="","",IFERROR(INDEX(games!$B$2:$B$1200,MATCH(connections!$B1030,games!$A$2:$A$1200,0)),""))</f>
        <v>2025</v>
      </c>
      <c r="V1030">
        <f t="shared" si="220"/>
        <v>6</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2012</v>
      </c>
      <c r="U1031">
        <f>IF(connections!$A1031="","",IFERROR(INDEX(games!$B$2:$B$1200,MATCH(connections!$B1031,games!$A$2:$A$1200,0)),""))</f>
        <v>2015</v>
      </c>
      <c r="V1031">
        <f t="shared" si="220"/>
        <v>3</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2015</v>
      </c>
      <c r="U1032">
        <f>IF(connections!$A1032="","",IFERROR(INDEX(games!$B$2:$B$1200,MATCH(connections!$B1032,games!$A$2:$A$1200,0)),""))</f>
        <v>2022</v>
      </c>
      <c r="V1032">
        <f t="shared" si="220"/>
        <v>7</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2023</v>
      </c>
      <c r="U1033">
        <f>IF(connections!$A1033="","",IFERROR(INDEX(games!$B$2:$B$1200,MATCH(connections!$B1033,games!$A$2:$A$1200,0)),""))</f>
        <v>2025</v>
      </c>
      <c r="V1033">
        <f t="shared" si="220"/>
        <v>2</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2017</v>
      </c>
      <c r="U1034">
        <f>IF(connections!$A1034="","",IFERROR(INDEX(games!$B$2:$B$1200,MATCH(connections!$B1034,games!$A$2:$A$1200,0)),""))</f>
        <v>2025</v>
      </c>
      <c r="V1034">
        <f t="shared" si="220"/>
        <v>8</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2021</v>
      </c>
      <c r="U1035">
        <f>IF(connections!$A1035="","",IFERROR(INDEX(games!$B$2:$B$1200,MATCH(connections!$B1035,games!$A$2:$A$1200,0)),""))</f>
        <v>2023</v>
      </c>
      <c r="V1035">
        <f t="shared" si="220"/>
        <v>2</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2011</v>
      </c>
      <c r="U1036">
        <f>IF(connections!$A1036="","",IFERROR(INDEX(games!$B$2:$B$1200,MATCH(connections!$B1036,games!$A$2:$A$1200,0)),""))</f>
        <v>2021</v>
      </c>
      <c r="V1036">
        <f t="shared" si="220"/>
        <v>10</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2021</v>
      </c>
      <c r="U1037">
        <f>IF(connections!$A1037="","",IFERROR(INDEX(games!$B$2:$B$1200,MATCH(connections!$B1037,games!$A$2:$A$1200,0)),""))</f>
        <v>2025</v>
      </c>
      <c r="V1037">
        <f t="shared" si="220"/>
        <v>4</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2023</v>
      </c>
      <c r="U1038">
        <f>IF(connections!$A1038="","",IFERROR(INDEX(games!$B$2:$B$1200,MATCH(connections!$B1038,games!$A$2:$A$1200,0)),""))</f>
        <v>2025</v>
      </c>
      <c r="V1038">
        <f t="shared" si="220"/>
        <v>2</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2009</v>
      </c>
      <c r="U1039">
        <f>IF(connections!$A1039="","",IFERROR(INDEX(games!$B$2:$B$1200,MATCH(connections!$B1039,games!$A$2:$A$1200,0)),""))</f>
        <v>2020</v>
      </c>
      <c r="V1039">
        <f t="shared" si="220"/>
        <v>11</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1996</v>
      </c>
      <c r="U1040">
        <f>IF(connections!$A1040="","",IFERROR(INDEX(games!$B$2:$B$1200,MATCH(connections!$B1040,games!$A$2:$A$1200,0)),""))</f>
        <v>2020</v>
      </c>
      <c r="V1040">
        <f t="shared" si="220"/>
        <v>24</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2006</v>
      </c>
      <c r="U1041">
        <f>IF(connections!$A1041="","",IFERROR(INDEX(games!$B$2:$B$1200,MATCH(connections!$B1041,games!$A$2:$A$1200,0)),""))</f>
        <v>2020</v>
      </c>
      <c r="V1041">
        <f t="shared" si="220"/>
        <v>14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1987</v>
      </c>
      <c r="U1042">
        <f>IF(connections!$A1042="","",IFERROR(INDEX(games!$B$2:$B$1200,MATCH(connections!$B1042,games!$A$2:$A$1200,0)),""))</f>
        <v>2020</v>
      </c>
      <c r="V1042">
        <f t="shared" si="220"/>
        <v>33</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1998</v>
      </c>
      <c r="U1043">
        <f>IF(connections!$A1043="","",IFERROR(INDEX(games!$B$2:$B$1200,MATCH(connections!$B1043,games!$A$2:$A$1200,0)),""))</f>
        <v>2020</v>
      </c>
      <c r="V1043">
        <f t="shared" si="220"/>
        <v>22</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2020</v>
      </c>
      <c r="U1044">
        <f>IF(connections!$A1044="","",IFERROR(INDEX(games!$B$2:$B$1200,MATCH(connections!$B1044,games!$A$2:$A$1200,0)),""))</f>
        <v>2024</v>
      </c>
      <c r="V1044">
        <f t="shared" si="220"/>
        <v>4</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2024</v>
      </c>
      <c r="U1045">
        <f>IF(connections!$A1045="","",IFERROR(INDEX(games!$B$2:$B$1200,MATCH(connections!$B1045,games!$A$2:$A$1200,0)),""))</f>
        <v>2026</v>
      </c>
      <c r="V1045">
        <f t="shared" si="220"/>
        <v>2</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2020</v>
      </c>
      <c r="U1046">
        <f>IF(connections!$A1046="","",IFERROR(INDEX(games!$B$2:$B$1200,MATCH(connections!$B1046,games!$A$2:$A$1200,0)),""))</f>
        <v>2026</v>
      </c>
      <c r="V1046">
        <f t="shared" si="220"/>
        <v>6</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2021</v>
      </c>
      <c r="U1047">
        <f>IF(connections!$A1047="","",IFERROR(INDEX(games!$B$2:$B$1200,MATCH(connections!$B1047,games!$A$2:$A$1200,0)),""))</f>
        <v>2026</v>
      </c>
      <c r="V1047">
        <f t="shared" si="220"/>
        <v>5</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2017</v>
      </c>
      <c r="U1048">
        <f>IF(connections!$A1048="","",IFERROR(INDEX(games!$B$2:$B$1200,MATCH(connections!$B1048,games!$A$2:$A$1200,0)),""))</f>
        <v>2022</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2020</v>
      </c>
      <c r="V1049">
        <f t="shared" si="220"/>
        <v>3</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2015</v>
      </c>
      <c r="U1050">
        <f>IF(connections!$A1050="","",IFERROR(INDEX(games!$B$2:$B$1200,MATCH(connections!$B1050,games!$A$2:$A$1200,0)),""))</f>
        <v>2017</v>
      </c>
      <c r="V1050">
        <f t="shared" si="220"/>
        <v>2</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2013</v>
      </c>
      <c r="U1051">
        <f>IF(connections!$A1051="","",IFERROR(INDEX(games!$B$2:$B$1200,MATCH(connections!$B1051,games!$A$2:$A$1200,0)),""))</f>
        <v>2020</v>
      </c>
      <c r="V1051">
        <f t="shared" si="220"/>
        <v>7</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2023</v>
      </c>
      <c r="V1052">
        <f t="shared" si="220"/>
        <v>10</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2020</v>
      </c>
      <c r="U1053">
        <f>IF(connections!$A1053="","",IFERROR(INDEX(games!$B$2:$B$1200,MATCH(connections!$B1053,games!$A$2:$A$1200,0)),""))</f>
        <v>2023</v>
      </c>
      <c r="V1053">
        <f t="shared" si="220"/>
        <v>3</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2013</v>
      </c>
      <c r="U1054">
        <f>IF(connections!$A1054="","",IFERROR(INDEX(games!$B$2:$B$1200,MATCH(connections!$B1054,games!$A$2:$A$1200,0)),""))</f>
        <v>2014</v>
      </c>
      <c r="V1054">
        <f t="shared" si="220"/>
        <v>1</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2012</v>
      </c>
      <c r="U1055">
        <f>IF(connections!$A1055="","",IFERROR(INDEX(games!$B$2:$B$1200,MATCH(connections!$B1055,games!$A$2:$A$1200,0)),""))</f>
        <v>2014</v>
      </c>
      <c r="V1055">
        <f t="shared" si="220"/>
        <v>2</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2018</v>
      </c>
      <c r="U1056">
        <f>IF(connections!$A1056="","",IFERROR(INDEX(games!$B$2:$B$1200,MATCH(connections!$B1056,games!$A$2:$A$1200,0)),""))</f>
        <v>2020</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2016</v>
      </c>
      <c r="U1057">
        <f>IF(connections!$A1057="","",IFERROR(INDEX(games!$B$2:$B$1200,MATCH(connections!$B1057,games!$A$2:$A$1200,0)),""))</f>
        <v>2020</v>
      </c>
      <c r="V1057">
        <f t="shared" si="220"/>
        <v>4</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2020</v>
      </c>
      <c r="U1058">
        <f>IF(connections!$A1058="","",IFERROR(INDEX(games!$B$2:$B$1200,MATCH(connections!$B1058,games!$A$2:$A$1200,0)),""))</f>
        <v>2020</v>
      </c>
      <c r="V1058">
        <f t="shared" si="220"/>
        <v>0</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2015</v>
      </c>
      <c r="U1059">
        <f>IF(connections!$A1059="","",IFERROR(INDEX(games!$B$2:$B$1200,MATCH(connections!$B1059,games!$A$2:$A$1200,0)),""))</f>
        <v>2020</v>
      </c>
      <c r="V1059">
        <f t="shared" si="220"/>
        <v>5</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2024</v>
      </c>
      <c r="V1060">
        <f t="shared" si="220"/>
        <v>9</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2017</v>
      </c>
      <c r="U1061">
        <f>IF(connections!$A1061="","",IFERROR(INDEX(games!$B$2:$B$1200,MATCH(connections!$B1061,games!$A$2:$A$1200,0)),""))</f>
        <v>2026</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2022</v>
      </c>
      <c r="U1062">
        <f>IF(connections!$A1062="","",IFERROR(INDEX(games!$B$2:$B$1200,MATCH(connections!$B1062,games!$A$2:$A$1200,0)),""))</f>
        <v>2024</v>
      </c>
      <c r="V1062">
        <f t="shared" si="220"/>
        <v>2</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2020</v>
      </c>
      <c r="U1063">
        <f>IF(connections!$A1063="","",IFERROR(INDEX(games!$B$2:$B$1200,MATCH(connections!$B1063,games!$A$2:$A$1200,0)),""))</f>
        <v>2024</v>
      </c>
      <c r="V1063">
        <f t="shared" si="220"/>
        <v>4</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2017</v>
      </c>
      <c r="U1064">
        <f>IF(connections!$A1064="","",IFERROR(INDEX(games!$B$2:$B$1200,MATCH(connections!$B1064,games!$A$2:$A$1200,0)),""))</f>
        <v>2024</v>
      </c>
      <c r="V1064">
        <f t="shared" si="220"/>
        <v>7</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1994</v>
      </c>
      <c r="U1065">
        <f>IF(connections!$A1065="","",IFERROR(INDEX(games!$B$2:$B$1200,MATCH(connections!$B1065,games!$A$2:$A$1200,0)),""))</f>
        <v>2019</v>
      </c>
      <c r="V1065">
        <f t="shared" si="220"/>
        <v>25</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1998</v>
      </c>
      <c r="U1066">
        <f>IF(connections!$A1066="","",IFERROR(INDEX(games!$B$2:$B$1200,MATCH(connections!$B1066,games!$A$2:$A$1200,0)),""))</f>
        <v>2019</v>
      </c>
      <c r="V1066">
        <f t="shared" si="220"/>
        <v>21</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2023</v>
      </c>
      <c r="U1067">
        <f>IF(connections!$A1067="","",IFERROR(INDEX(games!$B$2:$B$1200,MATCH(connections!$B1067,games!$A$2:$A$1200,0)),""))</f>
        <v>2026</v>
      </c>
      <c r="V1067">
        <f t="shared" si="220"/>
        <v>3</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2021</v>
      </c>
      <c r="U1068">
        <f>IF(connections!$A1068="","",IFERROR(INDEX(games!$B$2:$B$1200,MATCH(connections!$B1068,games!$A$2:$A$1200,0)),""))</f>
        <v>2026</v>
      </c>
      <c r="V1068">
        <f t="shared" si="220"/>
        <v>5</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1980</v>
      </c>
      <c r="U1069">
        <f>IF(connections!$A1069="","",IFERROR(INDEX(games!$B$2:$B$1200,MATCH(connections!$B1069,games!$A$2:$A$1200,0)),""))</f>
        <v>2007</v>
      </c>
      <c r="V1069">
        <f t="shared" si="220"/>
        <v>27</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2000</v>
      </c>
      <c r="U1070">
        <f>IF(connections!$A1070="","",IFERROR(INDEX(games!$B$2:$B$1200,MATCH(connections!$B1070,games!$A$2:$A$1200,0)),""))</f>
        <v>2007</v>
      </c>
      <c r="V1070">
        <f t="shared" si="220"/>
        <v>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2013</v>
      </c>
      <c r="U1071">
        <f>IF(connections!$A1071="","",IFERROR(INDEX(games!$B$2:$B$1200,MATCH(connections!$B1071,games!$A$2:$A$1200,0)),""))</f>
        <v>2021</v>
      </c>
      <c r="V1071">
        <f t="shared" si="220"/>
        <v>8</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2008</v>
      </c>
      <c r="U1072">
        <f>IF(connections!$A1072="","",IFERROR(INDEX(games!$B$2:$B$1200,MATCH(connections!$B1072,games!$A$2:$A$1200,0)),""))</f>
        <v>2013</v>
      </c>
      <c r="V1072">
        <f t="shared" si="220"/>
        <v>5</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2011</v>
      </c>
      <c r="U1073">
        <f>IF(connections!$A1073="","",IFERROR(INDEX(games!$B$2:$B$1200,MATCH(connections!$B1073,games!$A$2:$A$1200,0)),""))</f>
        <v>2013</v>
      </c>
      <c r="V1073">
        <f t="shared" si="220"/>
        <v>2</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2013</v>
      </c>
      <c r="U1074">
        <f>IF(connections!$A1074="","",IFERROR(INDEX(games!$B$2:$B$1200,MATCH(connections!$B1074,games!$A$2:$A$1200,0)),""))</f>
        <v>2020</v>
      </c>
      <c r="V1074">
        <f t="shared" si="220"/>
        <v>7</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2017</v>
      </c>
      <c r="U1075">
        <f>IF(connections!$A1075="","",IFERROR(INDEX(games!$B$2:$B$1200,MATCH(connections!$B1075,games!$A$2:$A$1200,0)),""))</f>
        <v>2021</v>
      </c>
      <c r="V1075">
        <f t="shared" si="220"/>
        <v>4</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2023</v>
      </c>
      <c r="U1076">
        <f>IF(connections!$A1076="","",IFERROR(INDEX(games!$B$2:$B$1200,MATCH(connections!$B1076,games!$A$2:$A$1200,0)),""))</f>
        <v>2024</v>
      </c>
      <c r="V1076">
        <f t="shared" si="220"/>
        <v>1</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2022</v>
      </c>
      <c r="U1077">
        <f>IF(connections!$A1077="","",IFERROR(INDEX(games!$B$2:$B$1200,MATCH(connections!$B1077,games!$A$2:$A$1200,0)),""))</f>
        <v>2024</v>
      </c>
      <c r="V1077">
        <f t="shared" si="220"/>
        <v>2</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2012</v>
      </c>
      <c r="U1078">
        <f>IF(connections!$A1078="","",IFERROR(INDEX(games!$B$2:$B$1200,MATCH(connections!$B1078,games!$A$2:$A$1200,0)),""))</f>
        <v>2024</v>
      </c>
      <c r="V1078">
        <f t="shared" si="220"/>
        <v>12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2018</v>
      </c>
      <c r="U1079">
        <f>IF(connections!$A1079="","",IFERROR(INDEX(games!$B$2:$B$1200,MATCH(connections!$B1079,games!$A$2:$A$1200,0)),""))</f>
        <v>2024</v>
      </c>
      <c r="V1079">
        <f t="shared" si="220"/>
        <v>6</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2022</v>
      </c>
      <c r="U1080">
        <f>IF(connections!$A1080="","",IFERROR(INDEX(games!$B$2:$B$1200,MATCH(connections!$B1080,games!$A$2:$A$1200,0)),""))</f>
        <v>2024</v>
      </c>
      <c r="V1080">
        <f t="shared" si="220"/>
        <v>2</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2017</v>
      </c>
      <c r="U1081">
        <f>IF(connections!$A1081="","",IFERROR(INDEX(games!$B$2:$B$1200,MATCH(connections!$B1081,games!$A$2:$A$1200,0)),""))</f>
        <v>2024</v>
      </c>
      <c r="V1081">
        <f t="shared" si="220"/>
        <v>7</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2011</v>
      </c>
      <c r="U1082">
        <f>IF(connections!$A1082="","",IFERROR(INDEX(games!$B$2:$B$1200,MATCH(connections!$B1082,games!$A$2:$A$1200,0)),""))</f>
        <v>2016</v>
      </c>
      <c r="V1082">
        <f t="shared" si="220"/>
        <v>5</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1982</v>
      </c>
      <c r="U1083">
        <f>IF(connections!$A1083="","",IFERROR(INDEX(games!$B$2:$B$1200,MATCH(connections!$B1083,games!$A$2:$A$1200,0)),""))</f>
        <v>2016</v>
      </c>
      <c r="V1083">
        <f t="shared" si="220"/>
        <v>34</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2017</v>
      </c>
      <c r="U1084">
        <f>IF(connections!$A1084="","",IFERROR(INDEX(games!$B$2:$B$1200,MATCH(connections!$B1084,games!$A$2:$A$1200,0)),""))</f>
        <v>2022</v>
      </c>
      <c r="V1084">
        <f t="shared" si="220"/>
        <v>5</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2021</v>
      </c>
      <c r="U1085">
        <f>IF(connections!$A1085="","",IFERROR(INDEX(games!$B$2:$B$1200,MATCH(connections!$B1085,games!$A$2:$A$1200,0)),""))</f>
        <v>2022</v>
      </c>
      <c r="V1085">
        <f t="shared" si="220"/>
        <v>1</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2017</v>
      </c>
      <c r="U1086">
        <f>IF(connections!$A1086="","",IFERROR(INDEX(games!$B$2:$B$1200,MATCH(connections!$B1086,games!$A$2:$A$1200,0)),""))</f>
        <v>2021</v>
      </c>
      <c r="V1086">
        <f t="shared" si="220"/>
        <v>4</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2009</v>
      </c>
      <c r="U1087">
        <f>IF(connections!$A1087="","",IFERROR(INDEX(games!$B$2:$B$1200,MATCH(connections!$B1087,games!$A$2:$A$1200,0)),""))</f>
        <v>2023</v>
      </c>
      <c r="V1087">
        <f t="shared" si="220"/>
        <v>14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1980</v>
      </c>
      <c r="U1088">
        <f>IF(connections!$A1088="","",IFERROR(INDEX(games!$B$2:$B$1200,MATCH(connections!$B1088,games!$A$2:$A$1200,0)),""))</f>
        <v>2023</v>
      </c>
      <c r="V1088">
        <f t="shared" si="220"/>
        <v>43</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2023</v>
      </c>
      <c r="U1089">
        <f>IF(connections!$A1089="","",IFERROR(INDEX(games!$B$2:$B$1200,MATCH(connections!$B1089,games!$A$2:$A$1200,0)),""))</f>
        <v>2026</v>
      </c>
      <c r="V1089">
        <f t="shared" si="220"/>
        <v>3</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2017</v>
      </c>
      <c r="U1090">
        <f>IF(connections!$A1090="","",IFERROR(INDEX(games!$B$2:$B$1200,MATCH(connections!$B1090,games!$A$2:$A$1200,0)),""))</f>
        <v>2026</v>
      </c>
      <c r="V1090">
        <f t="shared" ref="V1090:V1153" si="233">IF(OR($T1090="",$U1090=""),"",$U1090-$T1090)</f>
        <v>9</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1980</v>
      </c>
      <c r="U1091">
        <f>IF(connections!$A1091="","",IFERROR(INDEX(games!$B$2:$B$1200,MATCH(connections!$B1091,games!$A$2:$A$1200,0)),""))</f>
        <v>2014</v>
      </c>
      <c r="V1091">
        <f t="shared" si="233"/>
        <v>34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2023</v>
      </c>
      <c r="U1092">
        <f>IF(connections!$A1092="","",IFERROR(INDEX(games!$B$2:$B$1200,MATCH(connections!$B1092,games!$A$2:$A$1200,0)),""))</f>
        <v>2024</v>
      </c>
      <c r="V1092">
        <f t="shared" si="233"/>
        <v>1</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2021</v>
      </c>
      <c r="U1093">
        <f>IF(connections!$A1093="","",IFERROR(INDEX(games!$B$2:$B$1200,MATCH(connections!$B1093,games!$A$2:$A$1200,0)),""))</f>
        <v>2024</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2024</v>
      </c>
      <c r="U1094">
        <f>IF(connections!$A1094="","",IFERROR(INDEX(games!$B$2:$B$1200,MATCH(connections!$B1094,games!$A$2:$A$1200,0)),""))</f>
        <v>2026</v>
      </c>
      <c r="V1094">
        <f t="shared" si="233"/>
        <v>2</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2023</v>
      </c>
      <c r="U1095">
        <f>IF(connections!$A1095="","",IFERROR(INDEX(games!$B$2:$B$1200,MATCH(connections!$B1095,games!$A$2:$A$1200,0)),""))</f>
        <v>2025</v>
      </c>
      <c r="V1095">
        <f t="shared" si="233"/>
        <v>2</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2021</v>
      </c>
      <c r="U1096">
        <f>IF(connections!$A1096="","",IFERROR(INDEX(games!$B$2:$B$1200,MATCH(connections!$B1096,games!$A$2:$A$1200,0)),""))</f>
        <v>2025</v>
      </c>
      <c r="V1096">
        <f t="shared" si="233"/>
        <v>4</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2017</v>
      </c>
      <c r="U1097">
        <f>IF(connections!$A1097="","",IFERROR(INDEX(games!$B$2:$B$1200,MATCH(connections!$B1097,games!$A$2:$A$1200,0)),""))</f>
        <v>2025</v>
      </c>
      <c r="V1097">
        <f t="shared" si="233"/>
        <v>8</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2021</v>
      </c>
      <c r="U1098">
        <f>IF(connections!$A1098="","",IFERROR(INDEX(games!$B$2:$B$1200,MATCH(connections!$B1098,games!$A$2:$A$1200,0)),""))</f>
        <v>2025</v>
      </c>
      <c r="V1098">
        <f t="shared" si="233"/>
        <v>4</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2022</v>
      </c>
      <c r="U1099">
        <f>IF(connections!$A1099="","",IFERROR(INDEX(games!$B$2:$B$1200,MATCH(connections!$B1099,games!$A$2:$A$1200,0)),""))</f>
        <v>2026</v>
      </c>
      <c r="V1099">
        <f t="shared" si="233"/>
        <v>4</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2023</v>
      </c>
      <c r="U1100">
        <f>IF(connections!$A1100="","",IFERROR(INDEX(games!$B$2:$B$1200,MATCH(connections!$B1100,games!$A$2:$A$1200,0)),""))</f>
        <v>2025</v>
      </c>
      <c r="V1100">
        <f t="shared" si="233"/>
        <v>2</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2015</v>
      </c>
      <c r="U1101">
        <f>IF(connections!$A1101="","",IFERROR(INDEX(games!$B$2:$B$1200,MATCH(connections!$B1101,games!$A$2:$A$1200,0)),""))</f>
        <v>2025</v>
      </c>
      <c r="V1101">
        <f t="shared" si="233"/>
        <v>10</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1996</v>
      </c>
      <c r="U1102">
        <f>IF(connections!$A1102="","",IFERROR(INDEX(games!$B$2:$B$1200,MATCH(connections!$B1102,games!$A$2:$A$1200,0)),""))</f>
        <v>2025</v>
      </c>
      <c r="V1102">
        <f t="shared" si="233"/>
        <v>29</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2021</v>
      </c>
      <c r="U1103">
        <f>IF(connections!$A1103="","",IFERROR(INDEX(games!$B$2:$B$1200,MATCH(connections!$B1103,games!$A$2:$A$1200,0)),""))</f>
        <v>2025</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2026</v>
      </c>
      <c r="V1104">
        <f t="shared" si="233"/>
        <v>3</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2017</v>
      </c>
      <c r="U1105">
        <f>IF(connections!$A1105="","",IFERROR(INDEX(games!$B$2:$B$1200,MATCH(connections!$B1105,games!$A$2:$A$1200,0)),""))</f>
        <v>2026</v>
      </c>
      <c r="V1105">
        <f t="shared" si="233"/>
        <v>9</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2021</v>
      </c>
      <c r="U1106">
        <f>IF(connections!$A1106="","",IFERROR(INDEX(games!$B$2:$B$1200,MATCH(connections!$B1106,games!$A$2:$A$1200,0)),""))</f>
        <v>2023</v>
      </c>
      <c r="V1106">
        <f t="shared" si="233"/>
        <v>2</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2017</v>
      </c>
      <c r="U1107">
        <f>IF(connections!$A1107="","",IFERROR(INDEX(games!$B$2:$B$1200,MATCH(connections!$B1107,games!$A$2:$A$1200,0)),""))</f>
        <v>2023</v>
      </c>
      <c r="V1107">
        <f t="shared" si="233"/>
        <v>6</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2021</v>
      </c>
      <c r="U1108">
        <f>IF(connections!$A1108="","",IFERROR(INDEX(games!$B$2:$B$1200,MATCH(connections!$B1108,games!$A$2:$A$1200,0)),""))</f>
        <v>2022</v>
      </c>
      <c r="V1108">
        <f t="shared" si="233"/>
        <v>1</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2010</v>
      </c>
      <c r="U1109">
        <f>IF(connections!$A1109="","",IFERROR(INDEX(games!$B$2:$B$1200,MATCH(connections!$B1109,games!$A$2:$A$1200,0)),""))</f>
        <v>2010</v>
      </c>
      <c r="V1109">
        <f t="shared" si="233"/>
        <v>0</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2016</v>
      </c>
      <c r="U1110">
        <f>IF(connections!$A1110="","",IFERROR(INDEX(games!$B$2:$B$1200,MATCH(connections!$B1110,games!$A$2:$A$1200,0)),""))</f>
        <v>2024</v>
      </c>
      <c r="V1110">
        <f t="shared" si="233"/>
        <v>8</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2015</v>
      </c>
      <c r="U1111">
        <f>IF(connections!$A1111="","",IFERROR(INDEX(games!$B$2:$B$1200,MATCH(connections!$B1111,games!$A$2:$A$1200,0)),""))</f>
        <v>2024</v>
      </c>
      <c r="V1111">
        <f t="shared" si="233"/>
        <v>9</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2018</v>
      </c>
      <c r="U1112">
        <f>IF(connections!$A1112="","",IFERROR(INDEX(games!$B$2:$B$1200,MATCH(connections!$B1112,games!$A$2:$A$1200,0)),""))</f>
        <v>2024</v>
      </c>
      <c r="V1112">
        <f t="shared" si="233"/>
        <v>6</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2021</v>
      </c>
      <c r="U1113">
        <f>IF(connections!$A1113="","",IFERROR(INDEX(games!$B$2:$B$1200,MATCH(connections!$B1113,games!$A$2:$A$1200,0)),""))</f>
        <v>2022</v>
      </c>
      <c r="V1113">
        <f t="shared" si="233"/>
        <v>1</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2023</v>
      </c>
      <c r="U1114">
        <f>IF(connections!$A1114="","",IFERROR(INDEX(games!$B$2:$B$1200,MATCH(connections!$B1114,games!$A$2:$A$1200,0)),""))</f>
        <v>2023</v>
      </c>
      <c r="V1114">
        <f t="shared" si="233"/>
        <v>0</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2011</v>
      </c>
      <c r="U1115">
        <f>IF(connections!$A1115="","",IFERROR(INDEX(games!$B$2:$B$1200,MATCH(connections!$B1115,games!$A$2:$A$1200,0)),""))</f>
        <v>2023</v>
      </c>
      <c r="V1115">
        <f t="shared" si="233"/>
        <v>12</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2019</v>
      </c>
      <c r="U1116">
        <f>IF(connections!$A1116="","",IFERROR(INDEX(games!$B$2:$B$1200,MATCH(connections!$B1116,games!$A$2:$A$1200,0)),""))</f>
        <v>2020</v>
      </c>
      <c r="V1116">
        <f t="shared" si="233"/>
        <v>1</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2018</v>
      </c>
      <c r="U1117">
        <f>IF(connections!$A1117="","",IFERROR(INDEX(games!$B$2:$B$1200,MATCH(connections!$B1117,games!$A$2:$A$1200,0)),""))</f>
        <v>2020</v>
      </c>
      <c r="V1117">
        <f t="shared" si="233"/>
        <v>2</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2015</v>
      </c>
      <c r="U1118">
        <f>IF(connections!$A1118="","",IFERROR(INDEX(games!$B$2:$B$1200,MATCH(connections!$B1118,games!$A$2:$A$1200,0)),""))</f>
        <v>2020</v>
      </c>
      <c r="V1118">
        <f t="shared" si="233"/>
        <v>5</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2017</v>
      </c>
      <c r="U1119">
        <f>IF(connections!$A1119="","",IFERROR(INDEX(games!$B$2:$B$1200,MATCH(connections!$B1119,games!$A$2:$A$1200,0)),""))</f>
        <v>2020</v>
      </c>
      <c r="V1119">
        <f t="shared" si="233"/>
        <v>3</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2017</v>
      </c>
      <c r="U1120">
        <f>IF(connections!$A1120="","",IFERROR(INDEX(games!$B$2:$B$1200,MATCH(connections!$B1120,games!$A$2:$A$1200,0)),""))</f>
        <v>2020</v>
      </c>
      <c r="V1120">
        <f t="shared" si="233"/>
        <v>3</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2021</v>
      </c>
      <c r="U1121">
        <f>IF(connections!$A1121="","",IFERROR(INDEX(games!$B$2:$B$1200,MATCH(connections!$B1121,games!$A$2:$A$1200,0)),""))</f>
        <v>2023</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2021</v>
      </c>
      <c r="U1122">
        <f>IF(connections!$A1122="","",IFERROR(INDEX(games!$B$2:$B$1200,MATCH(connections!$B1122,games!$A$2:$A$1200,0)),""))</f>
        <v>2023</v>
      </c>
      <c r="V1122">
        <f t="shared" si="233"/>
        <v>2</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2025</v>
      </c>
      <c r="V1123">
        <f t="shared" si="233"/>
        <v>8</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2019</v>
      </c>
      <c r="U1124">
        <f>IF(connections!$A1124="","",IFERROR(INDEX(games!$B$2:$B$1200,MATCH(connections!$B1124,games!$A$2:$A$1200,0)),""))</f>
        <v>2025</v>
      </c>
      <c r="V1124">
        <f t="shared" si="233"/>
        <v>6</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1996</v>
      </c>
      <c r="U1125">
        <f>IF(connections!$A1125="","",IFERROR(INDEX(games!$B$2:$B$1200,MATCH(connections!$B1125,games!$A$2:$A$1200,0)),""))</f>
        <v>2025</v>
      </c>
      <c r="V1125">
        <f t="shared" si="233"/>
        <v>29</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2018</v>
      </c>
      <c r="U1126">
        <f>IF(connections!$A1126="","",IFERROR(INDEX(games!$B$2:$B$1200,MATCH(connections!$B1126,games!$A$2:$A$1200,0)),""))</f>
        <v>2025</v>
      </c>
      <c r="V1126">
        <f t="shared" si="233"/>
        <v>7</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2016</v>
      </c>
      <c r="U1127">
        <f>IF(connections!$A1127="","",IFERROR(INDEX(games!$B$2:$B$1200,MATCH(connections!$B1127,games!$A$2:$A$1200,0)),""))</f>
        <v>2025</v>
      </c>
      <c r="V1127">
        <f t="shared" si="233"/>
        <v>9</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2019</v>
      </c>
      <c r="U1129">
        <f>IF(connections!$A1129="","",IFERROR(INDEX(games!$B$2:$B$1200,MATCH(connections!$B1129,games!$A$2:$A$1200,0)),""))</f>
        <v>2025</v>
      </c>
      <c r="V1129">
        <f t="shared" si="233"/>
        <v>6</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2025</v>
      </c>
      <c r="U1130">
        <f>IF(connections!$A1130="","",IFERROR(INDEX(games!$B$2:$B$1200,MATCH(connections!$B1130,games!$A$2:$A$1200,0)),""))</f>
        <v>2026</v>
      </c>
      <c r="V1130">
        <f t="shared" si="233"/>
        <v>1</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2019</v>
      </c>
      <c r="U1131">
        <f>IF(connections!$A1131="","",IFERROR(INDEX(games!$B$2:$B$1200,MATCH(connections!$B1131,games!$A$2:$A$1200,0)),""))</f>
        <v>2026</v>
      </c>
      <c r="V1131">
        <f t="shared" si="233"/>
        <v>7</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2020</v>
      </c>
      <c r="U1132">
        <f>IF(connections!$A1132="","",IFERROR(INDEX(games!$B$2:$B$1200,MATCH(connections!$B1132,games!$A$2:$A$1200,0)),""))</f>
        <v>2026</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1994</v>
      </c>
      <c r="U1133">
        <f>IF(connections!$A1133="","",IFERROR(INDEX(games!$B$2:$B$1200,MATCH(connections!$B1133,games!$A$2:$A$1200,0)),""))</f>
        <v>2015</v>
      </c>
      <c r="V1133">
        <f t="shared" si="233"/>
        <v>21</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1987</v>
      </c>
      <c r="U1134">
        <f>IF(connections!$A1134="","",IFERROR(INDEX(games!$B$2:$B$1200,MATCH(connections!$B1134,games!$A$2:$A$1200,0)),""))</f>
        <v>2015</v>
      </c>
      <c r="V1134">
        <f t="shared" si="233"/>
        <v>28</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2015</v>
      </c>
      <c r="U1135">
        <f>IF(connections!$A1135="","",IFERROR(INDEX(games!$B$2:$B$1200,MATCH(connections!$B1135,games!$A$2:$A$1200,0)),""))</f>
        <v>2025</v>
      </c>
      <c r="V1135">
        <f t="shared" si="233"/>
        <v>10</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2019</v>
      </c>
      <c r="U1136">
        <f>IF(connections!$A1136="","",IFERROR(INDEX(games!$B$2:$B$1200,MATCH(connections!$B1136,games!$A$2:$A$1200,0)),""))</f>
        <v>2025</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2017</v>
      </c>
      <c r="U1137">
        <f>IF(connections!$A1137="","",IFERROR(INDEX(games!$B$2:$B$1200,MATCH(connections!$B1137,games!$A$2:$A$1200,0)),""))</f>
        <v>2025</v>
      </c>
      <c r="V1137">
        <f t="shared" si="233"/>
        <v>8</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2012</v>
      </c>
      <c r="U1138">
        <f>IF(connections!$A1138="","",IFERROR(INDEX(games!$B$2:$B$1200,MATCH(connections!$B1138,games!$A$2:$A$1200,0)),""))</f>
        <v>2025</v>
      </c>
      <c r="V1138">
        <f t="shared" si="233"/>
        <v>13</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2023</v>
      </c>
      <c r="U1139">
        <f>IF(connections!$A1139="","",IFERROR(INDEX(games!$B$2:$B$1200,MATCH(connections!$B1139,games!$A$2:$A$1200,0)),""))</f>
        <v>2025</v>
      </c>
      <c r="V1139">
        <f t="shared" si="233"/>
        <v>2</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2013</v>
      </c>
      <c r="U1140">
        <f>IF(connections!$A1140="","",IFERROR(INDEX(games!$B$2:$B$1200,MATCH(connections!$B1140,games!$A$2:$A$1200,0)),""))</f>
        <v>2025</v>
      </c>
      <c r="V1140">
        <f t="shared" si="233"/>
        <v>12</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2022</v>
      </c>
      <c r="U1141">
        <f>IF(connections!$A1141="","",IFERROR(INDEX(games!$B$2:$B$1200,MATCH(connections!$B1141,games!$A$2:$A$1200,0)),""))</f>
        <v>2023</v>
      </c>
      <c r="V1141">
        <f t="shared" si="233"/>
        <v>1</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2020</v>
      </c>
      <c r="U1142">
        <f>IF(connections!$A1142="","",IFERROR(INDEX(games!$B$2:$B$1200,MATCH(connections!$B1142,games!$A$2:$A$1200,0)),""))</f>
        <v>2023</v>
      </c>
      <c r="V1142">
        <f t="shared" si="233"/>
        <v>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2012</v>
      </c>
      <c r="U1144">
        <f>IF(connections!$A1144="","",IFERROR(INDEX(games!$B$2:$B$1200,MATCH(connections!$B1144,games!$A$2:$A$1200,0)),""))</f>
        <v>2014</v>
      </c>
      <c r="V1144">
        <f t="shared" si="233"/>
        <v>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2019</v>
      </c>
      <c r="U1145">
        <f>IF(connections!$A1145="","",IFERROR(INDEX(games!$B$2:$B$1200,MATCH(connections!$B1145,games!$A$2:$A$1200,0)),""))</f>
        <v>2022</v>
      </c>
      <c r="V1145">
        <f t="shared" si="233"/>
        <v>3</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2022</v>
      </c>
      <c r="V1146">
        <f t="shared" si="233"/>
        <v>2</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2011</v>
      </c>
      <c r="U1147">
        <f>IF(connections!$A1147="","",IFERROR(INDEX(games!$B$2:$B$1200,MATCH(connections!$B1147,games!$A$2:$A$1200,0)),""))</f>
        <v>2022</v>
      </c>
      <c r="V1147">
        <f t="shared" si="233"/>
        <v>11</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2000</v>
      </c>
      <c r="U1148">
        <f>IF(connections!$A1148="","",IFERROR(INDEX(games!$B$2:$B$1200,MATCH(connections!$B1148,games!$A$2:$A$1200,0)),""))</f>
        <v>2008</v>
      </c>
      <c r="V1148">
        <f t="shared" si="233"/>
        <v>8</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1995</v>
      </c>
      <c r="U1149">
        <f>IF(connections!$A1149="","",IFERROR(INDEX(games!$B$2:$B$1200,MATCH(connections!$B1149,games!$A$2:$A$1200,0)),""))</f>
        <v>2000</v>
      </c>
      <c r="V1149">
        <f t="shared" si="233"/>
        <v>5</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2008</v>
      </c>
      <c r="U1150">
        <f>IF(connections!$A1150="","",IFERROR(INDEX(games!$B$2:$B$1200,MATCH(connections!$B1150,games!$A$2:$A$1200,0)),""))</f>
        <v>2010</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2000</v>
      </c>
      <c r="U1151">
        <f>IF(connections!$A1151="","",IFERROR(INDEX(games!$B$2:$B$1200,MATCH(connections!$B1151,games!$A$2:$A$1200,0)),""))</f>
        <v>2002</v>
      </c>
      <c r="V1151">
        <f t="shared" si="233"/>
        <v>2</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1995</v>
      </c>
      <c r="U1152">
        <f>IF(connections!$A1152="","",IFERROR(INDEX(games!$B$2:$B$1200,MATCH(connections!$B1152,games!$A$2:$A$1200,0)),""))</f>
        <v>1996</v>
      </c>
      <c r="V1152">
        <f t="shared" si="233"/>
        <v>1</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1996</v>
      </c>
      <c r="U1153">
        <f>IF(connections!$A1153="","",IFERROR(INDEX(games!$B$2:$B$1200,MATCH(connections!$B1153,games!$A$2:$A$1200,0)),""))</f>
        <v>2001</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2010</v>
      </c>
      <c r="U1154">
        <f>IF(connections!$A1154="","",IFERROR(INDEX(games!$B$2:$B$1200,MATCH(connections!$B1154,games!$A$2:$A$1200,0)),""))</f>
        <v>2024</v>
      </c>
      <c r="V1154">
        <f t="shared" ref="V1154:V1217" si="246">IF(OR($T1154="",$U1154=""),"",$U1154-$T1154)</f>
        <v>14</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2010</v>
      </c>
      <c r="U1155">
        <f>IF(connections!$A1155="","",IFERROR(INDEX(games!$B$2:$B$1200,MATCH(connections!$B1155,games!$A$2:$A$1200,0)),""))</f>
        <v>2010</v>
      </c>
      <c r="V1155">
        <f t="shared" si="246"/>
        <v>0</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2015</v>
      </c>
      <c r="U1156">
        <f>IF(connections!$A1156="","",IFERROR(INDEX(games!$B$2:$B$1200,MATCH(connections!$B1156,games!$A$2:$A$1200,0)),""))</f>
        <v>2023</v>
      </c>
      <c r="V1156">
        <f t="shared" si="246"/>
        <v>8</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2015</v>
      </c>
      <c r="U1157">
        <f>IF(connections!$A1157="","",IFERROR(INDEX(games!$B$2:$B$1200,MATCH(connections!$B1157,games!$A$2:$A$1200,0)),""))</f>
        <v>2023</v>
      </c>
      <c r="V1157">
        <f t="shared" si="246"/>
        <v>8</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2018</v>
      </c>
      <c r="U1158">
        <f>IF(connections!$A1158="","",IFERROR(INDEX(games!$B$2:$B$1200,MATCH(connections!$B1158,games!$A$2:$A$1200,0)),""))</f>
        <v>2023</v>
      </c>
      <c r="V1158">
        <f t="shared" si="246"/>
        <v>5</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2017</v>
      </c>
      <c r="U1159">
        <f>IF(connections!$A1159="","",IFERROR(INDEX(games!$B$2:$B$1200,MATCH(connections!$B1159,games!$A$2:$A$1200,0)),""))</f>
        <v>2023</v>
      </c>
      <c r="V1159">
        <f t="shared" si="246"/>
        <v>6</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2022</v>
      </c>
      <c r="V1160">
        <f t="shared" si="246"/>
        <v>7</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2008</v>
      </c>
      <c r="U1161">
        <f>IF(connections!$A1161="","",IFERROR(INDEX(games!$B$2:$B$1200,MATCH(connections!$B1161,games!$A$2:$A$1200,0)),""))</f>
        <v>2022</v>
      </c>
      <c r="V1161">
        <f t="shared" si="246"/>
        <v>14</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2021</v>
      </c>
      <c r="U1162">
        <f>IF(connections!$A1162="","",IFERROR(INDEX(games!$B$2:$B$1200,MATCH(connections!$B1162,games!$A$2:$A$1200,0)),""))</f>
        <v>2026</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2026</v>
      </c>
      <c r="V1163">
        <f t="shared" si="246"/>
        <v>9</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1990</v>
      </c>
      <c r="U1164">
        <f>IF(connections!$A1164="","",IFERROR(INDEX(games!$B$2:$B$1200,MATCH(connections!$B1164,games!$A$2:$A$1200,0)),""))</f>
        <v>2012</v>
      </c>
      <c r="V1164">
        <f t="shared" si="246"/>
        <v>22</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2025</v>
      </c>
      <c r="U1165">
        <f>IF(connections!$A1165="","",IFERROR(INDEX(games!$B$2:$B$1200,MATCH(connections!$B1165,games!$A$2:$A$1200,0)),""))</f>
        <v>2026</v>
      </c>
      <c r="V1165">
        <f t="shared" si="246"/>
        <v>1</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2023</v>
      </c>
      <c r="U1167">
        <f>IF(connections!$A1167="","",IFERROR(INDEX(games!$B$2:$B$1200,MATCH(connections!$B1167,games!$A$2:$A$1200,0)),""))</f>
        <v>2026</v>
      </c>
      <c r="V1167">
        <f t="shared" si="246"/>
        <v>3</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2022</v>
      </c>
      <c r="U1168">
        <f>IF(connections!$A1168="","",IFERROR(INDEX(games!$B$2:$B$1200,MATCH(connections!$B1168,games!$A$2:$A$1200,0)),""))</f>
        <v>2026</v>
      </c>
      <c r="V1168">
        <f t="shared" si="246"/>
        <v>4</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2008</v>
      </c>
      <c r="U1169">
        <f>IF(connections!$A1169="","",IFERROR(INDEX(games!$B$2:$B$1200,MATCH(connections!$B1169,games!$A$2:$A$1200,0)),""))</f>
        <v>2014</v>
      </c>
      <c r="V1169">
        <f t="shared" si="246"/>
        <v>6</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2023</v>
      </c>
      <c r="U1170">
        <f>IF(connections!$A1170="","",IFERROR(INDEX(games!$B$2:$B$1200,MATCH(connections!$B1170,games!$A$2:$A$1200,0)),""))</f>
        <v>2024</v>
      </c>
      <c r="V1170">
        <f t="shared" si="246"/>
        <v>1</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1987</v>
      </c>
      <c r="U1171">
        <f>IF(connections!$A1171="","",IFERROR(INDEX(games!$B$2:$B$1200,MATCH(connections!$B1171,games!$A$2:$A$1200,0)),""))</f>
        <v>2006</v>
      </c>
      <c r="V1171">
        <f t="shared" si="246"/>
        <v>19</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2015</v>
      </c>
      <c r="U1172">
        <f>IF(connections!$A1172="","",IFERROR(INDEX(games!$B$2:$B$1200,MATCH(connections!$B1172,games!$A$2:$A$1200,0)),""))</f>
        <v>2017</v>
      </c>
      <c r="V1172">
        <f t="shared" si="246"/>
        <v>2</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2014</v>
      </c>
      <c r="U1173">
        <f>IF(connections!$A1173="","",IFERROR(INDEX(games!$B$2:$B$1200,MATCH(connections!$B1173,games!$A$2:$A$1200,0)),""))</f>
        <v>2017</v>
      </c>
      <c r="V1173">
        <f t="shared" si="246"/>
        <v>3</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2012</v>
      </c>
      <c r="U1174">
        <f>IF(connections!$A1174="","",IFERROR(INDEX(games!$B$2:$B$1200,MATCH(connections!$B1174,games!$A$2:$A$1200,0)),""))</f>
        <v>2017</v>
      </c>
      <c r="V1174">
        <f t="shared" si="246"/>
        <v>5</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2011</v>
      </c>
      <c r="U1175">
        <f>IF(connections!$A1175="","",IFERROR(INDEX(games!$B$2:$B$1200,MATCH(connections!$B1175,games!$A$2:$A$1200,0)),""))</f>
        <v>2017</v>
      </c>
      <c r="V1175">
        <f t="shared" si="246"/>
        <v>6</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2017</v>
      </c>
      <c r="U1176">
        <f>IF(connections!$A1176="","",IFERROR(INDEX(games!$B$2:$B$1200,MATCH(connections!$B1176,games!$A$2:$A$1200,0)),""))</f>
        <v>2026</v>
      </c>
      <c r="V1176">
        <f t="shared" si="246"/>
        <v>9</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2012</v>
      </c>
      <c r="U1177">
        <f>IF(connections!$A1177="","",IFERROR(INDEX(games!$B$2:$B$1200,MATCH(connections!$B1177,games!$A$2:$A$1200,0)),""))</f>
        <v>2018</v>
      </c>
      <c r="V1177">
        <f t="shared" si="246"/>
        <v>6</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2017</v>
      </c>
      <c r="U1178">
        <f>IF(connections!$A1178="","",IFERROR(INDEX(games!$B$2:$B$1200,MATCH(connections!$B1178,games!$A$2:$A$1200,0)),""))</f>
        <v>2018</v>
      </c>
      <c r="V1178">
        <f t="shared" si="246"/>
        <v>1</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2023</v>
      </c>
      <c r="U1179">
        <f>IF(connections!$A1179="","",IFERROR(INDEX(games!$B$2:$B$1200,MATCH(connections!$B1179,games!$A$2:$A$1200,0)),""))</f>
        <v>2024</v>
      </c>
      <c r="V1179">
        <f t="shared" si="246"/>
        <v>1</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2022</v>
      </c>
      <c r="U1180">
        <f>IF(connections!$A1180="","",IFERROR(INDEX(games!$B$2:$B$1200,MATCH(connections!$B1180,games!$A$2:$A$1200,0)),""))</f>
        <v>2023</v>
      </c>
      <c r="V1180">
        <f t="shared" si="246"/>
        <v>1</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2022</v>
      </c>
      <c r="U1181">
        <f>IF(connections!$A1181="","",IFERROR(INDEX(games!$B$2:$B$1200,MATCH(connections!$B1181,games!$A$2:$A$1200,0)),""))</f>
        <v>2023</v>
      </c>
      <c r="V1181">
        <f t="shared" si="246"/>
        <v>1</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2021</v>
      </c>
      <c r="U1182">
        <f>IF(connections!$A1182="","",IFERROR(INDEX(games!$B$2:$B$1200,MATCH(connections!$B1182,games!$A$2:$A$1200,0)),""))</f>
        <v>2023</v>
      </c>
      <c r="V1182">
        <f t="shared" si="246"/>
        <v>2</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2019</v>
      </c>
      <c r="U1183">
        <f>IF(connections!$A1183="","",IFERROR(INDEX(games!$B$2:$B$1200,MATCH(connections!$B1183,games!$A$2:$A$1200,0)),""))</f>
        <v>2023</v>
      </c>
      <c r="V1183">
        <f t="shared" si="246"/>
        <v>4</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2023</v>
      </c>
      <c r="U1184">
        <f>IF(connections!$A1184="","",IFERROR(INDEX(games!$B$2:$B$1200,MATCH(connections!$B1184,games!$A$2:$A$1200,0)),""))</f>
        <v>2023</v>
      </c>
      <c r="V1184">
        <f t="shared" si="246"/>
        <v>0</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2023</v>
      </c>
      <c r="U1187">
        <f>IF(connections!$A1187="","",IFERROR(INDEX(games!$B$2:$B$1200,MATCH(connections!$B1187,games!$A$2:$A$1200,0)),""))</f>
        <v>2025</v>
      </c>
      <c r="V1187">
        <f t="shared" si="246"/>
        <v>2</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2021</v>
      </c>
      <c r="U1188">
        <f>IF(connections!$A1188="","",IFERROR(INDEX(games!$B$2:$B$1200,MATCH(connections!$B1188,games!$A$2:$A$1200,0)),""))</f>
        <v>2025</v>
      </c>
      <c r="V1188">
        <f t="shared" si="246"/>
        <v>4</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1995</v>
      </c>
      <c r="U1189">
        <f>IF(connections!$A1189="","",IFERROR(INDEX(games!$B$2:$B$1200,MATCH(connections!$B1189,games!$A$2:$A$1200,0)),""))</f>
        <v>2025</v>
      </c>
      <c r="V1189">
        <f t="shared" si="246"/>
        <v>30</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2017</v>
      </c>
      <c r="U1190">
        <f>IF(connections!$A1190="","",IFERROR(INDEX(games!$B$2:$B$1200,MATCH(connections!$B1190,games!$A$2:$A$1200,0)),""))</f>
        <v>2025</v>
      </c>
      <c r="V1190">
        <f t="shared" si="246"/>
        <v>8</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2026</v>
      </c>
      <c r="V1191">
        <f t="shared" si="246"/>
        <v>3</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2017</v>
      </c>
      <c r="U1192">
        <f>IF(connections!$A1192="","",IFERROR(INDEX(games!$B$2:$B$1200,MATCH(connections!$B1192,games!$A$2:$A$1200,0)),""))</f>
        <v>2026</v>
      </c>
      <c r="V1192">
        <f t="shared" si="246"/>
        <v>9</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2023</v>
      </c>
      <c r="U1193">
        <f>IF(connections!$A1193="","",IFERROR(INDEX(games!$B$2:$B$1200,MATCH(connections!$B1193,games!$A$2:$A$1200,0)),""))</f>
        <v>2025</v>
      </c>
      <c r="V1193">
        <f t="shared" si="246"/>
        <v>2</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2023</v>
      </c>
      <c r="U1194">
        <f>IF(connections!$A1194="","",IFERROR(INDEX(games!$B$2:$B$1200,MATCH(connections!$B1194,games!$A$2:$A$1200,0)),""))</f>
        <v>2025</v>
      </c>
      <c r="V1194">
        <f t="shared" si="246"/>
        <v>2</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2021</v>
      </c>
      <c r="U1195">
        <f>IF(connections!$A1195="","",IFERROR(INDEX(games!$B$2:$B$1200,MATCH(connections!$B1195,games!$A$2:$A$1200,0)),""))</f>
        <v>2025</v>
      </c>
      <c r="V1195">
        <f t="shared" si="246"/>
        <v>4</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2023</v>
      </c>
      <c r="U1196">
        <f>IF(connections!$A1196="","",IFERROR(INDEX(games!$B$2:$B$1200,MATCH(connections!$B1196,games!$A$2:$A$1200,0)),""))</f>
        <v>2025</v>
      </c>
      <c r="V1196">
        <f t="shared" si="246"/>
        <v>2</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2019</v>
      </c>
      <c r="U1197">
        <f>IF(connections!$A1197="","",IFERROR(INDEX(games!$B$2:$B$1200,MATCH(connections!$B1197,games!$A$2:$A$1200,0)),""))</f>
        <v>2025</v>
      </c>
      <c r="V1197">
        <f t="shared" si="246"/>
        <v>6</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2021</v>
      </c>
      <c r="U1198">
        <f>IF(connections!$A1198="","",IFERROR(INDEX(games!$B$2:$B$1200,MATCH(connections!$B1198,games!$A$2:$A$1200,0)),""))</f>
        <v>2025</v>
      </c>
      <c r="V1198">
        <f t="shared" si="246"/>
        <v>4</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2012</v>
      </c>
      <c r="U1199">
        <f>IF(connections!$A1199="","",IFERROR(INDEX(games!$B$2:$B$1200,MATCH(connections!$B1199,games!$A$2:$A$1200,0)),""))</f>
        <v>2016</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1994</v>
      </c>
      <c r="U1200">
        <f>IF(connections!$A1200="","",IFERROR(INDEX(games!$B$2:$B$1200,MATCH(connections!$B1200,games!$A$2:$A$1200,0)),""))</f>
        <v>2022</v>
      </c>
      <c r="V1200">
        <f t="shared" si="246"/>
        <v>28</v>
      </c>
    </row>
    <row r="1201" spans="20:22" x14ac:dyDescent="0.25">
      <c r="T1201">
        <f>IF(connections!$A1201="","",IFERROR(INDEX(games!$B$2:$B$1200,MATCH(connections!$A1201,games!$A$2:$A$1200,0)),""))</f>
        <v>1992</v>
      </c>
      <c r="U1201">
        <f>IF(connections!$A1201="","",IFERROR(INDEX(games!$B$2:$B$1200,MATCH(connections!$B1201,games!$A$2:$A$1200,0)),""))</f>
        <v>2022</v>
      </c>
      <c r="V1201">
        <f t="shared" si="246"/>
        <v>30</v>
      </c>
    </row>
    <row r="1202" spans="20:22" x14ac:dyDescent="0.25">
      <c r="T1202">
        <f>IF(connections!$A1202="","",IFERROR(INDEX(games!$B$2:$B$1200,MATCH(connections!$A1202,games!$A$2:$A$1200,0)),""))</f>
        <v>2006</v>
      </c>
      <c r="U1202">
        <f>IF(connections!$A1202="","",IFERROR(INDEX(games!$B$2:$B$1200,MATCH(connections!$B1202,games!$A$2:$A$1200,0)),""))</f>
        <v>2023</v>
      </c>
      <c r="V1202">
        <f t="shared" si="246"/>
        <v>17</v>
      </c>
    </row>
    <row r="1203" spans="20:22" x14ac:dyDescent="0.25">
      <c r="T1203">
        <f>IF(connections!$A1203="","",IFERROR(INDEX(games!$B$2:$B$1200,MATCH(connections!$A1203,games!$A$2:$A$1200,0)),""))</f>
        <v>2022</v>
      </c>
      <c r="U1203">
        <f>IF(connections!$A1203="","",IFERROR(INDEX(games!$B$2:$B$1200,MATCH(connections!$B1203,games!$A$2:$A$1200,0)),""))</f>
        <v>2023</v>
      </c>
      <c r="V1203">
        <f t="shared" si="246"/>
        <v>1</v>
      </c>
    </row>
    <row r="1204" spans="20:22" x14ac:dyDescent="0.25">
      <c r="T1204">
        <f>IF(connections!$A1204="","",IFERROR(INDEX(games!$B$2:$B$1200,MATCH(connections!$A1204,games!$A$2:$A$1200,0)),""))</f>
        <v>2019</v>
      </c>
      <c r="U1204">
        <f>IF(connections!$A1204="","",IFERROR(INDEX(games!$B$2:$B$1200,MATCH(connections!$B1204,games!$A$2:$A$1200,0)),""))</f>
        <v>2022</v>
      </c>
      <c r="V1204">
        <f t="shared" si="246"/>
        <v>3</v>
      </c>
    </row>
    <row r="1205" spans="20:22" x14ac:dyDescent="0.25">
      <c r="T1205">
        <f>IF(connections!$A1205="","",IFERROR(INDEX(games!$B$2:$B$1200,MATCH(connections!$A1205,games!$A$2:$A$1200,0)),""))</f>
        <v>2020</v>
      </c>
      <c r="U1205">
        <f>IF(connections!$A1205="","",IFERROR(INDEX(games!$B$2:$B$1200,MATCH(connections!$B1205,games!$A$2:$A$1200,0)),""))</f>
        <v>2022</v>
      </c>
      <c r="V1205">
        <f t="shared" si="246"/>
        <v>2</v>
      </c>
    </row>
    <row r="1206" spans="20:22" x14ac:dyDescent="0.25">
      <c r="T1206">
        <f>IF(connections!$A1206="","",IFERROR(INDEX(games!$B$2:$B$1200,MATCH(connections!$A1206,games!$A$2:$A$1200,0)),""))</f>
        <v>2021</v>
      </c>
      <c r="U1206">
        <f>IF(connections!$A1206="","",IFERROR(INDEX(games!$B$2:$B$1200,MATCH(connections!$B1206,games!$A$2:$A$1200,0)),""))</f>
        <v>2022</v>
      </c>
      <c r="V1206">
        <f t="shared" si="246"/>
        <v>1</v>
      </c>
    </row>
    <row r="1207" spans="20:22" x14ac:dyDescent="0.25">
      <c r="T1207">
        <f>IF(connections!$A1207="","",IFERROR(INDEX(games!$B$2:$B$1200,MATCH(connections!$A1207,games!$A$2:$A$1200,0)),""))</f>
        <v>2018</v>
      </c>
      <c r="U1207">
        <f>IF(connections!$A1207="","",IFERROR(INDEX(games!$B$2:$B$1200,MATCH(connections!$B1207,games!$A$2:$A$1200,0)),""))</f>
        <v>2021</v>
      </c>
      <c r="V1207">
        <f t="shared" si="246"/>
        <v>3</v>
      </c>
    </row>
    <row r="1208" spans="20:22" x14ac:dyDescent="0.25">
      <c r="T1208">
        <f>IF(connections!$A1208="","",IFERROR(INDEX(games!$B$2:$B$1200,MATCH(connections!$A1208,games!$A$2:$A$1200,0)),""))</f>
        <v>2018</v>
      </c>
      <c r="U1208">
        <f>IF(connections!$A1208="","",IFERROR(INDEX(games!$B$2:$B$1200,MATCH(connections!$B1208,games!$A$2:$A$1200,0)),""))</f>
        <v>2019</v>
      </c>
      <c r="V1208">
        <f t="shared" si="246"/>
        <v>1</v>
      </c>
    </row>
    <row r="1209" spans="20:22" x14ac:dyDescent="0.25">
      <c r="T1209">
        <f>IF(connections!$A1209="","",IFERROR(INDEX(games!$B$2:$B$1200,MATCH(connections!$A1209,games!$A$2:$A$1200,0)),""))</f>
        <v>2013</v>
      </c>
      <c r="U1209">
        <f>IF(connections!$A1209="","",IFERROR(INDEX(games!$B$2:$B$1200,MATCH(connections!$B1209,games!$A$2:$A$1200,0)),""))</f>
        <v>2019</v>
      </c>
      <c r="V1209">
        <f t="shared" si="246"/>
        <v>6</v>
      </c>
    </row>
    <row r="1210" spans="20:22" x14ac:dyDescent="0.25">
      <c r="T1210">
        <f>IF(connections!$A1210="","",IFERROR(INDEX(games!$B$2:$B$1200,MATCH(connections!$A1210,games!$A$2:$A$1200,0)),""))</f>
        <v>2011</v>
      </c>
      <c r="U1210">
        <f>IF(connections!$A1210="","",IFERROR(INDEX(games!$B$2:$B$1200,MATCH(connections!$B1210,games!$A$2:$A$1200,0)),""))</f>
        <v>2019</v>
      </c>
      <c r="V1210">
        <f t="shared" si="246"/>
        <v>8</v>
      </c>
    </row>
    <row r="1211" spans="20:22" x14ac:dyDescent="0.25">
      <c r="T1211">
        <f>IF(connections!$A1211="","",IFERROR(INDEX(games!$B$2:$B$1200,MATCH(connections!$A1211,games!$A$2:$A$1200,0)),""))</f>
        <v>2009</v>
      </c>
      <c r="U1211">
        <f>IF(connections!$A1211="","",IFERROR(INDEX(games!$B$2:$B$1200,MATCH(connections!$B1211,games!$A$2:$A$1200,0)),""))</f>
        <v>2016</v>
      </c>
      <c r="V1211">
        <f t="shared" si="246"/>
        <v>7</v>
      </c>
    </row>
    <row r="1212" spans="20:22" x14ac:dyDescent="0.25">
      <c r="T1212">
        <f>IF(connections!$A1212="","",IFERROR(INDEX(games!$B$2:$B$1200,MATCH(connections!$A1212,games!$A$2:$A$1200,0)),""))</f>
        <v>2002</v>
      </c>
      <c r="U1212">
        <f>IF(connections!$A1212="","",IFERROR(INDEX(games!$B$2:$B$1200,MATCH(connections!$B1212,games!$A$2:$A$1200,0)),""))</f>
        <v>2016</v>
      </c>
      <c r="V1212">
        <f t="shared" si="246"/>
        <v>14</v>
      </c>
    </row>
    <row r="1213" spans="20:22" x14ac:dyDescent="0.25">
      <c r="T1213">
        <f>IF(connections!$A1213="","",IFERROR(INDEX(games!$B$2:$B$1200,MATCH(connections!$A1213,games!$A$2:$A$1200,0)),""))</f>
        <v>2015</v>
      </c>
      <c r="U1213">
        <f>IF(connections!$A1213="","",IFERROR(INDEX(games!$B$2:$B$1200,MATCH(connections!$B1213,games!$A$2:$A$1200,0)),""))</f>
        <v>2024</v>
      </c>
      <c r="V1213">
        <f t="shared" si="246"/>
        <v>9</v>
      </c>
    </row>
    <row r="1214" spans="20:22" x14ac:dyDescent="0.25">
      <c r="T1214">
        <f>IF(connections!$A1214="","",IFERROR(INDEX(games!$B$2:$B$1200,MATCH(connections!$A1214,games!$A$2:$A$1200,0)),""))</f>
        <v>2013</v>
      </c>
      <c r="U1214">
        <f>IF(connections!$A1214="","",IFERROR(INDEX(games!$B$2:$B$1200,MATCH(connections!$B1214,games!$A$2:$A$1200,0)),""))</f>
        <v>2024</v>
      </c>
      <c r="V1214">
        <f t="shared" si="246"/>
        <v>11</v>
      </c>
    </row>
    <row r="1215" spans="20:22" x14ac:dyDescent="0.25">
      <c r="T1215">
        <f>IF(connections!$A1215="","",IFERROR(INDEX(games!$B$2:$B$1200,MATCH(connections!$A1215,games!$A$2:$A$1200,0)),""))</f>
        <v>2020</v>
      </c>
      <c r="U1215">
        <f>IF(connections!$A1215="","",IFERROR(INDEX(games!$B$2:$B$1200,MATCH(connections!$B1215,games!$A$2:$A$1200,0)),""))</f>
        <v>2024</v>
      </c>
      <c r="V1215">
        <f t="shared" si="246"/>
        <v>4</v>
      </c>
    </row>
    <row r="1216" spans="20:22" x14ac:dyDescent="0.25">
      <c r="T1216">
        <f>IF(connections!$A1216="","",IFERROR(INDEX(games!$B$2:$B$1200,MATCH(connections!$A1216,games!$A$2:$A$1200,0)),""))</f>
        <v>2019</v>
      </c>
      <c r="U1216">
        <f>IF(connections!$A1216="","",IFERROR(INDEX(games!$B$2:$B$1200,MATCH(connections!$B1216,games!$A$2:$A$1200,0)),""))</f>
        <v>2024</v>
      </c>
      <c r="V1216">
        <f t="shared" si="246"/>
        <v>5</v>
      </c>
    </row>
    <row r="1217" spans="20:22" x14ac:dyDescent="0.25">
      <c r="T1217">
        <f>IF(connections!$A1217="","",IFERROR(INDEX(games!$B$2:$B$1200,MATCH(connections!$A1217,games!$A$2:$A$1200,0)),""))</f>
        <v>2012</v>
      </c>
      <c r="U1217">
        <f>IF(connections!$A1217="","",IFERROR(INDEX(games!$B$2:$B$1200,MATCH(connections!$B1217,games!$A$2:$A$1200,0)),""))</f>
        <v>2019</v>
      </c>
      <c r="V1217">
        <f t="shared" si="246"/>
        <v>7</v>
      </c>
    </row>
    <row r="1218" spans="20:22" x14ac:dyDescent="0.25">
      <c r="T1218">
        <f>IF(connections!$A1218="","",IFERROR(INDEX(games!$B$2:$B$1200,MATCH(connections!$A1218,games!$A$2:$A$1200,0)),""))</f>
        <v>2013</v>
      </c>
      <c r="U1218">
        <f>IF(connections!$A1218="","",IFERROR(INDEX(games!$B$2:$B$1200,MATCH(connections!$B1218,games!$A$2:$A$1200,0)),""))</f>
        <v>2019</v>
      </c>
      <c r="V1218">
        <f t="shared" ref="V1218:V1281" si="247">IF(OR($T1218="",$U1218=""),"",$U1218-$T1218)</f>
        <v>6</v>
      </c>
    </row>
    <row r="1219" spans="20:22" x14ac:dyDescent="0.25">
      <c r="T1219">
        <f>IF(connections!$A1219="","",IFERROR(INDEX(games!$B$2:$B$1200,MATCH(connections!$A1219,games!$A$2:$A$1200,0)),""))</f>
        <v>2011</v>
      </c>
      <c r="U1219">
        <f>IF(connections!$A1219="","",IFERROR(INDEX(games!$B$2:$B$1200,MATCH(connections!$B1219,games!$A$2:$A$1200,0)),""))</f>
        <v>2019</v>
      </c>
      <c r="V1219">
        <f t="shared" si="247"/>
        <v>8</v>
      </c>
    </row>
    <row r="1220" spans="20:22" x14ac:dyDescent="0.25">
      <c r="T1220">
        <f>IF(connections!$A1220="","",IFERROR(INDEX(games!$B$2:$B$1200,MATCH(connections!$A1220,games!$A$2:$A$1200,0)),""))</f>
        <v>2021</v>
      </c>
      <c r="U1220">
        <f>IF(connections!$A1220="","",IFERROR(INDEX(games!$B$2:$B$1200,MATCH(connections!$B1220,games!$A$2:$A$1200,0)),""))</f>
        <v>2022</v>
      </c>
      <c r="V1220">
        <f t="shared" si="247"/>
        <v>1</v>
      </c>
    </row>
    <row r="1221" spans="20:22" x14ac:dyDescent="0.25">
      <c r="T1221">
        <f>IF(connections!$A1221="","",IFERROR(INDEX(games!$B$2:$B$1200,MATCH(connections!$A1221,games!$A$2:$A$1200,0)),""))</f>
        <v>2013</v>
      </c>
      <c r="U1221">
        <f>IF(connections!$A1221="","",IFERROR(INDEX(games!$B$2:$B$1200,MATCH(connections!$B1221,games!$A$2:$A$1200,0)),""))</f>
        <v>2023</v>
      </c>
      <c r="V1221">
        <f t="shared" si="247"/>
        <v>10</v>
      </c>
    </row>
    <row r="1222" spans="20:22" x14ac:dyDescent="0.25">
      <c r="T1222">
        <f>IF(connections!$A1222="","",IFERROR(INDEX(games!$B$2:$B$1200,MATCH(connections!$A1222,games!$A$2:$A$1200,0)),""))</f>
        <v>2018</v>
      </c>
      <c r="U1222">
        <f>IF(connections!$A1222="","",IFERROR(INDEX(games!$B$2:$B$1200,MATCH(connections!$B1222,games!$A$2:$A$1200,0)),""))</f>
        <v>2023</v>
      </c>
      <c r="V1222">
        <f t="shared" si="247"/>
        <v>5</v>
      </c>
    </row>
    <row r="1223" spans="20:22" x14ac:dyDescent="0.25">
      <c r="T1223">
        <f>IF(connections!$A1223="","",IFERROR(INDEX(games!$B$2:$B$1200,MATCH(connections!$A1223,games!$A$2:$A$1200,0)),""))</f>
        <v>2015</v>
      </c>
      <c r="U1223">
        <f>IF(connections!$A1223="","",IFERROR(INDEX(games!$B$2:$B$1200,MATCH(connections!$B1223,games!$A$2:$A$1200,0)),""))</f>
        <v>2023</v>
      </c>
      <c r="V1223">
        <f t="shared" si="247"/>
        <v>8</v>
      </c>
    </row>
    <row r="1224" spans="20:22" x14ac:dyDescent="0.25">
      <c r="T1224">
        <f>IF(connections!$A1224="","",IFERROR(INDEX(games!$B$2:$B$1200,MATCH(connections!$A1224,games!$A$2:$A$1200,0)),""))</f>
        <v>2019</v>
      </c>
      <c r="U1224">
        <f>IF(connections!$A1224="","",IFERROR(INDEX(games!$B$2:$B$1200,MATCH(connections!$B1224,games!$A$2:$A$1200,0)),""))</f>
        <v>2024</v>
      </c>
      <c r="V1224">
        <f t="shared" si="247"/>
        <v>5</v>
      </c>
    </row>
    <row r="1225" spans="20:22" x14ac:dyDescent="0.25">
      <c r="T1225">
        <f>IF(connections!$A1225="","",IFERROR(INDEX(games!$B$2:$B$1200,MATCH(connections!$A1225,games!$A$2:$A$1200,0)),""))</f>
        <v>2017</v>
      </c>
      <c r="U1225">
        <f>IF(connections!$A1225="","",IFERROR(INDEX(games!$B$2:$B$1200,MATCH(connections!$B1225,games!$A$2:$A$1200,0)),""))</f>
        <v>2024</v>
      </c>
      <c r="V1225">
        <f t="shared" si="247"/>
        <v>7</v>
      </c>
    </row>
    <row r="1226" spans="20:22" x14ac:dyDescent="0.25">
      <c r="T1226">
        <f>IF(connections!$A1226="","",IFERROR(INDEX(games!$B$2:$B$1200,MATCH(connections!$A1226,games!$A$2:$A$1200,0)),""))</f>
        <v>2008</v>
      </c>
      <c r="U1226">
        <f>IF(connections!$A1226="","",IFERROR(INDEX(games!$B$2:$B$1200,MATCH(connections!$B1226,games!$A$2:$A$1200,0)),""))</f>
        <v>2012</v>
      </c>
      <c r="V1226">
        <f t="shared" si="247"/>
        <v>4</v>
      </c>
    </row>
    <row r="1227" spans="20:22" x14ac:dyDescent="0.25">
      <c r="T1227">
        <f>IF(connections!$A1227="","",IFERROR(INDEX(games!$B$2:$B$1200,MATCH(connections!$A1227,games!$A$2:$A$1200,0)),""))</f>
        <v>2012</v>
      </c>
      <c r="U1227">
        <f>IF(connections!$A1227="","",IFERROR(INDEX(games!$B$2:$B$1200,MATCH(connections!$B1227,games!$A$2:$A$1200,0)),""))</f>
        <v>2020</v>
      </c>
      <c r="V1227">
        <f t="shared" si="247"/>
        <v>8</v>
      </c>
    </row>
    <row r="1228" spans="20:22" x14ac:dyDescent="0.25">
      <c r="T1228">
        <f>IF(connections!$A1228="","",IFERROR(INDEX(games!$B$2:$B$1200,MATCH(connections!$A1228,games!$A$2:$A$1200,0)),""))</f>
        <v>1987</v>
      </c>
      <c r="U1228">
        <f>IF(connections!$A1228="","",IFERROR(INDEX(games!$B$2:$B$1200,MATCH(connections!$B1228,games!$A$2:$A$1200,0)),""))</f>
        <v>2008</v>
      </c>
      <c r="V1228">
        <f t="shared" si="247"/>
        <v>21</v>
      </c>
    </row>
    <row r="1229" spans="20:22" x14ac:dyDescent="0.25">
      <c r="T1229">
        <f>IF(connections!$A1229="","",IFERROR(INDEX(games!$B$2:$B$1200,MATCH(connections!$A1229,games!$A$2:$A$1200,0)),""))</f>
        <v>2022</v>
      </c>
      <c r="U1229">
        <f>IF(connections!$A1229="","",IFERROR(INDEX(games!$B$2:$B$1200,MATCH(connections!$B1229,games!$A$2:$A$1200,0)),""))</f>
        <v>2024</v>
      </c>
      <c r="V1229">
        <f t="shared" si="247"/>
        <v>2</v>
      </c>
    </row>
    <row r="1230" spans="20:22" x14ac:dyDescent="0.25">
      <c r="T1230">
        <f>IF(connections!$A1230="","",IFERROR(INDEX(games!$B$2:$B$1200,MATCH(connections!$A1230,games!$A$2:$A$1200,0)),""))</f>
        <v>2021</v>
      </c>
      <c r="U1230">
        <f>IF(connections!$A1230="","",IFERROR(INDEX(games!$B$2:$B$1200,MATCH(connections!$B1230,games!$A$2:$A$1200,0)),""))</f>
        <v>2024</v>
      </c>
      <c r="V1230">
        <f t="shared" si="247"/>
        <v>3</v>
      </c>
    </row>
    <row r="1231" spans="20:22" x14ac:dyDescent="0.25">
      <c r="T1231">
        <f>IF(connections!$A1231="","",IFERROR(INDEX(games!$B$2:$B$1200,MATCH(connections!$A1231,games!$A$2:$A$1200,0)),""))</f>
        <v>2017</v>
      </c>
      <c r="U1231">
        <f>IF(connections!$A1231="","",IFERROR(INDEX(games!$B$2:$B$1200,MATCH(connections!$B1231,games!$A$2:$A$1200,0)),""))</f>
        <v>2024</v>
      </c>
      <c r="V1231">
        <f t="shared" si="247"/>
        <v>7</v>
      </c>
    </row>
    <row r="1232" spans="20:22" x14ac:dyDescent="0.25">
      <c r="T1232">
        <f>IF(connections!$A1232="","",IFERROR(INDEX(games!$B$2:$B$1200,MATCH(connections!$A1232,games!$A$2:$A$1200,0)),""))</f>
        <v>2021</v>
      </c>
      <c r="U1232">
        <f>IF(connections!$A1232="","",IFERROR(INDEX(games!$B$2:$B$1200,MATCH(connections!$B1232,games!$A$2:$A$1200,0)),""))</f>
        <v>2026</v>
      </c>
      <c r="V1232">
        <f t="shared" si="247"/>
        <v>5</v>
      </c>
    </row>
    <row r="1233" spans="20:22" x14ac:dyDescent="0.25">
      <c r="T1233">
        <f>IF(connections!$A1233="","",IFERROR(INDEX(games!$B$2:$B$1200,MATCH(connections!$A1233,games!$A$2:$A$1200,0)),""))</f>
        <v>2019</v>
      </c>
      <c r="U1233">
        <f>IF(connections!$A1233="","",IFERROR(INDEX(games!$B$2:$B$1200,MATCH(connections!$B1233,games!$A$2:$A$1200,0)),""))</f>
        <v>2022</v>
      </c>
      <c r="V1233">
        <f t="shared" si="247"/>
        <v>3</v>
      </c>
    </row>
    <row r="1234" spans="20:22" x14ac:dyDescent="0.25">
      <c r="T1234">
        <f>IF(connections!$A1234="","",IFERROR(INDEX(games!$B$2:$B$1200,MATCH(connections!$A1234,games!$A$2:$A$1200,0)),""))</f>
        <v>2021</v>
      </c>
      <c r="U1234">
        <f>IF(connections!$A1234="","",IFERROR(INDEX(games!$B$2:$B$1200,MATCH(connections!$B1234,games!$A$2:$A$1200,0)),""))</f>
        <v>2022</v>
      </c>
      <c r="V1234">
        <f t="shared" si="247"/>
        <v>1</v>
      </c>
    </row>
    <row r="1235" spans="20:22" x14ac:dyDescent="0.25">
      <c r="T1235">
        <f>IF(connections!$A1235="","",IFERROR(INDEX(games!$B$2:$B$1200,MATCH(connections!$A1235,games!$A$2:$A$1200,0)),""))</f>
        <v>2019</v>
      </c>
      <c r="U1235">
        <f>IF(connections!$A1235="","",IFERROR(INDEX(games!$B$2:$B$1200,MATCH(connections!$B1235,games!$A$2:$A$1200,0)),""))</f>
        <v>2023</v>
      </c>
      <c r="V1235">
        <f t="shared" si="247"/>
        <v>4</v>
      </c>
    </row>
    <row r="1236" spans="20:22" x14ac:dyDescent="0.25">
      <c r="T1236">
        <f>IF(connections!$A1236="","",IFERROR(INDEX(games!$B$2:$B$1200,MATCH(connections!$A1236,games!$A$2:$A$1200,0)),""))</f>
        <v>2017</v>
      </c>
      <c r="U1236">
        <f>IF(connections!$A1236="","",IFERROR(INDEX(games!$B$2:$B$1200,MATCH(connections!$B1236,games!$A$2:$A$1200,0)),""))</f>
        <v>2023</v>
      </c>
      <c r="V1236">
        <f t="shared" si="247"/>
        <v>6</v>
      </c>
    </row>
    <row r="1237" spans="20:22" x14ac:dyDescent="0.25">
      <c r="T1237">
        <f>IF(connections!$A1237="","",IFERROR(INDEX(games!$B$2:$B$1200,MATCH(connections!$A1237,games!$A$2:$A$1200,0)),""))</f>
        <v>2008</v>
      </c>
      <c r="U1237">
        <f>IF(connections!$A1237="","",IFERROR(INDEX(games!$B$2:$B$1200,MATCH(connections!$B1237,games!$A$2:$A$1200,0)),""))</f>
        <v>2019</v>
      </c>
      <c r="V1237">
        <f t="shared" si="247"/>
        <v>11</v>
      </c>
    </row>
    <row r="1238" spans="20:22" x14ac:dyDescent="0.25">
      <c r="T1238">
        <f>IF(connections!$A1238="","",IFERROR(INDEX(games!$B$2:$B$1200,MATCH(connections!$A1238,games!$A$2:$A$1200,0)),""))</f>
        <v>1994</v>
      </c>
      <c r="U1238">
        <f>IF(connections!$A1238="","",IFERROR(INDEX(games!$B$2:$B$1200,MATCH(connections!$B1238,games!$A$2:$A$1200,0)),""))</f>
        <v>2014</v>
      </c>
      <c r="V1238">
        <f t="shared" si="247"/>
        <v>20</v>
      </c>
    </row>
    <row r="1239" spans="20:22" x14ac:dyDescent="0.25">
      <c r="T1239">
        <f>IF(connections!$A1239="","",IFERROR(INDEX(games!$B$2:$B$1200,MATCH(connections!$A1239,games!$A$2:$A$1200,0)),""))</f>
        <v>2010</v>
      </c>
      <c r="U1239">
        <f>IF(connections!$A1239="","",IFERROR(INDEX(games!$B$2:$B$1200,MATCH(connections!$B1239,games!$A$2:$A$1200,0)),""))</f>
        <v>2014</v>
      </c>
      <c r="V1239">
        <f t="shared" si="247"/>
        <v>4</v>
      </c>
    </row>
    <row r="1240" spans="20:22" x14ac:dyDescent="0.25">
      <c r="T1240">
        <f>IF(connections!$A1240="","",IFERROR(INDEX(games!$B$2:$B$1200,MATCH(connections!$A1240,games!$A$2:$A$1200,0)),""))</f>
        <v>2023</v>
      </c>
      <c r="U1240">
        <f>IF(connections!$A1240="","",IFERROR(INDEX(games!$B$2:$B$1200,MATCH(connections!$B1240,games!$A$2:$A$1200,0)),""))</f>
        <v>2025</v>
      </c>
      <c r="V1240">
        <f t="shared" si="247"/>
        <v>2</v>
      </c>
    </row>
    <row r="1241" spans="20:22" x14ac:dyDescent="0.25">
      <c r="T1241">
        <f>IF(connections!$A1241="","",IFERROR(INDEX(games!$B$2:$B$1200,MATCH(connections!$A1241,games!$A$2:$A$1200,0)),""))</f>
        <v>2021</v>
      </c>
      <c r="U1241">
        <f>IF(connections!$A1241="","",IFERROR(INDEX(games!$B$2:$B$1200,MATCH(connections!$B1241,games!$A$2:$A$1200,0)),""))</f>
        <v>2025</v>
      </c>
      <c r="V1241">
        <f t="shared" si="247"/>
        <v>4</v>
      </c>
    </row>
    <row r="1242" spans="20:22" x14ac:dyDescent="0.25">
      <c r="T1242">
        <f>IF(connections!$A1242="","",IFERROR(INDEX(games!$B$2:$B$1200,MATCH(connections!$A1242,games!$A$2:$A$1200,0)),""))</f>
        <v>2011</v>
      </c>
      <c r="U1242">
        <f>IF(connections!$A1242="","",IFERROR(INDEX(games!$B$2:$B$1200,MATCH(connections!$B1242,games!$A$2:$A$1200,0)),""))</f>
        <v>2017</v>
      </c>
      <c r="V1242">
        <f t="shared" si="247"/>
        <v>6</v>
      </c>
    </row>
    <row r="1243" spans="20:22" x14ac:dyDescent="0.25">
      <c r="T1243">
        <f>IF(connections!$A1243="","",IFERROR(INDEX(games!$B$2:$B$1200,MATCH(connections!$A1243,games!$A$2:$A$1200,0)),""))</f>
        <v>2018</v>
      </c>
      <c r="U1243">
        <f>IF(connections!$A1243="","",IFERROR(INDEX(games!$B$2:$B$1200,MATCH(connections!$B1243,games!$A$2:$A$1200,0)),""))</f>
        <v>2020</v>
      </c>
      <c r="V1243">
        <f t="shared" si="247"/>
        <v>2</v>
      </c>
    </row>
    <row r="1244" spans="20:22" x14ac:dyDescent="0.25">
      <c r="T1244">
        <f>IF(connections!$A1244="","",IFERROR(INDEX(games!$B$2:$B$1200,MATCH(connections!$A1244,games!$A$2:$A$1200,0)),""))</f>
        <v>2018</v>
      </c>
      <c r="U1244">
        <f>IF(connections!$A1244="","",IFERROR(INDEX(games!$B$2:$B$1200,MATCH(connections!$B1244,games!$A$2:$A$1200,0)),""))</f>
        <v>2020</v>
      </c>
      <c r="V1244">
        <f t="shared" si="247"/>
        <v>2</v>
      </c>
    </row>
    <row r="1245" spans="20:22" x14ac:dyDescent="0.25">
      <c r="T1245">
        <f>IF(connections!$A1245="","",IFERROR(INDEX(games!$B$2:$B$1200,MATCH(connections!$A1245,games!$A$2:$A$1200,0)),""))</f>
        <v>2017</v>
      </c>
      <c r="U1245">
        <f>IF(connections!$A1245="","",IFERROR(INDEX(games!$B$2:$B$1200,MATCH(connections!$B1245,games!$A$2:$A$1200,0)),""))</f>
        <v>2020</v>
      </c>
      <c r="V1245">
        <f t="shared" si="247"/>
        <v>3</v>
      </c>
    </row>
    <row r="1246" spans="20:22" x14ac:dyDescent="0.25">
      <c r="T1246">
        <f>IF(connections!$A1246="","",IFERROR(INDEX(games!$B$2:$B$1200,MATCH(connections!$A1246,games!$A$2:$A$1200,0)),""))</f>
        <v>2022</v>
      </c>
      <c r="U1246">
        <f>IF(connections!$A1246="","",IFERROR(INDEX(games!$B$2:$B$1200,MATCH(connections!$B1246,games!$A$2:$A$1200,0)),""))</f>
        <v>2023</v>
      </c>
      <c r="V1246">
        <f t="shared" si="247"/>
        <v>1</v>
      </c>
    </row>
    <row r="1247" spans="20:22" x14ac:dyDescent="0.25">
      <c r="T1247">
        <f>IF(connections!$A1247="","",IFERROR(INDEX(games!$B$2:$B$1200,MATCH(connections!$A1247,games!$A$2:$A$1200,0)),""))</f>
        <v>2022</v>
      </c>
      <c r="U1247">
        <f>IF(connections!$A1247="","",IFERROR(INDEX(games!$B$2:$B$1200,MATCH(connections!$B1247,games!$A$2:$A$1200,0)),""))</f>
        <v>2023</v>
      </c>
      <c r="V1247">
        <f t="shared" si="247"/>
        <v>1</v>
      </c>
    </row>
    <row r="1248" spans="20:22" x14ac:dyDescent="0.25">
      <c r="T1248">
        <f>IF(connections!$A1248="","",IFERROR(INDEX(games!$B$2:$B$1200,MATCH(connections!$A1248,games!$A$2:$A$1200,0)),""))</f>
        <v>2022</v>
      </c>
      <c r="U1248">
        <f>IF(connections!$A1248="","",IFERROR(INDEX(games!$B$2:$B$1200,MATCH(connections!$B1248,games!$A$2:$A$1200,0)),""))</f>
        <v>2023</v>
      </c>
      <c r="V1248">
        <f t="shared" si="247"/>
        <v>1</v>
      </c>
    </row>
    <row r="1249" spans="20:22" x14ac:dyDescent="0.25">
      <c r="T1249">
        <f>IF(connections!$A1249="","",IFERROR(INDEX(games!$B$2:$B$1200,MATCH(connections!$A1249,games!$A$2:$A$1200,0)),""))</f>
        <v>2019</v>
      </c>
      <c r="U1249">
        <f>IF(connections!$A1249="","",IFERROR(INDEX(games!$B$2:$B$1200,MATCH(connections!$B1249,games!$A$2:$A$1200,0)),""))</f>
        <v>2023</v>
      </c>
      <c r="V1249">
        <f t="shared" si="247"/>
        <v>4</v>
      </c>
    </row>
    <row r="1250" spans="20:22" x14ac:dyDescent="0.25">
      <c r="T1250">
        <f>IF(connections!$A1250="","",IFERROR(INDEX(games!$B$2:$B$1200,MATCH(connections!$A1250,games!$A$2:$A$1200,0)),""))</f>
        <v>2022</v>
      </c>
      <c r="U1250">
        <f>IF(connections!$A1250="","",IFERROR(INDEX(games!$B$2:$B$1200,MATCH(connections!$B1250,games!$A$2:$A$1200,0)),""))</f>
        <v>2023</v>
      </c>
      <c r="V1250">
        <f t="shared" si="247"/>
        <v>1</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2021</v>
      </c>
      <c r="U1254">
        <f>IF(connections!$A1254="","",IFERROR(INDEX(games!$B$2:$B$1200,MATCH(connections!$B1254,games!$A$2:$A$1200,0)),""))</f>
        <v>2023</v>
      </c>
      <c r="V1254">
        <f t="shared" si="247"/>
        <v>2</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2019</v>
      </c>
      <c r="U1256">
        <f>IF(connections!$A1256="","",IFERROR(INDEX(games!$B$2:$B$1200,MATCH(connections!$B1256,games!$A$2:$A$1200,0)),""))</f>
        <v>2026</v>
      </c>
      <c r="V1256">
        <f t="shared" si="247"/>
        <v>7</v>
      </c>
    </row>
    <row r="1257" spans="20:22" x14ac:dyDescent="0.25">
      <c r="T1257">
        <f>IF(connections!$A1257="","",IFERROR(INDEX(games!$B$2:$B$1200,MATCH(connections!$A1257,games!$A$2:$A$1200,0)),""))</f>
        <v>2023</v>
      </c>
      <c r="U1257">
        <f>IF(connections!$A1257="","",IFERROR(INDEX(games!$B$2:$B$1200,MATCH(connections!$B1257,games!$A$2:$A$1200,0)),""))</f>
        <v>2026</v>
      </c>
      <c r="V1257">
        <f t="shared" si="247"/>
        <v>3</v>
      </c>
    </row>
    <row r="1258" spans="20:22" x14ac:dyDescent="0.25">
      <c r="T1258">
        <f>IF(connections!$A1258="","",IFERROR(INDEX(games!$B$2:$B$1200,MATCH(connections!$A1258,games!$A$2:$A$1200,0)),""))</f>
        <v>2017</v>
      </c>
      <c r="U1258">
        <f>IF(connections!$A1258="","",IFERROR(INDEX(games!$B$2:$B$1200,MATCH(connections!$B1258,games!$A$2:$A$1200,0)),""))</f>
        <v>2026</v>
      </c>
      <c r="V1258">
        <f t="shared" si="247"/>
        <v>9</v>
      </c>
    </row>
    <row r="1259" spans="20:22" x14ac:dyDescent="0.25">
      <c r="T1259">
        <f>IF(connections!$A1259="","",IFERROR(INDEX(games!$B$2:$B$1200,MATCH(connections!$A1259,games!$A$2:$A$1200,0)),""))</f>
        <v>2019</v>
      </c>
      <c r="U1259">
        <f>IF(connections!$A1259="","",IFERROR(INDEX(games!$B$2:$B$1200,MATCH(connections!$B1259,games!$A$2:$A$1200,0)),""))</f>
        <v>2025</v>
      </c>
      <c r="V1259">
        <f t="shared" si="247"/>
        <v>6</v>
      </c>
    </row>
    <row r="1260" spans="20:22" x14ac:dyDescent="0.25">
      <c r="T1260">
        <f>IF(connections!$A1260="","",IFERROR(INDEX(games!$B$2:$B$1200,MATCH(connections!$A1260,games!$A$2:$A$1200,0)),""))</f>
        <v>2017</v>
      </c>
      <c r="U1260">
        <f>IF(connections!$A1260="","",IFERROR(INDEX(games!$B$2:$B$1200,MATCH(connections!$B1260,games!$A$2:$A$1200,0)),""))</f>
        <v>2025</v>
      </c>
      <c r="V1260">
        <f t="shared" si="247"/>
        <v>8</v>
      </c>
    </row>
    <row r="1261" spans="20:22" x14ac:dyDescent="0.25">
      <c r="T1261">
        <f>IF(connections!$A1261="","",IFERROR(INDEX(games!$B$2:$B$1200,MATCH(connections!$A1261,games!$A$2:$A$1200,0)),""))</f>
        <v>2023</v>
      </c>
      <c r="U1261">
        <f>IF(connections!$A1261="","",IFERROR(INDEX(games!$B$2:$B$1200,MATCH(connections!$B1261,games!$A$2:$A$1200,0)),""))</f>
        <v>2025</v>
      </c>
      <c r="V1261">
        <f t="shared" si="247"/>
        <v>2</v>
      </c>
    </row>
    <row r="1262" spans="20:22" x14ac:dyDescent="0.25">
      <c r="T1262">
        <f>IF(connections!$A1262="","",IFERROR(INDEX(games!$B$2:$B$1200,MATCH(connections!$A1262,games!$A$2:$A$1200,0)),""))</f>
        <v>2021</v>
      </c>
      <c r="U1262">
        <f>IF(connections!$A1262="","",IFERROR(INDEX(games!$B$2:$B$1200,MATCH(connections!$B1262,games!$A$2:$A$1200,0)),""))</f>
        <v>2025</v>
      </c>
      <c r="V1262">
        <f t="shared" si="247"/>
        <v>4</v>
      </c>
    </row>
    <row r="1263" spans="20:22" x14ac:dyDescent="0.25">
      <c r="T1263">
        <f>IF(connections!$A1263="","",IFERROR(INDEX(games!$B$2:$B$1200,MATCH(connections!$A1263,games!$A$2:$A$1200,0)),""))</f>
        <v>2022</v>
      </c>
      <c r="U1263">
        <f>IF(connections!$A1263="","",IFERROR(INDEX(games!$B$2:$B$1200,MATCH(connections!$B1263,games!$A$2:$A$1200,0)),""))</f>
        <v>2025</v>
      </c>
      <c r="V1263">
        <f t="shared" si="247"/>
        <v>3</v>
      </c>
    </row>
    <row r="1264" spans="20:22" x14ac:dyDescent="0.25">
      <c r="T1264">
        <f>IF(connections!$A1264="","",IFERROR(INDEX(games!$B$2:$B$1200,MATCH(connections!$A1264,games!$A$2:$A$1200,0)),""))</f>
        <v>2022</v>
      </c>
      <c r="U1264">
        <f>IF(connections!$A1264="","",IFERROR(INDEX(games!$B$2:$B$1200,MATCH(connections!$B1264,games!$A$2:$A$1200,0)),""))</f>
        <v>2026</v>
      </c>
      <c r="V1264">
        <f t="shared" si="247"/>
        <v>4</v>
      </c>
    </row>
    <row r="1265" spans="20:22" x14ac:dyDescent="0.25">
      <c r="T1265">
        <f>IF(connections!$A1265="","",IFERROR(INDEX(games!$B$2:$B$1200,MATCH(connections!$A1265,games!$A$2:$A$1200,0)),""))</f>
        <v>1996</v>
      </c>
      <c r="U1265">
        <f>IF(connections!$A1265="","",IFERROR(INDEX(games!$B$2:$B$1200,MATCH(connections!$B1265,games!$A$2:$A$1200,0)),""))</f>
        <v>2026</v>
      </c>
      <c r="V1265">
        <f t="shared" si="247"/>
        <v>30</v>
      </c>
    </row>
    <row r="1266" spans="20:22" x14ac:dyDescent="0.25">
      <c r="T1266">
        <f>IF(connections!$A1266="","",IFERROR(INDEX(games!$B$2:$B$1200,MATCH(connections!$A1266,games!$A$2:$A$1200,0)),""))</f>
        <v>2021</v>
      </c>
      <c r="U1266">
        <f>IF(connections!$A1266="","",IFERROR(INDEX(games!$B$2:$B$1200,MATCH(connections!$B1266,games!$A$2:$A$1200,0)),""))</f>
        <v>2026</v>
      </c>
      <c r="V1266">
        <f t="shared" si="247"/>
        <v>5</v>
      </c>
    </row>
    <row r="1267" spans="20:22" x14ac:dyDescent="0.25">
      <c r="T1267">
        <f>IF(connections!$A1267="","",IFERROR(INDEX(games!$B$2:$B$1200,MATCH(connections!$A1267,games!$A$2:$A$1200,0)),""))</f>
        <v>1994</v>
      </c>
      <c r="U1267">
        <f>IF(connections!$A1267="","",IFERROR(INDEX(games!$B$2:$B$1200,MATCH(connections!$B1267,games!$A$2:$A$1200,0)),""))</f>
        <v>2020</v>
      </c>
      <c r="V1267">
        <f t="shared" si="247"/>
        <v>26</v>
      </c>
    </row>
    <row r="1268" spans="20:22" x14ac:dyDescent="0.25">
      <c r="T1268">
        <f>IF(connections!$A1268="","",IFERROR(INDEX(games!$B$2:$B$1200,MATCH(connections!$A1268,games!$A$2:$A$1200,0)),""))</f>
        <v>2015</v>
      </c>
      <c r="U1268">
        <f>IF(connections!$A1268="","",IFERROR(INDEX(games!$B$2:$B$1200,MATCH(connections!$B1268,games!$A$2:$A$1200,0)),""))</f>
        <v>2020</v>
      </c>
      <c r="V1268">
        <f t="shared" si="247"/>
        <v>5</v>
      </c>
    </row>
    <row r="1269" spans="20:22" x14ac:dyDescent="0.25">
      <c r="T1269">
        <f>IF(connections!$A1269="","",IFERROR(INDEX(games!$B$2:$B$1200,MATCH(connections!$A1269,games!$A$2:$A$1200,0)),""))</f>
        <v>1996</v>
      </c>
      <c r="U1269">
        <f>IF(connections!$A1269="","",IFERROR(INDEX(games!$B$2:$B$1200,MATCH(connections!$B1269,games!$A$2:$A$1200,0)),""))</f>
        <v>2020</v>
      </c>
      <c r="V1269">
        <f t="shared" si="247"/>
        <v>24</v>
      </c>
    </row>
    <row r="1270" spans="20:22" x14ac:dyDescent="0.25">
      <c r="T1270">
        <f>IF(connections!$A1270="","",IFERROR(INDEX(games!$B$2:$B$1200,MATCH(connections!$A1270,games!$A$2:$A$1200,0)),""))</f>
        <v>2008</v>
      </c>
      <c r="U1270">
        <f>IF(connections!$A1270="","",IFERROR(INDEX(games!$B$2:$B$1200,MATCH(connections!$B1270,games!$A$2:$A$1200,0)),""))</f>
        <v>2017</v>
      </c>
      <c r="V1270">
        <f t="shared" si="247"/>
        <v>9</v>
      </c>
    </row>
    <row r="1271" spans="20:22" x14ac:dyDescent="0.25">
      <c r="T1271">
        <f>IF(connections!$A1271="","",IFERROR(INDEX(games!$B$2:$B$1200,MATCH(connections!$A1271,games!$A$2:$A$1200,0)),""))</f>
        <v>1995</v>
      </c>
      <c r="U1271">
        <f>IF(connections!$A1271="","",IFERROR(INDEX(games!$B$2:$B$1200,MATCH(connections!$B1271,games!$A$2:$A$1200,0)),""))</f>
        <v>2002</v>
      </c>
      <c r="V1271">
        <f t="shared" si="247"/>
        <v>7</v>
      </c>
    </row>
    <row r="1272" spans="20:22" x14ac:dyDescent="0.25">
      <c r="T1272">
        <f>IF(connections!$A1272="","",IFERROR(INDEX(games!$B$2:$B$1200,MATCH(connections!$A1272,games!$A$2:$A$1200,0)),""))</f>
        <v>1987</v>
      </c>
      <c r="U1272">
        <f>IF(connections!$A1272="","",IFERROR(INDEX(games!$B$2:$B$1200,MATCH(connections!$B1272,games!$A$2:$A$1200,0)),""))</f>
        <v>2002</v>
      </c>
      <c r="V1272">
        <f t="shared" si="247"/>
        <v>15</v>
      </c>
    </row>
    <row r="1273" spans="20:22" x14ac:dyDescent="0.25">
      <c r="T1273">
        <f>IF(connections!$A1273="","",IFERROR(INDEX(games!$B$2:$B$1200,MATCH(connections!$A1273,games!$A$2:$A$1200,0)),""))</f>
        <v>2021</v>
      </c>
      <c r="U1273">
        <f>IF(connections!$A1273="","",IFERROR(INDEX(games!$B$2:$B$1200,MATCH(connections!$B1273,games!$A$2:$A$1200,0)),""))</f>
        <v>2025</v>
      </c>
      <c r="V1273">
        <f t="shared" si="247"/>
        <v>4</v>
      </c>
    </row>
    <row r="1274" spans="20:22" x14ac:dyDescent="0.25">
      <c r="T1274">
        <f>IF(connections!$A1274="","",IFERROR(INDEX(games!$B$2:$B$1200,MATCH(connections!$A1274,games!$A$2:$A$1200,0)),""))</f>
        <v>2017</v>
      </c>
      <c r="U1274">
        <f>IF(connections!$A1274="","",IFERROR(INDEX(games!$B$2:$B$1200,MATCH(connections!$B1274,games!$A$2:$A$1200,0)),""))</f>
        <v>2025</v>
      </c>
      <c r="V1274">
        <f t="shared" si="247"/>
        <v>8</v>
      </c>
    </row>
    <row r="1275" spans="20:22" x14ac:dyDescent="0.25">
      <c r="T1275">
        <f>IF(connections!$A1275="","",IFERROR(INDEX(games!$B$2:$B$1200,MATCH(connections!$A1275,games!$A$2:$A$1200,0)),""))</f>
        <v>2015</v>
      </c>
      <c r="U1275">
        <f>IF(connections!$A1275="","",IFERROR(INDEX(games!$B$2:$B$1200,MATCH(connections!$B1275,games!$A$2:$A$1200,0)),""))</f>
        <v>2019</v>
      </c>
      <c r="V1275">
        <f t="shared" si="247"/>
        <v>4</v>
      </c>
    </row>
    <row r="1276" spans="20:22" x14ac:dyDescent="0.25">
      <c r="T1276">
        <f>IF(connections!$A1276="","",IFERROR(INDEX(games!$B$2:$B$1200,MATCH(connections!$A1276,games!$A$2:$A$1200,0)),""))</f>
        <v>2008</v>
      </c>
      <c r="U1276">
        <f>IF(connections!$A1276="","",IFERROR(INDEX(games!$B$2:$B$1200,MATCH(connections!$B1276,games!$A$2:$A$1200,0)),""))</f>
        <v>2019</v>
      </c>
      <c r="V1276">
        <f t="shared" si="247"/>
        <v>11</v>
      </c>
    </row>
    <row r="1277" spans="20:22" x14ac:dyDescent="0.25">
      <c r="T1277">
        <f>IF(connections!$A1277="","",IFERROR(INDEX(games!$B$2:$B$1200,MATCH(connections!$A1277,games!$A$2:$A$1200,0)),""))</f>
        <v>2011</v>
      </c>
      <c r="U1277">
        <f>IF(connections!$A1277="","",IFERROR(INDEX(games!$B$2:$B$1200,MATCH(connections!$B1277,games!$A$2:$A$1200,0)),""))</f>
        <v>2019</v>
      </c>
      <c r="V1277">
        <f t="shared" si="247"/>
        <v>8</v>
      </c>
    </row>
    <row r="1278" spans="20:22" x14ac:dyDescent="0.25">
      <c r="T1278">
        <f>IF(connections!$A1278="","",IFERROR(INDEX(games!$B$2:$B$1200,MATCH(connections!$A1278,games!$A$2:$A$1200,0)),""))</f>
        <v>2001</v>
      </c>
      <c r="U1278">
        <f>IF(connections!$A1278="","",IFERROR(INDEX(games!$B$2:$B$1200,MATCH(connections!$B1278,games!$A$2:$A$1200,0)),""))</f>
        <v>2024</v>
      </c>
      <c r="V1278">
        <f t="shared" si="247"/>
        <v>23</v>
      </c>
    </row>
    <row r="1279" spans="20:22" x14ac:dyDescent="0.25">
      <c r="T1279">
        <f>IF(connections!$A1279="","",IFERROR(INDEX(games!$B$2:$B$1200,MATCH(connections!$A1279,games!$A$2:$A$1200,0)),""))</f>
        <v>2019</v>
      </c>
      <c r="U1279">
        <f>IF(connections!$A1279="","",IFERROR(INDEX(games!$B$2:$B$1200,MATCH(connections!$B1279,games!$A$2:$A$1200,0)),""))</f>
        <v>2024</v>
      </c>
      <c r="V1279">
        <f t="shared" si="247"/>
        <v>5</v>
      </c>
    </row>
    <row r="1280" spans="20:22" x14ac:dyDescent="0.25">
      <c r="T1280">
        <f>IF(connections!$A1280="","",IFERROR(INDEX(games!$B$2:$B$1200,MATCH(connections!$A1280,games!$A$2:$A$1200,0)),""))</f>
        <v>2023</v>
      </c>
      <c r="U1280">
        <f>IF(connections!$A1280="","",IFERROR(INDEX(games!$B$2:$B$1200,MATCH(connections!$B1280,games!$A$2:$A$1200,0)),""))</f>
        <v>2024</v>
      </c>
      <c r="V1280">
        <f t="shared" si="247"/>
        <v>1</v>
      </c>
    </row>
    <row r="1281" spans="20:22" x14ac:dyDescent="0.25">
      <c r="T1281">
        <f>IF(connections!$A1281="","",IFERROR(INDEX(games!$B$2:$B$1200,MATCH(connections!$A1281,games!$A$2:$A$1200,0)),""))</f>
        <v>2013</v>
      </c>
      <c r="U1281">
        <f>IF(connections!$A1281="","",IFERROR(INDEX(games!$B$2:$B$1200,MATCH(connections!$B1281,games!$A$2:$A$1200,0)),""))</f>
        <v>2017</v>
      </c>
      <c r="V1281">
        <f t="shared" si="247"/>
        <v>4</v>
      </c>
    </row>
    <row r="1282" spans="20:22" x14ac:dyDescent="0.25">
      <c r="T1282">
        <f>IF(connections!$A1282="","",IFERROR(INDEX(games!$B$2:$B$1200,MATCH(connections!$A1282,games!$A$2:$A$1200,0)),""))</f>
        <v>2013</v>
      </c>
      <c r="U1282">
        <f>IF(connections!$A1282="","",IFERROR(INDEX(games!$B$2:$B$1200,MATCH(connections!$B1282,games!$A$2:$A$1200,0)),""))</f>
        <v>2015</v>
      </c>
      <c r="V1282">
        <f t="shared" ref="V1282:V1345" si="248">IF(OR($T1282="",$U1282=""),"",$U1282-$T1282)</f>
        <v>2</v>
      </c>
    </row>
    <row r="1283" spans="20:22" x14ac:dyDescent="0.25">
      <c r="T1283">
        <f>IF(connections!$A1283="","",IFERROR(INDEX(games!$B$2:$B$1200,MATCH(connections!$A1283,games!$A$2:$A$1200,0)),""))</f>
        <v>2012</v>
      </c>
      <c r="U1283">
        <f>IF(connections!$A1283="","",IFERROR(INDEX(games!$B$2:$B$1200,MATCH(connections!$B1283,games!$A$2:$A$1200,0)),""))</f>
        <v>2015</v>
      </c>
      <c r="V1283">
        <f t="shared" si="248"/>
        <v>3</v>
      </c>
    </row>
    <row r="1284" spans="20:22" x14ac:dyDescent="0.25">
      <c r="T1284">
        <f>IF(connections!$A1284="","",IFERROR(INDEX(games!$B$2:$B$1200,MATCH(connections!$A1284,games!$A$2:$A$1200,0)),""))</f>
        <v>2019</v>
      </c>
      <c r="U1284">
        <f>IF(connections!$A1284="","",IFERROR(INDEX(games!$B$2:$B$1200,MATCH(connections!$B1284,games!$A$2:$A$1200,0)),""))</f>
        <v>2021</v>
      </c>
      <c r="V1284">
        <f t="shared" si="248"/>
        <v>2</v>
      </c>
    </row>
    <row r="1285" spans="20:22" x14ac:dyDescent="0.25">
      <c r="T1285">
        <f>IF(connections!$A1285="","",IFERROR(INDEX(games!$B$2:$B$1200,MATCH(connections!$A1285,games!$A$2:$A$1200,0)),""))</f>
        <v>2017</v>
      </c>
      <c r="U1285">
        <f>IF(connections!$A1285="","",IFERROR(INDEX(games!$B$2:$B$1200,MATCH(connections!$B1285,games!$A$2:$A$1200,0)),""))</f>
        <v>2022</v>
      </c>
      <c r="V1285">
        <f t="shared" si="248"/>
        <v>5</v>
      </c>
    </row>
    <row r="1286" spans="20:22" x14ac:dyDescent="0.25">
      <c r="T1286">
        <f>IF(connections!$A1286="","",IFERROR(INDEX(games!$B$2:$B$1200,MATCH(connections!$A1286,games!$A$2:$A$1200,0)),""))</f>
        <v>2006</v>
      </c>
      <c r="U1286">
        <f>IF(connections!$A1286="","",IFERROR(INDEX(games!$B$2:$B$1200,MATCH(connections!$B1286,games!$A$2:$A$1200,0)),""))</f>
        <v>2025</v>
      </c>
      <c r="V1286">
        <f t="shared" si="248"/>
        <v>19</v>
      </c>
    </row>
    <row r="1287" spans="20:22" x14ac:dyDescent="0.25">
      <c r="T1287">
        <f>IF(connections!$A1287="","",IFERROR(INDEX(games!$B$2:$B$1200,MATCH(connections!$A1287,games!$A$2:$A$1200,0)),""))</f>
        <v>2019</v>
      </c>
      <c r="U1287">
        <f>IF(connections!$A1287="","",IFERROR(INDEX(games!$B$2:$B$1200,MATCH(connections!$B1287,games!$A$2:$A$1200,0)),""))</f>
        <v>2025</v>
      </c>
      <c r="V1287">
        <f t="shared" si="248"/>
        <v>6</v>
      </c>
    </row>
    <row r="1288" spans="20:22" x14ac:dyDescent="0.25">
      <c r="T1288">
        <f>IF(connections!$A1288="","",IFERROR(INDEX(games!$B$2:$B$1200,MATCH(connections!$A1288,games!$A$2:$A$1200,0)),""))</f>
        <v>2021</v>
      </c>
      <c r="U1288">
        <f>IF(connections!$A1288="","",IFERROR(INDEX(games!$B$2:$B$1200,MATCH(connections!$B1288,games!$A$2:$A$1200,0)),""))</f>
        <v>2025</v>
      </c>
      <c r="V1288">
        <f t="shared" si="248"/>
        <v>4</v>
      </c>
    </row>
    <row r="1289" spans="20:22" x14ac:dyDescent="0.25">
      <c r="T1289">
        <f>IF(connections!$A1289="","",IFERROR(INDEX(games!$B$2:$B$1200,MATCH(connections!$A1289,games!$A$2:$A$1200,0)),""))</f>
        <v>2021</v>
      </c>
      <c r="U1289">
        <f>IF(connections!$A1289="","",IFERROR(INDEX(games!$B$2:$B$1200,MATCH(connections!$B1289,games!$A$2:$A$1200,0)),""))</f>
        <v>2025</v>
      </c>
      <c r="V1289">
        <f t="shared" si="248"/>
        <v>4</v>
      </c>
    </row>
    <row r="1290" spans="20:22" x14ac:dyDescent="0.25">
      <c r="T1290">
        <f>IF(connections!$A1290="","",IFERROR(INDEX(games!$B$2:$B$1200,MATCH(connections!$A1290,games!$A$2:$A$1200,0)),""))</f>
        <v>2023</v>
      </c>
      <c r="U1290">
        <f>IF(connections!$A1290="","",IFERROR(INDEX(games!$B$2:$B$1200,MATCH(connections!$B1290,games!$A$2:$A$1200,0)),""))</f>
        <v>2025</v>
      </c>
      <c r="V1290">
        <f t="shared" si="248"/>
        <v>2</v>
      </c>
    </row>
    <row r="1291" spans="20:22" x14ac:dyDescent="0.25">
      <c r="T1291">
        <f>IF(connections!$A1291="","",IFERROR(INDEX(games!$B$2:$B$1200,MATCH(connections!$A1291,games!$A$2:$A$1200,0)),""))</f>
        <v>2020</v>
      </c>
      <c r="U1291">
        <f>IF(connections!$A1291="","",IFERROR(INDEX(games!$B$2:$B$1200,MATCH(connections!$B1291,games!$A$2:$A$1200,0)),""))</f>
        <v>2025</v>
      </c>
      <c r="V1291">
        <f t="shared" si="248"/>
        <v>5</v>
      </c>
    </row>
    <row r="1292" spans="20:22" x14ac:dyDescent="0.25">
      <c r="T1292">
        <f>IF(connections!$A1292="","",IFERROR(INDEX(games!$B$2:$B$1200,MATCH(connections!$A1292,games!$A$2:$A$1200,0)),""))</f>
        <v>2020</v>
      </c>
      <c r="U1292">
        <f>IF(connections!$A1292="","",IFERROR(INDEX(games!$B$2:$B$1200,MATCH(connections!$B1292,games!$A$2:$A$1200,0)),""))</f>
        <v>2025</v>
      </c>
      <c r="V1292">
        <f t="shared" si="248"/>
        <v>5</v>
      </c>
    </row>
    <row r="1293" spans="20:22" x14ac:dyDescent="0.25">
      <c r="T1293">
        <f>IF(connections!$A1293="","",IFERROR(INDEX(games!$B$2:$B$1200,MATCH(connections!$A1293,games!$A$2:$A$1200,0)),""))</f>
        <v>2021</v>
      </c>
      <c r="U1293">
        <f>IF(connections!$A1293="","",IFERROR(INDEX(games!$B$2:$B$1200,MATCH(connections!$B1293,games!$A$2:$A$1200,0)),""))</f>
        <v>2023</v>
      </c>
      <c r="V1293">
        <f t="shared" si="248"/>
        <v>2</v>
      </c>
    </row>
    <row r="1294" spans="20:22" x14ac:dyDescent="0.25">
      <c r="T1294">
        <f>IF(connections!$A1294="","",IFERROR(INDEX(games!$B$2:$B$1200,MATCH(connections!$A1294,games!$A$2:$A$1200,0)),""))</f>
        <v>2012</v>
      </c>
      <c r="U1294">
        <f>IF(connections!$A1294="","",IFERROR(INDEX(games!$B$2:$B$1200,MATCH(connections!$B1294,games!$A$2:$A$1200,0)),""))</f>
        <v>2016</v>
      </c>
      <c r="V1294">
        <f t="shared" si="248"/>
        <v>4</v>
      </c>
    </row>
    <row r="1295" spans="20:22" x14ac:dyDescent="0.25">
      <c r="T1295">
        <f>IF(connections!$A1295="","",IFERROR(INDEX(games!$B$2:$B$1200,MATCH(connections!$A1295,games!$A$2:$A$1200,0)),""))</f>
        <v>2008</v>
      </c>
      <c r="U1295">
        <f>IF(connections!$A1295="","",IFERROR(INDEX(games!$B$2:$B$1200,MATCH(connections!$B1295,games!$A$2:$A$1200,0)),""))</f>
        <v>2016</v>
      </c>
      <c r="V1295">
        <f t="shared" si="248"/>
        <v>8</v>
      </c>
    </row>
    <row r="1296" spans="20:22" x14ac:dyDescent="0.25">
      <c r="T1296">
        <f>IF(connections!$A1296="","",IFERROR(INDEX(games!$B$2:$B$1200,MATCH(connections!$A1296,games!$A$2:$A$1200,0)),""))</f>
        <v>2011</v>
      </c>
      <c r="U1296">
        <f>IF(connections!$A1296="","",IFERROR(INDEX(games!$B$2:$B$1200,MATCH(connections!$B1296,games!$A$2:$A$1200,0)),""))</f>
        <v>2016</v>
      </c>
      <c r="V1296">
        <f t="shared" si="248"/>
        <v>5</v>
      </c>
    </row>
    <row r="1297" spans="20:22" x14ac:dyDescent="0.25">
      <c r="T1297">
        <f>IF(connections!$A1297="","",IFERROR(INDEX(games!$B$2:$B$1200,MATCH(connections!$A1297,games!$A$2:$A$1200,0)),""))</f>
        <v>1997</v>
      </c>
      <c r="U1297">
        <f>IF(connections!$A1297="","",IFERROR(INDEX(games!$B$2:$B$1200,MATCH(connections!$B1297,games!$A$2:$A$1200,0)),""))</f>
        <v>2021</v>
      </c>
      <c r="V1297">
        <f t="shared" si="248"/>
        <v>24</v>
      </c>
    </row>
    <row r="1298" spans="20:22" x14ac:dyDescent="0.25">
      <c r="T1298">
        <f>IF(connections!$A1298="","",IFERROR(INDEX(games!$B$2:$B$1200,MATCH(connections!$A1298,games!$A$2:$A$1200,0)),""))</f>
        <v>2016</v>
      </c>
      <c r="U1298">
        <f>IF(connections!$A1298="","",IFERROR(INDEX(games!$B$2:$B$1200,MATCH(connections!$B1298,games!$A$2:$A$1200,0)),""))</f>
        <v>2021</v>
      </c>
      <c r="V1298">
        <f t="shared" si="248"/>
        <v>5</v>
      </c>
    </row>
    <row r="1299" spans="20:22" x14ac:dyDescent="0.25">
      <c r="T1299">
        <f>IF(connections!$A1299="","",IFERROR(INDEX(games!$B$2:$B$1200,MATCH(connections!$A1299,games!$A$2:$A$1200,0)),""))</f>
        <v>2021</v>
      </c>
      <c r="U1299">
        <f>IF(connections!$A1299="","",IFERROR(INDEX(games!$B$2:$B$1200,MATCH(connections!$B1299,games!$A$2:$A$1200,0)),""))</f>
        <v>2025</v>
      </c>
      <c r="V1299">
        <f t="shared" si="248"/>
        <v>4</v>
      </c>
    </row>
    <row r="1300" spans="20:22" x14ac:dyDescent="0.25">
      <c r="T1300">
        <f>IF(connections!$A1300="","",IFERROR(INDEX(games!$B$2:$B$1200,MATCH(connections!$A1300,games!$A$2:$A$1200,0)),""))</f>
        <v>1996</v>
      </c>
      <c r="U1300">
        <f>IF(connections!$A1300="","",IFERROR(INDEX(games!$B$2:$B$1200,MATCH(connections!$B1300,games!$A$2:$A$1200,0)),""))</f>
        <v>2013</v>
      </c>
      <c r="V1300">
        <f t="shared" si="248"/>
        <v>17</v>
      </c>
    </row>
    <row r="1301" spans="20:22" x14ac:dyDescent="0.25">
      <c r="T1301">
        <f>IF(connections!$A1301="","",IFERROR(INDEX(games!$B$2:$B$1200,MATCH(connections!$A1301,games!$A$2:$A$1200,0)),""))</f>
        <v>1987</v>
      </c>
      <c r="U1301">
        <f>IF(connections!$A1301="","",IFERROR(INDEX(games!$B$2:$B$1200,MATCH(connections!$B1301,games!$A$2:$A$1200,0)),""))</f>
        <v>2013</v>
      </c>
      <c r="V1301">
        <f t="shared" si="248"/>
        <v>26</v>
      </c>
    </row>
    <row r="1302" spans="20:22" x14ac:dyDescent="0.25">
      <c r="T1302">
        <f>IF(connections!$A1302="","",IFERROR(INDEX(games!$B$2:$B$1200,MATCH(connections!$A1302,games!$A$2:$A$1200,0)),""))</f>
        <v>1980</v>
      </c>
      <c r="U1302">
        <f>IF(connections!$A1302="","",IFERROR(INDEX(games!$B$2:$B$1200,MATCH(connections!$B1302,games!$A$2:$A$1200,0)),""))</f>
        <v>2013</v>
      </c>
      <c r="V1302">
        <f t="shared" si="248"/>
        <v>33</v>
      </c>
    </row>
    <row r="1303" spans="20:22" x14ac:dyDescent="0.25">
      <c r="T1303">
        <f>IF(connections!$A1303="","",IFERROR(INDEX(games!$B$2:$B$1200,MATCH(connections!$A1303,games!$A$2:$A$1200,0)),""))</f>
        <v>2018</v>
      </c>
      <c r="U1303">
        <f>IF(connections!$A1303="","",IFERROR(INDEX(games!$B$2:$B$1200,MATCH(connections!$B1303,games!$A$2:$A$1200,0)),""))</f>
        <v>2022</v>
      </c>
      <c r="V1303">
        <f t="shared" si="248"/>
        <v>4</v>
      </c>
    </row>
    <row r="1304" spans="20:22" x14ac:dyDescent="0.25">
      <c r="T1304">
        <f>IF(connections!$A1304="","",IFERROR(INDEX(games!$B$2:$B$1200,MATCH(connections!$A1304,games!$A$2:$A$1200,0)),""))</f>
        <v>2019</v>
      </c>
      <c r="U1304">
        <f>IF(connections!$A1304="","",IFERROR(INDEX(games!$B$2:$B$1200,MATCH(connections!$B1304,games!$A$2:$A$1200,0)),""))</f>
        <v>2025</v>
      </c>
      <c r="V1304">
        <f t="shared" si="248"/>
        <v>6</v>
      </c>
    </row>
    <row r="1305" spans="20:22" x14ac:dyDescent="0.25">
      <c r="T1305">
        <f>IF(connections!$A1305="","",IFERROR(INDEX(games!$B$2:$B$1200,MATCH(connections!$A1305,games!$A$2:$A$1200,0)),""))</f>
        <v>2018</v>
      </c>
      <c r="U1305">
        <f>IF(connections!$A1305="","",IFERROR(INDEX(games!$B$2:$B$1200,MATCH(connections!$B1305,games!$A$2:$A$1200,0)),""))</f>
        <v>2021</v>
      </c>
      <c r="V1305">
        <f t="shared" si="248"/>
        <v>3</v>
      </c>
    </row>
    <row r="1306" spans="20:22" x14ac:dyDescent="0.25">
      <c r="T1306">
        <f>IF(connections!$A1306="","",IFERROR(INDEX(games!$B$2:$B$1200,MATCH(connections!$A1306,games!$A$2:$A$1200,0)),""))</f>
        <v>2013</v>
      </c>
      <c r="U1306">
        <f>IF(connections!$A1306="","",IFERROR(INDEX(games!$B$2:$B$1200,MATCH(connections!$B1306,games!$A$2:$A$1200,0)),""))</f>
        <v>2018</v>
      </c>
      <c r="V1306">
        <f t="shared" si="248"/>
        <v>5</v>
      </c>
    </row>
    <row r="1307" spans="20:22" x14ac:dyDescent="0.25">
      <c r="T1307">
        <f>IF(connections!$A1307="","",IFERROR(INDEX(games!$B$2:$B$1200,MATCH(connections!$A1307,games!$A$2:$A$1200,0)),""))</f>
        <v>2018</v>
      </c>
      <c r="U1307">
        <f>IF(connections!$A1307="","",IFERROR(INDEX(games!$B$2:$B$1200,MATCH(connections!$B1307,games!$A$2:$A$1200,0)),""))</f>
        <v>2026</v>
      </c>
      <c r="V1307">
        <f t="shared" si="248"/>
        <v>8</v>
      </c>
    </row>
    <row r="1308" spans="20:22" x14ac:dyDescent="0.25">
      <c r="T1308">
        <f>IF(connections!$A1308="","",IFERROR(INDEX(games!$B$2:$B$1200,MATCH(connections!$A1308,games!$A$2:$A$1200,0)),""))</f>
        <v>2023</v>
      </c>
      <c r="U1308">
        <f>IF(connections!$A1308="","",IFERROR(INDEX(games!$B$2:$B$1200,MATCH(connections!$B1308,games!$A$2:$A$1200,0)),""))</f>
        <v>2026</v>
      </c>
      <c r="V1308">
        <f t="shared" si="248"/>
        <v>3</v>
      </c>
    </row>
    <row r="1309" spans="20:22" x14ac:dyDescent="0.25">
      <c r="T1309">
        <f>IF(connections!$A1309="","",IFERROR(INDEX(games!$B$2:$B$1200,MATCH(connections!$A1309,games!$A$2:$A$1200,0)),""))</f>
        <v>2025</v>
      </c>
      <c r="U1309">
        <f>IF(connections!$A1309="","",IFERROR(INDEX(games!$B$2:$B$1200,MATCH(connections!$B1309,games!$A$2:$A$1200,0)),""))</f>
        <v>2026</v>
      </c>
      <c r="V1309">
        <f t="shared" si="248"/>
        <v>1</v>
      </c>
    </row>
    <row r="1310" spans="20:22" x14ac:dyDescent="0.25">
      <c r="T1310">
        <f>IF(connections!$A1310="","",IFERROR(INDEX(games!$B$2:$B$1200,MATCH(connections!$A1310,games!$A$2:$A$1200,0)),""))</f>
        <v>2024</v>
      </c>
      <c r="U1310">
        <f>IF(connections!$A1310="","",IFERROR(INDEX(games!$B$2:$B$1200,MATCH(connections!$B1310,games!$A$2:$A$1200,0)),""))</f>
        <v>2026</v>
      </c>
      <c r="V1310">
        <f t="shared" si="248"/>
        <v>2</v>
      </c>
    </row>
    <row r="1311" spans="20:22" x14ac:dyDescent="0.25">
      <c r="T1311">
        <f>IF(connections!$A1311="","",IFERROR(INDEX(games!$B$2:$B$1200,MATCH(connections!$A1311,games!$A$2:$A$1200,0)),""))</f>
        <v>2017</v>
      </c>
      <c r="U1311">
        <f>IF(connections!$A1311="","",IFERROR(INDEX(games!$B$2:$B$1200,MATCH(connections!$B1311,games!$A$2:$A$1200,0)),""))</f>
        <v>2026</v>
      </c>
      <c r="V1311">
        <f t="shared" si="248"/>
        <v>9</v>
      </c>
    </row>
    <row r="1312" spans="20:22" x14ac:dyDescent="0.25">
      <c r="T1312">
        <f>IF(connections!$A1312="","",IFERROR(INDEX(games!$B$2:$B$1200,MATCH(connections!$A1312,games!$A$2:$A$1200,0)),""))</f>
        <v>2017</v>
      </c>
      <c r="U1312">
        <f>IF(connections!$A1312="","",IFERROR(INDEX(games!$B$2:$B$1200,MATCH(connections!$B1312,games!$A$2:$A$1200,0)),""))</f>
        <v>2020</v>
      </c>
      <c r="V1312">
        <f t="shared" si="248"/>
        <v>3</v>
      </c>
    </row>
    <row r="1313" spans="20:22" x14ac:dyDescent="0.25">
      <c r="T1313">
        <f>IF(connections!$A1313="","",IFERROR(INDEX(games!$B$2:$B$1200,MATCH(connections!$A1313,games!$A$2:$A$1200,0)),""))</f>
        <v>2010</v>
      </c>
      <c r="U1313">
        <f>IF(connections!$A1313="","",IFERROR(INDEX(games!$B$2:$B$1200,MATCH(connections!$B1313,games!$A$2:$A$1200,0)),""))</f>
        <v>2023</v>
      </c>
      <c r="V1313">
        <f t="shared" si="248"/>
        <v>13</v>
      </c>
    </row>
    <row r="1314" spans="20:22" x14ac:dyDescent="0.25">
      <c r="T1314">
        <f>IF(connections!$A1314="","",IFERROR(INDEX(games!$B$2:$B$1200,MATCH(connections!$A1314,games!$A$2:$A$1200,0)),""))</f>
        <v>2011</v>
      </c>
      <c r="U1314">
        <f>IF(connections!$A1314="","",IFERROR(INDEX(games!$B$2:$B$1200,MATCH(connections!$B1314,games!$A$2:$A$1200,0)),""))</f>
        <v>2023</v>
      </c>
      <c r="V1314">
        <f t="shared" si="248"/>
        <v>12</v>
      </c>
    </row>
    <row r="1315" spans="20:22" x14ac:dyDescent="0.25">
      <c r="T1315">
        <f>IF(connections!$A1315="","",IFERROR(INDEX(games!$B$2:$B$1200,MATCH(connections!$A1315,games!$A$2:$A$1200,0)),""))</f>
        <v>2021</v>
      </c>
      <c r="U1315">
        <f>IF(connections!$A1315="","",IFERROR(INDEX(games!$B$2:$B$1200,MATCH(connections!$B1315,games!$A$2:$A$1200,0)),""))</f>
        <v>2023</v>
      </c>
      <c r="V1315">
        <f t="shared" si="248"/>
        <v>2</v>
      </c>
    </row>
    <row r="1316" spans="20:22" x14ac:dyDescent="0.25">
      <c r="T1316">
        <f>IF(connections!$A1316="","",IFERROR(INDEX(games!$B$2:$B$1200,MATCH(connections!$A1316,games!$A$2:$A$1200,0)),""))</f>
        <v>1994</v>
      </c>
      <c r="U1316">
        <f>IF(connections!$A1316="","",IFERROR(INDEX(games!$B$2:$B$1200,MATCH(connections!$B1316,games!$A$2:$A$1200,0)),""))</f>
        <v>1998</v>
      </c>
      <c r="V1316">
        <f t="shared" si="248"/>
        <v>4</v>
      </c>
    </row>
    <row r="1317" spans="20:22" x14ac:dyDescent="0.25">
      <c r="T1317">
        <f>IF(connections!$A1317="","",IFERROR(INDEX(games!$B$2:$B$1200,MATCH(connections!$A1317,games!$A$2:$A$1200,0)),""))</f>
        <v>2017</v>
      </c>
      <c r="U1317">
        <f>IF(connections!$A1317="","",IFERROR(INDEX(games!$B$2:$B$1200,MATCH(connections!$B1317,games!$A$2:$A$1200,0)),""))</f>
        <v>2026</v>
      </c>
      <c r="V1317">
        <f t="shared" si="248"/>
        <v>9</v>
      </c>
    </row>
    <row r="1318" spans="20:22" x14ac:dyDescent="0.25">
      <c r="T1318">
        <f>IF(connections!$A1318="","",IFERROR(INDEX(games!$B$2:$B$1200,MATCH(connections!$A1318,games!$A$2:$A$1200,0)),""))</f>
        <v>2010</v>
      </c>
      <c r="U1318">
        <f>IF(connections!$A1318="","",IFERROR(INDEX(games!$B$2:$B$1200,MATCH(connections!$B1318,games!$A$2:$A$1200,0)),""))</f>
        <v>2017</v>
      </c>
      <c r="V1318">
        <f t="shared" si="248"/>
        <v>7</v>
      </c>
    </row>
    <row r="1319" spans="20:22" x14ac:dyDescent="0.25">
      <c r="T1319">
        <f>IF(connections!$A1319="","",IFERROR(INDEX(games!$B$2:$B$1200,MATCH(connections!$A1319,games!$A$2:$A$1200,0)),""))</f>
        <v>1995</v>
      </c>
      <c r="U1319">
        <f>IF(connections!$A1319="","",IFERROR(INDEX(games!$B$2:$B$1200,MATCH(connections!$B1319,games!$A$2:$A$1200,0)),""))</f>
        <v>2017</v>
      </c>
      <c r="V1319">
        <f t="shared" si="248"/>
        <v>22</v>
      </c>
    </row>
    <row r="1320" spans="20:22" x14ac:dyDescent="0.25">
      <c r="T1320">
        <f>IF(connections!$A1320="","",IFERROR(INDEX(games!$B$2:$B$1200,MATCH(connections!$A1320,games!$A$2:$A$1200,0)),""))</f>
        <v>1998</v>
      </c>
      <c r="U1320">
        <f>IF(connections!$A1320="","",IFERROR(INDEX(games!$B$2:$B$1200,MATCH(connections!$B1320,games!$A$2:$A$1200,0)),""))</f>
        <v>2017</v>
      </c>
      <c r="V1320">
        <f t="shared" si="248"/>
        <v>19</v>
      </c>
    </row>
    <row r="1321" spans="20:22" x14ac:dyDescent="0.25">
      <c r="T1321">
        <f>IF(connections!$A1321="","",IFERROR(INDEX(games!$B$2:$B$1200,MATCH(connections!$A1321,games!$A$2:$A$1200,0)),""))</f>
        <v>1997</v>
      </c>
      <c r="U1321">
        <f>IF(connections!$A1321="","",IFERROR(INDEX(games!$B$2:$B$1200,MATCH(connections!$B1321,games!$A$2:$A$1200,0)),""))</f>
        <v>2006</v>
      </c>
      <c r="V1321">
        <f t="shared" si="248"/>
        <v>9</v>
      </c>
    </row>
    <row r="1322" spans="20:22" x14ac:dyDescent="0.25">
      <c r="T1322">
        <f>IF(connections!$A1322="","",IFERROR(INDEX(games!$B$2:$B$1200,MATCH(connections!$A1322,games!$A$2:$A$1200,0)),""))</f>
        <v>2019</v>
      </c>
      <c r="U1322">
        <f>IF(connections!$A1322="","",IFERROR(INDEX(games!$B$2:$B$1200,MATCH(connections!$B1322,games!$A$2:$A$1200,0)),""))</f>
        <v>2023</v>
      </c>
      <c r="V1322">
        <f t="shared" si="248"/>
        <v>4</v>
      </c>
    </row>
    <row r="1323" spans="20:22" x14ac:dyDescent="0.25">
      <c r="T1323">
        <f>IF(connections!$A1323="","",IFERROR(INDEX(games!$B$2:$B$1200,MATCH(connections!$A1323,games!$A$2:$A$1200,0)),""))</f>
        <v>2017</v>
      </c>
      <c r="U1323">
        <f>IF(connections!$A1323="","",IFERROR(INDEX(games!$B$2:$B$1200,MATCH(connections!$B1323,games!$A$2:$A$1200,0)),""))</f>
        <v>2023</v>
      </c>
      <c r="V1323">
        <f t="shared" si="248"/>
        <v>6</v>
      </c>
    </row>
    <row r="1324" spans="20:22" x14ac:dyDescent="0.25">
      <c r="T1324">
        <f>IF(connections!$A1324="","",IFERROR(INDEX(games!$B$2:$B$1200,MATCH(connections!$A1324,games!$A$2:$A$1200,0)),""))</f>
        <v>2011</v>
      </c>
      <c r="U1324">
        <f>IF(connections!$A1324="","",IFERROR(INDEX(games!$B$2:$B$1200,MATCH(connections!$B1324,games!$A$2:$A$1200,0)),""))</f>
        <v>2023</v>
      </c>
      <c r="V1324">
        <f t="shared" si="248"/>
        <v>12</v>
      </c>
    </row>
    <row r="1325" spans="20:22" x14ac:dyDescent="0.25">
      <c r="T1325">
        <f>IF(connections!$A1325="","",IFERROR(INDEX(games!$B$2:$B$1200,MATCH(connections!$A1325,games!$A$2:$A$1200,0)),""))</f>
        <v>2019</v>
      </c>
      <c r="U1325">
        <f>IF(connections!$A1325="","",IFERROR(INDEX(games!$B$2:$B$1200,MATCH(connections!$B1325,games!$A$2:$A$1200,0)),""))</f>
        <v>2019</v>
      </c>
      <c r="V1325">
        <f t="shared" si="248"/>
        <v>0</v>
      </c>
    </row>
    <row r="1326" spans="20:22" x14ac:dyDescent="0.25">
      <c r="T1326">
        <f>IF(connections!$A1326="","",IFERROR(INDEX(games!$B$2:$B$1200,MATCH(connections!$A1326,games!$A$2:$A$1200,0)),""))</f>
        <v>2020</v>
      </c>
      <c r="U1326">
        <f>IF(connections!$A1326="","",IFERROR(INDEX(games!$B$2:$B$1200,MATCH(connections!$B1326,games!$A$2:$A$1200,0)),""))</f>
        <v>2026</v>
      </c>
      <c r="V1326">
        <f t="shared" si="248"/>
        <v>6</v>
      </c>
    </row>
    <row r="1327" spans="20:22" x14ac:dyDescent="0.25">
      <c r="T1327">
        <f>IF(connections!$A1327="","",IFERROR(INDEX(games!$B$2:$B$1200,MATCH(connections!$A1327,games!$A$2:$A$1200,0)),""))</f>
        <v>2019</v>
      </c>
      <c r="U1327">
        <f>IF(connections!$A1327="","",IFERROR(INDEX(games!$B$2:$B$1200,MATCH(connections!$B1327,games!$A$2:$A$1200,0)),""))</f>
        <v>2024</v>
      </c>
      <c r="V1327">
        <f t="shared" si="248"/>
        <v>5</v>
      </c>
    </row>
    <row r="1328" spans="20:22" x14ac:dyDescent="0.25">
      <c r="T1328">
        <f>IF(connections!$A1328="","",IFERROR(INDEX(games!$B$2:$B$1200,MATCH(connections!$A1328,games!$A$2:$A$1200,0)),""))</f>
        <v>2018</v>
      </c>
      <c r="U1328">
        <f>IF(connections!$A1328="","",IFERROR(INDEX(games!$B$2:$B$1200,MATCH(connections!$B1328,games!$A$2:$A$1200,0)),""))</f>
        <v>2024</v>
      </c>
      <c r="V1328">
        <f t="shared" si="248"/>
        <v>6</v>
      </c>
    </row>
    <row r="1329" spans="20:22" x14ac:dyDescent="0.25">
      <c r="T1329">
        <f>IF(connections!$A1329="","",IFERROR(INDEX(games!$B$2:$B$1200,MATCH(connections!$A1329,games!$A$2:$A$1200,0)),""))</f>
        <v>2019</v>
      </c>
      <c r="U1329">
        <f>IF(connections!$A1329="","",IFERROR(INDEX(games!$B$2:$B$1200,MATCH(connections!$B1329,games!$A$2:$A$1200,0)),""))</f>
        <v>2024</v>
      </c>
      <c r="V1329">
        <f t="shared" si="248"/>
        <v>5</v>
      </c>
    </row>
    <row r="1330" spans="20:22" x14ac:dyDescent="0.25">
      <c r="T1330">
        <f>IF(connections!$A1330="","",IFERROR(INDEX(games!$B$2:$B$1200,MATCH(connections!$A1330,games!$A$2:$A$1200,0)),""))</f>
        <v>2021</v>
      </c>
      <c r="U1330">
        <f>IF(connections!$A1330="","",IFERROR(INDEX(games!$B$2:$B$1200,MATCH(connections!$B1330,games!$A$2:$A$1200,0)),""))</f>
        <v>2024</v>
      </c>
      <c r="V1330">
        <f t="shared" si="248"/>
        <v>3</v>
      </c>
    </row>
    <row r="1331" spans="20:22" x14ac:dyDescent="0.25">
      <c r="T1331">
        <f>IF(connections!$A1331="","",IFERROR(INDEX(games!$B$2:$B$1200,MATCH(connections!$A1331,games!$A$2:$A$1200,0)),""))</f>
        <v>2012</v>
      </c>
      <c r="U1331">
        <f>IF(connections!$A1331="","",IFERROR(INDEX(games!$B$2:$B$1200,MATCH(connections!$B1331,games!$A$2:$A$1200,0)),""))</f>
        <v>2022</v>
      </c>
      <c r="V1331">
        <f t="shared" si="248"/>
        <v>10</v>
      </c>
    </row>
    <row r="1332" spans="20:22" x14ac:dyDescent="0.25">
      <c r="T1332">
        <f>IF(connections!$A1332="","",IFERROR(INDEX(games!$B$2:$B$1200,MATCH(connections!$A1332,games!$A$2:$A$1200,0)),""))</f>
        <v>2021</v>
      </c>
      <c r="U1332">
        <f>IF(connections!$A1332="","",IFERROR(INDEX(games!$B$2:$B$1200,MATCH(connections!$B1332,games!$A$2:$A$1200,0)),""))</f>
        <v>2026</v>
      </c>
      <c r="V1332">
        <f t="shared" si="248"/>
        <v>5</v>
      </c>
    </row>
    <row r="1333" spans="20:22" x14ac:dyDescent="0.25">
      <c r="T1333">
        <f>IF(connections!$A1333="","",IFERROR(INDEX(games!$B$2:$B$1200,MATCH(connections!$A1333,games!$A$2:$A$1200,0)),""))</f>
        <v>2020</v>
      </c>
      <c r="U1333">
        <f>IF(connections!$A1333="","",IFERROR(INDEX(games!$B$2:$B$1200,MATCH(connections!$B1333,games!$A$2:$A$1200,0)),""))</f>
        <v>2024</v>
      </c>
      <c r="V1333">
        <f t="shared" si="248"/>
        <v>4</v>
      </c>
    </row>
    <row r="1334" spans="20:22" x14ac:dyDescent="0.25">
      <c r="T1334">
        <f>IF(connections!$A1334="","",IFERROR(INDEX(games!$B$2:$B$1200,MATCH(connections!$A1334,games!$A$2:$A$1200,0)),""))</f>
        <v>2019</v>
      </c>
      <c r="U1334">
        <f>IF(connections!$A1334="","",IFERROR(INDEX(games!$B$2:$B$1200,MATCH(connections!$B1334,games!$A$2:$A$1200,0)),""))</f>
        <v>2025</v>
      </c>
      <c r="V1334">
        <f t="shared" si="248"/>
        <v>6</v>
      </c>
    </row>
    <row r="1335" spans="20:22" x14ac:dyDescent="0.25">
      <c r="T1335">
        <f>IF(connections!$A1335="","",IFERROR(INDEX(games!$B$2:$B$1200,MATCH(connections!$A1335,games!$A$2:$A$1200,0)),""))</f>
        <v>2019</v>
      </c>
      <c r="U1335">
        <f>IF(connections!$A1335="","",IFERROR(INDEX(games!$B$2:$B$1200,MATCH(connections!$B1335,games!$A$2:$A$1200,0)),""))</f>
        <v>2025</v>
      </c>
      <c r="V1335">
        <f t="shared" si="248"/>
        <v>6</v>
      </c>
    </row>
    <row r="1336" spans="20:22" x14ac:dyDescent="0.25">
      <c r="T1336">
        <f>IF(connections!$A1336="","",IFERROR(INDEX(games!$B$2:$B$1200,MATCH(connections!$A1336,games!$A$2:$A$1200,0)),""))</f>
        <v>2010</v>
      </c>
      <c r="U1336">
        <f>IF(connections!$A1336="","",IFERROR(INDEX(games!$B$2:$B$1200,MATCH(connections!$B1336,games!$A$2:$A$1200,0)),""))</f>
        <v>2011</v>
      </c>
      <c r="V1336">
        <f t="shared" si="248"/>
        <v>1</v>
      </c>
    </row>
    <row r="1337" spans="20:22" x14ac:dyDescent="0.25">
      <c r="T1337">
        <f>IF(connections!$A1337="","",IFERROR(INDEX(games!$B$2:$B$1200,MATCH(connections!$A1337,games!$A$2:$A$1200,0)),""))</f>
        <v>2008</v>
      </c>
      <c r="U1337">
        <f>IF(connections!$A1337="","",IFERROR(INDEX(games!$B$2:$B$1200,MATCH(connections!$B1337,games!$A$2:$A$1200,0)),""))</f>
        <v>2011</v>
      </c>
      <c r="V1337">
        <f t="shared" si="248"/>
        <v>3</v>
      </c>
    </row>
    <row r="1338" spans="20:22" x14ac:dyDescent="0.25">
      <c r="T1338">
        <f>IF(connections!$A1338="","",IFERROR(INDEX(games!$B$2:$B$1200,MATCH(connections!$A1338,games!$A$2:$A$1200,0)),""))</f>
        <v>2011</v>
      </c>
      <c r="U1338">
        <f>IF(connections!$A1338="","",IFERROR(INDEX(games!$B$2:$B$1200,MATCH(connections!$B1338,games!$A$2:$A$1200,0)),""))</f>
        <v>2014</v>
      </c>
      <c r="V1338">
        <f t="shared" si="248"/>
        <v>3</v>
      </c>
    </row>
    <row r="1339" spans="20:22" x14ac:dyDescent="0.25">
      <c r="T1339">
        <f>IF(connections!$A1339="","",IFERROR(INDEX(games!$B$2:$B$1200,MATCH(connections!$A1339,games!$A$2:$A$1200,0)),""))</f>
        <v>2017</v>
      </c>
      <c r="U1339">
        <f>IF(connections!$A1339="","",IFERROR(INDEX(games!$B$2:$B$1200,MATCH(connections!$B1339,games!$A$2:$A$1200,0)),""))</f>
        <v>2021</v>
      </c>
      <c r="V1339">
        <f t="shared" si="248"/>
        <v>4</v>
      </c>
    </row>
    <row r="1340" spans="20:22" x14ac:dyDescent="0.25">
      <c r="T1340">
        <f>IF(connections!$A1340="","",IFERROR(INDEX(games!$B$2:$B$1200,MATCH(connections!$A1340,games!$A$2:$A$1200,0)),""))</f>
        <v>2011</v>
      </c>
      <c r="U1340">
        <f>IF(connections!$A1340="","",IFERROR(INDEX(games!$B$2:$B$1200,MATCH(connections!$B1340,games!$A$2:$A$1200,0)),""))</f>
        <v>2021</v>
      </c>
      <c r="V1340">
        <f t="shared" si="248"/>
        <v>10</v>
      </c>
    </row>
    <row r="1341" spans="20:22" x14ac:dyDescent="0.25">
      <c r="T1341">
        <f>IF(connections!$A1341="","",IFERROR(INDEX(games!$B$2:$B$1200,MATCH(connections!$A1341,games!$A$2:$A$1200,0)),""))</f>
        <v>2006</v>
      </c>
      <c r="U1341">
        <f>IF(connections!$A1341="","",IFERROR(INDEX(games!$B$2:$B$1200,MATCH(connections!$B1341,games!$A$2:$A$1200,0)),""))</f>
        <v>2021</v>
      </c>
      <c r="V1341">
        <f t="shared" si="248"/>
        <v>15</v>
      </c>
    </row>
    <row r="1342" spans="20:22" x14ac:dyDescent="0.25">
      <c r="T1342">
        <f>IF(connections!$A1342="","",IFERROR(INDEX(games!$B$2:$B$1200,MATCH(connections!$A1342,games!$A$2:$A$1200,0)),""))</f>
        <v>1980</v>
      </c>
      <c r="U1342">
        <f>IF(connections!$A1342="","",IFERROR(INDEX(games!$B$2:$B$1200,MATCH(connections!$B1342,games!$A$2:$A$1200,0)),""))</f>
        <v>2000</v>
      </c>
      <c r="V1342">
        <f t="shared" si="248"/>
        <v>20</v>
      </c>
    </row>
    <row r="1343" spans="20:22" x14ac:dyDescent="0.25">
      <c r="T1343">
        <f>IF(connections!$A1343="","",IFERROR(INDEX(games!$B$2:$B$1200,MATCH(connections!$A1343,games!$A$2:$A$1200,0)),""))</f>
        <v>1993</v>
      </c>
      <c r="U1343">
        <f>IF(connections!$A1343="","",IFERROR(INDEX(games!$B$2:$B$1200,MATCH(connections!$B1343,games!$A$2:$A$1200,0)),""))</f>
        <v>2000</v>
      </c>
      <c r="V1343">
        <f t="shared" si="248"/>
        <v>7</v>
      </c>
    </row>
    <row r="1344" spans="20:22" x14ac:dyDescent="0.25">
      <c r="T1344">
        <f>IF(connections!$A1344="","",IFERROR(INDEX(games!$B$2:$B$1200,MATCH(connections!$A1344,games!$A$2:$A$1200,0)),""))</f>
        <v>2013</v>
      </c>
      <c r="U1344">
        <f>IF(connections!$A1344="","",IFERROR(INDEX(games!$B$2:$B$1200,MATCH(connections!$B1344,games!$A$2:$A$1200,0)),""))</f>
        <v>2016</v>
      </c>
      <c r="V1344">
        <f t="shared" si="248"/>
        <v>3</v>
      </c>
    </row>
    <row r="1345" spans="20:22" x14ac:dyDescent="0.25">
      <c r="T1345">
        <f>IF(connections!$A1345="","",IFERROR(INDEX(games!$B$2:$B$1200,MATCH(connections!$A1345,games!$A$2:$A$1200,0)),""))</f>
        <v>1990</v>
      </c>
      <c r="U1345">
        <f>IF(connections!$A1345="","",IFERROR(INDEX(games!$B$2:$B$1200,MATCH(connections!$B1345,games!$A$2:$A$1200,0)),""))</f>
        <v>2014</v>
      </c>
      <c r="V1345">
        <f t="shared" si="248"/>
        <v>24</v>
      </c>
    </row>
    <row r="1346" spans="20:22" x14ac:dyDescent="0.25">
      <c r="T1346">
        <f>IF(connections!$A1346="","",IFERROR(INDEX(games!$B$2:$B$1200,MATCH(connections!$A1346,games!$A$2:$A$1200,0)),""))</f>
        <v>2007</v>
      </c>
      <c r="U1346">
        <f>IF(connections!$A1346="","",IFERROR(INDEX(games!$B$2:$B$1200,MATCH(connections!$B1346,games!$A$2:$A$1200,0)),""))</f>
        <v>2014</v>
      </c>
      <c r="V1346">
        <f t="shared" ref="V1346:V1409" si="249">IF(OR($T1346="",$U1346=""),"",$U1346-$T1346)</f>
        <v>7</v>
      </c>
    </row>
    <row r="1347" spans="20:22" x14ac:dyDescent="0.25">
      <c r="T1347">
        <f>IF(connections!$A1347="","",IFERROR(INDEX(games!$B$2:$B$1200,MATCH(connections!$A1347,games!$A$2:$A$1200,0)),""))</f>
        <v>2003</v>
      </c>
      <c r="U1347">
        <f>IF(connections!$A1347="","",IFERROR(INDEX(games!$B$2:$B$1200,MATCH(connections!$B1347,games!$A$2:$A$1200,0)),""))</f>
        <v>2014</v>
      </c>
      <c r="V1347">
        <f t="shared" si="249"/>
        <v>11</v>
      </c>
    </row>
    <row r="1348" spans="20:22" x14ac:dyDescent="0.25">
      <c r="T1348">
        <f>IF(connections!$A1348="","",IFERROR(INDEX(games!$B$2:$B$1200,MATCH(connections!$A1348,games!$A$2:$A$1200,0)),""))</f>
        <v>2010</v>
      </c>
      <c r="U1348">
        <f>IF(connections!$A1348="","",IFERROR(INDEX(games!$B$2:$B$1200,MATCH(connections!$B1348,games!$A$2:$A$1200,0)),""))</f>
        <v>2013</v>
      </c>
      <c r="V1348">
        <f t="shared" si="249"/>
        <v>3</v>
      </c>
    </row>
    <row r="1349" spans="20:22" x14ac:dyDescent="0.25">
      <c r="T1349">
        <f>IF(connections!$A1349="","",IFERROR(INDEX(games!$B$2:$B$1200,MATCH(connections!$A1349,games!$A$2:$A$1200,0)),""))</f>
        <v>2020</v>
      </c>
      <c r="U1349">
        <f>IF(connections!$A1349="","",IFERROR(INDEX(games!$B$2:$B$1200,MATCH(connections!$B1349,games!$A$2:$A$1200,0)),""))</f>
        <v>2024</v>
      </c>
      <c r="V1349">
        <f t="shared" si="249"/>
        <v>4</v>
      </c>
    </row>
    <row r="1350" spans="20:22" x14ac:dyDescent="0.25">
      <c r="T1350">
        <f>IF(connections!$A1350="","",IFERROR(INDEX(games!$B$2:$B$1200,MATCH(connections!$A1350,games!$A$2:$A$1200,0)),""))</f>
        <v>2017</v>
      </c>
      <c r="U1350">
        <f>IF(connections!$A1350="","",IFERROR(INDEX(games!$B$2:$B$1200,MATCH(connections!$B1350,games!$A$2:$A$1200,0)),""))</f>
        <v>2024</v>
      </c>
      <c r="V1350">
        <f t="shared" si="249"/>
        <v>7</v>
      </c>
    </row>
    <row r="1351" spans="20:22" x14ac:dyDescent="0.25">
      <c r="T1351">
        <f>IF(connections!$A1351="","",IFERROR(INDEX(games!$B$2:$B$1200,MATCH(connections!$A1351,games!$A$2:$A$1200,0)),""))</f>
        <v>2011</v>
      </c>
      <c r="U1351">
        <f>IF(connections!$A1351="","",IFERROR(INDEX(games!$B$2:$B$1200,MATCH(connections!$B1351,games!$A$2:$A$1200,0)),""))</f>
        <v>2023</v>
      </c>
      <c r="V1351">
        <f t="shared" si="249"/>
        <v>12</v>
      </c>
    </row>
    <row r="1352" spans="20:22" x14ac:dyDescent="0.25">
      <c r="T1352">
        <f>IF(connections!$A1352="","",IFERROR(INDEX(games!$B$2:$B$1200,MATCH(connections!$A1352,games!$A$2:$A$1200,0)),""))</f>
        <v>2022</v>
      </c>
      <c r="U1352">
        <f>IF(connections!$A1352="","",IFERROR(INDEX(games!$B$2:$B$1200,MATCH(connections!$B1352,games!$A$2:$A$1200,0)),""))</f>
        <v>2023</v>
      </c>
      <c r="V1352">
        <f t="shared" si="249"/>
        <v>1</v>
      </c>
    </row>
    <row r="1353" spans="20:22" x14ac:dyDescent="0.25">
      <c r="T1353">
        <f>IF(connections!$A1353="","",IFERROR(INDEX(games!$B$2:$B$1200,MATCH(connections!$A1353,games!$A$2:$A$1200,0)),""))</f>
        <v>2017</v>
      </c>
      <c r="U1353">
        <f>IF(connections!$A1353="","",IFERROR(INDEX(games!$B$2:$B$1200,MATCH(connections!$B1353,games!$A$2:$A$1200,0)),""))</f>
        <v>2021</v>
      </c>
      <c r="V1353">
        <f t="shared" si="249"/>
        <v>4</v>
      </c>
    </row>
    <row r="1354" spans="20:22" x14ac:dyDescent="0.25">
      <c r="T1354">
        <f>IF(connections!$A1354="","",IFERROR(INDEX(games!$B$2:$B$1200,MATCH(connections!$A1354,games!$A$2:$A$1200,0)),""))</f>
        <v>2018</v>
      </c>
      <c r="U1354">
        <f>IF(connections!$A1354="","",IFERROR(INDEX(games!$B$2:$B$1200,MATCH(connections!$B1354,games!$A$2:$A$1200,0)),""))</f>
        <v>2021</v>
      </c>
      <c r="V1354">
        <f t="shared" si="249"/>
        <v>3</v>
      </c>
    </row>
    <row r="1355" spans="20:22" x14ac:dyDescent="0.25">
      <c r="T1355">
        <f>IF(connections!$A1355="","",IFERROR(INDEX(games!$B$2:$B$1200,MATCH(connections!$A1355,games!$A$2:$A$1200,0)),""))</f>
        <v>2017</v>
      </c>
      <c r="U1355">
        <f>IF(connections!$A1355="","",IFERROR(INDEX(games!$B$2:$B$1200,MATCH(connections!$B1355,games!$A$2:$A$1200,0)),""))</f>
        <v>2021</v>
      </c>
      <c r="V1355">
        <f t="shared" si="249"/>
        <v>4</v>
      </c>
    </row>
    <row r="1356" spans="20:22" x14ac:dyDescent="0.25">
      <c r="T1356">
        <f>IF(connections!$A1356="","",IFERROR(INDEX(games!$B$2:$B$1200,MATCH(connections!$A1356,games!$A$2:$A$1200,0)),""))</f>
        <v>2020</v>
      </c>
      <c r="U1356">
        <f>IF(connections!$A1356="","",IFERROR(INDEX(games!$B$2:$B$1200,MATCH(connections!$B1356,games!$A$2:$A$1200,0)),""))</f>
        <v>2021</v>
      </c>
      <c r="V1356">
        <f t="shared" si="249"/>
        <v>1</v>
      </c>
    </row>
    <row r="1357" spans="20:22" x14ac:dyDescent="0.25">
      <c r="T1357">
        <f>IF(connections!$A1357="","",IFERROR(INDEX(games!$B$2:$B$1200,MATCH(connections!$A1357,games!$A$2:$A$1200,0)),""))</f>
        <v>2011</v>
      </c>
      <c r="U1357">
        <f>IF(connections!$A1357="","",IFERROR(INDEX(games!$B$2:$B$1200,MATCH(connections!$B1357,games!$A$2:$A$1200,0)),""))</f>
        <v>2019</v>
      </c>
      <c r="V1357">
        <f t="shared" si="249"/>
        <v>8</v>
      </c>
    </row>
    <row r="1358" spans="20:22" x14ac:dyDescent="0.25">
      <c r="T1358">
        <f>IF(connections!$A1358="","",IFERROR(INDEX(games!$B$2:$B$1200,MATCH(connections!$A1358,games!$A$2:$A$1200,0)),""))</f>
        <v>2023</v>
      </c>
      <c r="U1358">
        <f>IF(connections!$A1358="","",IFERROR(INDEX(games!$B$2:$B$1200,MATCH(connections!$B1358,games!$A$2:$A$1200,0)),""))</f>
        <v>2026</v>
      </c>
      <c r="V1358">
        <f t="shared" si="249"/>
        <v>3</v>
      </c>
    </row>
    <row r="1359" spans="20:22" x14ac:dyDescent="0.25">
      <c r="T1359">
        <f>IF(connections!$A1359="","",IFERROR(INDEX(games!$B$2:$B$1200,MATCH(connections!$A1359,games!$A$2:$A$1200,0)),""))</f>
        <v>2021</v>
      </c>
      <c r="U1359">
        <f>IF(connections!$A1359="","",IFERROR(INDEX(games!$B$2:$B$1200,MATCH(connections!$B1359,games!$A$2:$A$1200,0)),""))</f>
        <v>2026</v>
      </c>
      <c r="V1359">
        <f t="shared" si="249"/>
        <v>5</v>
      </c>
    </row>
    <row r="1360" spans="20:22" x14ac:dyDescent="0.25">
      <c r="T1360">
        <f>IF(connections!$A1360="","",IFERROR(INDEX(games!$B$2:$B$1200,MATCH(connections!$A1360,games!$A$2:$A$1200,0)),""))</f>
        <v>1993</v>
      </c>
      <c r="U1360">
        <f>IF(connections!$A1360="","",IFERROR(INDEX(games!$B$2:$B$1200,MATCH(connections!$B1360,games!$A$2:$A$1200,0)),""))</f>
        <v>2004</v>
      </c>
      <c r="V1360">
        <f t="shared" si="249"/>
        <v>11</v>
      </c>
    </row>
    <row r="1361" spans="20:22" x14ac:dyDescent="0.25">
      <c r="T1361">
        <f>IF(connections!$A1361="","",IFERROR(INDEX(games!$B$2:$B$1200,MATCH(connections!$A1361,games!$A$2:$A$1200,0)),""))</f>
        <v>2018</v>
      </c>
      <c r="U1361">
        <f>IF(connections!$A1361="","",IFERROR(INDEX(games!$B$2:$B$1200,MATCH(connections!$B1361,games!$A$2:$A$1200,0)),""))</f>
        <v>2023</v>
      </c>
      <c r="V1361">
        <f t="shared" si="249"/>
        <v>5</v>
      </c>
    </row>
    <row r="1362" spans="20:22" x14ac:dyDescent="0.25">
      <c r="T1362">
        <f>IF(connections!$A1362="","",IFERROR(INDEX(games!$B$2:$B$1200,MATCH(connections!$A1362,games!$A$2:$A$1200,0)),""))</f>
        <v>2021</v>
      </c>
      <c r="U1362">
        <f>IF(connections!$A1362="","",IFERROR(INDEX(games!$B$2:$B$1200,MATCH(connections!$B1362,games!$A$2:$A$1200,0)),""))</f>
        <v>2023</v>
      </c>
      <c r="V1362">
        <f t="shared" si="249"/>
        <v>2</v>
      </c>
    </row>
    <row r="1363" spans="20:22" x14ac:dyDescent="0.25">
      <c r="T1363">
        <f>IF(connections!$A1363="","",IFERROR(INDEX(games!$B$2:$B$1200,MATCH(connections!$A1363,games!$A$2:$A$1200,0)),""))</f>
        <v>2022</v>
      </c>
      <c r="U1363">
        <f>IF(connections!$A1363="","",IFERROR(INDEX(games!$B$2:$B$1200,MATCH(connections!$B1363,games!$A$2:$A$1200,0)),""))</f>
        <v>2023</v>
      </c>
      <c r="V1363">
        <f t="shared" si="249"/>
        <v>1</v>
      </c>
    </row>
    <row r="1364" spans="20:22" x14ac:dyDescent="0.25">
      <c r="T1364">
        <f>IF(connections!$A1364="","",IFERROR(INDEX(games!$B$2:$B$1200,MATCH(connections!$A1364,games!$A$2:$A$1200,0)),""))</f>
        <v>2017</v>
      </c>
      <c r="U1364">
        <f>IF(connections!$A1364="","",IFERROR(INDEX(games!$B$2:$B$1200,MATCH(connections!$B1364,games!$A$2:$A$1200,0)),""))</f>
        <v>2023</v>
      </c>
      <c r="V1364">
        <f t="shared" si="249"/>
        <v>6</v>
      </c>
    </row>
    <row r="1365" spans="20:22" x14ac:dyDescent="0.25">
      <c r="T1365">
        <f>IF(connections!$A1365="","",IFERROR(INDEX(games!$B$2:$B$1200,MATCH(connections!$A1365,games!$A$2:$A$1200,0)),""))</f>
        <v>2018</v>
      </c>
      <c r="U1365">
        <f>IF(connections!$A1365="","",IFERROR(INDEX(games!$B$2:$B$1200,MATCH(connections!$B1365,games!$A$2:$A$1200,0)),""))</f>
        <v>2024</v>
      </c>
      <c r="V1365">
        <f t="shared" si="249"/>
        <v>6</v>
      </c>
    </row>
    <row r="1366" spans="20:22" x14ac:dyDescent="0.25">
      <c r="T1366">
        <f>IF(connections!$A1366="","",IFERROR(INDEX(games!$B$2:$B$1200,MATCH(connections!$A1366,games!$A$2:$A$1200,0)),""))</f>
        <v>2021</v>
      </c>
      <c r="U1366">
        <f>IF(connections!$A1366="","",IFERROR(INDEX(games!$B$2:$B$1200,MATCH(connections!$B1366,games!$A$2:$A$1200,0)),""))</f>
        <v>2025</v>
      </c>
      <c r="V1366">
        <f t="shared" si="249"/>
        <v>4</v>
      </c>
    </row>
    <row r="1367" spans="20:22" x14ac:dyDescent="0.25">
      <c r="T1367">
        <f>IF(connections!$A1367="","",IFERROR(INDEX(games!$B$2:$B$1200,MATCH(connections!$A1367,games!$A$2:$A$1200,0)),""))</f>
        <v>2023</v>
      </c>
      <c r="U1367">
        <f>IF(connections!$A1367="","",IFERROR(INDEX(games!$B$2:$B$1200,MATCH(connections!$B1367,games!$A$2:$A$1200,0)),""))</f>
        <v>2025</v>
      </c>
      <c r="V1367">
        <f t="shared" si="249"/>
        <v>2</v>
      </c>
    </row>
    <row r="1368" spans="20:22" x14ac:dyDescent="0.25">
      <c r="T1368">
        <f>IF(connections!$A1368="","",IFERROR(INDEX(games!$B$2:$B$1200,MATCH(connections!$A1368,games!$A$2:$A$1200,0)),""))</f>
        <v>2021</v>
      </c>
      <c r="U1368">
        <f>IF(connections!$A1368="","",IFERROR(INDEX(games!$B$2:$B$1200,MATCH(connections!$B1368,games!$A$2:$A$1200,0)),""))</f>
        <v>2025</v>
      </c>
      <c r="V1368">
        <f t="shared" si="249"/>
        <v>4</v>
      </c>
    </row>
    <row r="1369" spans="20:22" x14ac:dyDescent="0.25">
      <c r="T1369">
        <f>IF(connections!$A1369="","",IFERROR(INDEX(games!$B$2:$B$1200,MATCH(connections!$A1369,games!$A$2:$A$1200,0)),""))</f>
        <v>2020</v>
      </c>
      <c r="U1369">
        <f>IF(connections!$A1369="","",IFERROR(INDEX(games!$B$2:$B$1200,MATCH(connections!$B1369,games!$A$2:$A$1200,0)),""))</f>
        <v>2025</v>
      </c>
      <c r="V1369">
        <f t="shared" si="249"/>
        <v>5</v>
      </c>
    </row>
    <row r="1370" spans="20:22" x14ac:dyDescent="0.25">
      <c r="T1370">
        <f>IF(connections!$A1370="","",IFERROR(INDEX(games!$B$2:$B$1200,MATCH(connections!$A1370,games!$A$2:$A$1200,0)),""))</f>
        <v>2017</v>
      </c>
      <c r="U1370">
        <f>IF(connections!$A1370="","",IFERROR(INDEX(games!$B$2:$B$1200,MATCH(connections!$B1370,games!$A$2:$A$1200,0)),""))</f>
        <v>2025</v>
      </c>
      <c r="V1370">
        <f t="shared" si="249"/>
        <v>8</v>
      </c>
    </row>
    <row r="1371" spans="20:22" x14ac:dyDescent="0.25">
      <c r="T1371">
        <f>IF(connections!$A1371="","",IFERROR(INDEX(games!$B$2:$B$1200,MATCH(connections!$A1371,games!$A$2:$A$1200,0)),""))</f>
        <v>2023</v>
      </c>
      <c r="U1371">
        <f>IF(connections!$A1371="","",IFERROR(INDEX(games!$B$2:$B$1200,MATCH(connections!$B1371,games!$A$2:$A$1200,0)),""))</f>
        <v>2024</v>
      </c>
      <c r="V1371">
        <f t="shared" si="249"/>
        <v>1</v>
      </c>
    </row>
    <row r="1372" spans="20:22" x14ac:dyDescent="0.25">
      <c r="T1372">
        <f>IF(connections!$A1372="","",IFERROR(INDEX(games!$B$2:$B$1200,MATCH(connections!$A1372,games!$A$2:$A$1200,0)),""))</f>
        <v>2024</v>
      </c>
      <c r="U1372">
        <f>IF(connections!$A1372="","",IFERROR(INDEX(games!$B$2:$B$1200,MATCH(connections!$B1372,games!$A$2:$A$1200,0)),""))</f>
        <v>2024</v>
      </c>
      <c r="V1372">
        <f t="shared" si="249"/>
        <v>0</v>
      </c>
    </row>
    <row r="1373" spans="20:22" x14ac:dyDescent="0.25">
      <c r="T1373">
        <f>IF(connections!$A1373="","",IFERROR(INDEX(games!$B$2:$B$1200,MATCH(connections!$A1373,games!$A$2:$A$1200,0)),""))</f>
        <v>2021</v>
      </c>
      <c r="U1373">
        <f>IF(connections!$A1373="","",IFERROR(INDEX(games!$B$2:$B$1200,MATCH(connections!$B1373,games!$A$2:$A$1200,0)),""))</f>
        <v>2024</v>
      </c>
      <c r="V1373">
        <f t="shared" si="249"/>
        <v>3</v>
      </c>
    </row>
    <row r="1374" spans="20:22" x14ac:dyDescent="0.25">
      <c r="T1374">
        <f>IF(connections!$A1374="","",IFERROR(INDEX(games!$B$2:$B$1200,MATCH(connections!$A1374,games!$A$2:$A$1200,0)),""))</f>
        <v>2021</v>
      </c>
      <c r="U1374">
        <f>IF(connections!$A1374="","",IFERROR(INDEX(games!$B$2:$B$1200,MATCH(connections!$B1374,games!$A$2:$A$1200,0)),""))</f>
        <v>2026</v>
      </c>
      <c r="V1374">
        <f t="shared" si="249"/>
        <v>5</v>
      </c>
    </row>
    <row r="1375" spans="20:22" x14ac:dyDescent="0.25">
      <c r="T1375">
        <f>IF(connections!$A1375="","",IFERROR(INDEX(games!$B$2:$B$1200,MATCH(connections!$A1375,games!$A$2:$A$1200,0)),""))</f>
        <v>2017</v>
      </c>
      <c r="U1375">
        <f>IF(connections!$A1375="","",IFERROR(INDEX(games!$B$2:$B$1200,MATCH(connections!$B1375,games!$A$2:$A$1200,0)),""))</f>
        <v>2026</v>
      </c>
      <c r="V1375">
        <f t="shared" si="249"/>
        <v>9</v>
      </c>
    </row>
    <row r="1376" spans="20:22" x14ac:dyDescent="0.25">
      <c r="T1376">
        <f>IF(connections!$A1376="","",IFERROR(INDEX(games!$B$2:$B$1200,MATCH(connections!$A1376,games!$A$2:$A$1200,0)),""))</f>
        <v>2016</v>
      </c>
      <c r="U1376">
        <f>IF(connections!$A1376="","",IFERROR(INDEX(games!$B$2:$B$1200,MATCH(connections!$B1376,games!$A$2:$A$1200,0)),""))</f>
        <v>2022</v>
      </c>
      <c r="V1376">
        <f t="shared" si="249"/>
        <v>6</v>
      </c>
    </row>
    <row r="1377" spans="20:22" x14ac:dyDescent="0.25">
      <c r="T1377">
        <f>IF(connections!$A1377="","",IFERROR(INDEX(games!$B$2:$B$1200,MATCH(connections!$A1377,games!$A$2:$A$1200,0)),""))</f>
        <v>2019</v>
      </c>
      <c r="U1377">
        <f>IF(connections!$A1377="","",IFERROR(INDEX(games!$B$2:$B$1200,MATCH(connections!$B1377,games!$A$2:$A$1200,0)),""))</f>
        <v>2022</v>
      </c>
      <c r="V1377">
        <f t="shared" si="249"/>
        <v>3</v>
      </c>
    </row>
    <row r="1378" spans="20:22" x14ac:dyDescent="0.25">
      <c r="T1378">
        <f>IF(connections!$A1378="","",IFERROR(INDEX(games!$B$2:$B$1200,MATCH(connections!$A1378,games!$A$2:$A$1200,0)),""))</f>
        <v>2011</v>
      </c>
      <c r="U1378">
        <f>IF(connections!$A1378="","",IFERROR(INDEX(games!$B$2:$B$1200,MATCH(connections!$B1378,games!$A$2:$A$1200,0)),""))</f>
        <v>2018</v>
      </c>
      <c r="V1378">
        <f t="shared" si="249"/>
        <v>7</v>
      </c>
    </row>
    <row r="1379" spans="20:22" x14ac:dyDescent="0.25">
      <c r="T1379">
        <f>IF(connections!$A1379="","",IFERROR(INDEX(games!$B$2:$B$1200,MATCH(connections!$A1379,games!$A$2:$A$1200,0)),""))</f>
        <v>1993</v>
      </c>
      <c r="U1379">
        <f>IF(connections!$A1379="","",IFERROR(INDEX(games!$B$2:$B$1200,MATCH(connections!$B1379,games!$A$2:$A$1200,0)),""))</f>
        <v>2014</v>
      </c>
      <c r="V1379">
        <f t="shared" si="249"/>
        <v>21</v>
      </c>
    </row>
    <row r="1380" spans="20:22" x14ac:dyDescent="0.25">
      <c r="T1380">
        <f>IF(connections!$A1380="","",IFERROR(INDEX(games!$B$2:$B$1200,MATCH(connections!$A1380,games!$A$2:$A$1200,0)),""))</f>
        <v>2023</v>
      </c>
      <c r="U1380">
        <f>IF(connections!$A1380="","",IFERROR(INDEX(games!$B$2:$B$1200,MATCH(connections!$B1380,games!$A$2:$A$1200,0)),""))</f>
        <v>2025</v>
      </c>
      <c r="V1380">
        <f t="shared" si="249"/>
        <v>2</v>
      </c>
    </row>
    <row r="1381" spans="20:22" x14ac:dyDescent="0.25">
      <c r="T1381">
        <f>IF(connections!$A1381="","",IFERROR(INDEX(games!$B$2:$B$1200,MATCH(connections!$A1381,games!$A$2:$A$1200,0)),""))</f>
        <v>2023</v>
      </c>
      <c r="U1381">
        <f>IF(connections!$A1381="","",IFERROR(INDEX(games!$B$2:$B$1200,MATCH(connections!$B1381,games!$A$2:$A$1200,0)),""))</f>
        <v>2025</v>
      </c>
      <c r="V1381">
        <f t="shared" si="249"/>
        <v>2</v>
      </c>
    </row>
    <row r="1382" spans="20:22" x14ac:dyDescent="0.25">
      <c r="T1382">
        <f>IF(connections!$A1382="","",IFERROR(INDEX(games!$B$2:$B$1200,MATCH(connections!$A1382,games!$A$2:$A$1200,0)),""))</f>
        <v>2017</v>
      </c>
      <c r="U1382">
        <f>IF(connections!$A1382="","",IFERROR(INDEX(games!$B$2:$B$1200,MATCH(connections!$B1382,games!$A$2:$A$1200,0)),""))</f>
        <v>2025</v>
      </c>
      <c r="V1382">
        <f t="shared" si="249"/>
        <v>8</v>
      </c>
    </row>
    <row r="1383" spans="20:22" x14ac:dyDescent="0.25">
      <c r="T1383">
        <f>IF(connections!$A1383="","",IFERROR(INDEX(games!$B$2:$B$1200,MATCH(connections!$A1383,games!$A$2:$A$1200,0)),""))</f>
        <v>2021</v>
      </c>
      <c r="U1383">
        <f>IF(connections!$A1383="","",IFERROR(INDEX(games!$B$2:$B$1200,MATCH(connections!$B1383,games!$A$2:$A$1200,0)),""))</f>
        <v>2023</v>
      </c>
      <c r="V1383">
        <f t="shared" si="249"/>
        <v>2</v>
      </c>
    </row>
    <row r="1384" spans="20:22" x14ac:dyDescent="0.25">
      <c r="T1384">
        <f>IF(connections!$A1384="","",IFERROR(INDEX(games!$B$2:$B$1200,MATCH(connections!$A1384,games!$A$2:$A$1200,0)),""))</f>
        <v>2021</v>
      </c>
      <c r="U1384">
        <f>IF(connections!$A1384="","",IFERROR(INDEX(games!$B$2:$B$1200,MATCH(connections!$B1384,games!$A$2:$A$1200,0)),""))</f>
        <v>2023</v>
      </c>
      <c r="V1384">
        <f t="shared" si="249"/>
        <v>2</v>
      </c>
    </row>
    <row r="1385" spans="20:22" x14ac:dyDescent="0.25">
      <c r="T1385">
        <f>IF(connections!$A1385="","",IFERROR(INDEX(games!$B$2:$B$1200,MATCH(connections!$A1385,games!$A$2:$A$1200,0)),""))</f>
        <v>2019</v>
      </c>
      <c r="U1385">
        <f>IF(connections!$A1385="","",IFERROR(INDEX(games!$B$2:$B$1200,MATCH(connections!$B1385,games!$A$2:$A$1200,0)),""))</f>
        <v>2026</v>
      </c>
      <c r="V1385">
        <f t="shared" si="249"/>
        <v>7</v>
      </c>
    </row>
    <row r="1386" spans="20:22" x14ac:dyDescent="0.25">
      <c r="T1386">
        <f>IF(connections!$A1386="","",IFERROR(INDEX(games!$B$2:$B$1200,MATCH(connections!$A1386,games!$A$2:$A$1200,0)),""))</f>
        <v>2017</v>
      </c>
      <c r="U1386">
        <f>IF(connections!$A1386="","",IFERROR(INDEX(games!$B$2:$B$1200,MATCH(connections!$B1386,games!$A$2:$A$1200,0)),""))</f>
        <v>2026</v>
      </c>
      <c r="V1386">
        <f t="shared" si="249"/>
        <v>9</v>
      </c>
    </row>
    <row r="1387" spans="20:22" x14ac:dyDescent="0.25">
      <c r="T1387">
        <f>IF(connections!$A1387="","",IFERROR(INDEX(games!$B$2:$B$1200,MATCH(connections!$A1387,games!$A$2:$A$1200,0)),""))</f>
        <v>2024</v>
      </c>
      <c r="U1387">
        <f>IF(connections!$A1387="","",IFERROR(INDEX(games!$B$2:$B$1200,MATCH(connections!$B1387,games!$A$2:$A$1200,0)),""))</f>
        <v>2025</v>
      </c>
      <c r="V1387">
        <f t="shared" si="249"/>
        <v>1</v>
      </c>
    </row>
    <row r="1388" spans="20:22" x14ac:dyDescent="0.25">
      <c r="T1388">
        <f>IF(connections!$A1388="","",IFERROR(INDEX(games!$B$2:$B$1200,MATCH(connections!$A1388,games!$A$2:$A$1200,0)),""))</f>
        <v>2023</v>
      </c>
      <c r="U1388">
        <f>IF(connections!$A1388="","",IFERROR(INDEX(games!$B$2:$B$1200,MATCH(connections!$B1388,games!$A$2:$A$1200,0)),""))</f>
        <v>2025</v>
      </c>
      <c r="V1388">
        <f t="shared" si="249"/>
        <v>2</v>
      </c>
    </row>
    <row r="1389" spans="20:22" x14ac:dyDescent="0.25">
      <c r="T1389">
        <f>IF(connections!$A1389="","",IFERROR(INDEX(games!$B$2:$B$1200,MATCH(connections!$A1389,games!$A$2:$A$1200,0)),""))</f>
        <v>2021</v>
      </c>
      <c r="U1389">
        <f>IF(connections!$A1389="","",IFERROR(INDEX(games!$B$2:$B$1200,MATCH(connections!$B1389,games!$A$2:$A$1200,0)),""))</f>
        <v>2025</v>
      </c>
      <c r="V1389">
        <f t="shared" si="249"/>
        <v>4</v>
      </c>
    </row>
    <row r="1390" spans="20:22" x14ac:dyDescent="0.25">
      <c r="T1390">
        <f>IF(connections!$A1390="","",IFERROR(INDEX(games!$B$2:$B$1200,MATCH(connections!$A1390,games!$A$2:$A$1200,0)),""))</f>
        <v>2019</v>
      </c>
      <c r="U1390">
        <f>IF(connections!$A1390="","",IFERROR(INDEX(games!$B$2:$B$1200,MATCH(connections!$B1390,games!$A$2:$A$1200,0)),""))</f>
        <v>2025</v>
      </c>
      <c r="V1390">
        <f t="shared" si="249"/>
        <v>6</v>
      </c>
    </row>
    <row r="1391" spans="20:22" x14ac:dyDescent="0.25">
      <c r="T1391">
        <f>IF(connections!$A1391="","",IFERROR(INDEX(games!$B$2:$B$1200,MATCH(connections!$A1391,games!$A$2:$A$1200,0)),""))</f>
        <v>1996</v>
      </c>
      <c r="U1391">
        <f>IF(connections!$A1391="","",IFERROR(INDEX(games!$B$2:$B$1200,MATCH(connections!$B1391,games!$A$2:$A$1200,0)),""))</f>
        <v>2022</v>
      </c>
      <c r="V1391">
        <f t="shared" si="249"/>
        <v>26</v>
      </c>
    </row>
    <row r="1392" spans="20:22" x14ac:dyDescent="0.25">
      <c r="T1392">
        <f>IF(connections!$A1392="","",IFERROR(INDEX(games!$B$2:$B$1200,MATCH(connections!$A1392,games!$A$2:$A$1200,0)),""))</f>
        <v>2016</v>
      </c>
      <c r="U1392">
        <f>IF(connections!$A1392="","",IFERROR(INDEX(games!$B$2:$B$1200,MATCH(connections!$B1392,games!$A$2:$A$1200,0)),""))</f>
        <v>2022</v>
      </c>
      <c r="V1392">
        <f t="shared" si="249"/>
        <v>6</v>
      </c>
    </row>
    <row r="1393" spans="20:22" x14ac:dyDescent="0.25">
      <c r="T1393">
        <f>IF(connections!$A1393="","",IFERROR(INDEX(games!$B$2:$B$1200,MATCH(connections!$A1393,games!$A$2:$A$1200,0)),""))</f>
        <v>2019</v>
      </c>
      <c r="U1393">
        <f>IF(connections!$A1393="","",IFERROR(INDEX(games!$B$2:$B$1200,MATCH(connections!$B1393,games!$A$2:$A$1200,0)),""))</f>
        <v>2022</v>
      </c>
      <c r="V1393">
        <f t="shared" si="249"/>
        <v>3</v>
      </c>
    </row>
    <row r="1394" spans="20:22" x14ac:dyDescent="0.25">
      <c r="T1394">
        <f>IF(connections!$A1394="","",IFERROR(INDEX(games!$B$2:$B$1200,MATCH(connections!$A1394,games!$A$2:$A$1200,0)),""))</f>
        <v>2015</v>
      </c>
      <c r="U1394">
        <f>IF(connections!$A1394="","",IFERROR(INDEX(games!$B$2:$B$1200,MATCH(connections!$B1394,games!$A$2:$A$1200,0)),""))</f>
        <v>2022</v>
      </c>
      <c r="V1394">
        <f t="shared" si="249"/>
        <v>7</v>
      </c>
    </row>
    <row r="1395" spans="20:22" x14ac:dyDescent="0.25">
      <c r="T1395">
        <f>IF(connections!$A1395="","",IFERROR(INDEX(games!$B$2:$B$1200,MATCH(connections!$A1395,games!$A$2:$A$1200,0)),""))</f>
        <v>2021</v>
      </c>
      <c r="U1395">
        <f>IF(connections!$A1395="","",IFERROR(INDEX(games!$B$2:$B$1200,MATCH(connections!$B1395,games!$A$2:$A$1200,0)),""))</f>
        <v>2022</v>
      </c>
      <c r="V1395">
        <f t="shared" si="249"/>
        <v>1</v>
      </c>
    </row>
    <row r="1396" spans="20:22" x14ac:dyDescent="0.25">
      <c r="T1396">
        <f>IF(connections!$A1396="","",IFERROR(INDEX(games!$B$2:$B$1200,MATCH(connections!$A1396,games!$A$2:$A$1200,0)),""))</f>
        <v>2011</v>
      </c>
      <c r="U1396">
        <f>IF(connections!$A1396="","",IFERROR(INDEX(games!$B$2:$B$1200,MATCH(connections!$B1396,games!$A$2:$A$1200,0)),""))</f>
        <v>2022</v>
      </c>
      <c r="V1396">
        <f t="shared" si="249"/>
        <v>11</v>
      </c>
    </row>
    <row r="1397" spans="20:22" x14ac:dyDescent="0.25">
      <c r="T1397">
        <f>IF(connections!$A1397="","",IFERROR(INDEX(games!$B$2:$B$1200,MATCH(connections!$A1397,games!$A$2:$A$1200,0)),""))</f>
        <v>2021</v>
      </c>
      <c r="U1397">
        <f>IF(connections!$A1397="","",IFERROR(INDEX(games!$B$2:$B$1200,MATCH(connections!$B1397,games!$A$2:$A$1200,0)),""))</f>
        <v>2022</v>
      </c>
      <c r="V1397">
        <f t="shared" si="249"/>
        <v>1</v>
      </c>
    </row>
    <row r="1398" spans="20:22" x14ac:dyDescent="0.25">
      <c r="T1398">
        <f>IF(connections!$A1398="","",IFERROR(INDEX(games!$B$2:$B$1200,MATCH(connections!$A1398,games!$A$2:$A$1200,0)),""))</f>
        <v>2015</v>
      </c>
      <c r="U1398">
        <f>IF(connections!$A1398="","",IFERROR(INDEX(games!$B$2:$B$1200,MATCH(connections!$B1398,games!$A$2:$A$1200,0)),""))</f>
        <v>2022</v>
      </c>
      <c r="V1398">
        <f t="shared" si="249"/>
        <v>7</v>
      </c>
    </row>
    <row r="1399" spans="20:22" x14ac:dyDescent="0.25">
      <c r="T1399">
        <f>IF(connections!$A1399="","",IFERROR(INDEX(games!$B$2:$B$1200,MATCH(connections!$A1399,games!$A$2:$A$1200,0)),""))</f>
        <v>1980</v>
      </c>
      <c r="U1399">
        <f>IF(connections!$A1399="","",IFERROR(INDEX(games!$B$2:$B$1200,MATCH(connections!$B1399,games!$A$2:$A$1200,0)),""))</f>
        <v>1991</v>
      </c>
      <c r="V1399">
        <f t="shared" si="249"/>
        <v>11</v>
      </c>
    </row>
    <row r="1400" spans="20:22" x14ac:dyDescent="0.25">
      <c r="T1400">
        <f>IF(connections!$A1400="","",IFERROR(INDEX(games!$B$2:$B$1200,MATCH(connections!$A1400,games!$A$2:$A$1200,0)),""))</f>
        <v>1991</v>
      </c>
      <c r="U1400">
        <f>IF(connections!$A1400="","",IFERROR(INDEX(games!$B$2:$B$1200,MATCH(connections!$B1400,games!$A$2:$A$1200,0)),""))</f>
        <v>2019</v>
      </c>
      <c r="V1400">
        <f t="shared" si="249"/>
        <v>28</v>
      </c>
    </row>
    <row r="1401" spans="20:22" x14ac:dyDescent="0.25">
      <c r="T1401">
        <f>IF(connections!$A1401="","",IFERROR(INDEX(games!$B$2:$B$1200,MATCH(connections!$A1401,games!$A$2:$A$1200,0)),""))</f>
        <v>2016</v>
      </c>
      <c r="U1401">
        <f>IF(connections!$A1401="","",IFERROR(INDEX(games!$B$2:$B$1200,MATCH(connections!$B1401,games!$A$2:$A$1200,0)),""))</f>
        <v>2022</v>
      </c>
      <c r="V1401">
        <f t="shared" si="249"/>
        <v>6</v>
      </c>
    </row>
    <row r="1402" spans="20:22" x14ac:dyDescent="0.25">
      <c r="T1402">
        <f>IF(connections!$A1402="","",IFERROR(INDEX(games!$B$2:$B$1200,MATCH(connections!$A1402,games!$A$2:$A$1200,0)),""))</f>
        <v>2011</v>
      </c>
      <c r="U1402">
        <f>IF(connections!$A1402="","",IFERROR(INDEX(games!$B$2:$B$1200,MATCH(connections!$B1402,games!$A$2:$A$1200,0)),""))</f>
        <v>2022</v>
      </c>
      <c r="V1402">
        <f t="shared" si="249"/>
        <v>11</v>
      </c>
    </row>
    <row r="1403" spans="20:22" x14ac:dyDescent="0.25">
      <c r="T1403">
        <f>IF(connections!$A1403="","",IFERROR(INDEX(games!$B$2:$B$1200,MATCH(connections!$A1403,games!$A$2:$A$1200,0)),""))</f>
        <v>1993</v>
      </c>
      <c r="U1403">
        <f>IF(connections!$A1403="","",IFERROR(INDEX(games!$B$2:$B$1200,MATCH(connections!$B1403,games!$A$2:$A$1200,0)),""))</f>
        <v>1999</v>
      </c>
      <c r="V1403">
        <f t="shared" si="249"/>
        <v>6</v>
      </c>
    </row>
    <row r="1404" spans="20:22" x14ac:dyDescent="0.25">
      <c r="T1404">
        <f>IF(connections!$A1404="","",IFERROR(INDEX(games!$B$2:$B$1200,MATCH(connections!$A1404,games!$A$2:$A$1200,0)),""))</f>
        <v>1999</v>
      </c>
      <c r="U1404">
        <f>IF(connections!$A1404="","",IFERROR(INDEX(games!$B$2:$B$1200,MATCH(connections!$B1404,games!$A$2:$A$1200,0)),""))</f>
        <v>2002</v>
      </c>
      <c r="V1404">
        <f t="shared" si="249"/>
        <v>3</v>
      </c>
    </row>
    <row r="1405" spans="20:22" x14ac:dyDescent="0.25">
      <c r="T1405">
        <f>IF(connections!$A1405="","",IFERROR(INDEX(games!$B$2:$B$1200,MATCH(connections!$A1405,games!$A$2:$A$1200,0)),""))</f>
        <v>1980</v>
      </c>
      <c r="U1405">
        <f>IF(connections!$A1405="","",IFERROR(INDEX(games!$B$2:$B$1200,MATCH(connections!$B1405,games!$A$2:$A$1200,0)),""))</f>
        <v>1993</v>
      </c>
      <c r="V1405">
        <f t="shared" si="249"/>
        <v>13</v>
      </c>
    </row>
    <row r="1406" spans="20:22" x14ac:dyDescent="0.25">
      <c r="T1406">
        <f>IF(connections!$A1406="","",IFERROR(INDEX(games!$B$2:$B$1200,MATCH(connections!$A1406,games!$A$2:$A$1200,0)),""))</f>
        <v>2006</v>
      </c>
      <c r="U1406">
        <f>IF(connections!$A1406="","",IFERROR(INDEX(games!$B$2:$B$1200,MATCH(connections!$B1406,games!$A$2:$A$1200,0)),""))</f>
        <v>2025</v>
      </c>
      <c r="V1406">
        <f t="shared" si="249"/>
        <v>19</v>
      </c>
    </row>
    <row r="1407" spans="20:22" x14ac:dyDescent="0.25">
      <c r="T1407">
        <f>IF(connections!$A1407="","",IFERROR(INDEX(games!$B$2:$B$1200,MATCH(connections!$A1407,games!$A$2:$A$1200,0)),""))</f>
        <v>2014</v>
      </c>
      <c r="U1407">
        <f>IF(connections!$A1407="","",IFERROR(INDEX(games!$B$2:$B$1200,MATCH(connections!$B1407,games!$A$2:$A$1200,0)),""))</f>
        <v>2024</v>
      </c>
      <c r="V1407">
        <f t="shared" si="249"/>
        <v>10</v>
      </c>
    </row>
    <row r="1408" spans="20:22" x14ac:dyDescent="0.25">
      <c r="T1408">
        <f>IF(connections!$A1408="","",IFERROR(INDEX(games!$B$2:$B$1200,MATCH(connections!$A1408,games!$A$2:$A$1200,0)),""))</f>
        <v>2012</v>
      </c>
      <c r="U1408">
        <f>IF(connections!$A1408="","",IFERROR(INDEX(games!$B$2:$B$1200,MATCH(connections!$B1408,games!$A$2:$A$1200,0)),""))</f>
        <v>2021</v>
      </c>
      <c r="V1408">
        <f t="shared" si="249"/>
        <v>9</v>
      </c>
    </row>
    <row r="1409" spans="20:22" x14ac:dyDescent="0.25">
      <c r="T1409">
        <f>IF(connections!$A1409="","",IFERROR(INDEX(games!$B$2:$B$1200,MATCH(connections!$A1409,games!$A$2:$A$1200,0)),""))</f>
        <v>2017</v>
      </c>
      <c r="U1409">
        <f>IF(connections!$A1409="","",IFERROR(INDEX(games!$B$2:$B$1200,MATCH(connections!$B1409,games!$A$2:$A$1200,0)),""))</f>
        <v>2022</v>
      </c>
      <c r="V1409">
        <f t="shared" si="249"/>
        <v>5</v>
      </c>
    </row>
    <row r="1410" spans="20:22" x14ac:dyDescent="0.25">
      <c r="T1410">
        <f>IF(connections!$A1410="","",IFERROR(INDEX(games!$B$2:$B$1200,MATCH(connections!$A1410,games!$A$2:$A$1200,0)),""))</f>
        <v>2022</v>
      </c>
      <c r="U1410">
        <f>IF(connections!$A1410="","",IFERROR(INDEX(games!$B$2:$B$1200,MATCH(connections!$B1410,games!$A$2:$A$1200,0)),""))</f>
        <v>2025</v>
      </c>
      <c r="V1410">
        <f t="shared" ref="V1410:V1473" si="250">IF(OR($T1410="",$U1410=""),"",$U1410-$T1410)</f>
        <v>3</v>
      </c>
    </row>
    <row r="1411" spans="20:22" x14ac:dyDescent="0.25">
      <c r="T1411">
        <f>IF(connections!$A1411="","",IFERROR(INDEX(games!$B$2:$B$1200,MATCH(connections!$A1411,games!$A$2:$A$1200,0)),""))</f>
        <v>2020</v>
      </c>
      <c r="U1411">
        <f>IF(connections!$A1411="","",IFERROR(INDEX(games!$B$2:$B$1200,MATCH(connections!$B1411,games!$A$2:$A$1200,0)),""))</f>
        <v>2023</v>
      </c>
      <c r="V1411">
        <f t="shared" si="250"/>
        <v>3</v>
      </c>
    </row>
    <row r="1412" spans="20:22" x14ac:dyDescent="0.25">
      <c r="T1412">
        <f>IF(connections!$A1412="","",IFERROR(INDEX(games!$B$2:$B$1200,MATCH(connections!$A1412,games!$A$2:$A$1200,0)),""))</f>
        <v>2017</v>
      </c>
      <c r="U1412">
        <f>IF(connections!$A1412="","",IFERROR(INDEX(games!$B$2:$B$1200,MATCH(connections!$B1412,games!$A$2:$A$1200,0)),""))</f>
        <v>2023</v>
      </c>
      <c r="V1412">
        <f t="shared" si="250"/>
        <v>6</v>
      </c>
    </row>
    <row r="1413" spans="20:22" x14ac:dyDescent="0.25">
      <c r="T1413">
        <f>IF(connections!$A1413="","",IFERROR(INDEX(games!$B$2:$B$1200,MATCH(connections!$A1413,games!$A$2:$A$1200,0)),""))</f>
        <v>2018</v>
      </c>
      <c r="U1413">
        <f>IF(connections!$A1413="","",IFERROR(INDEX(games!$B$2:$B$1200,MATCH(connections!$B1413,games!$A$2:$A$1200,0)),""))</f>
        <v>2024</v>
      </c>
      <c r="V1413">
        <f t="shared" si="250"/>
        <v>6</v>
      </c>
    </row>
    <row r="1414" spans="20:22" x14ac:dyDescent="0.25">
      <c r="T1414">
        <f>IF(connections!$A1414="","",IFERROR(INDEX(games!$B$2:$B$1200,MATCH(connections!$A1414,games!$A$2:$A$1200,0)),""))</f>
        <v>2021</v>
      </c>
      <c r="U1414">
        <f>IF(connections!$A1414="","",IFERROR(INDEX(games!$B$2:$B$1200,MATCH(connections!$B1414,games!$A$2:$A$1200,0)),""))</f>
        <v>2024</v>
      </c>
      <c r="V1414">
        <f t="shared" si="250"/>
        <v>3</v>
      </c>
    </row>
    <row r="1415" spans="20:22" x14ac:dyDescent="0.25">
      <c r="T1415">
        <f>IF(connections!$A1415="","",IFERROR(INDEX(games!$B$2:$B$1200,MATCH(connections!$A1415,games!$A$2:$A$1200,0)),""))</f>
        <v>2015</v>
      </c>
      <c r="U1415">
        <f>IF(connections!$A1415="","",IFERROR(INDEX(games!$B$2:$B$1200,MATCH(connections!$B1415,games!$A$2:$A$1200,0)),""))</f>
        <v>2017</v>
      </c>
      <c r="V1415">
        <f t="shared" si="250"/>
        <v>2</v>
      </c>
    </row>
    <row r="1416" spans="20:22" x14ac:dyDescent="0.25">
      <c r="T1416">
        <f>IF(connections!$A1416="","",IFERROR(INDEX(games!$B$2:$B$1200,MATCH(connections!$A1416,games!$A$2:$A$1200,0)),""))</f>
        <v>2011</v>
      </c>
      <c r="U1416">
        <f>IF(connections!$A1416="","",IFERROR(INDEX(games!$B$2:$B$1200,MATCH(connections!$B1416,games!$A$2:$A$1200,0)),""))</f>
        <v>2014</v>
      </c>
      <c r="V1416">
        <f t="shared" si="250"/>
        <v>3</v>
      </c>
    </row>
    <row r="1417" spans="20:22" x14ac:dyDescent="0.25">
      <c r="T1417">
        <f>IF(connections!$A1417="","",IFERROR(INDEX(games!$B$2:$B$1200,MATCH(connections!$A1417,games!$A$2:$A$1200,0)),""))</f>
        <v>2012</v>
      </c>
      <c r="U1417">
        <f>IF(connections!$A1417="","",IFERROR(INDEX(games!$B$2:$B$1200,MATCH(connections!$B1417,games!$A$2:$A$1200,0)),""))</f>
        <v>2021</v>
      </c>
      <c r="V1417">
        <f t="shared" si="250"/>
        <v>9</v>
      </c>
    </row>
    <row r="1418" spans="20:22" x14ac:dyDescent="0.25">
      <c r="T1418">
        <f>IF(connections!$A1418="","",IFERROR(INDEX(games!$B$2:$B$1200,MATCH(connections!$A1418,games!$A$2:$A$1200,0)),""))</f>
        <v>2017</v>
      </c>
      <c r="U1418">
        <f>IF(connections!$A1418="","",IFERROR(INDEX(games!$B$2:$B$1200,MATCH(connections!$B1418,games!$A$2:$A$1200,0)),""))</f>
        <v>2021</v>
      </c>
      <c r="V1418">
        <f t="shared" si="250"/>
        <v>4</v>
      </c>
    </row>
    <row r="1419" spans="20:22" x14ac:dyDescent="0.25">
      <c r="T1419">
        <f>IF(connections!$A1419="","",IFERROR(INDEX(games!$B$2:$B$1200,MATCH(connections!$A1419,games!$A$2:$A$1200,0)),""))</f>
        <v>2023</v>
      </c>
      <c r="U1419">
        <f>IF(connections!$A1419="","",IFERROR(INDEX(games!$B$2:$B$1200,MATCH(connections!$B1419,games!$A$2:$A$1200,0)),""))</f>
        <v>2025</v>
      </c>
      <c r="V1419">
        <f t="shared" si="250"/>
        <v>2</v>
      </c>
    </row>
    <row r="1420" spans="20:22" x14ac:dyDescent="0.25">
      <c r="T1420">
        <f>IF(connections!$A1420="","",IFERROR(INDEX(games!$B$2:$B$1200,MATCH(connections!$A1420,games!$A$2:$A$1200,0)),""))</f>
        <v>2018</v>
      </c>
      <c r="U1420">
        <f>IF(connections!$A1420="","",IFERROR(INDEX(games!$B$2:$B$1200,MATCH(connections!$B1420,games!$A$2:$A$1200,0)),""))</f>
        <v>2024</v>
      </c>
      <c r="V1420">
        <f t="shared" si="250"/>
        <v>6</v>
      </c>
    </row>
    <row r="1421" spans="20:22" x14ac:dyDescent="0.25">
      <c r="T1421">
        <f>IF(connections!$A1421="","",IFERROR(INDEX(games!$B$2:$B$1200,MATCH(connections!$A1421,games!$A$2:$A$1200,0)),""))</f>
        <v>2012</v>
      </c>
      <c r="U1421">
        <f>IF(connections!$A1421="","",IFERROR(INDEX(games!$B$2:$B$1200,MATCH(connections!$B1421,games!$A$2:$A$1200,0)),""))</f>
        <v>2019</v>
      </c>
      <c r="V1421">
        <f t="shared" si="250"/>
        <v>7</v>
      </c>
    </row>
    <row r="1422" spans="20:22" x14ac:dyDescent="0.25">
      <c r="T1422">
        <f>IF(connections!$A1422="","",IFERROR(INDEX(games!$B$2:$B$1200,MATCH(connections!$A1422,games!$A$2:$A$1200,0)),""))</f>
        <v>2015</v>
      </c>
      <c r="U1422">
        <f>IF(connections!$A1422="","",IFERROR(INDEX(games!$B$2:$B$1200,MATCH(connections!$B1422,games!$A$2:$A$1200,0)),""))</f>
        <v>2017</v>
      </c>
      <c r="V1422">
        <f t="shared" si="250"/>
        <v>2</v>
      </c>
    </row>
    <row r="1423" spans="20:22" x14ac:dyDescent="0.25">
      <c r="T1423">
        <f>IF(connections!$A1423="","",IFERROR(INDEX(games!$B$2:$B$1200,MATCH(connections!$A1423,games!$A$2:$A$1200,0)),""))</f>
        <v>2008</v>
      </c>
      <c r="U1423">
        <f>IF(connections!$A1423="","",IFERROR(INDEX(games!$B$2:$B$1200,MATCH(connections!$B1423,games!$A$2:$A$1200,0)),""))</f>
        <v>2017</v>
      </c>
      <c r="V1423">
        <f t="shared" si="250"/>
        <v>9</v>
      </c>
    </row>
    <row r="1424" spans="20:22" x14ac:dyDescent="0.25">
      <c r="T1424">
        <f>IF(connections!$A1424="","",IFERROR(INDEX(games!$B$2:$B$1200,MATCH(connections!$A1424,games!$A$2:$A$1200,0)),""))</f>
        <v>2011</v>
      </c>
      <c r="U1424">
        <f>IF(connections!$A1424="","",IFERROR(INDEX(games!$B$2:$B$1200,MATCH(connections!$B1424,games!$A$2:$A$1200,0)),""))</f>
        <v>2017</v>
      </c>
      <c r="V1424">
        <f t="shared" si="250"/>
        <v>6</v>
      </c>
    </row>
    <row r="1425" spans="20:22" x14ac:dyDescent="0.25">
      <c r="T1425">
        <f>IF(connections!$A1425="","",IFERROR(INDEX(games!$B$2:$B$1200,MATCH(connections!$A1425,games!$A$2:$A$1200,0)),""))</f>
        <v>2023</v>
      </c>
      <c r="U1425">
        <f>IF(connections!$A1425="","",IFERROR(INDEX(games!$B$2:$B$1200,MATCH(connections!$B1425,games!$A$2:$A$1200,0)),""))</f>
        <v>2026</v>
      </c>
      <c r="V1425">
        <f t="shared" si="250"/>
        <v>3</v>
      </c>
    </row>
    <row r="1426" spans="20:22" x14ac:dyDescent="0.25">
      <c r="T1426">
        <f>IF(connections!$A1426="","",IFERROR(INDEX(games!$B$2:$B$1200,MATCH(connections!$A1426,games!$A$2:$A$1200,0)),""))</f>
        <v>2025</v>
      </c>
      <c r="U1426">
        <f>IF(connections!$A1426="","",IFERROR(INDEX(games!$B$2:$B$1200,MATCH(connections!$B1426,games!$A$2:$A$1200,0)),""))</f>
        <v>2026</v>
      </c>
      <c r="V1426">
        <f t="shared" si="250"/>
        <v>1</v>
      </c>
    </row>
    <row r="1427" spans="20:22" x14ac:dyDescent="0.25">
      <c r="T1427">
        <f>IF(connections!$A1427="","",IFERROR(INDEX(games!$B$2:$B$1200,MATCH(connections!$A1427,games!$A$2:$A$1200,0)),""))</f>
        <v>2018</v>
      </c>
      <c r="U1427">
        <f>IF(connections!$A1427="","",IFERROR(INDEX(games!$B$2:$B$1200,MATCH(connections!$B1427,games!$A$2:$A$1200,0)),""))</f>
        <v>2025</v>
      </c>
      <c r="V1427">
        <f t="shared" si="250"/>
        <v>7</v>
      </c>
    </row>
    <row r="1428" spans="20:22" x14ac:dyDescent="0.25">
      <c r="T1428">
        <f>IF(connections!$A1428="","",IFERROR(INDEX(games!$B$2:$B$1200,MATCH(connections!$A1428,games!$A$2:$A$1200,0)),""))</f>
        <v>2006</v>
      </c>
      <c r="U1428">
        <f>IF(connections!$A1428="","",IFERROR(INDEX(games!$B$2:$B$1200,MATCH(connections!$B1428,games!$A$2:$A$1200,0)),""))</f>
        <v>2012</v>
      </c>
      <c r="V1428">
        <f t="shared" si="250"/>
        <v>6</v>
      </c>
    </row>
    <row r="1429" spans="20:22" x14ac:dyDescent="0.25">
      <c r="T1429">
        <f>IF(connections!$A1429="","",IFERROR(INDEX(games!$B$2:$B$1200,MATCH(connections!$A1429,games!$A$2:$A$1200,0)),""))</f>
        <v>2011</v>
      </c>
      <c r="U1429">
        <f>IF(connections!$A1429="","",IFERROR(INDEX(games!$B$2:$B$1200,MATCH(connections!$B1429,games!$A$2:$A$1200,0)),""))</f>
        <v>2012</v>
      </c>
      <c r="V1429">
        <f t="shared" si="250"/>
        <v>1</v>
      </c>
    </row>
    <row r="1430" spans="20:22" x14ac:dyDescent="0.25">
      <c r="T1430">
        <f>IF(connections!$A1430="","",IFERROR(INDEX(games!$B$2:$B$1200,MATCH(connections!$A1430,games!$A$2:$A$1200,0)),""))</f>
        <v>1994</v>
      </c>
      <c r="U1430">
        <f>IF(connections!$A1430="","",IFERROR(INDEX(games!$B$2:$B$1200,MATCH(connections!$B1430,games!$A$2:$A$1200,0)),""))</f>
        <v>2021</v>
      </c>
      <c r="V1430">
        <f t="shared" si="250"/>
        <v>27</v>
      </c>
    </row>
    <row r="1431" spans="20:22" x14ac:dyDescent="0.25">
      <c r="T1431">
        <f>IF(connections!$A1431="","",IFERROR(INDEX(games!$B$2:$B$1200,MATCH(connections!$A1431,games!$A$2:$A$1200,0)),""))</f>
        <v>2020</v>
      </c>
      <c r="U1431">
        <f>IF(connections!$A1431="","",IFERROR(INDEX(games!$B$2:$B$1200,MATCH(connections!$B1431,games!$A$2:$A$1200,0)),""))</f>
        <v>2025</v>
      </c>
      <c r="V1431">
        <f t="shared" si="250"/>
        <v>5</v>
      </c>
    </row>
    <row r="1432" spans="20:22" x14ac:dyDescent="0.25">
      <c r="T1432">
        <f>IF(connections!$A1432="","",IFERROR(INDEX(games!$B$2:$B$1200,MATCH(connections!$A1432,games!$A$2:$A$1200,0)),""))</f>
        <v>2023</v>
      </c>
      <c r="U1432">
        <f>IF(connections!$A1432="","",IFERROR(INDEX(games!$B$2:$B$1200,MATCH(connections!$B1432,games!$A$2:$A$1200,0)),""))</f>
        <v>2026</v>
      </c>
      <c r="V1432">
        <f t="shared" si="250"/>
        <v>3</v>
      </c>
    </row>
    <row r="1433" spans="20:22" x14ac:dyDescent="0.25">
      <c r="T1433">
        <f>IF(connections!$A1433="","",IFERROR(INDEX(games!$B$2:$B$1200,MATCH(connections!$A1433,games!$A$2:$A$1200,0)),""))</f>
        <v>2021</v>
      </c>
      <c r="U1433">
        <f>IF(connections!$A1433="","",IFERROR(INDEX(games!$B$2:$B$1200,MATCH(connections!$B1433,games!$A$2:$A$1200,0)),""))</f>
        <v>2026</v>
      </c>
      <c r="V1433">
        <f t="shared" si="250"/>
        <v>5</v>
      </c>
    </row>
    <row r="1434" spans="20:22" x14ac:dyDescent="0.25">
      <c r="T1434">
        <f>IF(connections!$A1434="","",IFERROR(INDEX(games!$B$2:$B$1200,MATCH(connections!$A1434,games!$A$2:$A$1200,0)),""))</f>
        <v>2018</v>
      </c>
      <c r="U1434">
        <f>IF(connections!$A1434="","",IFERROR(INDEX(games!$B$2:$B$1200,MATCH(connections!$B1434,games!$A$2:$A$1200,0)),""))</f>
        <v>2019</v>
      </c>
      <c r="V1434">
        <f t="shared" si="250"/>
        <v>1</v>
      </c>
    </row>
    <row r="1435" spans="20:22" x14ac:dyDescent="0.25">
      <c r="T1435">
        <f>IF(connections!$A1435="","",IFERROR(INDEX(games!$B$2:$B$1200,MATCH(connections!$A1435,games!$A$2:$A$1200,0)),""))</f>
        <v>2016</v>
      </c>
      <c r="U1435">
        <f>IF(connections!$A1435="","",IFERROR(INDEX(games!$B$2:$B$1200,MATCH(connections!$B1435,games!$A$2:$A$1200,0)),""))</f>
        <v>2019</v>
      </c>
      <c r="V1435">
        <f t="shared" si="250"/>
        <v>3</v>
      </c>
    </row>
    <row r="1436" spans="20:22" x14ac:dyDescent="0.25">
      <c r="T1436">
        <f>IF(connections!$A1436="","",IFERROR(INDEX(games!$B$2:$B$1200,MATCH(connections!$A1436,games!$A$2:$A$1200,0)),""))</f>
        <v>2013</v>
      </c>
      <c r="U1436">
        <f>IF(connections!$A1436="","",IFERROR(INDEX(games!$B$2:$B$1200,MATCH(connections!$B1436,games!$A$2:$A$1200,0)),""))</f>
        <v>2019</v>
      </c>
      <c r="V1436">
        <f t="shared" si="250"/>
        <v>6</v>
      </c>
    </row>
    <row r="1437" spans="20:22" x14ac:dyDescent="0.25">
      <c r="T1437">
        <f>IF(connections!$A1437="","",IFERROR(INDEX(games!$B$2:$B$1200,MATCH(connections!$A1437,games!$A$2:$A$1200,0)),""))</f>
        <v>2017</v>
      </c>
      <c r="U1437">
        <f>IF(connections!$A1437="","",IFERROR(INDEX(games!$B$2:$B$1200,MATCH(connections!$B1437,games!$A$2:$A$1200,0)),""))</f>
        <v>2019</v>
      </c>
      <c r="V1437">
        <f t="shared" si="250"/>
        <v>2</v>
      </c>
    </row>
    <row r="1438" spans="20:22" x14ac:dyDescent="0.25">
      <c r="T1438">
        <f>IF(connections!$A1438="","",IFERROR(INDEX(games!$B$2:$B$1200,MATCH(connections!$A1438,games!$A$2:$A$1200,0)),""))</f>
        <v>2011</v>
      </c>
      <c r="U1438">
        <f>IF(connections!$A1438="","",IFERROR(INDEX(games!$B$2:$B$1200,MATCH(connections!$B1438,games!$A$2:$A$1200,0)),""))</f>
        <v>2019</v>
      </c>
      <c r="V1438">
        <f t="shared" si="250"/>
        <v>8</v>
      </c>
    </row>
    <row r="1439" spans="20:22" x14ac:dyDescent="0.25">
      <c r="T1439">
        <f>IF(connections!$A1439="","",IFERROR(INDEX(games!$B$2:$B$1200,MATCH(connections!$A1439,games!$A$2:$A$1200,0)),""))</f>
        <v>2019</v>
      </c>
      <c r="U1439">
        <f>IF(connections!$A1439="","",IFERROR(INDEX(games!$B$2:$B$1200,MATCH(connections!$B1439,games!$A$2:$A$1200,0)),""))</f>
        <v>2025</v>
      </c>
      <c r="V1439">
        <f t="shared" si="250"/>
        <v>6</v>
      </c>
    </row>
    <row r="1440" spans="20:22" x14ac:dyDescent="0.25">
      <c r="T1440">
        <f>IF(connections!$A1440="","",IFERROR(INDEX(games!$B$2:$B$1200,MATCH(connections!$A1440,games!$A$2:$A$1200,0)),""))</f>
        <v>2019</v>
      </c>
      <c r="U1440">
        <f>IF(connections!$A1440="","",IFERROR(INDEX(games!$B$2:$B$1200,MATCH(connections!$B1440,games!$A$2:$A$1200,0)),""))</f>
        <v>2025</v>
      </c>
      <c r="V1440">
        <f t="shared" si="250"/>
        <v>6</v>
      </c>
    </row>
    <row r="1441" spans="20:22" x14ac:dyDescent="0.25">
      <c r="T1441">
        <f>IF(connections!$A1441="","",IFERROR(INDEX(games!$B$2:$B$1200,MATCH(connections!$A1441,games!$A$2:$A$1200,0)),""))</f>
        <v>2009</v>
      </c>
      <c r="U1441">
        <f>IF(connections!$A1441="","",IFERROR(INDEX(games!$B$2:$B$1200,MATCH(connections!$B1441,games!$A$2:$A$1200,0)),""))</f>
        <v>2017</v>
      </c>
      <c r="V1441">
        <f t="shared" si="250"/>
        <v>8</v>
      </c>
    </row>
    <row r="1442" spans="20:22" x14ac:dyDescent="0.25">
      <c r="T1442">
        <f>IF(connections!$A1442="","",IFERROR(INDEX(games!$B$2:$B$1200,MATCH(connections!$A1442,games!$A$2:$A$1200,0)),""))</f>
        <v>1987</v>
      </c>
      <c r="U1442">
        <f>IF(connections!$A1442="","",IFERROR(INDEX(games!$B$2:$B$1200,MATCH(connections!$B1442,games!$A$2:$A$1200,0)),""))</f>
        <v>2017</v>
      </c>
      <c r="V1442">
        <f t="shared" si="250"/>
        <v>30</v>
      </c>
    </row>
    <row r="1443" spans="20:22" x14ac:dyDescent="0.25">
      <c r="T1443">
        <f>IF(connections!$A1443="","",IFERROR(INDEX(games!$B$2:$B$1200,MATCH(connections!$A1443,games!$A$2:$A$1200,0)),""))</f>
        <v>1980</v>
      </c>
      <c r="U1443">
        <f>IF(connections!$A1443="","",IFERROR(INDEX(games!$B$2:$B$1200,MATCH(connections!$B1443,games!$A$2:$A$1200,0)),""))</f>
        <v>2017</v>
      </c>
      <c r="V1443">
        <f t="shared" si="250"/>
        <v>37</v>
      </c>
    </row>
    <row r="1444" spans="20:22" x14ac:dyDescent="0.25">
      <c r="T1444">
        <f>IF(connections!$A1444="","",IFERROR(INDEX(games!$B$2:$B$1200,MATCH(connections!$A1444,games!$A$2:$A$1200,0)),""))</f>
        <v>2017</v>
      </c>
      <c r="U1444">
        <f>IF(connections!$A1444="","",IFERROR(INDEX(games!$B$2:$B$1200,MATCH(connections!$B1444,games!$A$2:$A$1200,0)),""))</f>
        <v>2022</v>
      </c>
      <c r="V1444">
        <f t="shared" si="250"/>
        <v>5</v>
      </c>
    </row>
    <row r="1445" spans="20:22" x14ac:dyDescent="0.25">
      <c r="T1445">
        <f>IF(connections!$A1445="","",IFERROR(INDEX(games!$B$2:$B$1200,MATCH(connections!$A1445,games!$A$2:$A$1200,0)),""))</f>
        <v>1987</v>
      </c>
      <c r="U1445">
        <f>IF(connections!$A1445="","",IFERROR(INDEX(games!$B$2:$B$1200,MATCH(connections!$B1445,games!$A$2:$A$1200,0)),""))</f>
        <v>1992</v>
      </c>
      <c r="V1445">
        <f t="shared" si="250"/>
        <v>5</v>
      </c>
    </row>
    <row r="1446" spans="20:22" x14ac:dyDescent="0.25">
      <c r="T1446">
        <f>IF(connections!$A1446="","",IFERROR(INDEX(games!$B$2:$B$1200,MATCH(connections!$A1446,games!$A$2:$A$1200,0)),""))</f>
        <v>1987</v>
      </c>
      <c r="U1446">
        <f>IF(connections!$A1446="","",IFERROR(INDEX(games!$B$2:$B$1200,MATCH(connections!$B1446,games!$A$2:$A$1200,0)),""))</f>
        <v>1992</v>
      </c>
      <c r="V1446">
        <f t="shared" si="250"/>
        <v>5</v>
      </c>
    </row>
    <row r="1447" spans="20:22" x14ac:dyDescent="0.25">
      <c r="T1447">
        <f>IF(connections!$A1447="","",IFERROR(INDEX(games!$B$2:$B$1200,MATCH(connections!$A1447,games!$A$2:$A$1200,0)),""))</f>
        <v>1996</v>
      </c>
      <c r="U1447">
        <f>IF(connections!$A1447="","",IFERROR(INDEX(games!$B$2:$B$1200,MATCH(connections!$B1447,games!$A$2:$A$1200,0)),""))</f>
        <v>2018</v>
      </c>
      <c r="V1447">
        <f t="shared" si="250"/>
        <v>22</v>
      </c>
    </row>
    <row r="1448" spans="20:22" x14ac:dyDescent="0.25">
      <c r="T1448">
        <f>IF(connections!$A1448="","",IFERROR(INDEX(games!$B$2:$B$1200,MATCH(connections!$A1448,games!$A$2:$A$1200,0)),""))</f>
        <v>2006</v>
      </c>
      <c r="U1448">
        <f>IF(connections!$A1448="","",IFERROR(INDEX(games!$B$2:$B$1200,MATCH(connections!$B1448,games!$A$2:$A$1200,0)),""))</f>
        <v>2018</v>
      </c>
      <c r="V1448">
        <f t="shared" si="250"/>
        <v>12</v>
      </c>
    </row>
    <row r="1449" spans="20:22" x14ac:dyDescent="0.25">
      <c r="T1449">
        <f>IF(connections!$A1449="","",IFERROR(INDEX(games!$B$2:$B$1200,MATCH(connections!$A1449,games!$A$2:$A$1200,0)),""))</f>
        <v>2008</v>
      </c>
      <c r="U1449">
        <f>IF(connections!$A1449="","",IFERROR(INDEX(games!$B$2:$B$1200,MATCH(connections!$B1449,games!$A$2:$A$1200,0)),""))</f>
        <v>2018</v>
      </c>
      <c r="V1449">
        <f t="shared" si="250"/>
        <v>10</v>
      </c>
    </row>
    <row r="1450" spans="20:22" x14ac:dyDescent="0.25">
      <c r="T1450">
        <f>IF(connections!$A1450="","",IFERROR(INDEX(games!$B$2:$B$1200,MATCH(connections!$A1450,games!$A$2:$A$1200,0)),""))</f>
        <v>2021</v>
      </c>
      <c r="U1450">
        <f>IF(connections!$A1450="","",IFERROR(INDEX(games!$B$2:$B$1200,MATCH(connections!$B1450,games!$A$2:$A$1200,0)),""))</f>
        <v>2026</v>
      </c>
      <c r="V1450">
        <f t="shared" si="250"/>
        <v>5</v>
      </c>
    </row>
    <row r="1451" spans="20:22" x14ac:dyDescent="0.25">
      <c r="T1451">
        <f>IF(connections!$A1451="","",IFERROR(INDEX(games!$B$2:$B$1200,MATCH(connections!$A1451,games!$A$2:$A$1200,0)),""))</f>
        <v>2022</v>
      </c>
      <c r="U1451">
        <f>IF(connections!$A1451="","",IFERROR(INDEX(games!$B$2:$B$1200,MATCH(connections!$B1451,games!$A$2:$A$1200,0)),""))</f>
        <v>2023</v>
      </c>
      <c r="V1451">
        <f t="shared" si="250"/>
        <v>1</v>
      </c>
    </row>
    <row r="1452" spans="20:22" x14ac:dyDescent="0.25">
      <c r="T1452">
        <f>IF(connections!$A1452="","",IFERROR(INDEX(games!$B$2:$B$1200,MATCH(connections!$A1452,games!$A$2:$A$1200,0)),""))</f>
        <v>2022</v>
      </c>
      <c r="U1452">
        <f>IF(connections!$A1452="","",IFERROR(INDEX(games!$B$2:$B$1200,MATCH(connections!$B1452,games!$A$2:$A$1200,0)),""))</f>
        <v>2023</v>
      </c>
      <c r="V1452">
        <f t="shared" si="250"/>
        <v>1</v>
      </c>
    </row>
    <row r="1453" spans="20:22" x14ac:dyDescent="0.25">
      <c r="T1453">
        <f>IF(connections!$A1453="","",IFERROR(INDEX(games!$B$2:$B$1200,MATCH(connections!$A1453,games!$A$2:$A$1200,0)),""))</f>
        <v>2021</v>
      </c>
      <c r="U1453">
        <f>IF(connections!$A1453="","",IFERROR(INDEX(games!$B$2:$B$1200,MATCH(connections!$B1453,games!$A$2:$A$1200,0)),""))</f>
        <v>2023</v>
      </c>
      <c r="V1453">
        <f t="shared" si="250"/>
        <v>2</v>
      </c>
    </row>
    <row r="1454" spans="20:22" x14ac:dyDescent="0.25">
      <c r="T1454">
        <f>IF(connections!$A1454="","",IFERROR(INDEX(games!$B$2:$B$1200,MATCH(connections!$A1454,games!$A$2:$A$1200,0)),""))</f>
        <v>2019</v>
      </c>
      <c r="U1454">
        <f>IF(connections!$A1454="","",IFERROR(INDEX(games!$B$2:$B$1200,MATCH(connections!$B1454,games!$A$2:$A$1200,0)),""))</f>
        <v>2021</v>
      </c>
      <c r="V1454">
        <f t="shared" si="250"/>
        <v>2</v>
      </c>
    </row>
    <row r="1455" spans="20:22" x14ac:dyDescent="0.25">
      <c r="T1455">
        <f>IF(connections!$A1455="","",IFERROR(INDEX(games!$B$2:$B$1200,MATCH(connections!$A1455,games!$A$2:$A$1200,0)),""))</f>
        <v>2017</v>
      </c>
      <c r="U1455">
        <f>IF(connections!$A1455="","",IFERROR(INDEX(games!$B$2:$B$1200,MATCH(connections!$B1455,games!$A$2:$A$1200,0)),""))</f>
        <v>2020</v>
      </c>
      <c r="V1455">
        <f t="shared" si="250"/>
        <v>3</v>
      </c>
    </row>
    <row r="1456" spans="20:22" x14ac:dyDescent="0.25">
      <c r="T1456">
        <f>IF(connections!$A1456="","",IFERROR(INDEX(games!$B$2:$B$1200,MATCH(connections!$A1456,games!$A$2:$A$1200,0)),""))</f>
        <v>2023</v>
      </c>
      <c r="U1456">
        <f>IF(connections!$A1456="","",IFERROR(INDEX(games!$B$2:$B$1200,MATCH(connections!$B1456,games!$A$2:$A$1200,0)),""))</f>
        <v>2024</v>
      </c>
      <c r="V1456">
        <f t="shared" si="250"/>
        <v>1</v>
      </c>
    </row>
    <row r="1457" spans="20:22" x14ac:dyDescent="0.25">
      <c r="T1457">
        <f>IF(connections!$A1457="","",IFERROR(INDEX(games!$B$2:$B$1200,MATCH(connections!$A1457,games!$A$2:$A$1200,0)),""))</f>
        <v>2022</v>
      </c>
      <c r="U1457">
        <f>IF(connections!$A1457="","",IFERROR(INDEX(games!$B$2:$B$1200,MATCH(connections!$B1457,games!$A$2:$A$1200,0)),""))</f>
        <v>2024</v>
      </c>
      <c r="V1457">
        <f t="shared" si="250"/>
        <v>2</v>
      </c>
    </row>
    <row r="1458" spans="20:22" x14ac:dyDescent="0.25">
      <c r="T1458">
        <f>IF(connections!$A1458="","",IFERROR(INDEX(games!$B$2:$B$1200,MATCH(connections!$A1458,games!$A$2:$A$1200,0)),""))</f>
        <v>2020</v>
      </c>
      <c r="U1458">
        <f>IF(connections!$A1458="","",IFERROR(INDEX(games!$B$2:$B$1200,MATCH(connections!$B1458,games!$A$2:$A$1200,0)),""))</f>
        <v>2024</v>
      </c>
      <c r="V1458">
        <f t="shared" si="250"/>
        <v>4</v>
      </c>
    </row>
    <row r="1459" spans="20:22" x14ac:dyDescent="0.25">
      <c r="T1459">
        <f>IF(connections!$A1459="","",IFERROR(INDEX(games!$B$2:$B$1200,MATCH(connections!$A1459,games!$A$2:$A$1200,0)),""))</f>
        <v>2019</v>
      </c>
      <c r="U1459">
        <f>IF(connections!$A1459="","",IFERROR(INDEX(games!$B$2:$B$1200,MATCH(connections!$B1459,games!$A$2:$A$1200,0)),""))</f>
        <v>2024</v>
      </c>
      <c r="V1459">
        <f t="shared" si="250"/>
        <v>5</v>
      </c>
    </row>
    <row r="1460" spans="20:22" x14ac:dyDescent="0.25">
      <c r="T1460">
        <f>IF(connections!$A1460="","",IFERROR(INDEX(games!$B$2:$B$1200,MATCH(connections!$A1460,games!$A$2:$A$1200,0)),""))</f>
        <v>2020</v>
      </c>
      <c r="U1460">
        <f>IF(connections!$A1460="","",IFERROR(INDEX(games!$B$2:$B$1200,MATCH(connections!$B1460,games!$A$2:$A$1200,0)),""))</f>
        <v>2024</v>
      </c>
      <c r="V1460">
        <f t="shared" si="250"/>
        <v>4</v>
      </c>
    </row>
    <row r="1461" spans="20:22" x14ac:dyDescent="0.25">
      <c r="T1461">
        <f>IF(connections!$A1461="","",IFERROR(INDEX(games!$B$2:$B$1200,MATCH(connections!$A1461,games!$A$2:$A$1200,0)),""))</f>
        <v>2014</v>
      </c>
      <c r="U1461">
        <f>IF(connections!$A1461="","",IFERROR(INDEX(games!$B$2:$B$1200,MATCH(connections!$B1461,games!$A$2:$A$1200,0)),""))</f>
        <v>2024</v>
      </c>
      <c r="V1461">
        <f t="shared" si="250"/>
        <v>10</v>
      </c>
    </row>
    <row r="1462" spans="20:22" x14ac:dyDescent="0.25">
      <c r="T1462">
        <f>IF(connections!$A1462="","",IFERROR(INDEX(games!$B$2:$B$1200,MATCH(connections!$A1462,games!$A$2:$A$1200,0)),""))</f>
        <v>2021</v>
      </c>
      <c r="U1462">
        <f>IF(connections!$A1462="","",IFERROR(INDEX(games!$B$2:$B$1200,MATCH(connections!$B1462,games!$A$2:$A$1200,0)),""))</f>
        <v>2026</v>
      </c>
      <c r="V1462">
        <f t="shared" si="250"/>
        <v>5</v>
      </c>
    </row>
    <row r="1463" spans="20:22" x14ac:dyDescent="0.25">
      <c r="T1463">
        <f>IF(connections!$A1463="","",IFERROR(INDEX(games!$B$2:$B$1200,MATCH(connections!$A1463,games!$A$2:$A$1200,0)),""))</f>
        <v>2019</v>
      </c>
      <c r="U1463">
        <f>IF(connections!$A1463="","",IFERROR(INDEX(games!$B$2:$B$1200,MATCH(connections!$B1463,games!$A$2:$A$1200,0)),""))</f>
        <v>2021</v>
      </c>
      <c r="V1463">
        <f t="shared" si="250"/>
        <v>2</v>
      </c>
    </row>
    <row r="1464" spans="20:22" x14ac:dyDescent="0.25">
      <c r="T1464">
        <f>IF(connections!$A1464="","",IFERROR(INDEX(games!$B$2:$B$1200,MATCH(connections!$A1464,games!$A$2:$A$1200,0)),""))</f>
        <v>2017</v>
      </c>
      <c r="U1464">
        <f>IF(connections!$A1464="","",IFERROR(INDEX(games!$B$2:$B$1200,MATCH(connections!$B1464,games!$A$2:$A$1200,0)),""))</f>
        <v>2021</v>
      </c>
      <c r="V1464">
        <f t="shared" si="250"/>
        <v>4</v>
      </c>
    </row>
    <row r="1465" spans="20:22" x14ac:dyDescent="0.25">
      <c r="T1465">
        <f>IF(connections!$A1465="","",IFERROR(INDEX(games!$B$2:$B$1200,MATCH(connections!$A1465,games!$A$2:$A$1200,0)),""))</f>
        <v>1993</v>
      </c>
      <c r="U1465">
        <f>IF(connections!$A1465="","",IFERROR(INDEX(games!$B$2:$B$1200,MATCH(connections!$B1465,games!$A$2:$A$1200,0)),""))</f>
        <v>2021</v>
      </c>
      <c r="V1465">
        <f t="shared" si="250"/>
        <v>28</v>
      </c>
    </row>
    <row r="1466" spans="20:22" x14ac:dyDescent="0.25">
      <c r="T1466">
        <f>IF(connections!$A1466="","",IFERROR(INDEX(games!$B$2:$B$1200,MATCH(connections!$A1466,games!$A$2:$A$1200,0)),""))</f>
        <v>2021</v>
      </c>
      <c r="U1466">
        <f>IF(connections!$A1466="","",IFERROR(INDEX(games!$B$2:$B$1200,MATCH(connections!$B1466,games!$A$2:$A$1200,0)),""))</f>
        <v>2025</v>
      </c>
      <c r="V1466">
        <f t="shared" si="250"/>
        <v>4</v>
      </c>
    </row>
    <row r="1467" spans="20:22" x14ac:dyDescent="0.25">
      <c r="T1467">
        <f>IF(connections!$A1467="","",IFERROR(INDEX(games!$B$2:$B$1200,MATCH(connections!$A1467,games!$A$2:$A$1200,0)),""))</f>
        <v>2015</v>
      </c>
      <c r="U1467">
        <f>IF(connections!$A1467="","",IFERROR(INDEX(games!$B$2:$B$1200,MATCH(connections!$B1467,games!$A$2:$A$1200,0)),""))</f>
        <v>2026</v>
      </c>
      <c r="V1467">
        <f t="shared" si="250"/>
        <v>11</v>
      </c>
    </row>
    <row r="1468" spans="20:22" x14ac:dyDescent="0.25">
      <c r="T1468">
        <f>IF(connections!$A1468="","",IFERROR(INDEX(games!$B$2:$B$1200,MATCH(connections!$A1468,games!$A$2:$A$1200,0)),""))</f>
        <v>2017</v>
      </c>
      <c r="U1468">
        <f>IF(connections!$A1468="","",IFERROR(INDEX(games!$B$2:$B$1200,MATCH(connections!$B1468,games!$A$2:$A$1200,0)),""))</f>
        <v>2026</v>
      </c>
      <c r="V1468">
        <f t="shared" si="250"/>
        <v>9</v>
      </c>
    </row>
    <row r="1469" spans="20:22" x14ac:dyDescent="0.25">
      <c r="T1469">
        <f>IF(connections!$A1469="","",IFERROR(INDEX(games!$B$2:$B$1200,MATCH(connections!$A1469,games!$A$2:$A$1200,0)),""))</f>
        <v>2012</v>
      </c>
      <c r="U1469">
        <f>IF(connections!$A1469="","",IFERROR(INDEX(games!$B$2:$B$1200,MATCH(connections!$B1469,games!$A$2:$A$1200,0)),""))</f>
        <v>2019</v>
      </c>
      <c r="V1469">
        <f t="shared" si="250"/>
        <v>7</v>
      </c>
    </row>
    <row r="1470" spans="20:22" x14ac:dyDescent="0.25">
      <c r="T1470">
        <f>IF(connections!$A1470="","",IFERROR(INDEX(games!$B$2:$B$1200,MATCH(connections!$A1470,games!$A$2:$A$1200,0)),""))</f>
        <v>2021</v>
      </c>
      <c r="U1470">
        <f>IF(connections!$A1470="","",IFERROR(INDEX(games!$B$2:$B$1200,MATCH(connections!$B1470,games!$A$2:$A$1200,0)),""))</f>
        <v>2022</v>
      </c>
      <c r="V1470">
        <f t="shared" si="250"/>
        <v>1</v>
      </c>
    </row>
    <row r="1471" spans="20:22" x14ac:dyDescent="0.25">
      <c r="T1471">
        <f>IF(connections!$A1471="","",IFERROR(INDEX(games!$B$2:$B$1200,MATCH(connections!$A1471,games!$A$2:$A$1200,0)),""))</f>
        <v>2006</v>
      </c>
      <c r="U1471">
        <f>IF(connections!$A1471="","",IFERROR(INDEX(games!$B$2:$B$1200,MATCH(connections!$B1471,games!$A$2:$A$1200,0)),""))</f>
        <v>2024</v>
      </c>
      <c r="V1471">
        <f t="shared" si="250"/>
        <v>18</v>
      </c>
    </row>
    <row r="1472" spans="20:22" x14ac:dyDescent="0.25">
      <c r="T1472">
        <f>IF(connections!$A1472="","",IFERROR(INDEX(games!$B$2:$B$1200,MATCH(connections!$A1472,games!$A$2:$A$1200,0)),""))</f>
        <v>2012</v>
      </c>
      <c r="U1472">
        <f>IF(connections!$A1472="","",IFERROR(INDEX(games!$B$2:$B$1200,MATCH(connections!$B1472,games!$A$2:$A$1200,0)),""))</f>
        <v>2024</v>
      </c>
      <c r="V1472">
        <f t="shared" si="250"/>
        <v>12</v>
      </c>
    </row>
    <row r="1473" spans="20:22" x14ac:dyDescent="0.25">
      <c r="T1473">
        <f>IF(connections!$A1473="","",IFERROR(INDEX(games!$B$2:$B$1200,MATCH(connections!$A1473,games!$A$2:$A$1200,0)),""))</f>
        <v>2015</v>
      </c>
      <c r="U1473">
        <f>IF(connections!$A1473="","",IFERROR(INDEX(games!$B$2:$B$1200,MATCH(connections!$B1473,games!$A$2:$A$1200,0)),""))</f>
        <v>2023</v>
      </c>
      <c r="V1473">
        <f t="shared" si="250"/>
        <v>8</v>
      </c>
    </row>
    <row r="1474" spans="20:22" x14ac:dyDescent="0.25">
      <c r="T1474">
        <f>IF(connections!$A1474="","",IFERROR(INDEX(games!$B$2:$B$1200,MATCH(connections!$A1474,games!$A$2:$A$1200,0)),""))</f>
        <v>2022</v>
      </c>
      <c r="U1474">
        <f>IF(connections!$A1474="","",IFERROR(INDEX(games!$B$2:$B$1200,MATCH(connections!$B1474,games!$A$2:$A$1200,0)),""))</f>
        <v>2024</v>
      </c>
      <c r="V1474">
        <f t="shared" ref="V1474:V1537" si="251">IF(OR($T1474="",$U1474=""),"",$U1474-$T1474)</f>
        <v>2</v>
      </c>
    </row>
    <row r="1475" spans="20:22" x14ac:dyDescent="0.25">
      <c r="T1475">
        <f>IF(connections!$A1475="","",IFERROR(INDEX(games!$B$2:$B$1200,MATCH(connections!$A1475,games!$A$2:$A$1200,0)),""))</f>
        <v>2022</v>
      </c>
      <c r="U1475">
        <f>IF(connections!$A1475="","",IFERROR(INDEX(games!$B$2:$B$1200,MATCH(connections!$B1475,games!$A$2:$A$1200,0)),""))</f>
        <v>2024</v>
      </c>
      <c r="V1475">
        <f t="shared" si="251"/>
        <v>2</v>
      </c>
    </row>
    <row r="1476" spans="20:22" x14ac:dyDescent="0.25">
      <c r="T1476">
        <f>IF(connections!$A1476="","",IFERROR(INDEX(games!$B$2:$B$1200,MATCH(connections!$A1476,games!$A$2:$A$1200,0)),""))</f>
        <v>1996</v>
      </c>
      <c r="U1476">
        <f>IF(connections!$A1476="","",IFERROR(INDEX(games!$B$2:$B$1200,MATCH(connections!$B1476,games!$A$2:$A$1200,0)),""))</f>
        <v>2024</v>
      </c>
      <c r="V1476">
        <f t="shared" si="251"/>
        <v>28</v>
      </c>
    </row>
    <row r="1477" spans="20:22" x14ac:dyDescent="0.25">
      <c r="T1477">
        <f>IF(connections!$A1477="","",IFERROR(INDEX(games!$B$2:$B$1200,MATCH(connections!$A1477,games!$A$2:$A$1200,0)),""))</f>
        <v>2023</v>
      </c>
      <c r="U1477">
        <f>IF(connections!$A1477="","",IFERROR(INDEX(games!$B$2:$B$1200,MATCH(connections!$B1477,games!$A$2:$A$1200,0)),""))</f>
        <v>2024</v>
      </c>
      <c r="V1477">
        <f t="shared" si="251"/>
        <v>1</v>
      </c>
    </row>
    <row r="1478" spans="20:22" x14ac:dyDescent="0.25">
      <c r="T1478">
        <f>IF(connections!$A1478="","",IFERROR(INDEX(games!$B$2:$B$1200,MATCH(connections!$A1478,games!$A$2:$A$1200,0)),""))</f>
        <v>1993</v>
      </c>
      <c r="U1478">
        <f>IF(connections!$A1478="","",IFERROR(INDEX(games!$B$2:$B$1200,MATCH(connections!$B1478,games!$A$2:$A$1200,0)),""))</f>
        <v>1998</v>
      </c>
      <c r="V1478">
        <f t="shared" si="251"/>
        <v>5</v>
      </c>
    </row>
    <row r="1479" spans="20:22" x14ac:dyDescent="0.25">
      <c r="T1479">
        <f>IF(connections!$A1479="","",IFERROR(INDEX(games!$B$2:$B$1200,MATCH(connections!$A1479,games!$A$2:$A$1200,0)),""))</f>
        <v>2022</v>
      </c>
      <c r="U1479">
        <f>IF(connections!$A1479="","",IFERROR(INDEX(games!$B$2:$B$1200,MATCH(connections!$B1479,games!$A$2:$A$1200,0)),""))</f>
        <v>2023</v>
      </c>
      <c r="V1479">
        <f t="shared" si="251"/>
        <v>1</v>
      </c>
    </row>
    <row r="1480" spans="20:22" x14ac:dyDescent="0.25">
      <c r="T1480">
        <f>IF(connections!$A1480="","",IFERROR(INDEX(games!$B$2:$B$1200,MATCH(connections!$A1480,games!$A$2:$A$1200,0)),""))</f>
        <v>2023</v>
      </c>
      <c r="U1480">
        <f>IF(connections!$A1480="","",IFERROR(INDEX(games!$B$2:$B$1200,MATCH(connections!$B1480,games!$A$2:$A$1200,0)),""))</f>
        <v>2025</v>
      </c>
      <c r="V1480">
        <f t="shared" si="251"/>
        <v>2</v>
      </c>
    </row>
    <row r="1481" spans="20:22" x14ac:dyDescent="0.25">
      <c r="T1481">
        <f>IF(connections!$A1481="","",IFERROR(INDEX(games!$B$2:$B$1200,MATCH(connections!$A1481,games!$A$2:$A$1200,0)),""))</f>
        <v>2018</v>
      </c>
      <c r="U1481">
        <f>IF(connections!$A1481="","",IFERROR(INDEX(games!$B$2:$B$1200,MATCH(connections!$B1481,games!$A$2:$A$1200,0)),""))</f>
        <v>2026</v>
      </c>
      <c r="V1481">
        <f t="shared" si="251"/>
        <v>8</v>
      </c>
    </row>
    <row r="1482" spans="20:22" x14ac:dyDescent="0.25">
      <c r="T1482">
        <f>IF(connections!$A1482="","",IFERROR(INDEX(games!$B$2:$B$1200,MATCH(connections!$A1482,games!$A$2:$A$1200,0)),""))</f>
        <v>2021</v>
      </c>
      <c r="U1482">
        <f>IF(connections!$A1482="","",IFERROR(INDEX(games!$B$2:$B$1200,MATCH(connections!$B1482,games!$A$2:$A$1200,0)),""))</f>
        <v>2026</v>
      </c>
      <c r="V1482">
        <f t="shared" si="251"/>
        <v>5</v>
      </c>
    </row>
    <row r="1483" spans="20:22" x14ac:dyDescent="0.25">
      <c r="T1483">
        <f>IF(connections!$A1483="","",IFERROR(INDEX(games!$B$2:$B$1200,MATCH(connections!$A1483,games!$A$2:$A$1200,0)),""))</f>
        <v>2021</v>
      </c>
      <c r="U1483">
        <f>IF(connections!$A1483="","",IFERROR(INDEX(games!$B$2:$B$1200,MATCH(connections!$B1483,games!$A$2:$A$1200,0)),""))</f>
        <v>2026</v>
      </c>
      <c r="V1483">
        <f t="shared" si="251"/>
        <v>5</v>
      </c>
    </row>
    <row r="1484" spans="20:22" x14ac:dyDescent="0.25">
      <c r="T1484">
        <f>IF(connections!$A1484="","",IFERROR(INDEX(games!$B$2:$B$1200,MATCH(connections!$A1484,games!$A$2:$A$1200,0)),""))</f>
        <v>2009</v>
      </c>
      <c r="U1484">
        <f>IF(connections!$A1484="","",IFERROR(INDEX(games!$B$2:$B$1200,MATCH(connections!$B1484,games!$A$2:$A$1200,0)),""))</f>
        <v>2023</v>
      </c>
      <c r="V1484">
        <f t="shared" si="251"/>
        <v>14</v>
      </c>
    </row>
    <row r="1485" spans="20:22" x14ac:dyDescent="0.25">
      <c r="T1485">
        <f>IF(connections!$A1485="","",IFERROR(INDEX(games!$B$2:$B$1200,MATCH(connections!$A1485,games!$A$2:$A$1200,0)),""))</f>
        <v>2012</v>
      </c>
      <c r="U1485">
        <f>IF(connections!$A1485="","",IFERROR(INDEX(games!$B$2:$B$1200,MATCH(connections!$B1485,games!$A$2:$A$1200,0)),""))</f>
        <v>2023</v>
      </c>
      <c r="V1485">
        <f t="shared" si="251"/>
        <v>11</v>
      </c>
    </row>
    <row r="1486" spans="20:22" x14ac:dyDescent="0.25">
      <c r="T1486">
        <f>IF(connections!$A1486="","",IFERROR(INDEX(games!$B$2:$B$1200,MATCH(connections!$A1486,games!$A$2:$A$1200,0)),""))</f>
        <v>2017</v>
      </c>
      <c r="U1486">
        <f>IF(connections!$A1486="","",IFERROR(INDEX(games!$B$2:$B$1200,MATCH(connections!$B1486,games!$A$2:$A$1200,0)),""))</f>
        <v>2025</v>
      </c>
      <c r="V1486">
        <f t="shared" si="251"/>
        <v>8</v>
      </c>
    </row>
    <row r="1487" spans="20:22" x14ac:dyDescent="0.25">
      <c r="T1487">
        <f>IF(connections!$A1487="","",IFERROR(INDEX(games!$B$2:$B$1200,MATCH(connections!$A1487,games!$A$2:$A$1200,0)),""))</f>
        <v>2006</v>
      </c>
      <c r="U1487">
        <f>IF(connections!$A1487="","",IFERROR(INDEX(games!$B$2:$B$1200,MATCH(connections!$B1487,games!$A$2:$A$1200,0)),""))</f>
        <v>2017</v>
      </c>
      <c r="V1487">
        <f t="shared" si="251"/>
        <v>11</v>
      </c>
    </row>
    <row r="1488" spans="20:22" x14ac:dyDescent="0.25">
      <c r="T1488">
        <f>IF(connections!$A1488="","",IFERROR(INDEX(games!$B$2:$B$1200,MATCH(connections!$A1488,games!$A$2:$A$1200,0)),""))</f>
        <v>2006</v>
      </c>
      <c r="U1488">
        <f>IF(connections!$A1488="","",IFERROR(INDEX(games!$B$2:$B$1200,MATCH(connections!$B1488,games!$A$2:$A$1200,0)),""))</f>
        <v>2011</v>
      </c>
      <c r="V1488">
        <f t="shared" si="251"/>
        <v>5</v>
      </c>
    </row>
    <row r="1489" spans="20:22" x14ac:dyDescent="0.25">
      <c r="T1489">
        <f>IF(connections!$A1489="","",IFERROR(INDEX(games!$B$2:$B$1200,MATCH(connections!$A1489,games!$A$2:$A$1200,0)),""))</f>
        <v>2003</v>
      </c>
      <c r="U1489">
        <f>IF(connections!$A1489="","",IFERROR(INDEX(games!$B$2:$B$1200,MATCH(connections!$B1489,games!$A$2:$A$1200,0)),""))</f>
        <v>2011</v>
      </c>
      <c r="V1489">
        <f t="shared" si="251"/>
        <v>8</v>
      </c>
    </row>
    <row r="1490" spans="20:22" x14ac:dyDescent="0.25">
      <c r="T1490">
        <f>IF(connections!$A1490="","",IFERROR(INDEX(games!$B$2:$B$1200,MATCH(connections!$A1490,games!$A$2:$A$1200,0)),""))</f>
        <v>2012</v>
      </c>
      <c r="U1490">
        <f>IF(connections!$A1490="","",IFERROR(INDEX(games!$B$2:$B$1200,MATCH(connections!$B1490,games!$A$2:$A$1200,0)),""))</f>
        <v>2011</v>
      </c>
      <c r="V1490">
        <f t="shared" si="251"/>
        <v>-1</v>
      </c>
    </row>
    <row r="1491" spans="20:22" x14ac:dyDescent="0.25">
      <c r="T1491">
        <f>IF(connections!$A1491="","",IFERROR(INDEX(games!$B$2:$B$1200,MATCH(connections!$A1491,games!$A$2:$A$1200,0)),""))</f>
        <v>1987</v>
      </c>
      <c r="U1491">
        <f>IF(connections!$A1491="","",IFERROR(INDEX(games!$B$2:$B$1200,MATCH(connections!$B1491,games!$A$2:$A$1200,0)),""))</f>
        <v>2012</v>
      </c>
      <c r="V1491">
        <f t="shared" si="251"/>
        <v>25</v>
      </c>
    </row>
    <row r="1492" spans="20:22" x14ac:dyDescent="0.25">
      <c r="T1492">
        <f>IF(connections!$A1492="","",IFERROR(INDEX(games!$B$2:$B$1200,MATCH(connections!$A1492,games!$A$2:$A$1200,0)),""))</f>
        <v>2002</v>
      </c>
      <c r="U1492">
        <f>IF(connections!$A1492="","",IFERROR(INDEX(games!$B$2:$B$1200,MATCH(connections!$B1492,games!$A$2:$A$1200,0)),""))</f>
        <v>2005</v>
      </c>
      <c r="V1492">
        <f t="shared" si="251"/>
        <v>3</v>
      </c>
    </row>
    <row r="1493" spans="20:22" x14ac:dyDescent="0.25">
      <c r="T1493">
        <f>IF(connections!$A1493="","",IFERROR(INDEX(games!$B$2:$B$1200,MATCH(connections!$A1493,games!$A$2:$A$1200,0)),""))</f>
        <v>2021</v>
      </c>
      <c r="U1493">
        <f>IF(connections!$A1493="","",IFERROR(INDEX(games!$B$2:$B$1200,MATCH(connections!$B1493,games!$A$2:$A$1200,0)),""))</f>
        <v>2025</v>
      </c>
      <c r="V1493">
        <f t="shared" si="251"/>
        <v>4</v>
      </c>
    </row>
    <row r="1494" spans="20:22" x14ac:dyDescent="0.25">
      <c r="T1494">
        <f>IF(connections!$A1494="","",IFERROR(INDEX(games!$B$2:$B$1200,MATCH(connections!$A1494,games!$A$2:$A$1200,0)),""))</f>
        <v>2019</v>
      </c>
      <c r="U1494">
        <f>IF(connections!$A1494="","",IFERROR(INDEX(games!$B$2:$B$1200,MATCH(connections!$B1494,games!$A$2:$A$1200,0)),""))</f>
        <v>2024</v>
      </c>
      <c r="V1494">
        <f t="shared" si="251"/>
        <v>5</v>
      </c>
    </row>
    <row r="1495" spans="20:22" x14ac:dyDescent="0.25">
      <c r="T1495">
        <f>IF(connections!$A1495="","",IFERROR(INDEX(games!$B$2:$B$1200,MATCH(connections!$A1495,games!$A$2:$A$1200,0)),""))</f>
        <v>2017</v>
      </c>
      <c r="U1495">
        <f>IF(connections!$A1495="","",IFERROR(INDEX(games!$B$2:$B$1200,MATCH(connections!$B1495,games!$A$2:$A$1200,0)),""))</f>
        <v>2023</v>
      </c>
      <c r="V1495">
        <f t="shared" si="251"/>
        <v>6</v>
      </c>
    </row>
    <row r="1496" spans="20:22" x14ac:dyDescent="0.25">
      <c r="T1496">
        <f>IF(connections!$A1496="","",IFERROR(INDEX(games!$B$2:$B$1200,MATCH(connections!$A1496,games!$A$2:$A$1200,0)),""))</f>
        <v>2020</v>
      </c>
      <c r="U1496">
        <f>IF(connections!$A1496="","",IFERROR(INDEX(games!$B$2:$B$1200,MATCH(connections!$B1496,games!$A$2:$A$1200,0)),""))</f>
        <v>2023</v>
      </c>
      <c r="V1496">
        <f t="shared" si="251"/>
        <v>3</v>
      </c>
    </row>
    <row r="1497" spans="20:22" x14ac:dyDescent="0.25">
      <c r="T1497">
        <f>IF(connections!$A1497="","",IFERROR(INDEX(games!$B$2:$B$1200,MATCH(connections!$A1497,games!$A$2:$A$1200,0)),""))</f>
        <v>2013</v>
      </c>
      <c r="U1497">
        <f>IF(connections!$A1497="","",IFERROR(INDEX(games!$B$2:$B$1200,MATCH(connections!$B1497,games!$A$2:$A$1200,0)),""))</f>
        <v>2023</v>
      </c>
      <c r="V1497">
        <f t="shared" si="251"/>
        <v>10</v>
      </c>
    </row>
    <row r="1498" spans="20:22" x14ac:dyDescent="0.25">
      <c r="T1498">
        <f>IF(connections!$A1498="","",IFERROR(INDEX(games!$B$2:$B$1200,MATCH(connections!$A1498,games!$A$2:$A$1200,0)),""))</f>
        <v>2017</v>
      </c>
      <c r="U1498">
        <f>IF(connections!$A1498="","",IFERROR(INDEX(games!$B$2:$B$1200,MATCH(connections!$B1498,games!$A$2:$A$1200,0)),""))</f>
        <v>2023</v>
      </c>
      <c r="V1498">
        <f t="shared" si="251"/>
        <v>6</v>
      </c>
    </row>
    <row r="1499" spans="20:22" x14ac:dyDescent="0.25">
      <c r="T1499">
        <f>IF(connections!$A1499="","",IFERROR(INDEX(games!$B$2:$B$1200,MATCH(connections!$A1499,games!$A$2:$A$1200,0)),""))</f>
        <v>2008</v>
      </c>
      <c r="U1499">
        <f>IF(connections!$A1499="","",IFERROR(INDEX(games!$B$2:$B$1200,MATCH(connections!$B1499,games!$A$2:$A$1200,0)),""))</f>
        <v>2023</v>
      </c>
      <c r="V1499">
        <f t="shared" si="251"/>
        <v>15</v>
      </c>
    </row>
    <row r="1500" spans="20:22" x14ac:dyDescent="0.25">
      <c r="T1500">
        <f>IF(connections!$A1500="","",IFERROR(INDEX(games!$B$2:$B$1200,MATCH(connections!$A1500,games!$A$2:$A$1200,0)),""))</f>
        <v>2011</v>
      </c>
      <c r="U1500">
        <f>IF(connections!$A1500="","",IFERROR(INDEX(games!$B$2:$B$1200,MATCH(connections!$B1500,games!$A$2:$A$1200,0)),""))</f>
        <v>2023</v>
      </c>
      <c r="V1500">
        <f t="shared" si="251"/>
        <v>12</v>
      </c>
    </row>
    <row r="1501" spans="20:22" x14ac:dyDescent="0.25">
      <c r="T1501">
        <f>IF(connections!$A1501="","",IFERROR(INDEX(games!$B$2:$B$1200,MATCH(connections!$A1501,games!$A$2:$A$1200,0)),""))</f>
        <v>2018</v>
      </c>
      <c r="U1501">
        <f>IF(connections!$A1501="","",IFERROR(INDEX(games!$B$2:$B$1200,MATCH(connections!$B1501,games!$A$2:$A$1200,0)),""))</f>
        <v>2024</v>
      </c>
      <c r="V1501">
        <f t="shared" si="251"/>
        <v>6</v>
      </c>
    </row>
    <row r="1502" spans="20:22" x14ac:dyDescent="0.25">
      <c r="T1502">
        <f>IF(connections!$A1502="","",IFERROR(INDEX(games!$B$2:$B$1200,MATCH(connections!$A1502,games!$A$2:$A$1200,0)),""))</f>
        <v>2021</v>
      </c>
      <c r="U1502">
        <f>IF(connections!$A1502="","",IFERROR(INDEX(games!$B$2:$B$1200,MATCH(connections!$B1502,games!$A$2:$A$1200,0)),""))</f>
        <v>2026</v>
      </c>
      <c r="V1502">
        <f t="shared" si="251"/>
        <v>5</v>
      </c>
    </row>
    <row r="1503" spans="20:22" x14ac:dyDescent="0.25">
      <c r="T1503">
        <f>IF(connections!$A1503="","",IFERROR(INDEX(games!$B$2:$B$1200,MATCH(connections!$A1503,games!$A$2:$A$1200,0)),""))</f>
        <v>2020</v>
      </c>
      <c r="U1503">
        <f>IF(connections!$A1503="","",IFERROR(INDEX(games!$B$2:$B$1200,MATCH(connections!$B1503,games!$A$2:$A$1200,0)),""))</f>
        <v>2026</v>
      </c>
      <c r="V1503">
        <f t="shared" si="251"/>
        <v>6</v>
      </c>
    </row>
    <row r="1504" spans="20:22" x14ac:dyDescent="0.25">
      <c r="T1504">
        <f>IF(connections!$A1504="","",IFERROR(INDEX(games!$B$2:$B$1200,MATCH(connections!$A1504,games!$A$2:$A$1200,0)),""))</f>
        <v>2017</v>
      </c>
      <c r="U1504">
        <f>IF(connections!$A1504="","",IFERROR(INDEX(games!$B$2:$B$1200,MATCH(connections!$B1504,games!$A$2:$A$1200,0)),""))</f>
        <v>2026</v>
      </c>
      <c r="V1504">
        <f t="shared" si="251"/>
        <v>9</v>
      </c>
    </row>
    <row r="1505" spans="20:22" x14ac:dyDescent="0.25">
      <c r="T1505">
        <f>IF(connections!$A1505="","",IFERROR(INDEX(games!$B$2:$B$1200,MATCH(connections!$A1505,games!$A$2:$A$1200,0)),""))</f>
        <v>2021</v>
      </c>
      <c r="U1505">
        <f>IF(connections!$A1505="","",IFERROR(INDEX(games!$B$2:$B$1200,MATCH(connections!$B1505,games!$A$2:$A$1200,0)),""))</f>
        <v>2026</v>
      </c>
      <c r="V1505">
        <f t="shared" si="251"/>
        <v>5</v>
      </c>
    </row>
    <row r="1506" spans="20:22" x14ac:dyDescent="0.25">
      <c r="T1506">
        <f>IF(connections!$A1506="","",IFERROR(INDEX(games!$B$2:$B$1200,MATCH(connections!$A1506,games!$A$2:$A$1200,0)),""))</f>
        <v>2019</v>
      </c>
      <c r="U1506">
        <f>IF(connections!$A1506="","",IFERROR(INDEX(games!$B$2:$B$1200,MATCH(connections!$B1506,games!$A$2:$A$1200,0)),""))</f>
        <v>2023</v>
      </c>
      <c r="V1506">
        <f t="shared" si="251"/>
        <v>4</v>
      </c>
    </row>
    <row r="1507" spans="20:22" x14ac:dyDescent="0.25">
      <c r="T1507">
        <f>IF(connections!$A1507="","",IFERROR(INDEX(games!$B$2:$B$1200,MATCH(connections!$A1507,games!$A$2:$A$1200,0)),""))</f>
        <v>2017</v>
      </c>
      <c r="U1507">
        <f>IF(connections!$A1507="","",IFERROR(INDEX(games!$B$2:$B$1200,MATCH(connections!$B1507,games!$A$2:$A$1200,0)),""))</f>
        <v>2026</v>
      </c>
      <c r="V1507">
        <f t="shared" si="251"/>
        <v>9</v>
      </c>
    </row>
    <row r="1508" spans="20:22" x14ac:dyDescent="0.25">
      <c r="T1508">
        <f>IF(connections!$A1508="","",IFERROR(INDEX(games!$B$2:$B$1200,MATCH(connections!$A1508,games!$A$2:$A$1200,0)),""))</f>
        <v>2018</v>
      </c>
      <c r="U1508">
        <f>IF(connections!$A1508="","",IFERROR(INDEX(games!$B$2:$B$1200,MATCH(connections!$B1508,games!$A$2:$A$1200,0)),""))</f>
        <v>2024</v>
      </c>
      <c r="V1508">
        <f t="shared" si="251"/>
        <v>6</v>
      </c>
    </row>
    <row r="1509" spans="20:22" x14ac:dyDescent="0.25">
      <c r="T1509">
        <f>IF(connections!$A1509="","",IFERROR(INDEX(games!$B$2:$B$1200,MATCH(connections!$A1509,games!$A$2:$A$1200,0)),""))</f>
        <v>2011</v>
      </c>
      <c r="U1509">
        <f>IF(connections!$A1509="","",IFERROR(INDEX(games!$B$2:$B$1200,MATCH(connections!$B1509,games!$A$2:$A$1200,0)),""))</f>
        <v>2021</v>
      </c>
      <c r="V1509">
        <f t="shared" si="251"/>
        <v>10</v>
      </c>
    </row>
    <row r="1510" spans="20:22" x14ac:dyDescent="0.25">
      <c r="T1510">
        <f>IF(connections!$A1510="","",IFERROR(INDEX(games!$B$2:$B$1200,MATCH(connections!$A1510,games!$A$2:$A$1200,0)),""))</f>
        <v>2023</v>
      </c>
      <c r="U1510">
        <f>IF(connections!$A1510="","",IFERROR(INDEX(games!$B$2:$B$1200,MATCH(connections!$B1510,games!$A$2:$A$1200,0)),""))</f>
        <v>2025</v>
      </c>
      <c r="V1510">
        <f t="shared" si="251"/>
        <v>2</v>
      </c>
    </row>
    <row r="1511" spans="20:22" x14ac:dyDescent="0.25">
      <c r="T1511">
        <f>IF(connections!$A1511="","",IFERROR(INDEX(games!$B$2:$B$1200,MATCH(connections!$A1511,games!$A$2:$A$1200,0)),""))</f>
        <v>2023</v>
      </c>
      <c r="U1511">
        <f>IF(connections!$A1511="","",IFERROR(INDEX(games!$B$2:$B$1200,MATCH(connections!$B1511,games!$A$2:$A$1200,0)),""))</f>
        <v>2025</v>
      </c>
      <c r="V1511">
        <f t="shared" si="251"/>
        <v>2</v>
      </c>
    </row>
    <row r="1512" spans="20:22" x14ac:dyDescent="0.25">
      <c r="T1512">
        <f>IF(connections!$A1512="","",IFERROR(INDEX(games!$B$2:$B$1200,MATCH(connections!$A1512,games!$A$2:$A$1200,0)),""))</f>
        <v>2019</v>
      </c>
      <c r="U1512">
        <f>IF(connections!$A1512="","",IFERROR(INDEX(games!$B$2:$B$1200,MATCH(connections!$B1512,games!$A$2:$A$1200,0)),""))</f>
        <v>2022</v>
      </c>
      <c r="V1512">
        <f t="shared" si="251"/>
        <v>3</v>
      </c>
    </row>
    <row r="1513" spans="20:22" x14ac:dyDescent="0.25">
      <c r="T1513">
        <f>IF(connections!$A1513="","",IFERROR(INDEX(games!$B$2:$B$1200,MATCH(connections!$A1513,games!$A$2:$A$1200,0)),""))</f>
        <v>2017</v>
      </c>
      <c r="U1513">
        <f>IF(connections!$A1513="","",IFERROR(INDEX(games!$B$2:$B$1200,MATCH(connections!$B1513,games!$A$2:$A$1200,0)),""))</f>
        <v>2022</v>
      </c>
      <c r="V1513">
        <f t="shared" si="251"/>
        <v>5</v>
      </c>
    </row>
    <row r="1514" spans="20:22" x14ac:dyDescent="0.25">
      <c r="T1514">
        <f>IF(connections!$A1514="","",IFERROR(INDEX(games!$B$2:$B$1200,MATCH(connections!$A1514,games!$A$2:$A$1200,0)),""))</f>
        <v>2015</v>
      </c>
      <c r="U1514">
        <f>IF(connections!$A1514="","",IFERROR(INDEX(games!$B$2:$B$1200,MATCH(connections!$B1514,games!$A$2:$A$1200,0)),""))</f>
        <v>2026</v>
      </c>
      <c r="V1514">
        <f t="shared" si="251"/>
        <v>11</v>
      </c>
    </row>
    <row r="1515" spans="20:22" x14ac:dyDescent="0.25">
      <c r="T1515">
        <f>IF(connections!$A1515="","",IFERROR(INDEX(games!$B$2:$B$1200,MATCH(connections!$A1515,games!$A$2:$A$1200,0)),""))</f>
        <v>2019</v>
      </c>
      <c r="U1515">
        <f>IF(connections!$A1515="","",IFERROR(INDEX(games!$B$2:$B$1200,MATCH(connections!$B1515,games!$A$2:$A$1200,0)),""))</f>
        <v>2025</v>
      </c>
      <c r="V1515">
        <f t="shared" si="251"/>
        <v>6</v>
      </c>
    </row>
    <row r="1516" spans="20:22" x14ac:dyDescent="0.25">
      <c r="T1516">
        <f>IF(connections!$A1516="","",IFERROR(INDEX(games!$B$2:$B$1200,MATCH(connections!$A1516,games!$A$2:$A$1200,0)),""))</f>
        <v>2021</v>
      </c>
      <c r="U1516">
        <f>IF(connections!$A1516="","",IFERROR(INDEX(games!$B$2:$B$1200,MATCH(connections!$B1516,games!$A$2:$A$1200,0)),""))</f>
        <v>2023</v>
      </c>
      <c r="V1516">
        <f t="shared" si="251"/>
        <v>2</v>
      </c>
    </row>
    <row r="1517" spans="20:22" x14ac:dyDescent="0.25">
      <c r="T1517">
        <f>IF(connections!$A1517="","",IFERROR(INDEX(games!$B$2:$B$1200,MATCH(connections!$A1517,games!$A$2:$A$1200,0)),""))</f>
        <v>2017</v>
      </c>
      <c r="U1517">
        <f>IF(connections!$A1517="","",IFERROR(INDEX(games!$B$2:$B$1200,MATCH(connections!$B1517,games!$A$2:$A$1200,0)),""))</f>
        <v>2024</v>
      </c>
      <c r="V1517">
        <f t="shared" si="251"/>
        <v>7</v>
      </c>
    </row>
    <row r="1518" spans="20:22" x14ac:dyDescent="0.25">
      <c r="T1518">
        <f>IF(connections!$A1518="","",IFERROR(INDEX(games!$B$2:$B$1200,MATCH(connections!$A1518,games!$A$2:$A$1200,0)),""))</f>
        <v>2014</v>
      </c>
      <c r="U1518">
        <f>IF(connections!$A1518="","",IFERROR(INDEX(games!$B$2:$B$1200,MATCH(connections!$B1518,games!$A$2:$A$1200,0)),""))</f>
        <v>2017</v>
      </c>
      <c r="V1518">
        <f t="shared" si="251"/>
        <v>3</v>
      </c>
    </row>
    <row r="1519" spans="20:22" x14ac:dyDescent="0.25">
      <c r="T1519">
        <f>IF(connections!$A1519="","",IFERROR(INDEX(games!$B$2:$B$1200,MATCH(connections!$A1519,games!$A$2:$A$1200,0)),""))</f>
        <v>1993</v>
      </c>
      <c r="U1519">
        <f>IF(connections!$A1519="","",IFERROR(INDEX(games!$B$2:$B$1200,MATCH(connections!$B1519,games!$A$2:$A$1200,0)),""))</f>
        <v>2010</v>
      </c>
      <c r="V1519">
        <f t="shared" si="251"/>
        <v>17</v>
      </c>
    </row>
    <row r="1520" spans="20:22" x14ac:dyDescent="0.25">
      <c r="T1520">
        <f>IF(connections!$A1520="","",IFERROR(INDEX(games!$B$2:$B$1200,MATCH(connections!$A1520,games!$A$2:$A$1200,0)),""))</f>
        <v>1990</v>
      </c>
      <c r="U1520">
        <f>IF(connections!$A1520="","",IFERROR(INDEX(games!$B$2:$B$1200,MATCH(connections!$B1520,games!$A$2:$A$1200,0)),""))</f>
        <v>1994</v>
      </c>
      <c r="V1520">
        <f t="shared" si="251"/>
        <v>4</v>
      </c>
    </row>
    <row r="1521" spans="20:22" x14ac:dyDescent="0.25">
      <c r="T1521">
        <f>IF(connections!$A1521="","",IFERROR(INDEX(games!$B$2:$B$1200,MATCH(connections!$A1521,games!$A$2:$A$1200,0)),""))</f>
        <v>2019</v>
      </c>
      <c r="U1521">
        <f>IF(connections!$A1521="","",IFERROR(INDEX(games!$B$2:$B$1200,MATCH(connections!$B1521,games!$A$2:$A$1200,0)),""))</f>
        <v>2024</v>
      </c>
      <c r="V1521">
        <f t="shared" si="251"/>
        <v>5</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2020</v>
      </c>
      <c r="V1523">
        <f t="shared" si="251"/>
        <v>6</v>
      </c>
    </row>
    <row r="1524" spans="20:22" x14ac:dyDescent="0.25">
      <c r="T1524">
        <f>IF(connections!$A1524="","",IFERROR(INDEX(games!$B$2:$B$1200,MATCH(connections!$A1524,games!$A$2:$A$1200,0)),""))</f>
        <v>1990</v>
      </c>
      <c r="U1524">
        <f>IF(connections!$A1524="","",IFERROR(INDEX(games!$B$2:$B$1200,MATCH(connections!$B1524,games!$A$2:$A$1200,0)),""))</f>
        <v>2025</v>
      </c>
      <c r="V1524">
        <f t="shared" si="251"/>
        <v>35</v>
      </c>
    </row>
    <row r="1525" spans="20:22" x14ac:dyDescent="0.25">
      <c r="T1525">
        <f>IF(connections!$A1525="","",IFERROR(INDEX(games!$B$2:$B$1200,MATCH(connections!$A1525,games!$A$2:$A$1200,0)),""))</f>
        <v>2005</v>
      </c>
      <c r="U1525">
        <f>IF(connections!$A1525="","",IFERROR(INDEX(games!$B$2:$B$1200,MATCH(connections!$B1525,games!$A$2:$A$1200,0)),""))</f>
        <v>2025</v>
      </c>
      <c r="V1525">
        <f t="shared" si="251"/>
        <v>20</v>
      </c>
    </row>
    <row r="1526" spans="20:22" x14ac:dyDescent="0.25">
      <c r="T1526">
        <f>IF(connections!$A1526="","",IFERROR(INDEX(games!$B$2:$B$1200,MATCH(connections!$A1526,games!$A$2:$A$1200,0)),""))</f>
        <v>2006</v>
      </c>
      <c r="U1526">
        <f>IF(connections!$A1526="","",IFERROR(INDEX(games!$B$2:$B$1200,MATCH(connections!$B1526,games!$A$2:$A$1200,0)),""))</f>
        <v>2025</v>
      </c>
      <c r="V1526">
        <f t="shared" si="251"/>
        <v>19</v>
      </c>
    </row>
    <row r="1527" spans="20:22" x14ac:dyDescent="0.25">
      <c r="T1527">
        <f>IF(connections!$A1527="","",IFERROR(INDEX(games!$B$2:$B$1200,MATCH(connections!$A1527,games!$A$2:$A$1200,0)),""))</f>
        <v>2022</v>
      </c>
      <c r="U1527">
        <f>IF(connections!$A1527="","",IFERROR(INDEX(games!$B$2:$B$1200,MATCH(connections!$B1527,games!$A$2:$A$1200,0)),""))</f>
        <v>2025</v>
      </c>
      <c r="V1527">
        <f t="shared" si="251"/>
        <v>3</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1994</v>
      </c>
      <c r="U1529" t="str">
        <f>IF(connections!$A1529="","",IFERROR(INDEX(games!$B$2:$B$1200,MATCH(connections!$C1529,games!$A$2:$A$1200,0)),""))</f>
        <v/>
      </c>
      <c r="V1529" t="str">
        <f t="shared" si="251"/>
        <v/>
      </c>
    </row>
    <row r="1530" spans="20:22" x14ac:dyDescent="0.25">
      <c r="T1530">
        <f>IF(connections!$A1530="","",IFERROR(INDEX(games!$B$2:$B$1200,MATCH(connections!$A1530,games!$A$2:$A$1200,0)),""))</f>
        <v>2020</v>
      </c>
      <c r="U1530">
        <f>IF(connections!$A1530="","",IFERROR(INDEX(games!$B$2:$B$1200,MATCH(connections!$B1530,games!$A$2:$A$1200,0)),""))</f>
        <v>2023</v>
      </c>
      <c r="V1530">
        <f t="shared" si="251"/>
        <v>3</v>
      </c>
    </row>
    <row r="1531" spans="20:22" x14ac:dyDescent="0.25">
      <c r="T1531">
        <f>IF(connections!$A1531="","",IFERROR(INDEX(games!$B$2:$B$1200,MATCH(connections!$A1531,games!$A$2:$A$1200,0)),""))</f>
        <v>2017</v>
      </c>
      <c r="U1531">
        <f>IF(connections!$A1531="","",IFERROR(INDEX(games!$B$2:$B$1200,MATCH(connections!$B1531,games!$A$2:$A$1200,0)),""))</f>
        <v>2023</v>
      </c>
      <c r="V1531">
        <f t="shared" si="251"/>
        <v>6</v>
      </c>
    </row>
    <row r="1532" spans="20:22" x14ac:dyDescent="0.25">
      <c r="T1532">
        <f>IF(connections!$A1532="","",IFERROR(INDEX(games!$B$2:$B$1200,MATCH(connections!$A1532,games!$A$2:$A$1200,0)),""))</f>
        <v>2023</v>
      </c>
      <c r="U1532">
        <f>IF(connections!$A1532="","",IFERROR(INDEX(games!$B$2:$B$1200,MATCH(connections!$B1532,games!$A$2:$A$1200,0)),""))</f>
        <v>2026</v>
      </c>
      <c r="V1532">
        <f t="shared" si="251"/>
        <v>3</v>
      </c>
    </row>
    <row r="1533" spans="20:22" x14ac:dyDescent="0.25">
      <c r="T1533">
        <f>IF(connections!$A1533="","",IFERROR(INDEX(games!$B$2:$B$1200,MATCH(connections!$A1533,games!$A$2:$A$1200,0)),""))</f>
        <v>1990</v>
      </c>
      <c r="U1533">
        <f>IF(connections!$A1533="","",IFERROR(INDEX(games!$B$2:$B$1200,MATCH(connections!$B1533,games!$A$2:$A$1200,0)),""))</f>
        <v>2022</v>
      </c>
      <c r="V1533">
        <f t="shared" si="251"/>
        <v>32</v>
      </c>
    </row>
    <row r="1534" spans="20:22" x14ac:dyDescent="0.25">
      <c r="T1534" t="str">
        <f>IF(connections!$A1534="","",IFERROR(INDEX(games!$B$2:$B$1200,MATCH(connections!$A1534,games!$A$2:$A$1200,0)),""))</f>
        <v/>
      </c>
      <c r="U1534" t="str">
        <f>IF(connections!$A1534="","",IFERROR(INDEX(games!$B$2:$B$1200,MATCH(connections!$B1534,games!$A$2:$A$1200,0)),""))</f>
        <v/>
      </c>
      <c r="V1534" t="str">
        <f t="shared" si="251"/>
        <v/>
      </c>
    </row>
    <row r="1535" spans="20:22" x14ac:dyDescent="0.25">
      <c r="T1535" t="str">
        <f>IF(connections!$A1535="","",IFERROR(INDEX(games!$B$2:$B$1200,MATCH(connections!$A1535,games!$A$2:$A$1200,0)),""))</f>
        <v/>
      </c>
      <c r="U1535" t="str">
        <f>IF(connections!$A1535="","",IFERROR(INDEX(games!$B$2:$B$1200,MATCH(connections!$B1535,games!$A$2:$A$1200,0)),""))</f>
        <v/>
      </c>
      <c r="V1535" t="str">
        <f t="shared" si="251"/>
        <v/>
      </c>
    </row>
    <row r="1536" spans="20:22" x14ac:dyDescent="0.25">
      <c r="T1536" t="str">
        <f>IF(connections!$A1536="","",IFERROR(INDEX(games!$B$2:$B$1200,MATCH(connections!$A1536,games!$A$2:$A$1200,0)),""))</f>
        <v/>
      </c>
      <c r="U1536" t="str">
        <f>IF(connections!$A1536="","",IFERROR(INDEX(games!$B$2:$B$1200,MATCH(connections!$B1536,games!$A$2:$A$1200,0)),""))</f>
        <v/>
      </c>
      <c r="V1536" t="str">
        <f t="shared" si="251"/>
        <v/>
      </c>
    </row>
    <row r="1537" spans="20:22" x14ac:dyDescent="0.25">
      <c r="T1537" t="str">
        <f>IF(connections!$A1537="","",IFERROR(INDEX(games!$B$2:$B$1200,MATCH(connections!$A1537,games!$A$2:$A$1200,0)),""))</f>
        <v/>
      </c>
      <c r="U1537" t="str">
        <f>IF(connections!$A1537="","",IFERROR(INDEX(games!$B$2:$B$1200,MATCH(connections!$B1537,games!$A$2:$A$1200,0)),""))</f>
        <v/>
      </c>
      <c r="V1537" t="str">
        <f t="shared" si="251"/>
        <v/>
      </c>
    </row>
    <row r="1538" spans="20:22" x14ac:dyDescent="0.25">
      <c r="T1538" t="str">
        <f>IF(connections!$A1538="","",IFERROR(INDEX(games!$B$2:$B$1200,MATCH(connections!$A1538,games!$A$2:$A$1200,0)),""))</f>
        <v/>
      </c>
      <c r="U1538" t="str">
        <f>IF(connections!$A1538="","",IFERROR(INDEX(games!$B$2:$B$1200,MATCH(connections!$B1538,games!$A$2:$A$1200,0)),""))</f>
        <v/>
      </c>
      <c r="V1538" t="str">
        <f t="shared" ref="V1538:V1601" si="252">IF(OR($T1538="",$U1538=""),"",$U1538-$T1538)</f>
        <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2026-10-14T06:19:38Z</dcterms:modified>
  <dc:language>en-US</dc:language>
</cp:coreProperties>
</file>