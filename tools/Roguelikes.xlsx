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F2BC4AE6-24A8-46E6-880B-80C1D9DCAA99}"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97" i="1" l="1"/>
  <c r="E841" i="1"/>
  <c r="E751" i="1"/>
  <c r="D949" i="47"/>
  <c r="B22" i="18"/>
  <c r="B21" i="18"/>
  <c r="D940" i="47"/>
  <c r="D923" i="47"/>
  <c r="D930" i="47"/>
  <c r="D925" i="47"/>
  <c r="D937" i="47"/>
  <c r="D947" i="47"/>
  <c r="D950" i="47"/>
  <c r="D929" i="47"/>
  <c r="D933" i="47"/>
  <c r="D943" i="47"/>
  <c r="D936" i="47"/>
  <c r="D924" i="47"/>
  <c r="D946" i="47"/>
  <c r="D928" i="47"/>
  <c r="D939" i="47"/>
  <c r="D932" i="47"/>
  <c r="D942" i="47"/>
  <c r="D935" i="47"/>
  <c r="D927" i="47"/>
  <c r="D945" i="47"/>
  <c r="D931" i="47"/>
  <c r="D938" i="47"/>
  <c r="D948" i="47"/>
  <c r="D941" i="47"/>
  <c r="D926" i="47"/>
  <c r="D934" i="47"/>
  <c r="D944" i="47"/>
  <c r="B8" i="18"/>
  <c r="E210" i="1"/>
  <c r="E601" i="1"/>
  <c r="E599" i="1"/>
  <c r="E614" i="1"/>
  <c r="E123" i="1"/>
  <c r="E307" i="1"/>
  <c r="E412" i="1"/>
  <c r="E84" i="1"/>
  <c r="E576" i="1"/>
  <c r="E419" i="1"/>
  <c r="E761" i="1"/>
  <c r="E152" i="1"/>
  <c r="E675" i="1"/>
  <c r="E729" i="1"/>
  <c r="E453" i="1"/>
  <c r="E212" i="1"/>
  <c r="E554" i="1"/>
  <c r="E147" i="1"/>
  <c r="E79" i="1"/>
  <c r="E715" i="1"/>
  <c r="E312" i="1"/>
  <c r="E644" i="1"/>
  <c r="E443" i="1"/>
  <c r="E208" i="1"/>
  <c r="E717" i="1"/>
  <c r="D717" i="1"/>
  <c r="E672" i="1"/>
  <c r="D672" i="1"/>
  <c r="D155" i="1"/>
  <c r="E749" i="1"/>
  <c r="D749" i="1"/>
  <c r="E221" i="1"/>
  <c r="D221" i="1"/>
  <c r="E813" i="1"/>
  <c r="D813" i="1"/>
  <c r="E570" i="1"/>
  <c r="E849" i="1"/>
  <c r="E27" i="1"/>
  <c r="E733" i="1"/>
  <c r="E604" i="1"/>
  <c r="E756" i="1"/>
  <c r="E428" i="1"/>
  <c r="D570" i="1"/>
  <c r="D849" i="1"/>
  <c r="D27" i="1"/>
  <c r="D733" i="1"/>
  <c r="D604" i="1"/>
  <c r="D756" i="1"/>
  <c r="D428" i="1"/>
  <c r="E434" i="1"/>
  <c r="D434" i="1"/>
  <c r="E398" i="1"/>
  <c r="D398" i="1"/>
  <c r="E249" i="1"/>
  <c r="D249" i="1"/>
  <c r="E415" i="1"/>
  <c r="D415" i="1"/>
  <c r="E827" i="1"/>
  <c r="D827" i="1"/>
  <c r="E430" i="1"/>
  <c r="D430" i="1"/>
  <c r="E197" i="1"/>
  <c r="D197" i="1"/>
  <c r="E65" i="1"/>
  <c r="D65" i="1"/>
  <c r="E704" i="1"/>
  <c r="D704" i="1"/>
  <c r="A868" i="47"/>
  <c r="D868" i="47" s="1"/>
  <c r="A867" i="47"/>
  <c r="D867" i="47" s="1"/>
  <c r="E594" i="1"/>
  <c r="D594" i="1"/>
  <c r="E689" i="1"/>
  <c r="D689" i="1"/>
  <c r="E812" i="1"/>
  <c r="D812" i="1"/>
  <c r="E632" i="1"/>
  <c r="D632" i="1"/>
  <c r="D201" i="1"/>
  <c r="E613" i="1"/>
  <c r="D613" i="1"/>
  <c r="E563" i="1"/>
  <c r="D563" i="1"/>
  <c r="E621" i="1"/>
  <c r="D621" i="1"/>
  <c r="E18" i="1"/>
  <c r="D18" i="1"/>
  <c r="E359" i="1"/>
  <c r="D359" i="1"/>
  <c r="E734" i="1"/>
  <c r="D734" i="1"/>
  <c r="E883" i="1"/>
  <c r="D883" i="1"/>
  <c r="E242" i="1"/>
  <c r="D242" i="1"/>
  <c r="E173" i="1"/>
  <c r="D173" i="1"/>
  <c r="E103" i="1"/>
  <c r="D103" i="1"/>
  <c r="E555" i="1"/>
  <c r="D555" i="1"/>
  <c r="E349" i="1"/>
  <c r="D349" i="1"/>
  <c r="E856" i="1"/>
  <c r="D856" i="1"/>
  <c r="E573" i="1"/>
  <c r="D573"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2" i="1"/>
  <c r="D882" i="1"/>
  <c r="E881" i="1"/>
  <c r="D881" i="1"/>
  <c r="E880" i="1"/>
  <c r="D880" i="1"/>
  <c r="E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5" i="1"/>
  <c r="D855" i="1"/>
  <c r="E854" i="1"/>
  <c r="D854" i="1"/>
  <c r="E853" i="1"/>
  <c r="D853" i="1"/>
  <c r="E852" i="1"/>
  <c r="D852" i="1"/>
  <c r="E851" i="1"/>
  <c r="D851" i="1"/>
  <c r="E850" i="1"/>
  <c r="D850" i="1"/>
  <c r="E848" i="1"/>
  <c r="D848" i="1"/>
  <c r="E847" i="1"/>
  <c r="D847" i="1"/>
  <c r="E846" i="1"/>
  <c r="D846" i="1"/>
  <c r="E845" i="1"/>
  <c r="D845" i="1"/>
  <c r="E844" i="1"/>
  <c r="D844" i="1"/>
  <c r="E843" i="1"/>
  <c r="D843" i="1"/>
  <c r="E842" i="1"/>
  <c r="D842"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0" i="1"/>
  <c r="D760" i="1"/>
  <c r="E759" i="1"/>
  <c r="E758" i="1"/>
  <c r="D758" i="1"/>
  <c r="E757" i="1"/>
  <c r="D757" i="1"/>
  <c r="E755" i="1"/>
  <c r="D755" i="1"/>
  <c r="E754" i="1"/>
  <c r="D754" i="1"/>
  <c r="E753" i="1"/>
  <c r="D753" i="1"/>
  <c r="E752" i="1"/>
  <c r="D752" i="1"/>
  <c r="E750" i="1"/>
  <c r="D750"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2" i="1"/>
  <c r="D732" i="1"/>
  <c r="E731" i="1"/>
  <c r="D731" i="1"/>
  <c r="E730" i="1"/>
  <c r="D730" i="1"/>
  <c r="E728" i="1"/>
  <c r="D728" i="1"/>
  <c r="E727" i="1"/>
  <c r="D727" i="1"/>
  <c r="E726" i="1"/>
  <c r="D726" i="1"/>
  <c r="E725" i="1"/>
  <c r="D725" i="1"/>
  <c r="E724" i="1"/>
  <c r="E723" i="1"/>
  <c r="D723" i="1"/>
  <c r="E722" i="1"/>
  <c r="D722" i="1"/>
  <c r="E721" i="1"/>
  <c r="D721" i="1"/>
  <c r="E720" i="1"/>
  <c r="D720" i="1"/>
  <c r="E719" i="1"/>
  <c r="D719" i="1"/>
  <c r="E718" i="1"/>
  <c r="D718" i="1"/>
  <c r="E716" i="1"/>
  <c r="D716" i="1"/>
  <c r="E714" i="1"/>
  <c r="D714" i="1"/>
  <c r="E713" i="1"/>
  <c r="D713" i="1"/>
  <c r="E712" i="1"/>
  <c r="D712" i="1"/>
  <c r="E711" i="1"/>
  <c r="D711" i="1"/>
  <c r="E710" i="1"/>
  <c r="D710" i="1"/>
  <c r="E709" i="1"/>
  <c r="D709" i="1"/>
  <c r="E708" i="1"/>
  <c r="D708" i="1"/>
  <c r="E707" i="1"/>
  <c r="D707" i="1"/>
  <c r="E706" i="1"/>
  <c r="D706" i="1"/>
  <c r="E705" i="1"/>
  <c r="D705"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8" i="1"/>
  <c r="D688" i="1"/>
  <c r="E687" i="1"/>
  <c r="D687" i="1"/>
  <c r="E686" i="1"/>
  <c r="D686" i="1"/>
  <c r="E685" i="1"/>
  <c r="D685" i="1"/>
  <c r="E684" i="1"/>
  <c r="D684" i="1"/>
  <c r="E683" i="1"/>
  <c r="D683" i="1"/>
  <c r="E682" i="1"/>
  <c r="D682" i="1"/>
  <c r="E681" i="1"/>
  <c r="D681" i="1"/>
  <c r="E680" i="1"/>
  <c r="D680" i="1"/>
  <c r="E679" i="1"/>
  <c r="D679" i="1"/>
  <c r="E678" i="1"/>
  <c r="D678" i="1"/>
  <c r="E677" i="1"/>
  <c r="E676" i="1"/>
  <c r="D676" i="1"/>
  <c r="E674" i="1"/>
  <c r="D674" i="1"/>
  <c r="E673" i="1"/>
  <c r="D673" i="1"/>
  <c r="E671" i="1"/>
  <c r="D671" i="1"/>
  <c r="E670" i="1"/>
  <c r="D670" i="1"/>
  <c r="E669" i="1"/>
  <c r="D669" i="1"/>
  <c r="E668" i="1"/>
  <c r="D668" i="1"/>
  <c r="E667" i="1"/>
  <c r="D667" i="1"/>
  <c r="E666" i="1"/>
  <c r="D666" i="1"/>
  <c r="E665" i="1"/>
  <c r="E664" i="1"/>
  <c r="D664" i="1"/>
  <c r="E663" i="1"/>
  <c r="D663" i="1"/>
  <c r="E662" i="1"/>
  <c r="D662" i="1"/>
  <c r="E661" i="1"/>
  <c r="D661" i="1"/>
  <c r="E660" i="1"/>
  <c r="D660" i="1"/>
  <c r="E659" i="1"/>
  <c r="D659" i="1"/>
  <c r="E658" i="1"/>
  <c r="D658" i="1"/>
  <c r="E657" i="1"/>
  <c r="D657" i="1"/>
  <c r="E656" i="1"/>
  <c r="E655" i="1"/>
  <c r="E654" i="1"/>
  <c r="D654" i="1"/>
  <c r="E653" i="1"/>
  <c r="D653" i="1"/>
  <c r="E652" i="1"/>
  <c r="D652" i="1"/>
  <c r="E651" i="1"/>
  <c r="D651" i="1"/>
  <c r="E650" i="1"/>
  <c r="D650" i="1"/>
  <c r="E649" i="1"/>
  <c r="D649" i="1"/>
  <c r="E648" i="1"/>
  <c r="D648" i="1"/>
  <c r="E647" i="1"/>
  <c r="D647" i="1"/>
  <c r="E646" i="1"/>
  <c r="D646" i="1"/>
  <c r="E645" i="1"/>
  <c r="D645" i="1"/>
  <c r="E643" i="1"/>
  <c r="D643" i="1"/>
  <c r="E642" i="1"/>
  <c r="D642" i="1"/>
  <c r="E641" i="1"/>
  <c r="D641" i="1"/>
  <c r="E640" i="1"/>
  <c r="D640" i="1"/>
  <c r="E639" i="1"/>
  <c r="D639" i="1"/>
  <c r="E638" i="1"/>
  <c r="D638" i="1"/>
  <c r="E637" i="1"/>
  <c r="D637" i="1"/>
  <c r="E636" i="1"/>
  <c r="D636" i="1"/>
  <c r="E635" i="1"/>
  <c r="D635" i="1"/>
  <c r="E634" i="1"/>
  <c r="D634" i="1"/>
  <c r="E633" i="1"/>
  <c r="D633" i="1"/>
  <c r="E631" i="1"/>
  <c r="D631" i="1"/>
  <c r="E630" i="1"/>
  <c r="D630" i="1"/>
  <c r="E629" i="1"/>
  <c r="D629" i="1"/>
  <c r="E628" i="1"/>
  <c r="D628" i="1"/>
  <c r="E627" i="1"/>
  <c r="D627" i="1"/>
  <c r="E626" i="1"/>
  <c r="D626" i="1"/>
  <c r="E625" i="1"/>
  <c r="D625" i="1"/>
  <c r="E624" i="1"/>
  <c r="D624" i="1"/>
  <c r="E623" i="1"/>
  <c r="D623" i="1"/>
  <c r="E622" i="1"/>
  <c r="D622" i="1"/>
  <c r="E620" i="1"/>
  <c r="D620" i="1"/>
  <c r="E619" i="1"/>
  <c r="D619" i="1"/>
  <c r="E618" i="1"/>
  <c r="D618" i="1"/>
  <c r="E617" i="1"/>
  <c r="D617" i="1"/>
  <c r="E616" i="1"/>
  <c r="D616" i="1"/>
  <c r="E615" i="1"/>
  <c r="D615" i="1"/>
  <c r="E612" i="1"/>
  <c r="D612" i="1"/>
  <c r="E611" i="1"/>
  <c r="D611" i="1"/>
  <c r="E610" i="1"/>
  <c r="D610" i="1"/>
  <c r="E609" i="1"/>
  <c r="D609" i="1"/>
  <c r="E608" i="1"/>
  <c r="D608" i="1"/>
  <c r="E607" i="1"/>
  <c r="E606" i="1"/>
  <c r="D606" i="1"/>
  <c r="E605" i="1"/>
  <c r="D605" i="1"/>
  <c r="E603" i="1"/>
  <c r="D603" i="1"/>
  <c r="E602" i="1"/>
  <c r="D602" i="1"/>
  <c r="E600" i="1"/>
  <c r="D600" i="1"/>
  <c r="E598" i="1"/>
  <c r="D598" i="1"/>
  <c r="E597" i="1"/>
  <c r="D597" i="1"/>
  <c r="E596" i="1"/>
  <c r="D596" i="1"/>
  <c r="E595" i="1"/>
  <c r="D595"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5" i="1"/>
  <c r="D575" i="1"/>
  <c r="E574" i="1"/>
  <c r="D574" i="1"/>
  <c r="E572" i="1"/>
  <c r="D572" i="1"/>
  <c r="E571" i="1"/>
  <c r="D571"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390" i="47" l="1"/>
  <c r="D664" i="47"/>
  <c r="D26" i="47"/>
  <c r="D864" i="47"/>
  <c r="D549" i="47"/>
  <c r="D17" i="47"/>
  <c r="D204" i="47"/>
  <c r="D658" i="47"/>
  <c r="D201" i="47"/>
  <c r="D25" i="47"/>
  <c r="D284" i="47"/>
  <c r="D230" i="47"/>
  <c r="D235" i="47"/>
  <c r="D793" i="47"/>
  <c r="D804" i="47"/>
  <c r="D257" i="47"/>
  <c r="O257" i="47" s="1"/>
  <c r="D878" i="47"/>
  <c r="D301" i="47"/>
  <c r="D594" i="47"/>
  <c r="D46" i="47"/>
  <c r="D529" i="47"/>
  <c r="D764" i="47"/>
  <c r="D171" i="47"/>
  <c r="D39" i="47"/>
  <c r="D774" i="47"/>
  <c r="D772" i="47"/>
  <c r="D627" i="47"/>
  <c r="D398" i="47"/>
  <c r="D16" i="47"/>
  <c r="D114" i="47"/>
  <c r="D694" i="47"/>
  <c r="D290" i="47"/>
  <c r="O290" i="47" s="1"/>
  <c r="D392" i="47"/>
  <c r="D711" i="47"/>
  <c r="D539" i="47"/>
  <c r="D233" i="47"/>
  <c r="D683" i="47"/>
  <c r="D143" i="47"/>
  <c r="D450" i="47"/>
  <c r="D602" i="47"/>
  <c r="D654" i="47"/>
  <c r="D144" i="47"/>
  <c r="D197" i="47"/>
  <c r="D116" i="47"/>
  <c r="D612" i="47"/>
  <c r="D427" i="47"/>
  <c r="D476" i="47"/>
  <c r="D582" i="47"/>
  <c r="D545" i="47"/>
  <c r="D577" i="47"/>
  <c r="D370" i="47"/>
  <c r="D106" i="47"/>
  <c r="D775" i="47"/>
  <c r="D79" i="47"/>
  <c r="D739" i="47"/>
  <c r="D414" i="47"/>
  <c r="D341" i="47"/>
  <c r="D249" i="47"/>
  <c r="D819" i="47"/>
  <c r="D887" i="47"/>
  <c r="D471" i="47"/>
  <c r="D244" i="47"/>
  <c r="D410" i="47"/>
  <c r="D6" i="47"/>
  <c r="O6" i="47" s="1"/>
  <c r="D385" i="47"/>
  <c r="D750" i="47"/>
  <c r="D709" i="47"/>
  <c r="D198" i="47"/>
  <c r="D320" i="47"/>
  <c r="D276" i="47"/>
  <c r="D474" i="47"/>
  <c r="D239" i="47"/>
  <c r="D424" i="47"/>
  <c r="D227" i="47"/>
  <c r="D748" i="47"/>
  <c r="D781" i="47"/>
  <c r="D236" i="47"/>
  <c r="D663" i="47"/>
  <c r="D402" i="47"/>
  <c r="D327" i="47"/>
  <c r="D208" i="47"/>
  <c r="D314" i="47"/>
  <c r="D742" i="47"/>
  <c r="D11" i="47"/>
  <c r="D661" i="47"/>
  <c r="D714" i="47"/>
  <c r="D178" i="47"/>
  <c r="D860" i="47"/>
  <c r="D255" i="47"/>
  <c r="D209" i="47"/>
  <c r="D547" i="47"/>
  <c r="D183" i="47"/>
  <c r="D91" i="47"/>
  <c r="D319" i="47"/>
  <c r="D287" i="47"/>
  <c r="D150" i="47"/>
  <c r="O150" i="47" s="1"/>
  <c r="D628" i="47"/>
  <c r="D812" i="47"/>
  <c r="D281" i="47"/>
  <c r="D128" i="47"/>
  <c r="D48" i="47"/>
  <c r="D374" i="47"/>
  <c r="D561" i="47"/>
  <c r="D641" i="47"/>
  <c r="D559" i="47"/>
  <c r="D342" i="47"/>
  <c r="D443" i="47"/>
  <c r="D246" i="47"/>
  <c r="D889" i="47"/>
  <c r="D715" i="47"/>
  <c r="D727" i="47"/>
  <c r="D5" i="47"/>
  <c r="O5" i="47" s="1"/>
  <c r="D122" i="47"/>
  <c r="D226" i="47"/>
  <c r="D740" i="47"/>
  <c r="D813" i="47"/>
  <c r="D326" i="47"/>
  <c r="D682" i="47"/>
  <c r="D490" i="47"/>
  <c r="D190" i="47"/>
  <c r="D99" i="47"/>
  <c r="D463" i="47"/>
  <c r="D634" i="47"/>
  <c r="D456" i="47"/>
  <c r="D409" i="47"/>
  <c r="D761" i="47"/>
  <c r="D746" i="47"/>
  <c r="D298" i="47"/>
  <c r="Q298" i="47" s="1"/>
  <c r="D575" i="47"/>
  <c r="D215" i="47"/>
  <c r="D107" i="47"/>
  <c r="D458" i="47"/>
  <c r="D285" i="47"/>
  <c r="D45" i="47"/>
  <c r="D710" i="47"/>
  <c r="D186" i="47"/>
  <c r="D93" i="47"/>
  <c r="D220" i="47"/>
  <c r="D103" i="47"/>
  <c r="D583" i="47"/>
  <c r="D294" i="47"/>
  <c r="D574" i="47"/>
  <c r="D719" i="47"/>
  <c r="D182" i="47"/>
  <c r="O182" i="47" s="1"/>
  <c r="D408" i="47"/>
  <c r="D766" i="47"/>
  <c r="D745" i="47"/>
  <c r="D651" i="47"/>
  <c r="D550" i="47"/>
  <c r="D537" i="47"/>
  <c r="D829" i="47"/>
  <c r="D518" i="47"/>
  <c r="D784" i="47"/>
  <c r="D782" i="47"/>
  <c r="D445" i="47"/>
  <c r="D43" i="47"/>
  <c r="D57" i="47"/>
  <c r="D771" i="47"/>
  <c r="D322" i="47"/>
  <c r="D216" i="47"/>
  <c r="O216" i="47" s="1"/>
  <c r="D50" i="47"/>
  <c r="D629" i="47"/>
  <c r="D222" i="47"/>
  <c r="D434" i="47"/>
  <c r="D475" i="47"/>
  <c r="D115" i="47"/>
  <c r="D376" i="47"/>
  <c r="D31" i="47"/>
  <c r="D509" i="47"/>
  <c r="D786" i="47"/>
  <c r="D195" i="47"/>
  <c r="D315" i="47"/>
  <c r="D69" i="47"/>
  <c r="D119" i="47"/>
  <c r="D728" i="47"/>
  <c r="D466" i="47"/>
  <c r="O466" i="47" s="1"/>
  <c r="D849" i="47"/>
  <c r="D337" i="47"/>
  <c r="D97" i="47"/>
  <c r="D886" i="47"/>
  <c r="D865" i="47"/>
  <c r="D700" i="47"/>
  <c r="D757" i="47"/>
  <c r="D12" i="47"/>
  <c r="D432" i="47"/>
  <c r="D148" i="47"/>
  <c r="D265" i="47"/>
  <c r="D254" i="47"/>
  <c r="D437" i="47"/>
  <c r="D149" i="47"/>
  <c r="D618" i="47"/>
  <c r="D738" i="47"/>
  <c r="Q738" i="47" s="1"/>
  <c r="D214" i="47"/>
  <c r="D113" i="47"/>
  <c r="D37" i="47"/>
  <c r="D660" i="47"/>
  <c r="D502" i="47"/>
  <c r="D70" i="47"/>
  <c r="D525" i="47"/>
  <c r="D487" i="47"/>
  <c r="D615" i="47"/>
  <c r="D752" i="47"/>
  <c r="D78" i="47"/>
  <c r="D32" i="47"/>
  <c r="D460" i="47"/>
  <c r="D688" i="47"/>
  <c r="D619" i="47"/>
  <c r="D454" i="47"/>
  <c r="O454" i="47" s="1"/>
  <c r="D51" i="47"/>
  <c r="D906" i="47"/>
  <c r="D430" i="47"/>
  <c r="D503" i="47"/>
  <c r="D49" i="47"/>
  <c r="D656" i="47"/>
  <c r="D837" i="47"/>
  <c r="D212" i="47"/>
  <c r="D762" i="47"/>
  <c r="D726" i="47"/>
  <c r="D484" i="47"/>
  <c r="D806" i="47"/>
  <c r="D690" i="47"/>
  <c r="D118" i="47"/>
  <c r="D453" i="47"/>
  <c r="D264" i="47"/>
  <c r="D873" i="47"/>
  <c r="D384" i="47"/>
  <c r="D292" i="47"/>
  <c r="D591" i="47"/>
  <c r="D44" i="47"/>
  <c r="D696" i="47"/>
  <c r="D669" i="47"/>
  <c r="D598" i="47"/>
  <c r="D713" i="47"/>
  <c r="D425" i="47"/>
  <c r="D630" i="47"/>
  <c r="D251" i="47"/>
  <c r="D64" i="47"/>
  <c r="D568" i="47"/>
  <c r="D842" i="47"/>
  <c r="D841" i="47"/>
  <c r="O841" i="47" s="1"/>
  <c r="D891" i="47"/>
  <c r="D601" i="47"/>
  <c r="D267" i="47"/>
  <c r="D449" i="47"/>
  <c r="D828" i="47"/>
  <c r="D845" i="47"/>
  <c r="D584" i="47"/>
  <c r="D560" i="47"/>
  <c r="D884" i="47"/>
  <c r="D363" i="47"/>
  <c r="D441" i="47"/>
  <c r="D159" i="47"/>
  <c r="D333" i="47"/>
  <c r="D818" i="47"/>
  <c r="D620" i="47"/>
  <c r="D154" i="47"/>
  <c r="O154" i="47" s="1"/>
  <c r="D817" i="47"/>
  <c r="D3" i="47"/>
  <c r="D76" i="47"/>
  <c r="D624" i="47"/>
  <c r="D809" i="47"/>
  <c r="D779" i="47"/>
  <c r="D588" i="47"/>
  <c r="D205" i="47"/>
  <c r="D217" i="47"/>
  <c r="D648" i="47"/>
  <c r="D4" i="47"/>
  <c r="D213" i="47"/>
  <c r="D8" i="47"/>
  <c r="D429" i="47"/>
  <c r="D280" i="47"/>
  <c r="D352" i="47"/>
  <c r="O352" i="47" s="1"/>
  <c r="D36" i="47"/>
  <c r="D323" i="47"/>
  <c r="D500" i="47"/>
  <c r="D530" i="47"/>
  <c r="D708" i="47"/>
  <c r="D573" i="47"/>
  <c r="D824" i="47"/>
  <c r="D820" i="47"/>
  <c r="D127" i="47"/>
  <c r="D123" i="47"/>
  <c r="D47" i="47"/>
  <c r="D720" i="47"/>
  <c r="D202" i="47"/>
  <c r="D685" i="47"/>
  <c r="D14" i="47"/>
  <c r="D328" i="47"/>
  <c r="O328" i="47" s="1"/>
  <c r="D684" i="47"/>
  <c r="D533" i="47"/>
  <c r="D557" i="47"/>
  <c r="D231" i="47"/>
  <c r="D277" i="47"/>
  <c r="D595" i="47"/>
  <c r="D140" i="47"/>
  <c r="D600" i="47"/>
  <c r="D109" i="47"/>
  <c r="D652" i="47"/>
  <c r="D80" i="47"/>
  <c r="D180" i="47"/>
  <c r="D111" i="47"/>
  <c r="D516" i="47"/>
  <c r="D238" i="47"/>
  <c r="D332" i="47"/>
  <c r="D27" i="47"/>
  <c r="D580" i="47"/>
  <c r="D438" i="47"/>
  <c r="D303" i="47"/>
  <c r="D248" i="47"/>
  <c r="D497" i="47"/>
  <c r="D228" i="47"/>
  <c r="D632" i="47"/>
  <c r="D386" i="47"/>
  <c r="D172" i="47"/>
  <c r="D485" i="47"/>
  <c r="D901" i="47"/>
  <c r="D869" i="47"/>
  <c r="D175" i="47"/>
  <c r="D447" i="47"/>
  <c r="D802" i="47"/>
  <c r="D416" i="47"/>
  <c r="D914" i="47"/>
  <c r="D54" i="47"/>
  <c r="D724" i="47"/>
  <c r="D844" i="47"/>
  <c r="D232" i="47"/>
  <c r="D170" i="47"/>
  <c r="D306" i="47"/>
  <c r="D18" i="47"/>
  <c r="D29" i="47"/>
  <c r="D138" i="47"/>
  <c r="D189" i="47"/>
  <c r="D563" i="47"/>
  <c r="D121" i="47"/>
  <c r="D184" i="47"/>
  <c r="D773" i="47"/>
  <c r="O773" i="47" s="1"/>
  <c r="D88" i="47"/>
  <c r="D20" i="47"/>
  <c r="D351" i="47"/>
  <c r="D15" i="47"/>
  <c r="D880" i="47"/>
  <c r="D531" i="47"/>
  <c r="D318" i="47"/>
  <c r="D433" i="47"/>
  <c r="D67" i="47"/>
  <c r="D815" i="47"/>
  <c r="D535" i="47"/>
  <c r="D153" i="47"/>
  <c r="D361" i="47"/>
  <c r="D631" i="47"/>
  <c r="D340" i="47"/>
  <c r="D872" i="47"/>
  <c r="O872" i="47" s="1"/>
  <c r="D221" i="47"/>
  <c r="D603" i="47"/>
  <c r="D736" i="47"/>
  <c r="D592" i="47"/>
  <c r="D791" i="47"/>
  <c r="D295" i="47"/>
  <c r="D269" i="47"/>
  <c r="D130" i="47"/>
  <c r="D811" i="47"/>
  <c r="D801" i="47"/>
  <c r="D286" i="47"/>
  <c r="D910" i="47"/>
  <c r="D877" i="47"/>
  <c r="D146" i="47"/>
  <c r="D23" i="47"/>
  <c r="D124" i="47"/>
  <c r="O124" i="47" s="1"/>
  <c r="D508" i="47"/>
  <c r="D316" i="47"/>
  <c r="D523" i="47"/>
  <c r="D321" i="47"/>
  <c r="D349" i="47"/>
  <c r="O349" i="47" s="1"/>
  <c r="D242" i="47"/>
  <c r="D161" i="47"/>
  <c r="D686" i="47"/>
  <c r="D21" i="47"/>
  <c r="D33" i="47"/>
  <c r="D179" i="47"/>
  <c r="D72" i="47"/>
  <c r="D916" i="47"/>
  <c r="D892" i="47"/>
  <c r="D68" i="47"/>
  <c r="D769" i="47"/>
  <c r="O769" i="47" s="1"/>
  <c r="D343" i="47"/>
  <c r="D61" i="47"/>
  <c r="D480" i="47"/>
  <c r="D336" i="47"/>
  <c r="D35" i="47"/>
  <c r="D866" i="47"/>
  <c r="D698" i="47"/>
  <c r="D617" i="47"/>
  <c r="D846" i="47"/>
  <c r="D162" i="47"/>
  <c r="D608" i="47"/>
  <c r="D482" i="47"/>
  <c r="D52" i="47"/>
  <c r="D479" i="47"/>
  <c r="D412" i="47"/>
  <c r="D176" i="47"/>
  <c r="O176" i="47" s="1"/>
  <c r="D851" i="47"/>
  <c r="D259" i="47"/>
  <c r="D799" i="47"/>
  <c r="D157" i="47"/>
  <c r="D104" i="47"/>
  <c r="D843" i="47"/>
  <c r="D821" i="47"/>
  <c r="D313" i="47"/>
  <c r="D194" i="47"/>
  <c r="D825" i="47"/>
  <c r="D271" i="47"/>
  <c r="D145" i="47"/>
  <c r="D639" i="47"/>
  <c r="D312" i="47"/>
  <c r="D579" i="47"/>
  <c r="D84" i="47"/>
  <c r="O84" i="47" s="1"/>
  <c r="D200" i="47"/>
  <c r="D40" i="47"/>
  <c r="D325" i="47"/>
  <c r="D733" i="47"/>
  <c r="D787" i="47"/>
  <c r="D22" i="47"/>
  <c r="D635" i="47"/>
  <c r="D861" i="47"/>
  <c r="O861" i="47" s="1"/>
  <c r="D536" i="47"/>
  <c r="D56" i="47"/>
  <c r="D789" i="47"/>
  <c r="D396" i="47"/>
  <c r="D41" i="47"/>
  <c r="D571" i="47"/>
  <c r="D524" i="47"/>
  <c r="D505" i="47"/>
  <c r="O505" i="47" s="1"/>
  <c r="D777" i="47"/>
  <c r="O777" i="47" s="1"/>
  <c r="D19" i="47"/>
  <c r="D169" i="47"/>
  <c r="D224" i="47"/>
  <c r="D261" i="47"/>
  <c r="O261" i="47" s="1"/>
  <c r="D496" i="47"/>
  <c r="D517" i="47"/>
  <c r="D918" i="47"/>
  <c r="D156" i="47"/>
  <c r="D510" i="47"/>
  <c r="D428" i="47"/>
  <c r="D519" i="47"/>
  <c r="D10" i="47"/>
  <c r="D668" i="47"/>
  <c r="D289" i="47"/>
  <c r="D63" i="47"/>
  <c r="O63" i="47" s="1"/>
  <c r="D253" i="47"/>
  <c r="O253" i="47" s="1"/>
  <c r="D655" i="47"/>
  <c r="D703" i="47"/>
  <c r="D448" i="47"/>
  <c r="D401" i="47"/>
  <c r="D95" i="47"/>
  <c r="D879" i="47"/>
  <c r="D310" i="47"/>
  <c r="D796" i="47"/>
  <c r="D389" i="47"/>
  <c r="O389" i="47" s="1"/>
  <c r="D470" i="47"/>
  <c r="D65" i="47"/>
  <c r="O65" i="47" s="1"/>
  <c r="D356" i="47"/>
  <c r="O356" i="47" s="1"/>
  <c r="D440" i="47"/>
  <c r="D24" i="47"/>
  <c r="D185" i="47"/>
  <c r="D457" i="47"/>
  <c r="O457" i="47" s="1"/>
  <c r="D622" i="47"/>
  <c r="O622" i="47" s="1"/>
  <c r="D569" i="47"/>
  <c r="D207" i="47"/>
  <c r="D372" i="47"/>
  <c r="D922" i="47"/>
  <c r="O919" i="47"/>
  <c r="O249" i="47"/>
  <c r="O341" i="47"/>
  <c r="O414" i="47"/>
  <c r="O739" i="47"/>
  <c r="Q79" i="47"/>
  <c r="O106" i="47"/>
  <c r="O577" i="47"/>
  <c r="O545" i="47"/>
  <c r="O476" i="47"/>
  <c r="O612" i="47"/>
  <c r="O116" i="47"/>
  <c r="O197" i="47"/>
  <c r="O144" i="47"/>
  <c r="O43" i="47"/>
  <c r="F918" i="47"/>
  <c r="O628" i="47"/>
  <c r="O198" i="47"/>
  <c r="O503" i="47"/>
  <c r="O757" i="47"/>
  <c r="O709" i="47"/>
  <c r="O658" i="47"/>
  <c r="O430" i="47"/>
  <c r="Q750" i="47"/>
  <c r="O233" i="47"/>
  <c r="O842" i="47"/>
  <c r="O463" i="47"/>
  <c r="Q91" i="47"/>
  <c r="Q99" i="47"/>
  <c r="O648" i="47"/>
  <c r="O64" i="47"/>
  <c r="O190" i="47"/>
  <c r="O244" i="47"/>
  <c r="O217" i="47"/>
  <c r="O651" i="47"/>
  <c r="O490" i="47"/>
  <c r="O205" i="47"/>
  <c r="O630" i="47"/>
  <c r="O682" i="47"/>
  <c r="Q918" i="47"/>
  <c r="O917" i="47"/>
  <c r="O915" i="47"/>
  <c r="Q914" i="47"/>
  <c r="F914" i="47"/>
  <c r="O913" i="47"/>
  <c r="Q910" i="47"/>
  <c r="O409" i="47"/>
  <c r="Q906" i="47"/>
  <c r="O905" i="47"/>
  <c r="O901" i="47"/>
  <c r="O292" i="47"/>
  <c r="O817" i="47"/>
  <c r="O321" i="47"/>
  <c r="O485" i="47"/>
  <c r="O524" i="47"/>
  <c r="O764" i="47"/>
  <c r="O208" i="47"/>
  <c r="O31" i="47"/>
  <c r="O47" i="47"/>
  <c r="O384" i="47"/>
  <c r="O523" i="47"/>
  <c r="O202" i="47"/>
  <c r="O563" i="47"/>
  <c r="O172" i="47"/>
  <c r="O801" i="47"/>
  <c r="O25" i="47"/>
  <c r="O897" i="47"/>
  <c r="O200" i="47"/>
  <c r="O677" i="47"/>
  <c r="O246" i="47"/>
  <c r="O281" i="47"/>
  <c r="O214" i="47"/>
  <c r="O181" i="47"/>
  <c r="O848" i="47"/>
  <c r="O632"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G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N312" i="47" s="1"/>
  <c r="P333" i="47"/>
  <c r="B436" i="47"/>
  <c r="C474" i="47"/>
  <c r="F598" i="47"/>
  <c r="F632"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C140" i="47"/>
  <c r="N140" i="47" s="1"/>
  <c r="P174" i="47"/>
  <c r="Q174" i="47" s="1"/>
  <c r="P257" i="47"/>
  <c r="P344" i="47"/>
  <c r="Q344" i="47" s="1"/>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H642" i="47" s="1"/>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Q324" i="47" s="1"/>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G347" i="47" s="1"/>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Q354" i="47" s="1"/>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H210" i="47" s="1"/>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K158" i="47" s="1"/>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F186" i="47"/>
  <c r="L186" i="47" s="1"/>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N128" i="47" s="1"/>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G212" i="47" s="1"/>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J284" i="47" s="1"/>
  <c r="B284" i="47"/>
  <c r="P287" i="47"/>
  <c r="C287" i="47"/>
  <c r="K287" i="47" s="1"/>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K425" i="47"/>
  <c r="P505" i="47"/>
  <c r="B505" i="47"/>
  <c r="K505" i="47" s="1"/>
  <c r="P676" i="47"/>
  <c r="P800" i="47"/>
  <c r="F800" i="47"/>
  <c r="J264" i="47"/>
  <c r="F309" i="47"/>
  <c r="B309" i="47"/>
  <c r="K309" i="47" s="1"/>
  <c r="O318" i="47"/>
  <c r="P510" i="47"/>
  <c r="O510" i="47"/>
  <c r="C510" i="47"/>
  <c r="M510" i="47" s="1"/>
  <c r="B510" i="47"/>
  <c r="P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L347" i="47" s="1"/>
  <c r="O350" i="47"/>
  <c r="F350" i="47"/>
  <c r="C359" i="47"/>
  <c r="F411" i="47"/>
  <c r="N411" i="47" s="1"/>
  <c r="I425" i="47"/>
  <c r="P430" i="47"/>
  <c r="Q430" i="47" s="1"/>
  <c r="C436" i="47"/>
  <c r="B444" i="47"/>
  <c r="O447" i="47"/>
  <c r="C450" i="47"/>
  <c r="I450" i="47" s="1"/>
  <c r="C466" i="47"/>
  <c r="J466" i="47" s="1"/>
  <c r="B502" i="47"/>
  <c r="P519" i="47"/>
  <c r="E519" i="47"/>
  <c r="B544" i="47"/>
  <c r="B550" i="47"/>
  <c r="G550" i="47" s="1"/>
  <c r="C553" i="47"/>
  <c r="K553" i="47" s="1"/>
  <c r="F557" i="47"/>
  <c r="O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K90" i="47"/>
  <c r="B93" i="47"/>
  <c r="P94" i="47"/>
  <c r="Q94" i="47" s="1"/>
  <c r="B99" i="47"/>
  <c r="O105" i="47"/>
  <c r="B106" i="47"/>
  <c r="V107" i="47"/>
  <c r="F114" i="47"/>
  <c r="B116" i="47"/>
  <c r="L117"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M32" i="47"/>
  <c r="M36" i="47"/>
  <c r="I37" i="47"/>
  <c r="M40" i="47"/>
  <c r="I41" i="47"/>
  <c r="M44" i="47"/>
  <c r="M48" i="47"/>
  <c r="Q55" i="47"/>
  <c r="M56" i="47"/>
  <c r="B59" i="47"/>
  <c r="I59" i="47" s="1"/>
  <c r="P60" i="47"/>
  <c r="H65" i="47"/>
  <c r="L67" i="47"/>
  <c r="F69" i="47"/>
  <c r="N69" i="47" s="1"/>
  <c r="F75" i="47"/>
  <c r="L75" i="47" s="1"/>
  <c r="N78" i="47"/>
  <c r="B82" i="47"/>
  <c r="I82" i="47" s="1"/>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K655" i="47" s="1"/>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M921" i="47" s="1"/>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M919" i="47" s="1"/>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M638" i="47" l="1"/>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<sst xmlns="http://schemas.openxmlformats.org/spreadsheetml/2006/main" count="28008" uniqueCount="10123">
  <si>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</si>
  <si>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</si>
  <si>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</si>
  <si>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</si>
  <si>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</si>
  <si>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</si>
  <si>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</si>
  <si>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</si>
  <si>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</si>
  <si>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</si>
  <si>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</si>
  <si>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</si>
  <si>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</si>
  <si>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</si>
  <si>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</si>
  <si>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</si>
  <si>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</si>
  <si>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</si>
  <si>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</si>
  <si>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</si>
  <si>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</si>
  <si>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</si>
  <si>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</si>
  <si>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</si>
  <si>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</si>
  <si>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</si>
  <si>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</si>
  <si>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</si>
  <si>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</si>
  <si>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</si>
  <si>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</si>
  <si>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</si>
  <si>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</si>
  <si>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</si>
  <si>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</si>
  <si>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</si>
  <si>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</si>
  <si>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</si>
  <si>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</si>
  <si>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</si>
  <si>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</si>
  <si>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</si>
  <si>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</si>
  <si>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</si>
  <si>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</si>
  <si>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</si>
  <si>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</si>
  <si>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</si>
  <si>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</si>
  <si>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</si>
  <si>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</si>
  <si>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</si>
  <si>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</si>
  <si>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</si>
  <si>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</si>
  <si>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</si>
  <si>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</si>
  <si>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</si>
  <si>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</si>
  <si>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</si>
  <si>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</si>
  <si>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</si>
  <si>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</si>
  <si>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</si>
  <si>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</si>
  <si>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</si>
  <si>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</si>
  <si>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</si>
  <si>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</si>
  <si>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</si>
  <si>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</si>
  <si>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</si>
  <si>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</si>
  <si>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</si>
  <si>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</si>
  <si>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</si>
  <si>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</si>
  <si>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</si>
  <si>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</si>
  <si>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</si>
  <si>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</si>
  <si>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</si>
  <si>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</si>
  <si>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</si>
  <si>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</si>
  <si>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</si>
  <si>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</si>
  <si>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</si>
  <si>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</si>
  <si>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</si>
  <si>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</si>
  <si>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</si>
  <si>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</si>
  <si>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</si>
  <si>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</si>
  <si>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</si>
  <si>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</si>
  <si>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</si>
  <si>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</si>
  <si>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</si>
  <si>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</si>
  <si>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</si>
  <si>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</si>
  <si>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</si>
  <si>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</si>
  <si>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</si>
  <si>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</si>
  <si>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</si>
  <si>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</si>
  <si>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</si>
  <si>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</si>
  <si>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</si>
  <si>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</si>
  <si>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</si>
  <si>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</si>
  <si>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</si>
  <si>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</si>
  <si>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</si>
  <si>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</si>
  <si>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</si>
  <si>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</si>
  <si>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</si>
  <si>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</si>
  <si>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</si>
  <si>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</si>
  <si>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</si>
  <si>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</si>
  <si>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</si>
  <si>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</si>
  <si>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</si>
  <si>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</si>
  <si>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</si>
  <si>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</si>
  <si>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</si>
  <si>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</si>
  <si>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</si>
  <si>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</si>
  <si>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</si>
  <si>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</si>
  <si>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</si>
  <si>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</si>
  <si>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</si>
  <si>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</si>
  <si>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</si>
  <si>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</si>
  <si>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</si>
  <si>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</si>
  <si>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</si>
  <si>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</si>
  <si>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</si>
  <si>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</si>
  <si>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</si>
  <si>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</si>
  <si>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</si>
  <si>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</si>
  <si>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</si>
  <si>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</si>
  <si>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</si>
  <si>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</si>
  <si>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</si>
  <si>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</si>
  <si>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</si>
  <si>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</si>
  <si>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</si>
  <si>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</si>
  <si>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</si>
  <si>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</si>
  <si>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</si>
  <si>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</si>
  <si>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</si>
  <si>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</si>
  <si>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</si>
  <si>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</si>
  <si>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</si>
  <si>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</si>
  <si>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</si>
  <si>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</si>
  <si>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</si>
  <si>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</si>
  <si>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</si>
  <si>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</si>
  <si>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</si>
  <si>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</si>
  <si>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</si>
  <si>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</si>
  <si>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</si>
  <si>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</si>
  <si>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</si>
  <si>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</si>
  <si>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</si>
  <si>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</si>
  <si>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</si>
  <si>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</si>
  <si>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</si>
  <si>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</si>
  <si>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</si>
  <si>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</si>
  <si>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</si>
  <si>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</si>
  <si>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</si>
  <si>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</si>
  <si>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</si>
  <si>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</si>
  <si>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</si>
  <si>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</si>
  <si>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</si>
  <si>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</si>
  <si>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</si>
  <si>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</si>
  <si>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</si>
  <si>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</si>
  <si>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</si>
  <si>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</si>
  <si>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</si>
  <si>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</si>
  <si>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</si>
  <si>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</si>
  <si>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</si>
  <si>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</si>
  <si>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</si>
  <si>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</si>
  <si>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</si>
  <si>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</si>
  <si>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</si>
  <si>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</si>
  <si>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</si>
  <si>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</si>
  <si>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</si>
  <si>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</si>
  <si>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</si>
  <si>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</si>
  <si>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</si>
  <si>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</si>
  <si>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</si>
  <si>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</si>
  <si>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</si>
  <si>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</si>
  <si>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</si>
  <si>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</si>
  <si>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</si>
  <si>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</si>
  <si>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</si>
  <si>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</si>
  <si>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</si>
  <si>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</si>
  <si>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</si>
  <si>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</si>
  <si>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</si>
  <si>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</si>
  <si>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</si>
  <si>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</si>
  <si>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</si>
  <si>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</si>
  <si>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</si>
  <si>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</si>
  <si>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</si>
  <si>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</si>
  <si>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</si>
  <si>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</si>
  <si>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</si>
  <si>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</si>
  <si>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</si>
  <si>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</si>
  <si>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</si>
  <si>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</si>
  <si>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</si>
  <si>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</si>
  <si>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</si>
  <si>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</si>
  <si>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</si>
  <si>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</si>
  <si>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</si>
  <si>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</si>
  <si>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</si>
  <si>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</si>
  <si>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</si>
  <si>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</si>
  <si>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</si>
  <si>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</si>
  <si>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</si>
  <si>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</si>
  <si>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</si>
  <si>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</si>
  <si>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</si>
  <si>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</si>
  <si>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</si>
  <si>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</si>
  <si>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</si>
  <si>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</si>
  <si>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</si>
  <si>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</si>
  <si>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</si>
  <si>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</si>
  <si>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</si>
  <si>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</si>
  <si>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</si>
  <si>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</si>
  <si>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</si>
  <si>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</si>
  <si>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</si>
  <si>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</si>
  <si>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</si>
  <si>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</si>
  <si>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</si>
  <si>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</si>
  <si>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</si>
  <si>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</si>
  <si>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</si>
  <si>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</si>
  <si>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</si>
  <si>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</si>
  <si>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</si>
  <si>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</si>
  <si>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</si>
  <si>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</si>
  <si>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</si>
  <si>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</si>
  <si>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</si>
  <si>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</si>
  <si>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</si>
  <si>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</si>
  <si>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</si>
  <si>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</si>
  <si>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</si>
  <si>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</si>
  <si>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</si>
  <si>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</si>
  <si>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</si>
  <si>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</si>
  <si>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</si>
  <si>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</si>
  <si>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</si>
  <si>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</si>
  <si>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</si>
  <si>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</si>
  <si>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</si>
  <si>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</si>
  <si>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</si>
  <si>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</si>
  <si>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</si>
  <si>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</si>
  <si>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</si>
  <si>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</si>
  <si>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</si>
  <si>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</si>
  <si>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</si>
  <si>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</si>
  <si>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</si>
  <si>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</si>
  <si>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</si>
  <si>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</si>
  <si>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</si>
  <si>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</si>
  <si>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</si>
  <si>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</si>
  <si>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</si>
  <si>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</si>
  <si>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</si>
  <si>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</si>
  <si>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</si>
  <si>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</si>
  <si>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</si>
  <si>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</si>
  <si>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</si>
  <si>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</si>
  <si>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</si>
  <si>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</si>
  <si>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</si>
  <si>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</si>
  <si>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</si>
  <si>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</si>
  <si>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</si>
  <si>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</si>
  <si>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</si>
  <si>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</si>
  <si>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</si>
  <si>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</si>
  <si>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</si>
  <si>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</si>
  <si>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</si>
  <si>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</si>
  <si>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</si>
  <si>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</si>
  <si>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</si>
  <si>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</si>
  <si>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</si>
  <si>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</si>
  <si>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</si>
  <si>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</si>
  <si>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</si>
  <si>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</si>
  <si>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</si>
  <si>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</si>
  <si>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</si>
  <si>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</si>
  <si>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</si>
  <si>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</si>
  <si>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</si>
  <si>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</si>
  <si>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</si>
  <si>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</si>
  <si>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</si>
  <si>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</si>
  <si>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</si>
  <si>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</si>
  <si>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</si>
  <si>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</si>
  <si>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</si>
  <si>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</si>
  <si>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</si>
  <si>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</si>
  <si>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</si>
  <si>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</si>
  <si>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</si>
  <si>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</si>
  <si>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</si>
  <si>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</si>
  <si>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</si>
  <si>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</si>
  <si>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</si>
  <si>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</si>
  <si>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</si>
  <si>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</si>
  <si>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</si>
  <si>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</si>
  <si>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</si>
  <si>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</si>
  <si>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</si>
  <si>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</si>
  <si>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</si>
  <si>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</si>
  <si>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</si>
  <si>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</si>
  <si>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</si>
  <si>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</si>
  <si>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</si>
  <si>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</si>
  <si>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</si>
  <si>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</si>
  <si>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</si>
  <si>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</si>
  <si>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</si>
  <si>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</si>
  <si>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</si>
  <si>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</si>
  <si>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</si>
  <si>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</si>
  <si>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</si>
  <si>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</si>
  <si>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</si>
  <si>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</si>
  <si>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</si>
  <si>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</si>
  <si>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</si>
  <si>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</si>
  <si>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</si>
  <si>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</si>
  <si>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</si>
  <si>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</si>
  <si>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</si>
  <si>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</si>
  <si>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</si>
  <si>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</si>
  <si>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</si>
  <si>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</si>
  <si>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</si>
  <si>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</si>
  <si>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</si>
  <si>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</si>
  <si>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</si>
  <si>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</si>
  <si>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</si>
  <si>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</si>
  <si>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</si>
  <si>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</si>
  <si>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</si>
  <si>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</si>
  <si>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</si>
  <si>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</si>
  <si>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</si>
  <si>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</si>
  <si>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</si>
  <si>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</si>
  <si>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</si>
  <si>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</si>
  <si>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</si>
  <si>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</si>
  <si>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</si>
  <si>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</si>
  <si>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</si>
  <si>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</si>
  <si>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</si>
  <si>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</si>
  <si>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</si>
  <si>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</si>
  <si>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</si>
  <si>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</si>
  <si>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</si>
  <si>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</si>
  <si>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</si>
  <si>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</si>
  <si>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</si>
  <si>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</si>
  <si>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</si>
  <si>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</si>
  <si>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</si>
  <si>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</si>
  <si>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</si>
  <si>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</si>
  <si>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</si>
  <si>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</si>
  <si>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</si>
  <si>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</si>
  <si>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</si>
  <si>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</si>
  <si>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</si>
  <si>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</si>
  <si>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</si>
  <si>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</si>
  <si>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</si>
  <si>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</si>
  <si>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</si>
  <si>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</si>
  <si>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</si>
  <si>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</si>
  <si>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</si>
  <si>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</si>
  <si>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</si>
  <si>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</si>
  <si>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</si>
  <si>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</si>
  <si>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</si>
  <si>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</si>
  <si>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</si>
  <si>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</si>
  <si>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</si>
  <si>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</si>
  <si>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</si>
  <si>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</si>
  <si>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</si>
  <si>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</si>
  <si>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</si>
  <si>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</si>
  <si>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</si>
  <si>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</si>
  <si>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</si>
  <si>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</si>
  <si>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</si>
  <si>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</si>
  <si>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</si>
  <si>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</si>
  <si>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</si>
  <si>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</si>
  <si>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</si>
  <si>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</si>
  <si>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</si>
  <si>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</si>
  <si>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</si>
  <si>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</si>
  <si>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</si>
  <si>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</si>
  <si>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</si>
  <si>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</si>
  <si>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</si>
  <si>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</si>
  <si>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</si>
  <si>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</si>
  <si>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</si>
  <si>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</si>
  <si>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</si>
  <si>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</si>
  <si>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</si>
  <si>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</si>
  <si>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</si>
  <si>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</si>
  <si>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</si>
  <si>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</si>
  <si>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</si>
  <si>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</si>
  <si>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</si>
  <si>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</si>
  <si>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</si>
  <si>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</si>
  <si>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</si>
  <si>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</si>
  <si>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</si>
  <si>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</si>
  <si>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</si>
  <si>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</si>
  <si>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</si>
  <si>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</si>
  <si>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</si>
  <si>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</si>
  <si>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</si>
  <si>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</si>
  <si>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</si>
  <si>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</si>
  <si>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</si>
  <si>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</si>
  <si>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</si>
  <si>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</si>
  <si>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</si>
  <si>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</si>
  <si>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</si>
  <si>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</si>
  <si>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</si>
  <si>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</si>
  <si>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</si>
  <si>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</si>
  <si>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</si>
  <si>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</si>
  <si>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</si>
  <si>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</si>
  <si>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</si>
  <si>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</si>
  <si>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</si>
  <si>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</si>
  <si>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</si>
  <si>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</si>
  <si>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</si>
  <si>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</si>
  <si>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</si>
  <si>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</si>
  <si>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</si>
  <si>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</si>
  <si>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</si>
  <si>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</si>
  <si>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</si>
  <si>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</si>
  <si>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</si>
  <si>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</si>
  <si>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</si>
  <si>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</si>
  <si>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</si>
  <si>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</si>
  <si>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</si>
  <si>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</si>
  <si>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</si>
  <si>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</si>
  <si>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</si>
  <si>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</si>
  <si>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</si>
  <si>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</si>
  <si>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</si>
  <si>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</si>
  <si>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</si>
  <si>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</si>
  <si>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</si>
  <si>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</si>
  <si>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</si>
  <si>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</si>
  <si>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</si>
  <si>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</si>
  <si>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</si>
  <si>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</si>
  <si>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</si>
  <si>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</si>
  <si>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</si>
  <si>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</si>
  <si>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</si>
  <si>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</si>
  <si>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</si>
  <si>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</si>
  <si>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</si>
  <si>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</si>
  <si>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</si>
  <si>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</si>
  <si>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</si>
  <si>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</si>
  <si>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</si>
  <si>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</si>
  <si>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</si>
  <si>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</si>
  <si>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</si>
  <si>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</si>
  <si>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</si>
  <si>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</si>
  <si>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</si>
  <si>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</si>
  <si>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</si>
  <si>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</si>
  <si>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</si>
  <si>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</si>
  <si>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</si>
  <si>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</si>
  <si>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</si>
  <si>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</si>
  <si>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</si>
  <si>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</si>
  <si>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</si>
  <si>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</si>
  <si>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</si>
  <si>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</si>
  <si>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</si>
  <si>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</si>
  <si>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</si>
  <si>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</si>
  <si>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</si>
  <si>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</si>
  <si>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</si>
  <si>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</si>
  <si>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</si>
  <si>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</si>
  <si>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</si>
  <si>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</si>
  <si>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</si>
  <si>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</si>
  <si>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</si>
  <si>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</si>
  <si>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</si>
  <si>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</si>
  <si>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</si>
  <si>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</si>
  <si>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</si>
  <si>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</si>
  <si>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</si>
  <si>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</si>
  <si>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</si>
  <si>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</si>
  <si>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</si>
  <si>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</si>
  <si>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</si>
  <si>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</si>
  <si>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</si>
  <si>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</si>
  <si>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</si>
  <si>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</si>
  <si>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</si>
  <si>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</si>
  <si>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</si>
  <si>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</si>
  <si>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</si>
  <si>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</si>
  <si>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</si>
  <si>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</si>
  <si>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</si>
  <si>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</si>
  <si>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</si>
  <si>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</si>
  <si>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</si>
  <si>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</si>
  <si>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</si>
  <si>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</si>
  <si>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</si>
  <si>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</si>
  <si>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</si>
  <si>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</si>
  <si>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</si>
  <si>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</si>
  <si>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</si>
  <si>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</si>
  <si>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</si>
  <si>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</si>
  <si>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</si>
  <si>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</si>
  <si>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</si>
  <si>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</si>
  <si>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</si>
  <si>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</si>
  <si>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</si>
  <si>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</si>
  <si>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</si>
  <si>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</si>
  <si>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</si>
  <si>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</si>
  <si>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</si>
  <si>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</si>
  <si>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</si>
  <si>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</si>
  <si>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</si>
  <si>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</si>
  <si>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</si>
  <si>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</si>
  <si>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</si>
  <si>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</si>
  <si>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</si>
  <si>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</si>
  <si>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</si>
  <si>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</si>
  <si>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</si>
  <si>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</si>
  <si>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</si>
  <si>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</si>
  <si>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</si>
  <si>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</si>
  <si>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</si>
  <si>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</si>
  <si>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</si>
  <si>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</si>
  <si>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</si>
  <si>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</si>
  <si>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</si>
  <si>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</si>
  <si>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</si>
  <si>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</si>
  <si>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</si>
  <si>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</si>
  <si>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</si>
  <si>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</si>
  <si>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</si>
  <si>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</si>
  <si>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</si>
  <si>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</si>
  <si>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</si>
  <si>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</si>
  <si>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</si>
  <si>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</si>
  <si>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</si>
  <si>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</si>
  <si>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</si>
  <si>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</si>
  <si>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</si>
  <si>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</si>
  <si>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</si>
  <si>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</si>
  <si>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</si>
  <si>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</si>
  <si>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</si>
  <si>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</si>
  <si>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</si>
  <si>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</si>
  <si>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</si>
  <si>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</si>
  <si>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</si>
  <si>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</si>
  <si>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</si>
  <si>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</si>
  <si>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</si>
  <si>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</si>
  <si>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</si>
  <si>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</si>
  <si>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</si>
  <si>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</si>
  <si>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</si>
  <si>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</si>
  <si>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</si>
  <si>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</si>
  <si>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</si>
  <si>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</si>
  <si>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</si>
  <si>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</si>
  <si>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</si>
  <si>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</si>
  <si>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</si>
  <si>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</si>
  <si>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</si>
  <si>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</si>
  <si>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</si>
  <si>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</si>
  <si>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</si>
  <si>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</si>
  <si>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</si>
  <si>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</si>
  <si>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</si>
  <si>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</si>
  <si>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</si>
  <si>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</si>
  <si>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</si>
  <si>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</si>
  <si>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</si>
  <si>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</si>
  <si>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</si>
  <si>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</si>
  <si>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</si>
  <si>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</si>
  <si>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</si>
  <si>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</si>
  <si>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</si>
  <si>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</si>
  <si>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</si>
  <si>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</si>
  <si>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</si>
  <si>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</si>
  <si>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</si>
  <si>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</si>
  <si>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</si>
  <si>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</si>
  <si>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</si>
  <si>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</si>
  <si>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</si>
  <si>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</si>
  <si>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</si>
  <si>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</si>
  <si>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</si>
  <si>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</si>
  <si>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</si>
  <si>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</si>
  <si>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</si>
  <si>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</si>
  <si>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</si>
  <si>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</si>
  <si>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</si>
  <si>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</si>
  <si>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</si>
  <si>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</si>
  <si>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</si>
  <si>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</si>
  <si>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</si>
  <si>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</si>
  <si>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</si>
  <si>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</si>
  <si>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</si>
  <si>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</si>
  <si>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</si>
  <si>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</si>
  <si>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</si>
  <si>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</si>
  <si>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</si>
  <si>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</si>
  <si>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</si>
  <si>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</si>
  <si>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</si>
  <si>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</si>
  <si>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</si>
  <si>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</si>
  <si>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</si>
  <si>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</si>
  <si>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</si>
  <si>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</si>
  <si>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</si>
  <si>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</si>
  <si>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</si>
  <si>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</si>
  <si>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</si>
  <si>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</si>
  <si>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</si>
  <si>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</si>
  <si>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</si>
  <si>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</si>
  <si>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</si>
  <si>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</si>
  <si>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</si>
  <si>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</si>
  <si>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</si>
  <si>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</si>
  <si>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</si>
  <si>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</si>
  <si>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</si>
  <si>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</si>
  <si>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</si>
  <si>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</si>
  <si>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</si>
  <si>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</si>
  <si>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</si>
  <si>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</si>
  <si>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</si>
  <si>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</si>
  <si>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</si>
  <si>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</si>
  <si>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</si>
  <si>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</si>
  <si>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</si>
  <si>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</si>
  <si>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</si>
  <si>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</si>
  <si>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</si>
  <si>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</si>
  <si>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</si>
  <si>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</si>
  <si>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</si>
  <si>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</si>
  <si>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</si>
  <si>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</si>
  <si>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</si>
  <si>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</si>
  <si>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</si>
  <si>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</si>
  <si>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</si>
  <si>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</si>
  <si>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</si>
  <si>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</si>
  <si>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</si>
  <si>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</si>
  <si>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</si>
  <si>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</si>
  <si>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</si>
  <si>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</si>
  <si>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</si>
  <si>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</si>
  <si>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</si>
  <si>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</si>
  <si>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</si>
  <si>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</si>
  <si>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</si>
  <si>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</si>
  <si>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</si>
  <si>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</si>
  <si>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</si>
  <si>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</si>
  <si>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</si>
  <si>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</si>
  <si>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</si>
  <si>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</si>
  <si>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</si>
  <si>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</si>
  <si>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</si>
  <si>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</si>
  <si>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</si>
  <si>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</si>
  <si>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</si>
  <si>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</si>
  <si>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</si>
  <si>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</si>
  <si>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</si>
  <si>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</si>
  <si>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</si>
  <si>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</si>
  <si>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</si>
  <si>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</si>
  <si>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</si>
  <si>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</si>
  <si>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</si>
  <si>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</si>
  <si>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</si>
  <si>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</si>
  <si>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</si>
  <si>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</si>
  <si>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</si>
  <si>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</si>
  <si>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</si>
  <si>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</si>
  <si>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</si>
  <si>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</si>
  <si>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</si>
  <si>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</si>
  <si>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</si>
  <si>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</si>
  <si>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</si>
  <si>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</si>
  <si>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</si>
  <si>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</si>
  <si>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</si>
  <si>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</si>
  <si>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</si>
  <si>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</si>
  <si>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</si>
  <si>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</si>
  <si>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</si>
  <si>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</si>
  <si>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</si>
  <si>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</si>
  <si>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</si>
  <si>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</si>
  <si>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</si>
  <si>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</si>
  <si>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</si>
  <si>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</si>
  <si>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</si>
  <si>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</si>
  <si>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</si>
  <si>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</si>
  <si>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</si>
  <si>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</si>
  <si>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</si>
  <si>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</si>
  <si>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</si>
  <si>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</si>
  <si>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</si>
  <si>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</si>
  <si>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</si>
  <si>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</si>
  <si>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</si>
  <si>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</si>
  <si>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</si>
  <si>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</si>
  <si>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</si>
  <si>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</si>
  <si>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</si>
  <si>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</si>
  <si>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</si>
  <si>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</si>
  <si>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</si>
  <si>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</si>
  <si>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</si>
  <si>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</si>
  <si>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</si>
  <si>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</si>
  <si>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</si>
  <si>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</si>
  <si>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</si>
  <si>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</si>
  <si>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</si>
  <si>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</si>
  <si>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</si>
  <si>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</si>
  <si>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</si>
  <si>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</si>
  <si>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</si>
  <si>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</si>
  <si>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</si>
  <si>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</si>
  <si>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</si>
  <si>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</si>
  <si>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</si>
  <si>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</si>
  <si>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</si>
  <si>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</si>
  <si>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</si>
  <si>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</si>
  <si>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</si>
  <si>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</si>
  <si>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</si>
  <si>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</si>
  <si>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</si>
  <si>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</si>
  <si>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</si>
  <si>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</si>
  <si>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</si>
  <si>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</si>
  <si>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</si>
  <si>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</si>
  <si>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</si>
  <si>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</si>
  <si>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</si>
  <si>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</si>
  <si>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</si>
  <si>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</si>
  <si>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</si>
  <si>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</si>
  <si>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</si>
  <si>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</si>
  <si>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</si>
  <si>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</si>
  <si>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</si>
  <si>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</si>
  <si>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</si>
  <si>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</si>
  <si>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</si>
  <si>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</si>
  <si>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</si>
  <si>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</si>
  <si>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</si>
  <si>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</si>
  <si>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</si>
  <si>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</si>
  <si>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</si>
  <si>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</si>
  <si>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</si>
  <si>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</si>
  <si>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</si>
  <si>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</si>
  <si>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</si>
  <si>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</si>
  <si>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</si>
  <si>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</si>
  <si>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</si>
  <si>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</si>
  <si>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</si>
  <si>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</si>
  <si>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</si>
  <si>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</si>
  <si>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</si>
  <si>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</si>
  <si>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</si>
  <si>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</si>
  <si>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</si>
  <si>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</si>
  <si>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</si>
  <si>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</si>
  <si>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</si>
  <si>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</si>
  <si>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</si>
  <si>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</si>
  <si>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</si>
  <si>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</si>
  <si>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</si>
  <si>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</si>
  <si>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</si>
  <si>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</si>
  <si>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</si>
  <si>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</si>
  <si>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</si>
  <si>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</si>
  <si>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</si>
  <si>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</si>
  <si>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</si>
  <si>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</si>
  <si>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</si>
  <si>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</si>
  <si>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</si>
  <si>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</si>
  <si>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</si>
  <si>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</si>
  <si>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</si>
  <si>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</si>
  <si>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</si>
  <si>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</si>
  <si>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</si>
  <si>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</si>
  <si>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</si>
  <si>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</si>
  <si>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</si>
  <si>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</si>
  <si>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</si>
  <si>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</si>
  <si>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</si>
  <si>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</si>
  <si>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</si>
  <si>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</si>
  <si>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</si>
  <si>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</si>
  <si>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</si>
  <si>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</si>
  <si>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</si>
  <si>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</si>
  <si>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</si>
  <si>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</si>
  <si>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</si>
  <si>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</si>
  <si>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</si>
  <si>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</si>
  <si>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</si>
  <si>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</si>
  <si>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</si>
  <si>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</si>
  <si>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</si>
  <si>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</si>
  <si>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</si>
  <si>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</si>
  <si>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</si>
  <si>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</si>
  <si>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</si>
  <si>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</si>
  <si>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</si>
  <si>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</si>
  <si>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</si>
  <si>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</si>
  <si>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</si>
  <si>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</si>
  <si>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</si>
  <si>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</si>
  <si>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</si>
  <si>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</si>
  <si>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</si>
  <si>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</si>
  <si>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</si>
  <si>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</si>
  <si>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</si>
  <si>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</si>
  <si>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</si>
  <si>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</si>
  <si>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</si>
  <si>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</si>
  <si>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</si>
  <si>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</si>
  <si>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</si>
  <si>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</si>
  <si>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</si>
  <si>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</si>
  <si>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</si>
  <si>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</si>
  <si>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</si>
  <si>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</si>
  <si>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</si>
  <si>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</si>
  <si>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</si>
  <si>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</si>
  <si>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</si>
  <si>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</si>
  <si>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</si>
  <si>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</si>
  <si>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</si>
  <si>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</si>
  <si>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</si>
  <si>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</si>
  <si>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</si>
  <si>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</si>
  <si>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</si>
  <si>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</si>
  <si>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</si>
  <si>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</si>
  <si>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</si>
  <si>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</si>
  <si>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</si>
  <si>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</si>
  <si>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</si>
  <si>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</si>
  <si>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</si>
  <si>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</si>
  <si>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</si>
  <si>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</si>
  <si>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</si>
  <si>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</si>
  <si>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</si>
  <si>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</si>
  <si>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</si>
  <si>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</si>
  <si>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</si>
  <si>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</si>
  <si>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</si>
  <si>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</si>
  <si>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</si>
  <si>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</si>
  <si>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</si>
  <si>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</si>
  <si>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</si>
  <si>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</si>
  <si>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</si>
  <si>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</si>
  <si>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</si>
  <si>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</si>
  <si>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</si>
  <si>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</si>
  <si>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</si>
  <si>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</si>
  <si>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</si>
  <si>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</si>
  <si>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</si>
  <si>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</si>
  <si>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</si>
  <si>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</si>
  <si>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</si>
  <si>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</si>
  <si>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</si>
  <si>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</si>
  <si>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</si>
  <si>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</si>
  <si>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</si>
  <si>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</si>
  <si>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</si>
  <si>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</si>
  <si>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</si>
  <si>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</si>
  <si>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</si>
  <si>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</si>
  <si>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</si>
  <si>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</si>
  <si>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</si>
  <si>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</si>
  <si>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</si>
  <si>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</si>
  <si>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</si>
  <si>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</si>
  <si>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</si>
  <si>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</si>
  <si>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</si>
  <si>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</si>
  <si>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</si>
  <si>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</si>
  <si>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</si>
  <si>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</si>
  <si>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</si>
  <si>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</si>
  <si>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</si>
  <si>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</si>
  <si>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</si>
  <si>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</si>
  <si>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</si>
  <si>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</si>
  <si>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</si>
  <si>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</si>
  <si>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</si>
  <si>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</si>
  <si>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</si>
  <si>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</si>
  <si>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</si>
  <si>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</si>
  <si>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</si>
  <si>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</si>
  <si>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</si>
  <si>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</si>
  <si>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</si>
  <si>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</si>
  <si>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</si>
  <si>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</si>
  <si>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</si>
  <si>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</si>
  <si>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</si>
  <si>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</si>
  <si>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</si>
  <si>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</si>
  <si>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</si>
  <si>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</si>
  <si>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</si>
  <si>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</si>
  <si>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</si>
  <si>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</si>
  <si>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</si>
  <si>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</si>
  <si>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</si>
  <si>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</si>
  <si>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</si>
  <si>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</si>
  <si>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</si>
  <si>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</si>
  <si>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</si>
  <si>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</si>
  <si>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</si>
  <si>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</si>
  <si>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</si>
  <si>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</si>
  <si>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</si>
  <si>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</si>
  <si>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</si>
  <si>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</si>
  <si>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</si>
  <si>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</si>
  <si>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</si>
  <si>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</si>
  <si>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</si>
  <si>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</si>
  <si>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</si>
  <si>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</si>
  <si>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</si>
  <si>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</si>
  <si>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</si>
  <si>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</si>
  <si>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</si>
  <si>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</si>
  <si>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</si>
  <si>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</si>
  <si>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</si>
  <si>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</si>
  <si>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</si>
  <si>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</si>
  <si>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</si>
  <si>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</si>
  <si>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</si>
  <si>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</si>
  <si>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</si>
  <si>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</si>
  <si>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</si>
  <si>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</si>
  <si>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</si>
  <si>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</si>
  <si>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</si>
  <si>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</si>
  <si>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</si>
  <si>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</si>
  <si>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</si>
  <si>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</si>
  <si>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</si>
  <si>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</si>
  <si>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</si>
  <si>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</si>
  <si>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</si>
  <si>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</si>
  <si>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</si>
  <si>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</si>
  <si>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</si>
  <si>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</si>
  <si>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</si>
  <si>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</si>
  <si>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</si>
  <si>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</si>
  <si>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</si>
  <si>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</si>
  <si>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</si>
  <si>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</si>
  <si>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</si>
  <si>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</si>
  <si>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</si>
  <si>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</si>
  <si>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</si>
  <si>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</si>
  <si>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</si>
  <si>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</si>
  <si>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</si>
  <si>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</si>
  <si>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</si>
  <si>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</si>
  <si>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</si>
  <si>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</si>
  <si>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</si>
  <si>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</si>
  <si>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</si>
  <si>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</si>
  <si>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</si>
  <si>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</si>
  <si>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</si>
  <si>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</si>
  <si>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</si>
  <si>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</si>
  <si>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</si>
  <si>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</si>
  <si>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</si>
  <si>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</si>
  <si>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</si>
  <si>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</si>
  <si>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</si>
  <si>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</si>
  <si>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</si>
  <si>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</si>
  <si>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</si>
  <si>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</si>
  <si>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</si>
  <si>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</si>
  <si>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</si>
  <si>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</si>
  <si>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</si>
  <si>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</si>
  <si>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</si>
  <si>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</si>
  <si>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</si>
  <si>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</si>
  <si>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</si>
  <si>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</si>
  <si>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</si>
  <si>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</si>
  <si>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</si>
  <si>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</si>
  <si>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</si>
  <si>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</si>
  <si>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</si>
  <si>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</si>
  <si>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</si>
  <si>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</si>
  <si>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</si>
  <si>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</si>
  <si>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</si>
  <si>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</si>
  <si>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</si>
  <si>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</si>
  <si>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</si>
  <si>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</si>
  <si>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</si>
  <si>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</si>
  <si>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</si>
  <si>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</si>
  <si>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</si>
  <si>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</si>
  <si>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</si>
  <si>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</si>
  <si>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</si>
  <si>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</si>
  <si>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</si>
  <si>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</si>
  <si>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</si>
  <si>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</si>
  <si>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</si>
  <si>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</si>
  <si>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</si>
  <si>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</si>
  <si>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</si>
  <si>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</si>
  <si>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</si>
  <si>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</si>
  <si>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</si>
  <si>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</si>
  <si>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</si>
  <si>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</si>
  <si>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</si>
  <si>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</si>
  <si>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</si>
  <si>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</si>
  <si>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</si>
  <si>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</si>
  <si>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</si>
  <si>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</si>
  <si>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</si>
  <si>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</si>
  <si>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</si>
  <si>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</si>
  <si>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</si>
  <si>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</si>
  <si>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</si>
  <si>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</si>
  <si>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</si>
  <si>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</si>
  <si>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</si>
  <si>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</si>
  <si>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</si>
  <si>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</si>
  <si>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</si>
  <si>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</si>
  <si>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</si>
  <si>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</si>
  <si>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</si>
  <si>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</si>
  <si>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</si>
  <si>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</si>
  <si>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</si>
  <si>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</si>
  <si>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</si>
  <si>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</si>
  <si>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</si>
  <si>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</si>
  <si>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</si>
  <si>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</si>
  <si>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</si>
  <si>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</si>
  <si>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</si>
  <si>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</si>
  <si>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</si>
  <si>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</si>
  <si>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</si>
  <si>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</si>
  <si>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</si>
  <si>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</si>
  <si>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</si>
  <si>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</si>
  <si>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</si>
  <si>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</si>
  <si>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</si>
  <si>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</si>
  <si>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</si>
  <si>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</si>
  <si>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</si>
  <si>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</si>
  <si>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</si>
  <si>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</si>
  <si>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</si>
  <si>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</si>
  <si>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</si>
  <si>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</si>
  <si>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</si>
  <si>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</si>
  <si>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</si>
  <si>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</si>
  <si>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</si>
  <si>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</si>
  <si>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</si>
  <si>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</si>
  <si>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</si>
  <si>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</si>
  <si>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</si>
  <si>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</si>
  <si>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</si>
  <si>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</si>
  <si>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</si>
  <si>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</si>
  <si>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</si>
  <si>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</si>
  <si>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</si>
  <si>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</si>
  <si>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</si>
  <si>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</si>
  <si>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</si>
  <si>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</si>
  <si>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</si>
  <si>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</si>
  <si>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</si>
  <si>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</si>
  <si>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</si>
  <si>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</si>
  <si>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</si>
  <si>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</si>
  <si>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</si>
  <si>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</si>
  <si>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</si>
  <si>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</si>
  <si>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</si>
  <si>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</si>
  <si>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</si>
  <si>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</si>
  <si>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</si>
  <si>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</si>
  <si>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</si>
  <si>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</si>
  <si>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</si>
  <si>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</si>
  <si>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</si>
  <si>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</si>
  <si>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</si>
  <si>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</si>
  <si>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</si>
  <si>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</si>
  <si>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</si>
  <si>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</si>
  <si>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</si>
  <si>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</si>
  <si>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</si>
  <si>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</si>
  <si>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</si>
  <si>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</si>
  <si>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</si>
  <si>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</si>
  <si>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</si>
  <si>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</si>
  <si>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</si>
  <si>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</si>
  <si>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</si>
  <si>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</si>
  <si>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</si>
  <si>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</si>
  <si>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</si>
  <si>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</si>
  <si>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</si>
  <si>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</si>
  <si>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</si>
  <si>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</si>
  <si>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</si>
  <si>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</si>
  <si>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</si>
  <si>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</si>
  <si>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</si>
  <si>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</si>
  <si>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</si>
  <si>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</si>
  <si>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</si>
  <si>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</si>
  <si>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</si>
  <si>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</si>
  <si>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</si>
  <si>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</si>
  <si>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</si>
  <si>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</si>
  <si>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</si>
  <si>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</si>
  <si>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</si>
  <si>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</si>
  <si>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</si>
  <si>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</si>
  <si>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</si>
  <si>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</si>
  <si>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</si>
  <si>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</si>
  <si>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</si>
  <si>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</si>
  <si>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</si>
  <si>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</si>
  <si>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</si>
  <si>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</si>
  <si>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</si>
  <si>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</si>
  <si>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</si>
  <si>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</si>
  <si>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</si>
  <si>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</si>
  <si>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</si>
  <si>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</si>
  <si>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</si>
  <si>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</si>
  <si>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</si>
  <si>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</si>
  <si>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</si>
  <si>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</si>
  <si>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</si>
  <si>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</si>
  <si>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</si>
  <si>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</si>
  <si>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</si>
  <si>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</si>
  <si>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</si>
  <si>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</si>
  <si>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</si>
  <si>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</si>
  <si>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</si>
  <si>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</si>
  <si>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</si>
  <si>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</si>
  <si>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</si>
  <si>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</si>
  <si>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</si>
  <si>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</si>
  <si>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</si>
  <si>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</si>
  <si>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</si>
  <si>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</si>
  <si>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</si>
  <si>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</si>
  <si>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</si>
  <si>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</si>
  <si>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</si>
  <si>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</si>
  <si>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</si>
  <si>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</si>
  <si>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</si>
  <si>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</si>
  <si>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</si>
  <si>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</si>
  <si>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</si>
  <si>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</si>
  <si>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</si>
  <si>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</si>
  <si>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</si>
  <si>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</si>
  <si>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</si>
  <si>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</si>
  <si>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</si>
  <si>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</si>
  <si>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</si>
  <si>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</si>
  <si>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</si>
  <si>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</si>
  <si>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</si>
  <si>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</si>
  <si>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</si>
  <si>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</si>
  <si>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</si>
  <si>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</si>
  <si>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</si>
  <si>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</si>
  <si>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</si>
  <si>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</si>
  <si>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</si>
  <si>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</si>
  <si>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</si>
  <si>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</si>
  <si>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</si>
  <si>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</si>
  <si>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</si>
  <si>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</si>
  <si>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</si>
  <si>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</si>
  <si>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</si>
  <si>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</si>
  <si>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</si>
  <si>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</si>
  <si>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</si>
  <si>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</si>
  <si>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</si>
  <si>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</si>
  <si>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</si>
  <si>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</si>
  <si>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</si>
  <si>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</si>
  <si>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</si>
  <si>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</si>
  <si>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</si>
  <si>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</si>
  <si>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</si>
  <si>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</si>
  <si>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</si>
  <si>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</si>
  <si>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</si>
  <si>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</si>
  <si>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</si>
  <si>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</si>
  <si>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</si>
  <si>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</si>
  <si>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</si>
  <si>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</si>
  <si>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</si>
  <si>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</si>
  <si>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</si>
  <si>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</si>
  <si>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</si>
  <si>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</si>
  <si>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</si>
  <si>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</si>
  <si>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</si>
  <si>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</si>
  <si>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</si>
  <si>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</si>
  <si>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</si>
  <si>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</si>
  <si>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</si>
  <si>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</si>
  <si>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</si>
  <si>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</si>
  <si>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</si>
  <si>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</si>
  <si>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</si>
  <si>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</si>
  <si>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</si>
  <si>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</si>
  <si>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</si>
  <si>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</si>
  <si>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</si>
  <si>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</si>
  <si>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</si>
  <si>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</si>
  <si>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</si>
  <si>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</si>
  <si>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</si>
  <si>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</si>
  <si>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</si>
  <si>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</si>
  <si>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</si>
  <si>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</si>
  <si>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</si>
  <si>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</si>
  <si>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</si>
  <si>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</si>
  <si>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</si>
  <si>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</si>
  <si>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</si>
  <si>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</si>
  <si>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</si>
  <si>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</si>
  <si>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</si>
  <si>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</si>
  <si>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</si>
  <si>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</si>
  <si>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</si>
  <si>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</si>
  <si>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</si>
  <si>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</si>
  <si>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</si>
  <si>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</si>
  <si>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</si>
  <si>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</si>
  <si>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</si>
  <si>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</si>
  <si>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</si>
  <si>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</si>
  <si>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</si>
  <si>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</si>
  <si>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</si>
  <si>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</si>
  <si>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</si>
  <si>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</si>
  <si>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</si>
  <si>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</si>
  <si>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</si>
  <si>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</si>
  <si>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</si>
  <si>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</si>
  <si>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</si>
  <si>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</si>
  <si>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</si>
  <si>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</si>
  <si>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</si>
  <si>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</si>
  <si>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</si>
  <si>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</si>
  <si>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</si>
  <si>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</si>
  <si>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</si>
  <si>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</si>
  <si>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</si>
  <si>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</si>
  <si>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</si>
  <si>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</si>
  <si>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</si>
  <si>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</si>
  <si>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</si>
  <si>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</si>
  <si>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</si>
  <si>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</si>
  <si>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</si>
  <si>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</si>
  <si>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</si>
  <si>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</si>
  <si>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</si>
  <si>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</si>
  <si>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</si>
  <si>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</si>
  <si>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</si>
  <si>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</si>
  <si>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</si>
  <si>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</si>
  <si>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</si>
  <si>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</si>
  <si>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</si>
  <si>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</si>
  <si>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</si>
  <si>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</si>
  <si>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</si>
  <si>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</si>
  <si>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</si>
  <si>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</si>
  <si>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</si>
  <si>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</si>
  <si>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</si>
  <si>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</si>
  <si>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</si>
  <si>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</si>
  <si>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</si>
  <si>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</si>
  <si>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</si>
  <si>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</si>
  <si>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</si>
  <si>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</si>
  <si>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</si>
  <si>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</si>
  <si>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</si>
  <si>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</si>
  <si>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</si>
  <si>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</si>
  <si>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</si>
  <si>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</si>
  <si>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</si>
  <si>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</si>
  <si>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</si>
  <si>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</si>
  <si>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</si>
  <si>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</si>
  <si>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</si>
  <si>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</si>
  <si>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</si>
  <si>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</si>
  <si>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</si>
  <si>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</si>
  <si>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</si>
  <si>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</si>
  <si>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</si>
  <si>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</si>
  <si>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</si>
  <si>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</si>
  <si>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</si>
  <si>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</si>
  <si>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</si>
  <si>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</si>
  <si>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</si>
  <si>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</si>
  <si>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</si>
  <si>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</si>
  <si>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</si>
  <si>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</si>
  <si>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</si>
  <si>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</si>
  <si>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</si>
  <si>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</si>
  <si>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</si>
  <si>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</si>
  <si>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</si>
  <si>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</si>
  <si>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</si>
  <si>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</si>
  <si>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</si>
  <si>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</si>
  <si>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</si>
  <si>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</si>
  <si>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</si>
  <si>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</si>
  <si>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</si>
  <si>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</si>
  <si>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</si>
  <si>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</si>
  <si>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</si>
  <si>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</si>
  <si>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</si>
  <si>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</si>
  <si>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</si>
  <si>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</si>
  <si>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</si>
  <si>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</si>
  <si>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</si>
  <si>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</si>
  <si>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</si>
  <si>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</si>
  <si>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</si>
  <si>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</si>
  <si>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</si>
  <si>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</si>
  <si>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</si>
  <si>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</si>
  <si>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</si>
  <si>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</si>
  <si>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</si>
  <si>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</si>
  <si>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</si>
  <si>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</si>
  <si>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</si>
  <si>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</si>
  <si>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</si>
  <si>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</si>
  <si>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</si>
  <si>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</si>
  <si>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</si>
  <si>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</si>
  <si>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</si>
  <si>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</si>
  <si>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</si>
  <si>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</si>
  <si>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</si>
  <si>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</si>
  <si>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</si>
  <si>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</si>
  <si>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</si>
  <si>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</si>
  <si>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</si>
  <si>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</si>
  <si>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</si>
  <si>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</si>
  <si>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</si>
  <si>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</si>
  <si>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</si>
  <si>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</si>
  <si>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</si>
  <si>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</si>
  <si>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</si>
  <si>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</si>
  <si>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</si>
  <si>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</si>
  <si>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</si>
  <si>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</si>
  <si>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</si>
  <si>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</si>
  <si>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</si>
  <si>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</si>
  <si>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</si>
  <si>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</si>
  <si>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</si>
  <si>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</si>
  <si>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</si>
  <si>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</si>
  <si>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</si>
  <si>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</si>
  <si>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</si>
  <si>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</si>
  <si>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</si>
  <si>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</si>
  <si>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</si>
  <si>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</si>
  <si>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</si>
  <si>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</si>
  <si>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</si>
  <si>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</si>
  <si>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</si>
  <si>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</si>
  <si>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</si>
  <si>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</si>
  <si>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</si>
  <si>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</si>
  <si>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</si>
  <si>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</si>
  <si>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</si>
  <si>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</si>
  <si>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</si>
  <si>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</si>
  <si>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</si>
  <si>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</si>
  <si>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</si>
  <si>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</si>
  <si>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</si>
  <si>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</si>
  <si>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</si>
  <si>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</si>
  <si>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</si>
  <si>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</si>
  <si>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</si>
  <si>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</si>
  <si>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</si>
  <si>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</si>
  <si>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</si>
  <si>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</si>
  <si>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</si>
  <si>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</si>
  <si>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</si>
  <si>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</si>
  <si>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</si>
  <si>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</si>
  <si>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</si>
  <si>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</si>
  <si>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</si>
  <si>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</si>
  <si>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</si>
  <si>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</si>
  <si>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</si>
  <si>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</si>
  <si>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</si>
  <si>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</si>
  <si>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</si>
  <si>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</si>
  <si>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</si>
  <si>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</si>
  <si>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</si>
  <si>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</si>
  <si>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</si>
  <si>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</si>
  <si>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</si>
  <si>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</si>
  <si>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</si>
  <si>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</si>
  <si>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</si>
  <si>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</si>
  <si>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</si>
  <si>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</si>
  <si>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</si>
  <si>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</si>
  <si>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</si>
  <si>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</si>
  <si>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</si>
  <si>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</si>
  <si>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</si>
  <si>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</si>
  <si>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</si>
  <si>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</si>
  <si>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</si>
  <si>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</si>
  <si>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</si>
  <si>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</si>
  <si>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</si>
  <si>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</si>
  <si>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</si>
  <si>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</si>
  <si>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</si>
  <si>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</si>
  <si>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</si>
  <si>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</si>
  <si>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</si>
  <si>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</si>
  <si>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</si>
  <si>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</si>
  <si>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</si>
  <si>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</si>
  <si>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</si>
  <si>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</si>
  <si>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</si>
  <si>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</si>
  <si>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</si>
  <si>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</si>
  <si>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</si>
  <si>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</si>
  <si>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</si>
  <si>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</si>
  <si>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</si>
  <si>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</si>
  <si>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</si>
  <si>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</si>
  <si>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</si>
  <si>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</si>
  <si>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</si>
  <si>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</si>
  <si>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</si>
  <si>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</si>
  <si>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</si>
  <si>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</si>
  <si>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</si>
  <si>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</si>
  <si>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</si>
  <si>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</si>
  <si>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</si>
  <si>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</si>
  <si>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</si>
  <si>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</si>
  <si>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</si>
  <si>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</si>
  <si>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</si>
  <si>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</si>
  <si>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</si>
  <si>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</si>
  <si>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</si>
  <si>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</si>
  <si>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</si>
  <si>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</si>
  <si>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</si>
  <si>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</si>
  <si>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</si>
  <si>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</si>
  <si>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</si>
  <si>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</si>
  <si>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</si>
  <si>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</si>
  <si>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</si>
  <si>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</si>
  <si>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</si>
  <si>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</si>
  <si>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</si>
  <si>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</si>
  <si>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</si>
  <si>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</si>
  <si>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</si>
  <si>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</si>
  <si>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</si>
  <si>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</si>
  <si>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</si>
  <si>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</si>
  <si>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</si>
  <si>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</si>
  <si>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</si>
  <si>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</si>
  <si>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</si>
  <si>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</si>
  <si>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</si>
  <si>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</si>
  <si>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</si>
  <si>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</si>
  <si>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</si>
  <si>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</si>
  <si>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</si>
  <si>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</si>
  <si>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</si>
  <si>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</si>
  <si>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</si>
  <si>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</si>
  <si>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</si>
  <si>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</si>
  <si>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</si>
  <si>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</si>
  <si>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</si>
  <si>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</si>
  <si>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</si>
  <si>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</si>
  <si>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</si>
  <si>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</si>
  <si>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</si>
  <si>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</si>
  <si>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</si>
  <si>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</si>
  <si>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</si>
  <si>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</si>
  <si>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</si>
  <si>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</si>
  <si>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</si>
  <si>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</si>
  <si>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</si>
  <si>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</si>
  <si>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</si>
  <si>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</si>
  <si>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</si>
  <si>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</si>
  <si>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</si>
  <si>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</si>
  <si>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</si>
  <si>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</si>
  <si>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</si>
  <si>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</si>
  <si>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</si>
  <si>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</si>
  <si>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</si>
  <si>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</si>
  <si>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</si>
  <si>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</si>
  <si>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</si>
  <si>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</si>
  <si>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</si>
  <si>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</si>
  <si>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</si>
  <si>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</si>
  <si>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</si>
  <si>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</si>
  <si>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</si>
  <si>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</si>
  <si>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</si>
  <si>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</si>
  <si>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</si>
  <si>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</si>
  <si>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</si>
  <si>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</si>
  <si>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</si>
  <si>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</si>
  <si>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</si>
  <si>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</si>
  <si>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</si>
  <si>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</si>
  <si>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</si>
  <si>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</si>
  <si>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</si>
  <si>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</si>
  <si>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</si>
  <si>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</si>
  <si>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</si>
  <si>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</si>
  <si>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</si>
  <si>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</si>
  <si>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</si>
  <si>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</si>
  <si>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</si>
  <si>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</si>
  <si>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</si>
  <si>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</si>
  <si>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</si>
  <si>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</si>
  <si>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</si>
  <si>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</si>
  <si>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</si>
  <si>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</si>
  <si>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</si>
  <si>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</si>
  <si>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</si>
  <si>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</si>
  <si>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</si>
  <si>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</si>
  <si>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</si>
  <si>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</si>
  <si>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</si>
  <si>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</si>
  <si>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</si>
  <si>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</si>
  <si>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</si>
  <si>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</si>
  <si>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</si>
  <si>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</si>
  <si>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</si>
  <si>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</si>
  <si>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</si>
  <si>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</si>
  <si>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</si>
  <si>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</si>
  <si>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</si>
  <si>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</si>
  <si>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</si>
  <si>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</si>
  <si>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</si>
  <si>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</si>
  <si>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</si>
  <si>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</si>
  <si>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</si>
  <si>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</si>
  <si>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</si>
  <si>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</si>
  <si>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</si>
  <si>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</si>
  <si>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</si>
  <si>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</si>
  <si>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</si>
  <si>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</si>
  <si>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</si>
  <si>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</si>
  <si>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</si>
  <si>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</si>
  <si>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</si>
  <si>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</si>
  <si>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</si>
  <si>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</si>
  <si>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</si>
  <si>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</si>
  <si>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</si>
  <si>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</si>
  <si>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</si>
  <si>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</si>
  <si>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</si>
  <si>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</si>
  <si>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</si>
  <si>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</si>
  <si>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</si>
  <si>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</si>
  <si>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</si>
  <si>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</si>
  <si>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</si>
  <si>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</si>
  <si>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</si>
  <si>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</si>
  <si>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</si>
  <si>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</si>
  <si>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</si>
  <si>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</si>
  <si>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</si>
  <si>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</si>
  <si>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</si>
  <si>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</si>
  <si>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</si>
  <si>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</si>
  <si>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</si>
  <si>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</si>
  <si>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</si>
  <si>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</si>
  <si>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</si>
  <si>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</si>
  <si>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</si>
  <si>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</si>
  <si>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</si>
  <si>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</si>
  <si>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</si>
  <si>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</si>
  <si>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</si>
  <si>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</si>
  <si>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</si>
  <si>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</si>
  <si>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</si>
  <si>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</si>
  <si>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</si>
  <si>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</si>
  <si>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</si>
  <si>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</si>
  <si>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</si>
  <si>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</si>
  <si>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</si>
  <si>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</si>
  <si>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</si>
  <si>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</si>
  <si>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</si>
  <si>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</si>
  <si>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</si>
  <si>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</si>
  <si>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</si>
  <si>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</si>
  <si>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</si>
  <si>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</si>
  <si>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</si>
  <si>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</si>
  <si>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</si>
  <si>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</si>
  <si>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</si>
  <si>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</si>
  <si>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</si>
  <si>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</si>
  <si>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</si>
  <si>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</si>
  <si>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</si>
  <si>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</si>
  <si>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</si>
  <si>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</si>
  <si>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</si>
  <si>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</si>
  <si>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</si>
  <si>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</si>
  <si>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</si>
  <si>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</si>
  <si>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</si>
  <si>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</si>
  <si>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</si>
  <si>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</si>
  <si>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</si>
  <si>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</si>
  <si>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</si>
  <si>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</si>
  <si>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</si>
  <si>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</si>
  <si>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</si>
  <si>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</si>
  <si>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</si>
  <si>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</si>
  <si>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</si>
  <si>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</si>
  <si>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</si>
  <si>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</si>
  <si>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</si>
  <si>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</si>
  <si>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</si>
  <si>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</si>
  <si>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</si>
  <si>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</si>
  <si>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</si>
  <si>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</si>
  <si>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</si>
  <si>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</si>
  <si>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</si>
  <si>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</si>
  <si>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</si>
  <si>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</si>
  <si>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</si>
  <si>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</si>
  <si>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</si>
  <si>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</si>
  <si>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</si>
  <si>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</si>
  <si>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</si>
  <si>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</si>
  <si>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</si>
  <si>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</si>
  <si>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</si>
  <si>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</si>
  <si>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</si>
  <si>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</si>
  <si>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</si>
  <si>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</si>
  <si>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</si>
  <si>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</si>
  <si>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</si>
  <si>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</si>
  <si>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</si>
  <si>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</si>
  <si>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</si>
  <si>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</si>
  <si>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</si>
  <si>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</si>
  <si>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</si>
  <si>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</si>
  <si>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</si>
  <si>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</si>
  <si>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</si>
  <si>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</si>
  <si>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</si>
  <si>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</si>
  <si>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</si>
  <si>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</si>
  <si>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</si>
  <si>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</si>
  <si>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</si>
  <si>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</si>
  <si>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</si>
  <si>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</si>
  <si>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</si>
  <si>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</si>
  <si>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</si>
  <si>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</si>
  <si>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</si>
  <si>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</si>
  <si>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</si>
  <si>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</si>
  <si>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</si>
  <si>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</si>
  <si>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</si>
  <si>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</si>
  <si>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</si>
  <si>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</si>
  <si>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</si>
  <si>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</si>
  <si>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</si>
  <si>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</si>
  <si>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</si>
  <si>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</si>
  <si>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</si>
  <si>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</si>
  <si>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</si>
  <si>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</si>
  <si>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</si>
  <si>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</si>
  <si>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</si>
  <si>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</si>
  <si>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</si>
  <si>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</si>
  <si>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</si>
  <si>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</si>
  <si>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</si>
  <si>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</si>
  <si>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</si>
  <si>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</si>
  <si>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</si>
  <si>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</si>
  <si>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</si>
  <si>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</si>
  <si>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</si>
  <si>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</si>
  <si>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</si>
  <si>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</si>
  <si>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</si>
  <si>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</si>
  <si>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</si>
  <si>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</si>
  <si>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</si>
  <si>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</si>
  <si>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</si>
  <si>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</si>
  <si>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</si>
  <si>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</si>
  <si>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</si>
  <si>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</si>
  <si>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</si>
  <si>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</si>
  <si>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</si>
  <si>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</si>
  <si>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</si>
  <si>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</si>
  <si>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</si>
  <si>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</si>
  <si>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</si>
  <si>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</si>
  <si>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</si>
  <si>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</si>
  <si>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</si>
  <si>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</si>
  <si>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</si>
  <si>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</si>
  <si>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</si>
  <si>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</si>
  <si>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</si>
  <si>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</si>
  <si>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</si>
  <si>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</si>
  <si>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</si>
  <si>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</si>
  <si>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</si>
  <si>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</si>
  <si>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</si>
  <si>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</si>
  <si>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</si>
  <si>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</si>
  <si>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</si>
  <si>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</si>
  <si>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</si>
  <si>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</si>
  <si>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</si>
  <si>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</si>
  <si>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</si>
  <si>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</si>
  <si>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</si>
  <si>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</si>
  <si>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</si>
  <si>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</si>
  <si>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</si>
  <si>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</si>
  <si>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</si>
  <si>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</si>
  <si>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</si>
  <si>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</si>
  <si>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</si>
  <si>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</si>
  <si>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</si>
  <si>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</si>
  <si>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</si>
  <si>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</si>
  <si>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</si>
  <si>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</si>
  <si>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</si>
  <si>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</si>
  <si>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</si>
  <si>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</si>
  <si>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</si>
  <si>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</si>
  <si>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</si>
  <si>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</si>
  <si>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</si>
  <si>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</si>
  <si>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</si>
  <si>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</si>
  <si>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</si>
  <si>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</si>
  <si>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</si>
  <si>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</si>
  <si>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</si>
  <si>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</si>
  <si>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</si>
  <si>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</si>
  <si>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</si>
  <si>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</si>
  <si>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</si>
  <si>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</si>
  <si>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</si>
  <si>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</si>
  <si>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</si>
  <si>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</si>
  <si>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</si>
  <si>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</si>
  <si>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</si>
  <si>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</si>
  <si>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</si>
  <si>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</si>
  <si>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</si>
  <si>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</si>
  <si>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</si>
  <si>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</si>
  <si>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</si>
  <si>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</si>
  <si>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</si>
  <si>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</si>
  <si>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</si>
  <si>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</si>
  <si>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</si>
  <si>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</si>
  <si>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</si>
  <si>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</si>
  <si>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</si>
  <si>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</si>
  <si>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</si>
  <si>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</si>
  <si>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</si>
  <si>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</si>
  <si>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</si>
  <si>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</si>
  <si>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</si>
  <si>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</si>
  <si>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</si>
  <si>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</si>
  <si>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</si>
  <si>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</si>
  <si>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</si>
  <si>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</si>
  <si>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</si>
  <si>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</si>
  <si>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</si>
  <si>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</si>
  <si>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</si>
  <si>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</si>
  <si>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</si>
  <si>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</si>
  <si>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</si>
  <si>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</si>
  <si>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</si>
  <si>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</si>
  <si>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</si>
  <si>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</si>
  <si>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</si>
  <si>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</si>
  <si>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</si>
  <si>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</si>
  <si>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</si>
  <si>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</si>
  <si>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</si>
  <si>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</si>
  <si>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</si>
  <si>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</si>
  <si>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</si>
  <si>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</si>
  <si>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</si>
  <si>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</si>
  <si>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</si>
  <si>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</si>
  <si>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</si>
  <si>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</si>
  <si>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</si>
  <si>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</si>
  <si>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</si>
  <si>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</si>
  <si>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</si>
  <si>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</si>
  <si>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</si>
  <si>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</si>
  <si>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</si>
  <si>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</si>
  <si>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</si>
  <si>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</si>
  <si>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</si>
  <si>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</si>
  <si>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</si>
  <si>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</si>
  <si>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</si>
  <si>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</si>
  <si>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</si>
  <si>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</si>
  <si>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</si>
  <si>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</si>
  <si>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</si>
  <si>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</si>
  <si>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</si>
  <si>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</si>
  <si>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</si>
  <si>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</si>
  <si>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</si>
  <si>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</si>
  <si>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</si>
  <si>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</si>
  <si>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</si>
  <si>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</si>
  <si>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</si>
  <si>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</si>
  <si>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</si>
  <si>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</si>
  <si>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</si>
  <si>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</si>
  <si>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</si>
  <si>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</si>
  <si>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</si>
  <si>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</si>
  <si>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</si>
  <si>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</si>
  <si>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</si>
  <si>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</si>
  <si>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</si>
  <si>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</si>
  <si>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</si>
  <si>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</si>
  <si>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</si>
  <si>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</si>
  <si>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</si>
  <si>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</si>
  <si>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</si>
  <si>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</si>
  <si>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</si>
  <si>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</si>
  <si>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</si>
  <si>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</si>
  <si>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</si>
  <si>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</si>
  <si>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</si>
  <si>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</si>
  <si>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</si>
  <si>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</si>
  <si>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</si>
  <si>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</si>
  <si>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</si>
  <si>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</si>
  <si>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</si>
  <si>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</si>
  <si>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</si>
  <si>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</si>
  <si>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</si>
  <si>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</si>
  <si>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</si>
  <si>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</si>
  <si>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</si>
  <si>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</si>
  <si>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</si>
  <si>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</si>
  <si>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</si>
  <si>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</si>
  <si>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</si>
  <si>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</si>
  <si>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</si>
  <si>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</si>
  <si>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</si>
  <si>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</si>
  <si>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</si>
  <si>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</si>
  <si>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</si>
  <si>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</si>
  <si>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</si>
  <si>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</si>
  <si>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</si>
  <si>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</si>
  <si>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</si>
  <si>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</si>
  <si>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</si>
  <si>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</si>
  <si>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</si>
  <si>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</si>
  <si>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</si>
  <si>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</si>
  <si>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</si>
  <si>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</si>
  <si>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</si>
  <si>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</si>
  <si>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</si>
  <si>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</si>
  <si>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</si>
  <si>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</si>
  <si>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</si>
  <si>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</si>
  <si>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</si>
  <si>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</si>
  <si>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</si>
  <si>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</si>
  <si>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</si>
  <si>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</si>
  <si>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</si>
  <si>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</si>
  <si>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</si>
  <si>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</si>
  <si>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</si>
  <si>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</si>
  <si>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</si>
  <si>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</si>
  <si>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</si>
  <si>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</si>
  <si>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</si>
  <si>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</si>
  <si>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</si>
  <si>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</si>
  <si>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</si>
  <si>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</si>
  <si>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</si>
  <si>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</si>
  <si>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</si>
  <si>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</si>
  <si>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</si>
  <si>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</si>
  <si>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</si>
  <si>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</si>
  <si>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</si>
  <si>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</si>
  <si>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</si>
  <si>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</si>
  <si>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</si>
  <si>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</si>
  <si>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</si>
  <si>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</si>
  <si>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</si>
  <si>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</si>
  <si>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</si>
  <si>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</si>
  <si>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</si>
  <si>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</si>
  <si>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</si>
  <si>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</si>
  <si>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</si>
  <si>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</si>
  <si>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</si>
  <si>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</si>
  <si>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</si>
  <si>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</si>
  <si>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</si>
  <si>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</si>
  <si>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</si>
  <si>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</si>
  <si>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</si>
  <si>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</si>
  <si>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</si>
  <si>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</si>
  <si>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</si>
  <si>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</si>
  <si>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</si>
  <si>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</si>
  <si>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</si>
  <si>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</si>
  <si>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</si>
  <si>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</si>
  <si>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</si>
  <si>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</si>
  <si>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</si>
  <si>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</si>
  <si>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</si>
  <si>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</si>
  <si>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</si>
  <si>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</si>
  <si>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</si>
  <si>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</si>
  <si>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</si>
  <si>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</si>
  <si>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</si>
  <si>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</si>
  <si>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</si>
  <si>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</si>
  <si>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</si>
  <si>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</si>
  <si>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</si>
  <si>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</si>
  <si>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</si>
  <si>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</si>
  <si>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</si>
  <si>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</si>
  <si>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</si>
  <si>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</si>
  <si>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</si>
  <si>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</si>
  <si>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</si>
  <si>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</si>
  <si>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</si>
  <si>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</si>
  <si>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</si>
  <si>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</si>
  <si>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</si>
  <si>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</si>
  <si>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</si>
  <si>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</si>
  <si>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</si>
  <si>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</si>
  <si>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</si>
  <si>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</si>
  <si>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</si>
  <si>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</si>
  <si>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</si>
  <si>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</si>
  <si>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</si>
  <si>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</si>
  <si>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</si>
  <si>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</si>
  <si>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</si>
  <si>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</si>
  <si>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</si>
  <si>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</si>
  <si>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</si>
  <si>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</si>
  <si>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</si>
  <si>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</si>
  <si>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</si>
  <si>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</si>
  <si>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</si>
  <si>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</si>
  <si>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</si>
  <si>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</si>
  <si>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</si>
  <si>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</si>
  <si>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</si>
  <si>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</si>
  <si>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</si>
  <si>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</si>
  <si>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</si>
  <si>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</si>
  <si>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</si>
  <si>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</si>
  <si>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</si>
  <si>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</si>
  <si>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</si>
  <si>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</si>
  <si>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</si>
  <si>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</si>
  <si>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</si>
  <si>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</si>
  <si>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</si>
  <si>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</si>
  <si>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</si>
  <si>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</si>
  <si>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</si>
  <si>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</si>
  <si>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</si>
  <si>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</si>
  <si>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</si>
  <si>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</si>
  <si>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</si>
  <si>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</si>
  <si>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</si>
  <si>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</si>
  <si>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</si>
  <si>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</si>
  <si>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</si>
  <si>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</si>
  <si>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</si>
  <si>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</si>
  <si>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</si>
  <si>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</si>
  <si>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</si>
  <si>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</si>
  <si>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</si>
  <si>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</si>
  <si>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</si>
  <si>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</si>
  <si>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</si>
  <si>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</si>
  <si>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</si>
  <si>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</si>
  <si>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</si>
  <si>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</si>
  <si>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</si>
  <si>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</si>
  <si>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</si>
  <si>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</si>
  <si>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</si>
  <si>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</si>
  <si>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</si>
  <si>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</si>
  <si>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</si>
  <si>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</si>
  <si>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</si>
  <si>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</si>
  <si>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</si>
  <si>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</si>
  <si>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</si>
  <si>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</si>
  <si>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</si>
  <si>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</si>
  <si>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</si>
  <si>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</si>
  <si>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</si>
  <si>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</si>
  <si>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</si>
  <si>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</si>
  <si>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</si>
  <si>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</si>
  <si>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</si>
  <si>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</si>
  <si>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</si>
  <si>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</si>
  <si>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</si>
  <si>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</si>
  <si>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</si>
  <si>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</si>
  <si>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</si>
  <si>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</si>
  <si>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</si>
  <si>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</si>
  <si>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</si>
  <si>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</si>
  <si>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</si>
  <si>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</si>
  <si>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</si>
  <si>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</si>
  <si>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</si>
  <si>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</si>
  <si>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</si>
  <si>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</si>
  <si>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</si>
  <si>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</si>
  <si>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</si>
  <si>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</si>
  <si>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</si>
  <si>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</si>
  <si>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</si>
  <si>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</si>
  <si>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</si>
  <si>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</si>
  <si>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</si>
  <si>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</si>
  <si>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</si>
  <si>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</si>
  <si>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</si>
  <si>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</si>
  <si>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</si>
  <si>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</si>
  <si>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</si>
  <si>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</si>
  <si>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</si>
  <si>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</si>
  <si>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</si>
  <si>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</si>
  <si>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</si>
  <si>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</si>
  <si>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</si>
  <si>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</si>
  <si>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</si>
  <si>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</si>
  <si>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</si>
  <si>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</si>
  <si>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</si>
  <si>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</si>
  <si>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</si>
  <si>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</si>
  <si>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</si>
  <si>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</si>
  <si>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</si>
  <si>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</si>
  <si>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</si>
  <si>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</si>
  <si>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</si>
  <si>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</si>
  <si>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</si>
  <si>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</si>
  <si>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</si>
  <si>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</si>
  <si>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</si>
  <si>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</si>
  <si>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</si>
  <si>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</si>
  <si>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</si>
  <si>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</si>
  <si>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</si>
  <si>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</si>
  <si>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</si>
  <si>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</si>
  <si>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</si>
  <si>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</si>
  <si>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</si>
  <si>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</si>
  <si>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</si>
  <si>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</si>
  <si>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</si>
  <si>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</si>
  <si>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</si>
  <si>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</si>
  <si>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</si>
  <si>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</si>
  <si>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</si>
  <si>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</si>
  <si>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</si>
  <si>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</si>
  <si>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</si>
  <si>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</si>
  <si>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</si>
  <si>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</si>
  <si>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</si>
  <si>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</si>
  <si>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</si>
  <si>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</si>
  <si>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</si>
  <si>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</si>
  <si>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</si>
  <si>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</si>
  <si>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</si>
  <si>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</si>
  <si>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</si>
  <si>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</si>
  <si>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</si>
  <si>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</si>
  <si>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</si>
  <si>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</si>
  <si>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</si>
  <si>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</si>
  <si>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</si>
  <si>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</si>
  <si>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</si>
  <si>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</si>
  <si>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</si>
  <si>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</si>
  <si>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</si>
  <si>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</si>
  <si>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</si>
  <si>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</si>
  <si>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</si>
  <si>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</si>
  <si>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</si>
  <si>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</si>
  <si>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</si>
  <si>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</si>
  <si>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</si>
  <si>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</si>
  <si>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</si>
  <si>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</si>
  <si>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</si>
  <si>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</si>
  <si>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</si>
  <si>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</si>
  <si>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</si>
  <si>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</si>
  <si>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</si>
  <si>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</si>
  <si>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</si>
  <si>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</si>
  <si>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</si>
  <si>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</si>
  <si>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</si>
  <si>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</si>
  <si>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</si>
  <si>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</si>
  <si>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</si>
  <si>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</si>
  <si>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</si>
  <si>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</si>
  <si>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</si>
  <si>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</si>
  <si>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</si>
  <si>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</si>
  <si>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</si>
  <si>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</si>
  <si>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</si>
  <si>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</si>
  <si>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</si>
  <si>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</si>
  <si>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</si>
  <si>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</si>
  <si>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</si>
  <si>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</si>
  <si>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</si>
  <si>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</si>
  <si>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</si>
  <si>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</si>
  <si>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</si>
  <si>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</si>
  <si>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</si>
  <si>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</si>
  <si>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</si>
  <si>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</si>
  <si>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</si>
  <si>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</si>
  <si>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</si>
  <si>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</si>
  <si>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</si>
  <si>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</si>
  <si>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</si>
  <si>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</si>
  <si>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</si>
  <si>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</si>
  <si>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</si>
  <si>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</si>
  <si>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</si>
  <si>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</si>
  <si>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</si>
  <si>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</si>
  <si>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</si>
  <si>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</si>
  <si>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</si>
  <si>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</si>
  <si>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</si>
  <si>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</si>
  <si>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</si>
  <si>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</si>
  <si>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</si>
  <si>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</si>
  <si>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</si>
  <si>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</si>
  <si>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</si>
  <si>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</si>
  <si>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</si>
  <si>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</si>
  <si>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</si>
  <si>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</si>
  <si>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</si>
  <si>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</si>
  <si>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</si>
  <si>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</si>
  <si>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</si>
  <si>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</si>
  <si>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</si>
  <si>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</si>
  <si>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</si>
  <si>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</si>
  <si>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</si>
  <si>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</si>
  <si>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</si>
  <si>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</si>
  <si>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</si>
  <si>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</si>
  <si>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</si>
  <si>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</si>
  <si>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</si>
  <si>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</si>
  <si>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</si>
  <si>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</si>
  <si>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</si>
  <si>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</si>
  <si>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</si>
  <si>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</si>
  <si>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</si>
  <si>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</si>
  <si>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</si>
  <si>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</si>
  <si>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</si>
  <si>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</si>
  <si>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</si>
  <si>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</si>
  <si>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</si>
  <si>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</si>
  <si>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</si>
  <si>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</si>
  <si>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</si>
  <si>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</si>
  <si>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</si>
  <si>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</si>
  <si>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</si>
  <si>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</si>
  <si>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</si>
  <si>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</si>
  <si>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</si>
  <si>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</si>
  <si>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</si>
  <si>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</si>
  <si>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</si>
  <si>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</si>
  <si>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</si>
  <si>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</si>
  <si>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</si>
  <si>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</si>
  <si>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</si>
  <si>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</si>
  <si>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</si>
  <si>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</si>
  <si>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</si>
  <si>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</si>
  <si>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</si>
  <si>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</si>
  <si>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</si>
  <si>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</si>
  <si>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</si>
  <si>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</si>
  <si>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</si>
  <si>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</si>
  <si>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</si>
  <si>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</si>
  <si>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</si>
  <si>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</si>
  <si>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</si>
  <si>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</si>
  <si>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</si>
  <si>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</si>
  <si>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</si>
  <si>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</si>
  <si>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</si>
  <si>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</si>
  <si>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</si>
  <si>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</si>
  <si>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</si>
  <si>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</si>
  <si>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</si>
  <si>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</si>
  <si>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</si>
  <si>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</si>
  <si>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</si>
  <si>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</si>
  <si>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</si>
  <si>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</si>
  <si>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</si>
  <si>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</si>
  <si>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</si>
  <si>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</si>
  <si>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</si>
  <si>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</si>
  <si>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</si>
  <si>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</si>
  <si>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</si>
  <si>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</si>
  <si>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</si>
  <si>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</si>
  <si>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</si>
  <si>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</si>
  <si>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</si>
  <si>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</si>
  <si>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</si>
  <si>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</si>
  <si>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</si>
  <si>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</si>
  <si>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</si>
  <si>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</si>
  <si>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</si>
  <si>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</si>
  <si>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</si>
  <si>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</si>
  <si>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</si>
  <si>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</si>
  <si>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</si>
  <si>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</si>
  <si>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</si>
  <si>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</si>
  <si>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</si>
  <si>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</si>
  <si>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</si>
  <si>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</si>
  <si>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</si>
  <si>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</si>
  <si>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</si>
  <si>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</si>
  <si>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</si>
  <si>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</si>
  <si>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</si>
  <si>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</si>
  <si>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</si>
  <si>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</si>
  <si>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</si>
  <si>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</si>
  <si>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</si>
  <si>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</si>
  <si>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</si>
  <si>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</si>
  <si>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</si>
  <si>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</si>
  <si>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</si>
  <si>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</si>
  <si>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</si>
  <si>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</si>
  <si>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</si>
  <si>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</si>
  <si>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</si>
  <si>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</si>
  <si>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</si>
  <si>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</si>
  <si>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</si>
  <si>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</si>
  <si>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</si>
  <si>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</si>
  <si>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</si>
  <si>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</si>
  <si>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</si>
  <si>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</si>
  <si>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</si>
  <si>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</si>
  <si>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</si>
  <si>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</si>
  <si>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</si>
  <si>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</si>
  <si>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</si>
  <si>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</si>
  <si>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</si>
  <si>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</si>
  <si>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</si>
  <si>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</si>
  <si>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</si>
  <si>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</si>
  <si>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</si>
  <si>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</si>
  <si>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</si>
  <si>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</si>
  <si>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</si>
  <si>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</si>
  <si>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</si>
  <si>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</si>
  <si>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</si>
  <si>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</si>
  <si>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</si>
  <si>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</si>
  <si>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</si>
  <si>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</si>
  <si>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</si>
  <si>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</si>
  <si>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</si>
  <si>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</si>
  <si>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</si>
  <si>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</si>
  <si>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</si>
  <si>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</si>
  <si>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</si>
  <si>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</si>
  <si>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</si>
  <si>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</si>
  <si>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</si>
  <si>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</si>
  <si>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</si>
  <si>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</si>
  <si>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</si>
  <si>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</si>
  <si>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</si>
  <si>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</si>
  <si>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</si>
  <si>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</si>
  <si>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</si>
  <si>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</si>
  <si>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</si>
  <si>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</si>
  <si>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</si>
  <si>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</si>
  <si>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</si>
  <si>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</si>
  <si>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</si>
  <si>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</si>
  <si>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</si>
  <si>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</si>
  <si>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</si>
  <si>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</si>
  <si>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</si>
  <si>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</si>
  <si>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</si>
  <si>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</si>
  <si>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</si>
  <si>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</si>
  <si>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</si>
  <si>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</si>
  <si>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</si>
  <si>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</si>
  <si>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</si>
  <si>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</si>
  <si>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</si>
  <si>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</si>
  <si>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</si>
  <si>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</si>
  <si>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</si>
  <si>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</si>
  <si>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</si>
  <si>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</si>
  <si>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</si>
  <si>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</si>
  <si>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</si>
  <si>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</si>
  <si>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</si>
  <si>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</si>
  <si>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</si>
  <si>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</si>
  <si>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</si>
  <si>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</si>
  <si>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</si>
  <si>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</si>
  <si>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</si>
  <si>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</si>
  <si>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</si>
  <si>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</si>
  <si>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</si>
  <si>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</si>
  <si>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</si>
  <si>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</si>
  <si>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</si>
  <si>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</si>
  <si>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</si>
  <si>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</si>
  <si>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</si>
  <si>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</si>
  <si>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</si>
  <si>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</si>
  <si>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</si>
  <si>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</si>
  <si>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</si>
  <si>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</si>
  <si>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</si>
  <si>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</si>
  <si>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</si>
  <si>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</si>
  <si>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</si>
  <si>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</si>
  <si>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</si>
  <si>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</si>
  <si>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</si>
  <si>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</si>
  <si>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</si>
  <si>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</si>
  <si>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</si>
  <si>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</si>
  <si>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</si>
  <si>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</si>
  <si>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</si>
  <si>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</si>
  <si>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</si>
  <si>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</si>
  <si>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</si>
  <si>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</si>
  <si>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</si>
  <si>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</si>
  <si>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</si>
  <si>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</si>
  <si>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</si>
  <si>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</si>
  <si>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</si>
  <si>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</si>
  <si>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</si>
  <si>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</si>
  <si>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</si>
  <si>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</si>
  <si>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</si>
  <si>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</si>
  <si>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</si>
  <si>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</si>
  <si>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</si>
  <si>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</si>
  <si>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</si>
  <si>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</si>
  <si>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</si>
  <si>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</si>
  <si>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</si>
  <si>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</si>
  <si>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</si>
  <si>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</si>
  <si>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</si>
  <si>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</si>
  <si>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</si>
  <si>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</si>
  <si>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</si>
  <si>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</si>
  <si>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</si>
  <si>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</si>
  <si>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</si>
  <si>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</si>
  <si>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</si>
  <si>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</si>
  <si>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</si>
  <si>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</si>
  <si>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</si>
  <si>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</si>
  <si>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</si>
  <si>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</si>
  <si>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</si>
  <si>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</si>
  <si>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</si>
  <si>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</si>
  <si>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</si>
  <si>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</si>
  <si>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</si>
  <si>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</si>
  <si>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</si>
  <si>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</si>
  <si>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</si>
  <si>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</si>
  <si>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</si>
  <si>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</si>
  <si>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</si>
  <si>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</si>
  <si>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</si>
  <si>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</si>
  <si>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</si>
  <si>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</si>
  <si>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</si>
  <si>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</si>
  <si>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</si>
  <si>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</si>
  <si>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</si>
  <si>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</si>
  <si>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</si>
  <si>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</si>
  <si>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</si>
  <si>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</si>
  <si>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</si>
  <si>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</si>
  <si>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</si>
  <si>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</si>
  <si>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</si>
  <si>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</si>
  <si>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</si>
  <si>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</si>
  <si>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</si>
  <si>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</si>
  <si>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</si>
  <si>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</si>
  <si>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</si>
  <si>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</si>
  <si>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</si>
  <si>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</si>
  <si>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</si>
  <si>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</si>
  <si>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</si>
  <si>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</si>
  <si>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</si>
  <si>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</si>
  <si>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</si>
  <si>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</si>
  <si>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</si>
  <si>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</si>
  <si>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</si>
  <si>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</si>
  <si>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</si>
  <si>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</si>
  <si>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</si>
  <si>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</si>
  <si>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</si>
  <si>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</si>
  <si>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</si>
  <si>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</si>
  <si>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</si>
  <si>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</si>
  <si>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</si>
  <si>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</si>
  <si>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</si>
  <si>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</si>
  <si>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</si>
  <si>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</si>
  <si>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</si>
  <si>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</si>
  <si>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</si>
  <si>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</si>
  <si>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</si>
  <si>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</si>
  <si>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</si>
  <si>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</si>
  <si>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</si>
  <si>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</si>
  <si>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</si>
  <si>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</si>
  <si>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</si>
  <si>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</si>
  <si>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</si>
  <si>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</si>
  <si>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</si>
  <si>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</si>
  <si>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</si>
  <si>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</si>
  <si>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</si>
  <si>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</si>
  <si>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</si>
  <si>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</si>
  <si>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</si>
  <si>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</si>
  <si>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</si>
  <si>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</si>
  <si>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</si>
  <si>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</si>
  <si>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</si>
  <si>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</si>
  <si>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</si>
  <si>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</si>
  <si>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</si>
  <si>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</si>
  <si>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</si>
  <si>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</si>
  <si>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</si>
  <si>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</si>
  <si>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</si>
  <si>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</si>
  <si>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</si>
  <si>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</si>
  <si>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</si>
  <si>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</si>
  <si>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</si>
  <si>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</si>
  <si>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</si>
  <si>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</si>
  <si>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</si>
  <si>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</si>
  <si>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</si>
  <si>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</si>
  <si>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</si>
  <si>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</si>
  <si>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</si>
  <si>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</si>
  <si>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</si>
  <si>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</si>
  <si>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</si>
  <si>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</si>
  <si>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</si>
  <si>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</si>
  <si>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</si>
  <si>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</si>
  <si>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</si>
  <si>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</si>
  <si>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</si>
  <si>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</si>
  <si>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</si>
  <si>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</si>
  <si>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</si>
  <si>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</si>
  <si>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</si>
  <si>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</si>
  <si>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</si>
  <si>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</si>
  <si>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</si>
  <si>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</si>
  <si>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</si>
  <si>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</si>
  <si>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</si>
  <si>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</si>
  <si>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</si>
  <si>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</si>
  <si>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</si>
  <si>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</si>
  <si>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</si>
  <si>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</si>
  <si>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</si>
  <si>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</si>
  <si>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</si>
  <si>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</si>
  <si>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</si>
  <si>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</si>
  <si>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</si>
  <si>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</si>
  <si>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</si>
  <si>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</si>
  <si>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</si>
  <si>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</si>
  <si>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</si>
  <si>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</si>
  <si>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</si>
  <si>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</si>
  <si>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</si>
  <si>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</si>
  <si>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</si>
  <si>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</si>
  <si>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</si>
  <si>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</si>
  <si>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</si>
  <si>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</si>
  <si>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</si>
  <si>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</si>
  <si>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</si>
  <si>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</si>
  <si>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</si>
  <si>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</si>
  <si>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</si>
  <si>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</si>
  <si>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</si>
  <si>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</si>
  <si>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</si>
  <si>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</si>
  <si>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</si>
  <si>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</si>
  <si>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</si>
  <si>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</si>
  <si>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</si>
  <si>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</si>
  <si>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</si>
  <si>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</si>
  <si>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</si>
  <si>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</si>
  <si>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</si>
  <si>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</si>
  <si>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</si>
  <si>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</si>
  <si>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</si>
  <si>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</si>
  <si>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</si>
  <si>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</si>
  <si>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</si>
  <si>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</si>
  <si>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</si>
  <si>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</si>
  <si>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</si>
  <si>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</si>
  <si>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</si>
  <si>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</si>
  <si>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</si>
  <si>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</si>
  <si>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</si>
  <si>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</si>
  <si>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</si>
  <si>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</si>
  <si>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</si>
  <si>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</si>
  <si>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</si>
  <si>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</si>
  <si>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</si>
  <si>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</si>
  <si>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</si>
  <si>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</si>
  <si>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</si>
  <si>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</si>
  <si>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</si>
  <si>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</si>
  <si>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</si>
  <si>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</si>
  <si>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</si>
  <si>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</si>
  <si>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</si>
  <si>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</si>
  <si>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</si>
  <si>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</si>
  <si>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</si>
  <si>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</si>
  <si>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</si>
  <si>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</si>
  <si>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</si>
  <si>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</si>
  <si>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</si>
  <si>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</si>
  <si>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</si>
  <si>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</si>
  <si>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</si>
  <si>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</si>
  <si>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</si>
  <si>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</si>
  <si>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</si>
  <si>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</si>
  <si>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</si>
  <si>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</si>
  <si>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</si>
  <si>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</si>
  <si>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</si>
  <si>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</si>
  <si>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</si>
  <si>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</si>
  <si>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</si>
  <si>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</si>
  <si>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</si>
  <si>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</si>
  <si>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</si>
  <si>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</si>
  <si>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</si>
  <si>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</si>
  <si>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</si>
  <si>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</si>
  <si>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</si>
  <si>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</si>
  <si>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</si>
  <si>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</si>
  <si>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</si>
  <si>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</si>
  <si>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</si>
  <si>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</si>
  <si>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</si>
  <si>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</si>
  <si>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</si>
  <si>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</si>
  <si>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</si>
  <si>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</si>
  <si>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</si>
  <si>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</si>
  <si>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</si>
  <si>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</si>
  <si>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</si>
  <si>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</si>
  <si>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</si>
  <si>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</si>
  <si>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</si>
  <si>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</si>
  <si>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</si>
  <si>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</si>
  <si>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</si>
  <si>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</si>
  <si>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</si>
  <si>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</si>
  <si>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</si>
  <si>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</si>
  <si>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</si>
  <si>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</si>
  <si>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</si>
  <si>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</si>
  <si>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</si>
  <si>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</si>
  <si>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</si>
  <si>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</si>
  <si>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</si>
  <si>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</si>
  <si>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</si>
  <si>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</si>
  <si>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</si>
  <si>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</si>
  <si>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</si>
  <si>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</si>
  <si>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</si>
  <si>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</si>
  <si>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</si>
  <si>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</si>
  <si>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</si>
  <si>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</si>
  <si>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</si>
  <si>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</si>
  <si>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</si>
  <si>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</si>
  <si>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</si>
  <si>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</si>
  <si>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</si>
  <si>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</si>
  <si>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</si>
  <si>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</si>
  <si>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</si>
  <si>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</si>
  <si>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</si>
  <si>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</si>
  <si>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</si>
  <si>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</si>
  <si>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</si>
  <si>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</si>
  <si>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</si>
  <si>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</si>
  <si>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</si>
  <si>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</si>
  <si>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</si>
  <si>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</si>
  <si>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</si>
  <si>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</si>
  <si>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</si>
  <si>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</si>
  <si>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</si>
  <si>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</si>
  <si>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</si>
  <si>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</si>
  <si>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</si>
  <si>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</si>
  <si>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</si>
  <si>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</si>
  <si>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</si>
  <si>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</si>
  <si>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</si>
  <si>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</si>
  <si>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</si>
  <si>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</si>
  <si>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</si>
  <si>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</si>
  <si>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</si>
  <si>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</si>
  <si>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</si>
  <si>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</si>
  <si>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</si>
  <si>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</si>
  <si>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</si>
  <si>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</si>
  <si>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</si>
  <si>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</si>
  <si>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</si>
  <si>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</si>
  <si>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</si>
  <si>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</si>
  <si>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</si>
  <si>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</si>
  <si>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</si>
  <si>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</si>
  <si>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</si>
  <si>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</si>
  <si>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</si>
  <si>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</si>
  <si>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</si>
  <si>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</si>
  <si>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</si>
  <si>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</si>
  <si>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</si>
  <si>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</si>
  <si>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</si>
  <si>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</si>
  <si>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</si>
  <si>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</si>
  <si>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</si>
  <si>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</si>
  <si>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</si>
  <si>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</si>
  <si>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</si>
  <si>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</si>
  <si>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</si>
  <si>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</si>
  <si>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</si>
  <si>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</si>
  <si>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</si>
  <si>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</si>
  <si>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</si>
  <si>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</si>
  <si>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</si>
  <si>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</si>
  <si>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</si>
  <si>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</si>
  <si>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</si>
  <si>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</si>
  <si>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</si>
  <si>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</si>
  <si>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</si>
  <si>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</si>
  <si>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</si>
  <si>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</si>
  <si>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</si>
  <si>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</si>
  <si>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</si>
  <si>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</si>
  <si>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</si>
  <si>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</si>
  <si>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</si>
  <si>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</si>
  <si>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</si>
  <si>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</si>
  <si>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</si>
  <si>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</si>
  <si>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</si>
  <si>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</si>
  <si>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</si>
  <si>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</si>
  <si>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</si>
  <si>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</si>
  <si>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</si>
  <si>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</si>
  <si>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</si>
  <si>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</si>
  <si>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</si>
  <si>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</si>
  <si>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</si>
  <si>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</si>
  <si>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</si>
  <si>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</si>
  <si>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</si>
  <si>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</si>
  <si>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</si>
  <si>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</si>
  <si>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</si>
  <si>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</si>
  <si>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</si>
  <si>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</si>
  <si>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</si>
  <si>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</si>
  <si>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</si>
  <si>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</si>
  <si>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</si>
  <si>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</si>
  <si>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</si>
  <si>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</si>
  <si>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</si>
  <si>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</si>
  <si>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</si>
  <si>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</si>
  <si>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</si>
  <si>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</si>
  <si>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</si>
  <si>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</si>
  <si>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</si>
  <si>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</si>
  <si>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</si>
  <si>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</si>
  <si>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</si>
  <si>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</si>
  <si>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</si>
  <si>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</si>
  <si>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</si>
  <si>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</si>
  <si>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</si>
  <si>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</si>
  <si>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</si>
  <si>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</si>
  <si>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</si>
  <si>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</si>
  <si>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</si>
  <si>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</si>
  <si>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</si>
  <si>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</si>
  <si>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</si>
  <si>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</si>
  <si>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</si>
  <si>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</si>
  <si>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</si>
  <si>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</si>
  <si>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</si>
  <si>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</si>
  <si>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</si>
  <si>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</si>
  <si>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</si>
  <si>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</si>
  <si>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</si>
  <si>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</si>
  <si>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</si>
  <si>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</si>
  <si>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</si>
  <si>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</si>
  <si>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</si>
  <si>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</si>
  <si>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</si>
  <si>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</si>
  <si>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</si>
  <si>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</si>
  <si>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</si>
  <si>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</si>
  <si>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</si>
  <si>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</si>
  <si>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</si>
  <si>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</si>
  <si>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</si>
  <si>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</si>
  <si>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</si>
  <si>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</si>
  <si>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</si>
  <si>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</si>
  <si>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</si>
  <si>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</si>
  <si>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</si>
  <si>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</si>
  <si>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</si>
  <si>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</si>
  <si>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</si>
  <si>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</si>
  <si>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</si>
  <si>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</si>
  <si>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</si>
  <si>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</si>
  <si>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</si>
  <si>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</si>
  <si>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</si>
  <si>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</si>
  <si>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</si>
  <si>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</si>
  <si>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</si>
  <si>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</si>
  <si>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</si>
  <si>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</si>
  <si>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</si>
  <si>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</si>
  <si>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</si>
  <si>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</si>
  <si>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</si>
  <si>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</si>
  <si>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</si>
  <si>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</si>
  <si>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</si>
  <si>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</si>
  <si>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</si>
  <si>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</si>
  <si>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</si>
  <si>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</si>
  <si>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</si>
  <si>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</si>
  <si>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</si>
  <si>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</si>
  <si>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</si>
  <si>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</si>
  <si>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</si>
  <si>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</si>
  <si>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</si>
  <si>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</si>
  <si>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</si>
  <si>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</si>
  <si>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</si>
  <si>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</si>
  <si>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</si>
  <si>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</si>
  <si>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</si>
  <si>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</si>
  <si>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</si>
  <si>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</si>
  <si>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</si>
  <si>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</si>
  <si>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</si>
  <si>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</si>
  <si>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</si>
  <si>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</si>
  <si>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</si>
  <si>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</si>
  <si>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</si>
  <si>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</si>
  <si>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</si>
  <si>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</si>
  <si>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</si>
  <si>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</si>
  <si>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</si>
  <si>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</si>
  <si>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</si>
  <si>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</si>
  <si>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</si>
  <si>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</si>
  <si>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</si>
  <si>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</si>
  <si>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</si>
  <si>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</si>
  <si>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</si>
  <si>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</si>
  <si>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</si>
  <si>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</si>
  <si>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</si>
  <si>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</si>
  <si>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</si>
  <si>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</si>
  <si>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</si>
  <si>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</si>
  <si>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</si>
  <si>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</si>
  <si>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</si>
  <si>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</si>
  <si>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</si>
  <si>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</si>
  <si>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</si>
  <si>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</si>
  <si>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</si>
  <si>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</si>
  <si>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</si>
  <si>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</si>
  <si>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</si>
  <si>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</si>
  <si>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</si>
  <si>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</si>
  <si>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</si>
  <si>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</si>
  <si>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</si>
  <si>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</si>
  <si>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</si>
  <si>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</si>
  <si>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</si>
  <si>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</si>
  <si>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</si>
  <si>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</si>
  <si>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</si>
  <si>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</si>
  <si>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</si>
  <si>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</si>
  <si>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</si>
  <si>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</si>
  <si>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</si>
  <si>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</si>
  <si>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</si>
  <si>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</si>
  <si>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</si>
  <si>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</si>
  <si>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</si>
  <si>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</si>
  <si>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</si>
  <si>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</si>
  <si>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</si>
  <si>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</si>
  <si>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</si>
  <si>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</si>
  <si>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</si>
  <si>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</si>
  <si>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</si>
  <si>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</si>
  <si>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</si>
  <si>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</si>
  <si>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</si>
  <si>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</si>
  <si>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</si>
  <si>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</si>
  <si>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</si>
  <si>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</si>
  <si>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</si>
  <si>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</si>
  <si>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</si>
  <si>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</si>
  <si>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</si>
  <si>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</si>
  <si>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</si>
  <si>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</si>
  <si>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</si>
  <si>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</si>
  <si>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</si>
  <si>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</si>
  <si>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</si>
  <si>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</si>
  <si>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</si>
  <si>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</si>
  <si>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</si>
  <si>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</si>
  <si>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</si>
  <si>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</si>
  <si>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</si>
  <si>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</si>
  <si>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</si>
  <si>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</si>
  <si>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</si>
  <si>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</si>
  <si>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</si>
  <si>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</si>
  <si>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</si>
  <si>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</si>
  <si>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</si>
  <si>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</si>
  <si>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</si>
  <si>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</si>
  <si>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</si>
  <si>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</si>
  <si>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</si>
  <si>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</si>
  <si>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</si>
  <si>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</si>
  <si>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</si>
  <si>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</si>
  <si>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</si>
  <si>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</si>
  <si>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</si>
  <si>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</si>
  <si>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</si>
  <si>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</si>
  <si>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</si>
  <si>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</si>
  <si>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</si>
  <si>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</si>
  <si>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</si>
  <si>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</si>
  <si>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</si>
  <si>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</si>
  <si>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</si>
  <si>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</si>
  <si>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</si>
  <si>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</si>
  <si>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</si>
  <si>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</si>
  <si>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</si>
  <si>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</si>
  <si>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</si>
  <si>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</si>
  <si>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</si>
  <si>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</si>
  <si>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</si>
  <si>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</si>
  <si>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</si>
  <si>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</si>
  <si>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</si>
  <si>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</si>
  <si>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</si>
  <si>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</si>
  <si>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</si>
  <si>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</si>
  <si>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</si>
  <si>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</si>
  <si>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</si>
  <si>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</si>
  <si>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</si>
  <si>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</si>
  <si>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</si>
  <si>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</si>
  <si>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</si>
  <si>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</si>
  <si>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</si>
  <si>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</si>
  <si>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</si>
  <si>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</si>
  <si>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</si>
  <si>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</si>
  <si>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</si>
  <si>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</si>
  <si>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</si>
  <si>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</si>
  <si>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</si>
  <si>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</si>
  <si>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</si>
  <si>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</si>
  <si>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</si>
  <si>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</si>
  <si>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</si>
  <si>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</si>
  <si>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</si>
  <si>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</si>
  <si>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</si>
  <si>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</si>
  <si>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</si>
  <si>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</si>
  <si>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</si>
  <si>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</si>
  <si>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</si>
  <si>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</si>
  <si>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</si>
  <si>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</si>
  <si>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</si>
  <si>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</si>
  <si>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</si>
  <si>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</si>
  <si>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</si>
  <si>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</si>
  <si>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</si>
  <si>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</si>
  <si>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</si>
  <si>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</si>
  <si>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</si>
  <si>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</si>
  <si>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</si>
  <si>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</si>
  <si>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</si>
  <si>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</si>
  <si>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</si>
  <si>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</si>
  <si>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</si>
  <si>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</si>
  <si>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</si>
  <si>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</si>
  <si>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</si>
  <si>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</si>
  <si>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</si>
  <si>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</si>
  <si>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</si>
  <si>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</si>
  <si>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</si>
  <si>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</si>
  <si>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</si>
  <si>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</si>
  <si>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</si>
  <si>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</si>
  <si>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</si>
  <si>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</si>
  <si>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</si>
  <si>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</si>
  <si>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</si>
  <si>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</si>
  <si>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</si>
  <si>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</si>
  <si>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</si>
  <si>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</si>
  <si>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</si>
  <si>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</si>
  <si>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</si>
  <si>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</si>
  <si>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</si>
  <si>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</si>
  <si>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</si>
  <si>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</si>
  <si>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</si>
  <si>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</si>
  <si>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</si>
  <si>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</si>
  <si>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</si>
  <si>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</si>
  <si>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</si>
  <si>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</si>
  <si>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</si>
  <si>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</si>
  <si>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</si>
  <si>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</si>
  <si>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</si>
  <si>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</si>
  <si>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</si>
  <si>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</si>
  <si>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</si>
  <si>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</si>
  <si>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</si>
  <si>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</si>
  <si>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</si>
  <si>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</si>
  <si>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</si>
  <si>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</si>
  <si>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</si>
  <si>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</si>
  <si>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</si>
  <si>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</si>
  <si>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</si>
  <si>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</si>
  <si>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</si>
  <si>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</si>
  <si>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</si>
  <si>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</si>
  <si>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</si>
  <si>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</si>
  <si>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</si>
  <si>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</si>
  <si>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</si>
  <si>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</si>
  <si>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</si>
  <si>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</si>
  <si>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</si>
  <si>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</si>
  <si>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</si>
  <si>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</si>
  <si>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</si>
  <si>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</si>
  <si>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</si>
  <si>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</si>
  <si>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</si>
  <si>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</si>
  <si>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</si>
  <si>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</si>
  <si>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</si>
  <si>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</si>
  <si>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</si>
  <si>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</si>
  <si>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</si>
  <si>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</si>
  <si>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</si>
  <si>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</si>
  <si>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</si>
  <si>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</si>
  <si>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</si>
  <si>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</si>
  <si>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</si>
  <si>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</si>
  <si>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</si>
  <si>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</si>
  <si>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</si>
  <si>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</si>
  <si>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</si>
  <si>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</si>
  <si>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</si>
  <si>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</si>
  <si>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</si>
  <si>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</si>
  <si>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</si>
  <si>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</si>
  <si>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</si>
  <si>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</si>
  <si>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</si>
  <si>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</si>
  <si>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</si>
  <si>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</si>
  <si>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</si>
  <si>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</si>
  <si>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</si>
  <si>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</si>
  <si>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</si>
  <si>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</si>
  <si>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</si>
  <si>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</si>
  <si>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</si>
  <si>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</si>
  <si>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</si>
  <si>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</si>
  <si>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</si>
  <si>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</si>
  <si>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</si>
  <si>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</si>
  <si>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</si>
  <si>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</si>
  <si>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</si>
  <si>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</si>
  <si>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</si>
  <si>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</si>
  <si>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</si>
  <si>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</si>
  <si>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</si>
  <si>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</si>
  <si>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</si>
  <si>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</si>
  <si>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</si>
  <si>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</si>
  <si>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</si>
  <si>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</si>
  <si>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</si>
  <si>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</si>
  <si>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</si>
  <si>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</si>
  <si>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</si>
  <si>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</si>
  <si>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</si>
  <si>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</si>
  <si>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</si>
  <si>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</si>
  <si>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</si>
  <si>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</si>
  <si>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</si>
  <si>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</si>
  <si>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</si>
  <si>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</si>
  <si>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</si>
  <si>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</si>
  <si>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</si>
  <si>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</si>
  <si>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</si>
  <si>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</si>
  <si>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</si>
  <si>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</si>
  <si>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</si>
  <si>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</si>
  <si>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</si>
  <si>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</si>
  <si>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</si>
  <si>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</si>
  <si>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</si>
  <si>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</si>
  <si>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</si>
  <si>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</si>
  <si>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</si>
  <si>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</si>
  <si>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</si>
  <si>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</si>
  <si>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</si>
  <si>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</si>
  <si>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</si>
  <si>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</si>
  <si>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</si>
  <si>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</si>
  <si>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</si>
  <si>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</si>
  <si>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</si>
  <si>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</si>
  <si>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</si>
  <si>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</si>
  <si>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</si>
  <si>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</si>
  <si>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</si>
  <si>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</si>
  <si>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</si>
  <si>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</si>
  <si>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</si>
  <si>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</si>
  <si>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</si>
  <si>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</si>
  <si>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</si>
  <si>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</si>
  <si>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</si>
  <si>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</si>
  <si>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</si>
  <si>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</si>
  <si>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</si>
  <si>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</si>
  <si>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</si>
  <si>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</si>
  <si>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</si>
  <si>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</si>
  <si>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</si>
  <si>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</si>
  <si>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</si>
  <si>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</si>
  <si>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</si>
  <si>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</si>
  <si>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</si>
  <si>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</si>
  <si>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</si>
  <si>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</si>
  <si>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</si>
  <si>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</si>
  <si>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</si>
  <si>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</si>
  <si>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</si>
  <si>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</si>
  <si>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</si>
  <si>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</si>
  <si>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</si>
  <si>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</si>
  <si>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</si>
  <si>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</si>
  <si>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</si>
  <si>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</si>
  <si>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</si>
  <si>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</si>
  <si>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</si>
  <si>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</si>
  <si>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</si>
  <si>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</si>
  <si>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</si>
  <si>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</si>
  <si>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</si>
  <si>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</si>
  <si>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</si>
  <si>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</si>
  <si>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</si>
  <si>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</si>
  <si>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</si>
  <si>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</si>
  <si>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</si>
  <si>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</si>
  <si>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</si>
  <si>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</si>
  <si>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</si>
  <si>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</si>
  <si>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</si>
  <si>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</si>
  <si>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</si>
  <si>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</si>
  <si>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</si>
  <si>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</si>
  <si>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</si>
  <si>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</si>
  <si>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</si>
  <si>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</si>
  <si>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</si>
  <si>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</si>
  <si>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</si>
  <si>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</si>
  <si>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</si>
  <si>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</si>
  <si>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</si>
  <si>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</si>
  <si>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</si>
  <si>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</si>
  <si>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</si>
  <si>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</si>
  <si>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</si>
  <si>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</si>
  <si>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</si>
  <si>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</si>
  <si>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</si>
  <si>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</si>
  <si>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</si>
  <si>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</si>
  <si>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</si>
  <si>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</si>
  <si>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</si>
  <si>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</si>
  <si>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</si>
  <si>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</si>
  <si>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</si>
  <si>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</si>
  <si>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</si>
  <si>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</si>
  <si>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</si>
  <si>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</si>
  <si>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</si>
  <si>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</si>
  <si>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</si>
  <si>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</si>
  <si>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</si>
  <si>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</si>
  <si>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</si>
  <si>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</si>
  <si>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</si>
  <si>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</si>
  <si>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</si>
  <si>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</si>
  <si>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</si>
  <si>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</si>
  <si>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</si>
  <si>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</si>
  <si>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</si>
  <si>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</si>
  <si>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</si>
  <si>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</si>
  <si>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</si>
  <si>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</si>
  <si>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</si>
  <si>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</si>
  <si>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</si>
  <si>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</si>
  <si>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</si>
  <si>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</si>
  <si>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</si>
  <si>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</si>
  <si>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</si>
  <si>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</si>
  <si>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</si>
  <si>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</si>
  <si>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</si>
  <si>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</si>
  <si>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</si>
  <si>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</si>
  <si>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</si>
  <si>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</si>
  <si>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</si>
  <si>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</si>
  <si>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</si>
  <si>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</si>
  <si>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</si>
  <si>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</si>
  <si>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</si>
  <si>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</si>
  <si>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</si>
  <si>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</si>
  <si>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</si>
  <si>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</si>
  <si>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</si>
  <si>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</si>
  <si>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</si>
  <si>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</si>
  <si>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</si>
  <si>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</si>
  <si>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</si>
  <si>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</si>
  <si>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</si>
  <si>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</si>
  <si>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</si>
  <si>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</si>
  <si>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</si>
  <si>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</si>
  <si>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</si>
  <si>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</si>
  <si>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</si>
  <si>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</si>
  <si>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</si>
  <si>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</si>
  <si>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</si>
  <si>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</si>
  <si>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</si>
  <si>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</si>
  <si>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</si>
  <si>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</si>
  <si>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</si>
  <si>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</si>
  <si>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</si>
  <si>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</si>
  <si>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</si>
  <si>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</si>
  <si>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</si>
  <si>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</si>
  <si>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</si>
  <si>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</si>
  <si>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</si>
  <si>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</si>
  <si>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</si>
  <si>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</si>
  <si>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</si>
  <si>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</si>
  <si>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</si>
  <si>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</si>
  <si>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</si>
  <si>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</si>
  <si>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</si>
  <si>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</si>
  <si>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</si>
  <si>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</si>
  <si>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</si>
  <si>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</si>
  <si>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</si>
  <si>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</si>
  <si>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</si>
  <si>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</si>
  <si>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</si>
  <si>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</si>
  <si>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</si>
  <si>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</si>
  <si>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</si>
  <si>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</si>
  <si>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</si>
  <si>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</si>
  <si>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</si>
  <si>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</si>
  <si>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</si>
  <si>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</si>
  <si>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</si>
  <si>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</si>
  <si>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</si>
  <si>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</si>
  <si>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</si>
  <si>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</si>
  <si>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</si>
  <si>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</si>
  <si>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</si>
  <si>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</si>
  <si>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</si>
  <si>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</si>
  <si>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</si>
  <si>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</si>
  <si>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</si>
  <si>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</si>
  <si>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</si>
  <si>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</si>
  <si>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</si>
  <si>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</si>
  <si>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</si>
  <si>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</si>
  <si>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</si>
  <si>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</si>
  <si>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</si>
  <si>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</si>
  <si>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</si>
  <si>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</si>
  <si>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</si>
  <si>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</si>
  <si>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</si>
  <si>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</si>
  <si>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</si>
  <si>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</si>
  <si>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</si>
  <si>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</si>
  <si>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</si>
  <si>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</si>
  <si>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</si>
  <si>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</si>
  <si>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</si>
  <si>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</si>
  <si>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</si>
  <si>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</si>
  <si>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</si>
  <si>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</si>
  <si>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</si>
  <si>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</si>
  <si>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</si>
  <si>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</si>
  <si>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</si>
  <si>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</si>
  <si>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</si>
  <si>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</si>
  <si>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</si>
  <si>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</si>
  <si>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</si>
  <si>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</si>
  <si>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</si>
  <si>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</si>
  <si>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</si>
  <si>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</si>
  <si>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</si>
  <si>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</si>
  <si>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</si>
  <si>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</si>
  <si>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</si>
  <si>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</si>
  <si>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</si>
  <si>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</si>
  <si>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</si>
  <si>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</si>
  <si>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</si>
  <si>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</si>
  <si>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</si>
  <si>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</si>
  <si>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</si>
  <si>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</si>
  <si>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</si>
  <si>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</si>
  <si>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</si>
  <si>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</si>
  <si>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</si>
  <si>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</si>
  <si>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</si>
  <si>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</si>
  <si>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</si>
  <si>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</si>
  <si>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</si>
  <si>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</si>
  <si>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</si>
  <si>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</si>
  <si>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</si>
  <si>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</si>
  <si>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</si>
  <si>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</si>
  <si>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</si>
  <si>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</si>
  <si>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</si>
  <si>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</si>
  <si>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</si>
  <si>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</si>
  <si>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</si>
  <si>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</si>
  <si>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</si>
  <si>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</si>
  <si>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</si>
  <si>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</si>
  <si>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</si>
  <si>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</si>
  <si>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</si>
  <si>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</si>
  <si>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</si>
  <si>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</si>
  <si>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</si>
  <si>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</si>
  <si>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</si>
  <si>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</si>
  <si>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</si>
  <si>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</si>
  <si>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</si>
  <si>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</si>
  <si>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</si>
  <si>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</si>
  <si>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</si>
  <si>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</si>
  <si>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</si>
  <si>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</si>
  <si>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</si>
  <si>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</si>
  <si>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</si>
  <si>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</si>
  <si>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</si>
  <si>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</si>
  <si>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</si>
  <si>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</si>
  <si>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</si>
  <si>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</si>
  <si>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</si>
  <si>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</si>
  <si>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</si>
  <si>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</si>
  <si>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</si>
  <si>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</si>
  <si>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</si>
  <si>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</si>
  <si>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</si>
  <si>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</si>
  <si>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</si>
  <si>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</si>
  <si>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</si>
  <si>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</si>
  <si>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</si>
  <si>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</si>
  <si>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</si>
  <si>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</si>
  <si>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</si>
  <si>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</si>
  <si>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</si>
  <si>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</si>
  <si>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</si>
  <si>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</si>
  <si>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</si>
  <si>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</si>
  <si>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</si>
  <si>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</si>
  <si>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</si>
  <si>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</si>
  <si>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</si>
  <si>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</si>
  <si>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</si>
  <si>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</si>
  <si>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</si>
  <si>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</si>
  <si>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</si>
  <si>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</si>
  <si>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</si>
  <si>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</si>
  <si>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</si>
  <si>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</si>
  <si>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</si>
  <si>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</si>
  <si>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</si>
  <si>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</si>
  <si>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</si>
  <si>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</si>
  <si>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</si>
  <si>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</si>
  <si>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</si>
  <si>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</si>
  <si>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</si>
  <si>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</si>
  <si>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</si>
  <si>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</si>
  <si>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</si>
  <si>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</si>
  <si>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</si>
  <si>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</si>
  <si>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</si>
  <si>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</si>
  <si>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</si>
  <si>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</si>
  <si>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</si>
  <si>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</si>
  <si>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</si>
  <si>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</si>
  <si>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</si>
  <si>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</si>
  <si>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</si>
  <si>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</si>
  <si>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</si>
  <si>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</si>
  <si>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</si>
  <si>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</si>
  <si>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</si>
  <si>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</si>
  <si>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</si>
  <si>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</si>
  <si>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</si>
  <si>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</si>
  <si>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</si>
  <si>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</si>
  <si>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</si>
  <si>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</si>
  <si>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</si>
  <si>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</si>
  <si>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</si>
  <si>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</si>
  <si>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</si>
  <si>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</si>
  <si>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</si>
  <si>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</si>
  <si>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</si>
  <si>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</si>
  <si>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</si>
  <si>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</si>
  <si>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</si>
  <si>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</si>
  <si>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</si>
  <si>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</si>
  <si>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</si>
  <si>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</si>
  <si>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</si>
  <si>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</si>
  <si>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</si>
  <si>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</si>
  <si>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</si>
  <si>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</si>
  <si>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</si>
  <si>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</si>
  <si>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</si>
  <si>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</si>
  <si>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</si>
  <si>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</si>
  <si>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</si>
  <si>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</si>
  <si>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</si>
  <si>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</si>
  <si>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</si>
  <si>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</si>
  <si>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</si>
  <si>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</si>
  <si>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</si>
  <si>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</si>
  <si>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</si>
  <si>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</si>
  <si>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</si>
  <si>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</si>
  <si>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</si>
  <si>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</si>
  <si>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</si>
  <si>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</si>
  <si>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</si>
  <si>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</si>
  <si>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</si>
  <si>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</si>
  <si>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</si>
  <si>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</si>
  <si>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</si>
  <si>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</si>
  <si>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</si>
  <si>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</si>
  <si>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</si>
  <si>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</si>
  <si>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</si>
  <si>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</si>
  <si>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</si>
  <si>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</si>
  <si>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</si>
  <si>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</si>
  <si>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</si>
  <si>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</si>
  <si>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</si>
  <si>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</si>
  <si>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</si>
  <si>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</si>
  <si>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</si>
  <si>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</si>
  <si>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</si>
  <si>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</si>
  <si>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</si>
  <si>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</si>
  <si>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</si>
  <si>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</si>
  <si>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</si>
  <si>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</si>
  <si>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</si>
  <si>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</si>
  <si>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</si>
  <si>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</si>
  <si>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</si>
  <si>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</si>
  <si>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</si>
  <si>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</si>
  <si>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</si>
  <si>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</si>
  <si>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</si>
  <si>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</si>
  <si>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</si>
  <si>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</si>
  <si>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</si>
  <si>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</si>
  <si>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</si>
  <si>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</si>
  <si>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</si>
  <si>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</si>
  <si>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</si>
  <si>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</si>
  <si>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</si>
  <si>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</si>
  <si>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</si>
  <si>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</si>
  <si>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</si>
  <si>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</si>
  <si>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</si>
  <si>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</si>
  <si>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</si>
  <si>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</si>
  <si>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</si>
  <si>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</si>
  <si>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</si>
  <si>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</si>
  <si>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</si>
  <si>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</si>
  <si>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</si>
  <si>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</si>
  <si>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</si>
  <si>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</si>
  <si>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</si>
  <si>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</si>
  <si>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</si>
  <si>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</si>
  <si>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</si>
  <si>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</si>
  <si>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</si>
  <si>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</si>
  <si>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</si>
  <si>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</si>
  <si>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</si>
  <si>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</si>
  <si>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</si>
  <si>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</si>
  <si>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</si>
  <si>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</si>
  <si>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</si>
  <si>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</si>
  <si>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</si>
  <si>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</si>
  <si>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</si>
  <si>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</si>
  <si>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</si>
  <si>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</si>
  <si>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</si>
  <si>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</si>
  <si>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</si>
  <si>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</si>
  <si>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</si>
  <si>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</si>
  <si>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</si>
  <si>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</si>
  <si>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</si>
  <si>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</si>
  <si>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</si>
  <si>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</si>
  <si>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</si>
  <si>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</si>
  <si>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</si>
  <si>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</si>
  <si>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</si>
  <si>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</si>
  <si>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</si>
  <si>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</si>
  <si>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</si>
  <si>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</si>
  <si>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</si>
  <si>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</si>
  <si>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</si>
  <si>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</si>
  <si>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</si>
  <si>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</si>
  <si>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</si>
  <si>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</si>
  <si>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</si>
  <si>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</si>
  <si>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</si>
  <si>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</si>
  <si>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</si>
  <si>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</si>
  <si>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</si>
  <si>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</si>
  <si>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</si>
  <si>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</si>
  <si>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</si>
  <si>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</si>
  <si>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</si>
  <si>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</si>
  <si>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</si>
  <si>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</si>
  <si>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</si>
  <si>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</si>
  <si>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</si>
  <si>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</si>
  <si>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</si>
  <si>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</si>
  <si>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</si>
  <si>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</si>
  <si>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</si>
  <si>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</si>
  <si>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</si>
  <si>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</si>
  <si>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</si>
  <si>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</si>
  <si>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</si>
  <si>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</si>
  <si>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</si>
  <si>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</si>
  <si>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</si>
  <si>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</si>
  <si>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</si>
  <si>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</si>
  <si>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</si>
  <si>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</si>
  <si>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</si>
  <si>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</si>
  <si>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</si>
  <si>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</si>
  <si>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</si>
  <si>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</si>
  <si>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</si>
  <si>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</si>
  <si>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</si>
  <si>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</si>
  <si>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</si>
  <si>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</si>
  <si>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</si>
  <si>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</si>
  <si>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</si>
  <si>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</si>
  <si>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</si>
  <si>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</si>
  <si>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</si>
  <si>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</si>
  <si>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</si>
  <si>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</si>
  <si>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</si>
  <si>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</si>
  <si>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</si>
  <si>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</si>
  <si>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</si>
  <si>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</si>
  <si>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</si>
  <si>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</si>
  <si>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</si>
  <si>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</si>
  <si>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</si>
  <si>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</si>
  <si>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</si>
  <si>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</si>
  <si>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</si>
  <si>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</si>
  <si>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</si>
  <si>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</si>
  <si>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</si>
  <si>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</si>
  <si>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</si>
  <si>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</si>
  <si>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</si>
  <si>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</si>
  <si>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</si>
  <si>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</si>
  <si>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</si>
  <si>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</si>
  <si>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</si>
  <si>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</si>
  <si>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</si>
  <si>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</si>
  <si>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</si>
  <si>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</si>
  <si>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</si>
  <si>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</si>
  <si>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</si>
  <si>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</si>
  <si>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</si>
  <si>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</si>
  <si>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</si>
  <si>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</si>
  <si>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</si>
  <si>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</si>
  <si>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</si>
  <si>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</si>
  <si>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</si>
  <si>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</si>
  <si>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</si>
  <si>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</si>
  <si>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</si>
  <si>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</si>
  <si>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</si>
  <si>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</si>
  <si>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</si>
  <si>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</si>
  <si>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</si>
  <si>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</si>
  <si>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</si>
  <si>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</si>
  <si>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</si>
  <si>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</si>
  <si>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</si>
  <si>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</si>
  <si>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</si>
  <si>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</si>
  <si>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</si>
  <si>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</si>
  <si>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</si>
  <si>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</si>
  <si>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</si>
  <si>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</si>
  <si>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</si>
  <si>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</si>
  <si>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</si>
  <si>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</si>
  <si>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</si>
  <si>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</si>
  <si>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</si>
  <si>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</si>
  <si>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</si>
  <si>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</si>
  <si>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</si>
  <si>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</si>
  <si>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</si>
  <si>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</si>
  <si>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</si>
  <si>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</si>
  <si>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</si>
  <si>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</si>
  <si>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</si>
  <si>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</si>
  <si>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</si>
  <si>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</si>
  <si>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</si>
  <si>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</si>
  <si>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</si>
  <si>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</si>
  <si>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</si>
  <si>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</si>
  <si>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</si>
  <si>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</si>
  <si>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</si>
  <si>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</si>
  <si>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</si>
  <si>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</si>
  <si>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</si>
  <si>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</si>
  <si>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</si>
  <si>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</si>
  <si>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</si>
  <si>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</si>
  <si>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</si>
  <si>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</si>
  <si>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</si>
  <si>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</si>
  <si>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</si>
  <si>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</si>
  <si>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</si>
  <si>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</si>
  <si>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</si>
  <si>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</si>
  <si>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</si>
  <si>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</si>
  <si>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</si>
  <si>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</si>
  <si>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</si>
  <si>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</si>
  <si>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</si>
  <si>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</si>
  <si>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</si>
  <si>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</si>
  <si>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</si>
  <si>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</si>
  <si>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</si>
  <si>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</si>
  <si>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</si>
  <si>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</si>
  <si>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</si>
  <si>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</si>
  <si>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</si>
  <si>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</si>
  <si>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</si>
  <si>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</si>
  <si>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</si>
  <si>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</si>
  <si>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</si>
  <si>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</si>
  <si>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</si>
  <si>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</si>
  <si>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</si>
  <si>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</si>
  <si>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</si>
  <si>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</si>
  <si>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</si>
  <si>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</si>
  <si>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</si>
  <si>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</si>
  <si>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</si>
  <si>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</si>
  <si>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</si>
  <si>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</si>
  <si>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</si>
  <si>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</si>
  <si>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</si>
  <si>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</si>
  <si>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</si>
  <si>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</si>
  <si>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</si>
  <si>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</si>
  <si>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</si>
  <si>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</si>
  <si>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</si>
  <si>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</si>
  <si>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</si>
  <si>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</si>
  <si>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</si>
  <si>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</si>
  <si>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</si>
  <si>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</si>
  <si>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</si>
  <si>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</si>
  <si>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</si>
  <si>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</si>
  <si>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</si>
  <si>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</si>
  <si>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</si>
  <si>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</si>
  <si>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</si>
  <si>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</si>
  <si>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</si>
  <si>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</si>
  <si>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</si>
  <si>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</si>
  <si>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</si>
  <si>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</si>
  <si>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</si>
  <si>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</si>
  <si>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</si>
  <si>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</si>
  <si>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</si>
  <si>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</si>
  <si>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</si>
  <si>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</si>
  <si>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</si>
  <si>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</si>
  <si>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</si>
  <si>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</si>
  <si>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</si>
  <si>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</si>
  <si>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</si>
  <si>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</si>
  <si>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</si>
  <si>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</si>
  <si>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</si>
  <si>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</si>
  <si>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</si>
  <si>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</si>
  <si>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</si>
  <si>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</si>
  <si>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</si>
  <si>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</si>
  <si>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</si>
  <si>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</si>
  <si>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</si>
  <si>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</si>
  <si>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</si>
  <si>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</si>
  <si>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</si>
  <si>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</si>
  <si>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</si>
  <si>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</si>
  <si>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</si>
  <si>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</si>
  <si>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</si>
  <si>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</si>
  <si>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</si>
  <si>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</si>
  <si>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</si>
  <si>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</si>
  <si>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</si>
  <si>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</si>
  <si>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</si>
  <si>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</si>
  <si>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</si>
  <si>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</si>
  <si>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</si>
  <si>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</si>
  <si>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</si>
  <si>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</si>
  <si>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</si>
  <si>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</si>
  <si>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</si>
  <si>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</si>
  <si>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</si>
  <si>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</si>
  <si>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</si>
  <si>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</si>
  <si>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</si>
  <si>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</si>
  <si>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</si>
  <si>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</si>
  <si>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</si>
  <si>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</si>
  <si>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</si>
  <si>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</si>
  <si>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</si>
  <si>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</si>
  <si>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</si>
  <si>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</si>
  <si>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</si>
  <si>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</si>
  <si>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</si>
  <si>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</si>
  <si>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</si>
  <si>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</si>
  <si>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</si>
  <si>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</si>
  <si>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</si>
  <si>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</si>
  <si>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</si>
  <si>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</si>
  <si>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</si>
  <si>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</si>
  <si>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</si>
  <si>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</si>
  <si>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</si>
  <si>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</si>
  <si>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</si>
  <si>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</si>
  <si>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</si>
  <si>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</si>
  <si>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</si>
  <si>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</si>
  <si>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</si>
  <si>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</si>
  <si>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</si>
  <si>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</si>
  <si>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</si>
  <si>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</si>
  <si>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</si>
  <si>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</si>
  <si>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</si>
  <si>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</si>
  <si>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</si>
  <si>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</si>
  <si>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</si>
  <si>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</si>
  <si>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</si>
  <si>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</si>
  <si>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</si>
  <si>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</si>
  <si>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</si>
  <si>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</si>
  <si>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</si>
  <si>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</si>
  <si>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</si>
  <si>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</si>
  <si>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</si>
  <si>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</si>
  <si>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</si>
  <si>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</si>
  <si>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</si>
  <si>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</si>
  <si>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</si>
  <si>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</si>
  <si>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</si>
  <si>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</si>
  <si>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</si>
  <si>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</si>
  <si>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</si>
  <si>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</si>
  <si>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</si>
  <si>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</si>
  <si>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</si>
  <si>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</si>
  <si>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</si>
  <si>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</si>
  <si>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</si>
  <si>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</si>
  <si>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</si>
  <si>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</si>
  <si>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</si>
  <si>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</si>
  <si>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</si>
  <si>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</si>
  <si>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</si>
  <si>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</si>
  <si>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</si>
  <si>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</si>
  <si>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</si>
  <si>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</si>
  <si>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</si>
  <si>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</si>
  <si>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</si>
  <si>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</si>
  <si>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</si>
  <si>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</si>
  <si>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</si>
  <si>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</si>
  <si>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</si>
  <si>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</si>
  <si>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</si>
  <si>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</si>
  <si>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</si>
  <si>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</si>
  <si>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</si>
  <si>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</si>
  <si>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</si>
  <si>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</si>
  <si>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</si>
  <si>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</si>
  <si>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</si>
  <si>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</si>
  <si>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</si>
  <si>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</si>
  <si>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</si>
  <si>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</si>
  <si>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</si>
  <si>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</si>
  <si>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</si>
  <si>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</si>
  <si>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</si>
  <si>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</si>
  <si>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</si>
  <si>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</si>
  <si>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</si>
  <si>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</si>
  <si>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</si>
  <si>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</si>
  <si>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</si>
  <si>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</si>
  <si>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</si>
  <si>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</si>
  <si>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</si>
  <si>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</si>
  <si>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</si>
  <si>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</si>
  <si>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</si>
  <si>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</si>
  <si>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</si>
  <si>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</si>
  <si>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</si>
  <si>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</si>
  <si>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</si>
  <si>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</si>
  <si>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</si>
  <si>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</si>
  <si>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</si>
  <si>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</si>
  <si>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</si>
  <si>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</si>
  <si>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</si>
  <si>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</si>
  <si>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</si>
  <si>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</si>
  <si>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</si>
  <si>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</si>
  <si>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</si>
  <si>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</si>
  <si>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</si>
  <si>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</si>
  <si>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</si>
  <si>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</si>
  <si>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</si>
  <si>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</si>
  <si>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</si>
  <si>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</si>
  <si>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</si>
  <si>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</si>
  <si>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</si>
  <si>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</si>
  <si>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</si>
  <si>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</si>
  <si>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</si>
  <si>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</si>
  <si>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</si>
  <si>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</si>
  <si>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</si>
  <si>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</si>
  <si>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</si>
  <si>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</si>
  <si>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</si>
  <si>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</si>
  <si>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</si>
  <si>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</si>
  <si>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</si>
  <si>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</si>
  <si>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</si>
  <si>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</si>
  <si>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</si>
  <si>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</si>
  <si>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</si>
  <si>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</si>
  <si>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</si>
  <si>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</si>
  <si>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</si>
  <si>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</si>
  <si>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</si>
  <si>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</si>
  <si>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</si>
  <si>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</si>
  <si>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</si>
  <si>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</si>
  <si>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</si>
  <si>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</si>
  <si>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</si>
  <si>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</si>
  <si>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</si>
  <si>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</si>
  <si>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</si>
  <si>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</si>
  <si>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</si>
  <si>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</si>
  <si>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</si>
  <si>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</si>
  <si>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</si>
  <si>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</si>
  <si>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</si>
  <si>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</si>
  <si>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</si>
  <si>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</si>
  <si>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</si>
  <si>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</si>
  <si>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</si>
  <si>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</si>
  <si>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</si>
  <si>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</si>
  <si>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</si>
  <si>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</si>
  <si>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</si>
  <si>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</si>
  <si>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</si>
  <si>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</si>
  <si>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</si>
  <si>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</si>
  <si>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</si>
  <si>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</si>
  <si>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</si>
  <si>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</si>
  <si>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</si>
  <si>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</si>
  <si>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</si>
  <si>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</si>
  <si>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</si>
  <si>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</si>
  <si>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</si>
  <si>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</si>
  <si>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</si>
  <si>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</si>
  <si>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</si>
  <si>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</si>
  <si>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</si>
  <si>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</si>
  <si>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</si>
  <si>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</si>
  <si>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</si>
  <si>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</si>
  <si>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</si>
  <si>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</si>
  <si>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</si>
  <si>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</si>
  <si>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</si>
  <si>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</si>
  <si>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</si>
  <si>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</si>
  <si>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</si>
  <si>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</si>
  <si>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</si>
  <si>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</si>
  <si>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</si>
  <si>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</si>
  <si>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</si>
  <si>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</si>
  <si>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</si>
  <si>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</si>
  <si>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</si>
  <si>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</si>
  <si>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</si>
  <si>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</si>
  <si>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</si>
  <si>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</si>
  <si>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</si>
  <si>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</si>
  <si>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</si>
  <si>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</si>
  <si>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</si>
  <si>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</si>
  <si>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</si>
  <si>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</si>
  <si>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</si>
  <si>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</si>
  <si>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</si>
  <si>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</si>
  <si>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</si>
  <si>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</si>
  <si>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</si>
  <si>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</si>
  <si>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</si>
  <si>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</si>
  <si>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</si>
  <si>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</si>
  <si>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</si>
  <si>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</si>
  <si>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</si>
  <si>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</si>
  <si>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</si>
  <si>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</si>
  <si>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</si>
  <si>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</si>
  <si>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</si>
  <si>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</si>
  <si>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</si>
  <si>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</si>
  <si>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</si>
  <si>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</si>
  <si>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</si>
  <si>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</si>
  <si>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</si>
  <si>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</si>
  <si>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</si>
  <si>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</si>
  <si>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</si>
  <si>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</si>
  <si>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</si>
  <si>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</si>
  <si>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</si>
  <si>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</si>
  <si>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</si>
  <si>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</si>
  <si>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</si>
  <si>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</si>
  <si>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</si>
  <si>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</si>
  <si>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</si>
  <si>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</si>
  <si>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</si>
  <si>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</si>
  <si>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</si>
  <si>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</si>
  <si>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</si>
  <si>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</si>
  <si>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</si>
  <si>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</si>
  <si>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</si>
  <si>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</si>
  <si>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</si>
  <si>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</si>
  <si>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</si>
  <si>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</si>
  <si>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</si>
  <si>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</si>
  <si>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</si>
  <si>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</si>
  <si>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</si>
  <si>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</si>
  <si>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</si>
  <si>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</si>
  <si>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</si>
  <si>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</si>
  <si>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</si>
  <si>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</si>
  <si>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</si>
  <si>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</si>
  <si>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</si>
  <si>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</si>
  <si>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</si>
  <si>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</si>
  <si>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</si>
  <si>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</si>
  <si>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</si>
  <si>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</si>
  <si>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</si>
  <si>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</si>
  <si>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</si>
  <si>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</si>
  <si>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</si>
  <si>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</si>
  <si>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</si>
  <si>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</si>
  <si>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</si>
  <si>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</si>
  <si>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</si>
  <si>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</si>
  <si>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</si>
  <si>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</si>
  <si>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</si>
  <si>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</si>
  <si>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</si>
  <si>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</si>
  <si>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</si>
  <si>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</si>
  <si>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</si>
  <si>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</si>
  <si>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</si>
  <si>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</si>
  <si>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</si>
  <si>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</si>
  <si>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</si>
  <si>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</si>
  <si>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</si>
  <si>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</si>
  <si>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</si>
  <si>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</si>
  <si>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</si>
  <si>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</si>
  <si>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</si>
  <si>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</si>
  <si>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</si>
  <si>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</si>
  <si>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</si>
  <si>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</si>
  <si>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</si>
  <si>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</si>
  <si>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</si>
  <si>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</si>
  <si>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</si>
  <si>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</si>
  <si>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</si>
  <si>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</si>
  <si>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</si>
  <si>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</si>
  <si>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</si>
  <si>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</si>
  <si>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</si>
  <si>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</si>
  <si>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</si>
  <si>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</si>
  <si>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</si>
  <si>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</si>
  <si>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</si>
  <si>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</si>
  <si>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</si>
  <si>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</si>
  <si>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</si>
  <si>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</si>
  <si>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</si>
  <si>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</si>
  <si>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</si>
  <si>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</si>
  <si>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</si>
  <si>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</si>
  <si>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</si>
  <si>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</si>
  <si>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</si>
  <si>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</si>
  <si>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</si>
  <si>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</si>
  <si>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</si>
  <si>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</si>
  <si>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</si>
  <si>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</si>
  <si>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</si>
  <si>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</si>
  <si>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</si>
  <si>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</si>
  <si>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</si>
  <si>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</si>
  <si>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</si>
  <si>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</si>
  <si>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</si>
  <si>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</si>
  <si>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</si>
  <si>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</si>
  <si>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</si>
  <si>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</si>
  <si>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</si>
  <si>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</si>
  <si>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</si>
  <si>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</si>
  <si>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</si>
  <si>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</si>
  <si>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</si>
  <si>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</si>
  <si>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</si>
  <si>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</si>
  <si>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</si>
  <si>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</si>
  <si>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</si>
  <si>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</si>
  <si>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</si>
  <si>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</si>
  <si>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</si>
  <si>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</si>
  <si>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</si>
  <si>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</si>
  <si>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</si>
  <si>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</si>
  <si>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</si>
  <si>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</si>
  <si>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</si>
  <si>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</si>
  <si>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</si>
  <si>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</si>
  <si>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</si>
  <si>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</si>
  <si>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</si>
  <si>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</si>
  <si>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</si>
  <si>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</si>
  <si>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</si>
  <si>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</si>
  <si>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</si>
  <si>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</si>
  <si>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</si>
  <si>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</si>
  <si>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</si>
  <si>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</si>
  <si>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</si>
  <si>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</si>
  <si>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</si>
  <si>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</si>
  <si>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</si>
  <si>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</si>
  <si>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</si>
  <si>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</si>
  <si>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</si>
  <si>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</si>
  <si>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</si>
  <si>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</si>
  <si>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</si>
  <si>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</si>
  <si>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</si>
  <si>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</si>
  <si>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</si>
  <si>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</si>
  <si>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</si>
  <si>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</si>
  <si>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</si>
  <si>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</si>
  <si>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</si>
  <si>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</si>
  <si>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</si>
  <si>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</si>
  <si>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</si>
  <si>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</si>
  <si>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</si>
  <si>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</si>
  <si>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</si>
  <si>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</si>
  <si>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</si>
  <si>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</si>
  <si>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</si>
  <si>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</si>
  <si>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</si>
  <si>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</si>
  <si>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</si>
  <si>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</si>
  <si>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</si>
  <si>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</si>
  <si>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</si>
  <si>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</si>
  <si>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</si>
  <si>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</si>
  <si>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</si>
  <si>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</si>
  <si>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</si>
  <si>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</si>
  <si>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</si>
  <si>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</si>
  <si>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</si>
  <si>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</si>
  <si>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</si>
  <si>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</si>
  <si>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</si>
  <si>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</si>
  <si>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</si>
  <si>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</si>
  <si>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</si>
  <si>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</si>
  <si>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</si>
  <si>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</si>
  <si>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</si>
  <si>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</si>
  <si>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</si>
  <si>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</si>
  <si>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</si>
  <si>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</si>
  <si>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</si>
  <si>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</si>
  <si>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</si>
  <si>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</si>
  <si>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</si>
  <si>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</si>
  <si>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</si>
  <si>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</si>
  <si>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</si>
  <si>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</si>
  <si>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</si>
  <si>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</si>
  <si>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</si>
  <si>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</si>
  <si>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</si>
  <si>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</si>
  <si>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</si>
  <si>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</si>
  <si>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</si>
  <si>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</si>
  <si>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</si>
  <si>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</si>
  <si>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</si>
  <si>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</si>
  <si>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</si>
  <si>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</si>
  <si>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</si>
  <si>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</si>
  <si>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</si>
  <si>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</si>
  <si>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</si>
  <si>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</si>
  <si>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</si>
  <si>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</si>
  <si>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</si>
  <si>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</si>
  <si>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</si>
  <si>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</si>
  <si>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</si>
  <si>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</si>
  <si>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</si>
  <si>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</si>
  <si>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</si>
  <si>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</si>
  <si>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</si>
  <si>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</si>
  <si>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</si>
  <si>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</si>
  <si>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</si>
  <si>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</si>
  <si>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</si>
  <si>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</si>
  <si>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</si>
  <si>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</si>
  <si>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</si>
  <si>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</si>
  <si>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</si>
  <si>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</si>
  <si>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</si>
  <si>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</si>
  <si>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</si>
  <si>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</si>
  <si>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</si>
  <si>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</si>
  <si>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</si>
  <si>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</si>
  <si>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</si>
  <si>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</si>
  <si>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</si>
  <si>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</si>
  <si>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</si>
  <si>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</si>
  <si>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</si>
  <si>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</si>
  <si>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</si>
  <si>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</si>
  <si>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</si>
  <si>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</si>
  <si>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</si>
  <si>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</si>
  <si>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</si>
  <si>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</si>
  <si>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</si>
  <si>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</si>
  <si>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</si>
  <si>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</si>
  <si>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</si>
  <si>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</si>
  <si>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</si>
  <si>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</si>
  <si>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</si>
  <si>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</si>
  <si>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</si>
  <si>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</si>
  <si>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</si>
  <si>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</si>
  <si>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</si>
  <si>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</si>
  <si>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</si>
  <si>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</si>
  <si>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</si>
  <si>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</si>
  <si>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</si>
  <si>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</si>
  <si>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</si>
  <si>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</si>
  <si>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</si>
  <si>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</si>
  <si>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</si>
  <si>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</si>
  <si>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</si>
  <si>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</si>
  <si>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</si>
  <si>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</si>
  <si>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</si>
  <si>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</si>
  <si>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</si>
  <si>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</si>
  <si>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</si>
  <si>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</si>
  <si>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</si>
  <si>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</si>
  <si>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</si>
  <si>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</si>
  <si>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</si>
  <si>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</si>
  <si>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</si>
  <si>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</si>
  <si>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</si>
  <si>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</si>
  <si>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</si>
  <si>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</si>
  <si>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</si>
  <si>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</si>
  <si>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</si>
  <si>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</si>
  <si>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</si>
  <si>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</si>
  <si>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</si>
  <si>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</si>
  <si>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</si>
  <si>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</si>
  <si>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</si>
  <si>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</si>
  <si>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</si>
  <si>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</si>
  <si>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</si>
  <si>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</si>
  <si>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</si>
  <si>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</si>
  <si>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</si>
  <si>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</si>
  <si>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</si>
  <si>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</si>
  <si>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</si>
  <si>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</si>
  <si>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</si>
  <si>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</si>
  <si>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</si>
  <si>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</si>
  <si>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</si>
  <si>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</si>
  <si>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</si>
  <si>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</si>
  <si>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</si>
  <si>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</si>
  <si>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</si>
  <si>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</si>
  <si>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</si>
  <si>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</si>
  <si>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</si>
  <si>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</si>
  <si>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</si>
  <si>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</si>
  <si>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</si>
  <si>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</si>
  <si>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</si>
  <si>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</si>
  <si>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</si>
  <si>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</si>
  <si>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</si>
  <si>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</si>
  <si>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</si>
  <si>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</si>
  <si>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</si>
  <si>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</si>
  <si>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</si>
  <si>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</si>
  <si>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</si>
  <si>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</si>
  <si>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</si>
  <si>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</si>
  <si>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</si>
  <si>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</si>
  <si>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</si>
  <si>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</si>
  <si>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</si>
  <si>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</si>
  <si>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</si>
  <si>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</si>
  <si>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</si>
  <si>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</si>
  <si>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</si>
  <si>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</si>
  <si>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</si>
  <si>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</si>
  <si>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</si>
  <si>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</si>
  <si>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</si>
  <si>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</si>
  <si>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</si>
  <si>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</si>
  <si>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</si>
  <si>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</si>
  <si>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</si>
  <si>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</si>
  <si>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</si>
  <si>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</si>
  <si>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</si>
  <si>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</si>
  <si>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</si>
  <si>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</si>
  <si>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</si>
  <si>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</si>
  <si>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</si>
  <si>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</si>
  <si>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</si>
  <si>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</si>
  <si>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</si>
  <si>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</si>
  <si>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</si>
  <si>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</si>
  <si>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</si>
  <si>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</si>
  <si>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</si>
  <si>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</si>
  <si>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</si>
  <si>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</si>
  <si>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</si>
  <si>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</si>
  <si>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</si>
  <si>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</si>
  <si>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</si>
  <si>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</si>
  <si>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</si>
  <si>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</si>
  <si>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</si>
  <si>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</si>
  <si>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</si>
  <si>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</si>
  <si>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</si>
  <si>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</si>
  <si>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</si>
  <si>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</si>
  <si>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</si>
  <si>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</si>
  <si>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</si>
  <si>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</si>
  <si>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</si>
  <si>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</si>
  <si>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</si>
  <si>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</si>
  <si>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</si>
  <si>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</si>
  <si>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</si>
  <si>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</si>
  <si>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</si>
  <si>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</si>
  <si>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</si>
  <si>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</si>
  <si>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</si>
  <si>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</si>
  <si>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</si>
  <si>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</si>
  <si>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</si>
  <si>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</si>
  <si>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</si>
  <si>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</si>
  <si>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</si>
  <si>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</si>
  <si>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</si>
  <si>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</si>
  <si>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</si>
  <si>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</si>
  <si>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</si>
  <si>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</si>
  <si>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</si>
  <si>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</si>
  <si>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</si>
  <si>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</si>
  <si>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</si>
  <si>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</si>
  <si>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</si>
  <si>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</si>
  <si>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</si>
  <si>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</si>
  <si>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</si>
  <si>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</si>
  <si>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</si>
  <si>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</si>
  <si>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</si>
  <si>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</si>
  <si>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</si>
  <si>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</si>
  <si>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</si>
  <si>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</si>
  <si>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</si>
  <si>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</si>
  <si>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</si>
  <si>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</si>
  <si>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</si>
  <si>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</si>
  <si>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</si>
  <si>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</si>
  <si>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</si>
  <si>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</si>
  <si>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</si>
  <si>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</si>
  <si>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</si>
  <si>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</si>
  <si>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</si>
  <si>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</si>
  <si>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</si>
  <si>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</si>
  <si>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</si>
  <si>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</si>
  <si>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</si>
  <si>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</si>
  <si>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</si>
  <si>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</si>
  <si>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</si>
  <si>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</si>
  <si>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</si>
  <si>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</si>
  <si>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</si>
  <si>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</si>
  <si>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</si>
  <si>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</si>
  <si>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</si>
  <si>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</si>
  <si>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</si>
  <si>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</si>
  <si>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</si>
  <si>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</si>
  <si>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</si>
  <si>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</si>
  <si>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</si>
  <si>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</si>
  <si>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</si>
  <si>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</si>
  <si>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</si>
  <si>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</si>
  <si>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</si>
  <si>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</si>
  <si>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</si>
  <si>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</si>
  <si>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</si>
  <si>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</si>
  <si>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</si>
  <si>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</si>
  <si>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</si>
  <si>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</si>
  <si>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</si>
  <si>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</si>
  <si>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</si>
  <si>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</si>
  <si>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</si>
  <si>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</si>
  <si>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</si>
  <si>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</si>
  <si>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</si>
  <si>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</si>
  <si>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</si>
  <si>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</si>
  <si>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</si>
  <si>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</si>
  <si>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</si>
  <si>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</si>
  <si>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</si>
  <si>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</si>
  <si>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</si>
  <si>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</si>
  <si>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</si>
  <si>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</si>
  <si>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</si>
  <si>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</si>
  <si>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</si>
  <si>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</si>
  <si>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</si>
  <si>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</si>
  <si>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</si>
  <si>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</si>
  <si>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</si>
  <si>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</si>
  <si>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</si>
  <si>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</si>
  <si>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</si>
  <si>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</si>
  <si>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</si>
  <si>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</si>
  <si>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</si>
  <si>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</si>
  <si>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</si>
  <si>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</si>
  <si>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</si>
  <si>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</si>
  <si>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</si>
  <si>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</si>
  <si>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</si>
  <si>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</si>
  <si>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</si>
  <si>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</si>
  <si>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</si>
  <si>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</si>
  <si>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</si>
  <si>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</si>
  <si>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</si>
  <si>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</si>
  <si>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</si>
  <si>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</si>
  <si>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</si>
  <si>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</si>
  <si>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</si>
  <si>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</si>
  <si>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</si>
  <si>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</si>
  <si>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</si>
  <si>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</si>
  <si>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</si>
  <si>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</si>
  <si>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</si>
  <si>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</si>
  <si>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</si>
  <si>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</si>
  <si>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</si>
  <si>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</si>
  <si>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</si>
  <si>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</si>
  <si>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</si>
  <si>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</si>
  <si>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</si>
  <si>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</si>
  <si>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</si>
  <si>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</si>
  <si>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</si>
  <si>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</si>
  <si>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</si>
  <si>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</si>
  <si>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</si>
  <si>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</si>
  <si>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</si>
  <si>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</si>
  <si>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</si>
  <si>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</si>
  <si>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</si>
  <si>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</si>
  <si>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</si>
  <si>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</si>
  <si>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</si>
  <si>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</si>
  <si>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</si>
  <si>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</si>
  <si>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</si>
  <si>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</si>
  <si>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</si>
  <si>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</si>
  <si>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</si>
  <si>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</si>
  <si>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</si>
  <si>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</si>
  <si>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</si>
  <si>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</si>
  <si>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</si>
  <si>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</si>
  <si>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</si>
  <si>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</si>
  <si>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</si>
  <si>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</si>
  <si>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</si>
  <si>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</si>
  <si>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</si>
  <si>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</si>
  <si>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</si>
  <si>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</si>
  <si>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</si>
  <si>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</si>
  <si>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</si>
  <si>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</si>
  <si>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</si>
  <si>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</si>
  <si>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</si>
  <si>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</si>
  <si>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</si>
  <si>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</si>
  <si>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</si>
  <si>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</si>
  <si>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</si>
  <si>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</si>
  <si>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</si>
  <si>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</si>
  <si>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</si>
  <si>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</si>
  <si>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</si>
  <si>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</si>
  <si>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</si>
  <si>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</si>
  <si>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</si>
  <si>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</si>
  <si>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</si>
  <si>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</si>
  <si>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</si>
  <si>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</si>
  <si>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</si>
  <si>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</si>
  <si>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</si>
  <si>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</si>
  <si>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</si>
  <si>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</si>
  <si>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</si>
  <si>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</si>
  <si>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</si>
  <si>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</si>
  <si>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</si>
  <si>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</si>
  <si>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</si>
  <si>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</si>
  <si>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</si>
  <si>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</si>
  <si>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</si>
  <si>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</si>
  <si>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</si>
  <si>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</si>
  <si>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</si>
  <si>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</si>
  <si>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</si>
  <si>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</si>
  <si>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</si>
  <si>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</si>
  <si>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</si>
  <si>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</si>
  <si>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</si>
  <si>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</si>
  <si>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</si>
  <si>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</si>
  <si>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</si>
  <si>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</si>
  <si>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</si>
  <si>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</si>
  <si>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</si>
  <si>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</si>
  <si>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</si>
  <si>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</si>
  <si>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</si>
  <si>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</si>
  <si>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</si>
  <si>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</si>
  <si>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</si>
  <si>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</si>
  <si>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</si>
  <si>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</si>
  <si>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</si>
  <si>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</si>
  <si>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</si>
  <si>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</si>
  <si>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</si>
  <si>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</si>
  <si>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</si>
  <si>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</si>
  <si>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</si>
  <si>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</si>
  <si>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</si>
  <si>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</si>
  <si>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</si>
  <si>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</si>
  <si>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</si>
  <si>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</si>
  <si>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</si>
  <si>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</si>
  <si>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</si>
  <si>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</si>
  <si>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</si>
  <si>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</si>
  <si>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</si>
  <si>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</si>
  <si>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</si>
  <si>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</si>
  <si>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</si>
  <si>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</si>
  <si>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</si>
  <si>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</si>
  <si>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</si>
  <si>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</si>
  <si>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</si>
  <si>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</si>
  <si>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</si>
  <si>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</si>
  <si>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</si>
  <si>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</si>
  <si>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</si>
  <si>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</si>
  <si>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</si>
  <si>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</si>
  <si>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</si>
  <si>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</si>
  <si>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</si>
  <si>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</si>
  <si>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</si>
  <si>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</si>
  <si>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</si>
  <si>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</si>
  <si>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</si>
  <si>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</si>
  <si>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</si>
  <si>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</si>
  <si>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</si>
  <si>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</si>
  <si>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</si>
  <si>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</si>
  <si>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</si>
  <si>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</si>
  <si>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</si>
  <si>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</si>
  <si>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</si>
  <si>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</si>
  <si>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</si>
  <si>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</si>
  <si>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</si>
  <si>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</si>
  <si>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</si>
  <si>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</si>
  <si>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</si>
  <si>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</si>
  <si>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</si>
  <si>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</si>
  <si>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</si>
  <si>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</si>
  <si>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</si>
  <si>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</si>
  <si>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</si>
  <si>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</si>
  <si>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</si>
  <si>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</si>
  <si>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</si>
  <si>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</si>
  <si>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</si>
  <si>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</si>
  <si>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</si>
  <si>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</si>
  <si>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</si>
  <si>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</si>
  <si>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</si>
  <si>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</si>
  <si>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</si>
  <si>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</si>
  <si>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</si>
  <si>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</si>
  <si>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</si>
  <si>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</si>
  <si>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</si>
  <si>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</si>
  <si>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</si>
  <si>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</si>
  <si>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</si>
  <si>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</si>
  <si>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</si>
  <si>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</si>
  <si>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</si>
  <si>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</si>
  <si>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</si>
  <si>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</si>
  <si>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</si>
  <si>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</si>
  <si>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</si>
  <si>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</si>
  <si>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</si>
  <si>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</si>
  <si>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</si>
  <si>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</si>
  <si>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</si>
  <si>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</si>
  <si>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</si>
  <si>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</si>
  <si>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</si>
  <si>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</si>
  <si>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</si>
  <si>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</si>
  <si>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</si>
  <si>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</si>
  <si>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</si>
  <si>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</si>
  <si>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</si>
  <si>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</si>
  <si>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</si>
  <si>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</si>
  <si>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</si>
  <si>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</si>
  <si>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</si>
  <si>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</si>
  <si>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</si>
  <si>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</si>
  <si>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</si>
  <si>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</si>
  <si>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</si>
  <si>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</si>
  <si>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</si>
  <si>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</si>
  <si>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</si>
  <si>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</si>
  <si>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</si>
  <si>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</si>
  <si>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</si>
  <si>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</si>
  <si>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</si>
  <si>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</si>
  <si>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</si>
  <si>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</si>
  <si>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</si>
  <si>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</si>
  <si>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</si>
  <si>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</si>
  <si>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</si>
  <si>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</si>
  <si>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</si>
  <si>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</si>
  <si>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</si>
  <si>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</si>
  <si>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</si>
  <si>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</si>
  <si>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</si>
  <si>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</si>
  <si>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</si>
  <si>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</si>
  <si>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</si>
  <si>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</si>
  <si>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</si>
  <si>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</si>
  <si>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</si>
  <si>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</si>
  <si>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</si>
  <si>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</si>
  <si>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</si>
  <si>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</si>
  <si>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</si>
  <si>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</si>
  <si>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</si>
  <si>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</si>
  <si>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</si>
  <si>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</si>
  <si>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</si>
  <si>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</si>
  <si>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</si>
  <si>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</si>
  <si>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</si>
  <si>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</si>
  <si>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</si>
  <si>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</si>
  <si>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</si>
  <si>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</si>
  <si>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</si>
  <si>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</si>
  <si>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</si>
  <si>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</si>
  <si>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</si>
  <si>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</si>
  <si>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</si>
  <si>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</si>
  <si>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</si>
  <si>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</si>
  <si>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</si>
  <si>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</si>
  <si>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</si>
  <si>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</si>
  <si>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</si>
  <si>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</si>
  <si>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</si>
  <si>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</si>
  <si>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</si>
  <si>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</si>
  <si>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</si>
  <si>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</si>
  <si>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</si>
  <si>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</si>
  <si>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</si>
  <si>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</si>
  <si>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</si>
  <si>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</si>
  <si>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</si>
  <si>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</si>
  <si>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</si>
  <si>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</si>
  <si>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</si>
  <si>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</si>
  <si>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</si>
  <si>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</si>
  <si>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</si>
  <si>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</si>
  <si>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</si>
  <si>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</si>
  <si>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</si>
  <si>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</si>
  <si>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</si>
  <si>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</si>
  <si>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</si>
  <si>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</si>
  <si>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</si>
  <si>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</si>
  <si>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</si>
  <si>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</si>
  <si>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</si>
  <si>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</si>
  <si>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</si>
  <si>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</si>
  <si>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</si>
  <si>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</si>
  <si>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</si>
  <si>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</si>
  <si>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</si>
  <si>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</si>
  <si>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</si>
  <si>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</si>
  <si>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</si>
  <si>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</si>
  <si>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</si>
  <si>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</si>
  <si>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</si>
  <si>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</si>
  <si>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</si>
  <si>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</si>
  <si>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</si>
  <si>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</si>
  <si>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</si>
  <si>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</si>
  <si>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</si>
  <si>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</si>
  <si>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</si>
  <si>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</si>
  <si>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</si>
  <si>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</si>
  <si>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</si>
  <si>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</si>
  <si>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</si>
  <si>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</si>
  <si>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</si>
  <si>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</si>
  <si>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</si>
  <si>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</si>
  <si>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</si>
  <si>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</si>
  <si>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</si>
  <si>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</si>
  <si>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</si>
  <si>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</si>
  <si>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</si>
  <si>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</si>
  <si>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</si>
  <si>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</si>
  <si>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</si>
  <si>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</si>
  <si>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</si>
  <si>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</si>
  <si>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</si>
  <si>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</si>
  <si>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</si>
  <si>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</si>
  <si>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</si>
  <si>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</si>
  <si>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</si>
  <si>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</si>
  <si>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</si>
  <si>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</si>
  <si>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</si>
  <si>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</si>
  <si>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</si>
  <si>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</si>
  <si>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</si>
  <si>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</si>
  <si>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</si>
  <si>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</si>
  <si>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</si>
  <si>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</si>
  <si>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</si>
  <si>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</si>
  <si>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</si>
  <si>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</si>
  <si>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</si>
  <si>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</si>
  <si>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</si>
  <si>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</si>
  <si>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</si>
  <si>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</si>
  <si>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</si>
  <si>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</si>
  <si>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</si>
  <si>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</si>
  <si>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</si>
  <si>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</si>
  <si>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</si>
  <si>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</si>
  <si>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</si>
  <si>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</si>
  <si>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</si>
  <si>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</si>
  <si>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</si>
  <si>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</si>
  <si>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</si>
  <si>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</si>
  <si>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</si>
  <si>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</si>
  <si>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</si>
  <si>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</si>
  <si>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</si>
  <si>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</si>
  <si>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</si>
  <si>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</si>
  <si>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</si>
  <si>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</si>
  <si>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</si>
  <si>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</si>
  <si>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</si>
  <si>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</si>
  <si>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</si>
  <si>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</si>
  <si>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</si>
  <si>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</si>
  <si>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</si>
  <si>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</si>
  <si>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</si>
  <si>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</si>
  <si>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</si>
  <si>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</si>
  <si>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</si>
  <si>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</si>
  <si>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</si>
  <si>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</si>
  <si>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</si>
  <si>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</si>
  <si>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</si>
  <si>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</si>
  <si>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</si>
  <si>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</si>
  <si>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</si>
  <si>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</si>
  <si>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</si>
  <si>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</si>
  <si>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</si>
  <si>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</si>
  <si>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</si>
  <si>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</si>
  <si>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</si>
  <si>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</si>
  <si>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</si>
  <si>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</si>
  <si>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</si>
  <si>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</si>
  <si>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</si>
  <si>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</si>
  <si>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</si>
  <si>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</si>
  <si>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</si>
  <si>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</si>
  <si>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</si>
  <si>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</si>
  <si>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</si>
  <si>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</si>
  <si>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</si>
  <si>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</si>
  <si>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</si>
  <si>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</si>
  <si>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</si>
  <si>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</si>
  <si>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</si>
  <si>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</si>
  <si>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</si>
  <si>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</si>
  <si>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</si>
  <si>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</si>
  <si>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</si>
  <si>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</si>
  <si>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</si>
  <si>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</si>
  <si>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</si>
  <si>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</si>
  <si>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</si>
  <si>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</si>
  <si>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</si>
  <si>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</si>
  <si>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</si>
  <si>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</si>
  <si>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</si>
  <si>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</si>
  <si>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</si>
  <si>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</si>
  <si>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</si>
  <si>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</si>
  <si>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</si>
  <si>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</si>
  <si>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</si>
  <si>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</si>
  <si>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</si>
  <si>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</si>
  <si>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</si>
  <si>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</si>
  <si>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</si>
  <si>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</si>
  <si>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</si>
  <si>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</si>
  <si>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</si>
  <si>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</si>
  <si>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</si>
  <si>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</si>
  <si>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</si>
  <si>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</si>
  <si>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</si>
  <si>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</si>
  <si>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</si>
  <si>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</si>
  <si>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</si>
  <si>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</si>
  <si>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</si>
  <si>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</si>
  <si>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</si>
  <si>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</si>
  <si>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</si>
  <si>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</si>
  <si>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</si>
  <si>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</si>
  <si>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</si>
  <si>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</si>
  <si>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</si>
  <si>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</si>
  <si>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</si>
  <si>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</si>
  <si>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</si>
  <si>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</si>
  <si>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</si>
  <si>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</si>
  <si>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</si>
  <si>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</si>
  <si>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</si>
  <si>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</si>
  <si>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</si>
  <si>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</si>
  <si>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</si>
  <si>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</si>
  <si>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</si>
  <si>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</si>
  <si>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</si>
  <si>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</si>
  <si>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</si>
  <si>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</si>
  <si>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</si>
  <si>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</si>
  <si>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</si>
  <si>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</si>
  <si>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</si>
  <si>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</si>
  <si>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</si>
  <si>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</si>
  <si>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</si>
  <si>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</si>
  <si>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</si>
  <si>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</si>
  <si>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</si>
  <si>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</si>
  <si>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</si>
  <si>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</si>
  <si>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</si>
  <si>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</si>
  <si>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</si>
  <si>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</si>
  <si>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</si>
  <si>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</si>
  <si>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</si>
  <si>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</si>
  <si>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</si>
  <si>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</si>
  <si>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</si>
  <si>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</si>
  <si>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</si>
  <si>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</si>
  <si>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</si>
  <si>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</si>
  <si>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</si>
  <si>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</si>
  <si>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</si>
  <si>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</si>
  <si>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</si>
  <si>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</si>
  <si>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</si>
  <si>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</si>
  <si>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</si>
  <si>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</si>
  <si>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</si>
  <si>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</si>
  <si>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</si>
  <si>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</si>
  <si>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</si>
  <si>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</si>
  <si>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</si>
  <si>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</si>
  <si>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</si>
  <si>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</si>
  <si>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</si>
  <si>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</si>
  <si>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</si>
  <si>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</si>
  <si>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</si>
  <si>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</si>
  <si>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</si>
  <si>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</si>
  <si>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</si>
  <si>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</si>
  <si>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</si>
  <si>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</si>
  <si>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</si>
  <si>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</si>
  <si>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</si>
  <si>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</si>
  <si>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</si>
  <si>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</si>
  <si>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</si>
  <si>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</si>
  <si>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</si>
  <si>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</si>
  <si>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</si>
  <si>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</si>
  <si>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</si>
  <si>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</si>
  <si>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</si>
  <si>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</si>
  <si>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</si>
  <si>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</si>
  <si>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</si>
  <si>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</si>
  <si>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</si>
  <si>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</si>
  <si>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</si>
  <si>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</si>
  <si>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</si>
  <si>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</si>
  <si>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</si>
  <si>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</si>
  <si>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</si>
  <si>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</si>
  <si>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</si>
  <si>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</si>
  <si>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</si>
  <si>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</si>
  <si>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</si>
  <si>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</si>
  <si>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</si>
  <si>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</si>
  <si>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</si>
  <si>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</si>
  <si>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</si>
  <si>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</si>
  <si>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</si>
  <si>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</si>
  <si>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</si>
  <si>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</si>
  <si>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</si>
  <si>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</si>
  <si>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</si>
  <si>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</si>
  <si>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</si>
  <si>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</si>
  <si>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</si>
  <si>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</si>
  <si>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</si>
  <si>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</si>
  <si>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</si>
  <si>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</si>
  <si>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</si>
  <si>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</si>
  <si>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</si>
  <si>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</si>
  <si>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</si>
  <si>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</si>
  <si>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</si>
  <si>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</si>
  <si>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</si>
  <si>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</si>
  <si>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</si>
  <si>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</si>
  <si>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</si>
  <si>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</si>
  <si>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</si>
  <si>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</si>
  <si>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</si>
  <si>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</si>
  <si>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</si>
  <si>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</si>
  <si>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</si>
  <si>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</si>
  <si>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</si>
  <si>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</si>
  <si>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</si>
  <si>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</si>
  <si>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</si>
  <si>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</si>
  <si>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</si>
  <si>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</si>
  <si>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</si>
  <si>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</si>
  <si>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</si>
  <si>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</si>
  <si>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</si>
  <si>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</si>
  <si>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</si>
  <si>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</si>
  <si>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</si>
  <si>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</si>
  <si>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</si>
  <si>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</si>
  <si>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</si>
  <si>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</si>
  <si>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</si>
  <si>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</si>
  <si>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</si>
  <si>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</si>
  <si>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</si>
  <si>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</si>
  <si>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</si>
  <si>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</si>
  <si>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</si>
  <si>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</si>
  <si>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</si>
  <si>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</si>
  <si>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</si>
  <si>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</si>
  <si>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</si>
  <si>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</si>
  <si>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</si>
  <si>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</si>
  <si>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</si>
  <si>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</si>
  <si>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</si>
  <si>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</si>
  <si>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</si>
  <si>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</si>
  <si>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</si>
  <si>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</si>
  <si>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</si>
  <si>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</si>
  <si>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</si>
  <si>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</si>
  <si>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</si>
  <si>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</si>
  <si>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</si>
  <si>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</si>
  <si>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</si>
  <si>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</si>
  <si>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</si>
  <si>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</si>
  <si>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</si>
  <si>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</si>
  <si>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</si>
  <si>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</si>
  <si>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</si>
  <si>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</si>
  <si>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</si>
  <si>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</si>
  <si>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</si>
  <si>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</si>
  <si>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</si>
  <si>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</si>
  <si>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</si>
  <si>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</si>
  <si>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</si>
  <si>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</si>
  <si>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</si>
  <si>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</si>
  <si>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</si>
  <si>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</si>
  <si>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</si>
  <si>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</si>
  <si>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</si>
  <si>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</si>
  <si>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</si>
  <si>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</si>
  <si>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</si>
  <si>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</si>
  <si>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</si>
  <si>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</si>
  <si>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</si>
  <si>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</si>
  <si>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</si>
  <si>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</si>
  <si>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</si>
  <si>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</si>
  <si>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</si>
  <si>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</si>
  <si>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</si>
  <si>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</si>
  <si>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</si>
  <si>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</si>
  <si>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</si>
  <si>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</si>
  <si>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</si>
  <si>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</si>
  <si>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</si>
  <si>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</si>
  <si>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</si>
  <si>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</si>
  <si>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</si>
  <si>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</si>
  <si>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</si>
  <si>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</si>
  <si>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</si>
  <si>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</si>
  <si>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</si>
  <si>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</si>
  <si>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</si>
  <si>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</si>
  <si>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</si>
  <si>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</si>
  <si>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</si>
  <si>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</si>
  <si>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</si>
  <si>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</si>
  <si>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</si>
  <si>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</si>
  <si>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</si>
  <si>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</si>
  <si>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</si>
  <si>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</si>
  <si>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</si>
  <si>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</si>
  <si>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</si>
  <si>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</si>
  <si>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</si>
  <si>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</si>
  <si>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</si>
  <si>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</si>
  <si>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</si>
  <si>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</si>
  <si>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</si>
  <si>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</si>
  <si>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</si>
  <si>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</si>
  <si>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</si>
  <si>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</si>
  <si>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</si>
  <si>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</si>
  <si>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</si>
  <si>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</si>
  <si>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</si>
  <si>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</si>
  <si>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</si>
  <si>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</si>
  <si>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</si>
  <si>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</si>
  <si>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</si>
  <si>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</si>
  <si>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</si>
  <si>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</si>
  <si>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</si>
  <si>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</si>
  <si>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</si>
  <si>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</si>
  <si>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</si>
  <si>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</si>
  <si>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</si>
  <si>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</si>
  <si>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</si>
  <si>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</si>
  <si>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</si>
  <si>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</si>
  <si>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</si>
  <si>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</si>
  <si>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</si>
  <si>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</si>
  <si>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</si>
  <si>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</si>
  <si>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</si>
  <si>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</si>
  <si>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</si>
  <si>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</si>
  <si>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</si>
  <si>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</si>
  <si>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</si>
  <si>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</si>
  <si>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</si>
  <si>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</si>
  <si>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</si>
  <si>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</si>
  <si>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</si>
  <si>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</si>
  <si>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</si>
  <si>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</si>
  <si>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</si>
  <si>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</si>
  <si>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</si>
  <si>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</si>
  <si>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</si>
  <si>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</si>
  <si>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</si>
  <si>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</si>
  <si>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</si>
  <si>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</si>
  <si>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</si>
  <si>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</si>
  <si>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</si>
  <si>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</si>
  <si>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</si>
  <si>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</si>
  <si>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</si>
  <si>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</si>
  <si>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</si>
  <si>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</si>
  <si>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</si>
  <si>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</si>
  <si>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</si>
  <si>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</si>
  <si>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</si>
  <si>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</si>
  <si>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</si>
  <si>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</si>
  <si>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</si>
  <si>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</si>
  <si>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</si>
  <si>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</si>
  <si>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</si>
  <si>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</si>
  <si>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</si>
  <si>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</si>
  <si>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</si>
  <si>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</si>
  <si>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</si>
  <si>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</si>
  <si>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</si>
  <si>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</si>
  <si>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</si>
  <si>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</si>
  <si>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</si>
  <si>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</si>
  <si>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</si>
  <si>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</si>
  <si>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</si>
  <si>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</si>
  <si>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</si>
  <si>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</si>
  <si>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</si>
  <si>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</si>
  <si>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</si>
  <si>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</si>
  <si>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</si>
  <si>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</si>
  <si>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</si>
  <si>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</si>
  <si>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</si>
  <si>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</si>
  <si>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</si>
  <si>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</si>
  <si>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</si>
  <si>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</si>
  <si>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</si>
  <si>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</si>
  <si>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</si>
  <si>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</si>
  <si>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</si>
  <si>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</si>
  <si>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</si>
  <si>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</si>
  <si>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</si>
  <si>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</si>
  <si>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</si>
  <si>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</si>
  <si>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</si>
  <si>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</si>
  <si>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</si>
  <si>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</si>
  <si>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</si>
  <si>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</si>
  <si>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</si>
  <si>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</si>
  <si>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</si>
  <si>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</si>
  <si>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</si>
  <si>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</si>
  <si>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</si>
  <si>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</si>
  <si>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</si>
  <si>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</si>
  <si>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</si>
  <si>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</si>
  <si>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</si>
  <si>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</si>
  <si>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</si>
  <si>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</si>
  <si>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</si>
  <si>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</si>
  <si>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</si>
  <si>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</si>
  <si>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</si>
  <si>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</si>
  <si>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</si>
  <si>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</si>
  <si>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</si>
  <si>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</si>
  <si>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</si>
  <si>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</si>
  <si>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</si>
  <si>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</si>
  <si>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</si>
  <si>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</si>
  <si>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</si>
  <si>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</si>
  <si>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</si>
  <si>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</si>
  <si>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</si>
  <si>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</si>
  <si>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</si>
  <si>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</si>
  <si>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</si>
  <si>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</si>
  <si>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</si>
  <si>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</si>
  <si>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</si>
  <si>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</si>
  <si>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</si>
  <si>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</si>
  <si>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</si>
  <si>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</si>
  <si>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</si>
  <si>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</si>
  <si>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</si>
  <si>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</si>
  <si>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</si>
  <si>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</si>
  <si>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</si>
  <si>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</si>
  <si>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</si>
  <si>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</si>
  <si>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</si>
  <si>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</si>
  <si>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</si>
  <si>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</si>
  <si>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</si>
  <si>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</si>
  <si>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</si>
  <si>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</si>
  <si>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</si>
  <si>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</si>
  <si>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</si>
  <si>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</si>
  <si>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</si>
  <si>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</si>
  <si>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</si>
  <si>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</si>
  <si>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</si>
  <si>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</si>
  <si>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</si>
  <si>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</si>
  <si>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</si>
  <si>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</si>
  <si>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</si>
  <si>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</si>
  <si>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</si>
  <si>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</si>
  <si>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</si>
  <si>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</si>
  <si>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</si>
  <si>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</si>
  <si>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</si>
  <si>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</si>
  <si>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</si>
  <si>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</si>
  <si>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</si>
  <si>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</si>
  <si>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</si>
  <si>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</si>
  <si>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</si>
  <si>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</si>
  <si>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</si>
  <si>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</si>
  <si>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</si>
  <si>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</si>
  <si>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</si>
  <si>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</si>
  <si>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</si>
  <si>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</si>
  <si>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</si>
  <si>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</si>
  <si>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</si>
  <si>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</si>
  <si>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</si>
  <si>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</si>
  <si>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</si>
  <si>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</si>
  <si>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</si>
  <si>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</si>
  <si>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</si>
  <si>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</si>
  <si>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</si>
  <si>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</si>
  <si>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</si>
  <si>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</si>
  <si>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</si>
  <si>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</si>
  <si>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</si>
  <si>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</si>
  <si>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</si>
  <si>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</si>
  <si>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</si>
  <si>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</si>
  <si>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</si>
  <si>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</si>
  <si>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</si>
  <si>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</si>
  <si>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</si>
  <si>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</si>
  <si>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</si>
  <si>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</si>
  <si>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</si>
  <si>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</si>
  <si>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</si>
  <si>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</si>
  <si>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</si>
  <si>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</si>
  <si>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</si>
  <si>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</si>
  <si>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</si>
  <si>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</si>
  <si>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</si>
  <si>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</si>
  <si>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</si>
  <si>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</si>
  <si>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</si>
  <si>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</si>
  <si>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</si>
  <si>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</si>
  <si>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</si>
  <si>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</si>
  <si>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</si>
  <si>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</si>
  <si>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</si>
  <si>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</si>
  <si>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</si>
  <si>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</si>
  <si>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</si>
  <si>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</si>
  <si>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</si>
  <si>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</si>
  <si>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</si>
  <si>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</si>
  <si>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</si>
  <si>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</si>
  <si>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</si>
  <si>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</si>
  <si>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</si>
  <si>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</si>
  <si>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</si>
  <si>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</si>
  <si>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</si>
  <si>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</si>
  <si>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</si>
  <si>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</si>
  <si>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</si>
  <si>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</si>
  <si>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</si>
  <si>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</si>
  <si>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</si>
  <si>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</si>
  <si>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</si>
  <si>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</si>
  <si>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</si>
  <si>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</si>
  <si>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</si>
  <si>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</si>
  <si>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</si>
  <si>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</si>
  <si>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</si>
  <si>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</si>
  <si>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</si>
  <si>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</si>
  <si>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</si>
  <si>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</si>
  <si>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</si>
  <si>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</si>
  <si>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</si>
  <si>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</si>
  <si>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</si>
  <si>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</si>
  <si>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</si>
  <si>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</si>
  <si>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</si>
  <si>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</si>
  <si>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</si>
  <si>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</si>
  <si>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</si>
  <si>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</si>
  <si>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</si>
  <si>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</si>
  <si>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</si>
  <si>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</si>
  <si>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</si>
  <si>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</si>
  <si>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</si>
  <si>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</si>
  <si>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</si>
  <si>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</si>
  <si>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</si>
  <si>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</si>
  <si>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</si>
  <si>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</si>
  <si>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</si>
  <si>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</si>
  <si>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</si>
  <si>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</si>
  <si>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</si>
  <si>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</si>
  <si>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</si>
  <si>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</si>
  <si>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</si>
  <si>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</si>
  <si>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</si>
  <si>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</si>
  <si>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</si>
  <si>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</si>
  <si>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</si>
  <si>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</si>
  <si>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</si>
  <si>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</si>
  <si>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</si>
  <si>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</si>
  <si>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</si>
  <si>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</si>
  <si>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</si>
  <si>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</si>
  <si>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</si>
  <si>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</si>
  <si>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</si>
  <si>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</si>
  <si>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</si>
  <si>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</si>
  <si>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</si>
  <si>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</si>
  <si>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</si>
  <si>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</si>
  <si>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</si>
  <si>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</si>
  <si>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</si>
  <si>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</si>
  <si>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</si>
  <si>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</si>
  <si>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</si>
  <si>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</si>
  <si>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</si>
  <si>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</si>
  <si>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</si>
  <si>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</si>
  <si>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</si>
  <si>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</si>
  <si>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</si>
  <si>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</si>
  <si>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</si>
  <si>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</si>
  <si>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</si>
  <si>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</si>
  <si>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</si>
  <si>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</si>
  <si>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</si>
  <si>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</si>
  <si>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</si>
  <si>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</si>
  <si>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</si>
  <si>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</si>
  <si>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</si>
  <si>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</si>
  <si>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</si>
  <si>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</si>
  <si>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</si>
  <si>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</si>
  <si>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</si>
  <si>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</si>
  <si>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</si>
  <si>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</si>
  <si>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</si>
  <si>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</si>
  <si>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</si>
  <si>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</si>
  <si>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</si>
  <si>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</si>
  <si>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</si>
  <si>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</si>
  <si>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</si>
  <si>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</si>
  <si>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</si>
  <si>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</si>
  <si>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</si>
  <si>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</si>
  <si>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</si>
  <si>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</si>
  <si>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</si>
  <si>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</si>
  <si>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</si>
  <si>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</si>
  <si>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</si>
  <si>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</si>
  <si>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</si>
  <si>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</si>
  <si>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</si>
  <si>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</si>
  <si>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</si>
  <si>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</si>
  <si>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</si>
  <si>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</si>
  <si>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</si>
  <si>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</si>
  <si>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</si>
  <si>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</si>
  <si>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</si>
  <si>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</si>
  <si>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</si>
  <si>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</si>
  <si>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</si>
  <si>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</si>
  <si>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</si>
  <si>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</si>
  <si>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</si>
  <si>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</si>
  <si>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</si>
  <si>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</si>
  <si>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</si>
  <si>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</si>
  <si>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</si>
  <si>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</si>
  <si>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</si>
  <si>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</si>
  <si>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</si>
  <si>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</si>
  <si>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</si>
  <si>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</si>
  <si>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</si>
  <si>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</si>
  <si>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</si>
  <si>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</si>
  <si>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</si>
  <si>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</si>
  <si>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</si>
  <si>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</si>
  <si>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</si>
  <si>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</si>
  <si>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</si>
  <si>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</si>
  <si>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</si>
  <si>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</si>
  <si>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</si>
  <si>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</si>
  <si>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</si>
  <si>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</si>
  <si>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</si>
  <si>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</si>
  <si>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</si>
  <si>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</si>
  <si>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</si>
  <si>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</si>
  <si>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</si>
  <si>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</si>
  <si>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</si>
  <si>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</si>
  <si>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</si>
  <si>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</si>
  <si>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</si>
  <si>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</si>
  <si>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</si>
  <si>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</si>
  <si>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</si>
  <si>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</si>
  <si>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</si>
  <si>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</si>
  <si>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</si>
  <si>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</si>
  <si>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</si>
  <si>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</si>
  <si>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</si>
  <si>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</si>
  <si>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</si>
  <si>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</si>
  <si>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</si>
  <si>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</si>
  <si>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</si>
  <si>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</si>
  <si>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</si>
  <si>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</si>
  <si>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</si>
  <si>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</si>
  <si>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</si>
  <si>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</si>
  <si>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</si>
  <si>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</si>
  <si>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</si>
  <si>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</si>
  <si>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</si>
  <si>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</si>
  <si>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</si>
  <si>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</si>
  <si>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</si>
  <si>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</si>
  <si>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</si>
  <si>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</si>
  <si>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</si>
  <si>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</si>
  <si>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</si>
  <si>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</si>
  <si>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</si>
  <si>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</si>
  <si>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</si>
  <si>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</si>
  <si>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</si>
  <si>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</si>
  <si>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</si>
  <si>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</si>
  <si>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</si>
  <si>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</si>
  <si>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</si>
  <si>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</si>
  <si>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</si>
  <si>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</si>
  <si>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</si>
  <si>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</si>
  <si>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</si>
  <si>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</si>
  <si>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</si>
  <si>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</si>
  <si>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</si>
  <si>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</si>
  <si>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</si>
  <si>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</si>
  <si>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</si>
  <si>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</si>
  <si>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</si>
  <si>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</si>
  <si>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</si>
  <si>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</si>
  <si>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</si>
  <si>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</si>
  <si>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</si>
  <si>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</si>
  <si>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</si>
  <si>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</si>
  <si>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</si>
  <si>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</si>
  <si>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</si>
  <si>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</si>
  <si>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</si>
  <si>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</si>
  <si>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</si>
  <si>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</si>
  <si>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</si>
  <si>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</si>
  <si>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</si>
  <si>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</si>
  <si>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</si>
  <si>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</si>
  <si>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</si>
  <si>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</si>
  <si>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</si>
  <si>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</si>
  <si>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</si>
  <si>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</si>
  <si>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</si>
  <si>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</si>
  <si>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</si>
  <si>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</si>
  <si>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</si>
  <si>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</si>
  <si>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</si>
  <si>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</si>
  <si>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</si>
  <si>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</si>
  <si>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</si>
  <si>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</si>
  <si>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</si>
  <si>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</si>
  <si>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</si>
  <si>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</si>
  <si>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</si>
  <si>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</si>
  <si>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</si>
  <si>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</si>
  <si>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</si>
  <si>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</si>
  <si>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</si>
  <si>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</si>
  <si>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</si>
  <si>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</si>
  <si>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</si>
  <si>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</si>
  <si>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</si>
  <si>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</si>
  <si>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</si>
  <si>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</si>
  <si>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</si>
  <si>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</si>
  <si>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</si>
  <si>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</si>
  <si>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</si>
  <si>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</si>
  <si>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</si>
  <si>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</si>
  <si>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</si>
  <si>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</si>
  <si>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</si>
  <si>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</si>
  <si>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</si>
  <si>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</si>
  <si>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</si>
  <si>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</si>
  <si>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</si>
  <si>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</si>
  <si>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</si>
  <si>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</si>
  <si>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</si>
  <si>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</si>
  <si>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</si>
  <si>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</si>
  <si>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</si>
  <si>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</si>
  <si>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</si>
  <si>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</si>
  <si>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</si>
  <si>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</si>
  <si>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</si>
  <si>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</si>
  <si>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</si>
  <si>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</si>
  <si>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</si>
  <si>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</si>
  <si>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</si>
  <si>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</si>
  <si>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</si>
  <si>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</si>
  <si>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</si>
  <si>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</si>
  <si>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</si>
  <si>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</si>
  <si>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</si>
  <si>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</si>
  <si>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</si>
  <si>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</si>
  <si>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</si>
  <si>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</si>
  <si>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</si>
  <si>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</si>
  <si>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</si>
  <si>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</si>
  <si>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</si>
  <si>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</si>
  <si>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</si>
  <si>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</si>
  <si>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</si>
  <si>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</si>
  <si>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</si>
  <si>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</si>
  <si>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</si>
  <si>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</si>
  <si>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</si>
  <si>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</si>
  <si>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</si>
  <si>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</si>
  <si>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</si>
  <si>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</si>
  <si>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</si>
  <si>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</si>
  <si>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</si>
  <si>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</si>
  <si>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</si>
  <si>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</si>
  <si>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</si>
  <si>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</si>
  <si>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</si>
  <si>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</si>
  <si>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</si>
  <si>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</si>
  <si>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</si>
  <si>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</si>
  <si>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</si>
  <si>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</si>
  <si>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</si>
  <si>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</si>
  <si>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</si>
  <si>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</si>
  <si>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</si>
  <si>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</si>
  <si>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</si>
  <si>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</si>
  <si>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</si>
  <si>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</si>
  <si>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</si>
  <si>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</si>
  <si>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</si>
  <si>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</si>
  <si>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</si>
  <si>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</si>
  <si>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</si>
  <si>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</si>
  <si>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</si>
  <si>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</si>
  <si>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</si>
  <si>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</si>
  <si>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</si>
  <si>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</si>
  <si>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</si>
  <si>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</si>
  <si>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</si>
  <si>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</si>
  <si>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</si>
  <si>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</si>
  <si>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</si>
  <si>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</si>
  <si>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</si>
  <si>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</si>
  <si>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</si>
  <si>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</si>
  <si>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</si>
  <si>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</si>
  <si>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</si>
  <si>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</si>
  <si>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</si>
  <si>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</si>
  <si>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</si>
  <si>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</si>
  <si>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</si>
  <si>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</si>
  <si>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</si>
  <si>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</si>
  <si>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</si>
  <si>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</si>
  <si>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</si>
  <si>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</si>
  <si>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</si>
  <si>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</si>
  <si>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</si>
  <si>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</si>
  <si>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</si>
  <si>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</si>
  <si>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</si>
  <si>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</si>
  <si>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</si>
  <si>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</si>
  <si>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</si>
  <si>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</si>
  <si>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</si>
  <si>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</si>
  <si>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</si>
  <si>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</si>
  <si>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</si>
  <si>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</si>
  <si>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</si>
  <si>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</si>
  <si>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</si>
  <si>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</si>
  <si>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</si>
  <si>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</si>
  <si>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</si>
  <si>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</si>
  <si>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</si>
  <si>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</si>
  <si>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</si>
  <si>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</si>
  <si>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</si>
  <si>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</si>
  <si>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</si>
  <si>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</si>
  <si>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</si>
  <si>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</si>
  <si>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</si>
  <si>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</si>
  <si>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</si>
  <si>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</si>
  <si>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</si>
  <si>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</si>
  <si>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</si>
  <si>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</si>
  <si>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</si>
  <si>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</si>
  <si>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</si>
  <si>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</si>
  <si>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</si>
  <si>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</si>
  <si>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</si>
  <si>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</si>
  <si>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</si>
  <si>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</si>
  <si>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</si>
  <si>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</si>
  <si>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</si>
  <si>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</si>
  <si>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</si>
  <si>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</si>
  <si>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</si>
  <si>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</si>
  <si>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</si>
  <si>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</si>
  <si>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</si>
  <si>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</si>
  <si>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</si>
  <si>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</si>
  <si>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</si>
  <si>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</si>
  <si>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</si>
  <si>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</si>
  <si>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</si>
  <si>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</si>
  <si>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</si>
  <si>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</si>
  <si>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</si>
  <si>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</si>
  <si>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</si>
  <si>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</si>
  <si>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</si>
  <si>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</si>
  <si>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</si>
  <si>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</si>
  <si>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</si>
  <si>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</si>
  <si>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</si>
  <si>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</si>
  <si>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</si>
  <si>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</si>
  <si>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</si>
  <si>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</si>
  <si>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</si>
  <si>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</si>
  <si>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</si>
  <si>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</si>
  <si>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</si>
  <si>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</si>
  <si>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</si>
  <si>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</si>
  <si>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</si>
  <si>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</si>
  <si>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</si>
  <si>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</si>
  <si>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</si>
  <si>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</si>
  <si>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</si>
  <si>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</si>
  <si>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</si>
  <si>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</si>
  <si>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</si>
  <si>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</si>
  <si>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</si>
  <si>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</si>
  <si>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</si>
  <si>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</si>
  <si>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</si>
  <si>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</si>
  <si>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</si>
  <si>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</si>
  <si>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</si>
  <si>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</si>
  <si>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</si>
  <si>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</si>
  <si>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</si>
  <si>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</si>
  <si>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</si>
  <si>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</si>
  <si>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</si>
  <si>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</si>
  <si>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</si>
  <si>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</si>
  <si>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</si>
  <si>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</si>
  <si>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</si>
  <si>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</si>
  <si>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</si>
  <si>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</si>
  <si>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</si>
  <si>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</si>
  <si>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</si>
  <si>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</si>
  <si>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</si>
  <si>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</si>
  <si>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</si>
  <si>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</si>
  <si>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</si>
  <si>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</si>
  <si>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</si>
  <si>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</si>
  <si>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</si>
  <si>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</si>
  <si>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</si>
  <si>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</si>
  <si>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</si>
  <si>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</si>
  <si>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</si>
  <si>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</si>
  <si>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</si>
  <si>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</si>
  <si>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</si>
  <si>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</si>
  <si>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</si>
  <si>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</si>
  <si>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</si>
  <si>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</si>
  <si>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</si>
  <si>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</si>
  <si>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</si>
  <si>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</si>
  <si>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</si>
  <si>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</si>
  <si>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</si>
  <si>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</si>
  <si>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</si>
  <si>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</si>
  <si>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</si>
  <si>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</si>
  <si>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</si>
  <si>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</si>
  <si>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</si>
  <si>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</si>
  <si>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</si>
  <si>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</si>
  <si>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</si>
  <si>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</si>
  <si>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</si>
  <si>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</si>
  <si>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</si>
  <si>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</si>
  <si>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</si>
  <si>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</si>
  <si>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</si>
  <si>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</si>
  <si>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</si>
  <si>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</si>
  <si>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</si>
  <si>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</si>
  <si>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</si>
  <si>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</si>
  <si>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</si>
  <si>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</si>
  <si>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</si>
  <si>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</si>
  <si>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</si>
  <si>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</si>
  <si>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</si>
  <si>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</si>
  <si>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</si>
  <si>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</si>
  <si>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</si>
  <si>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</si>
  <si>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</si>
  <si>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</si>
  <si>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</si>
  <si>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</si>
  <si>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</si>
  <si>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</si>
  <si>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</si>
  <si>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</si>
  <si>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</si>
  <si>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</si>
  <si>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</si>
  <si>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</si>
  <si>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</si>
  <si>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</si>
  <si>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</si>
  <si>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</si>
  <si>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</si>
  <si>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</si>
  <si>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</si>
  <si>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</si>
  <si>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</si>
  <si>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</si>
  <si>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</si>
  <si>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</si>
  <si>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</si>
  <si>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</si>
  <si>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</si>
  <si>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</si>
  <si>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</si>
  <si>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</si>
  <si>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</si>
  <si>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</si>
  <si>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</si>
  <si>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</si>
  <si>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</si>
  <si>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</si>
  <si>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</si>
  <si>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</si>
  <si>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</si>
  <si>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</si>
  <si>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</si>
  <si>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</si>
  <si>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</si>
  <si>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</si>
  <si>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</si>
  <si>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</si>
  <si>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</si>
  <si>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</si>
  <si>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</si>
  <si>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</si>
  <si>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</si>
  <si>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</si>
  <si>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</si>
  <si>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</si>
  <si>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</si>
  <si>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</si>
  <si>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</si>
  <si>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</si>
  <si>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</si>
  <si>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</si>
  <si>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</si>
  <si>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</si>
  <si>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</si>
  <si>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</si>
  <si>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</si>
  <si>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</si>
  <si>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</si>
  <si>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</si>
  <si>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</si>
  <si>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</si>
  <si>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</si>
  <si>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</si>
  <si>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</si>
  <si>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</si>
  <si>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</si>
  <si>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</si>
  <si>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</si>
  <si>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</si>
  <si>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</si>
  <si>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</si>
  <si>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</si>
  <si>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</si>
  <si>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</si>
  <si>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</si>
  <si>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</si>
  <si>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</si>
  <si>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</si>
  <si>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</si>
  <si>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</si>
  <si>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</si>
  <si>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</si>
  <si>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</si>
  <si>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</si>
  <si>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</si>
  <si>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</si>
  <si>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</si>
  <si>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</si>
  <si>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</si>
  <si>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</si>
  <si>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</si>
  <si>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</si>
  <si>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</si>
  <si>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</si>
  <si>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</si>
  <si>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</si>
  <si>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</si>
  <si>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</si>
  <si>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</si>
  <si>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</si>
  <si>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</si>
  <si>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</si>
  <si>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</si>
  <si>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</si>
  <si>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</si>
  <si>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</si>
  <si>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</si>
  <si>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</si>
  <si>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</si>
  <si>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</si>
  <si>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</si>
  <si>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</si>
  <si>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</si>
  <si>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</si>
  <si>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</si>
  <si>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</si>
  <si>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</si>
  <si>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</si>
  <si>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</si>
  <si>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</si>
  <si>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</si>
  <si>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</si>
  <si>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</si>
  <si>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</si>
  <si>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</si>
  <si>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</si>
  <si>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</si>
  <si>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</si>
  <si>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</si>
  <si>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</si>
  <si>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</si>
  <si>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</si>
  <si>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</si>
  <si>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</si>
  <si>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</si>
  <si>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</si>
  <si>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</si>
  <si>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</si>
  <si>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</si>
  <si>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</si>
  <si>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</si>
  <si>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</si>
  <si>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</si>
  <si>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</si>
  <si>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</si>
  <si>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</si>
  <si>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</si>
  <si>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</si>
  <si>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</si>
  <si>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</si>
  <si>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</si>
  <si>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</si>
  <si>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</si>
  <si>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</si>
  <si>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</si>
  <si>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</si>
  <si>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</si>
  <si>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</si>
  <si>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</si>
  <si>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</si>
  <si>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</si>
  <si>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</si>
  <si>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</si>
  <si>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</si>
  <si>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</si>
  <si>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</si>
  <si>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</si>
  <si>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</si>
  <si>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</si>
  <si>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</si>
  <si>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</si>
  <si>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</si>
  <si>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</si>
  <si>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</si>
  <si>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</si>
  <si>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</si>
  <si>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</si>
  <si>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</si>
  <si>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</si>
  <si>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</si>
  <si>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</si>
  <si>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</si>
  <si>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</si>
  <si>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</si>
  <si>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</si>
  <si>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</si>
  <si>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</si>
  <si>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</si>
  <si>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</si>
  <si>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</si>
  <si>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</si>
  <si>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</si>
  <si>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</si>
  <si>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</si>
  <si>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</si>
  <si>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</si>
  <si>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</si>
  <si>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</si>
  <si>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</si>
  <si>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</si>
  <si>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</si>
  <si>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</si>
  <si>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</si>
  <si>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</si>
  <si>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</si>
  <si>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</si>
  <si>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</si>
  <si>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</si>
  <si>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</si>
  <si>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</si>
  <si>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</si>
  <si>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</si>
  <si>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</si>
  <si>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</si>
  <si>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</si>
  <si>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</si>
  <si>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</si>
  <si>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</si>
  <si>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</si>
  <si>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</si>
  <si>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</si>
  <si>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</si>
  <si>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</si>
  <si>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</si>
  <si>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</si>
  <si>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</si>
  <si>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</si>
  <si>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</si>
  <si>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</si>
  <si>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</si>
  <si>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</si>
  <si>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</si>
  <si>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</si>
  <si>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</si>
  <si>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</si>
  <si>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</si>
  <si>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</si>
  <si>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</si>
  <si>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</si>
  <si>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</si>
  <si>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</si>
  <si>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</si>
  <si>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</si>
  <si>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</si>
  <si>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</si>
  <si>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</si>
  <si>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</si>
  <si>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</si>
  <si>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</si>
  <si>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</si>
  <si>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</si>
  <si>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</si>
  <si>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</si>
  <si>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</si>
  <si>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</si>
  <si>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</si>
  <si>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</si>
  <si>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</si>
  <si>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</si>
  <si>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</si>
  <si>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</si>
  <si>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</si>
  <si>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</si>
  <si>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</si>
  <si>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</si>
  <si>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</si>
  <si>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</si>
  <si>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</si>
  <si>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</si>
  <si>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</si>
  <si>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</si>
  <si>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</si>
  <si>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</si>
  <si>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</si>
  <si>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</si>
  <si>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</si>
  <si>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</si>
  <si>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</si>
  <si>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</si>
  <si>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</si>
  <si>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</si>
  <si>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</si>
  <si>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</si>
  <si>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</si>
  <si>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</si>
  <si>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</si>
  <si>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</si>
  <si>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</si>
  <si>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</si>
  <si>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</si>
  <si>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</si>
  <si>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</si>
  <si>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</si>
  <si>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</si>
  <si>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</si>
  <si>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</si>
  <si>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</si>
  <si>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</si>
  <si>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</si>
  <si>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</si>
  <si>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</si>
  <si>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</si>
  <si>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</si>
  <si>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</si>
  <si>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</si>
  <si>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</si>
  <si>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</si>
  <si>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</si>
  <si>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</si>
  <si>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</si>
  <si>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</si>
  <si>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</si>
  <si>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</si>
  <si>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</si>
  <si>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</si>
  <si>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</si>
  <si>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</si>
  <si>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</si>
  <si>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</si>
  <si>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</si>
  <si>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</si>
  <si>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</si>
  <si>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</si>
  <si>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</si>
  <si>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</si>
  <si>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</si>
  <si>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</si>
  <si>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</si>
  <si>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</si>
  <si>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</si>
  <si>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</si>
  <si>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</si>
  <si>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</si>
  <si>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</si>
  <si>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</si>
  <si>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</si>
  <si>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</si>
  <si>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</si>
  <si>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</si>
  <si>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</si>
  <si>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</si>
  <si>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</si>
  <si>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</si>
  <si>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</si>
  <si>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</si>
  <si>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</si>
  <si>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</si>
  <si>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</si>
  <si>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</si>
  <si>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</si>
  <si>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</si>
  <si>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</si>
  <si>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</si>
  <si>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</si>
  <si>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</si>
  <si>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</si>
  <si>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</si>
  <si>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</si>
  <si>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</si>
  <si>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</si>
  <si>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</si>
  <si>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</si>
  <si>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</si>
  <si>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</si>
  <si>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</si>
  <si>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</si>
  <si>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</si>
  <si>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</si>
  <si>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</si>
  <si>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</si>
  <si>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</si>
  <si>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</si>
  <si>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</si>
  <si>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</si>
  <si>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</si>
  <si>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</si>
  <si>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</si>
  <si>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</si>
  <si>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</si>
  <si>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</si>
  <si>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</si>
  <si>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</si>
  <si>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</si>
  <si>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</si>
  <si>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</si>
  <si>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</si>
  <si>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</si>
  <si>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</si>
  <si>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</si>
  <si>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</si>
  <si>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</si>
  <si>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</si>
  <si>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</si>
  <si>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</si>
  <si>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</si>
  <si>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</si>
  <si>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</si>
  <si>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</si>
  <si>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</si>
  <si>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</si>
  <si>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</si>
  <si>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</si>
  <si>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</si>
  <si>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</si>
  <si>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</si>
  <si>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</si>
  <si>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</si>
  <si>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</si>
  <si>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</si>
  <si>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</si>
  <si>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</si>
  <si>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</si>
  <si>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</si>
  <si>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</si>
  <si>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</si>
  <si>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</si>
  <si>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</si>
  <si>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</si>
  <si>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</si>
  <si>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</si>
  <si>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</si>
  <si>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</si>
  <si>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</si>
  <si>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</si>
  <si>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</si>
  <si>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</si>
  <si>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</si>
  <si>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</si>
  <si>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</si>
  <si>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</si>
  <si>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</si>
  <si>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</si>
  <si>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</si>
  <si>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</si>
  <si>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</si>
  <si>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</si>
  <si>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</si>
  <si>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</si>
  <si>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</si>
  <si>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</si>
  <si>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</si>
  <si>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</si>
  <si>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</si>
  <si>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</si>
  <si>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</si>
  <si>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</si>
  <si>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</si>
  <si>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</si>
  <si>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</si>
  <si>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</si>
  <si>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</si>
  <si>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</si>
  <si>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</si>
  <si>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</si>
  <si>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</si>
  <si>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</si>
  <si>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</si>
  <si>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</si>
  <si>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</si>
  <si>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</si>
  <si>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</si>
  <si>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</si>
  <si>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</si>
  <si>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</si>
  <si>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</si>
  <si>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</si>
  <si>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</si>
  <si>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</si>
  <si>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</si>
  <si>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</si>
  <si>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</si>
  <si>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</si>
  <si>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</si>
  <si>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</si>
  <si>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</si>
  <si>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</si>
  <si>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</si>
  <si>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</si>
  <si>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</si>
  <si>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</si>
  <si>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</si>
  <si>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</si>
  <si>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</si>
  <si>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</si>
  <si>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</si>
  <si>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</si>
  <si>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</si>
  <si>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</si>
  <si>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</si>
  <si>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</si>
  <si>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</si>
  <si>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</si>
  <si>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</si>
  <si>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</si>
  <si>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</si>
  <si>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</si>
  <si>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</si>
  <si>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</si>
  <si>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</si>
  <si>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</si>
  <si>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</si>
  <si>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</si>
  <si>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</si>
  <si>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</si>
  <si>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</si>
  <si>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</si>
  <si>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</si>
  <si>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</si>
  <si>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</si>
  <si>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</si>
  <si>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</si>
  <si>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</si>
  <si>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</si>
  <si>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</si>
  <si>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</si>
  <si>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</si>
  <si>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</si>
  <si>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</si>
  <si>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</si>
  <si>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</si>
  <si>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</si>
  <si>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</si>
  <si>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</si>
  <si>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</si>
  <si>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</si>
  <si>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</si>
  <si>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</si>
  <si>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</si>
  <si>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</si>
  <si>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</si>
  <si>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</si>
  <si>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</si>
  <si>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</si>
  <si>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</si>
  <si>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</si>
  <si>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</si>
  <si>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</si>
  <si>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</si>
  <si>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</si>
  <si>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</si>
  <si>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</si>
  <si>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</si>
  <si>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</si>
  <si>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</si>
  <si>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</si>
  <si>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</si>
  <si>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</si>
  <si>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</si>
  <si>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</si>
  <si>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</si>
  <si>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</si>
  <si>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</si>
  <si>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</si>
  <si>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</si>
  <si>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</si>
  <si>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</si>
  <si>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</si>
  <si>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</si>
  <si>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</si>
  <si>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</si>
  <si>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</si>
  <si>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</si>
  <si>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</si>
  <si>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</si>
  <si>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</si>
  <si>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</si>
  <si>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</si>
  <si>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</si>
  <si>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</si>
  <si>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</si>
  <si>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</si>
  <si>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</si>
  <si>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</si>
  <si>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</si>
  <si>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</si>
  <si>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</si>
  <si>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</si>
  <si>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</si>
  <si>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</si>
  <si>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</si>
  <si>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</si>
  <si>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</si>
  <si>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</si>
  <si>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</si>
  <si>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</si>
  <si>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</si>
  <si>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</si>
  <si>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</si>
  <si>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</si>
  <si>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</si>
  <si>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</si>
  <si>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</si>
  <si>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</si>
  <si>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</si>
  <si>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</si>
  <si>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</si>
  <si>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</si>
  <si>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</si>
  <si>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</si>
  <si>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</si>
  <si>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</si>
  <si>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</si>
  <si>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</si>
  <si>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</si>
  <si>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</si>
  <si>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</si>
  <si>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</si>
  <si>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</si>
  <si>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</si>
  <si>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</si>
  <si>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</si>
  <si>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</si>
  <si>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</si>
  <si>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</si>
  <si>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</si>
  <si>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</si>
  <si>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</si>
  <si>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</si>
  <si>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</si>
  <si>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</si>
  <si>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</si>
  <si>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</si>
  <si>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</si>
  <si>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</si>
  <si>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</si>
  <si>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</si>
  <si>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</si>
  <si>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</si>
  <si>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</si>
  <si>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</si>
  <si>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</si>
  <si>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</si>
  <si>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</si>
  <si>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</si>
  <si>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</si>
  <si>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</si>
  <si>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</si>
  <si>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</si>
  <si>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</si>
  <si>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</si>
  <si>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</si>
  <si>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</si>
  <si>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</si>
  <si>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</si>
  <si>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</si>
  <si>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</si>
  <si>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</si>
  <si>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</si>
  <si>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</si>
  <si>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</si>
  <si>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</si>
  <si>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</si>
  <si>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</si>
  <si>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</si>
  <si>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</si>
  <si>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</si>
  <si>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</si>
  <si>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</si>
  <si>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</si>
  <si>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</si>
  <si>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</si>
  <si>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</si>
  <si>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</si>
  <si>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</si>
  <si>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</si>
  <si>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</si>
  <si>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</si>
  <si>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</si>
  <si>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</si>
  <si>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</si>
  <si>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</si>
  <si>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</si>
  <si>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</si>
  <si>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</si>
  <si>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</si>
  <si>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</si>
  <si>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</si>
  <si>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</si>
  <si>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</si>
  <si>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</si>
  <si>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</si>
  <si>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</si>
  <si>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</si>
  <si>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</si>
  <si>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</si>
  <si>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</si>
  <si>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</si>
  <si>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</si>
  <si>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</si>
  <si>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</si>
  <si>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</si>
  <si>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</si>
  <si>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</si>
  <si>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</si>
  <si>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</si>
  <si>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</si>
  <si>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</si>
  <si>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</si>
  <si>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</si>
  <si>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</si>
  <si>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</si>
  <si>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</si>
  <si>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</si>
  <si>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</si>
  <si>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</si>
  <si>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</si>
  <si>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</si>
  <si>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</si>
  <si>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</si>
  <si>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</si>
  <si>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</si>
  <si>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</si>
  <si>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</si>
  <si>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</si>
  <si>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</si>
  <si>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</si>
  <si>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</si>
  <si>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</si>
  <si>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</si>
  <si>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</si>
  <si>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</si>
  <si>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</si>
  <si>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</si>
  <si>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</si>
  <si>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</si>
  <si>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</si>
  <si>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</si>
  <si>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</si>
  <si>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</si>
  <si>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</si>
  <si>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</si>
  <si>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</si>
  <si>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</si>
  <si>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</si>
  <si>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</si>
  <si>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</si>
  <si>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</si>
  <si>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</si>
  <si>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</si>
  <si>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</si>
  <si>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</si>
  <si>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</si>
  <si>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</si>
  <si>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</si>
  <si>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</si>
  <si>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</si>
  <si>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</si>
  <si>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</si>
  <si>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</si>
  <si>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</si>
  <si>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</si>
  <si>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</si>
  <si>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</si>
  <si>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</si>
  <si>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</si>
  <si>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</si>
  <si>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</si>
  <si>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</si>
  <si>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</si>
  <si>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</si>
  <si>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</si>
  <si>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</si>
  <si>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</si>
  <si>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</si>
  <si>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</si>
  <si>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</si>
  <si>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</si>
  <si>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</si>
  <si>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</si>
  <si>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</si>
  <si>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</si>
  <si>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</si>
  <si>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</si>
  <si>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</si>
  <si>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</si>
  <si>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</si>
  <si>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</si>
  <si>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</si>
  <si>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</si>
  <si>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</si>
  <si>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</si>
  <si>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</si>
  <si>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</si>
  <si>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</si>
  <si>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</si>
  <si>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</si>
  <si>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</si>
  <si>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</si>
  <si>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</si>
  <si>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</si>
  <si>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</si>
  <si>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</si>
  <si>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</si>
  <si>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</si>
  <si>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</si>
  <si>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</si>
  <si>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</si>
  <si>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</si>
  <si>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</si>
  <si>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</si>
  <si>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</si>
  <si>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</si>
  <si>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</si>
  <si>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</si>
  <si>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</si>
  <si>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</si>
  <si>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</si>
  <si>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</si>
  <si>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</si>
  <si>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</si>
  <si>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</si>
  <si>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</si>
  <si>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</si>
  <si>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</si>
  <si>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</si>
  <si>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</si>
  <si>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</si>
  <si>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</si>
  <si>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</si>
  <si>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</si>
  <si>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</si>
  <si>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</si>
  <si>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</si>
  <si>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</si>
  <si>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</si>
  <si>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</si>
  <si>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</si>
  <si>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</si>
  <si>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</si>
  <si>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</si>
  <si>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</si>
  <si>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</si>
  <si>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</si>
  <si>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</si>
  <si>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</si>
  <si>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</si>
  <si>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</si>
  <si>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</si>
  <si>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</si>
  <si>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</si>
  <si>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</si>
  <si>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</si>
  <si>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</si>
  <si>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</si>
  <si>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</si>
  <si>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</si>
  <si>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</si>
  <si>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</si>
  <si>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</si>
  <si>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</si>
  <si>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</si>
  <si>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</si>
  <si>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</si>
  <si>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</si>
  <si>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</si>
  <si>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</si>
  <si>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</si>
  <si>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</si>
  <si>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</si>
  <si>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</si>
  <si>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</si>
  <si>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</si>
  <si>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</si>
  <si>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</si>
  <si>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</si>
  <si>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</si>
  <si>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</si>
  <si>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</si>
  <si>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</si>
  <si>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</si>
  <si>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</si>
  <si>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</si>
  <si>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</si>
  <si>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</si>
  <si>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</si>
  <si>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</si>
  <si>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</si>
  <si>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</si>
  <si>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</si>
  <si>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</si>
  <si>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</si>
  <si>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</si>
  <si>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</si>
  <si>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</si>
  <si>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</si>
  <si>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</si>
  <si>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</si>
  <si>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</si>
  <si>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</si>
  <si>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</si>
  <si>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</si>
  <si>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</si>
  <si>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</si>
  <si>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</si>
  <si>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</si>
  <si>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</si>
  <si>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</si>
  <si>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</si>
  <si>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</si>
  <si>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</si>
  <si>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</si>
  <si>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</si>
  <si>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</si>
  <si>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</si>
  <si>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</si>
  <si>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</si>
  <si>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</si>
  <si>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</si>
  <si>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</si>
  <si>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</si>
  <si>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</si>
  <si>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</si>
  <si>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</si>
  <si>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</si>
  <si>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</si>
  <si>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</si>
  <si>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</si>
  <si>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</si>
  <si>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</si>
  <si>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</si>
  <si>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</si>
  <si>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</si>
  <si>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</si>
  <si>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</si>
  <si>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</si>
  <si>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</si>
  <si>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</si>
  <si>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</si>
  <si>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</si>
  <si>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</si>
  <si>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</si>
  <si>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</si>
  <si>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</si>
  <si>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</si>
  <si>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</si>
  <si>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</si>
  <si>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</si>
  <si>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</si>
  <si>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</si>
  <si>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</si>
  <si>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</si>
  <si>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</si>
  <si>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</si>
  <si>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</si>
  <si>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</si>
  <si>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</si>
  <si>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</si>
  <si>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</si>
  <si>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</si>
  <si>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</si>
  <si>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</si>
  <si>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</si>
  <si>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</si>
  <si>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</si>
  <si>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</si>
  <si>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</si>
  <si>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</si>
  <si>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</si>
  <si>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</si>
  <si>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</si>
  <si>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</si>
  <si>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</si>
  <si>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</si>
  <si>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</si>
  <si>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</si>
  <si>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</si>
  <si>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</si>
  <si>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</si>
  <si>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</si>
  <si>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</si>
  <si>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</si>
  <si>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</si>
  <si>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</si>
  <si>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</si>
  <si>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</si>
  <si>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</si>
  <si>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</si>
  <si>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</si>
  <si>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</si>
  <si>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</si>
  <si>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</si>
  <si>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</si>
  <si>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</si>
  <si>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</si>
  <si>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</si>
  <si>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</si>
  <si>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</si>
  <si>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</si>
  <si>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</si>
  <si>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</si>
  <si>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</si>
  <si>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</si>
  <si>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</si>
  <si>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</si>
  <si>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</si>
  <si>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</si>
  <si>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</si>
  <si>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</si>
  <si>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</si>
  <si>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</si>
  <si>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</si>
  <si>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</si>
  <si>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</si>
  <si>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</si>
  <si>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</si>
  <si>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</si>
  <si>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</si>
  <si>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</si>
  <si>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</si>
  <si>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</si>
  <si>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</si>
  <si>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</si>
  <si>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</si>
  <si>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</si>
  <si>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</si>
  <si>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</si>
  <si>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</si>
  <si>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</si>
  <si>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</si>
  <si>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</si>
  <si>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</si>
  <si>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</si>
  <si>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</si>
  <si>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</si>
  <si>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</si>
  <si>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</si>
  <si>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</si>
  <si>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</si>
  <si>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</si>
  <si>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</si>
  <si>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</si>
  <si>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</si>
  <si>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</si>
  <si>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</si>
  <si>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</si>
  <si>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</si>
  <si>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</si>
  <si>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</si>
  <si>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</si>
  <si>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</si>
  <si>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</si>
  <si>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</si>
  <si>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</si>
  <si>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</si>
  <si>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</si>
  <si>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</si>
  <si>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</si>
  <si>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</si>
  <si>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</si>
  <si>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</si>
  <si>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</si>
  <si>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</si>
  <si>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</si>
  <si>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</si>
  <si>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</si>
  <si>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</si>
  <si>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</si>
  <si>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</si>
  <si>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</si>
  <si>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</si>
  <si>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</si>
  <si>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</si>
  <si>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</si>
  <si>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</si>
  <si>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</si>
  <si>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</si>
  <si>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</si>
  <si>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</si>
  <si>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</si>
  <si>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</si>
  <si>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</si>
  <si>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</si>
  <si>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</si>
  <si>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</si>
  <si>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</si>
  <si>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</si>
  <si>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</si>
  <si>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</si>
  <si>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</si>
  <si>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</si>
  <si>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</si>
  <si>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</si>
  <si>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</si>
  <si>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</si>
  <si>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</si>
  <si>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</si>
  <si>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</si>
  <si>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</si>
  <si>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</si>
  <si>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</si>
  <si>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</si>
  <si>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</si>
  <si>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</si>
  <si>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</si>
  <si>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</si>
  <si>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</si>
  <si>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</si>
  <si>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</si>
  <si>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</si>
  <si>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</si>
  <si>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</si>
  <si>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</si>
  <si>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</si>
  <si>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</si>
  <si>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</si>
  <si>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</si>
  <si>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</si>
  <si>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</si>
  <si>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</si>
  <si>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</si>
  <si>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</si>
  <si>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</si>
  <si>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</si>
  <si>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</si>
  <si>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</si>
  <si>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</si>
  <si>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</si>
  <si>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</si>
  <si>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</si>
  <si>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</si>
  <si>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</si>
  <si>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</si>
  <si>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</si>
  <si>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</si>
  <si>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</si>
  <si>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</si>
  <si>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</si>
  <si>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</si>
  <si>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</si>
  <si>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</si>
  <si>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</si>
  <si>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</si>
  <si>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</si>
  <si>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</si>
  <si>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</si>
  <si>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</si>
  <si>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</si>
  <si>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</si>
  <si>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</si>
  <si>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</si>
  <si>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</si>
  <si>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</si>
  <si>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</si>
  <si>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</si>
  <si>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</si>
  <si>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</si>
  <si>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</si>
  <si>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</si>
  <si>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</si>
  <si>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</si>
  <si>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</si>
  <si>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</si>
  <si>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</si>
  <si>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</si>
  <si>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</si>
  <si>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</si>
  <si>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</si>
  <si>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</si>
  <si>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</si>
  <si>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</si>
  <si>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</si>
  <si>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</si>
  <si>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</si>
  <si>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</si>
  <si>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</si>
  <si>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</si>
  <si>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</si>
  <si>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</si>
  <si>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</si>
  <si>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</si>
  <si>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</si>
  <si>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</si>
  <si>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</si>
  <si>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</si>
  <si>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</si>
  <si>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</si>
  <si>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</si>
  <si>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</si>
  <si>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</si>
  <si>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</si>
  <si>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</si>
  <si>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</si>
  <si>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</si>
  <si>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</si>
  <si>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</si>
  <si>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</si>
  <si>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</si>
  <si>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</si>
  <si>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</si>
  <si>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</si>
  <si>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</si>
  <si>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</si>
  <si>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</si>
  <si>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</si>
  <si>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</si>
  <si>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</si>
  <si>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</si>
  <si>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</si>
  <si>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</si>
  <si>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</si>
  <si>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</si>
  <si>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</si>
  <si>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</si>
  <si>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</si>
  <si>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</si>
  <si>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</si>
  <si>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</si>
  <si>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</si>
  <si>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</si>
  <si>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</si>
  <si>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</si>
  <si>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</si>
  <si>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</si>
  <si>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</si>
  <si>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</si>
  <si>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</si>
  <si>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</si>
  <si>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</si>
  <si>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</si>
  <si>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</si>
  <si>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</si>
  <si>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</si>
  <si>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</si>
  <si>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</si>
  <si>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</si>
  <si>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</si>
  <si>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</si>
  <si>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</si>
  <si>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</si>
  <si>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</si>
  <si>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</si>
  <si>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</si>
  <si>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</si>
  <si>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</si>
  <si>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</si>
  <si>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</si>
  <si>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</si>
  <si>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</si>
  <si>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</si>
  <si>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</si>
  <si>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</si>
  <si>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</si>
  <si>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</si>
  <si>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</si>
  <si>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</si>
  <si>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</si>
  <si>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</si>
  <si>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</si>
  <si>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</si>
  <si>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</si>
  <si>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</si>
  <si>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</si>
  <si>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</si>
  <si>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</si>
  <si>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</si>
  <si>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</si>
  <si>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</si>
  <si>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</si>
  <si>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</si>
  <si>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</si>
  <si>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</si>
  <si>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</si>
  <si>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</si>
  <si>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</si>
  <si>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</si>
  <si>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</si>
  <si>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</si>
  <si>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</si>
  <si>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</si>
  <si>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</si>
  <si>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</si>
  <si>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</si>
  <si>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</si>
  <si>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</si>
  <si>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</si>
  <si>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</si>
  <si>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</si>
  <si>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</si>
  <si>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</si>
  <si>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</si>
  <si>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</si>
  <si>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</si>
  <si>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</si>
  <si>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</si>
  <si>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</si>
  <si>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</si>
  <si>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</si>
  <si>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</si>
  <si>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</si>
  <si>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</si>
  <si>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</si>
  <si>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</si>
  <si>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</si>
  <si>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</si>
  <si>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</si>
  <si>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</si>
  <si>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</si>
  <si>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</si>
  <si>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</si>
  <si>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</si>
  <si>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</si>
  <si>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</si>
  <si>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</si>
  <si>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</si>
  <si>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</si>
  <si>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</si>
  <si>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</si>
  <si>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</si>
  <si>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</si>
  <si>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</si>
  <si>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</si>
  <si>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</si>
  <si>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</si>
  <si>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</si>
  <si>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</si>
  <si>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</si>
  <si>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</si>
  <si>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</si>
  <si>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</si>
  <si>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</si>
  <si>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</si>
  <si>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</si>
  <si>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</si>
  <si>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</si>
  <si>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</si>
  <si>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</si>
  <si>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</si>
  <si>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</si>
  <si>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</si>
  <si>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</si>
  <si>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</si>
  <si>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</si>
  <si>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</si>
  <si>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</si>
  <si>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</si>
  <si>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</si>
  <si>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</si>
  <si>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</si>
  <si>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</si>
  <si>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</si>
  <si>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</si>
  <si>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</si>
  <si>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</si>
  <si>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</si>
  <si>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</si>
  <si>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</si>
  <si>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</si>
  <si>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</si>
  <si>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</si>
  <si>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</si>
  <si>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</si>
  <si>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</si>
  <si>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</si>
  <si>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</si>
  <si>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</si>
  <si>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</si>
  <si>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</si>
  <si>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</si>
  <si>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</si>
  <si>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</si>
  <si>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</si>
  <si>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</si>
  <si>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</si>
  <si>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</si>
  <si>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</si>
  <si>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</si>
  <si>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</si>
  <si>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</si>
  <si>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</si>
  <si>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</si>
  <si>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</si>
  <si>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</si>
  <si>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</si>
  <si>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</si>
  <si>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</si>
  <si>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</si>
  <si>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</si>
  <si>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</si>
  <si>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balatro---tabletop_tavern</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</si>
  <si>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</si>
  <si>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</si>
  <si>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</si>
  <si>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</si>
  <si>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</si>
  <si>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</si>
  <si>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</si>
  <si>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</si>
  <si>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</si>
  <si>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</si>
  <si>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</si>
  <si>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</si>
  <si>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</si>
  <si>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</si>
  <si>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</si>
  <si>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</si>
  <si>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</si>
  <si>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</si>
  <si>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</si>
  <si>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</si>
  <si>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</si>
  <si>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</si>
  <si>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</si>
  <si>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</si>
  <si>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</si>
  <si>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</si>
  <si>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</si>
  <si>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hades_ii---tabletop_tavern</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</si>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</sst>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160</c:v>
                </c:pt>
                <c:pt idx="48">
                  <c:v>118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71</c:v>
                </c:pt>
                <c:pt idx="1">
                  <c:v>333</c:v>
                </c:pt>
                <c:pt idx="2">
                  <c:v>207</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91</c:v>
                </c:pt>
                <c:pt idx="4">
                  <c:v>36</c:v>
                </c:pt>
                <c:pt idx="5">
                  <c:v>20</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403</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#N/A</c:v>
                </c:pt>
                <c:pt idx="570">
                  <c:v>#N/A</c:v>
                </c:pt>
                <c:pt idx="571">
                  <c:v>2026</c:v>
                </c:pt>
                <c:pt idx="572">
                  <c:v>2024</c:v>
                </c:pt>
                <c:pt idx="573">
                  <c:v>2023</c:v>
                </c:pt>
                <c:pt idx="574">
                  <c:v>2025</c:v>
                </c:pt>
                <c:pt idx="575">
                  <c:v>#N/A</c:v>
                </c:pt>
                <c:pt idx="576">
                  <c:v>#N/A</c:v>
                </c:pt>
                <c:pt idx="577">
                  <c:v>#N/A</c:v>
                </c:pt>
                <c:pt idx="578">
                  <c:v>#N/A</c:v>
                </c:pt>
                <c:pt idx="579">
                  <c:v>#N/A</c:v>
                </c:pt>
                <c:pt idx="580">
                  <c:v>#N/A</c:v>
                </c:pt>
                <c:pt idx="581">
                  <c:v>#N/A</c:v>
                </c:pt>
                <c:pt idx="582">
                  <c:v>2024</c:v>
                </c:pt>
                <c:pt idx="583">
                  <c:v>#N/A</c:v>
                </c:pt>
                <c:pt idx="584">
                  <c:v>#N/A</c:v>
                </c:pt>
                <c:pt idx="585">
                  <c:v>#N/A</c:v>
                </c:pt>
                <c:pt idx="586">
                  <c:v>#N/A</c:v>
                </c:pt>
                <c:pt idx="587">
                  <c:v>#N/A</c:v>
                </c:pt>
                <c:pt idx="588">
                  <c:v>#N/A</c:v>
                </c:pt>
                <c:pt idx="589">
                  <c:v>#N/A</c:v>
                </c:pt>
                <c:pt idx="590">
                  <c:v>#N/A</c:v>
                </c:pt>
                <c:pt idx="591">
                  <c:v>#N/A</c:v>
                </c:pt>
                <c:pt idx="592">
                  <c:v>2026</c:v>
                </c:pt>
                <c:pt idx="593">
                  <c:v>#N/A</c:v>
                </c:pt>
                <c:pt idx="594">
                  <c:v>#N/A</c:v>
                </c:pt>
                <c:pt idx="595">
                  <c:v>#N/A</c:v>
                </c:pt>
                <c:pt idx="596">
                  <c:v>#N/A</c:v>
                </c:pt>
                <c:pt idx="597">
                  <c:v>#N/A</c:v>
                </c:pt>
                <c:pt idx="598">
                  <c:v>2024</c:v>
                </c:pt>
                <c:pt idx="599">
                  <c:v>2026</c:v>
                </c:pt>
                <c:pt idx="600">
                  <c:v>#N/A</c:v>
                </c:pt>
                <c:pt idx="601">
                  <c:v>2022</c:v>
                </c:pt>
                <c:pt idx="602">
                  <c:v>#N/A</c:v>
                </c:pt>
                <c:pt idx="603">
                  <c:v>#N/A</c:v>
                </c:pt>
                <c:pt idx="604">
                  <c:v>#N/A</c:v>
                </c:pt>
                <c:pt idx="605">
                  <c:v>2024</c:v>
                </c:pt>
                <c:pt idx="606">
                  <c:v>#N/A</c:v>
                </c:pt>
                <c:pt idx="607">
                  <c:v>#N/A</c:v>
                </c:pt>
                <c:pt idx="608">
                  <c:v>#N/A</c:v>
                </c:pt>
                <c:pt idx="609">
                  <c:v>2024</c:v>
                </c:pt>
                <c:pt idx="610">
                  <c:v>2015</c:v>
                </c:pt>
                <c:pt idx="611">
                  <c:v>#N/A</c:v>
                </c:pt>
                <c:pt idx="612">
                  <c:v>2025</c:v>
                </c:pt>
                <c:pt idx="613">
                  <c:v>#N/A</c:v>
                </c:pt>
                <c:pt idx="614">
                  <c:v>2023</c:v>
                </c:pt>
                <c:pt idx="615">
                  <c:v>2025</c:v>
                </c:pt>
                <c:pt idx="616">
                  <c:v>2024</c:v>
                </c:pt>
                <c:pt idx="617">
                  <c:v>2010</c:v>
                </c:pt>
                <c:pt idx="618">
                  <c:v>2012</c:v>
                </c:pt>
                <c:pt idx="619">
                  <c:v>2025</c:v>
                </c:pt>
                <c:pt idx="620">
                  <c:v>#N/A</c:v>
                </c:pt>
                <c:pt idx="621">
                  <c:v>2022</c:v>
                </c:pt>
                <c:pt idx="622">
                  <c:v>#N/A</c:v>
                </c:pt>
                <c:pt idx="623">
                  <c:v>2023</c:v>
                </c:pt>
                <c:pt idx="624">
                  <c:v>2023</c:v>
                </c:pt>
                <c:pt idx="625">
                  <c:v>2021</c:v>
                </c:pt>
                <c:pt idx="626">
                  <c:v>2025</c:v>
                </c:pt>
                <c:pt idx="627">
                  <c:v>#N/A</c:v>
                </c:pt>
                <c:pt idx="628">
                  <c:v>#N/A</c:v>
                </c:pt>
                <c:pt idx="629">
                  <c:v>#N/A</c:v>
                </c:pt>
                <c:pt idx="630">
                  <c:v>2026</c:v>
                </c:pt>
                <c:pt idx="631">
                  <c:v>#N/A</c:v>
                </c:pt>
                <c:pt idx="632">
                  <c:v>#N/A</c:v>
                </c:pt>
                <c:pt idx="633">
                  <c:v>#N/A</c:v>
                </c:pt>
                <c:pt idx="634">
                  <c:v>2017</c:v>
                </c:pt>
                <c:pt idx="635">
                  <c:v>2013</c:v>
                </c:pt>
                <c:pt idx="636">
                  <c:v>2020</c:v>
                </c:pt>
                <c:pt idx="637">
                  <c:v>2023</c:v>
                </c:pt>
                <c:pt idx="638">
                  <c:v>#N/A</c:v>
                </c:pt>
                <c:pt idx="639">
                  <c:v>2020</c:v>
                </c:pt>
                <c:pt idx="640">
                  <c:v>2024</c:v>
                </c:pt>
                <c:pt idx="641">
                  <c:v>#N/A</c:v>
                </c:pt>
                <c:pt idx="642">
                  <c:v>2026</c:v>
                </c:pt>
                <c:pt idx="643">
                  <c:v>#N/A</c:v>
                </c:pt>
                <c:pt idx="644">
                  <c:v>#N/A</c:v>
                </c:pt>
                <c:pt idx="645">
                  <c:v>2026</c:v>
                </c:pt>
                <c:pt idx="646">
                  <c:v>2024</c:v>
                </c:pt>
                <c:pt idx="647">
                  <c:v>#N/A</c:v>
                </c:pt>
                <c:pt idx="648">
                  <c:v>2021</c:v>
                </c:pt>
                <c:pt idx="649">
                  <c:v>2013</c:v>
                </c:pt>
                <c:pt idx="650">
                  <c:v>2020</c:v>
                </c:pt>
                <c:pt idx="651">
                  <c:v>#N/A</c:v>
                </c:pt>
                <c:pt idx="652">
                  <c:v>#N/A</c:v>
                </c:pt>
                <c:pt idx="653">
                  <c:v>#N/A</c:v>
                </c:pt>
                <c:pt idx="654">
                  <c:v>#N/A</c:v>
                </c:pt>
                <c:pt idx="655">
                  <c:v>2022</c:v>
                </c:pt>
                <c:pt idx="656">
                  <c:v>#N/A</c:v>
                </c:pt>
                <c:pt idx="657">
                  <c:v>#N/A</c:v>
                </c:pt>
                <c:pt idx="658">
                  <c:v>#N/A</c:v>
                </c:pt>
                <c:pt idx="659">
                  <c:v>#N/A</c:v>
                </c:pt>
                <c:pt idx="660">
                  <c:v>#N/A</c:v>
                </c:pt>
                <c:pt idx="661">
                  <c:v>#N/A</c:v>
                </c:pt>
                <c:pt idx="662">
                  <c:v>#N/A</c:v>
                </c:pt>
                <c:pt idx="663">
                  <c:v>#N/A</c:v>
                </c:pt>
                <c:pt idx="664">
                  <c:v>#N/A</c:v>
                </c:pt>
                <c:pt idx="665">
                  <c:v>2021</c:v>
                </c:pt>
                <c:pt idx="666">
                  <c:v>#N/A</c:v>
                </c:pt>
                <c:pt idx="667">
                  <c:v>#N/A</c:v>
                </c:pt>
                <c:pt idx="668">
                  <c:v>#N/A</c:v>
                </c:pt>
                <c:pt idx="669">
                  <c:v>#N/A</c:v>
                </c:pt>
                <c:pt idx="670">
                  <c:v>2022</c:v>
                </c:pt>
                <c:pt idx="671">
                  <c:v>#N/A</c:v>
                </c:pt>
                <c:pt idx="672">
                  <c:v>2024</c:v>
                </c:pt>
                <c:pt idx="673">
                  <c:v>2026</c:v>
                </c:pt>
                <c:pt idx="674">
                  <c:v>2022</c:v>
                </c:pt>
                <c:pt idx="675">
                  <c:v>2023</c:v>
                </c:pt>
                <c:pt idx="676">
                  <c:v>2020</c:v>
                </c:pt>
                <c:pt idx="677">
                  <c:v>2023</c:v>
                </c:pt>
                <c:pt idx="678">
                  <c:v>2023</c:v>
                </c:pt>
                <c:pt idx="679">
                  <c:v>#N/A</c:v>
                </c:pt>
                <c:pt idx="680">
                  <c:v>2025</c:v>
                </c:pt>
                <c:pt idx="681">
                  <c:v>2022</c:v>
                </c:pt>
                <c:pt idx="682">
                  <c:v>2026</c:v>
                </c:pt>
                <c:pt idx="683">
                  <c:v>#N/A</c:v>
                </c:pt>
                <c:pt idx="684">
                  <c:v>#N/A</c:v>
                </c:pt>
                <c:pt idx="685">
                  <c:v>2025</c:v>
                </c:pt>
                <c:pt idx="686">
                  <c:v>2023</c:v>
                </c:pt>
                <c:pt idx="687">
                  <c:v>2025</c:v>
                </c:pt>
                <c:pt idx="688">
                  <c:v>#N/A</c:v>
                </c:pt>
                <c:pt idx="689">
                  <c:v>2022</c:v>
                </c:pt>
                <c:pt idx="690">
                  <c:v>#N/A</c:v>
                </c:pt>
                <c:pt idx="691">
                  <c:v>#N/A</c:v>
                </c:pt>
                <c:pt idx="692">
                  <c:v>#N/A</c:v>
                </c:pt>
                <c:pt idx="693">
                  <c:v>#N/A</c:v>
                </c:pt>
                <c:pt idx="694">
                  <c:v>#N/A</c:v>
                </c:pt>
                <c:pt idx="695">
                  <c:v>#N/A</c:v>
                </c:pt>
                <c:pt idx="696">
                  <c:v>#N/A</c:v>
                </c:pt>
                <c:pt idx="697">
                  <c:v>#N/A</c:v>
                </c:pt>
                <c:pt idx="698">
                  <c:v>#N/A</c:v>
                </c:pt>
                <c:pt idx="699">
                  <c:v>2010</c:v>
                </c:pt>
                <c:pt idx="700">
                  <c:v>#N/A</c:v>
                </c:pt>
                <c:pt idx="701">
                  <c:v>2022</c:v>
                </c:pt>
                <c:pt idx="702">
                  <c:v>#N/A</c:v>
                </c:pt>
                <c:pt idx="703">
                  <c:v>#N/A</c:v>
                </c:pt>
                <c:pt idx="704">
                  <c:v>#N/A</c:v>
                </c:pt>
                <c:pt idx="705">
                  <c:v>2020</c:v>
                </c:pt>
                <c:pt idx="706">
                  <c:v>2026</c:v>
                </c:pt>
                <c:pt idx="707">
                  <c:v>2014</c:v>
                </c:pt>
                <c:pt idx="708">
                  <c:v>#N/A</c:v>
                </c:pt>
                <c:pt idx="709">
                  <c:v>#N/A</c:v>
                </c:pt>
                <c:pt idx="710">
                  <c:v>2018</c:v>
                </c:pt>
                <c:pt idx="711">
                  <c:v>#N/A</c:v>
                </c:pt>
                <c:pt idx="712">
                  <c:v>#N/A</c:v>
                </c:pt>
                <c:pt idx="713">
                  <c:v>2026</c:v>
                </c:pt>
                <c:pt idx="714">
                  <c:v>#N/A</c:v>
                </c:pt>
                <c:pt idx="715">
                  <c:v>2024</c:v>
                </c:pt>
                <c:pt idx="716">
                  <c:v>2023</c:v>
                </c:pt>
                <c:pt idx="717">
                  <c:v>#N/A</c:v>
                </c:pt>
                <c:pt idx="718">
                  <c:v>#N/A</c:v>
                </c:pt>
                <c:pt idx="719">
                  <c:v>#N/A</c:v>
                </c:pt>
                <c:pt idx="720">
                  <c:v>2021</c:v>
                </c:pt>
                <c:pt idx="721">
                  <c:v>2025</c:v>
                </c:pt>
                <c:pt idx="722">
                  <c:v>#N/A</c:v>
                </c:pt>
                <c:pt idx="723">
                  <c:v>#N/A</c:v>
                </c:pt>
                <c:pt idx="724">
                  <c:v>#N/A</c:v>
                </c:pt>
                <c:pt idx="725">
                  <c:v>#N/A</c:v>
                </c:pt>
                <c:pt idx="726">
                  <c:v>2022</c:v>
                </c:pt>
                <c:pt idx="727">
                  <c:v>2021</c:v>
                </c:pt>
                <c:pt idx="728">
                  <c:v>2015</c:v>
                </c:pt>
                <c:pt idx="729">
                  <c:v>2019</c:v>
                </c:pt>
                <c:pt idx="730">
                  <c:v>#N/A</c:v>
                </c:pt>
                <c:pt idx="731">
                  <c:v>#N/A</c:v>
                </c:pt>
                <c:pt idx="732">
                  <c:v>2019</c:v>
                </c:pt>
                <c:pt idx="733">
                  <c:v>2022</c:v>
                </c:pt>
                <c:pt idx="734">
                  <c:v>#N/A</c:v>
                </c:pt>
                <c:pt idx="735">
                  <c:v>#N/A</c:v>
                </c:pt>
                <c:pt idx="736">
                  <c:v>2012</c:v>
                </c:pt>
                <c:pt idx="737">
                  <c:v>2020</c:v>
                </c:pt>
                <c:pt idx="738">
                  <c:v>2008</c:v>
                </c:pt>
                <c:pt idx="739">
                  <c:v>#N/A</c:v>
                </c:pt>
                <c:pt idx="740">
                  <c:v>2022</c:v>
                </c:pt>
                <c:pt idx="741">
                  <c:v>2023</c:v>
                </c:pt>
                <c:pt idx="742">
                  <c:v>2019</c:v>
                </c:pt>
                <c:pt idx="743">
                  <c:v>#N/A</c:v>
                </c:pt>
                <c:pt idx="744">
                  <c:v>2024</c:v>
                </c:pt>
                <c:pt idx="745">
                  <c:v>#N/A</c:v>
                </c:pt>
                <c:pt idx="746">
                  <c:v>2017</c:v>
                </c:pt>
                <c:pt idx="747">
                  <c:v>#N/A</c:v>
                </c:pt>
                <c:pt idx="748">
                  <c:v>2023</c:v>
                </c:pt>
                <c:pt idx="749">
                  <c:v>2026</c:v>
                </c:pt>
                <c:pt idx="750">
                  <c:v>2025</c:v>
                </c:pt>
                <c:pt idx="751">
                  <c:v>#N/A</c:v>
                </c:pt>
                <c:pt idx="752">
                  <c:v>#N/A</c:v>
                </c:pt>
                <c:pt idx="753">
                  <c:v>2025</c:v>
                </c:pt>
                <c:pt idx="754">
                  <c:v>2026</c:v>
                </c:pt>
                <c:pt idx="755">
                  <c:v>#N/A</c:v>
                </c:pt>
                <c:pt idx="756">
                  <c:v>#N/A</c:v>
                </c:pt>
                <c:pt idx="757">
                  <c:v>2017</c:v>
                </c:pt>
                <c:pt idx="758">
                  <c:v>#N/A</c:v>
                </c:pt>
                <c:pt idx="759">
                  <c:v>#N/A</c:v>
                </c:pt>
                <c:pt idx="760">
                  <c:v>2019</c:v>
                </c:pt>
                <c:pt idx="761">
                  <c:v>2024</c:v>
                </c:pt>
                <c:pt idx="762">
                  <c:v>2017</c:v>
                </c:pt>
                <c:pt idx="763">
                  <c:v>#N/A</c:v>
                </c:pt>
                <c:pt idx="764">
                  <c:v>#N/A</c:v>
                </c:pt>
                <c:pt idx="765">
                  <c:v>#N/A</c:v>
                </c:pt>
                <c:pt idx="766">
                  <c:v>#N/A</c:v>
                </c:pt>
                <c:pt idx="767">
                  <c:v>2013</c:v>
                </c:pt>
                <c:pt idx="768">
                  <c:v>#N/A</c:v>
                </c:pt>
                <c:pt idx="769">
                  <c:v>2025</c:v>
                </c:pt>
                <c:pt idx="770">
                  <c:v>2023</c:v>
                </c:pt>
                <c:pt idx="771">
                  <c:v>2016</c:v>
                </c:pt>
                <c:pt idx="772">
                  <c:v>#N/A</c:v>
                </c:pt>
                <c:pt idx="773">
                  <c:v>2021</c:v>
                </c:pt>
                <c:pt idx="774">
                  <c:v>2025</c:v>
                </c:pt>
                <c:pt idx="775">
                  <c:v>#N/A</c:v>
                </c:pt>
                <c:pt idx="776">
                  <c:v>2022</c:v>
                </c:pt>
                <c:pt idx="777">
                  <c:v>2025</c:v>
                </c:pt>
                <c:pt idx="778">
                  <c:v>2021</c:v>
                </c:pt>
                <c:pt idx="779">
                  <c:v>2018</c:v>
                </c:pt>
                <c:pt idx="780">
                  <c:v>#N/A</c:v>
                </c:pt>
                <c:pt idx="781">
                  <c:v>#N/A</c:v>
                </c:pt>
                <c:pt idx="782">
                  <c:v>2023</c:v>
                </c:pt>
                <c:pt idx="783">
                  <c:v>#N/A</c:v>
                </c:pt>
                <c:pt idx="784">
                  <c:v>#N/A</c:v>
                </c:pt>
                <c:pt idx="785">
                  <c:v>#N/A</c:v>
                </c:pt>
                <c:pt idx="786">
                  <c:v>#N/A</c:v>
                </c:pt>
                <c:pt idx="787">
                  <c:v>#N/A</c:v>
                </c:pt>
                <c:pt idx="788">
                  <c:v>2023</c:v>
                </c:pt>
                <c:pt idx="789">
                  <c:v>#N/A</c:v>
                </c:pt>
                <c:pt idx="790">
                  <c:v>2026</c:v>
                </c:pt>
                <c:pt idx="791">
                  <c:v>2024</c:v>
                </c:pt>
                <c:pt idx="792">
                  <c:v>2024</c:v>
                </c:pt>
                <c:pt idx="793">
                  <c:v>#N/A</c:v>
                </c:pt>
                <c:pt idx="794">
                  <c:v>2026</c:v>
                </c:pt>
                <c:pt idx="795">
                  <c:v>2024</c:v>
                </c:pt>
                <c:pt idx="796">
                  <c:v>#N/A</c:v>
                </c:pt>
                <c:pt idx="797">
                  <c:v>2011</c:v>
                </c:pt>
                <c:pt idx="798">
                  <c:v>2014</c:v>
                </c:pt>
                <c:pt idx="799">
                  <c:v>#N/A</c:v>
                </c:pt>
                <c:pt idx="800">
                  <c:v>#N/A</c:v>
                </c:pt>
                <c:pt idx="801">
                  <c:v>#N/A</c:v>
                </c:pt>
                <c:pt idx="802">
                  <c:v>2016</c:v>
                </c:pt>
                <c:pt idx="803">
                  <c:v>#N/A</c:v>
                </c:pt>
                <c:pt idx="804">
                  <c:v>#N/A</c:v>
                </c:pt>
                <c:pt idx="805">
                  <c:v>#N/A</c:v>
                </c:pt>
                <c:pt idx="806">
                  <c:v>#N/A</c:v>
                </c:pt>
                <c:pt idx="807">
                  <c:v>2023</c:v>
                </c:pt>
                <c:pt idx="808">
                  <c:v>#N/A</c:v>
                </c:pt>
                <c:pt idx="809">
                  <c:v>#N/A</c:v>
                </c:pt>
                <c:pt idx="810">
                  <c:v>#N/A</c:v>
                </c:pt>
                <c:pt idx="811">
                  <c:v>2026</c:v>
                </c:pt>
                <c:pt idx="812">
                  <c:v>#N/A</c:v>
                </c:pt>
                <c:pt idx="813">
                  <c:v>#N/A</c:v>
                </c:pt>
                <c:pt idx="814">
                  <c:v>2024</c:v>
                </c:pt>
                <c:pt idx="815">
                  <c:v>#N/A</c:v>
                </c:pt>
                <c:pt idx="816">
                  <c:v>2024</c:v>
                </c:pt>
                <c:pt idx="817">
                  <c:v>#N/A</c:v>
                </c:pt>
                <c:pt idx="818">
                  <c:v>2022</c:v>
                </c:pt>
                <c:pt idx="819">
                  <c:v>2018</c:v>
                </c:pt>
                <c:pt idx="820">
                  <c:v>#N/A</c:v>
                </c:pt>
                <c:pt idx="821">
                  <c:v>#N/A</c:v>
                </c:pt>
                <c:pt idx="822">
                  <c:v>#N/A</c:v>
                </c:pt>
                <c:pt idx="823">
                  <c:v>2023</c:v>
                </c:pt>
                <c:pt idx="824">
                  <c:v>2023</c:v>
                </c:pt>
                <c:pt idx="825">
                  <c:v>#N/A</c:v>
                </c:pt>
                <c:pt idx="826">
                  <c:v>#N/A</c:v>
                </c:pt>
                <c:pt idx="827">
                  <c:v>2022</c:v>
                </c:pt>
                <c:pt idx="828">
                  <c:v>#N/A</c:v>
                </c:pt>
                <c:pt idx="829">
                  <c:v>1991</c:v>
                </c:pt>
                <c:pt idx="830">
                  <c:v>2019</c:v>
                </c:pt>
                <c:pt idx="831">
                  <c:v>2022</c:v>
                </c:pt>
                <c:pt idx="832">
                  <c:v>#N/A</c:v>
                </c:pt>
                <c:pt idx="833">
                  <c:v>#N/A</c:v>
                </c:pt>
                <c:pt idx="834">
                  <c:v>#N/A</c:v>
                </c:pt>
                <c:pt idx="835">
                  <c:v>#N/A</c:v>
                </c:pt>
                <c:pt idx="836">
                  <c:v>#N/A</c:v>
                </c:pt>
                <c:pt idx="837">
                  <c:v>#N/A</c:v>
                </c:pt>
                <c:pt idx="838">
                  <c:v>#N/A</c:v>
                </c:pt>
                <c:pt idx="839">
                  <c:v>2024</c:v>
                </c:pt>
                <c:pt idx="840">
                  <c:v>#N/A</c:v>
                </c:pt>
                <c:pt idx="841">
                  <c:v>#N/A</c:v>
                </c:pt>
                <c:pt idx="842">
                  <c:v>#N/A</c:v>
                </c:pt>
                <c:pt idx="843">
                  <c:v>2017</c:v>
                </c:pt>
                <c:pt idx="844">
                  <c:v>2014</c:v>
                </c:pt>
                <c:pt idx="845">
                  <c:v>#N/A</c:v>
                </c:pt>
                <c:pt idx="846">
                  <c:v>#N/A</c:v>
                </c:pt>
                <c:pt idx="847">
                  <c:v>#N/A</c:v>
                </c:pt>
                <c:pt idx="848">
                  <c:v>#N/A</c:v>
                </c:pt>
                <c:pt idx="849">
                  <c:v>2017</c:v>
                </c:pt>
                <c:pt idx="850">
                  <c:v>#N/A</c:v>
                </c:pt>
                <c:pt idx="851">
                  <c:v>2025</c:v>
                </c:pt>
                <c:pt idx="852">
                  <c:v>#N/A</c:v>
                </c:pt>
                <c:pt idx="853">
                  <c:v>#N/A</c:v>
                </c:pt>
                <c:pt idx="854">
                  <c:v>#N/A</c:v>
                </c:pt>
                <c:pt idx="855">
                  <c:v>#N/A</c:v>
                </c:pt>
                <c:pt idx="856">
                  <c:v>2024</c:v>
                </c:pt>
                <c:pt idx="857">
                  <c:v>2019</c:v>
                </c:pt>
                <c:pt idx="858">
                  <c:v>2025</c:v>
                </c:pt>
                <c:pt idx="859">
                  <c:v>2017</c:v>
                </c:pt>
                <c:pt idx="860">
                  <c:v>2022</c:v>
                </c:pt>
                <c:pt idx="861">
                  <c:v>#N/A</c:v>
                </c:pt>
                <c:pt idx="862">
                  <c:v>2018</c:v>
                </c:pt>
                <c:pt idx="863">
                  <c:v>#N/A</c:v>
                </c:pt>
                <c:pt idx="864">
                  <c:v>2023</c:v>
                </c:pt>
                <c:pt idx="865">
                  <c:v>2021</c:v>
                </c:pt>
                <c:pt idx="866">
                  <c:v>#N/A</c:v>
                </c:pt>
                <c:pt idx="867">
                  <c:v>2024</c:v>
                </c:pt>
                <c:pt idx="868">
                  <c:v>2026</c:v>
                </c:pt>
                <c:pt idx="869">
                  <c:v>#N/A</c:v>
                </c:pt>
                <c:pt idx="870">
                  <c:v>#N/A</c:v>
                </c:pt>
                <c:pt idx="871">
                  <c:v>#N/A</c:v>
                </c:pt>
                <c:pt idx="872">
                  <c:v>2019</c:v>
                </c:pt>
                <c:pt idx="873">
                  <c:v>2022</c:v>
                </c:pt>
                <c:pt idx="874">
                  <c:v>#N/A</c:v>
                </c:pt>
                <c:pt idx="875">
                  <c:v>2023</c:v>
                </c:pt>
                <c:pt idx="876">
                  <c:v>2024</c:v>
                </c:pt>
                <c:pt idx="877">
                  <c:v>2024</c:v>
                </c:pt>
                <c:pt idx="878">
                  <c:v>#N/A</c:v>
                </c:pt>
                <c:pt idx="879">
                  <c:v>#N/A</c:v>
                </c:pt>
                <c:pt idx="880">
                  <c:v>#N/A</c:v>
                </c:pt>
                <c:pt idx="881">
                  <c:v>2026</c:v>
                </c:pt>
                <c:pt idx="882">
                  <c:v>2026</c:v>
                </c:pt>
                <c:pt idx="883">
                  <c:v>#N/A</c:v>
                </c:pt>
                <c:pt idx="884">
                  <c:v>2025</c:v>
                </c:pt>
                <c:pt idx="885">
                  <c:v>#N/A</c:v>
                </c:pt>
                <c:pt idx="886">
                  <c:v>#N/A</c:v>
                </c:pt>
                <c:pt idx="887">
                  <c:v>#N/A</c:v>
                </c:pt>
                <c:pt idx="888">
                  <c:v>2017</c:v>
                </c:pt>
                <c:pt idx="889">
                  <c:v>#N/A</c:v>
                </c:pt>
                <c:pt idx="890">
                  <c:v>2020</c:v>
                </c:pt>
                <c:pt idx="891">
                  <c:v>2025</c:v>
                </c:pt>
                <c:pt idx="892">
                  <c:v>2025</c:v>
                </c:pt>
                <c:pt idx="893">
                  <c:v>2024</c:v>
                </c:pt>
                <c:pt idx="894">
                  <c:v>#N/A</c:v>
                </c:pt>
                <c:pt idx="895">
                  <c:v>#N/A</c:v>
                </c:pt>
                <c:pt idx="896">
                  <c:v>2024</c:v>
                </c:pt>
                <c:pt idx="897">
                  <c:v>#N/A</c:v>
                </c:pt>
                <c:pt idx="898">
                  <c:v>#N/A</c:v>
                </c:pt>
                <c:pt idx="899">
                  <c:v>2023</c:v>
                </c:pt>
                <c:pt idx="900">
                  <c:v>#N/A</c:v>
                </c:pt>
                <c:pt idx="901">
                  <c:v>2018</c:v>
                </c:pt>
                <c:pt idx="902">
                  <c:v>2024</c:v>
                </c:pt>
                <c:pt idx="903">
                  <c:v>#N/A</c:v>
                </c:pt>
                <c:pt idx="904">
                  <c:v>#N/A</c:v>
                </c:pt>
                <c:pt idx="905">
                  <c:v>#N/A</c:v>
                </c:pt>
                <c:pt idx="906">
                  <c:v>#N/A</c:v>
                </c:pt>
                <c:pt idx="907">
                  <c:v>#N/A</c:v>
                </c:pt>
                <c:pt idx="908">
                  <c:v>2025</c:v>
                </c:pt>
                <c:pt idx="909">
                  <c:v>2023</c:v>
                </c:pt>
                <c:pt idx="910">
                  <c:v>#N/A</c:v>
                </c:pt>
                <c:pt idx="911">
                  <c:v>#N/A</c:v>
                </c:pt>
                <c:pt idx="912">
                  <c:v>#N/A</c:v>
                </c:pt>
                <c:pt idx="913">
                  <c:v>#N/A</c:v>
                </c:pt>
                <c:pt idx="914">
                  <c:v>#N/A</c:v>
                </c:pt>
                <c:pt idx="915">
                  <c:v>2014</c:v>
                </c:pt>
                <c:pt idx="916">
                  <c:v>2020</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#N/A</c:v>
                </c:pt>
                <c:pt idx="571">
                  <c:v>#N/A</c:v>
                </c:pt>
                <c:pt idx="572">
                  <c:v>1.667</c:v>
                </c:pt>
                <c:pt idx="573">
                  <c:v>1.69</c:v>
                </c:pt>
                <c:pt idx="574">
                  <c:v>1.7130000000000001</c:v>
                </c:pt>
                <c:pt idx="575">
                  <c:v>1.736</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#N/A</c:v>
                </c:pt>
                <c:pt idx="590">
                  <c:v>#N/A</c:v>
                </c:pt>
                <c:pt idx="591">
                  <c:v>#N/A</c:v>
                </c:pt>
                <c:pt idx="592">
                  <c:v>#N/A</c:v>
                </c:pt>
                <c:pt idx="593">
                  <c:v>1.3679999999999999</c:v>
                </c:pt>
                <c:pt idx="594">
                  <c:v>#N/A</c:v>
                </c:pt>
                <c:pt idx="595">
                  <c:v>#N/A</c:v>
                </c:pt>
                <c:pt idx="596">
                  <c:v>#N/A</c:v>
                </c:pt>
                <c:pt idx="597">
                  <c:v>#N/A</c:v>
                </c:pt>
                <c:pt idx="598">
                  <c:v>#N/A</c:v>
                </c:pt>
                <c:pt idx="599">
                  <c:v>1.506</c:v>
                </c:pt>
                <c:pt idx="600">
                  <c:v>1.5289999999999999</c:v>
                </c:pt>
                <c:pt idx="601">
                  <c:v>#N/A</c:v>
                </c:pt>
                <c:pt idx="602">
                  <c:v>1.575</c:v>
                </c:pt>
                <c:pt idx="603">
                  <c:v>#N/A</c:v>
                </c:pt>
                <c:pt idx="604">
                  <c:v>#N/A</c:v>
                </c:pt>
                <c:pt idx="605">
                  <c:v>#N/A</c:v>
                </c:pt>
                <c:pt idx="606">
                  <c:v>1.667</c:v>
                </c:pt>
                <c:pt idx="607">
                  <c:v>#N/A</c:v>
                </c:pt>
                <c:pt idx="608">
                  <c:v>#N/A</c:v>
                </c:pt>
                <c:pt idx="609">
                  <c:v>#N/A</c:v>
                </c:pt>
                <c:pt idx="610">
                  <c:v>1.7589999999999999</c:v>
                </c:pt>
                <c:pt idx="611">
                  <c:v>1</c:v>
                </c:pt>
                <c:pt idx="612">
                  <c:v>#N/A</c:v>
                </c:pt>
                <c:pt idx="613">
                  <c:v>1.046</c:v>
                </c:pt>
                <c:pt idx="614">
                  <c:v>#N/A</c:v>
                </c:pt>
                <c:pt idx="615">
                  <c:v>1.0920000000000001</c:v>
                </c:pt>
                <c:pt idx="616">
                  <c:v>1.115</c:v>
                </c:pt>
                <c:pt idx="617">
                  <c:v>1.1379999999999999</c:v>
                </c:pt>
                <c:pt idx="618">
                  <c:v>1.161</c:v>
                </c:pt>
                <c:pt idx="619">
                  <c:v>1.1839999999999999</c:v>
                </c:pt>
                <c:pt idx="620">
                  <c:v>1.2070000000000001</c:v>
                </c:pt>
                <c:pt idx="621">
                  <c:v>#N/A</c:v>
                </c:pt>
                <c:pt idx="622">
                  <c:v>1.2530000000000001</c:v>
                </c:pt>
                <c:pt idx="623">
                  <c:v>#N/A</c:v>
                </c:pt>
                <c:pt idx="624">
                  <c:v>1.2989999999999999</c:v>
                </c:pt>
                <c:pt idx="625">
                  <c:v>1.3220000000000001</c:v>
                </c:pt>
                <c:pt idx="626">
                  <c:v>1.345</c:v>
                </c:pt>
                <c:pt idx="627">
                  <c:v>1.3679999999999999</c:v>
                </c:pt>
                <c:pt idx="628">
                  <c:v>#N/A</c:v>
                </c:pt>
                <c:pt idx="629">
                  <c:v>#N/A</c:v>
                </c:pt>
                <c:pt idx="630">
                  <c:v>#N/A</c:v>
                </c:pt>
                <c:pt idx="631">
                  <c:v>1.46</c:v>
                </c:pt>
                <c:pt idx="632">
                  <c:v>#N/A</c:v>
                </c:pt>
                <c:pt idx="633">
                  <c:v>#N/A</c:v>
                </c:pt>
                <c:pt idx="634">
                  <c:v>#N/A</c:v>
                </c:pt>
                <c:pt idx="635">
                  <c:v>1.552</c:v>
                </c:pt>
                <c:pt idx="636">
                  <c:v>1.575</c:v>
                </c:pt>
                <c:pt idx="637">
                  <c:v>1.5979999999999999</c:v>
                </c:pt>
                <c:pt idx="638">
                  <c:v>1.621</c:v>
                </c:pt>
                <c:pt idx="639">
                  <c:v>#N/A</c:v>
                </c:pt>
                <c:pt idx="640">
                  <c:v>1.667</c:v>
                </c:pt>
                <c:pt idx="641">
                  <c:v>1.69</c:v>
                </c:pt>
                <c:pt idx="642">
                  <c:v>#N/A</c:v>
                </c:pt>
                <c:pt idx="643">
                  <c:v>1.736</c:v>
                </c:pt>
                <c:pt idx="644">
                  <c:v>#N/A</c:v>
                </c:pt>
                <c:pt idx="645">
                  <c:v>#N/A</c:v>
                </c:pt>
                <c:pt idx="646">
                  <c:v>1.0229999999999999</c:v>
                </c:pt>
                <c:pt idx="647">
                  <c:v>1.046</c:v>
                </c:pt>
                <c:pt idx="648">
                  <c:v>#N/A</c:v>
                </c:pt>
                <c:pt idx="649">
                  <c:v>1.0920000000000001</c:v>
                </c:pt>
                <c:pt idx="650">
                  <c:v>1.115</c:v>
                </c:pt>
                <c:pt idx="651">
                  <c:v>1.1379999999999999</c:v>
                </c:pt>
                <c:pt idx="652">
                  <c:v>#N/A</c:v>
                </c:pt>
                <c:pt idx="653">
                  <c:v>#N/A</c:v>
                </c:pt>
                <c:pt idx="654">
                  <c:v>#N/A</c:v>
                </c:pt>
                <c:pt idx="655">
                  <c:v>#N/A</c:v>
                </c:pt>
                <c:pt idx="656">
                  <c:v>1.2530000000000001</c:v>
                </c:pt>
                <c:pt idx="657">
                  <c:v>#N/A</c:v>
                </c:pt>
                <c:pt idx="658">
                  <c:v>#N/A</c:v>
                </c:pt>
                <c:pt idx="659">
                  <c:v>#N/A</c:v>
                </c:pt>
                <c:pt idx="660">
                  <c:v>#N/A</c:v>
                </c:pt>
                <c:pt idx="661">
                  <c:v>#N/A</c:v>
                </c:pt>
                <c:pt idx="662">
                  <c:v>#N/A</c:v>
                </c:pt>
                <c:pt idx="663">
                  <c:v>#N/A</c:v>
                </c:pt>
                <c:pt idx="664">
                  <c:v>#N/A</c:v>
                </c:pt>
                <c:pt idx="665">
                  <c:v>#N/A</c:v>
                </c:pt>
                <c:pt idx="666">
                  <c:v>1.4830000000000001</c:v>
                </c:pt>
                <c:pt idx="667">
                  <c:v>#N/A</c:v>
                </c:pt>
                <c:pt idx="668">
                  <c:v>#N/A</c:v>
                </c:pt>
                <c:pt idx="669">
                  <c:v>#N/A</c:v>
                </c:pt>
                <c:pt idx="670">
                  <c:v>#N/A</c:v>
                </c:pt>
                <c:pt idx="671">
                  <c:v>1.5979999999999999</c:v>
                </c:pt>
                <c:pt idx="672">
                  <c:v>#N/A</c:v>
                </c:pt>
                <c:pt idx="673">
                  <c:v>1.6440000000000001</c:v>
                </c:pt>
                <c:pt idx="674">
                  <c:v>1.667</c:v>
                </c:pt>
                <c:pt idx="675">
                  <c:v>1.69</c:v>
                </c:pt>
                <c:pt idx="676">
                  <c:v>1.7130000000000001</c:v>
                </c:pt>
                <c:pt idx="677">
                  <c:v>1.736</c:v>
                </c:pt>
                <c:pt idx="678">
                  <c:v>1.7589999999999999</c:v>
                </c:pt>
                <c:pt idx="679">
                  <c:v>1</c:v>
                </c:pt>
                <c:pt idx="680">
                  <c:v>#N/A</c:v>
                </c:pt>
                <c:pt idx="681">
                  <c:v>1.046</c:v>
                </c:pt>
                <c:pt idx="682">
                  <c:v>1.069</c:v>
                </c:pt>
                <c:pt idx="683">
                  <c:v>1.0920000000000001</c:v>
                </c:pt>
                <c:pt idx="684">
                  <c:v>#N/A</c:v>
                </c:pt>
                <c:pt idx="685">
                  <c:v>#N/A</c:v>
                </c:pt>
                <c:pt idx="686">
                  <c:v>1.161</c:v>
                </c:pt>
                <c:pt idx="687">
                  <c:v>1.1839999999999999</c:v>
                </c:pt>
                <c:pt idx="688">
                  <c:v>1.2070000000000001</c:v>
                </c:pt>
                <c:pt idx="689">
                  <c:v>#N/A</c:v>
                </c:pt>
                <c:pt idx="690">
                  <c:v>1.2530000000000001</c:v>
                </c:pt>
                <c:pt idx="691">
                  <c:v>#N/A</c:v>
                </c:pt>
                <c:pt idx="692">
                  <c:v>#N/A</c:v>
                </c:pt>
                <c:pt idx="693">
                  <c:v>#N/A</c:v>
                </c:pt>
                <c:pt idx="694">
                  <c:v>#N/A</c:v>
                </c:pt>
                <c:pt idx="695">
                  <c:v>#N/A</c:v>
                </c:pt>
                <c:pt idx="696">
                  <c:v>#N/A</c:v>
                </c:pt>
                <c:pt idx="697">
                  <c:v>#N/A</c:v>
                </c:pt>
                <c:pt idx="698">
                  <c:v>#N/A</c:v>
                </c:pt>
                <c:pt idx="699">
                  <c:v>#N/A</c:v>
                </c:pt>
                <c:pt idx="700">
                  <c:v>1.4830000000000001</c:v>
                </c:pt>
                <c:pt idx="701">
                  <c:v>#N/A</c:v>
                </c:pt>
                <c:pt idx="702">
                  <c:v>1.5289999999999999</c:v>
                </c:pt>
                <c:pt idx="703">
                  <c:v>#N/A</c:v>
                </c:pt>
                <c:pt idx="704">
                  <c:v>#N/A</c:v>
                </c:pt>
                <c:pt idx="705">
                  <c:v>#N/A</c:v>
                </c:pt>
                <c:pt idx="706">
                  <c:v>1.621</c:v>
                </c:pt>
                <c:pt idx="707">
                  <c:v>1.6440000000000001</c:v>
                </c:pt>
                <c:pt idx="708">
                  <c:v>1.667</c:v>
                </c:pt>
                <c:pt idx="709">
                  <c:v>#N/A</c:v>
                </c:pt>
                <c:pt idx="710">
                  <c:v>#N/A</c:v>
                </c:pt>
                <c:pt idx="711">
                  <c:v>1.736</c:v>
                </c:pt>
                <c:pt idx="712">
                  <c:v>#N/A</c:v>
                </c:pt>
                <c:pt idx="713">
                  <c:v>#N/A</c:v>
                </c:pt>
                <c:pt idx="714">
                  <c:v>1.0229999999999999</c:v>
                </c:pt>
                <c:pt idx="715">
                  <c:v>#N/A</c:v>
                </c:pt>
                <c:pt idx="716">
                  <c:v>1.069</c:v>
                </c:pt>
                <c:pt idx="717">
                  <c:v>1.0920000000000001</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1.3679999999999999</c:v>
                </c:pt>
                <c:pt idx="730">
                  <c:v>1.391</c:v>
                </c:pt>
                <c:pt idx="731">
                  <c:v>#N/A</c:v>
                </c:pt>
                <c:pt idx="732">
                  <c:v>#N/A</c:v>
                </c:pt>
                <c:pt idx="733">
                  <c:v>1.46</c:v>
                </c:pt>
                <c:pt idx="734">
                  <c:v>1.4830000000000001</c:v>
                </c:pt>
                <c:pt idx="735">
                  <c:v>#N/A</c:v>
                </c:pt>
                <c:pt idx="736">
                  <c:v>#N/A</c:v>
                </c:pt>
                <c:pt idx="737">
                  <c:v>1.552</c:v>
                </c:pt>
                <c:pt idx="738">
                  <c:v>1.575</c:v>
                </c:pt>
                <c:pt idx="739">
                  <c:v>1.5979999999999999</c:v>
                </c:pt>
                <c:pt idx="740">
                  <c:v>#N/A</c:v>
                </c:pt>
                <c:pt idx="741">
                  <c:v>1.6440000000000001</c:v>
                </c:pt>
                <c:pt idx="742">
                  <c:v>1.667</c:v>
                </c:pt>
                <c:pt idx="743">
                  <c:v>1.69</c:v>
                </c:pt>
                <c:pt idx="744">
                  <c:v>#N/A</c:v>
                </c:pt>
                <c:pt idx="745">
                  <c:v>1.736</c:v>
                </c:pt>
                <c:pt idx="746">
                  <c:v>#N/A</c:v>
                </c:pt>
                <c:pt idx="747">
                  <c:v>1</c:v>
                </c:pt>
                <c:pt idx="748">
                  <c:v>#N/A</c:v>
                </c:pt>
                <c:pt idx="749">
                  <c:v>1.046</c:v>
                </c:pt>
                <c:pt idx="750">
                  <c:v>1.069</c:v>
                </c:pt>
                <c:pt idx="751">
                  <c:v>1.0920000000000001</c:v>
                </c:pt>
                <c:pt idx="752">
                  <c:v>#N/A</c:v>
                </c:pt>
                <c:pt idx="753">
                  <c:v>#N/A</c:v>
                </c:pt>
                <c:pt idx="754">
                  <c:v>1.161</c:v>
                </c:pt>
                <c:pt idx="755">
                  <c:v>1.1839999999999999</c:v>
                </c:pt>
                <c:pt idx="756">
                  <c:v>#N/A</c:v>
                </c:pt>
                <c:pt idx="757">
                  <c:v>#N/A</c:v>
                </c:pt>
                <c:pt idx="758">
                  <c:v>1.2530000000000001</c:v>
                </c:pt>
                <c:pt idx="759">
                  <c:v>#N/A</c:v>
                </c:pt>
                <c:pt idx="760">
                  <c:v>#N/A</c:v>
                </c:pt>
                <c:pt idx="761">
                  <c:v>1.3220000000000001</c:v>
                </c:pt>
                <c:pt idx="762">
                  <c:v>1.345</c:v>
                </c:pt>
                <c:pt idx="763">
                  <c:v>1.3679999999999999</c:v>
                </c:pt>
                <c:pt idx="764">
                  <c:v>#N/A</c:v>
                </c:pt>
                <c:pt idx="765">
                  <c:v>#N/A</c:v>
                </c:pt>
                <c:pt idx="766">
                  <c:v>#N/A</c:v>
                </c:pt>
                <c:pt idx="767">
                  <c:v>#N/A</c:v>
                </c:pt>
                <c:pt idx="768">
                  <c:v>1.4830000000000001</c:v>
                </c:pt>
                <c:pt idx="769">
                  <c:v>#N/A</c:v>
                </c:pt>
                <c:pt idx="770">
                  <c:v>1.5289999999999999</c:v>
                </c:pt>
                <c:pt idx="771">
                  <c:v>1.552</c:v>
                </c:pt>
                <c:pt idx="772">
                  <c:v>1.575</c:v>
                </c:pt>
                <c:pt idx="773">
                  <c:v>#N/A</c:v>
                </c:pt>
                <c:pt idx="774">
                  <c:v>1.621</c:v>
                </c:pt>
                <c:pt idx="775">
                  <c:v>1.6440000000000001</c:v>
                </c:pt>
                <c:pt idx="776">
                  <c:v>#N/A</c:v>
                </c:pt>
                <c:pt idx="777">
                  <c:v>1.69</c:v>
                </c:pt>
                <c:pt idx="778">
                  <c:v>1.7130000000000001</c:v>
                </c:pt>
                <c:pt idx="779">
                  <c:v>1.736</c:v>
                </c:pt>
                <c:pt idx="780">
                  <c:v>1.7589999999999999</c:v>
                </c:pt>
                <c:pt idx="781">
                  <c:v>#N/A</c:v>
                </c:pt>
                <c:pt idx="782">
                  <c:v>#N/A</c:v>
                </c:pt>
                <c:pt idx="783">
                  <c:v>1.046</c:v>
                </c:pt>
                <c:pt idx="784">
                  <c:v>#N/A</c:v>
                </c:pt>
                <c:pt idx="785">
                  <c:v>#N/A</c:v>
                </c:pt>
                <c:pt idx="786">
                  <c:v>#N/A</c:v>
                </c:pt>
                <c:pt idx="787">
                  <c:v>#N/A</c:v>
                </c:pt>
                <c:pt idx="788">
                  <c:v>#N/A</c:v>
                </c:pt>
                <c:pt idx="789">
                  <c:v>1.1839999999999999</c:v>
                </c:pt>
                <c:pt idx="790">
                  <c:v>#N/A</c:v>
                </c:pt>
                <c:pt idx="791">
                  <c:v>1.23</c:v>
                </c:pt>
                <c:pt idx="792">
                  <c:v>1.2530000000000001</c:v>
                </c:pt>
                <c:pt idx="793">
                  <c:v>1.276</c:v>
                </c:pt>
                <c:pt idx="794">
                  <c:v>#N/A</c:v>
                </c:pt>
                <c:pt idx="795">
                  <c:v>1.3220000000000001</c:v>
                </c:pt>
                <c:pt idx="796">
                  <c:v>1.345</c:v>
                </c:pt>
                <c:pt idx="797">
                  <c:v>#N/A</c:v>
                </c:pt>
                <c:pt idx="798">
                  <c:v>1.391</c:v>
                </c:pt>
                <c:pt idx="799">
                  <c:v>1.4139999999999999</c:v>
                </c:pt>
                <c:pt idx="800">
                  <c:v>#N/A</c:v>
                </c:pt>
                <c:pt idx="801">
                  <c:v>#N/A</c:v>
                </c:pt>
                <c:pt idx="802">
                  <c:v>#N/A</c:v>
                </c:pt>
                <c:pt idx="803">
                  <c:v>1.506</c:v>
                </c:pt>
                <c:pt idx="804">
                  <c:v>#N/A</c:v>
                </c:pt>
                <c:pt idx="805">
                  <c:v>#N/A</c:v>
                </c:pt>
                <c:pt idx="806">
                  <c:v>#N/A</c:v>
                </c:pt>
                <c:pt idx="807">
                  <c:v>#N/A</c:v>
                </c:pt>
                <c:pt idx="808">
                  <c:v>1.621</c:v>
                </c:pt>
                <c:pt idx="809">
                  <c:v>#N/A</c:v>
                </c:pt>
                <c:pt idx="810">
                  <c:v>#N/A</c:v>
                </c:pt>
                <c:pt idx="811">
                  <c:v>#N/A</c:v>
                </c:pt>
                <c:pt idx="812">
                  <c:v>1.7130000000000001</c:v>
                </c:pt>
                <c:pt idx="813">
                  <c:v>#N/A</c:v>
                </c:pt>
                <c:pt idx="814">
                  <c:v>#N/A</c:v>
                </c:pt>
                <c:pt idx="815">
                  <c:v>1</c:v>
                </c:pt>
                <c:pt idx="816">
                  <c:v>#N/A</c:v>
                </c:pt>
                <c:pt idx="817">
                  <c:v>1.046</c:v>
                </c:pt>
                <c:pt idx="818">
                  <c:v>#N/A</c:v>
                </c:pt>
                <c:pt idx="819">
                  <c:v>1.0920000000000001</c:v>
                </c:pt>
                <c:pt idx="820">
                  <c:v>1.115</c:v>
                </c:pt>
                <c:pt idx="821">
                  <c:v>#N/A</c:v>
                </c:pt>
                <c:pt idx="822">
                  <c:v>#N/A</c:v>
                </c:pt>
                <c:pt idx="823">
                  <c:v>#N/A</c:v>
                </c:pt>
                <c:pt idx="824">
                  <c:v>1.2070000000000001</c:v>
                </c:pt>
                <c:pt idx="825">
                  <c:v>1.23</c:v>
                </c:pt>
                <c:pt idx="826">
                  <c:v>#N/A</c:v>
                </c:pt>
                <c:pt idx="827">
                  <c:v>#N/A</c:v>
                </c:pt>
                <c:pt idx="828">
                  <c:v>1.2989999999999999</c:v>
                </c:pt>
                <c:pt idx="829">
                  <c:v>#N/A</c:v>
                </c:pt>
                <c:pt idx="830">
                  <c:v>1.345</c:v>
                </c:pt>
                <c:pt idx="831">
                  <c:v>1.3679999999999999</c:v>
                </c:pt>
                <c:pt idx="832">
                  <c:v>1.391</c:v>
                </c:pt>
                <c:pt idx="833">
                  <c:v>#N/A</c:v>
                </c:pt>
                <c:pt idx="834">
                  <c:v>#N/A</c:v>
                </c:pt>
                <c:pt idx="835">
                  <c:v>#N/A</c:v>
                </c:pt>
                <c:pt idx="836">
                  <c:v>#N/A</c:v>
                </c:pt>
                <c:pt idx="837">
                  <c:v>#N/A</c:v>
                </c:pt>
                <c:pt idx="838">
                  <c:v>#N/A</c:v>
                </c:pt>
                <c:pt idx="839">
                  <c:v>#N/A</c:v>
                </c:pt>
                <c:pt idx="840">
                  <c:v>1.575</c:v>
                </c:pt>
                <c:pt idx="841">
                  <c:v>#N/A</c:v>
                </c:pt>
                <c:pt idx="842">
                  <c:v>#N/A</c:v>
                </c:pt>
                <c:pt idx="843">
                  <c:v>#N/A</c:v>
                </c:pt>
                <c:pt idx="844">
                  <c:v>1.667</c:v>
                </c:pt>
                <c:pt idx="845">
                  <c:v>1.69</c:v>
                </c:pt>
                <c:pt idx="846">
                  <c:v>#N/A</c:v>
                </c:pt>
                <c:pt idx="847">
                  <c:v>#N/A</c:v>
                </c:pt>
                <c:pt idx="848">
                  <c:v>#N/A</c:v>
                </c:pt>
                <c:pt idx="849">
                  <c:v>#N/A</c:v>
                </c:pt>
                <c:pt idx="850">
                  <c:v>1.0229999999999999</c:v>
                </c:pt>
                <c:pt idx="851">
                  <c:v>#N/A</c:v>
                </c:pt>
                <c:pt idx="852">
                  <c:v>1.069</c:v>
                </c:pt>
                <c:pt idx="853">
                  <c:v>#N/A</c:v>
                </c:pt>
                <c:pt idx="854">
                  <c:v>#N/A</c:v>
                </c:pt>
                <c:pt idx="855">
                  <c:v>#N/A</c:v>
                </c:pt>
                <c:pt idx="856">
                  <c:v>#N/A</c:v>
                </c:pt>
                <c:pt idx="857">
                  <c:v>1.1839999999999999</c:v>
                </c:pt>
                <c:pt idx="858">
                  <c:v>1.2070000000000001</c:v>
                </c:pt>
                <c:pt idx="859">
                  <c:v>1.23</c:v>
                </c:pt>
                <c:pt idx="860">
                  <c:v>1.2530000000000001</c:v>
                </c:pt>
                <c:pt idx="861">
                  <c:v>1.276</c:v>
                </c:pt>
                <c:pt idx="862">
                  <c:v>#N/A</c:v>
                </c:pt>
                <c:pt idx="863">
                  <c:v>1.3220000000000001</c:v>
                </c:pt>
                <c:pt idx="864">
                  <c:v>#N/A</c:v>
                </c:pt>
                <c:pt idx="865">
                  <c:v>1.3679999999999999</c:v>
                </c:pt>
                <c:pt idx="866">
                  <c:v>1.391</c:v>
                </c:pt>
                <c:pt idx="867">
                  <c:v>#N/A</c:v>
                </c:pt>
                <c:pt idx="868">
                  <c:v>1.4370000000000001</c:v>
                </c:pt>
                <c:pt idx="869">
                  <c:v>1.46</c:v>
                </c:pt>
                <c:pt idx="870">
                  <c:v>#N/A</c:v>
                </c:pt>
                <c:pt idx="871">
                  <c:v>#N/A</c:v>
                </c:pt>
                <c:pt idx="872">
                  <c:v>#N/A</c:v>
                </c:pt>
                <c:pt idx="873">
                  <c:v>1.552</c:v>
                </c:pt>
                <c:pt idx="874">
                  <c:v>1.575</c:v>
                </c:pt>
                <c:pt idx="875">
                  <c:v>#N/A</c:v>
                </c:pt>
                <c:pt idx="876">
                  <c:v>1.621</c:v>
                </c:pt>
                <c:pt idx="877">
                  <c:v>1.6440000000000001</c:v>
                </c:pt>
                <c:pt idx="878">
                  <c:v>1.667</c:v>
                </c:pt>
                <c:pt idx="879">
                  <c:v>#N/A</c:v>
                </c:pt>
                <c:pt idx="880">
                  <c:v>#N/A</c:v>
                </c:pt>
                <c:pt idx="881">
                  <c:v>#N/A</c:v>
                </c:pt>
                <c:pt idx="882">
                  <c:v>1.7589999999999999</c:v>
                </c:pt>
                <c:pt idx="883">
                  <c:v>1</c:v>
                </c:pt>
                <c:pt idx="884">
                  <c:v>#N/A</c:v>
                </c:pt>
                <c:pt idx="885">
                  <c:v>1.046</c:v>
                </c:pt>
                <c:pt idx="886">
                  <c:v>#N/A</c:v>
                </c:pt>
                <c:pt idx="887">
                  <c:v>#N/A</c:v>
                </c:pt>
                <c:pt idx="888">
                  <c:v>#N/A</c:v>
                </c:pt>
                <c:pt idx="889">
                  <c:v>1.1379999999999999</c:v>
                </c:pt>
                <c:pt idx="890">
                  <c:v>#N/A</c:v>
                </c:pt>
                <c:pt idx="891">
                  <c:v>1.1839999999999999</c:v>
                </c:pt>
                <c:pt idx="892">
                  <c:v>1.2070000000000001</c:v>
                </c:pt>
                <c:pt idx="893">
                  <c:v>1.23</c:v>
                </c:pt>
                <c:pt idx="894">
                  <c:v>1.2530000000000001</c:v>
                </c:pt>
                <c:pt idx="895">
                  <c:v>#N/A</c:v>
                </c:pt>
                <c:pt idx="896">
                  <c:v>#N/A</c:v>
                </c:pt>
                <c:pt idx="897">
                  <c:v>1.3220000000000001</c:v>
                </c:pt>
                <c:pt idx="898">
                  <c:v>#N/A</c:v>
                </c:pt>
                <c:pt idx="899">
                  <c:v>#N/A</c:v>
                </c:pt>
                <c:pt idx="900">
                  <c:v>1.391</c:v>
                </c:pt>
                <c:pt idx="901">
                  <c:v>#N/A</c:v>
                </c:pt>
                <c:pt idx="902">
                  <c:v>1.4370000000000001</c:v>
                </c:pt>
                <c:pt idx="903">
                  <c:v>1.46</c:v>
                </c:pt>
                <c:pt idx="904">
                  <c:v>#N/A</c:v>
                </c:pt>
                <c:pt idx="905">
                  <c:v>#N/A</c:v>
                </c:pt>
                <c:pt idx="906">
                  <c:v>#N/A</c:v>
                </c:pt>
                <c:pt idx="907">
                  <c:v>#N/A</c:v>
                </c:pt>
                <c:pt idx="908">
                  <c:v>#N/A</c:v>
                </c:pt>
                <c:pt idx="909">
                  <c:v>1.5979999999999999</c:v>
                </c:pt>
                <c:pt idx="910">
                  <c:v>1.621</c:v>
                </c:pt>
                <c:pt idx="911">
                  <c:v>#N/A</c:v>
                </c:pt>
                <c:pt idx="912">
                  <c:v>#N/A</c:v>
                </c:pt>
                <c:pt idx="913">
                  <c:v>#N/A</c:v>
                </c:pt>
                <c:pt idx="914">
                  <c:v>#N/A</c:v>
                </c:pt>
                <c:pt idx="915">
                  <c:v>#N/A</c:v>
                </c:pt>
                <c:pt idx="916">
                  <c:v>1.7589999999999999</c:v>
                </c:pt>
                <c:pt idx="917">
                  <c:v>1</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2022</c:v>
                </c:pt>
                <c:pt idx="578">
                  <c:v>#N/A</c:v>
                </c:pt>
                <c:pt idx="579">
                  <c:v>#N/A</c:v>
                </c:pt>
                <c:pt idx="580">
                  <c:v>#N/A</c:v>
                </c:pt>
                <c:pt idx="581">
                  <c:v>#N/A</c:v>
                </c:pt>
                <c:pt idx="582">
                  <c:v>#N/A</c:v>
                </c:pt>
                <c:pt idx="583">
                  <c:v>2026</c:v>
                </c:pt>
                <c:pt idx="584">
                  <c:v>2021</c:v>
                </c:pt>
                <c:pt idx="585">
                  <c:v>2026</c:v>
                </c:pt>
                <c:pt idx="586">
                  <c:v>#N/A</c:v>
                </c:pt>
                <c:pt idx="587">
                  <c:v>#N/A</c:v>
                </c:pt>
                <c:pt idx="588">
                  <c:v>#N/A</c:v>
                </c:pt>
                <c:pt idx="589">
                  <c:v>#N/A</c:v>
                </c:pt>
                <c:pt idx="590">
                  <c:v>#N/A</c:v>
                </c:pt>
                <c:pt idx="591">
                  <c:v>#N/A</c:v>
                </c:pt>
                <c:pt idx="592">
                  <c:v>#N/A</c:v>
                </c:pt>
                <c:pt idx="593">
                  <c:v>2024</c:v>
                </c:pt>
                <c:pt idx="594">
                  <c:v>2025</c:v>
                </c:pt>
                <c:pt idx="595">
                  <c:v>2020</c:v>
                </c:pt>
                <c:pt idx="596">
                  <c:v>#N/A</c:v>
                </c:pt>
                <c:pt idx="597">
                  <c:v>#N/A</c:v>
                </c:pt>
                <c:pt idx="598">
                  <c:v>#N/A</c:v>
                </c:pt>
                <c:pt idx="599">
                  <c:v>#N/A</c:v>
                </c:pt>
                <c:pt idx="600">
                  <c:v>2026</c:v>
                </c:pt>
                <c:pt idx="601">
                  <c:v>#N/A</c:v>
                </c:pt>
                <c:pt idx="602">
                  <c:v>#N/A</c:v>
                </c:pt>
                <c:pt idx="603">
                  <c:v>#N/A</c:v>
                </c:pt>
                <c:pt idx="604">
                  <c:v>#N/A</c:v>
                </c:pt>
                <c:pt idx="605">
                  <c:v>#N/A</c:v>
                </c:pt>
                <c:pt idx="606">
                  <c:v>#N/A</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2015</c:v>
                </c:pt>
                <c:pt idx="621">
                  <c:v>#N/A</c:v>
                </c:pt>
                <c:pt idx="622">
                  <c:v>#N/A</c:v>
                </c:pt>
                <c:pt idx="623">
                  <c:v>#N/A</c:v>
                </c:pt>
                <c:pt idx="624">
                  <c:v>#N/A</c:v>
                </c:pt>
                <c:pt idx="625">
                  <c:v>#N/A</c:v>
                </c:pt>
                <c:pt idx="626">
                  <c:v>#N/A</c:v>
                </c:pt>
                <c:pt idx="627">
                  <c:v>#N/A</c:v>
                </c:pt>
                <c:pt idx="628">
                  <c:v>#N/A</c:v>
                </c:pt>
                <c:pt idx="629">
                  <c:v>#N/A</c:v>
                </c:pt>
                <c:pt idx="630">
                  <c:v>#N/A</c:v>
                </c:pt>
                <c:pt idx="631">
                  <c:v>#N/A</c:v>
                </c:pt>
                <c:pt idx="632">
                  <c:v>2020</c:v>
                </c:pt>
                <c:pt idx="633">
                  <c:v>#N/A</c:v>
                </c:pt>
                <c:pt idx="634">
                  <c:v>#N/A</c:v>
                </c:pt>
                <c:pt idx="635">
                  <c:v>#N/A</c:v>
                </c:pt>
                <c:pt idx="636">
                  <c:v>#N/A</c:v>
                </c:pt>
                <c:pt idx="637">
                  <c:v>#N/A</c:v>
                </c:pt>
                <c:pt idx="638">
                  <c:v>2014</c:v>
                </c:pt>
                <c:pt idx="639">
                  <c:v>#N/A</c:v>
                </c:pt>
                <c:pt idx="640">
                  <c:v>#N/A</c:v>
                </c:pt>
                <c:pt idx="641">
                  <c:v>#N/A</c:v>
                </c:pt>
                <c:pt idx="642">
                  <c:v>#N/A</c:v>
                </c:pt>
                <c:pt idx="643">
                  <c:v>2024</c:v>
                </c:pt>
                <c:pt idx="644">
                  <c:v>#N/A</c:v>
                </c:pt>
                <c:pt idx="645">
                  <c:v>#N/A</c:v>
                </c:pt>
                <c:pt idx="646">
                  <c:v>#N/A</c:v>
                </c:pt>
                <c:pt idx="647">
                  <c:v>#N/A</c:v>
                </c:pt>
                <c:pt idx="648">
                  <c:v>#N/A</c:v>
                </c:pt>
                <c:pt idx="649">
                  <c:v>#N/A</c:v>
                </c:pt>
                <c:pt idx="650">
                  <c:v>#N/A</c:v>
                </c:pt>
                <c:pt idx="651">
                  <c:v>2021</c:v>
                </c:pt>
                <c:pt idx="652">
                  <c:v>2022</c:v>
                </c:pt>
                <c:pt idx="653">
                  <c:v>#N/A</c:v>
                </c:pt>
                <c:pt idx="654">
                  <c:v>2016</c:v>
                </c:pt>
                <c:pt idx="655">
                  <c:v>#N/A</c:v>
                </c:pt>
                <c:pt idx="656">
                  <c:v>#N/A</c:v>
                </c:pt>
                <c:pt idx="657">
                  <c:v>#N/A</c:v>
                </c:pt>
                <c:pt idx="658">
                  <c:v>#N/A</c:v>
                </c:pt>
                <c:pt idx="659">
                  <c:v>#N/A</c:v>
                </c:pt>
                <c:pt idx="660">
                  <c:v>2022</c:v>
                </c:pt>
                <c:pt idx="661">
                  <c:v>2021</c:v>
                </c:pt>
                <c:pt idx="662">
                  <c:v>2024</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2025</c:v>
                </c:pt>
                <c:pt idx="680">
                  <c:v>#N/A</c:v>
                </c:pt>
                <c:pt idx="681">
                  <c:v>#N/A</c:v>
                </c:pt>
                <c:pt idx="682">
                  <c:v>#N/A</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2023</c:v>
                </c:pt>
                <c:pt idx="699">
                  <c:v>#N/A</c:v>
                </c:pt>
                <c:pt idx="700">
                  <c:v>2022</c:v>
                </c:pt>
                <c:pt idx="701">
                  <c:v>#N/A</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2018</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2024</c:v>
                </c:pt>
                <c:pt idx="732">
                  <c:v>#N/A</c:v>
                </c:pt>
                <c:pt idx="733">
                  <c:v>#N/A</c:v>
                </c:pt>
                <c:pt idx="734">
                  <c:v>2023</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2020</c:v>
                </c:pt>
                <c:pt idx="748">
                  <c:v>#N/A</c:v>
                </c:pt>
                <c:pt idx="749">
                  <c:v>#N/A</c:v>
                </c:pt>
                <c:pt idx="750">
                  <c:v>#N/A</c:v>
                </c:pt>
                <c:pt idx="751">
                  <c:v>#N/A</c:v>
                </c:pt>
                <c:pt idx="752">
                  <c:v>#N/A</c:v>
                </c:pt>
                <c:pt idx="753">
                  <c:v>#N/A</c:v>
                </c:pt>
                <c:pt idx="754">
                  <c:v>#N/A</c:v>
                </c:pt>
                <c:pt idx="755">
                  <c:v>#N/A</c:v>
                </c:pt>
                <c:pt idx="756">
                  <c:v>2023</c:v>
                </c:pt>
                <c:pt idx="757">
                  <c:v>#N/A</c:v>
                </c:pt>
                <c:pt idx="758">
                  <c:v>2002</c:v>
                </c:pt>
                <c:pt idx="759">
                  <c:v>2025</c:v>
                </c:pt>
                <c:pt idx="760">
                  <c:v>#N/A</c:v>
                </c:pt>
                <c:pt idx="761">
                  <c:v>#N/A</c:v>
                </c:pt>
                <c:pt idx="762">
                  <c:v>#N/A</c:v>
                </c:pt>
                <c:pt idx="763">
                  <c:v>2015</c:v>
                </c:pt>
                <c:pt idx="764">
                  <c:v>2021</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#N/A</c:v>
                </c:pt>
                <c:pt idx="786">
                  <c:v>2026</c:v>
                </c:pt>
                <c:pt idx="787">
                  <c:v>#N/A</c:v>
                </c:pt>
                <c:pt idx="788">
                  <c:v>#N/A</c:v>
                </c:pt>
                <c:pt idx="789">
                  <c:v>2019</c:v>
                </c:pt>
                <c:pt idx="790">
                  <c:v>#N/A</c:v>
                </c:pt>
                <c:pt idx="791">
                  <c:v>#N/A</c:v>
                </c:pt>
                <c:pt idx="792">
                  <c:v>#N/A</c:v>
                </c:pt>
                <c:pt idx="793">
                  <c:v>2022</c:v>
                </c:pt>
                <c:pt idx="794">
                  <c:v>#N/A</c:v>
                </c:pt>
                <c:pt idx="795">
                  <c:v>#N/A</c:v>
                </c:pt>
                <c:pt idx="796">
                  <c:v>2025</c:v>
                </c:pt>
                <c:pt idx="797">
                  <c:v>#N/A</c:v>
                </c:pt>
                <c:pt idx="798">
                  <c:v>#N/A</c:v>
                </c:pt>
                <c:pt idx="799">
                  <c:v>#N/A</c:v>
                </c:pt>
                <c:pt idx="800">
                  <c:v>#N/A</c:v>
                </c:pt>
                <c:pt idx="801">
                  <c:v>#N/A</c:v>
                </c:pt>
                <c:pt idx="802">
                  <c:v>#N/A</c:v>
                </c:pt>
                <c:pt idx="803">
                  <c:v>#N/A</c:v>
                </c:pt>
                <c:pt idx="804">
                  <c:v>#N/A</c:v>
                </c:pt>
                <c:pt idx="805">
                  <c:v>2025</c:v>
                </c:pt>
                <c:pt idx="806">
                  <c:v>2024</c:v>
                </c:pt>
                <c:pt idx="807">
                  <c:v>#N/A</c:v>
                </c:pt>
                <c:pt idx="808">
                  <c:v>2021</c:v>
                </c:pt>
                <c:pt idx="809">
                  <c:v>2019</c:v>
                </c:pt>
                <c:pt idx="810">
                  <c:v>#N/A</c:v>
                </c:pt>
                <c:pt idx="811">
                  <c:v>#N/A</c:v>
                </c:pt>
                <c:pt idx="812">
                  <c:v>#N/A</c:v>
                </c:pt>
                <c:pt idx="813">
                  <c:v>2023</c:v>
                </c:pt>
                <c:pt idx="814">
                  <c:v>#N/A</c:v>
                </c:pt>
                <c:pt idx="815">
                  <c:v>#N/A</c:v>
                </c:pt>
                <c:pt idx="816">
                  <c:v>#N/A</c:v>
                </c:pt>
                <c:pt idx="817">
                  <c:v>#N/A</c:v>
                </c:pt>
                <c:pt idx="818">
                  <c:v>#N/A</c:v>
                </c:pt>
                <c:pt idx="819">
                  <c:v>#N/A</c:v>
                </c:pt>
                <c:pt idx="820">
                  <c:v>#N/A</c:v>
                </c:pt>
                <c:pt idx="821">
                  <c:v>2025</c:v>
                </c:pt>
                <c:pt idx="822">
                  <c:v>#N/A</c:v>
                </c:pt>
                <c:pt idx="823">
                  <c:v>#N/A</c:v>
                </c:pt>
                <c:pt idx="824">
                  <c:v>#N/A</c:v>
                </c:pt>
                <c:pt idx="825">
                  <c:v>#N/A</c:v>
                </c:pt>
                <c:pt idx="826">
                  <c:v>#N/A</c:v>
                </c:pt>
                <c:pt idx="827">
                  <c:v>#N/A</c:v>
                </c:pt>
                <c:pt idx="828">
                  <c:v>2022</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2024</c:v>
                </c:pt>
                <c:pt idx="843">
                  <c:v>#N/A</c:v>
                </c:pt>
                <c:pt idx="844">
                  <c:v>#N/A</c:v>
                </c:pt>
                <c:pt idx="845">
                  <c:v>#N/A</c:v>
                </c:pt>
                <c:pt idx="846">
                  <c:v>#N/A</c:v>
                </c:pt>
                <c:pt idx="847">
                  <c:v>2024</c:v>
                </c:pt>
                <c:pt idx="848">
                  <c:v>#N/A</c:v>
                </c:pt>
                <c:pt idx="849">
                  <c:v>#N/A</c:v>
                </c:pt>
                <c:pt idx="850">
                  <c:v>#N/A</c:v>
                </c:pt>
                <c:pt idx="851">
                  <c:v>#N/A</c:v>
                </c:pt>
                <c:pt idx="852">
                  <c:v>#N/A</c:v>
                </c:pt>
                <c:pt idx="853">
                  <c:v>#N/A</c:v>
                </c:pt>
                <c:pt idx="854">
                  <c:v>#N/A</c:v>
                </c:pt>
                <c:pt idx="855">
                  <c:v>2021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2024</c:v>
                </c:pt>
                <c:pt idx="875">
                  <c:v>#N/A</c:v>
                </c:pt>
                <c:pt idx="876">
                  <c:v>#N/A</c:v>
                </c:pt>
                <c:pt idx="877">
                  <c:v>#N/A</c:v>
                </c:pt>
                <c:pt idx="878">
                  <c:v>#N/A</c:v>
                </c:pt>
                <c:pt idx="879">
                  <c:v>2023</c:v>
                </c:pt>
                <c:pt idx="880">
                  <c:v>2025</c:v>
                </c:pt>
                <c:pt idx="881">
                  <c:v>#N/A</c:v>
                </c:pt>
                <c:pt idx="882">
                  <c:v>#N/A</c:v>
                </c:pt>
                <c:pt idx="883">
                  <c:v>#N/A</c:v>
                </c:pt>
                <c:pt idx="884">
                  <c:v>#N/A</c:v>
                </c:pt>
                <c:pt idx="885">
                  <c:v>2017</c:v>
                </c:pt>
                <c:pt idx="886">
                  <c:v>#N/A</c:v>
                </c:pt>
                <c:pt idx="887">
                  <c:v>2012</c:v>
                </c:pt>
                <c:pt idx="888">
                  <c:v>#N/A</c:v>
                </c:pt>
                <c:pt idx="889">
                  <c:v>2005</c:v>
                </c:pt>
                <c:pt idx="890">
                  <c:v>#N/A</c:v>
                </c:pt>
                <c:pt idx="891">
                  <c:v>#N/A</c:v>
                </c:pt>
                <c:pt idx="892">
                  <c:v>#N/A</c:v>
                </c:pt>
                <c:pt idx="893">
                  <c:v>#N/A</c:v>
                </c:pt>
                <c:pt idx="894">
                  <c:v>2019</c:v>
                </c:pt>
                <c:pt idx="895">
                  <c:v>#N/A</c:v>
                </c:pt>
                <c:pt idx="896">
                  <c:v>#N/A</c:v>
                </c:pt>
                <c:pt idx="897">
                  <c:v>#N/A</c:v>
                </c:pt>
                <c:pt idx="898">
                  <c:v>2026</c:v>
                </c:pt>
                <c:pt idx="899">
                  <c:v>#N/A</c:v>
                </c:pt>
                <c:pt idx="900">
                  <c:v>#N/A</c:v>
                </c:pt>
                <c:pt idx="901">
                  <c:v>#N/A</c:v>
                </c:pt>
                <c:pt idx="902">
                  <c:v>#N/A</c:v>
                </c:pt>
                <c:pt idx="903">
                  <c:v>2021</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2.161</c:v>
                </c:pt>
                <c:pt idx="585">
                  <c:v>2.1840000000000002</c:v>
                </c:pt>
                <c:pt idx="586">
                  <c:v>2.2069999999999999</c:v>
                </c:pt>
                <c:pt idx="587">
                  <c:v>#N/A</c:v>
                </c:pt>
                <c:pt idx="588">
                  <c:v>#N/A</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2.552</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2.161</c:v>
                </c:pt>
                <c:pt idx="653">
                  <c:v>2.1840000000000002</c:v>
                </c:pt>
                <c:pt idx="654">
                  <c:v>#N/A</c:v>
                </c:pt>
                <c:pt idx="655">
                  <c:v>2.23</c:v>
                </c:pt>
                <c:pt idx="656">
                  <c:v>#N/A</c:v>
                </c:pt>
                <c:pt idx="657">
                  <c:v>#N/A</c:v>
                </c:pt>
                <c:pt idx="658">
                  <c:v>#N/A</c:v>
                </c:pt>
                <c:pt idx="659">
                  <c:v>#N/A</c:v>
                </c:pt>
                <c:pt idx="660">
                  <c:v>#N/A</c:v>
                </c:pt>
                <c:pt idx="661">
                  <c:v>2.3679999999999999</c:v>
                </c:pt>
                <c:pt idx="662">
                  <c:v>2.391</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#N/A</c:v>
                </c:pt>
                <c:pt idx="683">
                  <c:v>#N/A</c:v>
                </c:pt>
                <c:pt idx="684">
                  <c:v>#N/A</c:v>
                </c:pt>
                <c:pt idx="685">
                  <c:v>2.1379999999999999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2.46</c:v>
                </c:pt>
                <c:pt idx="700">
                  <c:v>#N/A</c:v>
                </c:pt>
                <c:pt idx="701">
                  <c:v>2.5060000000000002</c:v>
                </c:pt>
                <c:pt idx="702">
                  <c:v>#N/A</c:v>
                </c:pt>
                <c:pt idx="703">
                  <c:v>#N/A</c:v>
                </c:pt>
                <c:pt idx="704">
                  <c:v>#N/A</c:v>
                </c:pt>
                <c:pt idx="705">
                  <c:v>2.5979999999999999</c:v>
                </c:pt>
                <c:pt idx="706">
                  <c:v>#N/A</c:v>
                </c:pt>
                <c:pt idx="707">
                  <c:v>#N/A</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2.0230000000000001</c:v>
                </c:pt>
                <c:pt idx="749">
                  <c:v>#N/A</c:v>
                </c:pt>
                <c:pt idx="750">
                  <c:v>#N/A</c:v>
                </c:pt>
                <c:pt idx="751">
                  <c:v>#N/A</c:v>
                </c:pt>
                <c:pt idx="752">
                  <c:v>#N/A</c:v>
                </c:pt>
                <c:pt idx="753">
                  <c:v>#N/A</c:v>
                </c:pt>
                <c:pt idx="754">
                  <c:v>#N/A</c:v>
                </c:pt>
                <c:pt idx="755">
                  <c:v>#N/A</c:v>
                </c:pt>
                <c:pt idx="756">
                  <c:v>#N/A</c:v>
                </c:pt>
                <c:pt idx="757">
                  <c:v>2.23</c:v>
                </c:pt>
                <c:pt idx="758">
                  <c:v>#N/A</c:v>
                </c:pt>
                <c:pt idx="759">
                  <c:v>2.2759999999999998</c:v>
                </c:pt>
                <c:pt idx="760">
                  <c:v>2.2989999999999999</c:v>
                </c:pt>
                <c:pt idx="761">
                  <c:v>#N/A</c:v>
                </c:pt>
                <c:pt idx="762">
                  <c:v>#N/A</c:v>
                </c:pt>
                <c:pt idx="763">
                  <c:v>#N/A</c:v>
                </c:pt>
                <c:pt idx="764">
                  <c:v>2.391</c:v>
                </c:pt>
                <c:pt idx="765">
                  <c:v>2.4140000000000001</c:v>
                </c:pt>
                <c:pt idx="766">
                  <c:v>#N/A</c:v>
                </c:pt>
                <c:pt idx="767">
                  <c:v>2.46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2.1379999999999999</c:v>
                </c:pt>
                <c:pt idx="788">
                  <c:v>#N/A</c:v>
                </c:pt>
                <c:pt idx="789">
                  <c:v>#N/A</c:v>
                </c:pt>
                <c:pt idx="790">
                  <c:v>2.2069999999999999</c:v>
                </c:pt>
                <c:pt idx="791">
                  <c:v>#N/A</c:v>
                </c:pt>
                <c:pt idx="792">
                  <c:v>#N/A</c:v>
                </c:pt>
                <c:pt idx="793">
                  <c:v>#N/A</c:v>
                </c:pt>
                <c:pt idx="794">
                  <c:v>2.2989999999999999</c:v>
                </c:pt>
                <c:pt idx="795">
                  <c:v>#N/A</c:v>
                </c:pt>
                <c:pt idx="796">
                  <c:v>#N/A</c:v>
                </c:pt>
                <c:pt idx="797">
                  <c:v>2.3679999999999999</c:v>
                </c:pt>
                <c:pt idx="798">
                  <c:v>#N/A</c:v>
                </c:pt>
                <c:pt idx="799">
                  <c:v>#N/A</c:v>
                </c:pt>
                <c:pt idx="800">
                  <c:v>#N/A</c:v>
                </c:pt>
                <c:pt idx="801">
                  <c:v>#N/A</c:v>
                </c:pt>
                <c:pt idx="802">
                  <c:v>#N/A</c:v>
                </c:pt>
                <c:pt idx="803">
                  <c:v>#N/A</c:v>
                </c:pt>
                <c:pt idx="804">
                  <c:v>#N/A</c:v>
                </c:pt>
                <c:pt idx="805">
                  <c:v>#N/A</c:v>
                </c:pt>
                <c:pt idx="806">
                  <c:v>2.5750000000000002</c:v>
                </c:pt>
                <c:pt idx="807">
                  <c:v>2.5979999999999999</c:v>
                </c:pt>
                <c:pt idx="808">
                  <c:v>#N/A</c:v>
                </c:pt>
                <c:pt idx="809">
                  <c:v>2.6440000000000001</c:v>
                </c:pt>
                <c:pt idx="810">
                  <c:v>2.6669999999999998</c:v>
                </c:pt>
                <c:pt idx="811">
                  <c:v>#N/A</c:v>
                </c:pt>
                <c:pt idx="812">
                  <c:v>#N/A</c:v>
                </c:pt>
                <c:pt idx="813">
                  <c:v>#N/A</c:v>
                </c:pt>
                <c:pt idx="814">
                  <c:v>2.7589999999999999</c:v>
                </c:pt>
                <c:pt idx="815">
                  <c:v>#N/A</c:v>
                </c:pt>
                <c:pt idx="816">
                  <c:v>#N/A</c:v>
                </c:pt>
                <c:pt idx="817">
                  <c:v>#N/A</c:v>
                </c:pt>
                <c:pt idx="818">
                  <c:v>#N/A</c:v>
                </c:pt>
                <c:pt idx="819">
                  <c:v>#N/A</c:v>
                </c:pt>
                <c:pt idx="820">
                  <c:v>#N/A</c:v>
                </c:pt>
                <c:pt idx="821">
                  <c:v>#N/A</c:v>
                </c:pt>
                <c:pt idx="822">
                  <c:v>2.161</c:v>
                </c:pt>
                <c:pt idx="823">
                  <c:v>#N/A</c:v>
                </c:pt>
                <c:pt idx="824">
                  <c:v>#N/A</c:v>
                </c:pt>
                <c:pt idx="825">
                  <c:v>#N/A</c:v>
                </c:pt>
                <c:pt idx="826">
                  <c:v>#N/A</c:v>
                </c:pt>
                <c:pt idx="827">
                  <c:v>#N/A</c:v>
                </c:pt>
                <c:pt idx="828">
                  <c:v>#N/A</c:v>
                </c:pt>
                <c:pt idx="829">
                  <c:v>2.3220000000000001</c:v>
                </c:pt>
                <c:pt idx="830">
                  <c:v>#N/A</c:v>
                </c:pt>
                <c:pt idx="831">
                  <c:v>#N/A</c:v>
                </c:pt>
                <c:pt idx="832">
                  <c:v>#N/A</c:v>
                </c:pt>
                <c:pt idx="833">
                  <c:v>#N/A</c:v>
                </c:pt>
                <c:pt idx="834">
                  <c:v>#N/A</c:v>
                </c:pt>
                <c:pt idx="835">
                  <c:v>#N/A</c:v>
                </c:pt>
                <c:pt idx="836">
                  <c:v>#N/A</c:v>
                </c:pt>
                <c:pt idx="837">
                  <c:v>#N/A</c:v>
                </c:pt>
                <c:pt idx="838">
                  <c:v>#N/A</c:v>
                </c:pt>
                <c:pt idx="839">
                  <c:v>#N/A</c:v>
                </c:pt>
                <c:pt idx="840">
                  <c:v>#N/A</c:v>
                </c:pt>
                <c:pt idx="841">
                  <c:v>2.5979999999999999</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2.161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2.5979999999999999</c:v>
                </c:pt>
                <c:pt idx="876">
                  <c:v>#N/A</c:v>
                </c:pt>
                <c:pt idx="877">
                  <c:v>#N/A</c:v>
                </c:pt>
                <c:pt idx="878">
                  <c:v>#N/A</c:v>
                </c:pt>
                <c:pt idx="879">
                  <c:v>#N/A</c:v>
                </c:pt>
                <c:pt idx="880">
                  <c:v>2.7130000000000001</c:v>
                </c:pt>
                <c:pt idx="881">
                  <c:v>2.7359999999999998</c:v>
                </c:pt>
                <c:pt idx="882">
                  <c:v>#N/A</c:v>
                </c:pt>
                <c:pt idx="883">
                  <c:v>#N/A</c:v>
                </c:pt>
                <c:pt idx="884">
                  <c:v>#N/A</c:v>
                </c:pt>
                <c:pt idx="885">
                  <c:v>#N/A</c:v>
                </c:pt>
                <c:pt idx="886">
                  <c:v>2.069</c:v>
                </c:pt>
                <c:pt idx="887">
                  <c:v>#N/A</c:v>
                </c:pt>
                <c:pt idx="888">
                  <c:v>2.1150000000000002</c:v>
                </c:pt>
                <c:pt idx="889">
                  <c:v>#N/A</c:v>
                </c:pt>
                <c:pt idx="890">
                  <c:v>2.161</c:v>
                </c:pt>
                <c:pt idx="891">
                  <c:v>#N/A</c:v>
                </c:pt>
                <c:pt idx="892">
                  <c:v>#N/A</c:v>
                </c:pt>
                <c:pt idx="893">
                  <c:v>#N/A</c:v>
                </c:pt>
                <c:pt idx="894">
                  <c:v>#N/A</c:v>
                </c:pt>
                <c:pt idx="895">
                  <c:v>2.2759999999999998</c:v>
                </c:pt>
                <c:pt idx="896">
                  <c:v>#N/A</c:v>
                </c:pt>
                <c:pt idx="897">
                  <c:v>#N/A</c:v>
                </c:pt>
                <c:pt idx="898">
                  <c:v>#N/A</c:v>
                </c:pt>
                <c:pt idx="899">
                  <c:v>2.3679999999999999</c:v>
                </c:pt>
                <c:pt idx="900">
                  <c:v>#N/A</c:v>
                </c:pt>
                <c:pt idx="901">
                  <c:v>#N/A</c:v>
                </c:pt>
                <c:pt idx="902">
                  <c:v>#N/A</c:v>
                </c:pt>
                <c:pt idx="903">
                  <c:v>#N/A</c:v>
                </c:pt>
                <c:pt idx="904">
                  <c:v>2.4830000000000001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2022</c:v>
                </c:pt>
                <c:pt idx="570">
                  <c:v>2026</c:v>
                </c:pt>
                <c:pt idx="571">
                  <c:v>#N/A</c:v>
                </c:pt>
                <c:pt idx="572">
                  <c:v>#N/A</c:v>
                </c:pt>
                <c:pt idx="573">
                  <c:v>#N/A</c:v>
                </c:pt>
                <c:pt idx="574">
                  <c:v>#N/A</c:v>
                </c:pt>
                <c:pt idx="575">
                  <c:v>2025</c:v>
                </c:pt>
                <c:pt idx="576">
                  <c:v>#N/A</c:v>
                </c:pt>
                <c:pt idx="577">
                  <c:v>#N/A</c:v>
                </c:pt>
                <c:pt idx="578">
                  <c:v>2026</c:v>
                </c:pt>
                <c:pt idx="579">
                  <c:v>2021</c:v>
                </c:pt>
                <c:pt idx="580">
                  <c:v>2026</c:v>
                </c:pt>
                <c:pt idx="581">
                  <c:v>2022</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2026</c:v>
                </c:pt>
                <c:pt idx="598">
                  <c:v>#N/A</c:v>
                </c:pt>
                <c:pt idx="599">
                  <c:v>#N/A</c:v>
                </c:pt>
                <c:pt idx="600">
                  <c:v>#N/A</c:v>
                </c:pt>
                <c:pt idx="601">
                  <c:v>#N/A</c:v>
                </c:pt>
                <c:pt idx="602">
                  <c:v>2024</c:v>
                </c:pt>
                <c:pt idx="603">
                  <c:v>#N/A</c:v>
                </c:pt>
                <c:pt idx="604">
                  <c:v>#N/A</c:v>
                </c:pt>
                <c:pt idx="605">
                  <c:v>#N/A</c:v>
                </c:pt>
                <c:pt idx="606">
                  <c:v>2026</c:v>
                </c:pt>
                <c:pt idx="607">
                  <c:v>#N/A</c:v>
                </c:pt>
                <c:pt idx="608">
                  <c:v>#N/A</c:v>
                </c:pt>
                <c:pt idx="609">
                  <c:v>#N/A</c:v>
                </c:pt>
                <c:pt idx="610">
                  <c:v>#N/A</c:v>
                </c:pt>
                <c:pt idx="611">
                  <c:v>#N/A</c:v>
                </c:pt>
                <c:pt idx="612">
                  <c:v>#N/A</c:v>
                </c:pt>
                <c:pt idx="613">
                  <c:v>2019</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#N/A</c:v>
                </c:pt>
                <c:pt idx="628">
                  <c:v>#N/A</c:v>
                </c:pt>
                <c:pt idx="629">
                  <c:v>#N/A</c:v>
                </c:pt>
                <c:pt idx="630">
                  <c:v>#N/A</c:v>
                </c:pt>
                <c:pt idx="631">
                  <c:v>2022</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2024</c:v>
                </c:pt>
                <c:pt idx="654">
                  <c:v>#N/A</c:v>
                </c:pt>
                <c:pt idx="655">
                  <c:v>#N/A</c:v>
                </c:pt>
                <c:pt idx="656">
                  <c:v>2021</c:v>
                </c:pt>
                <c:pt idx="657">
                  <c:v>#N/A</c:v>
                </c:pt>
                <c:pt idx="658">
                  <c:v>2026</c:v>
                </c:pt>
                <c:pt idx="659">
                  <c:v>#N/A</c:v>
                </c:pt>
                <c:pt idx="660">
                  <c:v>#N/A</c:v>
                </c:pt>
                <c:pt idx="661">
                  <c:v>#N/A</c:v>
                </c:pt>
                <c:pt idx="662">
                  <c:v>#N/A</c:v>
                </c:pt>
                <c:pt idx="663">
                  <c:v>2026</c:v>
                </c:pt>
                <c:pt idx="664">
                  <c:v>2025</c:v>
                </c:pt>
                <c:pt idx="665">
                  <c:v>#N/A</c:v>
                </c:pt>
                <c:pt idx="666">
                  <c:v>2026</c:v>
                </c:pt>
                <c:pt idx="667">
                  <c:v>2025</c:v>
                </c:pt>
                <c:pt idx="668">
                  <c:v>2026</c:v>
                </c:pt>
                <c:pt idx="669">
                  <c:v>2023</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2024</c:v>
                </c:pt>
                <c:pt idx="709">
                  <c:v>#N/A</c:v>
                </c:pt>
                <c:pt idx="710">
                  <c:v>#N/A</c:v>
                </c:pt>
                <c:pt idx="711">
                  <c:v>2017</c:v>
                </c:pt>
                <c:pt idx="712">
                  <c:v>2026</c:v>
                </c:pt>
                <c:pt idx="713">
                  <c:v>#N/A</c:v>
                </c:pt>
                <c:pt idx="714">
                  <c:v>#N/A</c:v>
                </c:pt>
                <c:pt idx="715">
                  <c:v>#N/A</c:v>
                </c:pt>
                <c:pt idx="716">
                  <c:v>#N/A</c:v>
                </c:pt>
                <c:pt idx="717">
                  <c:v>2025</c:v>
                </c:pt>
                <c:pt idx="718">
                  <c:v>2026</c:v>
                </c:pt>
                <c:pt idx="719">
                  <c:v>2025</c:v>
                </c:pt>
                <c:pt idx="720">
                  <c:v>#N/A</c:v>
                </c:pt>
                <c:pt idx="721">
                  <c:v>#N/A</c:v>
                </c:pt>
                <c:pt idx="722">
                  <c:v>#N/A</c:v>
                </c:pt>
                <c:pt idx="723">
                  <c:v>2016</c:v>
                </c:pt>
                <c:pt idx="724">
                  <c:v>#N/A</c:v>
                </c:pt>
                <c:pt idx="725">
                  <c:v>#N/A</c:v>
                </c:pt>
                <c:pt idx="726">
                  <c:v>#N/A</c:v>
                </c:pt>
                <c:pt idx="727">
                  <c:v>#N/A</c:v>
                </c:pt>
                <c:pt idx="728">
                  <c:v>#N/A</c:v>
                </c:pt>
                <c:pt idx="729">
                  <c:v>#N/A</c:v>
                </c:pt>
                <c:pt idx="730">
                  <c:v>#N/A</c:v>
                </c:pt>
                <c:pt idx="731">
                  <c:v>#N/A</c:v>
                </c:pt>
                <c:pt idx="732">
                  <c:v>#N/A</c:v>
                </c:pt>
                <c:pt idx="733">
                  <c:v>#N/A</c:v>
                </c:pt>
                <c:pt idx="734">
                  <c:v>#N/A</c:v>
                </c:pt>
                <c:pt idx="735">
                  <c:v>2024</c:v>
                </c:pt>
                <c:pt idx="736">
                  <c:v>#N/A</c:v>
                </c:pt>
                <c:pt idx="737">
                  <c:v>#N/A</c:v>
                </c:pt>
                <c:pt idx="738">
                  <c:v>#N/A</c:v>
                </c:pt>
                <c:pt idx="739">
                  <c:v>2024</c:v>
                </c:pt>
                <c:pt idx="740">
                  <c:v>#N/A</c:v>
                </c:pt>
                <c:pt idx="741">
                  <c:v>#N/A</c:v>
                </c:pt>
                <c:pt idx="742">
                  <c:v>#N/A</c:v>
                </c:pt>
                <c:pt idx="743">
                  <c:v>#N/A</c:v>
                </c:pt>
                <c:pt idx="744">
                  <c:v>#N/A</c:v>
                </c:pt>
                <c:pt idx="745">
                  <c:v>2025</c:v>
                </c:pt>
                <c:pt idx="746">
                  <c:v>#N/A</c:v>
                </c:pt>
                <c:pt idx="747">
                  <c:v>#N/A</c:v>
                </c:pt>
                <c:pt idx="748">
                  <c:v>#N/A</c:v>
                </c:pt>
                <c:pt idx="749">
                  <c:v>#N/A</c:v>
                </c:pt>
                <c:pt idx="750">
                  <c:v>#N/A</c:v>
                </c:pt>
                <c:pt idx="751">
                  <c:v>2025</c:v>
                </c:pt>
                <c:pt idx="752">
                  <c:v>2025</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2020</c:v>
                </c:pt>
                <c:pt idx="782">
                  <c:v>#N/A</c:v>
                </c:pt>
                <c:pt idx="783">
                  <c:v>#N/A</c:v>
                </c:pt>
                <c:pt idx="784">
                  <c:v>2026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2025</c:v>
                </c:pt>
                <c:pt idx="802">
                  <c:v>#N/A</c:v>
                </c:pt>
                <c:pt idx="803">
                  <c:v>#N/A</c:v>
                </c:pt>
                <c:pt idx="804">
                  <c:v>#N/A</c:v>
                </c:pt>
                <c:pt idx="805">
                  <c:v>#N/A</c:v>
                </c:pt>
                <c:pt idx="806">
                  <c:v>#N/A</c:v>
                </c:pt>
                <c:pt idx="807">
                  <c:v>#N/A</c:v>
                </c:pt>
                <c:pt idx="808">
                  <c:v>#N/A</c:v>
                </c:pt>
                <c:pt idx="809">
                  <c:v>#N/A</c:v>
                </c:pt>
                <c:pt idx="810">
                  <c:v>2026</c:v>
                </c:pt>
                <c:pt idx="811">
                  <c:v>#N/A</c:v>
                </c:pt>
                <c:pt idx="812">
                  <c:v>#N/A</c:v>
                </c:pt>
                <c:pt idx="813">
                  <c:v>#N/A</c:v>
                </c:pt>
                <c:pt idx="814">
                  <c:v>#N/A</c:v>
                </c:pt>
                <c:pt idx="815">
                  <c:v>2025</c:v>
                </c:pt>
                <c:pt idx="816">
                  <c:v>#N/A</c:v>
                </c:pt>
                <c:pt idx="817">
                  <c:v>2026</c:v>
                </c:pt>
                <c:pt idx="818">
                  <c:v>#N/A</c:v>
                </c:pt>
                <c:pt idx="819">
                  <c:v>#N/A</c:v>
                </c:pt>
                <c:pt idx="820">
                  <c:v>#N/A</c:v>
                </c:pt>
                <c:pt idx="821">
                  <c:v>#N/A</c:v>
                </c:pt>
                <c:pt idx="822">
                  <c:v>2025</c:v>
                </c:pt>
                <c:pt idx="823">
                  <c:v>#N/A</c:v>
                </c:pt>
                <c:pt idx="824">
                  <c:v>#N/A</c:v>
                </c:pt>
                <c:pt idx="825">
                  <c:v>2026</c:v>
                </c:pt>
                <c:pt idx="826">
                  <c:v>2025</c:v>
                </c:pt>
                <c:pt idx="827">
                  <c:v>#N/A</c:v>
                </c:pt>
                <c:pt idx="828">
                  <c:v>#N/A</c:v>
                </c:pt>
                <c:pt idx="829">
                  <c:v>#N/A</c:v>
                </c:pt>
                <c:pt idx="830">
                  <c:v>#N/A</c:v>
                </c:pt>
                <c:pt idx="831">
                  <c:v>#N/A</c:v>
                </c:pt>
                <c:pt idx="832">
                  <c:v>#N/A</c:v>
                </c:pt>
                <c:pt idx="833">
                  <c:v>#N/A</c:v>
                </c:pt>
                <c:pt idx="834">
                  <c:v>#N/A</c:v>
                </c:pt>
                <c:pt idx="835">
                  <c:v>#N/A</c:v>
                </c:pt>
                <c:pt idx="836">
                  <c:v>#N/A</c:v>
                </c:pt>
                <c:pt idx="837">
                  <c:v>#N/A</c:v>
                </c:pt>
                <c:pt idx="838">
                  <c:v>2022</c:v>
                </c:pt>
                <c:pt idx="839">
                  <c:v>#N/A</c:v>
                </c:pt>
                <c:pt idx="840">
                  <c:v>#N/A</c:v>
                </c:pt>
                <c:pt idx="841">
                  <c:v>2023</c:v>
                </c:pt>
                <c:pt idx="842">
                  <c:v>#N/A</c:v>
                </c:pt>
                <c:pt idx="843">
                  <c:v>#N/A</c:v>
                </c:pt>
                <c:pt idx="844">
                  <c:v>#N/A</c:v>
                </c:pt>
                <c:pt idx="845">
                  <c:v>2021</c:v>
                </c:pt>
                <c:pt idx="846">
                  <c:v>2025</c:v>
                </c:pt>
                <c:pt idx="847">
                  <c:v>#N/A</c:v>
                </c:pt>
                <c:pt idx="848">
                  <c:v>2019</c:v>
                </c:pt>
                <c:pt idx="849">
                  <c:v>#N/A</c:v>
                </c:pt>
                <c:pt idx="850">
                  <c:v>2026</c:v>
                </c:pt>
                <c:pt idx="851">
                  <c:v>#N/A</c:v>
                </c:pt>
                <c:pt idx="852">
                  <c:v>#N/A</c:v>
                </c:pt>
                <c:pt idx="853">
                  <c:v>#N/A</c:v>
                </c:pt>
                <c:pt idx="854">
                  <c:v>2026</c:v>
                </c:pt>
                <c:pt idx="855">
                  <c:v>#N/A</c:v>
                </c:pt>
                <c:pt idx="856">
                  <c:v>#N/A</c:v>
                </c:pt>
                <c:pt idx="857">
                  <c:v>#N/A</c:v>
                </c:pt>
                <c:pt idx="858">
                  <c:v>#N/A</c:v>
                </c:pt>
                <c:pt idx="859">
                  <c:v>#N/A</c:v>
                </c:pt>
                <c:pt idx="860">
                  <c:v>#N/A</c:v>
                </c:pt>
                <c:pt idx="861">
                  <c:v>#N/A</c:v>
                </c:pt>
                <c:pt idx="862">
                  <c:v>#N/A</c:v>
                </c:pt>
                <c:pt idx="863">
                  <c:v>2026</c:v>
                </c:pt>
                <c:pt idx="864">
                  <c:v>#N/A</c:v>
                </c:pt>
                <c:pt idx="865">
                  <c:v>#N/A</c:v>
                </c:pt>
                <c:pt idx="866">
                  <c:v>2020</c:v>
                </c:pt>
                <c:pt idx="867">
                  <c:v>#N/A</c:v>
                </c:pt>
                <c:pt idx="868">
                  <c:v>#N/A</c:v>
                </c:pt>
                <c:pt idx="869">
                  <c:v>2021</c:v>
                </c:pt>
                <c:pt idx="870">
                  <c:v>2025</c:v>
                </c:pt>
                <c:pt idx="871">
                  <c:v>2026</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2023</c:v>
                </c:pt>
                <c:pt idx="896">
                  <c:v>#N/A</c:v>
                </c:pt>
                <c:pt idx="897">
                  <c:v>2026</c:v>
                </c:pt>
                <c:pt idx="898">
                  <c:v>#N/A</c:v>
                </c:pt>
                <c:pt idx="899">
                  <c:v>#N/A</c:v>
                </c:pt>
                <c:pt idx="900">
                  <c:v>2026</c:v>
                </c:pt>
                <c:pt idx="901">
                  <c:v>#N/A</c:v>
                </c:pt>
                <c:pt idx="902">
                  <c:v>#N/A</c:v>
                </c:pt>
                <c:pt idx="903">
                  <c:v>#N/A</c:v>
                </c:pt>
                <c:pt idx="904">
                  <c:v>2025</c:v>
                </c:pt>
                <c:pt idx="905">
                  <c:v>2025</c:v>
                </c:pt>
                <c:pt idx="906">
                  <c:v>2022</c:v>
                </c:pt>
                <c:pt idx="907">
                  <c:v>2026</c:v>
                </c:pt>
                <c:pt idx="908">
                  <c:v>#N/A</c:v>
                </c:pt>
                <c:pt idx="909">
                  <c:v>#N/A</c:v>
                </c:pt>
                <c:pt idx="910">
                  <c:v>2024</c:v>
                </c:pt>
                <c:pt idx="911">
                  <c:v>#N/A</c:v>
                </c:pt>
                <c:pt idx="912">
                  <c:v>#N/A</c:v>
                </c:pt>
                <c:pt idx="913">
                  <c:v>#N/A</c:v>
                </c:pt>
                <c:pt idx="914">
                  <c:v>2024</c:v>
                </c:pt>
                <c:pt idx="915">
                  <c:v>#N/A</c:v>
                </c:pt>
                <c:pt idx="916">
                  <c:v>#N/A</c:v>
                </c:pt>
                <c:pt idx="917">
                  <c:v>#N/A</c:v>
                </c:pt>
                <c:pt idx="918">
                  <c:v>2023</c:v>
                </c:pt>
                <c:pt idx="919">
                  <c:v>2026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3.621</c:v>
                </c:pt>
                <c:pt idx="571">
                  <c:v>3.6440000000000001</c:v>
                </c:pt>
                <c:pt idx="572">
                  <c:v>#N/A</c:v>
                </c:pt>
                <c:pt idx="573">
                  <c:v>#N/A</c:v>
                </c:pt>
                <c:pt idx="574">
                  <c:v>#N/A</c:v>
                </c:pt>
                <c:pt idx="575">
                  <c:v>#N/A</c:v>
                </c:pt>
                <c:pt idx="576">
                  <c:v>3.7589999999999999</c:v>
                </c:pt>
                <c:pt idx="577">
                  <c:v>#N/A</c:v>
                </c:pt>
                <c:pt idx="578">
                  <c:v>#N/A</c:v>
                </c:pt>
                <c:pt idx="579">
                  <c:v>3.0459999999999998</c:v>
                </c:pt>
                <c:pt idx="580">
                  <c:v>3.069</c:v>
                </c:pt>
                <c:pt idx="581">
                  <c:v>3.0920000000000001</c:v>
                </c:pt>
                <c:pt idx="582">
                  <c:v>3.1150000000000002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3.5979999999999999</c:v>
                </c:pt>
                <c:pt idx="604">
                  <c:v>#N/A</c:v>
                </c:pt>
                <c:pt idx="605">
                  <c:v>#N/A</c:v>
                </c:pt>
                <c:pt idx="606">
                  <c:v>#N/A</c:v>
                </c:pt>
                <c:pt idx="607">
                  <c:v>3.69</c:v>
                </c:pt>
                <c:pt idx="608">
                  <c:v>#N/A</c:v>
                </c:pt>
                <c:pt idx="609">
                  <c:v>#N/A</c:v>
                </c:pt>
                <c:pt idx="610">
                  <c:v>#N/A</c:v>
                </c:pt>
                <c:pt idx="611">
                  <c:v>#N/A</c:v>
                </c:pt>
                <c:pt idx="612">
                  <c:v>#N/A</c:v>
                </c:pt>
                <c:pt idx="613">
                  <c:v>#N/A</c:v>
                </c:pt>
                <c:pt idx="614">
                  <c:v>3.069</c:v>
                </c:pt>
                <c:pt idx="615">
                  <c:v>#N/A</c:v>
                </c:pt>
                <c:pt idx="616">
                  <c:v>#N/A</c:v>
                </c:pt>
                <c:pt idx="617">
                  <c:v>#N/A</c:v>
                </c:pt>
                <c:pt idx="618">
                  <c:v>#N/A</c:v>
                </c:pt>
                <c:pt idx="619">
                  <c:v>#N/A</c:v>
                </c:pt>
                <c:pt idx="620">
                  <c:v>#N/A</c:v>
                </c:pt>
                <c:pt idx="621">
                  <c:v>#N/A</c:v>
                </c:pt>
                <c:pt idx="622">
                  <c:v>#N/A</c:v>
                </c:pt>
                <c:pt idx="623">
                  <c:v>3.2759999999999998</c:v>
                </c:pt>
                <c:pt idx="624">
                  <c:v>#N/A</c:v>
                </c:pt>
                <c:pt idx="625">
                  <c:v>#N/A</c:v>
                </c:pt>
                <c:pt idx="626">
                  <c:v>#N/A</c:v>
                </c:pt>
                <c:pt idx="627">
                  <c:v>#N/A</c:v>
                </c:pt>
                <c:pt idx="628">
                  <c:v>#N/A</c:v>
                </c:pt>
                <c:pt idx="629">
                  <c:v>#N/A</c:v>
                </c:pt>
                <c:pt idx="630">
                  <c:v>#N/A</c:v>
                </c:pt>
                <c:pt idx="631">
                  <c:v>#N/A</c:v>
                </c:pt>
                <c:pt idx="632">
                  <c:v>3.4830000000000001</c:v>
                </c:pt>
                <c:pt idx="633">
                  <c:v>#N/A</c:v>
                </c:pt>
                <c:pt idx="634">
                  <c:v>3.5289999999999999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3.2069999999999999</c:v>
                </c:pt>
                <c:pt idx="655">
                  <c:v>#N/A</c:v>
                </c:pt>
                <c:pt idx="656">
                  <c:v>#N/A</c:v>
                </c:pt>
                <c:pt idx="657">
                  <c:v>3.2759999999999998</c:v>
                </c:pt>
                <c:pt idx="658">
                  <c:v>#N/A</c:v>
                </c:pt>
                <c:pt idx="659">
                  <c:v>3.3220000000000001</c:v>
                </c:pt>
                <c:pt idx="660">
                  <c:v>#N/A</c:v>
                </c:pt>
                <c:pt idx="661">
                  <c:v>#N/A</c:v>
                </c:pt>
                <c:pt idx="662">
                  <c:v>#N/A</c:v>
                </c:pt>
                <c:pt idx="663">
                  <c:v>#N/A</c:v>
                </c:pt>
                <c:pt idx="664">
                  <c:v>3.4369999999999998</c:v>
                </c:pt>
                <c:pt idx="665">
                  <c:v>3.46</c:v>
                </c:pt>
                <c:pt idx="666">
                  <c:v>#N/A</c:v>
                </c:pt>
                <c:pt idx="667">
                  <c:v>3.5060000000000002</c:v>
                </c:pt>
                <c:pt idx="668">
                  <c:v>3.5289999999999999</c:v>
                </c:pt>
                <c:pt idx="669">
                  <c:v>3.552</c:v>
                </c:pt>
                <c:pt idx="670">
                  <c:v>3.5750000000000002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3.552</c:v>
                </c:pt>
                <c:pt idx="704">
                  <c:v>#N/A</c:v>
                </c:pt>
                <c:pt idx="705">
                  <c:v>#N/A</c:v>
                </c:pt>
                <c:pt idx="706">
                  <c:v>#N/A</c:v>
                </c:pt>
                <c:pt idx="707">
                  <c:v>#N/A</c:v>
                </c:pt>
                <c:pt idx="708">
                  <c:v>#N/A</c:v>
                </c:pt>
                <c:pt idx="709">
                  <c:v>3.69</c:v>
                </c:pt>
                <c:pt idx="710">
                  <c:v>#N/A</c:v>
                </c:pt>
                <c:pt idx="711">
                  <c:v>#N/A</c:v>
                </c:pt>
                <c:pt idx="712">
                  <c:v>3.7589999999999999</c:v>
                </c:pt>
                <c:pt idx="713">
                  <c:v>3</c:v>
                </c:pt>
                <c:pt idx="714">
                  <c:v>#N/A</c:v>
                </c:pt>
                <c:pt idx="715">
                  <c:v>#N/A</c:v>
                </c:pt>
                <c:pt idx="716">
                  <c:v>#N/A</c:v>
                </c:pt>
                <c:pt idx="717">
                  <c:v>#N/A</c:v>
                </c:pt>
                <c:pt idx="718">
                  <c:v>3.1150000000000002</c:v>
                </c:pt>
                <c:pt idx="719">
                  <c:v>3.1379999999999999</c:v>
                </c:pt>
                <c:pt idx="720">
                  <c:v>3.161</c:v>
                </c:pt>
                <c:pt idx="721">
                  <c:v>#N/A</c:v>
                </c:pt>
                <c:pt idx="722">
                  <c:v>#N/A</c:v>
                </c:pt>
                <c:pt idx="723">
                  <c:v>#N/A</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#N/A</c:v>
                </c:pt>
                <c:pt idx="740">
                  <c:v>3.621</c:v>
                </c:pt>
                <c:pt idx="741">
                  <c:v>#N/A</c:v>
                </c:pt>
                <c:pt idx="742">
                  <c:v>#N/A</c:v>
                </c:pt>
                <c:pt idx="743">
                  <c:v>#N/A</c:v>
                </c:pt>
                <c:pt idx="744">
                  <c:v>#N/A</c:v>
                </c:pt>
                <c:pt idx="745">
                  <c:v>#N/A</c:v>
                </c:pt>
                <c:pt idx="746">
                  <c:v>3.7589999999999999</c:v>
                </c:pt>
                <c:pt idx="747">
                  <c:v>#N/A</c:v>
                </c:pt>
                <c:pt idx="748">
                  <c:v>#N/A</c:v>
                </c:pt>
                <c:pt idx="749">
                  <c:v>#N/A</c:v>
                </c:pt>
                <c:pt idx="750">
                  <c:v>#N/A</c:v>
                </c:pt>
                <c:pt idx="751">
                  <c:v>#N/A</c:v>
                </c:pt>
                <c:pt idx="752">
                  <c:v>3.1150000000000002</c:v>
                </c:pt>
                <c:pt idx="753">
                  <c:v>3.1379999999999999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3.0230000000000001</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#N/A</c:v>
                </c:pt>
                <c:pt idx="805">
                  <c:v>#N/A</c:v>
                </c:pt>
                <c:pt idx="806">
                  <c:v>#N/A</c:v>
                </c:pt>
                <c:pt idx="807">
                  <c:v>#N/A</c:v>
                </c:pt>
                <c:pt idx="808">
                  <c:v>#N/A</c:v>
                </c:pt>
                <c:pt idx="809">
                  <c:v>#N/A</c:v>
                </c:pt>
                <c:pt idx="810">
                  <c:v>#N/A</c:v>
                </c:pt>
                <c:pt idx="811">
                  <c:v>3.69</c:v>
                </c:pt>
                <c:pt idx="812">
                  <c:v>#N/A</c:v>
                </c:pt>
                <c:pt idx="813">
                  <c:v>#N/A</c:v>
                </c:pt>
                <c:pt idx="814">
                  <c:v>#N/A</c:v>
                </c:pt>
                <c:pt idx="815">
                  <c:v>#N/A</c:v>
                </c:pt>
                <c:pt idx="816">
                  <c:v>3.0230000000000001</c:v>
                </c:pt>
                <c:pt idx="817">
                  <c:v>#N/A</c:v>
                </c:pt>
                <c:pt idx="818">
                  <c:v>3.069</c:v>
                </c:pt>
                <c:pt idx="819">
                  <c:v>#N/A</c:v>
                </c:pt>
                <c:pt idx="820">
                  <c:v>#N/A</c:v>
                </c:pt>
                <c:pt idx="821">
                  <c:v>#N/A</c:v>
                </c:pt>
                <c:pt idx="822">
                  <c:v>#N/A</c:v>
                </c:pt>
                <c:pt idx="823">
                  <c:v>3.1840000000000002</c:v>
                </c:pt>
                <c:pt idx="824">
                  <c:v>#N/A</c:v>
                </c:pt>
                <c:pt idx="825">
                  <c:v>#N/A</c:v>
                </c:pt>
                <c:pt idx="826">
                  <c:v>3.2530000000000001</c:v>
                </c:pt>
                <c:pt idx="827">
                  <c:v>3.2759999999999998</c:v>
                </c:pt>
                <c:pt idx="828">
                  <c:v>#N/A</c:v>
                </c:pt>
                <c:pt idx="829">
                  <c:v>#N/A</c:v>
                </c:pt>
                <c:pt idx="830">
                  <c:v>#N/A</c:v>
                </c:pt>
                <c:pt idx="831">
                  <c:v>#N/A</c:v>
                </c:pt>
                <c:pt idx="832">
                  <c:v>#N/A</c:v>
                </c:pt>
                <c:pt idx="833">
                  <c:v>#N/A</c:v>
                </c:pt>
                <c:pt idx="834">
                  <c:v>#N/A</c:v>
                </c:pt>
                <c:pt idx="835">
                  <c:v>#N/A</c:v>
                </c:pt>
                <c:pt idx="836">
                  <c:v>#N/A</c:v>
                </c:pt>
                <c:pt idx="837">
                  <c:v>#N/A</c:v>
                </c:pt>
                <c:pt idx="838">
                  <c:v>#N/A</c:v>
                </c:pt>
                <c:pt idx="839">
                  <c:v>3.552</c:v>
                </c:pt>
                <c:pt idx="840">
                  <c:v>#N/A</c:v>
                </c:pt>
                <c:pt idx="841">
                  <c:v>#N/A</c:v>
                </c:pt>
                <c:pt idx="842">
                  <c:v>3.621</c:v>
                </c:pt>
                <c:pt idx="843">
                  <c:v>#N/A</c:v>
                </c:pt>
                <c:pt idx="844">
                  <c:v>#N/A</c:v>
                </c:pt>
                <c:pt idx="845">
                  <c:v>#N/A</c:v>
                </c:pt>
                <c:pt idx="846">
                  <c:v>3.7130000000000001</c:v>
                </c:pt>
                <c:pt idx="847">
                  <c:v>3.7359999999999998</c:v>
                </c:pt>
                <c:pt idx="848">
                  <c:v>#N/A</c:v>
                </c:pt>
                <c:pt idx="849">
                  <c:v>3</c:v>
                </c:pt>
                <c:pt idx="850">
                  <c:v>#N/A</c:v>
                </c:pt>
                <c:pt idx="851">
                  <c:v>3.0459999999999998</c:v>
                </c:pt>
                <c:pt idx="852">
                  <c:v>#N/A</c:v>
                </c:pt>
                <c:pt idx="853">
                  <c:v>#N/A</c:v>
                </c:pt>
                <c:pt idx="854">
                  <c:v>#N/A</c:v>
                </c:pt>
                <c:pt idx="855">
                  <c:v>3.1379999999999999</c:v>
                </c:pt>
                <c:pt idx="856">
                  <c:v>#N/A</c:v>
                </c:pt>
                <c:pt idx="857">
                  <c:v>#N/A</c:v>
                </c:pt>
                <c:pt idx="858">
                  <c:v>#N/A</c:v>
                </c:pt>
                <c:pt idx="859">
                  <c:v>#N/A</c:v>
                </c:pt>
                <c:pt idx="860">
                  <c:v>#N/A</c:v>
                </c:pt>
                <c:pt idx="861">
                  <c:v>#N/A</c:v>
                </c:pt>
                <c:pt idx="862">
                  <c:v>#N/A</c:v>
                </c:pt>
                <c:pt idx="863">
                  <c:v>#N/A</c:v>
                </c:pt>
                <c:pt idx="864">
                  <c:v>3.3449999999999998</c:v>
                </c:pt>
                <c:pt idx="865">
                  <c:v>#N/A</c:v>
                </c:pt>
                <c:pt idx="866">
                  <c:v>#N/A</c:v>
                </c:pt>
                <c:pt idx="867">
                  <c:v>3.4140000000000001</c:v>
                </c:pt>
                <c:pt idx="868">
                  <c:v>#N/A</c:v>
                </c:pt>
                <c:pt idx="869">
                  <c:v>#N/A</c:v>
                </c:pt>
                <c:pt idx="870">
                  <c:v>3.4830000000000001</c:v>
                </c:pt>
                <c:pt idx="871">
                  <c:v>3.5060000000000002</c:v>
                </c:pt>
                <c:pt idx="872">
                  <c:v>3.5289999999999999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3.2989999999999999</c:v>
                </c:pt>
                <c:pt idx="897">
                  <c:v>#N/A</c:v>
                </c:pt>
                <c:pt idx="898">
                  <c:v>3.3449999999999998</c:v>
                </c:pt>
                <c:pt idx="899">
                  <c:v>#N/A</c:v>
                </c:pt>
                <c:pt idx="900">
                  <c:v>#N/A</c:v>
                </c:pt>
                <c:pt idx="901">
                  <c:v>3.4140000000000001</c:v>
                </c:pt>
                <c:pt idx="902">
                  <c:v>#N/A</c:v>
                </c:pt>
                <c:pt idx="903">
                  <c:v>#N/A</c:v>
                </c:pt>
                <c:pt idx="904">
                  <c:v>#N/A</c:v>
                </c:pt>
                <c:pt idx="905">
                  <c:v>3.5060000000000002</c:v>
                </c:pt>
                <c:pt idx="906">
                  <c:v>3.5289999999999999</c:v>
                </c:pt>
                <c:pt idx="907">
                  <c:v>3.552</c:v>
                </c:pt>
                <c:pt idx="908">
                  <c:v>3.5750000000000002</c:v>
                </c:pt>
                <c:pt idx="909">
                  <c:v>#N/A</c:v>
                </c:pt>
                <c:pt idx="910">
                  <c:v>#N/A</c:v>
                </c:pt>
                <c:pt idx="911">
                  <c:v>3.6440000000000001</c:v>
                </c:pt>
                <c:pt idx="912">
                  <c:v>#N/A</c:v>
                </c:pt>
                <c:pt idx="913">
                  <c:v>#N/A</c:v>
                </c:pt>
                <c:pt idx="914">
                  <c:v>#N/A</c:v>
                </c:pt>
                <c:pt idx="915">
                  <c:v>3.7359999999999998</c:v>
                </c:pt>
                <c:pt idx="916">
                  <c:v>#N/A</c:v>
                </c:pt>
                <c:pt idx="917">
                  <c:v>#N/A</c:v>
                </c:pt>
                <c:pt idx="918">
                  <c:v>#N/A</c:v>
                </c:pt>
                <c:pt idx="919">
                  <c:v>3.0459999999999998</c:v>
                </c:pt>
                <c:pt idx="920">
                  <c:v>3.069</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2012</c:v>
                </c:pt>
                <c:pt idx="577">
                  <c:v>#N/A</c:v>
                </c:pt>
                <c:pt idx="578">
                  <c:v>#N/A</c:v>
                </c:pt>
                <c:pt idx="579">
                  <c:v>#N/A</c:v>
                </c:pt>
                <c:pt idx="580">
                  <c:v>#N/A</c:v>
                </c:pt>
                <c:pt idx="581">
                  <c:v>#N/A</c:v>
                </c:pt>
                <c:pt idx="582">
                  <c:v>#N/A</c:v>
                </c:pt>
                <c:pt idx="583">
                  <c:v>#N/A</c:v>
                </c:pt>
                <c:pt idx="584">
                  <c:v>#N/A</c:v>
                </c:pt>
                <c:pt idx="585">
                  <c:v>#N/A</c:v>
                </c:pt>
                <c:pt idx="586">
                  <c:v>2009</c:v>
                </c:pt>
                <c:pt idx="587">
                  <c:v>2007</c:v>
                </c:pt>
                <c:pt idx="588">
                  <c:v>2012</c:v>
                </c:pt>
                <c:pt idx="589">
                  <c:v>2005</c:v>
                </c:pt>
                <c:pt idx="590">
                  <c:v>2020</c:v>
                </c:pt>
                <c:pt idx="591">
                  <c:v>2015</c:v>
                </c:pt>
                <c:pt idx="592">
                  <c:v>#N/A</c:v>
                </c:pt>
                <c:pt idx="593">
                  <c:v>#N/A</c:v>
                </c:pt>
                <c:pt idx="594">
                  <c:v>#N/A</c:v>
                </c:pt>
                <c:pt idx="595">
                  <c:v>#N/A</c:v>
                </c:pt>
                <c:pt idx="596">
                  <c:v>2003</c:v>
                </c:pt>
                <c:pt idx="597">
                  <c:v>#N/A</c:v>
                </c:pt>
                <c:pt idx="598">
                  <c:v>#N/A</c:v>
                </c:pt>
                <c:pt idx="599">
                  <c:v>#N/A</c:v>
                </c:pt>
                <c:pt idx="600">
                  <c:v>#N/A</c:v>
                </c:pt>
                <c:pt idx="601">
                  <c:v>#N/A</c:v>
                </c:pt>
                <c:pt idx="602">
                  <c:v>#N/A</c:v>
                </c:pt>
                <c:pt idx="603">
                  <c:v>2023</c:v>
                </c:pt>
                <c:pt idx="604">
                  <c:v>2014</c:v>
                </c:pt>
                <c:pt idx="605">
                  <c:v>#N/A</c:v>
                </c:pt>
                <c:pt idx="606">
                  <c:v>#N/A</c:v>
                </c:pt>
                <c:pt idx="607">
                  <c:v>#N/A</c:v>
                </c:pt>
                <c:pt idx="608">
                  <c:v>1992</c:v>
                </c:pt>
                <c:pt idx="609">
                  <c:v>#N/A</c:v>
                </c:pt>
                <c:pt idx="610">
                  <c:v>#N/A</c:v>
                </c:pt>
                <c:pt idx="611">
                  <c:v>2026</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2020</c:v>
                </c:pt>
                <c:pt idx="628">
                  <c:v>2024</c:v>
                </c:pt>
                <c:pt idx="629">
                  <c:v>2026</c:v>
                </c:pt>
                <c:pt idx="630">
                  <c:v>#N/A</c:v>
                </c:pt>
                <c:pt idx="631">
                  <c:v>#N/A</c:v>
                </c:pt>
                <c:pt idx="632">
                  <c:v>#N/A</c:v>
                </c:pt>
                <c:pt idx="633">
                  <c:v>#N/A</c:v>
                </c:pt>
                <c:pt idx="634">
                  <c:v>#N/A</c:v>
                </c:pt>
                <c:pt idx="635">
                  <c:v>#N/A</c:v>
                </c:pt>
                <c:pt idx="636">
                  <c:v>#N/A</c:v>
                </c:pt>
                <c:pt idx="637">
                  <c:v>#N/A</c:v>
                </c:pt>
                <c:pt idx="638">
                  <c:v>#N/A</c:v>
                </c:pt>
                <c:pt idx="639">
                  <c:v>#N/A</c:v>
                </c:pt>
                <c:pt idx="640">
                  <c:v>#N/A</c:v>
                </c:pt>
                <c:pt idx="641">
                  <c:v>1980</c:v>
                </c:pt>
                <c:pt idx="642">
                  <c:v>#N/A</c:v>
                </c:pt>
                <c:pt idx="643">
                  <c:v>#N/A</c:v>
                </c:pt>
                <c:pt idx="644">
                  <c:v>2019</c:v>
                </c:pt>
                <c:pt idx="645">
                  <c:v>#N/A</c:v>
                </c:pt>
                <c:pt idx="646">
                  <c:v>#N/A</c:v>
                </c:pt>
                <c:pt idx="647">
                  <c:v>2007</c:v>
                </c:pt>
                <c:pt idx="648">
                  <c:v>#N/A</c:v>
                </c:pt>
                <c:pt idx="649">
                  <c:v>#N/A</c:v>
                </c:pt>
                <c:pt idx="650">
                  <c:v>#N/A</c:v>
                </c:pt>
                <c:pt idx="651">
                  <c:v>#N/A</c:v>
                </c:pt>
                <c:pt idx="652">
                  <c:v>#N/A</c:v>
                </c:pt>
                <c:pt idx="653">
                  <c:v>#N/A</c:v>
                </c:pt>
                <c:pt idx="654">
                  <c:v>#N/A</c:v>
                </c:pt>
                <c:pt idx="655">
                  <c:v>#N/A</c:v>
                </c:pt>
                <c:pt idx="656">
                  <c:v>#N/A</c:v>
                </c:pt>
                <c:pt idx="657">
                  <c:v>2023</c:v>
                </c:pt>
                <c:pt idx="658">
                  <c:v>#N/A</c:v>
                </c:pt>
                <c:pt idx="659">
                  <c:v>2014</c:v>
                </c:pt>
                <c:pt idx="660">
                  <c:v>#N/A</c:v>
                </c:pt>
                <c:pt idx="661">
                  <c:v>#N/A</c:v>
                </c:pt>
                <c:pt idx="662">
                  <c:v>#N/A</c:v>
                </c:pt>
                <c:pt idx="663">
                  <c:v>#N/A</c:v>
                </c:pt>
                <c:pt idx="664">
                  <c:v>#N/A</c:v>
                </c:pt>
                <c:pt idx="665">
                  <c:v>#N/A</c:v>
                </c:pt>
                <c:pt idx="666">
                  <c:v>#N/A</c:v>
                </c:pt>
                <c:pt idx="667">
                  <c:v>#N/A</c:v>
                </c:pt>
                <c:pt idx="668">
                  <c:v>#N/A</c:v>
                </c:pt>
                <c:pt idx="669">
                  <c:v>#N/A</c:v>
                </c:pt>
                <c:pt idx="670">
                  <c:v>#N/A</c:v>
                </c:pt>
                <c:pt idx="671">
                  <c:v>2010</c:v>
                </c:pt>
                <c:pt idx="672">
                  <c:v>#N/A</c:v>
                </c:pt>
                <c:pt idx="673">
                  <c:v>#N/A</c:v>
                </c:pt>
                <c:pt idx="674">
                  <c:v>#N/A</c:v>
                </c:pt>
                <c:pt idx="675">
                  <c:v>#N/A</c:v>
                </c:pt>
                <c:pt idx="676">
                  <c:v>#N/A</c:v>
                </c:pt>
                <c:pt idx="677">
                  <c:v>#N/A</c:v>
                </c:pt>
                <c:pt idx="678">
                  <c:v>#N/A</c:v>
                </c:pt>
                <c:pt idx="679">
                  <c:v>#N/A</c:v>
                </c:pt>
                <c:pt idx="680">
                  <c:v>#N/A</c:v>
                </c:pt>
                <c:pt idx="681">
                  <c:v>#N/A</c:v>
                </c:pt>
                <c:pt idx="682">
                  <c:v>#N/A</c:v>
                </c:pt>
                <c:pt idx="683">
                  <c:v>2015</c:v>
                </c:pt>
                <c:pt idx="684">
                  <c:v>#N/A</c:v>
                </c:pt>
                <c:pt idx="685">
                  <c:v>#N/A</c:v>
                </c:pt>
                <c:pt idx="686">
                  <c:v>#N/A</c:v>
                </c:pt>
                <c:pt idx="687">
                  <c:v>#N/A</c:v>
                </c:pt>
                <c:pt idx="688">
                  <c:v>2014</c:v>
                </c:pt>
                <c:pt idx="689">
                  <c:v>#N/A</c:v>
                </c:pt>
                <c:pt idx="690">
                  <c:v>2008</c:v>
                </c:pt>
                <c:pt idx="691">
                  <c:v>2000</c:v>
                </c:pt>
                <c:pt idx="692">
                  <c:v>2010</c:v>
                </c:pt>
                <c:pt idx="693">
                  <c:v>2002</c:v>
                </c:pt>
                <c:pt idx="694">
                  <c:v>1996</c:v>
                </c:pt>
                <c:pt idx="695">
                  <c:v>2001</c:v>
                </c:pt>
                <c:pt idx="696">
                  <c:v>2024</c:v>
                </c:pt>
                <c:pt idx="697">
                  <c:v>2010</c:v>
                </c:pt>
                <c:pt idx="698">
                  <c:v>#N/A</c:v>
                </c:pt>
                <c:pt idx="699">
                  <c:v>#N/A</c:v>
                </c:pt>
                <c:pt idx="700">
                  <c:v>#N/A</c:v>
                </c:pt>
                <c:pt idx="701">
                  <c:v>#N/A</c:v>
                </c:pt>
                <c:pt idx="702">
                  <c:v>#N/A</c:v>
                </c:pt>
                <c:pt idx="703">
                  <c:v>2012</c:v>
                </c:pt>
                <c:pt idx="704">
                  <c:v>#N/A</c:v>
                </c:pt>
                <c:pt idx="705">
                  <c:v>#N/A</c:v>
                </c:pt>
                <c:pt idx="706">
                  <c:v>#N/A</c:v>
                </c:pt>
                <c:pt idx="707">
                  <c:v>#N/A</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2022</c:v>
                </c:pt>
                <c:pt idx="725">
                  <c:v>2023</c:v>
                </c:pt>
                <c:pt idx="726">
                  <c:v>#N/A</c:v>
                </c:pt>
                <c:pt idx="727">
                  <c:v>#N/A</c:v>
                </c:pt>
                <c:pt idx="728">
                  <c:v>#N/A</c:v>
                </c:pt>
                <c:pt idx="729">
                  <c:v>#N/A</c:v>
                </c:pt>
                <c:pt idx="730">
                  <c:v>2016</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2014</c:v>
                </c:pt>
                <c:pt idx="744">
                  <c:v>#N/A</c:v>
                </c:pt>
                <c:pt idx="745">
                  <c:v>#N/A</c:v>
                </c:pt>
                <c:pt idx="746">
                  <c:v>#N/A</c:v>
                </c:pt>
                <c:pt idx="747">
                  <c:v>#N/A</c:v>
                </c:pt>
                <c:pt idx="748">
                  <c:v>#N/A</c:v>
                </c:pt>
                <c:pt idx="749">
                  <c:v>#N/A</c:v>
                </c:pt>
                <c:pt idx="750">
                  <c:v>#N/A</c:v>
                </c:pt>
                <c:pt idx="751">
                  <c:v>#N/A</c:v>
                </c:pt>
                <c:pt idx="752">
                  <c:v>#N/A</c:v>
                </c:pt>
                <c:pt idx="753">
                  <c:v>#N/A</c:v>
                </c:pt>
                <c:pt idx="754">
                  <c:v>#N/A</c:v>
                </c:pt>
                <c:pt idx="755">
                  <c:v>2020</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1982</c:v>
                </c:pt>
                <c:pt idx="773">
                  <c:v>#N/A</c:v>
                </c:pt>
                <c:pt idx="774">
                  <c:v>#N/A</c:v>
                </c:pt>
                <c:pt idx="775">
                  <c:v>2013</c:v>
                </c:pt>
                <c:pt idx="776">
                  <c:v>#N/A</c:v>
                </c:pt>
                <c:pt idx="777">
                  <c:v>#N/A</c:v>
                </c:pt>
                <c:pt idx="778">
                  <c:v>#N/A</c:v>
                </c:pt>
                <c:pt idx="779">
                  <c:v>#N/A</c:v>
                </c:pt>
                <c:pt idx="780">
                  <c:v>#N/A</c:v>
                </c:pt>
                <c:pt idx="781">
                  <c:v>#N/A</c:v>
                </c:pt>
                <c:pt idx="782">
                  <c:v>#N/A</c:v>
                </c:pt>
                <c:pt idx="783">
                  <c:v>1998</c:v>
                </c:pt>
                <c:pt idx="784">
                  <c:v>#N/A</c:v>
                </c:pt>
                <c:pt idx="785">
                  <c:v>2017</c:v>
                </c:pt>
                <c:pt idx="786">
                  <c:v>#N/A</c:v>
                </c:pt>
                <c:pt idx="787">
                  <c:v>2006</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2000</c:v>
                </c:pt>
                <c:pt idx="801">
                  <c:v>#N/A</c:v>
                </c:pt>
                <c:pt idx="802">
                  <c:v>#N/A</c:v>
                </c:pt>
                <c:pt idx="803">
                  <c:v>2014</c:v>
                </c:pt>
                <c:pt idx="804">
                  <c:v>2013</c:v>
                </c:pt>
                <c:pt idx="805">
                  <c:v>#N/A</c:v>
                </c:pt>
                <c:pt idx="806">
                  <c:v>#N/A</c:v>
                </c:pt>
                <c:pt idx="807">
                  <c:v>#N/A</c:v>
                </c:pt>
                <c:pt idx="808">
                  <c:v>#N/A</c:v>
                </c:pt>
                <c:pt idx="809">
                  <c:v>#N/A</c:v>
                </c:pt>
                <c:pt idx="810">
                  <c:v>#N/A</c:v>
                </c:pt>
                <c:pt idx="811">
                  <c:v>#N/A</c:v>
                </c:pt>
                <c:pt idx="812">
                  <c:v>2004</c:v>
                </c:pt>
                <c:pt idx="813">
                  <c:v>#N/A</c:v>
                </c:pt>
                <c:pt idx="814">
                  <c:v>#N/A</c:v>
                </c:pt>
                <c:pt idx="815">
                  <c:v>#N/A</c:v>
                </c:pt>
                <c:pt idx="816">
                  <c:v>#N/A</c:v>
                </c:pt>
                <c:pt idx="817">
                  <c:v>#N/A</c:v>
                </c:pt>
                <c:pt idx="818">
                  <c:v>#N/A</c:v>
                </c:pt>
                <c:pt idx="819">
                  <c:v>#N/A</c:v>
                </c:pt>
                <c:pt idx="820">
                  <c:v>2014</c:v>
                </c:pt>
                <c:pt idx="821">
                  <c:v>#N/A</c:v>
                </c:pt>
                <c:pt idx="822">
                  <c:v>#N/A</c:v>
                </c:pt>
                <c:pt idx="823">
                  <c:v>#N/A</c:v>
                </c:pt>
                <c:pt idx="824">
                  <c:v>#N/A</c:v>
                </c:pt>
                <c:pt idx="825">
                  <c:v>#N/A</c:v>
                </c:pt>
                <c:pt idx="826">
                  <c:v>#N/A</c:v>
                </c:pt>
                <c:pt idx="827">
                  <c:v>#N/A</c:v>
                </c:pt>
                <c:pt idx="828">
                  <c:v>#N/A</c:v>
                </c:pt>
                <c:pt idx="829">
                  <c:v>#N/A</c:v>
                </c:pt>
                <c:pt idx="830">
                  <c:v>#N/A</c:v>
                </c:pt>
                <c:pt idx="831">
                  <c:v>#N/A</c:v>
                </c:pt>
                <c:pt idx="832">
                  <c:v>1999</c:v>
                </c:pt>
                <c:pt idx="833">
                  <c:v>2002</c:v>
                </c:pt>
                <c:pt idx="834">
                  <c:v>1993</c:v>
                </c:pt>
                <c:pt idx="835">
                  <c:v>2025</c:v>
                </c:pt>
                <c:pt idx="836">
                  <c:v>2024</c:v>
                </c:pt>
                <c:pt idx="837">
                  <c:v>2021</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2012</c:v>
                </c:pt>
                <c:pt idx="853">
                  <c:v>2021</c:v>
                </c:pt>
                <c:pt idx="854">
                  <c:v>#N/A</c:v>
                </c:pt>
                <c:pt idx="855">
                  <c:v>#N/A</c:v>
                </c:pt>
                <c:pt idx="856">
                  <c:v>#N/A</c:v>
                </c:pt>
                <c:pt idx="857">
                  <c:v>#N/A</c:v>
                </c:pt>
                <c:pt idx="858">
                  <c:v>#N/A</c:v>
                </c:pt>
                <c:pt idx="859">
                  <c:v>#N/A</c:v>
                </c:pt>
                <c:pt idx="860">
                  <c:v>#N/A</c:v>
                </c:pt>
                <c:pt idx="861">
                  <c:v>1992</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1998</c:v>
                </c:pt>
                <c:pt idx="879">
                  <c:v>#N/A</c:v>
                </c:pt>
                <c:pt idx="880">
                  <c:v>#N/A</c:v>
                </c:pt>
                <c:pt idx="881">
                  <c:v>#N/A</c:v>
                </c:pt>
                <c:pt idx="882">
                  <c:v>#N/A</c:v>
                </c:pt>
                <c:pt idx="883">
                  <c:v>2023</c:v>
                </c:pt>
                <c:pt idx="884">
                  <c:v>#N/A</c:v>
                </c:pt>
                <c:pt idx="885">
                  <c:v>#N/A</c:v>
                </c:pt>
                <c:pt idx="886">
                  <c:v>2011</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2017</c:v>
                </c:pt>
                <c:pt idx="912">
                  <c:v>2010</c:v>
                </c:pt>
                <c:pt idx="913">
                  <c:v>1994</c:v>
                </c:pt>
                <c:pt idx="914">
                  <c:v>#N/A</c:v>
                </c:pt>
                <c:pt idx="915">
                  <c:v>#N/A</c:v>
                </c:pt>
                <c:pt idx="916">
                  <c:v>#N/A</c:v>
                </c:pt>
                <c:pt idx="917">
                  <c:v>2025</c:v>
                </c:pt>
                <c:pt idx="918">
                  <c:v>#N/A</c:v>
                </c:pt>
                <c:pt idx="919">
                  <c:v>#N/A</c:v>
                </c:pt>
                <c:pt idx="920">
                  <c:v>2022</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4</c:v>
                </c:pt>
                <c:pt idx="578">
                  <c:v>#N/A</c:v>
                </c:pt>
                <c:pt idx="579">
                  <c:v>#N/A</c:v>
                </c:pt>
                <c:pt idx="580">
                  <c:v>#N/A</c:v>
                </c:pt>
                <c:pt idx="581">
                  <c:v>#N/A</c:v>
                </c:pt>
                <c:pt idx="582">
                  <c:v>#N/A</c:v>
                </c:pt>
                <c:pt idx="583">
                  <c:v>#N/A</c:v>
                </c:pt>
                <c:pt idx="584">
                  <c:v>#N/A</c:v>
                </c:pt>
                <c:pt idx="585">
                  <c:v>#N/A</c:v>
                </c:pt>
                <c:pt idx="586">
                  <c:v>#N/A</c:v>
                </c:pt>
                <c:pt idx="587">
                  <c:v>4.2300000000000004</c:v>
                </c:pt>
                <c:pt idx="588">
                  <c:v>4.2530000000000001</c:v>
                </c:pt>
                <c:pt idx="589">
                  <c:v>4.2759999999999998</c:v>
                </c:pt>
                <c:pt idx="590">
                  <c:v>4.2990000000000004</c:v>
                </c:pt>
                <c:pt idx="591">
                  <c:v>4.3220000000000001</c:v>
                </c:pt>
                <c:pt idx="592">
                  <c:v>4.3449999999999998</c:v>
                </c:pt>
                <c:pt idx="593">
                  <c:v>#N/A</c:v>
                </c:pt>
                <c:pt idx="594">
                  <c:v>#N/A</c:v>
                </c:pt>
                <c:pt idx="595">
                  <c:v>#N/A</c:v>
                </c:pt>
                <c:pt idx="596">
                  <c:v>#N/A</c:v>
                </c:pt>
                <c:pt idx="597">
                  <c:v>4.46</c:v>
                </c:pt>
                <c:pt idx="598">
                  <c:v>#N/A</c:v>
                </c:pt>
                <c:pt idx="599">
                  <c:v>#N/A</c:v>
                </c:pt>
                <c:pt idx="600">
                  <c:v>#N/A</c:v>
                </c:pt>
                <c:pt idx="601">
                  <c:v>#N/A</c:v>
                </c:pt>
                <c:pt idx="602">
                  <c:v>#N/A</c:v>
                </c:pt>
                <c:pt idx="603">
                  <c:v>#N/A</c:v>
                </c:pt>
                <c:pt idx="604">
                  <c:v>4.6210000000000004</c:v>
                </c:pt>
                <c:pt idx="605">
                  <c:v>4.6440000000000001</c:v>
                </c:pt>
                <c:pt idx="606">
                  <c:v>#N/A</c:v>
                </c:pt>
                <c:pt idx="607">
                  <c:v>#N/A</c:v>
                </c:pt>
                <c:pt idx="608">
                  <c:v>#N/A</c:v>
                </c:pt>
                <c:pt idx="609">
                  <c:v>4.7359999999999998</c:v>
                </c:pt>
                <c:pt idx="610">
                  <c:v>#N/A</c:v>
                </c:pt>
                <c:pt idx="611">
                  <c:v>#N/A</c:v>
                </c:pt>
                <c:pt idx="612">
                  <c:v>4.0229999999999997</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4.391</c:v>
                </c:pt>
                <c:pt idx="629">
                  <c:v>4.4139999999999997</c:v>
                </c:pt>
                <c:pt idx="630">
                  <c:v>4.4370000000000003</c:v>
                </c:pt>
                <c:pt idx="631">
                  <c:v>#N/A</c:v>
                </c:pt>
                <c:pt idx="632">
                  <c:v>#N/A</c:v>
                </c:pt>
                <c:pt idx="633">
                  <c:v>#N/A</c:v>
                </c:pt>
                <c:pt idx="634">
                  <c:v>#N/A</c:v>
                </c:pt>
                <c:pt idx="635">
                  <c:v>#N/A</c:v>
                </c:pt>
                <c:pt idx="636">
                  <c:v>#N/A</c:v>
                </c:pt>
                <c:pt idx="637">
                  <c:v>#N/A</c:v>
                </c:pt>
                <c:pt idx="638">
                  <c:v>#N/A</c:v>
                </c:pt>
                <c:pt idx="639">
                  <c:v>#N/A</c:v>
                </c:pt>
                <c:pt idx="640">
                  <c:v>#N/A</c:v>
                </c:pt>
                <c:pt idx="641">
                  <c:v>#N/A</c:v>
                </c:pt>
                <c:pt idx="642">
                  <c:v>4.7130000000000001</c:v>
                </c:pt>
                <c:pt idx="643">
                  <c:v>#N/A</c:v>
                </c:pt>
                <c:pt idx="644">
                  <c:v>#N/A</c:v>
                </c:pt>
                <c:pt idx="645">
                  <c:v>4</c:v>
                </c:pt>
                <c:pt idx="646">
                  <c:v>#N/A</c:v>
                </c:pt>
                <c:pt idx="647">
                  <c:v>#N/A</c:v>
                </c:pt>
                <c:pt idx="648">
                  <c:v>4.069</c:v>
                </c:pt>
                <c:pt idx="649">
                  <c:v>#N/A</c:v>
                </c:pt>
                <c:pt idx="650">
                  <c:v>#N/A</c:v>
                </c:pt>
                <c:pt idx="651">
                  <c:v>#N/A</c:v>
                </c:pt>
                <c:pt idx="652">
                  <c:v>#N/A</c:v>
                </c:pt>
                <c:pt idx="653">
                  <c:v>#N/A</c:v>
                </c:pt>
                <c:pt idx="654">
                  <c:v>#N/A</c:v>
                </c:pt>
                <c:pt idx="655">
                  <c:v>#N/A</c:v>
                </c:pt>
                <c:pt idx="656">
                  <c:v>#N/A</c:v>
                </c:pt>
                <c:pt idx="657">
                  <c:v>#N/A</c:v>
                </c:pt>
                <c:pt idx="658">
                  <c:v>4.2990000000000004</c:v>
                </c:pt>
                <c:pt idx="659">
                  <c:v>#N/A</c:v>
                </c:pt>
                <c:pt idx="660">
                  <c:v>4.3449999999999998</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#N/A</c:v>
                </c:pt>
                <c:pt idx="684">
                  <c:v>4.1150000000000002</c:v>
                </c:pt>
                <c:pt idx="685">
                  <c:v>#N/A</c:v>
                </c:pt>
                <c:pt idx="686">
                  <c:v>#N/A</c:v>
                </c:pt>
                <c:pt idx="687">
                  <c:v>#N/A</c:v>
                </c:pt>
                <c:pt idx="688">
                  <c:v>#N/A</c:v>
                </c:pt>
                <c:pt idx="689">
                  <c:v>4.2300000000000004</c:v>
                </c:pt>
                <c:pt idx="690">
                  <c:v>#N/A</c:v>
                </c:pt>
                <c:pt idx="691">
                  <c:v>4.2759999999999998</c:v>
                </c:pt>
                <c:pt idx="692">
                  <c:v>4.2990000000000004</c:v>
                </c:pt>
                <c:pt idx="693">
                  <c:v>4.3220000000000001</c:v>
                </c:pt>
                <c:pt idx="694">
                  <c:v>4.3449999999999998</c:v>
                </c:pt>
                <c:pt idx="695">
                  <c:v>4.3680000000000003</c:v>
                </c:pt>
                <c:pt idx="696">
                  <c:v>4.391</c:v>
                </c:pt>
                <c:pt idx="697">
                  <c:v>4.4139999999999997</c:v>
                </c:pt>
                <c:pt idx="698">
                  <c:v>4.4370000000000003</c:v>
                </c:pt>
                <c:pt idx="699">
                  <c:v>#N/A</c:v>
                </c:pt>
                <c:pt idx="700">
                  <c:v>#N/A</c:v>
                </c:pt>
                <c:pt idx="701">
                  <c:v>#N/A</c:v>
                </c:pt>
                <c:pt idx="702">
                  <c:v>#N/A</c:v>
                </c:pt>
                <c:pt idx="703">
                  <c:v>#N/A</c:v>
                </c:pt>
                <c:pt idx="704">
                  <c:v>4.5750000000000002</c:v>
                </c:pt>
                <c:pt idx="705">
                  <c:v>#N/A</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4.2990000000000004</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4.5979999999999999</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4.1150000000000002</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4.4370000000000003</c:v>
                </c:pt>
                <c:pt idx="801">
                  <c:v>4.46</c:v>
                </c:pt>
                <c:pt idx="802">
                  <c:v>#N/A</c:v>
                </c:pt>
                <c:pt idx="803">
                  <c:v>#N/A</c:v>
                </c:pt>
                <c:pt idx="804">
                  <c:v>4.5289999999999999</c:v>
                </c:pt>
                <c:pt idx="805">
                  <c:v>4.5519999999999996</c:v>
                </c:pt>
                <c:pt idx="806">
                  <c:v>#N/A</c:v>
                </c:pt>
                <c:pt idx="807">
                  <c:v>#N/A</c:v>
                </c:pt>
                <c:pt idx="808">
                  <c:v>#N/A</c:v>
                </c:pt>
                <c:pt idx="809">
                  <c:v>#N/A</c:v>
                </c:pt>
                <c:pt idx="810">
                  <c:v>#N/A</c:v>
                </c:pt>
                <c:pt idx="811">
                  <c:v>#N/A</c:v>
                </c:pt>
                <c:pt idx="812">
                  <c:v>#N/A</c:v>
                </c:pt>
                <c:pt idx="813">
                  <c:v>4.7359999999999998</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4.4139999999999997</c:v>
                </c:pt>
                <c:pt idx="834">
                  <c:v>4.4370000000000003</c:v>
                </c:pt>
                <c:pt idx="835">
                  <c:v>4.46</c:v>
                </c:pt>
                <c:pt idx="836">
                  <c:v>4.4829999999999997</c:v>
                </c:pt>
                <c:pt idx="837">
                  <c:v>4.5060000000000002</c:v>
                </c:pt>
                <c:pt idx="838">
                  <c:v>4.5289999999999999</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4.6899999999999995</c:v>
                </c:pt>
                <c:pt idx="880">
                  <c:v>#N/A</c:v>
                </c:pt>
                <c:pt idx="881">
                  <c:v>#N/A</c:v>
                </c:pt>
                <c:pt idx="882">
                  <c:v>#N/A</c:v>
                </c:pt>
                <c:pt idx="883">
                  <c:v>#N/A</c:v>
                </c:pt>
                <c:pt idx="884">
                  <c:v>4.0229999999999997</c:v>
                </c:pt>
                <c:pt idx="885">
                  <c:v>#N/A</c:v>
                </c:pt>
                <c:pt idx="886">
                  <c:v>#N/A</c:v>
                </c:pt>
                <c:pt idx="887">
                  <c:v>4.0919999999999996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4.6669999999999998</c:v>
                </c:pt>
                <c:pt idx="913">
                  <c:v>4.6899999999999995</c:v>
                </c:pt>
                <c:pt idx="914">
                  <c:v>4.7130000000000001</c:v>
                </c:pt>
                <c:pt idx="915">
                  <c:v>#N/A</c:v>
                </c:pt>
                <c:pt idx="916">
                  <c:v>#N/A</c:v>
                </c:pt>
                <c:pt idx="917">
                  <c:v>#N/A</c:v>
                </c:pt>
                <c:pt idx="918">
                  <c:v>4.0229999999999997</c:v>
                </c:pt>
                <c:pt idx="919">
                  <c:v>#N/A</c:v>
                </c:pt>
                <c:pt idx="920">
                  <c:v>#N/A</c:v>
                </c:pt>
                <c:pt idx="921">
                  <c:v>4.0919999999999996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2" totalsRowShown="0">
  <autoFilter ref="A1:J922" xr:uid="{00000000-0009-0000-0100-000001000000}"/>
  <sortState xmlns:xlrd2="http://schemas.microsoft.com/office/spreadsheetml/2017/richdata2" ref="A2:J922">
    <sortCondition ref="A910:A92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0" totalsRowShown="0">
  <autoFilter ref="A1:G1520" xr:uid="{00000000-0009-0000-0100-000002000000}"/>
  <sortState xmlns:xlrd2="http://schemas.microsoft.com/office/spreadsheetml/2017/richdata2" ref="A2:G1520">
    <sortCondition ref="B1493:B1520"/>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5" totalsRowShown="0">
  <autoFilter ref="A1:J65" xr:uid="{00000000-0009-0000-0100-000004000000}"/>
  <sortState xmlns:xlrd2="http://schemas.microsoft.com/office/spreadsheetml/2017/richdata2" ref="A2:J65">
    <sortCondition ref="A48:A65"/>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table" Target="../tables/table1.xm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table" Target="../tables/table2.xm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22" Type="http://schemas.openxmlformats.org/officeDocument/2006/relationships/hyperlink" Target="https://steamcommunity.com/app/2821800/discussions/0/4346617656894336061/" TargetMode="External"/><Relationship Id="rId364" Type="http://schemas.openxmlformats.org/officeDocument/2006/relationships/hyperlink" Target="https://www.roguebasin.com/index.php/Dragonslayer"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store.steampowered.com/app/3601130/Touhou_Crawl/" TargetMode="External"/><Relationship Id="rId571" Type="http://schemas.openxmlformats.org/officeDocument/2006/relationships/hyperlink" Target="https://youtu.be/zKQl9Xp3dxo" TargetMode="External"/><Relationship Id="rId627" Type="http://schemas.openxmlformats.org/officeDocument/2006/relationships/hyperlink" Target="https://www.emuglx.org/reportaze/interview/exclusive-switchcars-interview/" TargetMode="External"/><Relationship Id="rId669" Type="http://schemas.openxmlformats.org/officeDocument/2006/relationships/hyperlink" Target="https://tonemadison.com/articles/whisker-squadron-survivor-takes-aim-at-its-pain-points/" TargetMode="External"/><Relationship Id="rId834" Type="http://schemas.openxmlformats.org/officeDocument/2006/relationships/hyperlink" Target="https://www.gamedeveloper.com/design/road-to-the-igf-spry-fox-s-and-wild-shadow-studios-i-realm-of-the-mad-god-i-"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2"/>
  <sheetViews>
    <sheetView topLeftCell="A873" zoomScaleNormal="100" workbookViewId="0">
      <selection activeCell="A910" sqref="A910"/>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8344</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7906</v>
      </c>
      <c r="B18">
        <v>2025</v>
      </c>
      <c r="C18" t="s">
        <v>176</v>
      </c>
      <c r="D18" t="b">
        <f>TRUE()</f>
        <v>1</v>
      </c>
      <c r="E18" t="b">
        <f>COUNTIF(connections!A:A, A18) &gt; 0</f>
        <v>0</v>
      </c>
      <c r="G18" t="s">
        <v>7907</v>
      </c>
      <c r="H18" t="s">
        <v>187</v>
      </c>
      <c r="I18" t="s">
        <v>7913</v>
      </c>
      <c r="J18" s="10" t="s">
        <v>7908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8108</v>
      </c>
      <c r="B27">
        <v>2024</v>
      </c>
      <c r="C27" t="s">
        <v>222</v>
      </c>
      <c r="D27" t="b">
        <f>TRUE()</f>
        <v>1</v>
      </c>
      <c r="E27" t="b">
        <f>COUNTIF(connections!A:A, A27) &gt; 0</f>
        <v>0</v>
      </c>
      <c r="G27" t="s">
        <v>8109</v>
      </c>
      <c r="J27" s="10" t="s">
        <v>8110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8317</v>
      </c>
      <c r="J38" s="10" t="s">
        <v>8318</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8134</v>
      </c>
      <c r="J53" s="10" t="s">
        <v>8135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7944</v>
      </c>
      <c r="B65">
        <v>2026</v>
      </c>
      <c r="C65" t="s">
        <v>222</v>
      </c>
      <c r="D65" t="b">
        <f>TRUE()</f>
        <v>1</v>
      </c>
      <c r="E65" t="b">
        <f>COUNTIF(connections!A:A, A65) &gt; 0</f>
        <v>0</v>
      </c>
      <c r="G65" t="s">
        <v>7945</v>
      </c>
      <c r="H65" t="s">
        <v>187</v>
      </c>
      <c r="I65" t="s">
        <v>8133</v>
      </c>
      <c r="J65" s="10" t="s">
        <v>7946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9976</v>
      </c>
      <c r="B79">
        <v>2021</v>
      </c>
      <c r="C79" t="s">
        <v>176</v>
      </c>
      <c r="D79" t="b">
        <v>0</v>
      </c>
      <c r="E79" t="b">
        <f>COUNTIF(connections!A:A, A79) &gt; 0</f>
        <v>0</v>
      </c>
      <c r="F79" t="s">
        <v>9980</v>
      </c>
      <c r="G79" t="s">
        <v>9977</v>
      </c>
      <c r="H79" t="s">
        <v>187</v>
      </c>
      <c r="I79" t="s">
        <v>9979</v>
      </c>
      <c r="J79" s="10" t="s">
        <v>9978</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10036</v>
      </c>
      <c r="B84">
        <v>2026</v>
      </c>
      <c r="C84" t="s">
        <v>176</v>
      </c>
      <c r="D84" t="b">
        <v>1</v>
      </c>
      <c r="E84" t="b">
        <f>COUNTIF(connections!A:A, A84) &gt; 0</f>
        <v>0</v>
      </c>
      <c r="G84" t="s">
        <v>10037</v>
      </c>
      <c r="H84" t="s">
        <v>187</v>
      </c>
      <c r="I84" t="s">
        <v>10034</v>
      </c>
      <c r="J84" s="10" t="s">
        <v>10035</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7822</v>
      </c>
      <c r="B103">
        <v>2019</v>
      </c>
      <c r="C103" t="s">
        <v>179</v>
      </c>
      <c r="D103" t="b">
        <f>TRUE()</f>
        <v>1</v>
      </c>
      <c r="E103" t="b">
        <f>COUNTIF(connections!A:A, A103) &gt; 0</f>
        <v>0</v>
      </c>
      <c r="G103" t="s">
        <v>7823</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7474</v>
      </c>
    </row>
    <row r="113" spans="1:10" ht="15" customHeight="1" x14ac:dyDescent="0.25">
      <c r="A113" t="s">
        <v>536</v>
      </c>
      <c r="B113">
        <v>2013</v>
      </c>
      <c r="C113" t="s">
        <v>179</v>
      </c>
      <c r="D113" t="b">
        <f>TRUE()</f>
        <v>1</v>
      </c>
      <c r="E113" t="b">
        <f>COUNTIF(connections!A:A, A113) &gt; 0</f>
        <v>1</v>
      </c>
      <c r="F113" t="s">
        <v>458</v>
      </c>
      <c r="G113" t="s">
        <v>537</v>
      </c>
      <c r="H113" t="s">
        <v>187</v>
      </c>
      <c r="I113" t="s">
        <v>7475</v>
      </c>
    </row>
    <row r="114" spans="1:10" ht="15" customHeight="1" x14ac:dyDescent="0.25">
      <c r="A114" t="s">
        <v>538</v>
      </c>
      <c r="B114">
        <v>2025</v>
      </c>
      <c r="C114" t="s">
        <v>179</v>
      </c>
      <c r="D114" t="b">
        <f>TRUE()</f>
        <v>1</v>
      </c>
      <c r="E114" t="b">
        <f>COUNTIF(connections!A:A, A114) &gt; 0</f>
        <v>0</v>
      </c>
      <c r="F114" t="s">
        <v>458</v>
      </c>
      <c r="G114" t="s">
        <v>539</v>
      </c>
      <c r="H114" t="s">
        <v>187</v>
      </c>
      <c r="I114" t="s">
        <v>7476</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8341</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10051</v>
      </c>
      <c r="B123">
        <v>2020</v>
      </c>
      <c r="C123" t="s">
        <v>222</v>
      </c>
      <c r="D123" t="b">
        <v>0</v>
      </c>
      <c r="E123" t="b">
        <f>COUNTIF(connections!A:A, A123) &gt; 0</f>
        <v>0</v>
      </c>
      <c r="G123" t="s">
        <v>10052</v>
      </c>
      <c r="J123" s="10" t="s">
        <v>10053</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8319</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8124</v>
      </c>
      <c r="J135" s="10" t="s">
        <v>8125</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7645</v>
      </c>
      <c r="B144">
        <v>2026</v>
      </c>
      <c r="C144" t="s">
        <v>222</v>
      </c>
      <c r="D144" t="b">
        <f>TRUE()</f>
        <v>1</v>
      </c>
      <c r="E144" t="b">
        <f>COUNTIF(connections!A:A, A144) &gt; 0</f>
        <v>0</v>
      </c>
      <c r="G144" t="s">
        <v>7644</v>
      </c>
      <c r="J144" s="10" t="s">
        <v>7643</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9981</v>
      </c>
      <c r="B147">
        <v>2025</v>
      </c>
      <c r="C147" t="s">
        <v>176</v>
      </c>
      <c r="D147" t="b">
        <v>1</v>
      </c>
      <c r="E147" t="b">
        <f>COUNTIF(connections!A:A, A147) &gt; 0</f>
        <v>0</v>
      </c>
      <c r="G147" t="s">
        <v>9982</v>
      </c>
      <c r="H147" t="s">
        <v>187</v>
      </c>
      <c r="I147" t="s">
        <v>9984</v>
      </c>
      <c r="J147" s="10" t="s">
        <v>9983</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9462</v>
      </c>
      <c r="G151" t="s">
        <v>653</v>
      </c>
      <c r="H151" t="s">
        <v>187</v>
      </c>
      <c r="I151" t="s">
        <v>654</v>
      </c>
      <c r="J151" s="1" t="s">
        <v>655</v>
      </c>
    </row>
    <row r="152" spans="1:10" ht="15" customHeight="1" x14ac:dyDescent="0.25">
      <c r="A152" t="s">
        <v>10011</v>
      </c>
      <c r="B152">
        <v>2024</v>
      </c>
      <c r="C152" t="s">
        <v>222</v>
      </c>
      <c r="D152" t="b">
        <v>1</v>
      </c>
      <c r="E152" t="b">
        <f>COUNTIF(connections!A:A, A152) &gt; 0</f>
        <v>0</v>
      </c>
      <c r="F152" t="s">
        <v>10013</v>
      </c>
      <c r="G152" t="s">
        <v>10012</v>
      </c>
      <c r="H152" t="s">
        <v>187</v>
      </c>
      <c r="I152" t="s">
        <v>10017</v>
      </c>
      <c r="J152" s="10" t="s">
        <v>10014</v>
      </c>
    </row>
    <row r="153" spans="1:10" ht="15" customHeight="1" x14ac:dyDescent="0.25">
      <c r="A153" t="s">
        <v>656</v>
      </c>
      <c r="B153">
        <v>2025</v>
      </c>
      <c r="C153" t="s">
        <v>179</v>
      </c>
      <c r="D153" t="b">
        <f>TRUE()</f>
        <v>1</v>
      </c>
      <c r="E153" t="b">
        <f>COUNTIF(connections!A:A, A153) &gt; 0</f>
        <v>0</v>
      </c>
      <c r="F153" t="s">
        <v>6953</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7826</v>
      </c>
      <c r="B173">
        <v>2026</v>
      </c>
      <c r="C173" t="s">
        <v>176</v>
      </c>
      <c r="D173" t="b">
        <f>TRUE()</f>
        <v>1</v>
      </c>
      <c r="E173" t="b">
        <f>COUNTIF(connections!A:A, A173) &gt; 0</f>
        <v>0</v>
      </c>
      <c r="G173" t="s">
        <v>7827</v>
      </c>
      <c r="J173" s="10" t="s">
        <v>7828</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7947</v>
      </c>
      <c r="B197">
        <v>2026</v>
      </c>
      <c r="C197" t="s">
        <v>176</v>
      </c>
      <c r="D197" t="b">
        <f>TRUE()</f>
        <v>1</v>
      </c>
      <c r="E197" t="b">
        <f>COUNTIF(connections!A:A, A197) &gt; 0</f>
        <v>0</v>
      </c>
      <c r="F197" t="s">
        <v>617</v>
      </c>
      <c r="G197" t="s">
        <v>7948</v>
      </c>
      <c r="J197" s="10" t="s">
        <v>7949</v>
      </c>
    </row>
    <row r="198" spans="1:10" ht="15" customHeight="1" x14ac:dyDescent="0.25">
      <c r="A198" t="s">
        <v>811</v>
      </c>
      <c r="B198">
        <v>2024</v>
      </c>
      <c r="C198" t="s">
        <v>176</v>
      </c>
      <c r="D198" t="b">
        <f>TRUE()</f>
        <v>1</v>
      </c>
      <c r="E198" t="b">
        <f>COUNTIF(connections!A:A, A198) &gt; 0</f>
        <v>1</v>
      </c>
      <c r="F198" t="s">
        <v>617</v>
      </c>
      <c r="G198" t="s">
        <v>812</v>
      </c>
      <c r="H198" t="s">
        <v>187</v>
      </c>
      <c r="I198" t="s">
        <v>9962</v>
      </c>
      <c r="J198" s="10" t="s">
        <v>9963</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8390</v>
      </c>
      <c r="B208">
        <v>2018</v>
      </c>
      <c r="C208" t="s">
        <v>222</v>
      </c>
      <c r="D208" t="b">
        <v>1</v>
      </c>
      <c r="E208" t="b">
        <f>COUNTIF(connections!A:A, A208) &gt; 0</f>
        <v>1</v>
      </c>
      <c r="G208" t="s">
        <v>8392</v>
      </c>
      <c r="J208" s="10" t="s">
        <v>8391</v>
      </c>
    </row>
    <row r="209" spans="1:10" ht="15" customHeight="1" x14ac:dyDescent="0.25">
      <c r="A209" t="s">
        <v>8389</v>
      </c>
      <c r="B209">
        <v>2021</v>
      </c>
      <c r="C209" t="s">
        <v>176</v>
      </c>
      <c r="D209" t="b">
        <f>TRUE()</f>
        <v>1</v>
      </c>
      <c r="E209" t="b">
        <f>COUNTIF(connections!A:A, A209) &gt; 0</f>
        <v>1</v>
      </c>
      <c r="G209" t="s">
        <v>842</v>
      </c>
      <c r="H209" t="s">
        <v>187</v>
      </c>
      <c r="I209" t="s">
        <v>843</v>
      </c>
      <c r="J209" s="1" t="s">
        <v>844</v>
      </c>
    </row>
    <row r="210" spans="1:10" ht="15" customHeight="1" x14ac:dyDescent="0.25">
      <c r="A210" t="s">
        <v>10067</v>
      </c>
      <c r="B210">
        <v>2026</v>
      </c>
      <c r="C210" t="s">
        <v>176</v>
      </c>
      <c r="D210" t="b">
        <v>1</v>
      </c>
      <c r="E210" t="b">
        <f>COUNTIF(connections!A:A, A210) &gt; 0</f>
        <v>0</v>
      </c>
      <c r="G210" t="s">
        <v>10068</v>
      </c>
      <c r="J210" s="10" t="s">
        <v>10069</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9990</v>
      </c>
      <c r="B212">
        <v>2022</v>
      </c>
      <c r="C212" t="s">
        <v>176</v>
      </c>
      <c r="D212" t="b">
        <v>1</v>
      </c>
      <c r="E212" t="b">
        <f>COUNTIF(connections!A:A, A212) &gt; 0</f>
        <v>0</v>
      </c>
      <c r="G212" t="s">
        <v>9991</v>
      </c>
      <c r="H212" t="s">
        <v>187</v>
      </c>
      <c r="I212" t="s">
        <v>9993</v>
      </c>
      <c r="J212" s="10" t="s">
        <v>9992</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8308</v>
      </c>
      <c r="B221">
        <v>2026</v>
      </c>
      <c r="C221" t="s">
        <v>182</v>
      </c>
      <c r="D221" t="b">
        <f>TRUE()</f>
        <v>1</v>
      </c>
      <c r="E221" t="b">
        <f>COUNTIF(connections!A:A, A221) &gt; 0</f>
        <v>0</v>
      </c>
      <c r="F221" t="s">
        <v>315</v>
      </c>
      <c r="G221" t="s">
        <v>8309</v>
      </c>
      <c r="J221" s="10" t="s">
        <v>8310</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7841</v>
      </c>
      <c r="B242">
        <v>2026</v>
      </c>
      <c r="C242" t="s">
        <v>179</v>
      </c>
      <c r="D242" t="b">
        <f>TRUE()</f>
        <v>1</v>
      </c>
      <c r="E242" t="b">
        <f>COUNTIF(connections!A:A, A242) &gt; 0</f>
        <v>0</v>
      </c>
      <c r="G242" t="s">
        <v>7855</v>
      </c>
      <c r="J242" s="10" t="s">
        <v>7842</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7983</v>
      </c>
      <c r="B249">
        <v>2026</v>
      </c>
      <c r="C249" t="s">
        <v>176</v>
      </c>
      <c r="D249" t="b">
        <f>TRUE()</f>
        <v>1</v>
      </c>
      <c r="E249" t="b">
        <f>COUNTIF(connections!A:A, A249) &gt; 0</f>
        <v>0</v>
      </c>
      <c r="G249" t="s">
        <v>7984</v>
      </c>
      <c r="J249" s="10" t="s">
        <v>7985</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7866</v>
      </c>
      <c r="J261" s="10" t="s">
        <v>7867</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8320</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6953</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8321</v>
      </c>
      <c r="J294" s="10" t="s">
        <v>8322</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10048</v>
      </c>
      <c r="B307">
        <v>2025</v>
      </c>
      <c r="C307" t="s">
        <v>176</v>
      </c>
      <c r="D307" t="b">
        <v>0</v>
      </c>
      <c r="E307" t="b">
        <f>COUNTIF(connections!A:A, A307) &gt; 0</f>
        <v>0</v>
      </c>
      <c r="G307" t="s">
        <v>10049</v>
      </c>
      <c r="J307" s="10" t="s">
        <v>10050</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9956</v>
      </c>
      <c r="B312">
        <v>2018</v>
      </c>
      <c r="C312" t="s">
        <v>179</v>
      </c>
      <c r="D312" t="b">
        <v>1</v>
      </c>
      <c r="E312" t="b">
        <f>COUNTIF(connections!A:A, A312) &gt; 0</f>
        <v>0</v>
      </c>
      <c r="G312" t="s">
        <v>9955</v>
      </c>
      <c r="H312" t="s">
        <v>187</v>
      </c>
      <c r="I312" t="s">
        <v>9961</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f>FALSE()</f>
        <v>0</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7699</v>
      </c>
      <c r="B349">
        <v>2025</v>
      </c>
      <c r="C349" t="s">
        <v>176</v>
      </c>
      <c r="D349" t="b">
        <f>TRUE()</f>
        <v>1</v>
      </c>
      <c r="E349" t="b">
        <f>COUNTIF(connections!A:A, A349) &gt; 0</f>
        <v>0</v>
      </c>
      <c r="G349" t="s">
        <v>7700</v>
      </c>
      <c r="H349" t="s">
        <v>187</v>
      </c>
      <c r="I349" t="s">
        <v>7703</v>
      </c>
      <c r="J349" s="10" t="s">
        <v>7701</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8130</v>
      </c>
      <c r="J357" s="10" t="s">
        <v>8131</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7852</v>
      </c>
      <c r="B359">
        <v>2026</v>
      </c>
      <c r="C359" t="s">
        <v>182</v>
      </c>
      <c r="D359" t="b">
        <f>TRUE()</f>
        <v>1</v>
      </c>
      <c r="E359" t="b">
        <f>COUNTIF(connections!A:A, A359) &gt; 0</f>
        <v>0</v>
      </c>
      <c r="G359" t="s">
        <v>7853</v>
      </c>
      <c r="J359" s="10" t="s">
        <v>7854</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8415</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7987</v>
      </c>
      <c r="B398">
        <v>2026</v>
      </c>
      <c r="C398" t="s">
        <v>182</v>
      </c>
      <c r="D398" t="b">
        <f>TRUE()</f>
        <v>1</v>
      </c>
      <c r="E398" t="b">
        <f>COUNTIF(connections!A:A, A398) &gt; 0</f>
        <v>0</v>
      </c>
      <c r="G398" t="s">
        <v>7988</v>
      </c>
      <c r="J398" s="10" t="s">
        <v>7989</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10045</v>
      </c>
      <c r="B412">
        <v>2026</v>
      </c>
      <c r="C412" t="s">
        <v>222</v>
      </c>
      <c r="D412" t="b">
        <v>0</v>
      </c>
      <c r="E412" t="b">
        <f>COUNTIF(connections!A:A, A412) &gt; 0</f>
        <v>0</v>
      </c>
      <c r="G412" t="s">
        <v>10046</v>
      </c>
      <c r="J412" s="10" t="s">
        <v>10047</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7978</v>
      </c>
      <c r="B415">
        <v>2026</v>
      </c>
      <c r="C415" t="s">
        <v>176</v>
      </c>
      <c r="D415" t="b">
        <f>TRUE()</f>
        <v>1</v>
      </c>
      <c r="E415" t="b">
        <f>COUNTIF(connections!A:A, A415) &gt; 0</f>
        <v>0</v>
      </c>
      <c r="G415" t="s">
        <v>7979</v>
      </c>
      <c r="J415" s="10" t="s">
        <v>7980</v>
      </c>
    </row>
    <row r="416" spans="1:10" ht="15" customHeight="1" x14ac:dyDescent="0.25">
      <c r="A416" t="s">
        <v>1490</v>
      </c>
      <c r="B416">
        <v>2025</v>
      </c>
      <c r="C416" t="s">
        <v>222</v>
      </c>
      <c r="D416" t="b">
        <v>1</v>
      </c>
      <c r="E416" t="b">
        <f>COUNTIF(connections!A:A, A416) &gt; 0</f>
        <v>0</v>
      </c>
      <c r="G416" t="s">
        <v>1491</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10025</v>
      </c>
      <c r="B419">
        <v>2017</v>
      </c>
      <c r="C419" t="s">
        <v>222</v>
      </c>
      <c r="D419" t="b">
        <v>0</v>
      </c>
      <c r="E419" t="b">
        <f>COUNTIF(connections!A:A, A419) &gt; 0</f>
        <v>0</v>
      </c>
      <c r="G419" t="s">
        <v>10026</v>
      </c>
      <c r="H419" t="s">
        <v>187</v>
      </c>
      <c r="I419" t="s">
        <v>10028</v>
      </c>
      <c r="J419" s="10" t="s">
        <v>10027</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8096</v>
      </c>
      <c r="B428">
        <v>2013</v>
      </c>
      <c r="C428" t="s">
        <v>176</v>
      </c>
      <c r="D428" t="b">
        <f>TRUE()</f>
        <v>1</v>
      </c>
      <c r="E428" t="b">
        <f>COUNTIF(connections!A:A, A428) &gt; 0</f>
        <v>0</v>
      </c>
      <c r="G428" t="s">
        <v>8097</v>
      </c>
      <c r="J428" s="10" t="s">
        <v>8098</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7953</v>
      </c>
      <c r="B430">
        <v>2026</v>
      </c>
      <c r="C430" t="s">
        <v>222</v>
      </c>
      <c r="D430" t="b">
        <f>TRUE()</f>
        <v>1</v>
      </c>
      <c r="E430" t="b">
        <f>COUNTIF(connections!A:A, A430) &gt; 0</f>
        <v>0</v>
      </c>
      <c r="G430" t="s">
        <v>7954</v>
      </c>
      <c r="J430" s="10" t="s">
        <v>7955</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7991</v>
      </c>
      <c r="B434">
        <v>2026</v>
      </c>
      <c r="C434" t="s">
        <v>182</v>
      </c>
      <c r="D434" t="b">
        <f>TRUE()</f>
        <v>1</v>
      </c>
      <c r="E434" t="b">
        <f>COUNTIF(connections!A:A, A434) &gt; 0</f>
        <v>0</v>
      </c>
      <c r="G434" t="s">
        <v>7992</v>
      </c>
      <c r="J434" s="10" t="s">
        <v>7993</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9965</v>
      </c>
      <c r="J441" s="10" t="s">
        <v>9966</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9927</v>
      </c>
      <c r="B443">
        <v>2024</v>
      </c>
      <c r="C443" t="s">
        <v>222</v>
      </c>
      <c r="D443" t="b">
        <v>1</v>
      </c>
      <c r="E443" t="b">
        <f>COUNTIF(connections!A:A, A443) &gt; 0</f>
        <v>0</v>
      </c>
      <c r="G443" t="s">
        <v>9928</v>
      </c>
      <c r="J443" s="10" t="s">
        <v>9929</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7864</v>
      </c>
      <c r="J447" s="10" t="s">
        <v>7865</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9996</v>
      </c>
      <c r="B453">
        <v>2022</v>
      </c>
      <c r="C453" t="s">
        <v>176</v>
      </c>
      <c r="D453" t="b">
        <v>1</v>
      </c>
      <c r="E453" t="b">
        <f>COUNTIF(connections!A:A, A453) &gt; 0</f>
        <v>0</v>
      </c>
      <c r="G453" t="s">
        <v>9997</v>
      </c>
      <c r="H453" t="s">
        <v>187</v>
      </c>
      <c r="I453" t="s">
        <v>10001</v>
      </c>
      <c r="J453" s="10" t="s">
        <v>9998</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10092</v>
      </c>
      <c r="B497">
        <v>2026</v>
      </c>
      <c r="C497" t="s">
        <v>182</v>
      </c>
      <c r="D497" t="b">
        <v>0</v>
      </c>
      <c r="E497" t="b">
        <f>COUNTIF(connections!A:A, A497) &gt; 0</f>
        <v>0</v>
      </c>
      <c r="G497" t="s">
        <v>10093</v>
      </c>
      <c r="J497" s="10" t="s">
        <v>10094</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7815</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9987</v>
      </c>
      <c r="B554">
        <v>2021</v>
      </c>
      <c r="C554" t="s">
        <v>176</v>
      </c>
      <c r="D554" t="b">
        <v>0</v>
      </c>
      <c r="E554" t="b">
        <f>COUNTIF(connections!A:A, A554) &gt; 0</f>
        <v>0</v>
      </c>
      <c r="G554" t="s">
        <v>9988</v>
      </c>
      <c r="H554" t="s">
        <v>187</v>
      </c>
      <c r="I554" t="s">
        <v>9989</v>
      </c>
      <c r="J554" s="10" t="s">
        <v>9986</v>
      </c>
    </row>
    <row r="555" spans="1:10" ht="15" customHeight="1" x14ac:dyDescent="0.25">
      <c r="A555" t="s">
        <v>7829</v>
      </c>
      <c r="B555">
        <v>2026</v>
      </c>
      <c r="C555" t="s">
        <v>182</v>
      </c>
      <c r="D555" t="b">
        <f>TRUE()</f>
        <v>1</v>
      </c>
      <c r="E555" t="b">
        <f>COUNTIF(connections!A:A, A555) &gt; 0</f>
        <v>0</v>
      </c>
      <c r="G555" t="s">
        <v>7812</v>
      </c>
      <c r="J555" s="10" t="s">
        <v>7813</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7916</v>
      </c>
      <c r="B563">
        <v>2026</v>
      </c>
      <c r="C563" t="s">
        <v>176</v>
      </c>
      <c r="D563" t="b">
        <f>TRUE()</f>
        <v>1</v>
      </c>
      <c r="E563" t="b">
        <f>COUNTIF(connections!A:A, A563) &gt; 0</f>
        <v>0</v>
      </c>
      <c r="G563" t="s">
        <v>7917</v>
      </c>
      <c r="J563" s="10" t="s">
        <v>7918</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8114</v>
      </c>
      <c r="B570">
        <v>2026</v>
      </c>
      <c r="C570" t="s">
        <v>176</v>
      </c>
      <c r="D570" t="b">
        <f>TRUE()</f>
        <v>1</v>
      </c>
      <c r="E570" t="b">
        <f>COUNTIF(connections!A:A, A570) &gt; 0</f>
        <v>0</v>
      </c>
      <c r="F570" t="s">
        <v>1030</v>
      </c>
      <c r="G570" t="s">
        <v>8115</v>
      </c>
      <c r="J570" s="10" t="s">
        <v>8116</v>
      </c>
    </row>
    <row r="571" spans="1:10" ht="15" customHeight="1" x14ac:dyDescent="0.25">
      <c r="A571" t="s">
        <v>1951</v>
      </c>
      <c r="B571">
        <v>2022</v>
      </c>
      <c r="C571" t="s">
        <v>182</v>
      </c>
      <c r="D571" t="b">
        <f>TRUE()</f>
        <v>1</v>
      </c>
      <c r="E571" t="b">
        <f>COUNTIF(connections!A:A, A571) &gt; 0</f>
        <v>1</v>
      </c>
      <c r="F571" t="s">
        <v>354</v>
      </c>
      <c r="G571" t="s">
        <v>1952</v>
      </c>
      <c r="H571" t="s">
        <v>187</v>
      </c>
      <c r="I571" t="s">
        <v>1953</v>
      </c>
      <c r="J571" s="1" t="s">
        <v>1954</v>
      </c>
    </row>
    <row r="572" spans="1:10" ht="15" customHeight="1" x14ac:dyDescent="0.25">
      <c r="A572" t="s">
        <v>1955</v>
      </c>
      <c r="B572">
        <v>2026</v>
      </c>
      <c r="C572" t="s">
        <v>182</v>
      </c>
      <c r="D572" t="b">
        <f>TRUE()</f>
        <v>1</v>
      </c>
      <c r="E572" t="b">
        <f>COUNTIF(connections!A:A, A572) &gt; 0</f>
        <v>0</v>
      </c>
      <c r="G572" t="s">
        <v>1956</v>
      </c>
      <c r="J572" s="10" t="s">
        <v>1957</v>
      </c>
    </row>
    <row r="573" spans="1:10" ht="15" customHeight="1" x14ac:dyDescent="0.25">
      <c r="A573" t="s">
        <v>7646</v>
      </c>
      <c r="B573">
        <v>2026</v>
      </c>
      <c r="C573" t="s">
        <v>176</v>
      </c>
      <c r="D573" t="b">
        <f>TRUE()</f>
        <v>1</v>
      </c>
      <c r="E573" t="b">
        <f>COUNTIF(connections!A:A, A573) &gt; 0</f>
        <v>0</v>
      </c>
      <c r="G573" t="s">
        <v>7647</v>
      </c>
      <c r="J573" s="10" t="s">
        <v>7648</v>
      </c>
    </row>
    <row r="574" spans="1:10" ht="15" customHeight="1" x14ac:dyDescent="0.25">
      <c r="A574" t="s">
        <v>1958</v>
      </c>
      <c r="B574">
        <v>2024</v>
      </c>
      <c r="C574" t="s">
        <v>176</v>
      </c>
      <c r="D574" t="b">
        <f>TRUE()</f>
        <v>1</v>
      </c>
      <c r="E574" t="b">
        <f>COUNTIF(connections!A:A, A574) &gt; 0</f>
        <v>0</v>
      </c>
      <c r="G574" t="s">
        <v>1959</v>
      </c>
      <c r="H574" t="s">
        <v>187</v>
      </c>
      <c r="I574" t="s">
        <v>1960</v>
      </c>
      <c r="J574" s="1" t="s">
        <v>1961</v>
      </c>
    </row>
    <row r="575" spans="1:10" ht="15" customHeight="1" x14ac:dyDescent="0.25">
      <c r="A575" t="s">
        <v>1962</v>
      </c>
      <c r="B575">
        <v>2023</v>
      </c>
      <c r="C575" t="s">
        <v>176</v>
      </c>
      <c r="D575" t="b">
        <f>TRUE()</f>
        <v>1</v>
      </c>
      <c r="E575" t="b">
        <f>COUNTIF(connections!A:A, A575) &gt; 0</f>
        <v>0</v>
      </c>
      <c r="G575" t="s">
        <v>1963</v>
      </c>
      <c r="H575" t="s">
        <v>187</v>
      </c>
      <c r="I575" t="s">
        <v>1964</v>
      </c>
      <c r="J575" s="1" t="s">
        <v>1965</v>
      </c>
    </row>
    <row r="576" spans="1:10" ht="15" customHeight="1" x14ac:dyDescent="0.25">
      <c r="A576" t="s">
        <v>10029</v>
      </c>
      <c r="B576">
        <v>2025</v>
      </c>
      <c r="C576" t="s">
        <v>176</v>
      </c>
      <c r="D576" t="b">
        <v>1</v>
      </c>
      <c r="E576" t="b">
        <f>COUNTIF(connections!A:A, A576) &gt; 0</f>
        <v>0</v>
      </c>
      <c r="G576" t="s">
        <v>10031</v>
      </c>
      <c r="H576" t="s">
        <v>187</v>
      </c>
      <c r="I576" t="s">
        <v>10033</v>
      </c>
      <c r="J576" s="10" t="s">
        <v>10030</v>
      </c>
    </row>
    <row r="577" spans="1:10" ht="15" customHeight="1" x14ac:dyDescent="0.25">
      <c r="A577" t="s">
        <v>1966</v>
      </c>
      <c r="B577">
        <v>2025</v>
      </c>
      <c r="C577" t="s">
        <v>182</v>
      </c>
      <c r="D577" t="b">
        <f>TRUE()</f>
        <v>1</v>
      </c>
      <c r="E577" t="b">
        <f>COUNTIF(connections!A:A, A577) &gt; 0</f>
        <v>0</v>
      </c>
      <c r="F577" t="s">
        <v>315</v>
      </c>
      <c r="G577" t="s">
        <v>1967</v>
      </c>
      <c r="H577" t="s">
        <v>187</v>
      </c>
      <c r="I577" t="s">
        <v>1968</v>
      </c>
      <c r="J577" s="1" t="s">
        <v>1969</v>
      </c>
    </row>
    <row r="578" spans="1:10" ht="15" customHeight="1" x14ac:dyDescent="0.25">
      <c r="A578" t="s">
        <v>1970</v>
      </c>
      <c r="B578">
        <v>2012</v>
      </c>
      <c r="C578" t="s">
        <v>179</v>
      </c>
      <c r="D578" t="b">
        <f>TRUE()</f>
        <v>1</v>
      </c>
      <c r="E578" t="b">
        <f>COUNTIF(connections!A:A, A578) &gt; 0</f>
        <v>1</v>
      </c>
      <c r="G578" t="s">
        <v>1971</v>
      </c>
      <c r="H578" t="s">
        <v>187</v>
      </c>
      <c r="I578" t="s">
        <v>8323</v>
      </c>
      <c r="J578" s="10" t="s">
        <v>1972</v>
      </c>
    </row>
    <row r="579" spans="1:10" ht="15" customHeight="1" x14ac:dyDescent="0.25">
      <c r="A579" t="s">
        <v>1973</v>
      </c>
      <c r="B579">
        <v>2022</v>
      </c>
      <c r="C579" t="s">
        <v>222</v>
      </c>
      <c r="D579" t="b">
        <f>FALSE()</f>
        <v>0</v>
      </c>
      <c r="E579" t="b">
        <f>COUNTIF(connections!A:A, A579) &gt; 0</f>
        <v>0</v>
      </c>
      <c r="F579" t="s">
        <v>264</v>
      </c>
      <c r="G579" t="s">
        <v>1974</v>
      </c>
      <c r="H579" t="s">
        <v>187</v>
      </c>
      <c r="I579" t="s">
        <v>1975</v>
      </c>
      <c r="J579" s="1" t="s">
        <v>1976</v>
      </c>
    </row>
    <row r="580" spans="1:10" ht="15" customHeight="1" x14ac:dyDescent="0.25">
      <c r="A580" t="s">
        <v>1977</v>
      </c>
      <c r="B580">
        <v>2026</v>
      </c>
      <c r="C580" t="s">
        <v>182</v>
      </c>
      <c r="D580" t="b">
        <f>TRUE()</f>
        <v>1</v>
      </c>
      <c r="E580" t="b">
        <f>COUNTIF(connections!A:A, A580) &gt; 0</f>
        <v>0</v>
      </c>
      <c r="G580" t="s">
        <v>1978</v>
      </c>
      <c r="H580" t="s">
        <v>187</v>
      </c>
      <c r="I580" t="s">
        <v>8324</v>
      </c>
      <c r="J580" s="1" t="s">
        <v>1979</v>
      </c>
    </row>
    <row r="581" spans="1:10" ht="15" customHeight="1" x14ac:dyDescent="0.25">
      <c r="A581" t="s">
        <v>1980</v>
      </c>
      <c r="B581">
        <v>2021</v>
      </c>
      <c r="C581" t="s">
        <v>182</v>
      </c>
      <c r="D581" t="b">
        <f>TRUE()</f>
        <v>1</v>
      </c>
      <c r="E581" t="b">
        <f>COUNTIF(connections!A:A, A581) &gt; 0</f>
        <v>0</v>
      </c>
      <c r="F581" t="s">
        <v>354</v>
      </c>
      <c r="G581" t="s">
        <v>1981</v>
      </c>
    </row>
    <row r="582" spans="1:10" ht="15" customHeight="1" x14ac:dyDescent="0.25">
      <c r="A582" t="s">
        <v>1982</v>
      </c>
      <c r="B582">
        <v>2026</v>
      </c>
      <c r="C582" t="s">
        <v>182</v>
      </c>
      <c r="D582" t="b">
        <f>TRUE()</f>
        <v>1</v>
      </c>
      <c r="E582" t="b">
        <f>COUNTIF(connections!A:A, A582) &gt; 0</f>
        <v>0</v>
      </c>
      <c r="G582" t="s">
        <v>1983</v>
      </c>
    </row>
    <row r="583" spans="1:10" ht="15" customHeight="1" x14ac:dyDescent="0.25">
      <c r="A583" t="s">
        <v>1984</v>
      </c>
      <c r="B583">
        <v>2022</v>
      </c>
      <c r="C583" t="s">
        <v>182</v>
      </c>
      <c r="D583" t="b">
        <f>TRUE()</f>
        <v>1</v>
      </c>
      <c r="E583" t="b">
        <f>COUNTIF(connections!A:A, A583) &gt; 0</f>
        <v>0</v>
      </c>
      <c r="F583" t="s">
        <v>1985</v>
      </c>
      <c r="G583" t="s">
        <v>1986</v>
      </c>
      <c r="H583" t="s">
        <v>187</v>
      </c>
      <c r="I583" t="s">
        <v>1987</v>
      </c>
    </row>
    <row r="584" spans="1:10" ht="15" customHeight="1" x14ac:dyDescent="0.25">
      <c r="A584" t="s">
        <v>1988</v>
      </c>
      <c r="B584">
        <v>2024</v>
      </c>
      <c r="C584" t="s">
        <v>176</v>
      </c>
      <c r="D584" t="b">
        <f>FALSE()</f>
        <v>0</v>
      </c>
      <c r="E584" t="b">
        <f>COUNTIF(connections!A:A, A584) &gt; 0</f>
        <v>0</v>
      </c>
      <c r="G584" t="s">
        <v>1989</v>
      </c>
      <c r="H584" t="s">
        <v>187</v>
      </c>
      <c r="I584" t="s">
        <v>1990</v>
      </c>
      <c r="J584" s="1" t="s">
        <v>1991</v>
      </c>
    </row>
    <row r="585" spans="1:10" ht="15" customHeight="1" x14ac:dyDescent="0.25">
      <c r="A585" t="s">
        <v>1992</v>
      </c>
      <c r="B585">
        <v>2026</v>
      </c>
      <c r="C585" t="s">
        <v>222</v>
      </c>
      <c r="D585" t="b">
        <f>TRUE()</f>
        <v>1</v>
      </c>
      <c r="E585" t="b">
        <f>COUNTIF(connections!A:A, A585) &gt; 0</f>
        <v>0</v>
      </c>
      <c r="F585" t="s">
        <v>1985</v>
      </c>
      <c r="G585" t="s">
        <v>1993</v>
      </c>
      <c r="H585" t="s">
        <v>187</v>
      </c>
      <c r="I585" t="s">
        <v>1994</v>
      </c>
    </row>
    <row r="586" spans="1:10" ht="15" customHeight="1" x14ac:dyDescent="0.25">
      <c r="A586" t="s">
        <v>1995</v>
      </c>
      <c r="B586">
        <v>2021</v>
      </c>
      <c r="C586" t="s">
        <v>222</v>
      </c>
      <c r="D586" t="b">
        <f>TRUE()</f>
        <v>1</v>
      </c>
      <c r="E586" t="b">
        <f>COUNTIF(connections!A:A, A586) &gt; 0</f>
        <v>1</v>
      </c>
      <c r="F586" t="s">
        <v>1985</v>
      </c>
      <c r="G586" t="s">
        <v>1996</v>
      </c>
      <c r="H586" t="s">
        <v>187</v>
      </c>
      <c r="I586" t="s">
        <v>1997</v>
      </c>
    </row>
    <row r="587" spans="1:10" ht="15" customHeight="1" x14ac:dyDescent="0.25">
      <c r="A587" t="s">
        <v>1998</v>
      </c>
      <c r="B587">
        <v>2026</v>
      </c>
      <c r="C587" t="s">
        <v>222</v>
      </c>
      <c r="D587" t="b">
        <f>TRUE()</f>
        <v>1</v>
      </c>
      <c r="E587" t="b">
        <f>COUNTIF(connections!A:A, A587) &gt; 0</f>
        <v>0</v>
      </c>
      <c r="F587" t="s">
        <v>1985</v>
      </c>
      <c r="G587" t="s">
        <v>1999</v>
      </c>
      <c r="H587" t="s">
        <v>187</v>
      </c>
      <c r="I587" t="s">
        <v>2000</v>
      </c>
    </row>
    <row r="588" spans="1:10" ht="15" customHeight="1" x14ac:dyDescent="0.25">
      <c r="A588" t="s">
        <v>2001</v>
      </c>
      <c r="B588">
        <v>2009</v>
      </c>
      <c r="C588" t="s">
        <v>179</v>
      </c>
      <c r="D588" t="b">
        <f>TRUE()</f>
        <v>1</v>
      </c>
      <c r="E588" t="b">
        <f>COUNTIF(connections!A:A, A588) &gt; 0</f>
        <v>0</v>
      </c>
      <c r="F588" t="s">
        <v>1985</v>
      </c>
      <c r="G588" t="s">
        <v>2002</v>
      </c>
      <c r="H588" t="s">
        <v>187</v>
      </c>
      <c r="I588" t="s">
        <v>2003</v>
      </c>
    </row>
    <row r="589" spans="1:10" ht="15" customHeight="1" x14ac:dyDescent="0.25">
      <c r="A589" t="s">
        <v>2004</v>
      </c>
      <c r="B589">
        <v>2007</v>
      </c>
      <c r="C589" t="s">
        <v>179</v>
      </c>
      <c r="D589" t="b">
        <f>TRUE()</f>
        <v>1</v>
      </c>
      <c r="E589" t="b">
        <f>COUNTIF(connections!A:A, A589) &gt; 0</f>
        <v>1</v>
      </c>
      <c r="F589" t="s">
        <v>1985</v>
      </c>
      <c r="G589" t="s">
        <v>2005</v>
      </c>
      <c r="H589" t="s">
        <v>187</v>
      </c>
      <c r="I589" t="s">
        <v>2006</v>
      </c>
    </row>
    <row r="590" spans="1:10" ht="15" customHeight="1" x14ac:dyDescent="0.25">
      <c r="A590" t="s">
        <v>2007</v>
      </c>
      <c r="B590">
        <v>2012</v>
      </c>
      <c r="C590" t="s">
        <v>179</v>
      </c>
      <c r="D590" t="b">
        <f>TRUE()</f>
        <v>1</v>
      </c>
      <c r="E590" t="b">
        <f>COUNTIF(connections!A:A, A590) &gt; 0</f>
        <v>0</v>
      </c>
      <c r="F590" t="s">
        <v>1985</v>
      </c>
      <c r="G590" t="s">
        <v>2008</v>
      </c>
    </row>
    <row r="591" spans="1:10" ht="15" customHeight="1" x14ac:dyDescent="0.25">
      <c r="A591" t="s">
        <v>2009</v>
      </c>
      <c r="B591">
        <v>2005</v>
      </c>
      <c r="C591" t="s">
        <v>179</v>
      </c>
      <c r="D591" t="b">
        <f>TRUE()</f>
        <v>1</v>
      </c>
      <c r="E591" t="b">
        <f>COUNTIF(connections!A:A, A591) &gt; 0</f>
        <v>1</v>
      </c>
      <c r="F591" t="s">
        <v>1985</v>
      </c>
      <c r="G591" t="s">
        <v>2010</v>
      </c>
      <c r="H591" t="s">
        <v>187</v>
      </c>
      <c r="I591" t="s">
        <v>2011</v>
      </c>
    </row>
    <row r="592" spans="1:10" ht="15" customHeight="1" x14ac:dyDescent="0.25">
      <c r="A592" t="s">
        <v>2012</v>
      </c>
      <c r="B592">
        <v>2020</v>
      </c>
      <c r="C592" t="s">
        <v>179</v>
      </c>
      <c r="D592" t="b">
        <f>TRUE()</f>
        <v>1</v>
      </c>
      <c r="E592" t="b">
        <f>COUNTIF(connections!A:A, A592) &gt; 0</f>
        <v>0</v>
      </c>
      <c r="F592" t="s">
        <v>1985</v>
      </c>
      <c r="G592" t="s">
        <v>2013</v>
      </c>
    </row>
    <row r="593" spans="1:10" ht="15" customHeight="1" x14ac:dyDescent="0.25">
      <c r="A593" t="s">
        <v>2014</v>
      </c>
      <c r="B593">
        <v>2015</v>
      </c>
      <c r="C593" t="s">
        <v>179</v>
      </c>
      <c r="D593" t="b">
        <f>TRUE()</f>
        <v>1</v>
      </c>
      <c r="E593" t="b">
        <f>COUNTIF(connections!A:A, A593) &gt; 0</f>
        <v>0</v>
      </c>
      <c r="F593" t="s">
        <v>1985</v>
      </c>
      <c r="G593" t="s">
        <v>2015</v>
      </c>
    </row>
    <row r="594" spans="1:10" ht="15" customHeight="1" x14ac:dyDescent="0.25">
      <c r="A594" t="s">
        <v>7935</v>
      </c>
      <c r="B594">
        <v>2026</v>
      </c>
      <c r="C594" t="s">
        <v>176</v>
      </c>
      <c r="D594" t="b">
        <f>TRUE()</f>
        <v>1</v>
      </c>
      <c r="E594" t="b">
        <f>COUNTIF(connections!A:A, A594) &gt; 0</f>
        <v>0</v>
      </c>
      <c r="F594" t="s">
        <v>1985</v>
      </c>
      <c r="G594" t="s">
        <v>7936</v>
      </c>
      <c r="H594" t="s">
        <v>187</v>
      </c>
      <c r="I594" t="s">
        <v>7937</v>
      </c>
    </row>
    <row r="595" spans="1:10" ht="15" customHeight="1" x14ac:dyDescent="0.25">
      <c r="A595" t="s">
        <v>2016</v>
      </c>
      <c r="B595">
        <v>2024</v>
      </c>
      <c r="C595" t="s">
        <v>222</v>
      </c>
      <c r="D595" t="b">
        <f>TRUE()</f>
        <v>1</v>
      </c>
      <c r="E595" t="b">
        <f>COUNTIF(connections!A:A, A595) &gt; 0</f>
        <v>1</v>
      </c>
      <c r="F595" t="s">
        <v>1985</v>
      </c>
      <c r="G595" t="s">
        <v>2017</v>
      </c>
    </row>
    <row r="596" spans="1:10" ht="15" customHeight="1" x14ac:dyDescent="0.25">
      <c r="A596" t="s">
        <v>2018</v>
      </c>
      <c r="B596">
        <v>2025</v>
      </c>
      <c r="C596" t="s">
        <v>222</v>
      </c>
      <c r="D596" t="b">
        <f>TRUE()</f>
        <v>1</v>
      </c>
      <c r="E596" t="b">
        <f>COUNTIF(connections!A:A, A596) &gt; 0</f>
        <v>0</v>
      </c>
      <c r="F596" t="s">
        <v>1985</v>
      </c>
      <c r="G596" t="s">
        <v>2019</v>
      </c>
      <c r="H596" t="s">
        <v>187</v>
      </c>
      <c r="I596" t="s">
        <v>2020</v>
      </c>
    </row>
    <row r="597" spans="1:10" ht="15" customHeight="1" x14ac:dyDescent="0.25">
      <c r="A597" t="s">
        <v>2021</v>
      </c>
      <c r="B597">
        <v>2020</v>
      </c>
      <c r="C597" t="s">
        <v>222</v>
      </c>
      <c r="D597" t="b">
        <f>TRUE()</f>
        <v>1</v>
      </c>
      <c r="E597" t="b">
        <f>COUNTIF(connections!A:A, A597) &gt; 0</f>
        <v>1</v>
      </c>
      <c r="G597" t="s">
        <v>2022</v>
      </c>
    </row>
    <row r="598" spans="1:10" ht="15" customHeight="1" x14ac:dyDescent="0.25">
      <c r="A598" t="s">
        <v>2023</v>
      </c>
      <c r="B598">
        <v>2003</v>
      </c>
      <c r="C598" t="s">
        <v>179</v>
      </c>
      <c r="D598" t="b">
        <f>TRUE()</f>
        <v>1</v>
      </c>
      <c r="E598" t="b">
        <f>COUNTIF(connections!A:A, A598) &gt; 0</f>
        <v>1</v>
      </c>
      <c r="G598" t="s">
        <v>2024</v>
      </c>
      <c r="H598" t="s">
        <v>187</v>
      </c>
      <c r="I598" t="s">
        <v>2025</v>
      </c>
    </row>
    <row r="599" spans="1:10" ht="15" customHeight="1" x14ac:dyDescent="0.25">
      <c r="A599" t="s">
        <v>10057</v>
      </c>
      <c r="B599">
        <v>2026</v>
      </c>
      <c r="C599" t="s">
        <v>182</v>
      </c>
      <c r="D599" t="b">
        <v>0</v>
      </c>
      <c r="E599" t="b">
        <f>COUNTIF(connections!A:A, A599) &gt; 0</f>
        <v>0</v>
      </c>
      <c r="G599" t="s">
        <v>10058</v>
      </c>
      <c r="J599" s="10" t="s">
        <v>10059</v>
      </c>
    </row>
    <row r="600" spans="1:10" ht="15" customHeight="1" x14ac:dyDescent="0.25">
      <c r="A600" t="s">
        <v>2026</v>
      </c>
      <c r="B600">
        <v>2024</v>
      </c>
      <c r="C600" t="s">
        <v>176</v>
      </c>
      <c r="D600" t="b">
        <f>TRUE()</f>
        <v>1</v>
      </c>
      <c r="E600" t="b">
        <f>COUNTIF(connections!A:A, A600) &gt; 0</f>
        <v>0</v>
      </c>
      <c r="G600" t="s">
        <v>2027</v>
      </c>
    </row>
    <row r="601" spans="1:10" ht="15" customHeight="1" x14ac:dyDescent="0.25">
      <c r="A601" t="s">
        <v>10060</v>
      </c>
      <c r="B601">
        <v>2026</v>
      </c>
      <c r="C601" t="s">
        <v>176</v>
      </c>
      <c r="D601" t="b">
        <v>0</v>
      </c>
      <c r="E601" t="b">
        <f>COUNTIF(connections!A:A, A601) &gt; 0</f>
        <v>0</v>
      </c>
      <c r="G601" t="s">
        <v>10062</v>
      </c>
      <c r="J601" s="10" t="s">
        <v>10061</v>
      </c>
    </row>
    <row r="602" spans="1:10" ht="15" customHeight="1" x14ac:dyDescent="0.25">
      <c r="A602" t="s">
        <v>2028</v>
      </c>
      <c r="B602">
        <v>2026</v>
      </c>
      <c r="C602" t="s">
        <v>222</v>
      </c>
      <c r="D602" t="b">
        <f>TRUE()</f>
        <v>1</v>
      </c>
      <c r="E602" t="b">
        <f>COUNTIF(connections!A:A, A602) &gt; 0</f>
        <v>0</v>
      </c>
      <c r="F602" t="s">
        <v>731</v>
      </c>
      <c r="G602" t="s">
        <v>2029</v>
      </c>
      <c r="J602" s="1" t="s">
        <v>2030</v>
      </c>
    </row>
    <row r="603" spans="1:10" ht="15" customHeight="1" x14ac:dyDescent="0.25">
      <c r="A603" t="s">
        <v>2031</v>
      </c>
      <c r="B603">
        <v>2022</v>
      </c>
      <c r="C603" t="s">
        <v>176</v>
      </c>
      <c r="D603" t="b">
        <f>TRUE()</f>
        <v>1</v>
      </c>
      <c r="E603" t="b">
        <f>COUNTIF(connections!A:A, A603) &gt; 0</f>
        <v>0</v>
      </c>
      <c r="G603" t="s">
        <v>2032</v>
      </c>
      <c r="H603" t="s">
        <v>187</v>
      </c>
      <c r="I603" t="s">
        <v>2033</v>
      </c>
      <c r="J603" s="1" t="s">
        <v>2034</v>
      </c>
    </row>
    <row r="604" spans="1:10" ht="15" customHeight="1" x14ac:dyDescent="0.25">
      <c r="A604" t="s">
        <v>8102</v>
      </c>
      <c r="B604">
        <v>2024</v>
      </c>
      <c r="C604" t="s">
        <v>182</v>
      </c>
      <c r="D604" t="b">
        <f>TRUE()</f>
        <v>1</v>
      </c>
      <c r="E604" t="b">
        <f>COUNTIF(connections!A:A, A604) &gt; 0</f>
        <v>0</v>
      </c>
      <c r="G604" t="s">
        <v>8103</v>
      </c>
      <c r="J604" s="10" t="s">
        <v>8104</v>
      </c>
    </row>
    <row r="605" spans="1:10" ht="15" customHeight="1" x14ac:dyDescent="0.25">
      <c r="A605" t="s">
        <v>2035</v>
      </c>
      <c r="B605">
        <v>2023</v>
      </c>
      <c r="C605" t="s">
        <v>179</v>
      </c>
      <c r="D605" t="b">
        <f>TRUE()</f>
        <v>1</v>
      </c>
      <c r="E605" t="b">
        <f>COUNTIF(connections!A:A, A605) &gt; 0</f>
        <v>0</v>
      </c>
      <c r="G605" t="s">
        <v>2036</v>
      </c>
      <c r="H605" t="s">
        <v>187</v>
      </c>
      <c r="I605" t="s">
        <v>2037</v>
      </c>
      <c r="J605" s="1" t="s">
        <v>2038</v>
      </c>
    </row>
    <row r="606" spans="1:10" ht="15" customHeight="1" x14ac:dyDescent="0.25">
      <c r="A606" t="s">
        <v>2039</v>
      </c>
      <c r="B606">
        <v>2014</v>
      </c>
      <c r="C606" t="s">
        <v>179</v>
      </c>
      <c r="D606" t="b">
        <f>TRUE()</f>
        <v>1</v>
      </c>
      <c r="E606" t="b">
        <f>COUNTIF(connections!A:A, A606) &gt; 0</f>
        <v>0</v>
      </c>
      <c r="G606" t="s">
        <v>2040</v>
      </c>
      <c r="H606" t="s">
        <v>187</v>
      </c>
      <c r="I606" t="s">
        <v>2041</v>
      </c>
      <c r="J606" s="1" t="s">
        <v>2042</v>
      </c>
    </row>
    <row r="607" spans="1:10" ht="15" customHeight="1" x14ac:dyDescent="0.25">
      <c r="A607" t="s">
        <v>2043</v>
      </c>
      <c r="B607">
        <v>2024</v>
      </c>
      <c r="C607" t="s">
        <v>176</v>
      </c>
      <c r="D607" t="b">
        <v>1</v>
      </c>
      <c r="E607" t="b">
        <f>COUNTIF(connections!A:A, A607) &gt; 0</f>
        <v>0</v>
      </c>
      <c r="G607" t="s">
        <v>2044</v>
      </c>
      <c r="H607" t="s">
        <v>187</v>
      </c>
      <c r="I607" t="s">
        <v>7868</v>
      </c>
      <c r="J607" s="10" t="s">
        <v>7869</v>
      </c>
    </row>
    <row r="608" spans="1:10" ht="15" customHeight="1" x14ac:dyDescent="0.25">
      <c r="A608" t="s">
        <v>2045</v>
      </c>
      <c r="B608">
        <v>2026</v>
      </c>
      <c r="C608" t="s">
        <v>182</v>
      </c>
      <c r="D608" t="b">
        <f>TRUE()</f>
        <v>1</v>
      </c>
      <c r="E608" t="b">
        <f>COUNTIF(connections!A:A, A608) &gt; 0</f>
        <v>0</v>
      </c>
      <c r="F608" t="s">
        <v>354</v>
      </c>
      <c r="G608" t="s">
        <v>2046</v>
      </c>
      <c r="H608" t="s">
        <v>187</v>
      </c>
      <c r="I608" t="s">
        <v>2047</v>
      </c>
      <c r="J608" s="1" t="s">
        <v>2048</v>
      </c>
    </row>
    <row r="609" spans="1:10" ht="15" customHeight="1" x14ac:dyDescent="0.25">
      <c r="A609" t="s">
        <v>2049</v>
      </c>
      <c r="B609">
        <v>2024</v>
      </c>
      <c r="C609" t="s">
        <v>222</v>
      </c>
      <c r="D609" t="b">
        <f>TRUE()</f>
        <v>1</v>
      </c>
      <c r="E609" t="b">
        <f>COUNTIF(connections!A:A, A609) &gt; 0</f>
        <v>0</v>
      </c>
      <c r="G609" t="s">
        <v>2050</v>
      </c>
      <c r="H609" t="s">
        <v>187</v>
      </c>
      <c r="I609" t="s">
        <v>2051</v>
      </c>
      <c r="J609" s="1" t="s">
        <v>2052</v>
      </c>
    </row>
    <row r="610" spans="1:10" ht="15" customHeight="1" x14ac:dyDescent="0.25">
      <c r="A610" t="s">
        <v>2053</v>
      </c>
      <c r="B610">
        <v>1992</v>
      </c>
      <c r="C610" t="s">
        <v>179</v>
      </c>
      <c r="D610" t="b">
        <f>TRUE()</f>
        <v>1</v>
      </c>
      <c r="E610" t="b">
        <f>COUNTIF(connections!A:A, A610) &gt; 0</f>
        <v>1</v>
      </c>
      <c r="G610" t="s">
        <v>2054</v>
      </c>
      <c r="H610" t="s">
        <v>187</v>
      </c>
      <c r="I610" t="s">
        <v>2055</v>
      </c>
    </row>
    <row r="611" spans="1:10" ht="15" customHeight="1" x14ac:dyDescent="0.25">
      <c r="A611" t="s">
        <v>2056</v>
      </c>
      <c r="B611">
        <v>2024</v>
      </c>
      <c r="C611" t="s">
        <v>176</v>
      </c>
      <c r="D611" t="b">
        <f>TRUE()</f>
        <v>1</v>
      </c>
      <c r="E611" t="b">
        <f>COUNTIF(connections!A:A, A611) &gt; 0</f>
        <v>0</v>
      </c>
      <c r="G611" t="s">
        <v>2057</v>
      </c>
    </row>
    <row r="612" spans="1:10" ht="15" customHeight="1" x14ac:dyDescent="0.25">
      <c r="A612" t="s">
        <v>2058</v>
      </c>
      <c r="B612">
        <v>2015</v>
      </c>
      <c r="C612" t="s">
        <v>176</v>
      </c>
      <c r="D612" t="b">
        <f>TRUE()</f>
        <v>1</v>
      </c>
      <c r="E612" t="b">
        <f>COUNTIF(connections!A:A, A612) &gt; 0</f>
        <v>0</v>
      </c>
      <c r="G612" t="s">
        <v>2059</v>
      </c>
      <c r="J612" s="10" t="s">
        <v>2060</v>
      </c>
    </row>
    <row r="613" spans="1:10" ht="15" customHeight="1" x14ac:dyDescent="0.25">
      <c r="A613" t="s">
        <v>7920</v>
      </c>
      <c r="B613">
        <v>2026</v>
      </c>
      <c r="C613" t="s">
        <v>179</v>
      </c>
      <c r="D613" t="b">
        <f>TRUE()</f>
        <v>1</v>
      </c>
      <c r="E613" t="b">
        <f>COUNTIF(connections!A:A, A613) &gt; 0</f>
        <v>0</v>
      </c>
      <c r="G613" t="s">
        <v>7922</v>
      </c>
      <c r="J613" s="10" t="s">
        <v>7923</v>
      </c>
    </row>
    <row r="614" spans="1:10" ht="15" customHeight="1" x14ac:dyDescent="0.25">
      <c r="A614" t="s">
        <v>10054</v>
      </c>
      <c r="B614">
        <v>2025</v>
      </c>
      <c r="C614" t="s">
        <v>176</v>
      </c>
      <c r="D614" t="b">
        <v>0</v>
      </c>
      <c r="E614" t="b">
        <f>COUNTIF(connections!A:A, A614) &gt; 0</f>
        <v>0</v>
      </c>
      <c r="G614" t="s">
        <v>10055</v>
      </c>
      <c r="J614" s="10" t="s">
        <v>10056</v>
      </c>
    </row>
    <row r="615" spans="1:10" ht="15" customHeight="1" x14ac:dyDescent="0.25">
      <c r="A615" t="s">
        <v>2061</v>
      </c>
      <c r="B615">
        <v>2019</v>
      </c>
      <c r="C615" t="s">
        <v>182</v>
      </c>
      <c r="D615" t="b">
        <f>TRUE()</f>
        <v>1</v>
      </c>
      <c r="E615" t="b">
        <f>COUNTIF(connections!A:A, A615) &gt; 0</f>
        <v>0</v>
      </c>
      <c r="G615" t="s">
        <v>2062</v>
      </c>
      <c r="H615" t="s">
        <v>187</v>
      </c>
      <c r="I615" t="s">
        <v>2063</v>
      </c>
      <c r="J615" s="1" t="s">
        <v>2064</v>
      </c>
    </row>
    <row r="616" spans="1:10" ht="15" customHeight="1" x14ac:dyDescent="0.25">
      <c r="A616" t="s">
        <v>2065</v>
      </c>
      <c r="B616">
        <v>2023</v>
      </c>
      <c r="C616" t="s">
        <v>176</v>
      </c>
      <c r="D616" t="b">
        <f>TRUE()</f>
        <v>1</v>
      </c>
      <c r="E616" t="b">
        <f>COUNTIF(connections!A:A, A616) &gt; 0</f>
        <v>1</v>
      </c>
      <c r="G616" t="s">
        <v>2066</v>
      </c>
      <c r="H616" t="s">
        <v>187</v>
      </c>
      <c r="I616" t="s">
        <v>2067</v>
      </c>
      <c r="J616" s="1" t="s">
        <v>2068</v>
      </c>
    </row>
    <row r="617" spans="1:10" ht="15" customHeight="1" x14ac:dyDescent="0.25">
      <c r="A617" t="s">
        <v>2069</v>
      </c>
      <c r="B617">
        <v>2025</v>
      </c>
      <c r="C617" t="s">
        <v>176</v>
      </c>
      <c r="D617" t="b">
        <f>TRUE()</f>
        <v>1</v>
      </c>
      <c r="E617" t="b">
        <f>COUNTIF(connections!A:A, A617) &gt; 0</f>
        <v>0</v>
      </c>
      <c r="F617" t="s">
        <v>274</v>
      </c>
      <c r="G617" t="s">
        <v>2070</v>
      </c>
    </row>
    <row r="618" spans="1:10" ht="15" customHeight="1" x14ac:dyDescent="0.25">
      <c r="A618" t="s">
        <v>2071</v>
      </c>
      <c r="B618">
        <v>2024</v>
      </c>
      <c r="C618" t="s">
        <v>176</v>
      </c>
      <c r="D618" t="b">
        <f>TRUE()</f>
        <v>1</v>
      </c>
      <c r="E618" t="b">
        <f>COUNTIF(connections!A:A, A618) &gt; 0</f>
        <v>0</v>
      </c>
      <c r="G618" t="s">
        <v>2072</v>
      </c>
    </row>
    <row r="619" spans="1:10" ht="15" customHeight="1" x14ac:dyDescent="0.25">
      <c r="A619" t="s">
        <v>2073</v>
      </c>
      <c r="B619">
        <v>2010</v>
      </c>
      <c r="C619" t="s">
        <v>176</v>
      </c>
      <c r="D619" t="b">
        <f>TRUE()</f>
        <v>1</v>
      </c>
      <c r="E619" t="b">
        <f>COUNTIF(connections!A:A, A619) &gt; 0</f>
        <v>1</v>
      </c>
      <c r="G619" t="s">
        <v>2074</v>
      </c>
      <c r="H619" t="s">
        <v>187</v>
      </c>
      <c r="I619" t="s">
        <v>2075</v>
      </c>
      <c r="J619" s="1" t="s">
        <v>2076</v>
      </c>
    </row>
    <row r="620" spans="1:10" ht="15" customHeight="1" x14ac:dyDescent="0.25">
      <c r="A620" t="s">
        <v>2077</v>
      </c>
      <c r="B620">
        <v>2012</v>
      </c>
      <c r="C620" t="s">
        <v>176</v>
      </c>
      <c r="D620" t="b">
        <f>TRUE()</f>
        <v>1</v>
      </c>
      <c r="E620" t="b">
        <f>COUNTIF(connections!A:A, A620) &gt; 0</f>
        <v>0</v>
      </c>
      <c r="G620" t="s">
        <v>2078</v>
      </c>
      <c r="H620" t="s">
        <v>187</v>
      </c>
      <c r="I620" t="s">
        <v>2079</v>
      </c>
    </row>
    <row r="621" spans="1:10" ht="15" customHeight="1" x14ac:dyDescent="0.25">
      <c r="A621" t="s">
        <v>7910</v>
      </c>
      <c r="B621">
        <v>2025</v>
      </c>
      <c r="C621" t="s">
        <v>176</v>
      </c>
      <c r="D621" t="b">
        <f>TRUE()</f>
        <v>1</v>
      </c>
      <c r="E621" t="b">
        <f>COUNTIF(connections!A:A, A621) &gt; 0</f>
        <v>0</v>
      </c>
      <c r="G621" t="s">
        <v>7911</v>
      </c>
      <c r="H621" t="s">
        <v>187</v>
      </c>
      <c r="I621" t="s">
        <v>7914</v>
      </c>
      <c r="J621" s="10" t="s">
        <v>7912</v>
      </c>
    </row>
    <row r="622" spans="1:10" ht="15" customHeight="1" x14ac:dyDescent="0.25">
      <c r="A622" t="s">
        <v>2080</v>
      </c>
      <c r="B622">
        <v>2015</v>
      </c>
      <c r="C622" t="s">
        <v>222</v>
      </c>
      <c r="D622" t="b">
        <f>TRUE()</f>
        <v>1</v>
      </c>
      <c r="E622" t="b">
        <f>COUNTIF(connections!A:A, A622) &gt; 0</f>
        <v>1</v>
      </c>
      <c r="G622" t="s">
        <v>2081</v>
      </c>
      <c r="H622" t="s">
        <v>187</v>
      </c>
      <c r="I622" t="s">
        <v>2082</v>
      </c>
      <c r="J622" s="10" t="s">
        <v>2083</v>
      </c>
    </row>
    <row r="623" spans="1:10" ht="15" customHeight="1" x14ac:dyDescent="0.25">
      <c r="A623" t="s">
        <v>2084</v>
      </c>
      <c r="B623">
        <v>2022</v>
      </c>
      <c r="C623" t="s">
        <v>176</v>
      </c>
      <c r="D623" t="b">
        <f>TRUE()</f>
        <v>1</v>
      </c>
      <c r="E623" t="b">
        <f>COUNTIF(connections!A:A, A623) &gt; 0</f>
        <v>0</v>
      </c>
      <c r="G623" t="s">
        <v>2085</v>
      </c>
      <c r="H623" t="s">
        <v>187</v>
      </c>
      <c r="I623" t="s">
        <v>2086</v>
      </c>
      <c r="J623" s="1" t="s">
        <v>2087</v>
      </c>
    </row>
    <row r="624" spans="1:10" ht="15" customHeight="1" x14ac:dyDescent="0.25">
      <c r="A624" t="s">
        <v>2088</v>
      </c>
      <c r="B624">
        <v>2025</v>
      </c>
      <c r="C624" t="s">
        <v>182</v>
      </c>
      <c r="D624" t="b">
        <f>TRUE()</f>
        <v>1</v>
      </c>
      <c r="E624" t="b">
        <f>COUNTIF(connections!A:A, A624) &gt; 0</f>
        <v>0</v>
      </c>
      <c r="G624" t="s">
        <v>2089</v>
      </c>
      <c r="J624" s="10" t="s">
        <v>2090</v>
      </c>
    </row>
    <row r="625" spans="1:10" ht="15" customHeight="1" x14ac:dyDescent="0.25">
      <c r="A625" t="s">
        <v>2091</v>
      </c>
      <c r="B625">
        <v>2023</v>
      </c>
      <c r="C625" t="s">
        <v>176</v>
      </c>
      <c r="D625" t="b">
        <f>TRUE()</f>
        <v>1</v>
      </c>
      <c r="E625" t="b">
        <f>COUNTIF(connections!A:A, A625) &gt; 0</f>
        <v>0</v>
      </c>
      <c r="G625" t="s">
        <v>2092</v>
      </c>
      <c r="H625" t="s">
        <v>187</v>
      </c>
      <c r="I625" t="s">
        <v>2093</v>
      </c>
      <c r="J625" s="1" t="s">
        <v>2094</v>
      </c>
    </row>
    <row r="626" spans="1:10" ht="15" customHeight="1" x14ac:dyDescent="0.25">
      <c r="A626" t="s">
        <v>2095</v>
      </c>
      <c r="B626">
        <v>2023</v>
      </c>
      <c r="C626" t="s">
        <v>176</v>
      </c>
      <c r="D626" t="b">
        <f>TRUE()</f>
        <v>1</v>
      </c>
      <c r="E626" t="b">
        <f>COUNTIF(connections!A:A, A626) &gt; 0</f>
        <v>1</v>
      </c>
      <c r="G626" t="s">
        <v>2096</v>
      </c>
      <c r="H626" t="s">
        <v>187</v>
      </c>
      <c r="I626" t="s">
        <v>2097</v>
      </c>
      <c r="J626" s="1" t="s">
        <v>2098</v>
      </c>
    </row>
    <row r="627" spans="1:10" ht="15" customHeight="1" x14ac:dyDescent="0.25">
      <c r="A627" t="s">
        <v>2099</v>
      </c>
      <c r="B627">
        <v>2021</v>
      </c>
      <c r="C627" t="s">
        <v>176</v>
      </c>
      <c r="D627" t="b">
        <f>TRUE()</f>
        <v>1</v>
      </c>
      <c r="E627" t="b">
        <f>COUNTIF(connections!A:A, A627) &gt; 0</f>
        <v>1</v>
      </c>
      <c r="G627" t="s">
        <v>2100</v>
      </c>
      <c r="H627" t="s">
        <v>187</v>
      </c>
      <c r="I627" t="s">
        <v>2101</v>
      </c>
      <c r="J627" s="1" t="s">
        <v>2102</v>
      </c>
    </row>
    <row r="628" spans="1:10" ht="15" customHeight="1" x14ac:dyDescent="0.25">
      <c r="A628" t="s">
        <v>2103</v>
      </c>
      <c r="B628">
        <v>2025</v>
      </c>
      <c r="C628" t="s">
        <v>176</v>
      </c>
      <c r="D628" t="b">
        <f>TRUE()</f>
        <v>1</v>
      </c>
      <c r="E628" t="b">
        <f>COUNTIF(connections!A:A, A628) &gt; 0</f>
        <v>0</v>
      </c>
      <c r="F628" t="s">
        <v>399</v>
      </c>
      <c r="G628" t="s">
        <v>2104</v>
      </c>
      <c r="H628" t="s">
        <v>187</v>
      </c>
      <c r="I628" t="s">
        <v>2105</v>
      </c>
      <c r="J628" s="1" t="s">
        <v>2106</v>
      </c>
    </row>
    <row r="629" spans="1:10" ht="15" customHeight="1" x14ac:dyDescent="0.25">
      <c r="A629" t="s">
        <v>2107</v>
      </c>
      <c r="B629">
        <v>2020</v>
      </c>
      <c r="C629" t="s">
        <v>179</v>
      </c>
      <c r="D629" t="b">
        <f>TRUE()</f>
        <v>1</v>
      </c>
      <c r="E629" t="b">
        <f>COUNTIF(connections!A:A, A629) &gt; 0</f>
        <v>1</v>
      </c>
      <c r="G629" t="s">
        <v>2108</v>
      </c>
      <c r="H629" t="s">
        <v>187</v>
      </c>
      <c r="I629" t="s">
        <v>2109</v>
      </c>
      <c r="J629" s="1" t="s">
        <v>2110</v>
      </c>
    </row>
    <row r="630" spans="1:10" ht="15" customHeight="1" x14ac:dyDescent="0.25">
      <c r="A630" t="s">
        <v>2111</v>
      </c>
      <c r="B630">
        <v>2024</v>
      </c>
      <c r="C630" t="s">
        <v>179</v>
      </c>
      <c r="D630" t="b">
        <f>TRUE()</f>
        <v>1</v>
      </c>
      <c r="E630" t="b">
        <f>COUNTIF(connections!A:A, A630) &gt; 0</f>
        <v>1</v>
      </c>
      <c r="G630" t="s">
        <v>2112</v>
      </c>
      <c r="H630" t="s">
        <v>187</v>
      </c>
      <c r="I630" t="s">
        <v>2113</v>
      </c>
      <c r="J630" s="1" t="s">
        <v>2114</v>
      </c>
    </row>
    <row r="631" spans="1:10" ht="15" customHeight="1" x14ac:dyDescent="0.25">
      <c r="A631" t="s">
        <v>2115</v>
      </c>
      <c r="B631">
        <v>2026</v>
      </c>
      <c r="C631" t="s">
        <v>179</v>
      </c>
      <c r="D631" t="b">
        <f>TRUE()</f>
        <v>1</v>
      </c>
      <c r="E631" t="b">
        <f>COUNTIF(connections!A:A, A631) &gt; 0</f>
        <v>0</v>
      </c>
      <c r="G631" t="s">
        <v>2116</v>
      </c>
      <c r="J631" s="1" t="s">
        <v>2117</v>
      </c>
    </row>
    <row r="632" spans="1:10" ht="15" customHeight="1" x14ac:dyDescent="0.25">
      <c r="A632" t="s">
        <v>7925</v>
      </c>
      <c r="B632">
        <v>2026</v>
      </c>
      <c r="C632" t="s">
        <v>176</v>
      </c>
      <c r="D632" t="b">
        <f>TRUE()</f>
        <v>1</v>
      </c>
      <c r="E632" t="b">
        <f>COUNTIF(connections!A:A, A632) &gt; 0</f>
        <v>0</v>
      </c>
      <c r="G632" t="s">
        <v>7926</v>
      </c>
      <c r="J632" s="10" t="s">
        <v>7927</v>
      </c>
    </row>
    <row r="633" spans="1:10" ht="15" customHeight="1" x14ac:dyDescent="0.25">
      <c r="A633" t="s">
        <v>2118</v>
      </c>
      <c r="B633">
        <v>2022</v>
      </c>
      <c r="C633" t="s">
        <v>182</v>
      </c>
      <c r="D633" t="b">
        <f>TRUE()</f>
        <v>1</v>
      </c>
      <c r="E633" t="b">
        <f>COUNTIF(connections!A:A, A633) &gt; 0</f>
        <v>0</v>
      </c>
      <c r="G633" t="s">
        <v>2119</v>
      </c>
      <c r="H633" t="s">
        <v>187</v>
      </c>
      <c r="I633" t="s">
        <v>2120</v>
      </c>
      <c r="J633" s="1" t="s">
        <v>2121</v>
      </c>
    </row>
    <row r="634" spans="1:10" ht="15" customHeight="1" x14ac:dyDescent="0.25">
      <c r="A634" t="s">
        <v>2122</v>
      </c>
      <c r="B634">
        <v>2020</v>
      </c>
      <c r="C634" t="s">
        <v>222</v>
      </c>
      <c r="D634" t="b">
        <f>TRUE()</f>
        <v>1</v>
      </c>
      <c r="E634" t="b">
        <f>COUNTIF(connections!A:A, A634) &gt; 0</f>
        <v>1</v>
      </c>
      <c r="G634" t="s">
        <v>2123</v>
      </c>
      <c r="H634" t="s">
        <v>187</v>
      </c>
      <c r="I634" t="s">
        <v>2124</v>
      </c>
      <c r="J634" s="1" t="s">
        <v>2125</v>
      </c>
    </row>
    <row r="635" spans="1:10" ht="15" customHeight="1" x14ac:dyDescent="0.25">
      <c r="A635" t="s">
        <v>2126</v>
      </c>
      <c r="B635">
        <v>2025</v>
      </c>
      <c r="C635" t="s">
        <v>182</v>
      </c>
      <c r="D635" t="b">
        <f>FALSE()</f>
        <v>0</v>
      </c>
      <c r="E635" t="b">
        <f>COUNTIF(connections!A:A, A635) &gt; 0</f>
        <v>0</v>
      </c>
      <c r="G635" t="s">
        <v>2127</v>
      </c>
      <c r="H635" t="s">
        <v>187</v>
      </c>
      <c r="I635" t="s">
        <v>2128</v>
      </c>
      <c r="J635" s="1" t="s">
        <v>2129</v>
      </c>
    </row>
    <row r="636" spans="1:10" ht="15" customHeight="1" x14ac:dyDescent="0.25">
      <c r="A636" t="s">
        <v>2130</v>
      </c>
      <c r="B636">
        <v>2017</v>
      </c>
      <c r="C636" t="s">
        <v>176</v>
      </c>
      <c r="D636" t="b">
        <f>TRUE()</f>
        <v>1</v>
      </c>
      <c r="E636" t="b">
        <f>COUNTIF(connections!A:A, A636) &gt; 0</f>
        <v>1</v>
      </c>
      <c r="G636" t="s">
        <v>2131</v>
      </c>
    </row>
    <row r="637" spans="1:10" ht="15" customHeight="1" x14ac:dyDescent="0.25">
      <c r="A637" t="s">
        <v>2132</v>
      </c>
      <c r="B637">
        <v>2013</v>
      </c>
      <c r="C637" t="s">
        <v>176</v>
      </c>
      <c r="D637" t="b">
        <f>TRUE()</f>
        <v>1</v>
      </c>
      <c r="E637" t="b">
        <f>COUNTIF(connections!A:A, A637) &gt; 0</f>
        <v>1</v>
      </c>
      <c r="F637" t="s">
        <v>274</v>
      </c>
      <c r="G637" t="s">
        <v>2133</v>
      </c>
      <c r="H637" t="s">
        <v>187</v>
      </c>
      <c r="I637" t="s">
        <v>2134</v>
      </c>
      <c r="J637" s="1" t="s">
        <v>2135</v>
      </c>
    </row>
    <row r="638" spans="1:10" ht="15" customHeight="1" x14ac:dyDescent="0.25">
      <c r="A638" t="s">
        <v>2136</v>
      </c>
      <c r="B638">
        <v>2020</v>
      </c>
      <c r="C638" t="s">
        <v>176</v>
      </c>
      <c r="D638" t="b">
        <f>TRUE()</f>
        <v>1</v>
      </c>
      <c r="E638" t="b">
        <f>COUNTIF(connections!A:A, A638) &gt; 0</f>
        <v>1</v>
      </c>
      <c r="F638" t="s">
        <v>274</v>
      </c>
      <c r="G638" t="s">
        <v>2137</v>
      </c>
      <c r="H638" t="s">
        <v>187</v>
      </c>
      <c r="I638" t="s">
        <v>2138</v>
      </c>
      <c r="J638" s="1" t="s">
        <v>2139</v>
      </c>
    </row>
    <row r="639" spans="1:10" ht="15" customHeight="1" x14ac:dyDescent="0.25">
      <c r="A639" t="s">
        <v>2140</v>
      </c>
      <c r="B639">
        <v>2023</v>
      </c>
      <c r="C639" t="s">
        <v>176</v>
      </c>
      <c r="D639" t="b">
        <f>TRUE()</f>
        <v>1</v>
      </c>
      <c r="E639" t="b">
        <f>COUNTIF(connections!A:A, A639) &gt; 0</f>
        <v>0</v>
      </c>
      <c r="F639" t="s">
        <v>274</v>
      </c>
      <c r="G639" t="s">
        <v>2141</v>
      </c>
      <c r="H639" t="s">
        <v>187</v>
      </c>
      <c r="I639" t="s">
        <v>2142</v>
      </c>
      <c r="J639" s="1" t="s">
        <v>2143</v>
      </c>
    </row>
    <row r="640" spans="1:10" ht="15" customHeight="1" x14ac:dyDescent="0.25">
      <c r="A640" t="s">
        <v>2144</v>
      </c>
      <c r="B640">
        <v>2014</v>
      </c>
      <c r="C640" t="s">
        <v>222</v>
      </c>
      <c r="D640" t="b">
        <f>TRUE()</f>
        <v>1</v>
      </c>
      <c r="E640" t="b">
        <f>COUNTIF(connections!A:A, A640) &gt; 0</f>
        <v>0</v>
      </c>
      <c r="G640" t="s">
        <v>2145</v>
      </c>
    </row>
    <row r="641" spans="1:10" ht="15" customHeight="1" x14ac:dyDescent="0.25">
      <c r="A641" t="s">
        <v>2146</v>
      </c>
      <c r="B641">
        <v>2020</v>
      </c>
      <c r="C641" t="s">
        <v>176</v>
      </c>
      <c r="D641" t="b">
        <f>TRUE()</f>
        <v>1</v>
      </c>
      <c r="E641" t="b">
        <f>COUNTIF(connections!A:A, A641) &gt; 0</f>
        <v>1</v>
      </c>
      <c r="G641" t="s">
        <v>2147</v>
      </c>
      <c r="H641" t="s">
        <v>187</v>
      </c>
      <c r="I641" t="s">
        <v>2148</v>
      </c>
      <c r="J641" s="1" t="s">
        <v>2149</v>
      </c>
    </row>
    <row r="642" spans="1:10" ht="15" customHeight="1" x14ac:dyDescent="0.25">
      <c r="A642" t="s">
        <v>2150</v>
      </c>
      <c r="B642">
        <v>2024</v>
      </c>
      <c r="C642" t="s">
        <v>176</v>
      </c>
      <c r="D642" t="b">
        <f>TRUE()</f>
        <v>1</v>
      </c>
      <c r="E642" t="b">
        <f>COUNTIF(connections!A:A, A642) &gt; 0</f>
        <v>0</v>
      </c>
      <c r="F642" t="s">
        <v>274</v>
      </c>
      <c r="G642" t="s">
        <v>2151</v>
      </c>
      <c r="H642" t="s">
        <v>187</v>
      </c>
      <c r="I642" t="s">
        <v>2152</v>
      </c>
      <c r="J642" s="1" t="s">
        <v>2153</v>
      </c>
    </row>
    <row r="643" spans="1:10" ht="15" customHeight="1" x14ac:dyDescent="0.25">
      <c r="A643" t="s">
        <v>2154</v>
      </c>
      <c r="B643">
        <v>1980</v>
      </c>
      <c r="C643" t="s">
        <v>179</v>
      </c>
      <c r="D643" t="b">
        <f>TRUE()</f>
        <v>1</v>
      </c>
      <c r="E643" t="b">
        <f>COUNTIF(connections!A:A, A643) &gt; 0</f>
        <v>1</v>
      </c>
      <c r="G643" t="s">
        <v>2155</v>
      </c>
      <c r="H643" t="s">
        <v>187</v>
      </c>
      <c r="I643" t="s">
        <v>2156</v>
      </c>
      <c r="J643" s="1" t="s">
        <v>2157</v>
      </c>
    </row>
    <row r="644" spans="1:10" ht="15" customHeight="1" x14ac:dyDescent="0.25">
      <c r="A644" t="s">
        <v>9933</v>
      </c>
      <c r="B644">
        <v>2026</v>
      </c>
      <c r="C644" t="s">
        <v>176</v>
      </c>
      <c r="D644" t="b">
        <v>1</v>
      </c>
      <c r="E644" t="b">
        <f>COUNTIF(connections!A:A, A644) &gt; 0</f>
        <v>0</v>
      </c>
      <c r="G644" t="s">
        <v>9934</v>
      </c>
      <c r="J644" s="10" t="s">
        <v>9935</v>
      </c>
    </row>
    <row r="645" spans="1:10" ht="15" customHeight="1" x14ac:dyDescent="0.25">
      <c r="A645" t="s">
        <v>2158</v>
      </c>
      <c r="B645">
        <v>2024</v>
      </c>
      <c r="C645" t="s">
        <v>222</v>
      </c>
      <c r="D645" t="b">
        <f>TRUE()</f>
        <v>1</v>
      </c>
      <c r="E645" t="b">
        <f>COUNTIF(connections!A:A, A645) &gt; 0</f>
        <v>0</v>
      </c>
      <c r="G645" t="s">
        <v>2159</v>
      </c>
    </row>
    <row r="646" spans="1:10" ht="15" customHeight="1" x14ac:dyDescent="0.25">
      <c r="A646" t="s">
        <v>2160</v>
      </c>
      <c r="B646">
        <v>2019</v>
      </c>
      <c r="C646" t="s">
        <v>179</v>
      </c>
      <c r="D646" t="b">
        <f>TRUE()</f>
        <v>1</v>
      </c>
      <c r="E646" t="b">
        <f>COUNTIF(connections!A:A, A646) &gt; 0</f>
        <v>0</v>
      </c>
      <c r="G646" t="s">
        <v>2161</v>
      </c>
    </row>
    <row r="647" spans="1:10" ht="15" customHeight="1" x14ac:dyDescent="0.25">
      <c r="A647" t="s">
        <v>2162</v>
      </c>
      <c r="B647">
        <v>2026</v>
      </c>
      <c r="C647" t="s">
        <v>176</v>
      </c>
      <c r="D647" t="b">
        <f>TRUE()</f>
        <v>1</v>
      </c>
      <c r="E647" t="b">
        <f>COUNTIF(connections!A:A, A647) &gt; 0</f>
        <v>0</v>
      </c>
      <c r="G647" t="s">
        <v>2163</v>
      </c>
    </row>
    <row r="648" spans="1:10" ht="15" customHeight="1" x14ac:dyDescent="0.25">
      <c r="A648" t="s">
        <v>2164</v>
      </c>
      <c r="B648">
        <v>2024</v>
      </c>
      <c r="C648" t="s">
        <v>176</v>
      </c>
      <c r="D648" t="b">
        <f>FALSE()</f>
        <v>0</v>
      </c>
      <c r="E648" t="b">
        <f>COUNTIF(connections!A:A, A648) &gt; 0</f>
        <v>0</v>
      </c>
      <c r="F648" t="s">
        <v>274</v>
      </c>
      <c r="G648" t="s">
        <v>2165</v>
      </c>
    </row>
    <row r="649" spans="1:10" ht="15" customHeight="1" x14ac:dyDescent="0.25">
      <c r="A649" t="s">
        <v>2166</v>
      </c>
      <c r="B649">
        <v>2007</v>
      </c>
      <c r="C649" t="s">
        <v>179</v>
      </c>
      <c r="D649" t="b">
        <f>TRUE()</f>
        <v>1</v>
      </c>
      <c r="E649" t="b">
        <f>COUNTIF(connections!A:A, A649) &gt; 0</f>
        <v>0</v>
      </c>
      <c r="G649" t="s">
        <v>2167</v>
      </c>
      <c r="H649" t="s">
        <v>187</v>
      </c>
      <c r="I649" t="s">
        <v>2168</v>
      </c>
    </row>
    <row r="650" spans="1:10" ht="15" customHeight="1" x14ac:dyDescent="0.25">
      <c r="A650" t="s">
        <v>2169</v>
      </c>
      <c r="B650">
        <v>2021</v>
      </c>
      <c r="C650" t="s">
        <v>176</v>
      </c>
      <c r="D650" t="b">
        <f>TRUE()</f>
        <v>1</v>
      </c>
      <c r="E650" t="b">
        <f>COUNTIF(connections!A:A, A650) &gt; 0</f>
        <v>0</v>
      </c>
      <c r="G650" t="s">
        <v>2170</v>
      </c>
      <c r="H650" t="s">
        <v>187</v>
      </c>
      <c r="I650" t="s">
        <v>2171</v>
      </c>
      <c r="J650" s="1" t="s">
        <v>2172</v>
      </c>
    </row>
    <row r="651" spans="1:10" ht="15" customHeight="1" x14ac:dyDescent="0.25">
      <c r="A651" t="s">
        <v>2173</v>
      </c>
      <c r="B651">
        <v>2013</v>
      </c>
      <c r="C651" t="s">
        <v>176</v>
      </c>
      <c r="D651" t="b">
        <f>TRUE()</f>
        <v>1</v>
      </c>
      <c r="E651" t="b">
        <f>COUNTIF(connections!A:A, A651) &gt; 0</f>
        <v>1</v>
      </c>
      <c r="G651" t="s">
        <v>2174</v>
      </c>
      <c r="H651" t="s">
        <v>187</v>
      </c>
      <c r="I651" t="s">
        <v>2175</v>
      </c>
      <c r="J651" s="1" t="s">
        <v>2176</v>
      </c>
    </row>
    <row r="652" spans="1:10" ht="15" customHeight="1" x14ac:dyDescent="0.25">
      <c r="A652" t="s">
        <v>2177</v>
      </c>
      <c r="B652">
        <v>2020</v>
      </c>
      <c r="C652" t="s">
        <v>176</v>
      </c>
      <c r="D652" t="b">
        <f>TRUE()</f>
        <v>1</v>
      </c>
      <c r="E652" t="b">
        <f>COUNTIF(connections!A:A, A652) &gt; 0</f>
        <v>0</v>
      </c>
      <c r="G652" t="s">
        <v>2178</v>
      </c>
      <c r="H652" t="s">
        <v>187</v>
      </c>
      <c r="I652" t="s">
        <v>2179</v>
      </c>
      <c r="J652" s="1" t="s">
        <v>2180</v>
      </c>
    </row>
    <row r="653" spans="1:10" ht="15" customHeight="1" x14ac:dyDescent="0.25">
      <c r="A653" t="s">
        <v>2181</v>
      </c>
      <c r="B653">
        <v>2021</v>
      </c>
      <c r="C653" t="s">
        <v>222</v>
      </c>
      <c r="D653" t="b">
        <f>TRUE()</f>
        <v>1</v>
      </c>
      <c r="E653" t="b">
        <f>COUNTIF(connections!A:A, A653) &gt; 0</f>
        <v>0</v>
      </c>
      <c r="F653" t="s">
        <v>1805</v>
      </c>
      <c r="G653" t="s">
        <v>2182</v>
      </c>
      <c r="H653" t="s">
        <v>187</v>
      </c>
      <c r="I653" t="s">
        <v>2183</v>
      </c>
      <c r="J653" s="1" t="s">
        <v>2184</v>
      </c>
    </row>
    <row r="654" spans="1:10" ht="15" customHeight="1" x14ac:dyDescent="0.25">
      <c r="A654" t="s">
        <v>2185</v>
      </c>
      <c r="B654">
        <v>2022</v>
      </c>
      <c r="C654" t="s">
        <v>222</v>
      </c>
      <c r="D654" t="b">
        <f>TRUE()</f>
        <v>1</v>
      </c>
      <c r="E654" t="b">
        <f>COUNTIF(connections!A:A, A654) &gt; 0</f>
        <v>1</v>
      </c>
      <c r="F654" t="s">
        <v>404</v>
      </c>
      <c r="G654" t="s">
        <v>2186</v>
      </c>
    </row>
    <row r="655" spans="1:10" ht="15" customHeight="1" x14ac:dyDescent="0.25">
      <c r="A655" t="s">
        <v>2187</v>
      </c>
      <c r="B655">
        <v>2024</v>
      </c>
      <c r="C655" t="s">
        <v>182</v>
      </c>
      <c r="D655" t="b">
        <v>1</v>
      </c>
      <c r="E655" t="b">
        <f>COUNTIF(connections!A:A, A655) &gt; 0</f>
        <v>0</v>
      </c>
      <c r="G655" t="s">
        <v>2188</v>
      </c>
      <c r="J655" s="10" t="s">
        <v>2189</v>
      </c>
    </row>
    <row r="656" spans="1:10" ht="15" customHeight="1" x14ac:dyDescent="0.25">
      <c r="A656" t="s">
        <v>2190</v>
      </c>
      <c r="B656">
        <v>2016</v>
      </c>
      <c r="C656" t="s">
        <v>222</v>
      </c>
      <c r="D656" t="b">
        <v>1</v>
      </c>
      <c r="E656" t="b">
        <f>COUNTIF(connections!A:A, A656) &gt; 0</f>
        <v>0</v>
      </c>
      <c r="G656" t="s">
        <v>2191</v>
      </c>
    </row>
    <row r="657" spans="1:10" ht="15" customHeight="1" x14ac:dyDescent="0.25">
      <c r="A657" t="s">
        <v>2192</v>
      </c>
      <c r="B657">
        <v>2022</v>
      </c>
      <c r="C657" t="s">
        <v>176</v>
      </c>
      <c r="D657" t="b">
        <f>TRUE()</f>
        <v>1</v>
      </c>
      <c r="E657" t="b">
        <f>COUNTIF(connections!A:A, A657) &gt; 0</f>
        <v>1</v>
      </c>
      <c r="G657" t="s">
        <v>2193</v>
      </c>
      <c r="H657" t="s">
        <v>187</v>
      </c>
      <c r="I657" t="s">
        <v>2194</v>
      </c>
      <c r="J657" s="1" t="s">
        <v>2195</v>
      </c>
    </row>
    <row r="658" spans="1:10" ht="15" customHeight="1" x14ac:dyDescent="0.25">
      <c r="A658" t="s">
        <v>2196</v>
      </c>
      <c r="B658">
        <v>2021</v>
      </c>
      <c r="C658" t="s">
        <v>182</v>
      </c>
      <c r="D658" t="b">
        <f>TRUE()</f>
        <v>1</v>
      </c>
      <c r="E658" t="b">
        <f>COUNTIF(connections!A:A, A658) &gt; 0</f>
        <v>1</v>
      </c>
      <c r="G658" t="s">
        <v>2197</v>
      </c>
      <c r="H658" t="s">
        <v>187</v>
      </c>
      <c r="I658" t="s">
        <v>2198</v>
      </c>
      <c r="J658" s="1" t="s">
        <v>2199</v>
      </c>
    </row>
    <row r="659" spans="1:10" ht="15" customHeight="1" x14ac:dyDescent="0.25">
      <c r="A659" t="s">
        <v>2200</v>
      </c>
      <c r="B659">
        <v>2023</v>
      </c>
      <c r="C659" t="s">
        <v>179</v>
      </c>
      <c r="D659" t="b">
        <f>TRUE()</f>
        <v>1</v>
      </c>
      <c r="E659" t="b">
        <f>COUNTIF(connections!A:A, A659) &gt; 0</f>
        <v>0</v>
      </c>
      <c r="G659" t="s">
        <v>2201</v>
      </c>
    </row>
    <row r="660" spans="1:10" ht="15" customHeight="1" x14ac:dyDescent="0.25">
      <c r="A660" t="s">
        <v>2202</v>
      </c>
      <c r="B660">
        <v>2026</v>
      </c>
      <c r="C660" t="s">
        <v>182</v>
      </c>
      <c r="D660" t="b">
        <f>TRUE()</f>
        <v>1</v>
      </c>
      <c r="E660" t="b">
        <f>COUNTIF(connections!A:A, A660) &gt; 0</f>
        <v>0</v>
      </c>
      <c r="F660" t="s">
        <v>354</v>
      </c>
      <c r="G660" t="s">
        <v>2203</v>
      </c>
    </row>
    <row r="661" spans="1:10" ht="15" customHeight="1" x14ac:dyDescent="0.25">
      <c r="A661" t="s">
        <v>2204</v>
      </c>
      <c r="B661">
        <v>2014</v>
      </c>
      <c r="C661" t="s">
        <v>179</v>
      </c>
      <c r="D661" t="b">
        <f>TRUE()</f>
        <v>1</v>
      </c>
      <c r="E661" t="b">
        <f>COUNTIF(connections!A:A, A661) &gt; 0</f>
        <v>0</v>
      </c>
      <c r="G661" t="s">
        <v>2205</v>
      </c>
      <c r="J661" s="1" t="s">
        <v>2206</v>
      </c>
    </row>
    <row r="662" spans="1:10" ht="15" customHeight="1" x14ac:dyDescent="0.25">
      <c r="A662" t="s">
        <v>2207</v>
      </c>
      <c r="B662">
        <v>2022</v>
      </c>
      <c r="C662" t="s">
        <v>222</v>
      </c>
      <c r="D662" t="b">
        <f>FALSE()</f>
        <v>0</v>
      </c>
      <c r="E662" t="b">
        <f>COUNTIF(connections!A:A, A662) &gt; 0</f>
        <v>0</v>
      </c>
      <c r="G662" t="s">
        <v>2208</v>
      </c>
      <c r="H662" t="s">
        <v>187</v>
      </c>
      <c r="I662" t="s">
        <v>2209</v>
      </c>
      <c r="J662" s="1" t="s">
        <v>2210</v>
      </c>
    </row>
    <row r="663" spans="1:10" ht="15" customHeight="1" x14ac:dyDescent="0.25">
      <c r="A663" t="s">
        <v>2211</v>
      </c>
      <c r="B663">
        <v>2021</v>
      </c>
      <c r="C663" t="s">
        <v>222</v>
      </c>
      <c r="D663" t="b">
        <f>TRUE()</f>
        <v>1</v>
      </c>
      <c r="E663" t="b">
        <f>COUNTIF(connections!A:A, A663) &gt; 0</f>
        <v>1</v>
      </c>
      <c r="F663" t="s">
        <v>315</v>
      </c>
      <c r="G663" t="s">
        <v>2212</v>
      </c>
      <c r="H663" t="s">
        <v>187</v>
      </c>
      <c r="I663" t="s">
        <v>2213</v>
      </c>
      <c r="J663" s="1" t="s">
        <v>2214</v>
      </c>
    </row>
    <row r="664" spans="1:10" ht="15" customHeight="1" x14ac:dyDescent="0.25">
      <c r="A664" t="s">
        <v>2215</v>
      </c>
      <c r="B664">
        <v>2024</v>
      </c>
      <c r="C664" t="s">
        <v>222</v>
      </c>
      <c r="D664" t="b">
        <f>TRUE()</f>
        <v>1</v>
      </c>
      <c r="E664" t="b">
        <f>COUNTIF(connections!A:A, A664) &gt; 0</f>
        <v>0</v>
      </c>
      <c r="F664" t="s">
        <v>315</v>
      </c>
      <c r="G664" t="s">
        <v>2216</v>
      </c>
      <c r="H664" t="s">
        <v>187</v>
      </c>
      <c r="I664" t="s">
        <v>2217</v>
      </c>
      <c r="J664" s="1" t="s">
        <v>2218</v>
      </c>
    </row>
    <row r="665" spans="1:10" ht="15" customHeight="1" x14ac:dyDescent="0.25">
      <c r="A665" t="s">
        <v>2219</v>
      </c>
      <c r="B665">
        <v>2026</v>
      </c>
      <c r="C665" t="s">
        <v>182</v>
      </c>
      <c r="D665" t="b">
        <v>1</v>
      </c>
      <c r="E665" t="b">
        <f>COUNTIF(connections!A:A, A665) &gt; 0</f>
        <v>0</v>
      </c>
      <c r="G665" t="s">
        <v>2220</v>
      </c>
      <c r="J665" s="10" t="s">
        <v>2221</v>
      </c>
    </row>
    <row r="666" spans="1:10" ht="15" customHeight="1" x14ac:dyDescent="0.25">
      <c r="A666" t="s">
        <v>2222</v>
      </c>
      <c r="B666">
        <v>2025</v>
      </c>
      <c r="C666" t="s">
        <v>182</v>
      </c>
      <c r="D666" t="b">
        <f>TRUE()</f>
        <v>1</v>
      </c>
      <c r="E666" t="b">
        <f>COUNTIF(connections!A:A, A666) &gt; 0</f>
        <v>0</v>
      </c>
      <c r="F666" t="s">
        <v>354</v>
      </c>
      <c r="G666" t="s">
        <v>2223</v>
      </c>
      <c r="J666" s="10" t="s">
        <v>2224</v>
      </c>
    </row>
    <row r="667" spans="1:10" ht="15" customHeight="1" x14ac:dyDescent="0.25">
      <c r="A667" t="s">
        <v>2225</v>
      </c>
      <c r="B667">
        <v>2021</v>
      </c>
      <c r="C667" t="s">
        <v>176</v>
      </c>
      <c r="D667" t="b">
        <f>FALSE()</f>
        <v>0</v>
      </c>
      <c r="E667" t="b">
        <f>COUNTIF(connections!A:A, A667) &gt; 0</f>
        <v>1</v>
      </c>
      <c r="G667" t="s">
        <v>2226</v>
      </c>
      <c r="H667" t="s">
        <v>187</v>
      </c>
      <c r="I667" t="s">
        <v>2227</v>
      </c>
      <c r="J667" s="1" t="s">
        <v>2228</v>
      </c>
    </row>
    <row r="668" spans="1:10" ht="15" customHeight="1" x14ac:dyDescent="0.25">
      <c r="A668" t="s">
        <v>2229</v>
      </c>
      <c r="B668">
        <v>2026</v>
      </c>
      <c r="C668" t="s">
        <v>182</v>
      </c>
      <c r="D668" t="b">
        <f>TRUE()</f>
        <v>1</v>
      </c>
      <c r="E668" t="b">
        <f>COUNTIF(connections!A:A, A668) &gt; 0</f>
        <v>0</v>
      </c>
      <c r="F668" t="s">
        <v>315</v>
      </c>
      <c r="G668" t="s">
        <v>2230</v>
      </c>
      <c r="J668" s="10" t="s">
        <v>2231</v>
      </c>
    </row>
    <row r="669" spans="1:10" ht="15" customHeight="1" x14ac:dyDescent="0.25">
      <c r="A669" t="s">
        <v>2232</v>
      </c>
      <c r="B669">
        <v>2025</v>
      </c>
      <c r="C669" t="s">
        <v>182</v>
      </c>
      <c r="D669" t="b">
        <f>TRUE()</f>
        <v>1</v>
      </c>
      <c r="E669" t="b">
        <f>COUNTIF(connections!A:A, A669) &gt; 0</f>
        <v>0</v>
      </c>
      <c r="G669" t="s">
        <v>2233</v>
      </c>
      <c r="H669" t="s">
        <v>187</v>
      </c>
      <c r="I669" t="s">
        <v>2234</v>
      </c>
      <c r="J669" s="1" t="s">
        <v>2235</v>
      </c>
    </row>
    <row r="670" spans="1:10" ht="15" customHeight="1" x14ac:dyDescent="0.25">
      <c r="A670" t="s">
        <v>2236</v>
      </c>
      <c r="B670">
        <v>2026</v>
      </c>
      <c r="C670" t="s">
        <v>182</v>
      </c>
      <c r="D670" t="b">
        <f>TRUE()</f>
        <v>1</v>
      </c>
      <c r="E670" t="b">
        <f>COUNTIF(connections!A:A, A670) &gt; 0</f>
        <v>0</v>
      </c>
      <c r="G670" t="s">
        <v>2237</v>
      </c>
      <c r="J670" s="10" t="s">
        <v>2238</v>
      </c>
    </row>
    <row r="671" spans="1:10" ht="15" customHeight="1" x14ac:dyDescent="0.25">
      <c r="A671" t="s">
        <v>2239</v>
      </c>
      <c r="B671">
        <v>2023</v>
      </c>
      <c r="C671" t="s">
        <v>182</v>
      </c>
      <c r="D671" t="b">
        <f>TRUE()</f>
        <v>1</v>
      </c>
      <c r="E671" t="b">
        <f>COUNTIF(connections!A:A, A671) &gt; 0</f>
        <v>0</v>
      </c>
      <c r="G671" t="s">
        <v>2240</v>
      </c>
      <c r="J671" s="10" t="s">
        <v>2241</v>
      </c>
    </row>
    <row r="672" spans="1:10" ht="15" customHeight="1" x14ac:dyDescent="0.25">
      <c r="A672" t="s">
        <v>8371</v>
      </c>
      <c r="B672">
        <v>2022</v>
      </c>
      <c r="C672" t="s">
        <v>176</v>
      </c>
      <c r="D672" t="b">
        <f>TRUE()</f>
        <v>1</v>
      </c>
      <c r="E672" t="b">
        <f>COUNTIF(connections!A:A, A672) &gt; 0</f>
        <v>1</v>
      </c>
      <c r="G672" t="s">
        <v>8372</v>
      </c>
      <c r="H672" t="s">
        <v>187</v>
      </c>
      <c r="I672" t="s">
        <v>8414</v>
      </c>
      <c r="J672" s="10" t="s">
        <v>8373</v>
      </c>
    </row>
    <row r="673" spans="1:10" ht="15" customHeight="1" x14ac:dyDescent="0.25">
      <c r="A673" t="s">
        <v>2242</v>
      </c>
      <c r="B673">
        <v>2010</v>
      </c>
      <c r="C673" t="s">
        <v>179</v>
      </c>
      <c r="D673" t="b">
        <f>TRUE()</f>
        <v>1</v>
      </c>
      <c r="E673" t="b">
        <f>COUNTIF(connections!A:A, A673) &gt; 0</f>
        <v>0</v>
      </c>
      <c r="F673" t="s">
        <v>328</v>
      </c>
      <c r="G673" t="s">
        <v>2243</v>
      </c>
    </row>
    <row r="674" spans="1:10" ht="15" customHeight="1" x14ac:dyDescent="0.25">
      <c r="A674" t="s">
        <v>2244</v>
      </c>
      <c r="B674">
        <v>2024</v>
      </c>
      <c r="C674" t="s">
        <v>176</v>
      </c>
      <c r="D674" t="b">
        <f>TRUE()</f>
        <v>1</v>
      </c>
      <c r="E674" t="b">
        <f>COUNTIF(connections!A:A, A674) &gt; 0</f>
        <v>0</v>
      </c>
      <c r="G674" t="s">
        <v>2245</v>
      </c>
      <c r="H674" t="s">
        <v>187</v>
      </c>
      <c r="I674" t="s">
        <v>8132</v>
      </c>
      <c r="J674" s="10" t="s">
        <v>2246</v>
      </c>
    </row>
    <row r="675" spans="1:10" ht="15" customHeight="1" x14ac:dyDescent="0.25">
      <c r="A675" t="s">
        <v>10008</v>
      </c>
      <c r="B675">
        <v>2026</v>
      </c>
      <c r="C675" t="s">
        <v>176</v>
      </c>
      <c r="D675" t="b">
        <v>0</v>
      </c>
      <c r="E675" t="b">
        <f>COUNTIF(connections!A:A, A675) &gt; 0</f>
        <v>0</v>
      </c>
      <c r="G675" t="s">
        <v>10009</v>
      </c>
      <c r="J675" s="10" t="s">
        <v>10010</v>
      </c>
    </row>
    <row r="676" spans="1:10" ht="15" customHeight="1" x14ac:dyDescent="0.25">
      <c r="A676" t="s">
        <v>2247</v>
      </c>
      <c r="B676">
        <v>2022</v>
      </c>
      <c r="C676" t="s">
        <v>176</v>
      </c>
      <c r="D676" t="b">
        <f>TRUE()</f>
        <v>1</v>
      </c>
      <c r="E676" t="b">
        <f>COUNTIF(connections!A:A, A676) &gt; 0</f>
        <v>0</v>
      </c>
      <c r="G676" t="s">
        <v>2248</v>
      </c>
      <c r="H676" t="s">
        <v>187</v>
      </c>
      <c r="I676" t="s">
        <v>2249</v>
      </c>
      <c r="J676" s="1" t="s">
        <v>2250</v>
      </c>
    </row>
    <row r="677" spans="1:10" ht="15" customHeight="1" x14ac:dyDescent="0.25">
      <c r="A677" t="s">
        <v>2251</v>
      </c>
      <c r="B677">
        <v>2023</v>
      </c>
      <c r="C677" t="s">
        <v>176</v>
      </c>
      <c r="D677" t="b">
        <v>1</v>
      </c>
      <c r="E677" t="b">
        <f>COUNTIF(connections!A:A, A677) &gt; 0</f>
        <v>0</v>
      </c>
      <c r="G677" t="s">
        <v>2252</v>
      </c>
      <c r="J677" s="10" t="s">
        <v>2253</v>
      </c>
    </row>
    <row r="678" spans="1:10" ht="15" customHeight="1" x14ac:dyDescent="0.25">
      <c r="A678" t="s">
        <v>2254</v>
      </c>
      <c r="B678">
        <v>2020</v>
      </c>
      <c r="C678" t="s">
        <v>176</v>
      </c>
      <c r="D678" t="b">
        <f>TRUE()</f>
        <v>1</v>
      </c>
      <c r="E678" t="b">
        <f>COUNTIF(connections!A:A, A678) &gt; 0</f>
        <v>1</v>
      </c>
      <c r="G678" t="s">
        <v>2255</v>
      </c>
      <c r="H678" t="s">
        <v>187</v>
      </c>
      <c r="I678" t="s">
        <v>2256</v>
      </c>
      <c r="J678" s="1" t="s">
        <v>2257</v>
      </c>
    </row>
    <row r="679" spans="1:10" ht="15" customHeight="1" x14ac:dyDescent="0.25">
      <c r="A679" t="s">
        <v>2258</v>
      </c>
      <c r="B679">
        <v>2023</v>
      </c>
      <c r="C679" t="s">
        <v>176</v>
      </c>
      <c r="D679" t="b">
        <f>TRUE()</f>
        <v>1</v>
      </c>
      <c r="E679" t="b">
        <f>COUNTIF(connections!A:A, A679) &gt; 0</f>
        <v>0</v>
      </c>
      <c r="F679" t="s">
        <v>652</v>
      </c>
      <c r="G679" t="s">
        <v>2259</v>
      </c>
    </row>
    <row r="680" spans="1:10" ht="15" customHeight="1" x14ac:dyDescent="0.25">
      <c r="A680" t="s">
        <v>2260</v>
      </c>
      <c r="B680">
        <v>2023</v>
      </c>
      <c r="C680" t="s">
        <v>176</v>
      </c>
      <c r="D680" t="b">
        <f>FALSE()</f>
        <v>0</v>
      </c>
      <c r="E680" t="b">
        <f>COUNTIF(connections!A:A, A680) &gt; 0</f>
        <v>0</v>
      </c>
      <c r="G680" t="s">
        <v>2261</v>
      </c>
      <c r="H680" t="s">
        <v>187</v>
      </c>
      <c r="I680" t="s">
        <v>2262</v>
      </c>
      <c r="J680" s="1" t="s">
        <v>2263</v>
      </c>
    </row>
    <row r="681" spans="1:10" ht="15" customHeight="1" x14ac:dyDescent="0.25">
      <c r="A681" t="s">
        <v>2264</v>
      </c>
      <c r="B681">
        <v>2025</v>
      </c>
      <c r="C681" t="s">
        <v>222</v>
      </c>
      <c r="D681" t="b">
        <f>TRUE()</f>
        <v>1</v>
      </c>
      <c r="E681" t="b">
        <f>COUNTIF(connections!A:A, A681) &gt; 0</f>
        <v>0</v>
      </c>
      <c r="G681" t="s">
        <v>2265</v>
      </c>
      <c r="J681" s="1" t="s">
        <v>2266</v>
      </c>
    </row>
    <row r="682" spans="1:10" ht="15" customHeight="1" x14ac:dyDescent="0.25">
      <c r="A682" t="s">
        <v>2267</v>
      </c>
      <c r="B682">
        <v>2025</v>
      </c>
      <c r="C682" t="s">
        <v>176</v>
      </c>
      <c r="D682" t="b">
        <f>TRUE()</f>
        <v>1</v>
      </c>
      <c r="E682" t="b">
        <f>COUNTIF(connections!A:A, A682) &gt; 0</f>
        <v>0</v>
      </c>
      <c r="G682" t="s">
        <v>2268</v>
      </c>
    </row>
    <row r="683" spans="1:10" ht="15" customHeight="1" x14ac:dyDescent="0.25">
      <c r="A683" t="s">
        <v>2269</v>
      </c>
      <c r="B683">
        <v>2022</v>
      </c>
      <c r="C683" t="s">
        <v>176</v>
      </c>
      <c r="D683" t="b">
        <f>TRUE()</f>
        <v>1</v>
      </c>
      <c r="E683" t="b">
        <f>COUNTIF(connections!A:A, A683) &gt; 0</f>
        <v>1</v>
      </c>
      <c r="G683" t="s">
        <v>2270</v>
      </c>
      <c r="H683" t="s">
        <v>187</v>
      </c>
      <c r="I683" t="s">
        <v>2271</v>
      </c>
      <c r="J683" s="1" t="s">
        <v>2272</v>
      </c>
    </row>
    <row r="684" spans="1:10" ht="15" customHeight="1" x14ac:dyDescent="0.25">
      <c r="A684" t="s">
        <v>2273</v>
      </c>
      <c r="B684">
        <v>2026</v>
      </c>
      <c r="C684" t="s">
        <v>176</v>
      </c>
      <c r="D684" t="b">
        <f>TRUE()</f>
        <v>1</v>
      </c>
      <c r="E684" t="b">
        <f>COUNTIF(connections!A:A, A684) &gt; 0</f>
        <v>0</v>
      </c>
      <c r="G684" t="s">
        <v>2274</v>
      </c>
      <c r="J684" s="10" t="s">
        <v>2275</v>
      </c>
    </row>
    <row r="685" spans="1:10" ht="15" customHeight="1" x14ac:dyDescent="0.25">
      <c r="A685" t="s">
        <v>2276</v>
      </c>
      <c r="B685">
        <v>2015</v>
      </c>
      <c r="C685" t="s">
        <v>179</v>
      </c>
      <c r="D685" t="b">
        <f>TRUE()</f>
        <v>1</v>
      </c>
      <c r="E685" t="b">
        <f>COUNTIF(connections!A:A, A685) &gt; 0</f>
        <v>0</v>
      </c>
      <c r="G685" t="s">
        <v>2277</v>
      </c>
      <c r="H685" t="s">
        <v>187</v>
      </c>
      <c r="I685" t="s">
        <v>2278</v>
      </c>
    </row>
    <row r="686" spans="1:10" ht="15" customHeight="1" x14ac:dyDescent="0.25">
      <c r="A686" t="s">
        <v>2279</v>
      </c>
      <c r="B686">
        <v>2025</v>
      </c>
      <c r="C686" t="s">
        <v>222</v>
      </c>
      <c r="D686" t="b">
        <f>TRUE()</f>
        <v>1</v>
      </c>
      <c r="E686" t="b">
        <f>COUNTIF(connections!A:A, A686) &gt; 0</f>
        <v>0</v>
      </c>
      <c r="G686" t="s">
        <v>2280</v>
      </c>
    </row>
    <row r="687" spans="1:10" ht="15" customHeight="1" x14ac:dyDescent="0.25">
      <c r="A687" t="s">
        <v>2281</v>
      </c>
      <c r="B687">
        <v>2025</v>
      </c>
      <c r="C687" t="s">
        <v>176</v>
      </c>
      <c r="D687" t="b">
        <f>TRUE()</f>
        <v>1</v>
      </c>
      <c r="E687" t="b">
        <f>COUNTIF(connections!A:A, A687) &gt; 0</f>
        <v>0</v>
      </c>
      <c r="G687" t="s">
        <v>2282</v>
      </c>
      <c r="H687" t="s">
        <v>187</v>
      </c>
      <c r="I687" t="s">
        <v>8342</v>
      </c>
      <c r="J687" s="10" t="s">
        <v>8343</v>
      </c>
    </row>
    <row r="688" spans="1:10" ht="15" customHeight="1" x14ac:dyDescent="0.25">
      <c r="A688" t="s">
        <v>2283</v>
      </c>
      <c r="B688">
        <v>2023</v>
      </c>
      <c r="C688" t="s">
        <v>176</v>
      </c>
      <c r="D688" t="b">
        <f>TRUE()</f>
        <v>1</v>
      </c>
      <c r="E688" t="b">
        <f>COUNTIF(connections!A:A, A688) &gt; 0</f>
        <v>0</v>
      </c>
      <c r="G688" t="s">
        <v>2284</v>
      </c>
      <c r="J688" s="10" t="s">
        <v>2285</v>
      </c>
    </row>
    <row r="689" spans="1:10" ht="15" customHeight="1" x14ac:dyDescent="0.25">
      <c r="A689" t="s">
        <v>7933</v>
      </c>
      <c r="B689">
        <v>2025</v>
      </c>
      <c r="C689" t="s">
        <v>176</v>
      </c>
      <c r="D689" t="b">
        <f>TRUE()</f>
        <v>1</v>
      </c>
      <c r="E689" t="b">
        <f>COUNTIF(connections!A:A, A689) &gt; 0</f>
        <v>0</v>
      </c>
      <c r="G689" t="s">
        <v>7934</v>
      </c>
      <c r="J689" s="10" t="s">
        <v>7932</v>
      </c>
    </row>
    <row r="690" spans="1:10" ht="15" customHeight="1" x14ac:dyDescent="0.25">
      <c r="A690" t="s">
        <v>2286</v>
      </c>
      <c r="B690">
        <v>2014</v>
      </c>
      <c r="C690" t="s">
        <v>179</v>
      </c>
      <c r="D690" t="b">
        <f>TRUE()</f>
        <v>1</v>
      </c>
      <c r="E690" t="b">
        <f>COUNTIF(connections!A:A, A690) &gt; 0</f>
        <v>1</v>
      </c>
      <c r="G690" t="s">
        <v>2287</v>
      </c>
    </row>
    <row r="691" spans="1:10" ht="15" customHeight="1" x14ac:dyDescent="0.25">
      <c r="A691" t="s">
        <v>2288</v>
      </c>
      <c r="B691">
        <v>2022</v>
      </c>
      <c r="C691" t="s">
        <v>176</v>
      </c>
      <c r="D691" t="b">
        <f>TRUE()</f>
        <v>1</v>
      </c>
      <c r="E691" t="b">
        <f>COUNTIF(connections!A:A, A691) &gt; 0</f>
        <v>0</v>
      </c>
      <c r="F691" t="s">
        <v>652</v>
      </c>
      <c r="G691" t="s">
        <v>2289</v>
      </c>
      <c r="H691" t="s">
        <v>187</v>
      </c>
      <c r="I691" t="s">
        <v>2290</v>
      </c>
      <c r="J691" s="1" t="s">
        <v>2291</v>
      </c>
    </row>
    <row r="692" spans="1:10" ht="15" customHeight="1" x14ac:dyDescent="0.25">
      <c r="A692" t="s">
        <v>2292</v>
      </c>
      <c r="B692">
        <v>2008</v>
      </c>
      <c r="C692" t="s">
        <v>179</v>
      </c>
      <c r="D692" t="b">
        <f>TRUE()</f>
        <v>1</v>
      </c>
      <c r="E692" t="b">
        <f>COUNTIF(connections!A:A, A692) &gt; 0</f>
        <v>1</v>
      </c>
      <c r="G692" t="s">
        <v>2293</v>
      </c>
      <c r="H692" t="s">
        <v>187</v>
      </c>
      <c r="I692" t="s">
        <v>2294</v>
      </c>
    </row>
    <row r="693" spans="1:10" ht="15" customHeight="1" x14ac:dyDescent="0.25">
      <c r="A693" t="s">
        <v>2295</v>
      </c>
      <c r="B693">
        <v>2000</v>
      </c>
      <c r="C693" t="s">
        <v>179</v>
      </c>
      <c r="D693" t="b">
        <f>TRUE()</f>
        <v>1</v>
      </c>
      <c r="E693" t="b">
        <f>COUNTIF(connections!A:A, A693) &gt; 0</f>
        <v>1</v>
      </c>
      <c r="G693" t="s">
        <v>2296</v>
      </c>
      <c r="H693" t="s">
        <v>187</v>
      </c>
      <c r="I693" t="s">
        <v>2297</v>
      </c>
    </row>
    <row r="694" spans="1:10" ht="15" customHeight="1" x14ac:dyDescent="0.25">
      <c r="A694" t="s">
        <v>2298</v>
      </c>
      <c r="B694">
        <v>2010</v>
      </c>
      <c r="C694" t="s">
        <v>179</v>
      </c>
      <c r="D694" t="b">
        <f>TRUE()</f>
        <v>1</v>
      </c>
      <c r="E694" t="b">
        <f>COUNTIF(connections!A:A, A694) &gt; 0</f>
        <v>1</v>
      </c>
      <c r="G694" t="s">
        <v>2299</v>
      </c>
      <c r="H694" t="s">
        <v>187</v>
      </c>
      <c r="I694" t="s">
        <v>2300</v>
      </c>
    </row>
    <row r="695" spans="1:10" ht="15" customHeight="1" x14ac:dyDescent="0.25">
      <c r="A695" t="s">
        <v>2301</v>
      </c>
      <c r="B695">
        <v>2002</v>
      </c>
      <c r="C695" t="s">
        <v>179</v>
      </c>
      <c r="D695" t="b">
        <f>TRUE()</f>
        <v>1</v>
      </c>
      <c r="E695" t="b">
        <f>COUNTIF(connections!A:A, A695) &gt; 0</f>
        <v>0</v>
      </c>
      <c r="G695" t="s">
        <v>2302</v>
      </c>
      <c r="H695" t="s">
        <v>187</v>
      </c>
      <c r="I695" t="s">
        <v>2303</v>
      </c>
    </row>
    <row r="696" spans="1:10" ht="15" customHeight="1" x14ac:dyDescent="0.25">
      <c r="A696" t="s">
        <v>2304</v>
      </c>
      <c r="B696">
        <v>1996</v>
      </c>
      <c r="C696" t="s">
        <v>179</v>
      </c>
      <c r="D696" t="b">
        <f>TRUE()</f>
        <v>1</v>
      </c>
      <c r="E696" t="b">
        <f>COUNTIF(connections!A:A, A696) &gt; 0</f>
        <v>1</v>
      </c>
      <c r="G696" t="s">
        <v>2305</v>
      </c>
      <c r="H696" t="s">
        <v>187</v>
      </c>
      <c r="I696" t="s">
        <v>2306</v>
      </c>
    </row>
    <row r="697" spans="1:10" ht="15" customHeight="1" x14ac:dyDescent="0.25">
      <c r="A697" t="s">
        <v>2307</v>
      </c>
      <c r="B697">
        <v>2001</v>
      </c>
      <c r="C697" t="s">
        <v>179</v>
      </c>
      <c r="D697" t="b">
        <f>TRUE()</f>
        <v>1</v>
      </c>
      <c r="E697" t="b">
        <f>COUNTIF(connections!A:A, A697) &gt; 0</f>
        <v>0</v>
      </c>
      <c r="G697" t="s">
        <v>2308</v>
      </c>
      <c r="H697" t="s">
        <v>187</v>
      </c>
      <c r="I697" t="s">
        <v>2309</v>
      </c>
    </row>
    <row r="698" spans="1:10" ht="15" customHeight="1" x14ac:dyDescent="0.25">
      <c r="A698" t="s">
        <v>2310</v>
      </c>
      <c r="B698">
        <v>2024</v>
      </c>
      <c r="C698" t="s">
        <v>179</v>
      </c>
      <c r="D698" t="b">
        <f>TRUE()</f>
        <v>1</v>
      </c>
      <c r="E698" t="b">
        <f>COUNTIF(connections!A:A, A698) &gt; 0</f>
        <v>0</v>
      </c>
      <c r="G698" t="s">
        <v>2311</v>
      </c>
      <c r="H698" t="s">
        <v>187</v>
      </c>
      <c r="I698" t="s">
        <v>2312</v>
      </c>
      <c r="J698" s="1" t="s">
        <v>2313</v>
      </c>
    </row>
    <row r="699" spans="1:10" ht="15" customHeight="1" x14ac:dyDescent="0.25">
      <c r="A699" t="s">
        <v>2314</v>
      </c>
      <c r="B699">
        <v>2010</v>
      </c>
      <c r="C699" t="s">
        <v>179</v>
      </c>
      <c r="D699" t="b">
        <f>TRUE()</f>
        <v>1</v>
      </c>
      <c r="E699" t="b">
        <f>COUNTIF(connections!A:A, A699) &gt; 0</f>
        <v>1</v>
      </c>
      <c r="G699" t="s">
        <v>2315</v>
      </c>
      <c r="H699" t="s">
        <v>187</v>
      </c>
      <c r="I699" t="s">
        <v>2316</v>
      </c>
      <c r="J699" s="1" t="s">
        <v>2317</v>
      </c>
    </row>
    <row r="700" spans="1:10" ht="15" customHeight="1" x14ac:dyDescent="0.25">
      <c r="A700" t="s">
        <v>2318</v>
      </c>
      <c r="B700">
        <v>2023</v>
      </c>
      <c r="C700" t="s">
        <v>222</v>
      </c>
      <c r="D700" t="b">
        <f>TRUE()</f>
        <v>1</v>
      </c>
      <c r="E700" t="b">
        <f>COUNTIF(connections!A:A, A700) &gt; 0</f>
        <v>1</v>
      </c>
      <c r="G700" t="s">
        <v>2319</v>
      </c>
      <c r="H700" t="s">
        <v>187</v>
      </c>
      <c r="I700" t="s">
        <v>2320</v>
      </c>
      <c r="J700" s="1" t="s">
        <v>2321</v>
      </c>
    </row>
    <row r="701" spans="1:10" ht="15" customHeight="1" x14ac:dyDescent="0.25">
      <c r="A701" t="s">
        <v>2322</v>
      </c>
      <c r="B701">
        <v>2010</v>
      </c>
      <c r="C701" t="s">
        <v>176</v>
      </c>
      <c r="D701" t="b">
        <f>TRUE()</f>
        <v>1</v>
      </c>
      <c r="E701" t="b">
        <f>COUNTIF(connections!A:A, A701) &gt; 0</f>
        <v>1</v>
      </c>
      <c r="G701" t="s">
        <v>2323</v>
      </c>
    </row>
    <row r="702" spans="1:10" ht="15" customHeight="1" x14ac:dyDescent="0.25">
      <c r="A702" t="s">
        <v>2324</v>
      </c>
      <c r="B702">
        <v>2022</v>
      </c>
      <c r="C702" t="s">
        <v>222</v>
      </c>
      <c r="D702" t="b">
        <f>TRUE()</f>
        <v>1</v>
      </c>
      <c r="E702" t="b">
        <f>COUNTIF(connections!A:A, A702) &gt; 0</f>
        <v>1</v>
      </c>
      <c r="F702" t="s">
        <v>1164</v>
      </c>
      <c r="G702" t="s">
        <v>2325</v>
      </c>
      <c r="H702" t="s">
        <v>187</v>
      </c>
      <c r="I702" t="s">
        <v>2326</v>
      </c>
      <c r="J702" s="1" t="s">
        <v>2327</v>
      </c>
    </row>
    <row r="703" spans="1:10" ht="15" customHeight="1" x14ac:dyDescent="0.25">
      <c r="A703" t="s">
        <v>2328</v>
      </c>
      <c r="B703">
        <v>2022</v>
      </c>
      <c r="C703" t="s">
        <v>176</v>
      </c>
      <c r="D703" t="b">
        <f>TRUE()</f>
        <v>1</v>
      </c>
      <c r="E703" t="b">
        <f>COUNTIF(connections!A:A, A703) &gt; 0</f>
        <v>0</v>
      </c>
      <c r="F703" t="s">
        <v>1030</v>
      </c>
      <c r="G703" t="s">
        <v>2329</v>
      </c>
    </row>
    <row r="704" spans="1:10" ht="15" customHeight="1" x14ac:dyDescent="0.25">
      <c r="A704" t="s">
        <v>7940</v>
      </c>
      <c r="B704">
        <v>2026</v>
      </c>
      <c r="C704" t="s">
        <v>182</v>
      </c>
      <c r="D704" t="b">
        <f>TRUE()</f>
        <v>1</v>
      </c>
      <c r="E704" t="b">
        <f>COUNTIF(connections!A:A, A704) &gt; 0</f>
        <v>0</v>
      </c>
      <c r="G704" t="s">
        <v>7941</v>
      </c>
      <c r="J704" s="10" t="s">
        <v>7942</v>
      </c>
    </row>
    <row r="705" spans="1:10" ht="15" customHeight="1" x14ac:dyDescent="0.25">
      <c r="A705" t="s">
        <v>2330</v>
      </c>
      <c r="B705">
        <v>2012</v>
      </c>
      <c r="C705" t="s">
        <v>179</v>
      </c>
      <c r="D705" t="b">
        <f>TRUE()</f>
        <v>1</v>
      </c>
      <c r="E705" t="b">
        <f>COUNTIF(connections!A:A, A705) &gt; 0</f>
        <v>0</v>
      </c>
      <c r="G705" t="s">
        <v>2331</v>
      </c>
    </row>
    <row r="706" spans="1:10" ht="15" customHeight="1" x14ac:dyDescent="0.25">
      <c r="A706" t="s">
        <v>2332</v>
      </c>
      <c r="B706">
        <v>2026</v>
      </c>
      <c r="C706" t="s">
        <v>222</v>
      </c>
      <c r="D706" t="b">
        <f>TRUE()</f>
        <v>1</v>
      </c>
      <c r="E706" t="b">
        <f>COUNTIF(connections!A:A, A706) &gt; 0</f>
        <v>0</v>
      </c>
      <c r="G706" t="s">
        <v>2333</v>
      </c>
      <c r="J706" s="10" t="s">
        <v>2334</v>
      </c>
    </row>
    <row r="707" spans="1:10" ht="15" customHeight="1" x14ac:dyDescent="0.25">
      <c r="A707" t="s">
        <v>2335</v>
      </c>
      <c r="B707">
        <v>2020</v>
      </c>
      <c r="C707" t="s">
        <v>176</v>
      </c>
      <c r="D707" t="b">
        <f>TRUE()</f>
        <v>1</v>
      </c>
      <c r="E707" t="b">
        <f>COUNTIF(connections!A:A, A707) &gt; 0</f>
        <v>1</v>
      </c>
      <c r="G707" t="s">
        <v>2336</v>
      </c>
      <c r="H707" t="s">
        <v>187</v>
      </c>
      <c r="I707" t="s">
        <v>2337</v>
      </c>
      <c r="J707" s="1" t="s">
        <v>2338</v>
      </c>
    </row>
    <row r="708" spans="1:10" ht="15" customHeight="1" x14ac:dyDescent="0.25">
      <c r="A708" t="s">
        <v>2339</v>
      </c>
      <c r="B708">
        <v>2026</v>
      </c>
      <c r="C708" t="s">
        <v>176</v>
      </c>
      <c r="D708" t="b">
        <f>TRUE()</f>
        <v>1</v>
      </c>
      <c r="E708" t="b">
        <f>COUNTIF(connections!A:A, A708) &gt; 0</f>
        <v>0</v>
      </c>
      <c r="G708" t="s">
        <v>2340</v>
      </c>
      <c r="H708" t="s">
        <v>187</v>
      </c>
      <c r="I708" t="s">
        <v>8339</v>
      </c>
      <c r="J708" s="10" t="s">
        <v>8340</v>
      </c>
    </row>
    <row r="709" spans="1:10" ht="15" customHeight="1" x14ac:dyDescent="0.25">
      <c r="A709" t="s">
        <v>2341</v>
      </c>
      <c r="B709">
        <v>2014</v>
      </c>
      <c r="C709" t="s">
        <v>176</v>
      </c>
      <c r="D709" t="b">
        <f>TRUE()</f>
        <v>1</v>
      </c>
      <c r="E709" t="b">
        <f>COUNTIF(connections!A:A, A709) &gt; 0</f>
        <v>0</v>
      </c>
      <c r="G709" t="s">
        <v>2342</v>
      </c>
      <c r="H709" t="s">
        <v>187</v>
      </c>
      <c r="I709" t="s">
        <v>8325</v>
      </c>
      <c r="J709" s="10" t="s">
        <v>2343</v>
      </c>
    </row>
    <row r="710" spans="1:10" ht="15" customHeight="1" x14ac:dyDescent="0.25">
      <c r="A710" t="s">
        <v>2344</v>
      </c>
      <c r="B710">
        <v>2024</v>
      </c>
      <c r="C710" t="s">
        <v>182</v>
      </c>
      <c r="D710" t="b">
        <f>TRUE()</f>
        <v>1</v>
      </c>
      <c r="E710" t="b">
        <f>COUNTIF(connections!A:A, A710) &gt; 0</f>
        <v>0</v>
      </c>
      <c r="F710" t="s">
        <v>271</v>
      </c>
      <c r="G710" t="s">
        <v>2345</v>
      </c>
      <c r="H710" t="s">
        <v>187</v>
      </c>
      <c r="I710" t="s">
        <v>2346</v>
      </c>
      <c r="J710" s="1" t="s">
        <v>2347</v>
      </c>
    </row>
    <row r="711" spans="1:10" ht="15" customHeight="1" x14ac:dyDescent="0.25">
      <c r="A711" t="s">
        <v>2348</v>
      </c>
      <c r="B711">
        <v>2006</v>
      </c>
      <c r="C711" t="s">
        <v>179</v>
      </c>
      <c r="D711" t="b">
        <f>TRUE()</f>
        <v>1</v>
      </c>
      <c r="E711" t="b">
        <f>COUNTIF(connections!A:A, A711) &gt; 0</f>
        <v>1</v>
      </c>
      <c r="G711" t="s">
        <v>2349</v>
      </c>
      <c r="H711" t="s">
        <v>187</v>
      </c>
      <c r="I711" t="s">
        <v>2350</v>
      </c>
    </row>
    <row r="712" spans="1:10" ht="15" customHeight="1" x14ac:dyDescent="0.25">
      <c r="A712" t="s">
        <v>2351</v>
      </c>
      <c r="B712">
        <v>2018</v>
      </c>
      <c r="C712" t="s">
        <v>176</v>
      </c>
      <c r="D712" t="b">
        <f>FALSE()</f>
        <v>0</v>
      </c>
      <c r="E712" t="b">
        <f>COUNTIF(connections!A:A, A712) &gt; 0</f>
        <v>0</v>
      </c>
      <c r="G712" t="s">
        <v>2352</v>
      </c>
      <c r="H712" t="s">
        <v>187</v>
      </c>
      <c r="I712" t="s">
        <v>2353</v>
      </c>
      <c r="J712" s="1" t="s">
        <v>2354</v>
      </c>
    </row>
    <row r="713" spans="1:10" ht="15" customHeight="1" x14ac:dyDescent="0.25">
      <c r="A713" t="s">
        <v>90</v>
      </c>
      <c r="B713">
        <v>2017</v>
      </c>
      <c r="C713" t="s">
        <v>182</v>
      </c>
      <c r="D713" t="b">
        <f>TRUE()</f>
        <v>1</v>
      </c>
      <c r="E713" t="b">
        <f>COUNTIF(connections!A:A, A713) &gt; 0</f>
        <v>1</v>
      </c>
      <c r="G713" t="s">
        <v>2355</v>
      </c>
      <c r="H713" t="s">
        <v>187</v>
      </c>
      <c r="I713" t="s">
        <v>2356</v>
      </c>
      <c r="J713" s="1" t="s">
        <v>2357</v>
      </c>
    </row>
    <row r="714" spans="1:10" ht="15" customHeight="1" x14ac:dyDescent="0.25">
      <c r="A714" t="s">
        <v>38</v>
      </c>
      <c r="B714">
        <v>2026</v>
      </c>
      <c r="C714" t="s">
        <v>182</v>
      </c>
      <c r="D714" t="b">
        <f>TRUE()</f>
        <v>1</v>
      </c>
      <c r="E714" t="b">
        <f>COUNTIF(connections!A:A, A714) &gt; 0</f>
        <v>0</v>
      </c>
      <c r="G714" t="s">
        <v>2358</v>
      </c>
      <c r="H714" t="s">
        <v>187</v>
      </c>
      <c r="I714" t="s">
        <v>2359</v>
      </c>
      <c r="J714" s="1" t="s">
        <v>2360</v>
      </c>
    </row>
    <row r="715" spans="1:10" ht="15" customHeight="1" x14ac:dyDescent="0.25">
      <c r="A715" t="s">
        <v>9969</v>
      </c>
      <c r="B715">
        <v>2026</v>
      </c>
      <c r="C715" t="s">
        <v>176</v>
      </c>
      <c r="D715" t="b">
        <v>0</v>
      </c>
      <c r="E715" t="b">
        <f>COUNTIF(connections!A:A, A715) &gt; 0</f>
        <v>0</v>
      </c>
      <c r="G715" t="s">
        <v>9970</v>
      </c>
      <c r="H715" t="s">
        <v>187</v>
      </c>
      <c r="I715" t="s">
        <v>9971</v>
      </c>
      <c r="J715" s="10" t="s">
        <v>9972</v>
      </c>
    </row>
    <row r="716" spans="1:10" ht="15" customHeight="1" x14ac:dyDescent="0.25">
      <c r="A716" t="s">
        <v>2361</v>
      </c>
      <c r="B716">
        <v>2018</v>
      </c>
      <c r="C716" t="s">
        <v>222</v>
      </c>
      <c r="D716" t="b">
        <f>TRUE()</f>
        <v>1</v>
      </c>
      <c r="E716" t="b">
        <f>COUNTIF(connections!A:A, A716) &gt; 0</f>
        <v>1</v>
      </c>
      <c r="F716" t="s">
        <v>315</v>
      </c>
      <c r="G716" t="s">
        <v>2362</v>
      </c>
      <c r="H716" t="s">
        <v>187</v>
      </c>
      <c r="I716" t="s">
        <v>2363</v>
      </c>
      <c r="J716" s="1" t="s">
        <v>2364</v>
      </c>
    </row>
    <row r="717" spans="1:10" ht="15" customHeight="1" x14ac:dyDescent="0.25">
      <c r="A717" t="s">
        <v>8376</v>
      </c>
      <c r="B717">
        <v>2024</v>
      </c>
      <c r="C717" t="s">
        <v>176</v>
      </c>
      <c r="D717" t="b">
        <f>TRUE()</f>
        <v>1</v>
      </c>
      <c r="E717" t="b">
        <f>COUNTIF(connections!A:A, A717) &gt; 0</f>
        <v>0</v>
      </c>
      <c r="G717" t="s">
        <v>8377</v>
      </c>
      <c r="H717" t="s">
        <v>187</v>
      </c>
      <c r="I717" t="s">
        <v>8378</v>
      </c>
    </row>
    <row r="718" spans="1:10" ht="15" customHeight="1" x14ac:dyDescent="0.25">
      <c r="A718" t="s">
        <v>2365</v>
      </c>
      <c r="B718">
        <v>2023</v>
      </c>
      <c r="C718" t="s">
        <v>176</v>
      </c>
      <c r="D718" t="b">
        <f>TRUE()</f>
        <v>1</v>
      </c>
      <c r="E718" t="b">
        <f>COUNTIF(connections!A:A, A718) &gt; 0</f>
        <v>1</v>
      </c>
      <c r="G718" t="s">
        <v>2366</v>
      </c>
      <c r="H718" t="s">
        <v>187</v>
      </c>
      <c r="I718" t="s">
        <v>2367</v>
      </c>
      <c r="J718" s="1" t="s">
        <v>2368</v>
      </c>
    </row>
    <row r="719" spans="1:10" ht="15" customHeight="1" x14ac:dyDescent="0.25">
      <c r="A719" t="s">
        <v>2369</v>
      </c>
      <c r="B719">
        <v>2025</v>
      </c>
      <c r="C719" t="s">
        <v>182</v>
      </c>
      <c r="D719" t="b">
        <f>TRUE()</f>
        <v>1</v>
      </c>
      <c r="E719" t="b">
        <f>COUNTIF(connections!A:A, A719) &gt; 0</f>
        <v>0</v>
      </c>
      <c r="F719" t="s">
        <v>354</v>
      </c>
      <c r="G719" t="s">
        <v>2370</v>
      </c>
    </row>
    <row r="720" spans="1:10" ht="15" customHeight="1" x14ac:dyDescent="0.25">
      <c r="A720" t="s">
        <v>2371</v>
      </c>
      <c r="B720">
        <v>2026</v>
      </c>
      <c r="C720" t="s">
        <v>182</v>
      </c>
      <c r="D720" t="b">
        <f>TRUE()</f>
        <v>1</v>
      </c>
      <c r="E720" t="b">
        <f>COUNTIF(connections!A:A, A720) &gt; 0</f>
        <v>0</v>
      </c>
      <c r="F720" t="s">
        <v>354</v>
      </c>
      <c r="G720" t="s">
        <v>2372</v>
      </c>
    </row>
    <row r="721" spans="1:10" ht="15" customHeight="1" x14ac:dyDescent="0.25">
      <c r="A721" t="s">
        <v>2373</v>
      </c>
      <c r="B721">
        <v>2025</v>
      </c>
      <c r="C721" t="s">
        <v>182</v>
      </c>
      <c r="D721" t="b">
        <f>FALSE()</f>
        <v>0</v>
      </c>
      <c r="E721" t="b">
        <f>COUNTIF(connections!A:A, A721) &gt; 0</f>
        <v>0</v>
      </c>
      <c r="F721" t="s">
        <v>354</v>
      </c>
      <c r="G721" t="s">
        <v>2374</v>
      </c>
      <c r="H721" t="s">
        <v>187</v>
      </c>
      <c r="I721" t="s">
        <v>2375</v>
      </c>
      <c r="J721" s="1" t="s">
        <v>2376</v>
      </c>
    </row>
    <row r="722" spans="1:10" ht="15" customHeight="1" x14ac:dyDescent="0.25">
      <c r="A722" t="s">
        <v>2377</v>
      </c>
      <c r="B722">
        <v>2021</v>
      </c>
      <c r="C722" t="s">
        <v>176</v>
      </c>
      <c r="D722" t="b">
        <f>TRUE()</f>
        <v>1</v>
      </c>
      <c r="E722" t="b">
        <f>COUNTIF(connections!A:A, A722) &gt; 0</f>
        <v>1</v>
      </c>
      <c r="G722" t="s">
        <v>2378</v>
      </c>
      <c r="H722" t="s">
        <v>187</v>
      </c>
      <c r="I722" t="s">
        <v>2379</v>
      </c>
      <c r="J722" s="1" t="s">
        <v>2380</v>
      </c>
    </row>
    <row r="723" spans="1:10" ht="15" customHeight="1" x14ac:dyDescent="0.25">
      <c r="A723" t="s">
        <v>2381</v>
      </c>
      <c r="B723">
        <v>2025</v>
      </c>
      <c r="C723" t="s">
        <v>176</v>
      </c>
      <c r="D723" t="b">
        <f>TRUE()</f>
        <v>1</v>
      </c>
      <c r="E723" t="b">
        <f>COUNTIF(connections!A:A, A723) &gt; 0</f>
        <v>0</v>
      </c>
      <c r="G723" t="s">
        <v>2382</v>
      </c>
      <c r="H723" t="s">
        <v>187</v>
      </c>
      <c r="I723" t="s">
        <v>2383</v>
      </c>
      <c r="J723" s="1" t="s">
        <v>2384</v>
      </c>
    </row>
    <row r="724" spans="1:10" ht="15" customHeight="1" x14ac:dyDescent="0.25">
      <c r="A724" t="s">
        <v>2385</v>
      </c>
      <c r="B724">
        <v>2025</v>
      </c>
      <c r="C724" t="s">
        <v>222</v>
      </c>
      <c r="D724" t="b">
        <v>1</v>
      </c>
      <c r="E724" t="b">
        <f>COUNTIF(connections!A:A, A724) &gt; 0</f>
        <v>0</v>
      </c>
      <c r="G724" t="s">
        <v>2386</v>
      </c>
      <c r="H724" t="s">
        <v>187</v>
      </c>
      <c r="I724" t="s">
        <v>2387</v>
      </c>
      <c r="J724" s="1" t="s">
        <v>2388</v>
      </c>
    </row>
    <row r="725" spans="1:10" ht="15" customHeight="1" x14ac:dyDescent="0.25">
      <c r="A725" t="s">
        <v>2389</v>
      </c>
      <c r="B725">
        <v>2016</v>
      </c>
      <c r="C725" t="s">
        <v>182</v>
      </c>
      <c r="D725" t="b">
        <f>FALSE()</f>
        <v>0</v>
      </c>
      <c r="E725" t="b">
        <f>COUNTIF(connections!A:A, A725) &gt; 0</f>
        <v>0</v>
      </c>
      <c r="G725" t="s">
        <v>2390</v>
      </c>
      <c r="H725" t="s">
        <v>187</v>
      </c>
      <c r="I725" t="s">
        <v>2391</v>
      </c>
      <c r="J725" s="1" t="s">
        <v>2392</v>
      </c>
    </row>
    <row r="726" spans="1:10" ht="15" customHeight="1" x14ac:dyDescent="0.25">
      <c r="A726" t="s">
        <v>2393</v>
      </c>
      <c r="B726">
        <v>2022</v>
      </c>
      <c r="C726" t="s">
        <v>179</v>
      </c>
      <c r="D726" t="b">
        <f>TRUE()</f>
        <v>1</v>
      </c>
      <c r="E726" t="b">
        <f>COUNTIF(connections!A:A, A726) &gt; 0</f>
        <v>1</v>
      </c>
      <c r="G726" t="s">
        <v>2394</v>
      </c>
    </row>
    <row r="727" spans="1:10" ht="15" customHeight="1" x14ac:dyDescent="0.25">
      <c r="A727" t="s">
        <v>2395</v>
      </c>
      <c r="B727">
        <v>2023</v>
      </c>
      <c r="C727" t="s">
        <v>179</v>
      </c>
      <c r="D727" t="b">
        <f>TRUE()</f>
        <v>1</v>
      </c>
      <c r="E727" t="b">
        <f>COUNTIF(connections!A:A, A727) &gt; 0</f>
        <v>0</v>
      </c>
      <c r="G727" t="s">
        <v>2396</v>
      </c>
    </row>
    <row r="728" spans="1:10" ht="15" customHeight="1" x14ac:dyDescent="0.25">
      <c r="A728" t="s">
        <v>2397</v>
      </c>
      <c r="B728">
        <v>2022</v>
      </c>
      <c r="C728" t="s">
        <v>176</v>
      </c>
      <c r="D728" t="b">
        <f>TRUE()</f>
        <v>1</v>
      </c>
      <c r="E728" t="b">
        <f>COUNTIF(connections!A:A, A728) &gt; 0</f>
        <v>1</v>
      </c>
      <c r="G728" t="s">
        <v>2398</v>
      </c>
      <c r="H728" t="s">
        <v>187</v>
      </c>
      <c r="I728" t="s">
        <v>2399</v>
      </c>
      <c r="J728" s="1" t="s">
        <v>2400</v>
      </c>
    </row>
    <row r="729" spans="1:10" ht="15" customHeight="1" x14ac:dyDescent="0.25">
      <c r="A729" t="s">
        <v>10003</v>
      </c>
      <c r="B729">
        <v>2021</v>
      </c>
      <c r="C729" t="s">
        <v>176</v>
      </c>
      <c r="D729" t="b">
        <v>1</v>
      </c>
      <c r="E729" t="b">
        <f>COUNTIF(connections!A:A, A729) &gt; 0</f>
        <v>0</v>
      </c>
      <c r="G729" t="s">
        <v>10004</v>
      </c>
      <c r="H729" t="s">
        <v>187</v>
      </c>
      <c r="I729" t="s">
        <v>10007</v>
      </c>
      <c r="J729" s="10" t="s">
        <v>10005</v>
      </c>
    </row>
    <row r="730" spans="1:10" ht="14.25" customHeight="1" x14ac:dyDescent="0.25">
      <c r="A730" t="s">
        <v>2401</v>
      </c>
      <c r="B730">
        <v>2015</v>
      </c>
      <c r="C730" t="s">
        <v>176</v>
      </c>
      <c r="D730" t="b">
        <f>FALSE()</f>
        <v>0</v>
      </c>
      <c r="E730" t="b">
        <f>COUNTIF(connections!A:A, A730) &gt; 0</f>
        <v>0</v>
      </c>
      <c r="F730" t="s">
        <v>274</v>
      </c>
      <c r="G730" t="s">
        <v>2402</v>
      </c>
    </row>
    <row r="731" spans="1:10" ht="15" customHeight="1" x14ac:dyDescent="0.25">
      <c r="A731" t="s">
        <v>2403</v>
      </c>
      <c r="B731">
        <v>2019</v>
      </c>
      <c r="C731" t="s">
        <v>176</v>
      </c>
      <c r="D731" t="b">
        <f>TRUE()</f>
        <v>1</v>
      </c>
      <c r="E731" t="b">
        <f>COUNTIF(connections!A:A, A731) &gt; 0</f>
        <v>1</v>
      </c>
      <c r="G731" t="s">
        <v>2404</v>
      </c>
      <c r="J731" s="1" t="s">
        <v>2405</v>
      </c>
    </row>
    <row r="732" spans="1:10" x14ac:dyDescent="0.25">
      <c r="A732" t="s">
        <v>2406</v>
      </c>
      <c r="B732">
        <v>2016</v>
      </c>
      <c r="C732" t="s">
        <v>179</v>
      </c>
      <c r="D732" t="b">
        <f>TRUE()</f>
        <v>1</v>
      </c>
      <c r="E732" t="b">
        <f>COUNTIF(connections!A:A, A732) &gt; 0</f>
        <v>0</v>
      </c>
      <c r="G732" t="s">
        <v>2407</v>
      </c>
      <c r="H732" t="s">
        <v>187</v>
      </c>
      <c r="I732" t="s">
        <v>2408</v>
      </c>
      <c r="J732" s="10" t="s">
        <v>2409</v>
      </c>
    </row>
    <row r="733" spans="1:10" x14ac:dyDescent="0.25">
      <c r="A733" t="s">
        <v>8105</v>
      </c>
      <c r="B733">
        <v>2024</v>
      </c>
      <c r="C733" t="s">
        <v>222</v>
      </c>
      <c r="D733" t="b">
        <f>TRUE()</f>
        <v>1</v>
      </c>
      <c r="E733" t="b">
        <f>COUNTIF(connections!A:A, A733) &gt; 0</f>
        <v>0</v>
      </c>
      <c r="F733" t="s">
        <v>274</v>
      </c>
      <c r="G733" t="s">
        <v>8106</v>
      </c>
      <c r="H733" t="s">
        <v>187</v>
      </c>
      <c r="I733" t="s">
        <v>8326</v>
      </c>
      <c r="J733" s="10" t="s">
        <v>8107</v>
      </c>
    </row>
    <row r="734" spans="1:10" x14ac:dyDescent="0.25">
      <c r="A734" t="s">
        <v>7848</v>
      </c>
      <c r="B734">
        <v>2019</v>
      </c>
      <c r="C734" t="s">
        <v>176</v>
      </c>
      <c r="D734" t="b">
        <f>TRUE()</f>
        <v>1</v>
      </c>
      <c r="E734" t="b">
        <f>COUNTIF(connections!A:A, A734) &gt; 0</f>
        <v>0</v>
      </c>
      <c r="G734" t="s">
        <v>7849</v>
      </c>
      <c r="H734" t="s">
        <v>187</v>
      </c>
      <c r="I734" t="s">
        <v>8327</v>
      </c>
      <c r="J734" s="10" t="s">
        <v>7850</v>
      </c>
    </row>
    <row r="735" spans="1:10" x14ac:dyDescent="0.25">
      <c r="A735" t="s">
        <v>2410</v>
      </c>
      <c r="B735">
        <v>2022</v>
      </c>
      <c r="C735" t="s">
        <v>176</v>
      </c>
      <c r="D735" t="b">
        <f>TRUE()</f>
        <v>1</v>
      </c>
      <c r="E735" t="b">
        <f>COUNTIF(connections!A:A, A735) &gt; 0</f>
        <v>1</v>
      </c>
      <c r="G735" t="s">
        <v>2411</v>
      </c>
      <c r="H735" t="s">
        <v>187</v>
      </c>
      <c r="I735" t="s">
        <v>2412</v>
      </c>
      <c r="J735" s="1" t="s">
        <v>2413</v>
      </c>
    </row>
    <row r="736" spans="1:10" x14ac:dyDescent="0.25">
      <c r="A736" t="s">
        <v>2414</v>
      </c>
      <c r="B736">
        <v>2023</v>
      </c>
      <c r="C736" t="s">
        <v>222</v>
      </c>
      <c r="D736" t="b">
        <f>TRUE()</f>
        <v>1</v>
      </c>
      <c r="E736" t="b">
        <f>COUNTIF(connections!A:A, A736) &gt; 0</f>
        <v>0</v>
      </c>
      <c r="G736" t="s">
        <v>2415</v>
      </c>
      <c r="H736" t="s">
        <v>187</v>
      </c>
      <c r="I736" t="s">
        <v>7862</v>
      </c>
      <c r="J736" s="10" t="s">
        <v>7863</v>
      </c>
    </row>
    <row r="737" spans="1:10" x14ac:dyDescent="0.25">
      <c r="A737" t="s">
        <v>2416</v>
      </c>
      <c r="B737">
        <v>2024</v>
      </c>
      <c r="C737" t="s">
        <v>182</v>
      </c>
      <c r="D737" t="b">
        <f>TRUE()</f>
        <v>1</v>
      </c>
      <c r="E737" t="b">
        <f>COUNTIF(connections!A:A, A737) &gt; 0</f>
        <v>0</v>
      </c>
      <c r="G737" t="s">
        <v>2417</v>
      </c>
      <c r="H737" t="s">
        <v>187</v>
      </c>
      <c r="I737" t="s">
        <v>2418</v>
      </c>
      <c r="J737" s="1" t="s">
        <v>2419</v>
      </c>
    </row>
    <row r="738" spans="1:10" x14ac:dyDescent="0.25">
      <c r="A738" t="s">
        <v>2420</v>
      </c>
      <c r="B738">
        <v>2012</v>
      </c>
      <c r="C738" t="s">
        <v>176</v>
      </c>
      <c r="D738" t="b">
        <f>TRUE()</f>
        <v>1</v>
      </c>
      <c r="E738" t="b">
        <f>COUNTIF(connections!A:A, A738) &gt; 0</f>
        <v>1</v>
      </c>
      <c r="G738" t="s">
        <v>2421</v>
      </c>
      <c r="H738" t="s">
        <v>187</v>
      </c>
      <c r="I738" t="s">
        <v>2422</v>
      </c>
      <c r="J738" s="1" t="s">
        <v>2423</v>
      </c>
    </row>
    <row r="739" spans="1:10" x14ac:dyDescent="0.25">
      <c r="A739" t="s">
        <v>2424</v>
      </c>
      <c r="B739">
        <v>2020</v>
      </c>
      <c r="C739" t="s">
        <v>176</v>
      </c>
      <c r="D739" t="b">
        <f>TRUE()</f>
        <v>1</v>
      </c>
      <c r="E739" t="b">
        <f>COUNTIF(connections!A:A, A739) &gt; 0</f>
        <v>0</v>
      </c>
      <c r="G739" t="s">
        <v>2425</v>
      </c>
      <c r="H739" t="s">
        <v>187</v>
      </c>
      <c r="I739" t="s">
        <v>2426</v>
      </c>
      <c r="J739" s="1" t="s">
        <v>2427</v>
      </c>
    </row>
    <row r="740" spans="1:10" x14ac:dyDescent="0.25">
      <c r="A740" t="s">
        <v>2428</v>
      </c>
      <c r="B740">
        <v>2008</v>
      </c>
      <c r="C740" t="s">
        <v>176</v>
      </c>
      <c r="D740" t="b">
        <f>TRUE()</f>
        <v>1</v>
      </c>
      <c r="E740" t="b">
        <f>COUNTIF(connections!A:A, A740) &gt; 0</f>
        <v>1</v>
      </c>
      <c r="G740" t="s">
        <v>2429</v>
      </c>
      <c r="H740" t="s">
        <v>187</v>
      </c>
      <c r="I740" t="s">
        <v>2430</v>
      </c>
    </row>
    <row r="741" spans="1:10" x14ac:dyDescent="0.25">
      <c r="A741" t="s">
        <v>2431</v>
      </c>
      <c r="B741">
        <v>2024</v>
      </c>
      <c r="C741" t="s">
        <v>182</v>
      </c>
      <c r="D741" t="b">
        <f>TRUE()</f>
        <v>1</v>
      </c>
      <c r="E741" t="b">
        <f>COUNTIF(connections!A:A, A741) &gt; 0</f>
        <v>0</v>
      </c>
      <c r="F741" t="s">
        <v>354</v>
      </c>
      <c r="G741" t="s">
        <v>2432</v>
      </c>
      <c r="H741" t="s">
        <v>187</v>
      </c>
      <c r="I741" t="s">
        <v>2433</v>
      </c>
      <c r="J741" s="1" t="s">
        <v>2434</v>
      </c>
    </row>
    <row r="742" spans="1:10" x14ac:dyDescent="0.25">
      <c r="A742" t="s">
        <v>2435</v>
      </c>
      <c r="B742">
        <v>2022</v>
      </c>
      <c r="C742" t="s">
        <v>176</v>
      </c>
      <c r="D742" t="b">
        <f>TRUE()</f>
        <v>1</v>
      </c>
      <c r="E742" t="b">
        <f>COUNTIF(connections!A:A, A742) &gt; 0</f>
        <v>0</v>
      </c>
      <c r="G742" t="s">
        <v>2436</v>
      </c>
      <c r="H742" t="s">
        <v>187</v>
      </c>
      <c r="I742" t="s">
        <v>2437</v>
      </c>
      <c r="J742" s="1" t="s">
        <v>2438</v>
      </c>
    </row>
    <row r="743" spans="1:10" x14ac:dyDescent="0.25">
      <c r="A743" t="s">
        <v>2439</v>
      </c>
      <c r="B743">
        <v>2023</v>
      </c>
      <c r="C743" t="s">
        <v>176</v>
      </c>
      <c r="D743" t="b">
        <f>TRUE()</f>
        <v>1</v>
      </c>
      <c r="E743" t="b">
        <f>COUNTIF(connections!A:A, A743) &gt; 0</f>
        <v>0</v>
      </c>
      <c r="G743" t="s">
        <v>2440</v>
      </c>
      <c r="H743" t="s">
        <v>187</v>
      </c>
      <c r="I743" t="s">
        <v>2441</v>
      </c>
      <c r="J743" s="1" t="s">
        <v>2442</v>
      </c>
    </row>
    <row r="744" spans="1:10" x14ac:dyDescent="0.25">
      <c r="A744" t="s">
        <v>2443</v>
      </c>
      <c r="B744">
        <v>2019</v>
      </c>
      <c r="C744" t="s">
        <v>176</v>
      </c>
      <c r="D744" t="b">
        <f>TRUE()</f>
        <v>1</v>
      </c>
      <c r="E744" t="b">
        <f>COUNTIF(connections!A:A, A744) &gt; 0</f>
        <v>1</v>
      </c>
      <c r="G744" t="s">
        <v>2444</v>
      </c>
      <c r="H744" t="s">
        <v>187</v>
      </c>
      <c r="I744" t="s">
        <v>2445</v>
      </c>
      <c r="J744" s="1" t="s">
        <v>2446</v>
      </c>
    </row>
    <row r="745" spans="1:10" x14ac:dyDescent="0.25">
      <c r="A745" t="s">
        <v>2447</v>
      </c>
      <c r="B745">
        <v>2014</v>
      </c>
      <c r="C745" t="s">
        <v>179</v>
      </c>
      <c r="D745" t="b">
        <f>TRUE()</f>
        <v>1</v>
      </c>
      <c r="E745" t="b">
        <f>COUNTIF(connections!A:A, A745) &gt; 0</f>
        <v>1</v>
      </c>
      <c r="G745" t="s">
        <v>2448</v>
      </c>
      <c r="H745" t="s">
        <v>187</v>
      </c>
      <c r="I745" t="s">
        <v>2449</v>
      </c>
      <c r="J745" s="1" t="s">
        <v>2450</v>
      </c>
    </row>
    <row r="746" spans="1:10" x14ac:dyDescent="0.25">
      <c r="A746" t="s">
        <v>2451</v>
      </c>
      <c r="B746">
        <v>2024</v>
      </c>
      <c r="C746" t="s">
        <v>176</v>
      </c>
      <c r="D746" t="b">
        <f>FALSE()</f>
        <v>0</v>
      </c>
      <c r="E746" t="b">
        <f>COUNTIF(connections!A:A, A746) &gt; 0</f>
        <v>0</v>
      </c>
      <c r="G746" t="s">
        <v>2452</v>
      </c>
      <c r="H746" t="s">
        <v>187</v>
      </c>
      <c r="I746" t="s">
        <v>2453</v>
      </c>
      <c r="J746" s="1" t="s">
        <v>2454</v>
      </c>
    </row>
    <row r="747" spans="1:10" x14ac:dyDescent="0.25">
      <c r="A747" t="s">
        <v>2455</v>
      </c>
      <c r="B747">
        <v>2025</v>
      </c>
      <c r="C747" t="s">
        <v>182</v>
      </c>
      <c r="D747" t="b">
        <f>TRUE()</f>
        <v>1</v>
      </c>
      <c r="E747" t="b">
        <f>COUNTIF(connections!A:A, A747) &gt; 0</f>
        <v>0</v>
      </c>
      <c r="G747" t="s">
        <v>2456</v>
      </c>
      <c r="H747" t="s">
        <v>187</v>
      </c>
      <c r="I747" t="s">
        <v>2457</v>
      </c>
      <c r="J747" s="1" t="s">
        <v>2458</v>
      </c>
    </row>
    <row r="748" spans="1:10" x14ac:dyDescent="0.25">
      <c r="A748" t="s">
        <v>2459</v>
      </c>
      <c r="B748">
        <v>2017</v>
      </c>
      <c r="C748" t="s">
        <v>176</v>
      </c>
      <c r="D748" t="b">
        <f>TRUE()</f>
        <v>1</v>
      </c>
      <c r="E748" t="b">
        <f>COUNTIF(connections!A:A, A748) &gt; 0</f>
        <v>1</v>
      </c>
      <c r="G748" t="s">
        <v>2460</v>
      </c>
      <c r="H748" t="s">
        <v>187</v>
      </c>
      <c r="I748" t="s">
        <v>2461</v>
      </c>
      <c r="J748" s="1" t="s">
        <v>2462</v>
      </c>
    </row>
    <row r="749" spans="1:10" x14ac:dyDescent="0.25">
      <c r="A749" t="s">
        <v>8328</v>
      </c>
      <c r="B749">
        <v>2020</v>
      </c>
      <c r="C749" t="s">
        <v>222</v>
      </c>
      <c r="D749" t="b">
        <f>TRUE()</f>
        <v>1</v>
      </c>
      <c r="E749" t="b">
        <f>COUNTIF(connections!A:A, A749) &gt; 0</f>
        <v>0</v>
      </c>
      <c r="G749" t="s">
        <v>8329</v>
      </c>
      <c r="H749" t="s">
        <v>187</v>
      </c>
      <c r="I749" t="s">
        <v>8330</v>
      </c>
      <c r="J749" s="10" t="s">
        <v>8331</v>
      </c>
    </row>
    <row r="750" spans="1:10" x14ac:dyDescent="0.25">
      <c r="A750" t="s">
        <v>2463</v>
      </c>
      <c r="B750">
        <v>2023</v>
      </c>
      <c r="C750" t="s">
        <v>176</v>
      </c>
      <c r="D750" t="b">
        <f>TRUE()</f>
        <v>1</v>
      </c>
      <c r="E750" t="b">
        <f>COUNTIF(connections!A:A, A750) &gt; 0</f>
        <v>0</v>
      </c>
      <c r="F750" t="s">
        <v>274</v>
      </c>
      <c r="G750" t="s">
        <v>2464</v>
      </c>
      <c r="H750" t="s">
        <v>187</v>
      </c>
      <c r="I750" t="s">
        <v>2465</v>
      </c>
      <c r="J750" s="1" t="s">
        <v>2466</v>
      </c>
    </row>
    <row r="751" spans="1:10" x14ac:dyDescent="0.25">
      <c r="A751" t="s">
        <v>10083</v>
      </c>
      <c r="B751">
        <v>2026</v>
      </c>
      <c r="C751" t="s">
        <v>176</v>
      </c>
      <c r="D751" t="b">
        <v>1</v>
      </c>
      <c r="E751" t="b">
        <f>COUNTIF(connections!A:A, A751) &gt; 0</f>
        <v>0</v>
      </c>
      <c r="F751" t="s">
        <v>787</v>
      </c>
      <c r="G751" t="s">
        <v>10084</v>
      </c>
      <c r="J751" s="10" t="s">
        <v>10085</v>
      </c>
    </row>
    <row r="752" spans="1:10" x14ac:dyDescent="0.25">
      <c r="A752" t="s">
        <v>2467</v>
      </c>
      <c r="B752">
        <v>2025</v>
      </c>
      <c r="C752" t="s">
        <v>176</v>
      </c>
      <c r="D752" t="b">
        <f>TRUE()</f>
        <v>1</v>
      </c>
      <c r="E752" t="b">
        <f>COUNTIF(connections!A:A, A752) &gt; 0</f>
        <v>0</v>
      </c>
      <c r="G752" t="s">
        <v>2468</v>
      </c>
      <c r="H752" t="s">
        <v>187</v>
      </c>
      <c r="I752" t="s">
        <v>2469</v>
      </c>
      <c r="J752" s="1" t="s">
        <v>2470</v>
      </c>
    </row>
    <row r="753" spans="1:10" x14ac:dyDescent="0.25">
      <c r="A753" t="s">
        <v>2471</v>
      </c>
      <c r="B753">
        <v>2025</v>
      </c>
      <c r="C753" t="s">
        <v>182</v>
      </c>
      <c r="D753" t="b">
        <f>TRUE()</f>
        <v>1</v>
      </c>
      <c r="E753" t="b">
        <f>COUNTIF(connections!A:A, A753) &gt; 0</f>
        <v>1</v>
      </c>
      <c r="F753" t="s">
        <v>277</v>
      </c>
      <c r="G753" t="s">
        <v>2472</v>
      </c>
      <c r="H753" t="s">
        <v>187</v>
      </c>
      <c r="I753" t="s">
        <v>2473</v>
      </c>
      <c r="J753" s="1" t="s">
        <v>2474</v>
      </c>
    </row>
    <row r="754" spans="1:10" x14ac:dyDescent="0.25">
      <c r="A754" t="s">
        <v>2475</v>
      </c>
      <c r="B754">
        <v>2025</v>
      </c>
      <c r="C754" t="s">
        <v>182</v>
      </c>
      <c r="D754" t="b">
        <f>TRUE()</f>
        <v>1</v>
      </c>
      <c r="E754" t="b">
        <f>COUNTIF(connections!A:A, A754) &gt; 0</f>
        <v>0</v>
      </c>
      <c r="G754" t="s">
        <v>2476</v>
      </c>
    </row>
    <row r="755" spans="1:10" x14ac:dyDescent="0.25">
      <c r="A755" t="s">
        <v>2477</v>
      </c>
      <c r="B755">
        <v>2025</v>
      </c>
      <c r="C755" t="s">
        <v>176</v>
      </c>
      <c r="D755" t="b">
        <f>FALSE()</f>
        <v>0</v>
      </c>
      <c r="E755" t="b">
        <f>COUNTIF(connections!A:A, A755) &gt; 0</f>
        <v>0</v>
      </c>
      <c r="G755" t="s">
        <v>2478</v>
      </c>
      <c r="H755" t="s">
        <v>187</v>
      </c>
      <c r="I755" t="s">
        <v>2479</v>
      </c>
      <c r="J755" s="1" t="s">
        <v>2480</v>
      </c>
    </row>
    <row r="756" spans="1:10" x14ac:dyDescent="0.25">
      <c r="A756" t="s">
        <v>8099</v>
      </c>
      <c r="B756">
        <v>2026</v>
      </c>
      <c r="C756" t="s">
        <v>176</v>
      </c>
      <c r="D756" t="b">
        <f>TRUE()</f>
        <v>1</v>
      </c>
      <c r="E756" t="b">
        <f>COUNTIF(connections!A:A, A756) &gt; 0</f>
        <v>0</v>
      </c>
      <c r="G756" t="s">
        <v>8100</v>
      </c>
      <c r="J756" s="10" t="s">
        <v>8101</v>
      </c>
    </row>
    <row r="757" spans="1:10" x14ac:dyDescent="0.25">
      <c r="A757" t="s">
        <v>2481</v>
      </c>
      <c r="B757">
        <v>2020</v>
      </c>
      <c r="C757" t="s">
        <v>179</v>
      </c>
      <c r="D757" t="b">
        <f>TRUE()</f>
        <v>1</v>
      </c>
      <c r="E757" t="b">
        <f>COUNTIF(connections!A:A, A757) &gt; 0</f>
        <v>1</v>
      </c>
      <c r="G757" t="s">
        <v>2482</v>
      </c>
    </row>
    <row r="758" spans="1:10" x14ac:dyDescent="0.25">
      <c r="A758" t="s">
        <v>2483</v>
      </c>
      <c r="B758">
        <v>2023</v>
      </c>
      <c r="C758" t="s">
        <v>222</v>
      </c>
      <c r="D758" t="b">
        <f>FALSE()</f>
        <v>0</v>
      </c>
      <c r="E758" t="b">
        <f>COUNTIF(connections!A:A, A758) &gt; 0</f>
        <v>0</v>
      </c>
      <c r="F758" t="s">
        <v>458</v>
      </c>
      <c r="G758" t="s">
        <v>2484</v>
      </c>
      <c r="H758" t="s">
        <v>187</v>
      </c>
      <c r="I758" t="s">
        <v>8332</v>
      </c>
      <c r="J758" s="10" t="s">
        <v>8333</v>
      </c>
    </row>
    <row r="759" spans="1:10" x14ac:dyDescent="0.25">
      <c r="A759" t="s">
        <v>2485</v>
      </c>
      <c r="B759">
        <v>2017</v>
      </c>
      <c r="C759" t="s">
        <v>176</v>
      </c>
      <c r="D759" t="b">
        <v>1</v>
      </c>
      <c r="E759" t="b">
        <f>COUNTIF(connections!A:A, A759) &gt; 0</f>
        <v>0</v>
      </c>
      <c r="G759" t="s">
        <v>2486</v>
      </c>
      <c r="H759" t="s">
        <v>187</v>
      </c>
      <c r="I759" t="s">
        <v>2487</v>
      </c>
      <c r="J759" s="10" t="s">
        <v>2488</v>
      </c>
    </row>
    <row r="760" spans="1:10" x14ac:dyDescent="0.25">
      <c r="A760" t="s">
        <v>2489</v>
      </c>
      <c r="B760">
        <v>2002</v>
      </c>
      <c r="C760" t="s">
        <v>222</v>
      </c>
      <c r="D760" t="b">
        <f>TRUE()</f>
        <v>1</v>
      </c>
      <c r="E760" t="b">
        <f>COUNTIF(connections!A:A, A760) &gt; 0</f>
        <v>1</v>
      </c>
      <c r="F760" t="s">
        <v>274</v>
      </c>
      <c r="G760" t="s">
        <v>2490</v>
      </c>
      <c r="H760" t="s">
        <v>187</v>
      </c>
      <c r="I760" t="s">
        <v>2491</v>
      </c>
    </row>
    <row r="761" spans="1:10" x14ac:dyDescent="0.25">
      <c r="A761" t="s">
        <v>10019</v>
      </c>
      <c r="B761">
        <v>2025</v>
      </c>
      <c r="C761" t="s">
        <v>222</v>
      </c>
      <c r="D761" t="b">
        <v>1</v>
      </c>
      <c r="E761" t="b">
        <f>COUNTIF(connections!A:A, A761) &gt; 0</f>
        <v>0</v>
      </c>
      <c r="G761" t="s">
        <v>10020</v>
      </c>
      <c r="H761" t="s">
        <v>187</v>
      </c>
      <c r="I761" t="s">
        <v>10022</v>
      </c>
      <c r="J761" s="10" t="s">
        <v>10021</v>
      </c>
    </row>
    <row r="762" spans="1:10" x14ac:dyDescent="0.25">
      <c r="A762" t="s">
        <v>2492</v>
      </c>
      <c r="B762">
        <v>2019</v>
      </c>
      <c r="C762" t="s">
        <v>176</v>
      </c>
      <c r="D762" t="b">
        <f>TRUE()</f>
        <v>1</v>
      </c>
      <c r="E762" t="b">
        <f>COUNTIF(connections!A:A, A762) &gt; 0</f>
        <v>0</v>
      </c>
      <c r="G762" t="s">
        <v>2493</v>
      </c>
      <c r="H762" t="s">
        <v>187</v>
      </c>
      <c r="I762" t="s">
        <v>2494</v>
      </c>
      <c r="J762" s="1" t="s">
        <v>2495</v>
      </c>
    </row>
    <row r="763" spans="1:10" x14ac:dyDescent="0.25">
      <c r="A763" t="s">
        <v>2496</v>
      </c>
      <c r="B763">
        <v>2024</v>
      </c>
      <c r="C763" t="s">
        <v>176</v>
      </c>
      <c r="D763" t="b">
        <f>TRUE()</f>
        <v>1</v>
      </c>
      <c r="E763" t="b">
        <f>COUNTIF(connections!A:A, A763) &gt; 0</f>
        <v>0</v>
      </c>
      <c r="G763" t="s">
        <v>2497</v>
      </c>
    </row>
    <row r="764" spans="1:10" x14ac:dyDescent="0.25">
      <c r="A764" t="s">
        <v>2498</v>
      </c>
      <c r="B764">
        <v>2017</v>
      </c>
      <c r="C764" t="s">
        <v>176</v>
      </c>
      <c r="D764" t="b">
        <f>TRUE()</f>
        <v>1</v>
      </c>
      <c r="E764" t="b">
        <f>COUNTIF(connections!A:A, A764) &gt; 0</f>
        <v>1</v>
      </c>
      <c r="G764" t="s">
        <v>2499</v>
      </c>
      <c r="H764" t="s">
        <v>187</v>
      </c>
      <c r="I764" t="s">
        <v>2500</v>
      </c>
      <c r="J764" s="1" t="s">
        <v>2501</v>
      </c>
    </row>
    <row r="765" spans="1:10" x14ac:dyDescent="0.25">
      <c r="A765" t="s">
        <v>2502</v>
      </c>
      <c r="B765">
        <v>2015</v>
      </c>
      <c r="C765" t="s">
        <v>222</v>
      </c>
      <c r="D765" t="b">
        <f>TRUE()</f>
        <v>1</v>
      </c>
      <c r="E765" t="b">
        <f>COUNTIF(connections!A:A, A765) &gt; 0</f>
        <v>1</v>
      </c>
      <c r="F765" t="s">
        <v>652</v>
      </c>
      <c r="G765" t="s">
        <v>2503</v>
      </c>
      <c r="H765" t="s">
        <v>187</v>
      </c>
      <c r="I765" t="s">
        <v>2504</v>
      </c>
      <c r="J765" s="1" t="s">
        <v>2505</v>
      </c>
    </row>
    <row r="766" spans="1:10" x14ac:dyDescent="0.25">
      <c r="A766" t="s">
        <v>2506</v>
      </c>
      <c r="B766">
        <v>2021</v>
      </c>
      <c r="C766" t="s">
        <v>222</v>
      </c>
      <c r="D766" t="b">
        <f>TRUE()</f>
        <v>1</v>
      </c>
      <c r="E766" t="b">
        <f>COUNTIF(connections!A:A, A766) &gt; 0</f>
        <v>1</v>
      </c>
      <c r="G766" t="s">
        <v>2507</v>
      </c>
      <c r="H766" t="s">
        <v>187</v>
      </c>
      <c r="I766" t="s">
        <v>2508</v>
      </c>
      <c r="J766" s="1" t="s">
        <v>2509</v>
      </c>
    </row>
    <row r="767" spans="1:10" x14ac:dyDescent="0.25">
      <c r="A767" t="s">
        <v>2510</v>
      </c>
      <c r="B767">
        <v>2022</v>
      </c>
      <c r="C767" t="s">
        <v>182</v>
      </c>
      <c r="D767" t="b">
        <v>1</v>
      </c>
      <c r="E767" t="b">
        <f>COUNTIF(connections!A:A, A767) &gt; 0</f>
        <v>0</v>
      </c>
      <c r="G767" t="s">
        <v>2511</v>
      </c>
      <c r="H767" t="s">
        <v>187</v>
      </c>
      <c r="I767" t="s">
        <v>2512</v>
      </c>
      <c r="J767" s="1" t="s">
        <v>2513</v>
      </c>
    </row>
    <row r="768" spans="1:10" x14ac:dyDescent="0.25">
      <c r="A768" t="s">
        <v>2514</v>
      </c>
      <c r="B768">
        <v>2025</v>
      </c>
      <c r="C768" t="s">
        <v>222</v>
      </c>
      <c r="D768" t="b">
        <f>TRUE()</f>
        <v>1</v>
      </c>
      <c r="E768" t="b">
        <f>COUNTIF(connections!A:A, A768) &gt; 0</f>
        <v>0</v>
      </c>
      <c r="G768" t="s">
        <v>2515</v>
      </c>
      <c r="H768" t="s">
        <v>187</v>
      </c>
      <c r="I768" t="s">
        <v>2516</v>
      </c>
      <c r="J768" s="1" t="s">
        <v>2517</v>
      </c>
    </row>
    <row r="769" spans="1:10" x14ac:dyDescent="0.25">
      <c r="A769" t="s">
        <v>2518</v>
      </c>
      <c r="B769">
        <v>2013</v>
      </c>
      <c r="C769" t="s">
        <v>176</v>
      </c>
      <c r="D769" t="b">
        <f>TRUE()</f>
        <v>1</v>
      </c>
      <c r="E769" t="b">
        <f>COUNTIF(connections!A:A, A769) &gt; 0</f>
        <v>1</v>
      </c>
      <c r="G769" t="s">
        <v>2519</v>
      </c>
      <c r="H769" t="s">
        <v>187</v>
      </c>
      <c r="I769" t="s">
        <v>2520</v>
      </c>
      <c r="J769" s="1" t="s">
        <v>2521</v>
      </c>
    </row>
    <row r="770" spans="1:10" x14ac:dyDescent="0.25">
      <c r="A770" t="s">
        <v>2522</v>
      </c>
      <c r="B770">
        <v>2025</v>
      </c>
      <c r="C770" t="s">
        <v>182</v>
      </c>
      <c r="D770" t="b">
        <f>TRUE()</f>
        <v>1</v>
      </c>
      <c r="E770" t="b">
        <f>COUNTIF(connections!A:A, A770) &gt; 0</f>
        <v>1</v>
      </c>
      <c r="G770" t="s">
        <v>2523</v>
      </c>
      <c r="H770" t="s">
        <v>187</v>
      </c>
      <c r="I770" t="s">
        <v>8126</v>
      </c>
      <c r="J770" s="10" t="s">
        <v>8127</v>
      </c>
    </row>
    <row r="771" spans="1:10" x14ac:dyDescent="0.25">
      <c r="A771" t="s">
        <v>2524</v>
      </c>
      <c r="B771">
        <v>2025</v>
      </c>
      <c r="C771" t="s">
        <v>176</v>
      </c>
      <c r="D771" t="b">
        <f>TRUE()</f>
        <v>1</v>
      </c>
      <c r="E771" t="b">
        <f>COUNTIF(connections!A:A, A771) &gt; 0</f>
        <v>0</v>
      </c>
      <c r="G771" t="s">
        <v>2525</v>
      </c>
    </row>
    <row r="772" spans="1:10" x14ac:dyDescent="0.25">
      <c r="A772" t="s">
        <v>2526</v>
      </c>
      <c r="B772">
        <v>2023</v>
      </c>
      <c r="C772" t="s">
        <v>176</v>
      </c>
      <c r="D772" t="b">
        <f>TRUE()</f>
        <v>1</v>
      </c>
      <c r="E772" t="b">
        <f>COUNTIF(connections!A:A, A772) &gt; 0</f>
        <v>0</v>
      </c>
      <c r="F772" t="s">
        <v>277</v>
      </c>
      <c r="G772" t="s">
        <v>2527</v>
      </c>
      <c r="H772" t="s">
        <v>187</v>
      </c>
      <c r="I772" t="s">
        <v>2528</v>
      </c>
      <c r="J772" s="1" t="s">
        <v>2529</v>
      </c>
    </row>
    <row r="773" spans="1:10" x14ac:dyDescent="0.25">
      <c r="A773" t="s">
        <v>2530</v>
      </c>
      <c r="B773">
        <v>2016</v>
      </c>
      <c r="C773" t="s">
        <v>176</v>
      </c>
      <c r="D773" t="b">
        <f>TRUE()</f>
        <v>1</v>
      </c>
      <c r="E773" t="b">
        <f>COUNTIF(connections!A:A, A773) &gt; 0</f>
        <v>0</v>
      </c>
      <c r="F773" t="s">
        <v>787</v>
      </c>
      <c r="G773" t="s">
        <v>2531</v>
      </c>
      <c r="H773" t="s">
        <v>187</v>
      </c>
      <c r="I773" t="s">
        <v>2532</v>
      </c>
      <c r="J773" s="1" t="s">
        <v>2533</v>
      </c>
    </row>
    <row r="774" spans="1:10" x14ac:dyDescent="0.25">
      <c r="A774" t="s">
        <v>2534</v>
      </c>
      <c r="B774">
        <v>1982</v>
      </c>
      <c r="C774" t="s">
        <v>179</v>
      </c>
      <c r="D774" t="b">
        <f>TRUE()</f>
        <v>1</v>
      </c>
      <c r="E774" t="b">
        <f>COUNTIF(connections!A:A, A774) &gt; 0</f>
        <v>1</v>
      </c>
      <c r="G774" t="s">
        <v>2535</v>
      </c>
      <c r="J774" s="10" t="s">
        <v>2536</v>
      </c>
    </row>
    <row r="775" spans="1:10" x14ac:dyDescent="0.25">
      <c r="A775" t="s">
        <v>2537</v>
      </c>
      <c r="B775">
        <v>2021</v>
      </c>
      <c r="C775" t="s">
        <v>176</v>
      </c>
      <c r="D775" t="b">
        <f>TRUE()</f>
        <v>1</v>
      </c>
      <c r="E775" t="b">
        <f>COUNTIF(connections!A:A, A775) &gt; 0</f>
        <v>1</v>
      </c>
      <c r="G775" t="s">
        <v>2538</v>
      </c>
      <c r="H775" t="s">
        <v>187</v>
      </c>
      <c r="I775" t="s">
        <v>8334</v>
      </c>
      <c r="J775" s="10" t="s">
        <v>2539</v>
      </c>
    </row>
    <row r="776" spans="1:10" x14ac:dyDescent="0.25">
      <c r="A776" t="s">
        <v>2540</v>
      </c>
      <c r="B776">
        <v>2025</v>
      </c>
      <c r="C776" t="s">
        <v>176</v>
      </c>
      <c r="D776" t="b">
        <f>TRUE()</f>
        <v>1</v>
      </c>
      <c r="E776" t="b">
        <f>COUNTIF(connections!A:A, A776) &gt; 0</f>
        <v>0</v>
      </c>
      <c r="G776" t="s">
        <v>2541</v>
      </c>
      <c r="J776" s="10" t="s">
        <v>2542</v>
      </c>
    </row>
    <row r="777" spans="1:10" x14ac:dyDescent="0.25">
      <c r="A777" t="s">
        <v>2543</v>
      </c>
      <c r="B777">
        <v>2013</v>
      </c>
      <c r="C777" t="s">
        <v>179</v>
      </c>
      <c r="D777" t="b">
        <f>TRUE()</f>
        <v>1</v>
      </c>
      <c r="E777" t="b">
        <f>COUNTIF(connections!A:A, A777) &gt; 0</f>
        <v>0</v>
      </c>
      <c r="G777" t="s">
        <v>2544</v>
      </c>
      <c r="J777" s="1" t="s">
        <v>2545</v>
      </c>
    </row>
    <row r="778" spans="1:10" x14ac:dyDescent="0.25">
      <c r="A778" t="s">
        <v>2546</v>
      </c>
      <c r="B778">
        <v>2022</v>
      </c>
      <c r="C778" t="s">
        <v>176</v>
      </c>
      <c r="D778" t="b">
        <f>TRUE()</f>
        <v>1</v>
      </c>
      <c r="E778" t="b">
        <f>COUNTIF(connections!A:A, A778) &gt; 0</f>
        <v>0</v>
      </c>
      <c r="G778" t="s">
        <v>2547</v>
      </c>
      <c r="H778" t="s">
        <v>187</v>
      </c>
      <c r="I778" t="s">
        <v>2548</v>
      </c>
      <c r="J778" s="1" t="s">
        <v>2549</v>
      </c>
    </row>
    <row r="779" spans="1:10" x14ac:dyDescent="0.25">
      <c r="A779" t="s">
        <v>2550</v>
      </c>
      <c r="B779">
        <v>2025</v>
      </c>
      <c r="C779" t="s">
        <v>176</v>
      </c>
      <c r="D779" t="b">
        <f>TRUE()</f>
        <v>1</v>
      </c>
      <c r="E779" t="b">
        <f>COUNTIF(connections!A:A, A779) &gt; 0</f>
        <v>0</v>
      </c>
      <c r="G779" t="s">
        <v>2551</v>
      </c>
      <c r="H779" t="s">
        <v>187</v>
      </c>
      <c r="I779" t="s">
        <v>2552</v>
      </c>
      <c r="J779" s="1" t="s">
        <v>2553</v>
      </c>
    </row>
    <row r="780" spans="1:10" x14ac:dyDescent="0.25">
      <c r="A780" t="s">
        <v>2554</v>
      </c>
      <c r="B780">
        <v>2021</v>
      </c>
      <c r="C780" t="s">
        <v>176</v>
      </c>
      <c r="D780" t="b">
        <f>TRUE()</f>
        <v>1</v>
      </c>
      <c r="E780" t="b">
        <f>COUNTIF(connections!A:A, A780) &gt; 0</f>
        <v>0</v>
      </c>
      <c r="G780" t="s">
        <v>2555</v>
      </c>
    </row>
    <row r="781" spans="1:10" x14ac:dyDescent="0.25">
      <c r="A781" t="s">
        <v>2556</v>
      </c>
      <c r="B781">
        <v>2018</v>
      </c>
      <c r="C781" t="s">
        <v>176</v>
      </c>
      <c r="D781" t="b">
        <f>TRUE()</f>
        <v>1</v>
      </c>
      <c r="E781" t="b">
        <f>COUNTIF(connections!A:A, A781) &gt; 0</f>
        <v>1</v>
      </c>
      <c r="G781" t="s">
        <v>2557</v>
      </c>
      <c r="H781" t="s">
        <v>187</v>
      </c>
      <c r="I781" t="s">
        <v>2558</v>
      </c>
      <c r="J781" s="1" t="s">
        <v>2559</v>
      </c>
    </row>
    <row r="782" spans="1:10" x14ac:dyDescent="0.25">
      <c r="A782" t="s">
        <v>2560</v>
      </c>
      <c r="B782">
        <v>2026</v>
      </c>
      <c r="C782" t="s">
        <v>222</v>
      </c>
      <c r="D782" t="b">
        <f>TRUE()</f>
        <v>1</v>
      </c>
      <c r="E782" t="b">
        <f>COUNTIF(connections!A:A, A782) &gt; 0</f>
        <v>0</v>
      </c>
      <c r="G782" t="s">
        <v>2561</v>
      </c>
      <c r="J782" s="1" t="s">
        <v>2562</v>
      </c>
    </row>
    <row r="783" spans="1:10" x14ac:dyDescent="0.25">
      <c r="A783" t="s">
        <v>2563</v>
      </c>
      <c r="B783">
        <v>2020</v>
      </c>
      <c r="C783" t="s">
        <v>182</v>
      </c>
      <c r="D783" t="b">
        <f>TRUE()</f>
        <v>1</v>
      </c>
      <c r="E783" t="b">
        <f>COUNTIF(connections!A:A, A783) &gt; 0</f>
        <v>0</v>
      </c>
      <c r="G783" t="s">
        <v>2564</v>
      </c>
      <c r="H783" t="s">
        <v>187</v>
      </c>
      <c r="I783" t="s">
        <v>2565</v>
      </c>
      <c r="J783" s="1" t="s">
        <v>2566</v>
      </c>
    </row>
    <row r="784" spans="1:10" x14ac:dyDescent="0.25">
      <c r="A784" t="s">
        <v>2567</v>
      </c>
      <c r="B784">
        <v>2023</v>
      </c>
      <c r="C784" t="s">
        <v>176</v>
      </c>
      <c r="D784" t="b">
        <f>TRUE()</f>
        <v>1</v>
      </c>
      <c r="E784" t="b">
        <f>COUNTIF(connections!A:A, A784) &gt; 0</f>
        <v>0</v>
      </c>
      <c r="G784" t="s">
        <v>2568</v>
      </c>
      <c r="H784" t="s">
        <v>187</v>
      </c>
      <c r="I784" t="s">
        <v>2569</v>
      </c>
      <c r="J784" s="1" t="s">
        <v>2570</v>
      </c>
    </row>
    <row r="785" spans="1:10" x14ac:dyDescent="0.25">
      <c r="A785" t="s">
        <v>2571</v>
      </c>
      <c r="B785">
        <v>1998</v>
      </c>
      <c r="C785" t="s">
        <v>179</v>
      </c>
      <c r="D785" t="b">
        <f>TRUE()</f>
        <v>1</v>
      </c>
      <c r="E785" t="b">
        <f>COUNTIF(connections!A:A, A785) &gt; 0</f>
        <v>1</v>
      </c>
      <c r="G785" t="s">
        <v>2572</v>
      </c>
      <c r="H785" t="s">
        <v>187</v>
      </c>
      <c r="I785" t="s">
        <v>2573</v>
      </c>
      <c r="J785" s="1" t="s">
        <v>2574</v>
      </c>
    </row>
    <row r="786" spans="1:10" x14ac:dyDescent="0.25">
      <c r="A786" t="s">
        <v>2575</v>
      </c>
      <c r="B786">
        <v>2026</v>
      </c>
      <c r="C786" t="s">
        <v>182</v>
      </c>
      <c r="D786" t="b">
        <f>TRUE()</f>
        <v>1</v>
      </c>
      <c r="E786" t="b">
        <f>COUNTIF(connections!A:A, A786) &gt; 0</f>
        <v>0</v>
      </c>
      <c r="G786" t="s">
        <v>2576</v>
      </c>
      <c r="J786" s="10" t="s">
        <v>2577</v>
      </c>
    </row>
    <row r="787" spans="1:10" x14ac:dyDescent="0.25">
      <c r="A787" t="s">
        <v>2578</v>
      </c>
      <c r="B787">
        <v>2017</v>
      </c>
      <c r="C787" t="s">
        <v>179</v>
      </c>
      <c r="D787" t="b">
        <f>TRUE()</f>
        <v>1</v>
      </c>
      <c r="E787" t="b">
        <f>COUNTIF(connections!A:A, A787) &gt; 0</f>
        <v>1</v>
      </c>
      <c r="G787" t="s">
        <v>2579</v>
      </c>
      <c r="H787" t="s">
        <v>187</v>
      </c>
      <c r="I787" t="s">
        <v>2580</v>
      </c>
      <c r="J787" s="1" t="s">
        <v>2581</v>
      </c>
    </row>
    <row r="788" spans="1:10" x14ac:dyDescent="0.25">
      <c r="A788" t="s">
        <v>2582</v>
      </c>
      <c r="B788">
        <v>2026</v>
      </c>
      <c r="C788" t="s">
        <v>222</v>
      </c>
      <c r="D788" t="b">
        <f>FALSE()</f>
        <v>0</v>
      </c>
      <c r="E788" t="b">
        <f>COUNTIF(connections!A:A, A788) &gt; 0</f>
        <v>0</v>
      </c>
      <c r="F788" t="s">
        <v>2583</v>
      </c>
      <c r="G788" t="s">
        <v>2584</v>
      </c>
      <c r="H788" t="s">
        <v>187</v>
      </c>
      <c r="I788" t="s">
        <v>2585</v>
      </c>
      <c r="J788" s="1" t="s">
        <v>2586</v>
      </c>
    </row>
    <row r="789" spans="1:10" x14ac:dyDescent="0.25">
      <c r="A789" t="s">
        <v>2587</v>
      </c>
      <c r="B789">
        <v>2006</v>
      </c>
      <c r="C789" t="s">
        <v>179</v>
      </c>
      <c r="D789" t="b">
        <f>TRUE()</f>
        <v>1</v>
      </c>
      <c r="E789" t="b">
        <f>COUNTIF(connections!A:A, A789) &gt; 0</f>
        <v>0</v>
      </c>
      <c r="G789" t="s">
        <v>2588</v>
      </c>
      <c r="H789" t="s">
        <v>187</v>
      </c>
      <c r="I789" t="s">
        <v>2589</v>
      </c>
    </row>
    <row r="790" spans="1:10" x14ac:dyDescent="0.25">
      <c r="A790" t="s">
        <v>2590</v>
      </c>
      <c r="B790">
        <v>2023</v>
      </c>
      <c r="C790" t="s">
        <v>176</v>
      </c>
      <c r="D790" t="b">
        <f>TRUE()</f>
        <v>1</v>
      </c>
      <c r="E790" t="b">
        <f>COUNTIF(connections!A:A, A790) &gt; 0</f>
        <v>0</v>
      </c>
      <c r="F790" t="s">
        <v>614</v>
      </c>
      <c r="G790" t="s">
        <v>2591</v>
      </c>
      <c r="H790" t="s">
        <v>187</v>
      </c>
      <c r="I790" t="s">
        <v>2592</v>
      </c>
      <c r="J790" s="1" t="s">
        <v>2593</v>
      </c>
    </row>
    <row r="791" spans="1:10" x14ac:dyDescent="0.25">
      <c r="A791" t="s">
        <v>2594</v>
      </c>
      <c r="B791">
        <v>2019</v>
      </c>
      <c r="C791" t="s">
        <v>222</v>
      </c>
      <c r="D791" t="b">
        <f>TRUE()</f>
        <v>1</v>
      </c>
      <c r="E791" t="b">
        <f>COUNTIF(connections!A:A, A791) &gt; 0</f>
        <v>1</v>
      </c>
      <c r="G791" t="s">
        <v>2595</v>
      </c>
    </row>
    <row r="792" spans="1:10" x14ac:dyDescent="0.25">
      <c r="A792" t="s">
        <v>2596</v>
      </c>
      <c r="B792">
        <v>2026</v>
      </c>
      <c r="C792" t="s">
        <v>176</v>
      </c>
      <c r="D792" t="b">
        <v>1</v>
      </c>
      <c r="E792" t="b">
        <f>COUNTIF(connections!A:A, A792) &gt; 0</f>
        <v>0</v>
      </c>
      <c r="G792" t="s">
        <v>2597</v>
      </c>
      <c r="J792" s="10" t="s">
        <v>2598</v>
      </c>
    </row>
    <row r="793" spans="1:10" x14ac:dyDescent="0.25">
      <c r="A793" t="s">
        <v>2599</v>
      </c>
      <c r="B793">
        <v>2024</v>
      </c>
      <c r="C793" t="s">
        <v>176</v>
      </c>
      <c r="D793" t="b">
        <f>TRUE()</f>
        <v>1</v>
      </c>
      <c r="E793" t="b">
        <f>COUNTIF(connections!A:A, A793) &gt; 0</f>
        <v>0</v>
      </c>
      <c r="G793" t="s">
        <v>2600</v>
      </c>
      <c r="H793" t="s">
        <v>187</v>
      </c>
      <c r="I793" t="s">
        <v>2601</v>
      </c>
      <c r="J793" s="1" t="s">
        <v>2602</v>
      </c>
    </row>
    <row r="794" spans="1:10" x14ac:dyDescent="0.25">
      <c r="A794" t="s">
        <v>2603</v>
      </c>
      <c r="B794">
        <v>2024</v>
      </c>
      <c r="C794" t="s">
        <v>176</v>
      </c>
      <c r="D794" t="b">
        <f>TRUE()</f>
        <v>1</v>
      </c>
      <c r="E794" t="b">
        <f>COUNTIF(connections!A:A, A794) &gt; 0</f>
        <v>0</v>
      </c>
      <c r="G794" t="s">
        <v>2604</v>
      </c>
    </row>
    <row r="795" spans="1:10" x14ac:dyDescent="0.25">
      <c r="A795" t="s">
        <v>2605</v>
      </c>
      <c r="B795">
        <v>2022</v>
      </c>
      <c r="C795" t="s">
        <v>222</v>
      </c>
      <c r="D795" t="b">
        <f>TRUE()</f>
        <v>1</v>
      </c>
      <c r="E795" t="b">
        <f>COUNTIF(connections!A:A, A795) &gt; 0</f>
        <v>0</v>
      </c>
      <c r="G795" t="s">
        <v>2606</v>
      </c>
      <c r="H795" t="s">
        <v>187</v>
      </c>
      <c r="I795" t="s">
        <v>2607</v>
      </c>
      <c r="J795" s="1" t="s">
        <v>2608</v>
      </c>
    </row>
    <row r="796" spans="1:10" x14ac:dyDescent="0.25">
      <c r="A796" t="s">
        <v>2609</v>
      </c>
      <c r="B796">
        <v>2026</v>
      </c>
      <c r="C796" t="s">
        <v>176</v>
      </c>
      <c r="D796" t="b">
        <f>TRUE()</f>
        <v>1</v>
      </c>
      <c r="E796" t="b">
        <f>COUNTIF(connections!A:A, A796) &gt; 0</f>
        <v>0</v>
      </c>
      <c r="G796" t="s">
        <v>2610</v>
      </c>
      <c r="J796" s="10" t="s">
        <v>2611</v>
      </c>
    </row>
    <row r="797" spans="1:10" x14ac:dyDescent="0.25">
      <c r="A797" t="s">
        <v>2612</v>
      </c>
      <c r="B797">
        <v>2024</v>
      </c>
      <c r="C797" t="s">
        <v>176</v>
      </c>
      <c r="D797" t="b">
        <f>TRUE()</f>
        <v>1</v>
      </c>
      <c r="E797" t="b">
        <f>COUNTIF(connections!A:A, A797) &gt; 0</f>
        <v>0</v>
      </c>
      <c r="G797" t="s">
        <v>2613</v>
      </c>
    </row>
    <row r="798" spans="1:10" x14ac:dyDescent="0.25">
      <c r="A798" t="s">
        <v>2614</v>
      </c>
      <c r="B798">
        <v>2025</v>
      </c>
      <c r="C798" t="s">
        <v>222</v>
      </c>
      <c r="D798" t="b">
        <f>TRUE()</f>
        <v>1</v>
      </c>
      <c r="E798" t="b">
        <f>COUNTIF(connections!A:A, A798) &gt; 0</f>
        <v>1</v>
      </c>
      <c r="G798" t="s">
        <v>2615</v>
      </c>
    </row>
    <row r="799" spans="1:10" x14ac:dyDescent="0.25">
      <c r="A799" t="s">
        <v>160</v>
      </c>
      <c r="B799">
        <v>2011</v>
      </c>
      <c r="C799" t="s">
        <v>176</v>
      </c>
      <c r="D799" t="b">
        <f>TRUE()</f>
        <v>1</v>
      </c>
      <c r="E799" t="b">
        <f>COUNTIF(connections!A:A, A799) &gt; 0</f>
        <v>1</v>
      </c>
      <c r="G799" t="s">
        <v>2616</v>
      </c>
      <c r="H799" t="s">
        <v>187</v>
      </c>
      <c r="I799" t="s">
        <v>2617</v>
      </c>
      <c r="J799" s="1" t="s">
        <v>2618</v>
      </c>
    </row>
    <row r="800" spans="1:10" x14ac:dyDescent="0.25">
      <c r="A800" t="s">
        <v>2619</v>
      </c>
      <c r="B800">
        <v>2014</v>
      </c>
      <c r="C800" t="s">
        <v>176</v>
      </c>
      <c r="D800" t="b">
        <f>TRUE()</f>
        <v>1</v>
      </c>
      <c r="E800" t="b">
        <f>COUNTIF(connections!A:A, A800) &gt; 0</f>
        <v>0</v>
      </c>
      <c r="G800" t="s">
        <v>2620</v>
      </c>
      <c r="H800" t="s">
        <v>187</v>
      </c>
      <c r="I800" t="s">
        <v>2621</v>
      </c>
      <c r="J800" s="1" t="s">
        <v>2622</v>
      </c>
    </row>
    <row r="801" spans="1:10" x14ac:dyDescent="0.25">
      <c r="A801" t="s">
        <v>2623</v>
      </c>
      <c r="B801">
        <v>2021</v>
      </c>
      <c r="C801" t="s">
        <v>179</v>
      </c>
      <c r="D801" t="b">
        <f>TRUE()</f>
        <v>1</v>
      </c>
      <c r="E801" t="b">
        <f>COUNTIF(connections!A:A, A801) &gt; 0</f>
        <v>0</v>
      </c>
      <c r="G801" t="s">
        <v>2624</v>
      </c>
    </row>
    <row r="802" spans="1:10" x14ac:dyDescent="0.25">
      <c r="A802" t="s">
        <v>2625</v>
      </c>
      <c r="B802">
        <v>2000</v>
      </c>
      <c r="C802" t="s">
        <v>179</v>
      </c>
      <c r="D802" t="b">
        <f>TRUE()</f>
        <v>1</v>
      </c>
      <c r="E802" t="b">
        <f>COUNTIF(connections!A:A, A802) &gt; 0</f>
        <v>1</v>
      </c>
      <c r="G802" t="s">
        <v>2626</v>
      </c>
      <c r="H802" t="s">
        <v>187</v>
      </c>
      <c r="I802" t="s">
        <v>2627</v>
      </c>
    </row>
    <row r="803" spans="1:10" x14ac:dyDescent="0.25">
      <c r="A803" t="s">
        <v>2628</v>
      </c>
      <c r="B803">
        <v>2025</v>
      </c>
      <c r="C803" t="s">
        <v>182</v>
      </c>
      <c r="D803" t="b">
        <f>FALSE()</f>
        <v>0</v>
      </c>
      <c r="E803" t="b">
        <f>COUNTIF(connections!A:A, A803) &gt; 0</f>
        <v>0</v>
      </c>
      <c r="F803" t="s">
        <v>1076</v>
      </c>
      <c r="G803" t="s">
        <v>2629</v>
      </c>
    </row>
    <row r="804" spans="1:10" x14ac:dyDescent="0.25">
      <c r="A804" t="s">
        <v>2630</v>
      </c>
      <c r="B804">
        <v>2016</v>
      </c>
      <c r="C804" t="s">
        <v>176</v>
      </c>
      <c r="D804" t="b">
        <f>TRUE()</f>
        <v>1</v>
      </c>
      <c r="E804" t="b">
        <f>COUNTIF(connections!A:A, A804) &gt; 0</f>
        <v>0</v>
      </c>
      <c r="G804" t="s">
        <v>2631</v>
      </c>
      <c r="H804" t="s">
        <v>187</v>
      </c>
      <c r="I804" t="s">
        <v>2632</v>
      </c>
      <c r="J804" s="1" t="s">
        <v>2633</v>
      </c>
    </row>
    <row r="805" spans="1:10" x14ac:dyDescent="0.25">
      <c r="A805" t="s">
        <v>2634</v>
      </c>
      <c r="B805">
        <v>2014</v>
      </c>
      <c r="C805" t="s">
        <v>179</v>
      </c>
      <c r="D805" t="b">
        <f>TRUE()</f>
        <v>1</v>
      </c>
      <c r="E805" t="b">
        <f>COUNTIF(connections!A:A, A805) &gt; 0</f>
        <v>1</v>
      </c>
      <c r="G805" t="s">
        <v>2635</v>
      </c>
      <c r="H805" t="s">
        <v>187</v>
      </c>
      <c r="I805" t="s">
        <v>2636</v>
      </c>
    </row>
    <row r="806" spans="1:10" x14ac:dyDescent="0.25">
      <c r="A806" t="s">
        <v>2637</v>
      </c>
      <c r="B806">
        <v>2013</v>
      </c>
      <c r="C806" t="s">
        <v>179</v>
      </c>
      <c r="D806" t="b">
        <f>TRUE()</f>
        <v>1</v>
      </c>
      <c r="E806" t="b">
        <f>COUNTIF(connections!A:A, A806) &gt; 0</f>
        <v>0</v>
      </c>
      <c r="G806" t="s">
        <v>2638</v>
      </c>
    </row>
    <row r="807" spans="1:10" x14ac:dyDescent="0.25">
      <c r="A807" t="s">
        <v>2639</v>
      </c>
      <c r="B807">
        <v>2025</v>
      </c>
      <c r="C807" t="s">
        <v>222</v>
      </c>
      <c r="D807" t="b">
        <f>FALSE()</f>
        <v>0</v>
      </c>
      <c r="E807" t="b">
        <f>COUNTIF(connections!A:A, A807) &gt; 0</f>
        <v>0</v>
      </c>
      <c r="G807" t="s">
        <v>2640</v>
      </c>
      <c r="H807" t="s">
        <v>187</v>
      </c>
      <c r="I807" t="s">
        <v>2641</v>
      </c>
      <c r="J807" s="1" t="s">
        <v>2642</v>
      </c>
    </row>
    <row r="808" spans="1:10" x14ac:dyDescent="0.25">
      <c r="A808" t="s">
        <v>2643</v>
      </c>
      <c r="B808">
        <v>2024</v>
      </c>
      <c r="C808" t="s">
        <v>222</v>
      </c>
      <c r="D808" t="b">
        <f>TRUE()</f>
        <v>1</v>
      </c>
      <c r="E808" t="b">
        <f>COUNTIF(connections!A:A, A808) &gt; 0</f>
        <v>0</v>
      </c>
      <c r="G808" t="s">
        <v>2644</v>
      </c>
    </row>
    <row r="809" spans="1:10" x14ac:dyDescent="0.25">
      <c r="A809" t="s">
        <v>2645</v>
      </c>
      <c r="B809">
        <v>2023</v>
      </c>
      <c r="C809" t="s">
        <v>176</v>
      </c>
      <c r="D809" t="b">
        <f>TRUE()</f>
        <v>1</v>
      </c>
      <c r="E809" t="b">
        <f>COUNTIF(connections!A:A, A809) &gt; 0</f>
        <v>0</v>
      </c>
      <c r="G809" t="s">
        <v>2646</v>
      </c>
      <c r="H809" t="s">
        <v>187</v>
      </c>
      <c r="I809" t="s">
        <v>8335</v>
      </c>
      <c r="J809" s="10" t="s">
        <v>2647</v>
      </c>
    </row>
    <row r="810" spans="1:10" x14ac:dyDescent="0.25">
      <c r="A810" t="s">
        <v>2648</v>
      </c>
      <c r="B810">
        <v>2021</v>
      </c>
      <c r="C810" t="s">
        <v>222</v>
      </c>
      <c r="D810" t="b">
        <f>TRUE()</f>
        <v>1</v>
      </c>
      <c r="E810" t="b">
        <f>COUNTIF(connections!A:A, A810) &gt; 0</f>
        <v>0</v>
      </c>
      <c r="G810" t="s">
        <v>2649</v>
      </c>
      <c r="H810" t="s">
        <v>187</v>
      </c>
      <c r="I810" t="s">
        <v>2650</v>
      </c>
      <c r="J810" s="1" t="s">
        <v>2651</v>
      </c>
    </row>
    <row r="811" spans="1:10" x14ac:dyDescent="0.25">
      <c r="A811" t="s">
        <v>2652</v>
      </c>
      <c r="B811">
        <v>2019</v>
      </c>
      <c r="C811" t="s">
        <v>222</v>
      </c>
      <c r="D811" t="b">
        <f>TRUE()</f>
        <v>1</v>
      </c>
      <c r="E811" t="b">
        <f>COUNTIF(connections!A:A, A811) &gt; 0</f>
        <v>1</v>
      </c>
      <c r="G811" t="s">
        <v>2653</v>
      </c>
      <c r="H811" t="s">
        <v>187</v>
      </c>
      <c r="I811" t="s">
        <v>2654</v>
      </c>
      <c r="J811" s="1" t="s">
        <v>2655</v>
      </c>
    </row>
    <row r="812" spans="1:10" x14ac:dyDescent="0.25">
      <c r="A812" t="s">
        <v>7928</v>
      </c>
      <c r="B812">
        <v>2026</v>
      </c>
      <c r="C812" t="s">
        <v>182</v>
      </c>
      <c r="D812" t="b">
        <f>TRUE()</f>
        <v>1</v>
      </c>
      <c r="E812" t="b">
        <f>COUNTIF(connections!A:A, A812) &gt; 0</f>
        <v>0</v>
      </c>
      <c r="G812" t="s">
        <v>7929</v>
      </c>
      <c r="J812" s="10" t="s">
        <v>7930</v>
      </c>
    </row>
    <row r="813" spans="1:10" x14ac:dyDescent="0.25">
      <c r="A813" t="s">
        <v>8136</v>
      </c>
      <c r="B813">
        <v>2026</v>
      </c>
      <c r="C813" t="s">
        <v>176</v>
      </c>
      <c r="D813" t="b">
        <f>TRUE()</f>
        <v>1</v>
      </c>
      <c r="E813" t="b">
        <f>COUNTIF(connections!A:A, A813) &gt; 0</f>
        <v>0</v>
      </c>
      <c r="G813" t="s">
        <v>8138</v>
      </c>
      <c r="J813" s="10" t="s">
        <v>8137</v>
      </c>
    </row>
    <row r="814" spans="1:10" x14ac:dyDescent="0.25">
      <c r="A814" t="s">
        <v>2656</v>
      </c>
      <c r="B814">
        <v>2004</v>
      </c>
      <c r="C814" t="s">
        <v>179</v>
      </c>
      <c r="D814" t="b">
        <f>TRUE()</f>
        <v>1</v>
      </c>
      <c r="E814" t="b">
        <f>COUNTIF(connections!A:A, A814) &gt; 0</f>
        <v>0</v>
      </c>
      <c r="G814" t="s">
        <v>2657</v>
      </c>
      <c r="H814" t="s">
        <v>187</v>
      </c>
      <c r="I814" t="s">
        <v>2658</v>
      </c>
    </row>
    <row r="815" spans="1:10" x14ac:dyDescent="0.25">
      <c r="A815" t="s">
        <v>2659</v>
      </c>
      <c r="B815">
        <v>2023</v>
      </c>
      <c r="C815" t="s">
        <v>222</v>
      </c>
      <c r="D815" t="b">
        <f>TRUE()</f>
        <v>1</v>
      </c>
      <c r="E815" t="b">
        <f>COUNTIF(connections!A:A, A815) &gt; 0</f>
        <v>0</v>
      </c>
      <c r="F815" t="s">
        <v>1164</v>
      </c>
      <c r="G815" t="s">
        <v>2660</v>
      </c>
      <c r="H815" t="s">
        <v>187</v>
      </c>
      <c r="I815" t="s">
        <v>2661</v>
      </c>
      <c r="J815" s="1" t="s">
        <v>2662</v>
      </c>
    </row>
    <row r="816" spans="1:10" x14ac:dyDescent="0.25">
      <c r="A816" t="s">
        <v>2663</v>
      </c>
      <c r="B816">
        <v>2024</v>
      </c>
      <c r="C816" t="s">
        <v>176</v>
      </c>
      <c r="D816" t="b">
        <f>TRUE()</f>
        <v>1</v>
      </c>
      <c r="E816" t="b">
        <f>COUNTIF(connections!A:A, A816) &gt; 0</f>
        <v>0</v>
      </c>
      <c r="G816" t="s">
        <v>2664</v>
      </c>
      <c r="H816" t="s">
        <v>187</v>
      </c>
      <c r="I816" t="s">
        <v>2665</v>
      </c>
      <c r="J816" s="1" t="s">
        <v>2666</v>
      </c>
    </row>
    <row r="817" spans="1:10" x14ac:dyDescent="0.25">
      <c r="A817" t="s">
        <v>2667</v>
      </c>
      <c r="B817">
        <v>2025</v>
      </c>
      <c r="C817" t="s">
        <v>182</v>
      </c>
      <c r="D817" t="b">
        <f>TRUE()</f>
        <v>1</v>
      </c>
      <c r="E817" t="b">
        <f>COUNTIF(connections!A:A, A817) &gt; 0</f>
        <v>0</v>
      </c>
      <c r="G817" t="s">
        <v>2668</v>
      </c>
      <c r="H817" t="s">
        <v>187</v>
      </c>
      <c r="I817" t="s">
        <v>8128</v>
      </c>
      <c r="J817" s="10" t="s">
        <v>2985</v>
      </c>
    </row>
    <row r="818" spans="1:10" x14ac:dyDescent="0.25">
      <c r="A818" t="s">
        <v>2669</v>
      </c>
      <c r="B818">
        <v>2024</v>
      </c>
      <c r="C818" t="s">
        <v>176</v>
      </c>
      <c r="D818" t="b">
        <f>TRUE()</f>
        <v>1</v>
      </c>
      <c r="E818" t="b">
        <f>COUNTIF(connections!A:A, A818) &gt; 0</f>
        <v>0</v>
      </c>
      <c r="G818" t="s">
        <v>2670</v>
      </c>
    </row>
    <row r="819" spans="1:10" x14ac:dyDescent="0.25">
      <c r="A819" t="s">
        <v>2671</v>
      </c>
      <c r="B819">
        <v>2026</v>
      </c>
      <c r="C819" t="s">
        <v>182</v>
      </c>
      <c r="D819" t="b">
        <f>TRUE()</f>
        <v>1</v>
      </c>
      <c r="E819" t="b">
        <f>COUNTIF(connections!A:A, A819) &gt; 0</f>
        <v>0</v>
      </c>
      <c r="F819" t="s">
        <v>506</v>
      </c>
      <c r="G819" t="s">
        <v>2672</v>
      </c>
      <c r="H819" t="s">
        <v>187</v>
      </c>
      <c r="I819" t="s">
        <v>2673</v>
      </c>
      <c r="J819" s="1" t="s">
        <v>2674</v>
      </c>
    </row>
    <row r="820" spans="1:10" x14ac:dyDescent="0.25">
      <c r="A820" t="s">
        <v>2675</v>
      </c>
      <c r="B820">
        <v>2022</v>
      </c>
      <c r="C820" t="s">
        <v>176</v>
      </c>
      <c r="D820" t="b">
        <f>TRUE()</f>
        <v>1</v>
      </c>
      <c r="E820" t="b">
        <f>COUNTIF(connections!A:A, A820) &gt; 0</f>
        <v>1</v>
      </c>
      <c r="G820" t="s">
        <v>2676</v>
      </c>
      <c r="H820" t="s">
        <v>187</v>
      </c>
      <c r="I820" t="s">
        <v>2677</v>
      </c>
      <c r="J820" s="1" t="s">
        <v>2678</v>
      </c>
    </row>
    <row r="821" spans="1:10" x14ac:dyDescent="0.25">
      <c r="A821" t="s">
        <v>2679</v>
      </c>
      <c r="B821">
        <v>2018</v>
      </c>
      <c r="C821" t="s">
        <v>176</v>
      </c>
      <c r="D821" t="b">
        <f>TRUE()</f>
        <v>1</v>
      </c>
      <c r="E821" t="b">
        <f>COUNTIF(connections!A:A, A821) &gt; 0</f>
        <v>0</v>
      </c>
      <c r="G821" t="s">
        <v>2680</v>
      </c>
    </row>
    <row r="822" spans="1:10" x14ac:dyDescent="0.25">
      <c r="A822" t="s">
        <v>2681</v>
      </c>
      <c r="B822">
        <v>2014</v>
      </c>
      <c r="C822" t="s">
        <v>179</v>
      </c>
      <c r="D822" t="b">
        <f>TRUE()</f>
        <v>1</v>
      </c>
      <c r="E822" t="b">
        <f>COUNTIF(connections!A:A, A822) &gt; 0</f>
        <v>0</v>
      </c>
      <c r="G822" t="s">
        <v>2682</v>
      </c>
      <c r="J822" s="10" t="s">
        <v>2683</v>
      </c>
    </row>
    <row r="823" spans="1:10" x14ac:dyDescent="0.25">
      <c r="A823" t="s">
        <v>2684</v>
      </c>
      <c r="B823">
        <v>2025</v>
      </c>
      <c r="C823" t="s">
        <v>222</v>
      </c>
      <c r="D823" t="b">
        <f>FALSE()</f>
        <v>0</v>
      </c>
      <c r="E823" t="b">
        <f>COUNTIF(connections!A:A, A823) &gt; 0</f>
        <v>0</v>
      </c>
      <c r="F823" t="s">
        <v>404</v>
      </c>
      <c r="G823" t="s">
        <v>2685</v>
      </c>
    </row>
    <row r="824" spans="1:10" x14ac:dyDescent="0.25">
      <c r="A824" t="s">
        <v>2686</v>
      </c>
      <c r="B824">
        <v>2025</v>
      </c>
      <c r="C824" t="s">
        <v>182</v>
      </c>
      <c r="D824" t="b">
        <f>TRUE()</f>
        <v>1</v>
      </c>
      <c r="E824" t="b">
        <f>COUNTIF(connections!A:A, A824) &gt; 0</f>
        <v>0</v>
      </c>
      <c r="G824" t="s">
        <v>2687</v>
      </c>
    </row>
    <row r="825" spans="1:10" x14ac:dyDescent="0.25">
      <c r="A825" t="s">
        <v>2688</v>
      </c>
      <c r="B825">
        <v>2023</v>
      </c>
      <c r="C825" t="s">
        <v>176</v>
      </c>
      <c r="D825" t="b">
        <f>TRUE()</f>
        <v>1</v>
      </c>
      <c r="E825" t="b">
        <f>COUNTIF(connections!A:A, A825) &gt; 0</f>
        <v>0</v>
      </c>
      <c r="G825" t="s">
        <v>2689</v>
      </c>
      <c r="H825" t="s">
        <v>187</v>
      </c>
      <c r="I825" t="s">
        <v>9964</v>
      </c>
      <c r="J825" s="10" t="s">
        <v>2690</v>
      </c>
    </row>
    <row r="826" spans="1:10" x14ac:dyDescent="0.25">
      <c r="A826" t="s">
        <v>2691</v>
      </c>
      <c r="B826">
        <v>2023</v>
      </c>
      <c r="C826" t="s">
        <v>176</v>
      </c>
      <c r="D826" t="b">
        <f>TRUE()</f>
        <v>1</v>
      </c>
      <c r="E826" t="b">
        <f>COUNTIF(connections!A:A, A826) &gt; 0</f>
        <v>0</v>
      </c>
      <c r="G826" t="s">
        <v>2692</v>
      </c>
      <c r="H826" t="s">
        <v>187</v>
      </c>
      <c r="I826" t="s">
        <v>2693</v>
      </c>
      <c r="J826" s="1" t="s">
        <v>2694</v>
      </c>
    </row>
    <row r="827" spans="1:10" x14ac:dyDescent="0.25">
      <c r="A827" t="s">
        <v>7957</v>
      </c>
      <c r="B827">
        <v>2026</v>
      </c>
      <c r="C827" t="s">
        <v>182</v>
      </c>
      <c r="D827" t="b">
        <f>TRUE()</f>
        <v>1</v>
      </c>
      <c r="E827" t="b">
        <f>COUNTIF(connections!A:A, A827) &gt; 0</f>
        <v>0</v>
      </c>
      <c r="G827" t="s">
        <v>7958</v>
      </c>
      <c r="J827" s="10" t="s">
        <v>7959</v>
      </c>
    </row>
    <row r="828" spans="1:10" x14ac:dyDescent="0.25">
      <c r="A828" t="s">
        <v>2695</v>
      </c>
      <c r="B828">
        <v>2025</v>
      </c>
      <c r="C828" t="s">
        <v>182</v>
      </c>
      <c r="D828" t="b">
        <f>TRUE()</f>
        <v>1</v>
      </c>
      <c r="E828" t="b">
        <f>COUNTIF(connections!A:A, A828) &gt; 0</f>
        <v>1</v>
      </c>
      <c r="F828" t="s">
        <v>1030</v>
      </c>
      <c r="G828" t="s">
        <v>2696</v>
      </c>
      <c r="J828" s="10" t="s">
        <v>2697</v>
      </c>
    </row>
    <row r="829" spans="1:10" x14ac:dyDescent="0.25">
      <c r="A829" t="s">
        <v>2698</v>
      </c>
      <c r="B829">
        <v>2022</v>
      </c>
      <c r="C829" t="s">
        <v>176</v>
      </c>
      <c r="D829" t="b">
        <f>TRUE()</f>
        <v>1</v>
      </c>
      <c r="E829" t="b">
        <f>COUNTIF(connections!A:A, A829) &gt; 0</f>
        <v>1</v>
      </c>
      <c r="G829" t="s">
        <v>2699</v>
      </c>
      <c r="H829" t="s">
        <v>187</v>
      </c>
      <c r="I829" t="s">
        <v>2700</v>
      </c>
      <c r="J829" s="1" t="s">
        <v>2701</v>
      </c>
    </row>
    <row r="830" spans="1:10" x14ac:dyDescent="0.25">
      <c r="A830" t="s">
        <v>2702</v>
      </c>
      <c r="B830">
        <v>2022</v>
      </c>
      <c r="C830" t="s">
        <v>222</v>
      </c>
      <c r="D830" t="b">
        <f>TRUE()</f>
        <v>1</v>
      </c>
      <c r="E830" t="b">
        <f>COUNTIF(connections!A:A, A830) &gt; 0</f>
        <v>0</v>
      </c>
      <c r="G830" t="s">
        <v>2703</v>
      </c>
      <c r="H830" t="s">
        <v>187</v>
      </c>
      <c r="I830" t="s">
        <v>2704</v>
      </c>
      <c r="J830" s="1" t="s">
        <v>2705</v>
      </c>
    </row>
    <row r="831" spans="1:10" x14ac:dyDescent="0.25">
      <c r="A831" t="s">
        <v>2706</v>
      </c>
      <c r="B831">
        <v>1991</v>
      </c>
      <c r="C831" t="s">
        <v>176</v>
      </c>
      <c r="D831" t="b">
        <f>TRUE()</f>
        <v>1</v>
      </c>
      <c r="E831" t="b">
        <f>COUNTIF(connections!A:A, A831) &gt; 0</f>
        <v>1</v>
      </c>
      <c r="G831" t="s">
        <v>2707</v>
      </c>
      <c r="H831" t="s">
        <v>187</v>
      </c>
      <c r="I831" t="s">
        <v>2708</v>
      </c>
    </row>
    <row r="832" spans="1:10" x14ac:dyDescent="0.25">
      <c r="A832" t="s">
        <v>2709</v>
      </c>
      <c r="B832">
        <v>2019</v>
      </c>
      <c r="C832" t="s">
        <v>176</v>
      </c>
      <c r="D832" t="b">
        <f>TRUE()</f>
        <v>1</v>
      </c>
      <c r="E832" t="b">
        <f>COUNTIF(connections!A:A, A832) &gt; 0</f>
        <v>0</v>
      </c>
      <c r="G832" t="s">
        <v>2710</v>
      </c>
    </row>
    <row r="833" spans="1:10" x14ac:dyDescent="0.25">
      <c r="A833" t="s">
        <v>2711</v>
      </c>
      <c r="B833">
        <v>2022</v>
      </c>
      <c r="C833" t="s">
        <v>176</v>
      </c>
      <c r="D833" t="b">
        <f>TRUE()</f>
        <v>1</v>
      </c>
      <c r="E833" t="b">
        <f>COUNTIF(connections!A:A, A833) &gt; 0</f>
        <v>0</v>
      </c>
      <c r="G833" t="s">
        <v>2712</v>
      </c>
      <c r="H833" t="s">
        <v>187</v>
      </c>
      <c r="I833" t="s">
        <v>2713</v>
      </c>
      <c r="J833" s="1" t="s">
        <v>2714</v>
      </c>
    </row>
    <row r="834" spans="1:10" x14ac:dyDescent="0.25">
      <c r="A834" t="s">
        <v>2715</v>
      </c>
      <c r="B834">
        <v>1999</v>
      </c>
      <c r="C834" t="s">
        <v>179</v>
      </c>
      <c r="D834" t="b">
        <f>TRUE()</f>
        <v>1</v>
      </c>
      <c r="E834" t="b">
        <f>COUNTIF(connections!A:A, A834) &gt; 0</f>
        <v>1</v>
      </c>
      <c r="G834" t="s">
        <v>2716</v>
      </c>
      <c r="H834" t="s">
        <v>187</v>
      </c>
      <c r="I834" t="s">
        <v>2717</v>
      </c>
    </row>
    <row r="835" spans="1:10" x14ac:dyDescent="0.25">
      <c r="A835" t="s">
        <v>2718</v>
      </c>
      <c r="B835">
        <v>2002</v>
      </c>
      <c r="C835" t="s">
        <v>179</v>
      </c>
      <c r="D835" t="b">
        <f>TRUE()</f>
        <v>1</v>
      </c>
      <c r="E835" t="b">
        <f>COUNTIF(connections!A:A, A835) &gt; 0</f>
        <v>0</v>
      </c>
      <c r="G835" t="s">
        <v>2719</v>
      </c>
      <c r="H835" t="s">
        <v>187</v>
      </c>
      <c r="I835" t="s">
        <v>2720</v>
      </c>
    </row>
    <row r="836" spans="1:10" x14ac:dyDescent="0.25">
      <c r="A836" t="s">
        <v>2721</v>
      </c>
      <c r="B836">
        <v>1993</v>
      </c>
      <c r="C836" t="s">
        <v>179</v>
      </c>
      <c r="D836" t="b">
        <f>TRUE()</f>
        <v>1</v>
      </c>
      <c r="E836" t="b">
        <f>COUNTIF(connections!A:A, A836) &gt; 0</f>
        <v>1</v>
      </c>
      <c r="G836" t="s">
        <v>2722</v>
      </c>
      <c r="H836" t="s">
        <v>187</v>
      </c>
      <c r="I836" t="s">
        <v>2723</v>
      </c>
    </row>
    <row r="837" spans="1:10" x14ac:dyDescent="0.25">
      <c r="A837" t="s">
        <v>2724</v>
      </c>
      <c r="B837">
        <v>2025</v>
      </c>
      <c r="C837" t="s">
        <v>179</v>
      </c>
      <c r="D837" t="b">
        <f>TRUE()</f>
        <v>1</v>
      </c>
      <c r="E837" t="b">
        <f>COUNTIF(connections!A:A, A837) &gt; 0</f>
        <v>0</v>
      </c>
      <c r="F837" t="s">
        <v>328</v>
      </c>
      <c r="G837" t="s">
        <v>2725</v>
      </c>
      <c r="H837" t="s">
        <v>187</v>
      </c>
      <c r="I837" t="s">
        <v>2726</v>
      </c>
      <c r="J837" s="1" t="s">
        <v>2727</v>
      </c>
    </row>
    <row r="838" spans="1:10" x14ac:dyDescent="0.25">
      <c r="A838" t="s">
        <v>2728</v>
      </c>
      <c r="B838">
        <v>2024</v>
      </c>
      <c r="C838" t="s">
        <v>179</v>
      </c>
      <c r="D838" t="b">
        <f>TRUE()</f>
        <v>1</v>
      </c>
      <c r="E838" t="b">
        <f>COUNTIF(connections!A:A, A838) &gt; 0</f>
        <v>0</v>
      </c>
      <c r="F838" t="s">
        <v>328</v>
      </c>
      <c r="G838" t="s">
        <v>2729</v>
      </c>
      <c r="J838" s="10" t="s">
        <v>2730</v>
      </c>
    </row>
    <row r="839" spans="1:10" x14ac:dyDescent="0.25">
      <c r="A839" t="s">
        <v>2731</v>
      </c>
      <c r="B839">
        <v>2021</v>
      </c>
      <c r="C839" t="s">
        <v>179</v>
      </c>
      <c r="D839" t="b">
        <f>TRUE()</f>
        <v>1</v>
      </c>
      <c r="E839" t="b">
        <f>COUNTIF(connections!A:A, A839) &gt; 0</f>
        <v>0</v>
      </c>
      <c r="F839" t="s">
        <v>328</v>
      </c>
      <c r="G839" t="s">
        <v>2732</v>
      </c>
      <c r="J839" s="10" t="s">
        <v>2733</v>
      </c>
    </row>
    <row r="840" spans="1:10" x14ac:dyDescent="0.25">
      <c r="A840" t="s">
        <v>2734</v>
      </c>
      <c r="B840">
        <v>2022</v>
      </c>
      <c r="C840" t="s">
        <v>182</v>
      </c>
      <c r="D840" t="b">
        <f>TRUE()</f>
        <v>1</v>
      </c>
      <c r="E840" t="b">
        <f>COUNTIF(connections!A:A, A840) &gt; 0</f>
        <v>0</v>
      </c>
      <c r="F840" t="s">
        <v>328</v>
      </c>
      <c r="G840" t="s">
        <v>2735</v>
      </c>
    </row>
    <row r="841" spans="1:10" x14ac:dyDescent="0.25">
      <c r="A841" t="s">
        <v>10089</v>
      </c>
      <c r="B841">
        <v>2024</v>
      </c>
      <c r="C841" t="s">
        <v>176</v>
      </c>
      <c r="D841" t="b">
        <v>0</v>
      </c>
      <c r="E841" t="b">
        <f>COUNTIF(connections!A:A, A841) &gt; 0</f>
        <v>0</v>
      </c>
      <c r="F841" t="s">
        <v>328</v>
      </c>
      <c r="G841" t="s">
        <v>10090</v>
      </c>
      <c r="J841" s="10" t="s">
        <v>10091</v>
      </c>
    </row>
    <row r="842" spans="1:10" x14ac:dyDescent="0.25">
      <c r="A842" t="s">
        <v>2736</v>
      </c>
      <c r="B842">
        <v>2025</v>
      </c>
      <c r="C842" t="s">
        <v>222</v>
      </c>
      <c r="D842" t="b">
        <f>TRUE()</f>
        <v>1</v>
      </c>
      <c r="E842" t="b">
        <f>COUNTIF(connections!A:A, A842) &gt; 0</f>
        <v>0</v>
      </c>
      <c r="G842" t="s">
        <v>2737</v>
      </c>
    </row>
    <row r="843" spans="1:10" x14ac:dyDescent="0.25">
      <c r="A843" t="s">
        <v>2738</v>
      </c>
      <c r="B843">
        <v>2023</v>
      </c>
      <c r="C843" t="s">
        <v>182</v>
      </c>
      <c r="D843" t="b">
        <f>TRUE()</f>
        <v>1</v>
      </c>
      <c r="E843" t="b">
        <f>COUNTIF(connections!A:A, A843) &gt; 0</f>
        <v>0</v>
      </c>
      <c r="F843" t="s">
        <v>404</v>
      </c>
      <c r="G843" t="s">
        <v>2739</v>
      </c>
      <c r="H843" t="s">
        <v>187</v>
      </c>
      <c r="I843" t="s">
        <v>2740</v>
      </c>
      <c r="J843" s="1" t="s">
        <v>2741</v>
      </c>
    </row>
    <row r="844" spans="1:10" x14ac:dyDescent="0.25">
      <c r="A844" t="s">
        <v>2742</v>
      </c>
      <c r="B844">
        <v>2024</v>
      </c>
      <c r="C844" t="s">
        <v>222</v>
      </c>
      <c r="D844" t="b">
        <f>TRUE()</f>
        <v>1</v>
      </c>
      <c r="E844" t="b">
        <f>COUNTIF(connections!A:A, A844) &gt; 0</f>
        <v>0</v>
      </c>
      <c r="F844" t="s">
        <v>404</v>
      </c>
      <c r="G844" t="s">
        <v>2743</v>
      </c>
    </row>
    <row r="845" spans="1:10" x14ac:dyDescent="0.25">
      <c r="A845" t="s">
        <v>2744</v>
      </c>
      <c r="B845">
        <v>2017</v>
      </c>
      <c r="C845" t="s">
        <v>176</v>
      </c>
      <c r="D845" t="b">
        <f>TRUE()</f>
        <v>1</v>
      </c>
      <c r="E845" t="b">
        <f>COUNTIF(connections!A:A, A845) &gt; 0</f>
        <v>0</v>
      </c>
      <c r="G845" t="s">
        <v>2745</v>
      </c>
      <c r="H845" t="s">
        <v>187</v>
      </c>
      <c r="I845" t="s">
        <v>8336</v>
      </c>
      <c r="J845" s="10" t="s">
        <v>2746</v>
      </c>
    </row>
    <row r="846" spans="1:10" x14ac:dyDescent="0.25">
      <c r="A846" t="s">
        <v>2747</v>
      </c>
      <c r="B846">
        <v>2014</v>
      </c>
      <c r="C846" t="s">
        <v>176</v>
      </c>
      <c r="D846" t="b">
        <f>TRUE()</f>
        <v>1</v>
      </c>
      <c r="E846" t="b">
        <f>COUNTIF(connections!A:A, A846) &gt; 0</f>
        <v>1</v>
      </c>
      <c r="G846" t="s">
        <v>2748</v>
      </c>
      <c r="H846" t="s">
        <v>187</v>
      </c>
      <c r="I846" t="s">
        <v>2749</v>
      </c>
      <c r="J846" s="1" t="s">
        <v>2750</v>
      </c>
    </row>
    <row r="847" spans="1:10" x14ac:dyDescent="0.25">
      <c r="A847" t="s">
        <v>2751</v>
      </c>
      <c r="B847">
        <v>2021</v>
      </c>
      <c r="C847" t="s">
        <v>182</v>
      </c>
      <c r="D847" t="b">
        <f>TRUE()</f>
        <v>1</v>
      </c>
      <c r="E847" t="b">
        <f>COUNTIF(connections!A:A, A847) &gt; 0</f>
        <v>1</v>
      </c>
      <c r="F847" t="s">
        <v>404</v>
      </c>
      <c r="G847" t="s">
        <v>2752</v>
      </c>
      <c r="H847" t="s">
        <v>187</v>
      </c>
      <c r="I847" t="s">
        <v>2753</v>
      </c>
      <c r="J847" s="1" t="s">
        <v>2754</v>
      </c>
    </row>
    <row r="848" spans="1:10" x14ac:dyDescent="0.25">
      <c r="A848" t="s">
        <v>2755</v>
      </c>
      <c r="B848">
        <v>2025</v>
      </c>
      <c r="C848" t="s">
        <v>182</v>
      </c>
      <c r="D848" t="b">
        <f>TRUE()</f>
        <v>1</v>
      </c>
      <c r="E848" t="b">
        <f>COUNTIF(connections!A:A, A848) &gt; 0</f>
        <v>0</v>
      </c>
      <c r="G848" t="s">
        <v>2756</v>
      </c>
    </row>
    <row r="849" spans="1:10" x14ac:dyDescent="0.25">
      <c r="A849" t="s">
        <v>8111</v>
      </c>
      <c r="B849">
        <v>2024</v>
      </c>
      <c r="C849" t="s">
        <v>222</v>
      </c>
      <c r="D849" t="b">
        <f>TRUE()</f>
        <v>1</v>
      </c>
      <c r="E849" t="b">
        <f>COUNTIF(connections!A:A, A849) &gt; 0</f>
        <v>0</v>
      </c>
      <c r="G849" t="s">
        <v>8112</v>
      </c>
      <c r="J849" s="10" t="s">
        <v>8113</v>
      </c>
    </row>
    <row r="850" spans="1:10" x14ac:dyDescent="0.25">
      <c r="A850" t="s">
        <v>2757</v>
      </c>
      <c r="B850">
        <v>2019</v>
      </c>
      <c r="C850" t="s">
        <v>182</v>
      </c>
      <c r="D850" t="b">
        <f>TRUE()</f>
        <v>1</v>
      </c>
      <c r="E850" t="b">
        <f>COUNTIF(connections!A:A, A850) &gt; 0</f>
        <v>0</v>
      </c>
      <c r="G850" t="s">
        <v>2758</v>
      </c>
      <c r="H850" t="s">
        <v>187</v>
      </c>
      <c r="I850" t="s">
        <v>8337</v>
      </c>
      <c r="J850" s="1" t="s">
        <v>2759</v>
      </c>
    </row>
    <row r="851" spans="1:10" x14ac:dyDescent="0.25">
      <c r="A851" t="s">
        <v>2760</v>
      </c>
      <c r="B851">
        <v>2017</v>
      </c>
      <c r="C851" t="s">
        <v>176</v>
      </c>
      <c r="D851" t="b">
        <f>TRUE()</f>
        <v>1</v>
      </c>
      <c r="E851" t="b">
        <f>COUNTIF(connections!A:A, A851) &gt; 0</f>
        <v>0</v>
      </c>
      <c r="G851" t="s">
        <v>2761</v>
      </c>
      <c r="J851" s="10" t="s">
        <v>2762</v>
      </c>
    </row>
    <row r="852" spans="1:10" x14ac:dyDescent="0.25">
      <c r="A852" t="s">
        <v>2763</v>
      </c>
      <c r="B852">
        <v>2026</v>
      </c>
      <c r="C852" t="s">
        <v>182</v>
      </c>
      <c r="D852" t="b">
        <f>TRUE()</f>
        <v>1</v>
      </c>
      <c r="E852" t="b">
        <f>COUNTIF(connections!A:A, A852) &gt; 0</f>
        <v>0</v>
      </c>
      <c r="G852" t="s">
        <v>2764</v>
      </c>
      <c r="H852" t="s">
        <v>187</v>
      </c>
      <c r="I852" t="s">
        <v>8129</v>
      </c>
      <c r="J852" s="1" t="s">
        <v>2765</v>
      </c>
    </row>
    <row r="853" spans="1:10" x14ac:dyDescent="0.25">
      <c r="A853" t="s">
        <v>2766</v>
      </c>
      <c r="B853">
        <v>2025</v>
      </c>
      <c r="C853" t="s">
        <v>176</v>
      </c>
      <c r="D853" t="b">
        <f>TRUE()</f>
        <v>1</v>
      </c>
      <c r="E853" t="b">
        <f>COUNTIF(connections!A:A, A853) &gt; 0</f>
        <v>0</v>
      </c>
      <c r="G853" t="s">
        <v>2767</v>
      </c>
      <c r="H853" t="s">
        <v>187</v>
      </c>
      <c r="I853" t="s">
        <v>8123</v>
      </c>
      <c r="J853" s="1" t="s">
        <v>2768</v>
      </c>
    </row>
    <row r="854" spans="1:10" x14ac:dyDescent="0.25">
      <c r="A854" t="s">
        <v>2769</v>
      </c>
      <c r="B854">
        <v>2012</v>
      </c>
      <c r="C854" t="s">
        <v>179</v>
      </c>
      <c r="D854" t="b">
        <f>TRUE()</f>
        <v>1</v>
      </c>
      <c r="E854" t="b">
        <f>COUNTIF(connections!A:A, A854) &gt; 0</f>
        <v>1</v>
      </c>
      <c r="G854" t="s">
        <v>2770</v>
      </c>
    </row>
    <row r="855" spans="1:10" x14ac:dyDescent="0.25">
      <c r="A855" t="s">
        <v>2771</v>
      </c>
      <c r="B855">
        <v>2021</v>
      </c>
      <c r="C855" t="s">
        <v>179</v>
      </c>
      <c r="D855" t="b">
        <f>TRUE()</f>
        <v>1</v>
      </c>
      <c r="E855" t="b">
        <f>COUNTIF(connections!A:A, A855) &gt; 0</f>
        <v>0</v>
      </c>
      <c r="G855" t="s">
        <v>2772</v>
      </c>
      <c r="H855" t="s">
        <v>187</v>
      </c>
      <c r="I855" t="s">
        <v>2773</v>
      </c>
      <c r="J855" s="1" t="s">
        <v>2774</v>
      </c>
    </row>
    <row r="856" spans="1:10" x14ac:dyDescent="0.25">
      <c r="A856" t="s">
        <v>7697</v>
      </c>
      <c r="B856">
        <v>2026</v>
      </c>
      <c r="C856" t="s">
        <v>182</v>
      </c>
      <c r="D856" t="b">
        <f>TRUE()</f>
        <v>1</v>
      </c>
      <c r="E856" t="b">
        <f>COUNTIF(connections!A:A, A856) &gt; 0</f>
        <v>0</v>
      </c>
      <c r="G856" t="s">
        <v>7698</v>
      </c>
      <c r="J856" s="10" t="s">
        <v>7696</v>
      </c>
    </row>
    <row r="857" spans="1:10" x14ac:dyDescent="0.25">
      <c r="A857" t="s">
        <v>2775</v>
      </c>
      <c r="B857">
        <v>2021</v>
      </c>
      <c r="C857" t="s">
        <v>222</v>
      </c>
      <c r="D857" t="b">
        <f>FALSE()</f>
        <v>0</v>
      </c>
      <c r="E857" t="b">
        <f>COUNTIF(connections!A:A, A857) &gt; 0</f>
        <v>1</v>
      </c>
      <c r="F857" t="s">
        <v>2776</v>
      </c>
      <c r="G857" t="s">
        <v>2777</v>
      </c>
      <c r="H857" t="s">
        <v>187</v>
      </c>
      <c r="I857" t="s">
        <v>2778</v>
      </c>
      <c r="J857" s="1" t="s">
        <v>2779</v>
      </c>
    </row>
    <row r="858" spans="1:10" x14ac:dyDescent="0.25">
      <c r="A858" t="s">
        <v>2780</v>
      </c>
      <c r="B858">
        <v>2024</v>
      </c>
      <c r="C858" t="s">
        <v>176</v>
      </c>
      <c r="D858" t="b">
        <f>FALSE()</f>
        <v>0</v>
      </c>
      <c r="E858" t="b">
        <f>COUNTIF(connections!A:A, A858) &gt; 0</f>
        <v>0</v>
      </c>
      <c r="F858" t="s">
        <v>277</v>
      </c>
      <c r="G858" t="s">
        <v>2781</v>
      </c>
    </row>
    <row r="859" spans="1:10" x14ac:dyDescent="0.25">
      <c r="A859" t="s">
        <v>2782</v>
      </c>
      <c r="B859">
        <v>2019</v>
      </c>
      <c r="C859" t="s">
        <v>176</v>
      </c>
      <c r="D859" t="b">
        <f>TRUE()</f>
        <v>1</v>
      </c>
      <c r="E859" t="b">
        <f>COUNTIF(connections!A:A, A859) &gt; 0</f>
        <v>1</v>
      </c>
      <c r="F859" t="s">
        <v>617</v>
      </c>
      <c r="G859" t="s">
        <v>2783</v>
      </c>
      <c r="H859" t="s">
        <v>187</v>
      </c>
      <c r="I859" t="s">
        <v>2784</v>
      </c>
      <c r="J859" s="1" t="s">
        <v>2785</v>
      </c>
    </row>
    <row r="860" spans="1:10" x14ac:dyDescent="0.25">
      <c r="A860" t="s">
        <v>2786</v>
      </c>
      <c r="B860">
        <v>2025</v>
      </c>
      <c r="C860" t="s">
        <v>176</v>
      </c>
      <c r="D860" t="b">
        <f>TRUE()</f>
        <v>1</v>
      </c>
      <c r="E860" t="b">
        <f>COUNTIF(connections!A:A, A860) &gt; 0</f>
        <v>0</v>
      </c>
      <c r="F860" t="s">
        <v>617</v>
      </c>
      <c r="G860" t="s">
        <v>2787</v>
      </c>
    </row>
    <row r="861" spans="1:10" x14ac:dyDescent="0.25">
      <c r="A861" t="s">
        <v>2788</v>
      </c>
      <c r="B861">
        <v>2017</v>
      </c>
      <c r="C861" t="s">
        <v>176</v>
      </c>
      <c r="D861" t="b">
        <f>TRUE()</f>
        <v>1</v>
      </c>
      <c r="E861" t="b">
        <f>COUNTIF(connections!A:A, A861) &gt; 0</f>
        <v>1</v>
      </c>
      <c r="G861" t="s">
        <v>2789</v>
      </c>
    </row>
    <row r="862" spans="1:10" x14ac:dyDescent="0.25">
      <c r="A862" t="s">
        <v>2790</v>
      </c>
      <c r="B862">
        <v>2022</v>
      </c>
      <c r="C862" t="s">
        <v>176</v>
      </c>
      <c r="D862" t="b">
        <f>TRUE()</f>
        <v>1</v>
      </c>
      <c r="E862" t="b">
        <f>COUNTIF(connections!A:A, A862) &gt; 0</f>
        <v>0</v>
      </c>
      <c r="G862" t="s">
        <v>2791</v>
      </c>
    </row>
    <row r="863" spans="1:10" x14ac:dyDescent="0.25">
      <c r="A863" t="s">
        <v>2792</v>
      </c>
      <c r="B863">
        <v>1992</v>
      </c>
      <c r="C863" t="s">
        <v>179</v>
      </c>
      <c r="D863" t="b">
        <f>TRUE()</f>
        <v>1</v>
      </c>
      <c r="E863" t="b">
        <f>COUNTIF(connections!A:A, A863) &gt; 0</f>
        <v>1</v>
      </c>
      <c r="G863" t="s">
        <v>2793</v>
      </c>
      <c r="H863" t="s">
        <v>187</v>
      </c>
      <c r="I863" t="s">
        <v>2794</v>
      </c>
      <c r="J863" s="1" t="s">
        <v>2795</v>
      </c>
    </row>
    <row r="864" spans="1:10" x14ac:dyDescent="0.25">
      <c r="A864" t="s">
        <v>2796</v>
      </c>
      <c r="B864">
        <v>2018</v>
      </c>
      <c r="C864" t="s">
        <v>176</v>
      </c>
      <c r="D864" t="b">
        <f>TRUE()</f>
        <v>1</v>
      </c>
      <c r="E864" t="b">
        <f>COUNTIF(connections!A:A, A864) &gt; 0</f>
        <v>0</v>
      </c>
      <c r="G864" t="s">
        <v>2797</v>
      </c>
    </row>
    <row r="865" spans="1:10" x14ac:dyDescent="0.25">
      <c r="A865" t="s">
        <v>2798</v>
      </c>
      <c r="B865">
        <v>2026</v>
      </c>
      <c r="C865" t="s">
        <v>182</v>
      </c>
      <c r="D865" t="b">
        <f>TRUE()</f>
        <v>1</v>
      </c>
      <c r="E865" t="b">
        <f>COUNTIF(connections!A:A, A865) &gt; 0</f>
        <v>0</v>
      </c>
      <c r="F865" t="s">
        <v>1805</v>
      </c>
      <c r="G865" t="s">
        <v>2799</v>
      </c>
    </row>
    <row r="866" spans="1:10" x14ac:dyDescent="0.25">
      <c r="A866" t="s">
        <v>2800</v>
      </c>
      <c r="B866">
        <v>2023</v>
      </c>
      <c r="C866" t="s">
        <v>176</v>
      </c>
      <c r="D866" t="b">
        <f>TRUE()</f>
        <v>1</v>
      </c>
      <c r="E866" t="b">
        <f>COUNTIF(connections!A:A, A866) &gt; 0</f>
        <v>0</v>
      </c>
      <c r="F866" t="s">
        <v>1805</v>
      </c>
      <c r="G866" t="s">
        <v>2801</v>
      </c>
      <c r="H866" t="s">
        <v>187</v>
      </c>
      <c r="I866" t="s">
        <v>2802</v>
      </c>
      <c r="J866" s="1" t="s">
        <v>2803</v>
      </c>
    </row>
    <row r="867" spans="1:10" x14ac:dyDescent="0.25">
      <c r="A867" t="s">
        <v>2804</v>
      </c>
      <c r="B867">
        <v>2021</v>
      </c>
      <c r="C867" t="s">
        <v>176</v>
      </c>
      <c r="D867" t="b">
        <f>TRUE()</f>
        <v>1</v>
      </c>
      <c r="E867" t="b">
        <f>COUNTIF(connections!A:A, A867) &gt; 0</f>
        <v>1</v>
      </c>
      <c r="F867" t="s">
        <v>1805</v>
      </c>
      <c r="G867" t="s">
        <v>2805</v>
      </c>
      <c r="H867" t="s">
        <v>187</v>
      </c>
      <c r="I867" t="s">
        <v>2806</v>
      </c>
      <c r="J867" s="1" t="s">
        <v>2807</v>
      </c>
    </row>
    <row r="868" spans="1:10" x14ac:dyDescent="0.25">
      <c r="A868" t="s">
        <v>2808</v>
      </c>
      <c r="B868">
        <v>2020</v>
      </c>
      <c r="C868" t="s">
        <v>182</v>
      </c>
      <c r="D868" t="b">
        <f>TRUE()</f>
        <v>1</v>
      </c>
      <c r="E868" t="b">
        <f>COUNTIF(connections!A:A, A868) &gt; 0</f>
        <v>0</v>
      </c>
      <c r="G868" t="s">
        <v>2809</v>
      </c>
      <c r="H868" t="s">
        <v>187</v>
      </c>
      <c r="I868" t="s">
        <v>2810</v>
      </c>
      <c r="J868" s="1" t="s">
        <v>2811</v>
      </c>
    </row>
    <row r="869" spans="1:10" x14ac:dyDescent="0.25">
      <c r="A869" t="s">
        <v>2812</v>
      </c>
      <c r="B869">
        <v>2024</v>
      </c>
      <c r="C869" t="s">
        <v>176</v>
      </c>
      <c r="D869" t="b">
        <f>TRUE()</f>
        <v>1</v>
      </c>
      <c r="E869" t="b">
        <f>COUNTIF(connections!A:A, A869) &gt; 0</f>
        <v>0</v>
      </c>
      <c r="G869" t="s">
        <v>2813</v>
      </c>
    </row>
    <row r="870" spans="1:10" x14ac:dyDescent="0.25">
      <c r="A870" t="s">
        <v>2814</v>
      </c>
      <c r="B870">
        <v>2026</v>
      </c>
      <c r="C870" t="s">
        <v>176</v>
      </c>
      <c r="D870" t="b">
        <f>TRUE()</f>
        <v>1</v>
      </c>
      <c r="E870" t="b">
        <f>COUNTIF(connections!A:A, A870) &gt; 0</f>
        <v>0</v>
      </c>
      <c r="F870" t="s">
        <v>277</v>
      </c>
      <c r="G870" t="s">
        <v>2815</v>
      </c>
      <c r="H870" t="s">
        <v>187</v>
      </c>
      <c r="I870" t="s">
        <v>2816</v>
      </c>
      <c r="J870" s="1" t="s">
        <v>2817</v>
      </c>
    </row>
    <row r="871" spans="1:10" x14ac:dyDescent="0.25">
      <c r="A871" t="s">
        <v>2818</v>
      </c>
      <c r="B871">
        <v>2021</v>
      </c>
      <c r="C871" t="s">
        <v>182</v>
      </c>
      <c r="D871" t="b">
        <f>TRUE()</f>
        <v>1</v>
      </c>
      <c r="E871" t="b">
        <f>COUNTIF(connections!A:A, A871) &gt; 0</f>
        <v>1</v>
      </c>
      <c r="F871" t="s">
        <v>1030</v>
      </c>
      <c r="G871" t="s">
        <v>2819</v>
      </c>
    </row>
    <row r="872" spans="1:10" x14ac:dyDescent="0.25">
      <c r="A872" t="s">
        <v>2820</v>
      </c>
      <c r="B872">
        <v>2025</v>
      </c>
      <c r="C872" t="s">
        <v>182</v>
      </c>
      <c r="D872" t="b">
        <f>TRUE()</f>
        <v>1</v>
      </c>
      <c r="E872" t="b">
        <f>COUNTIF(connections!A:A, A872) &gt; 0</f>
        <v>0</v>
      </c>
      <c r="G872" t="s">
        <v>2821</v>
      </c>
    </row>
    <row r="873" spans="1:10" x14ac:dyDescent="0.25">
      <c r="A873" t="s">
        <v>2822</v>
      </c>
      <c r="B873">
        <v>2026</v>
      </c>
      <c r="C873" t="s">
        <v>182</v>
      </c>
      <c r="D873" t="b">
        <f>TRUE()</f>
        <v>1</v>
      </c>
      <c r="E873" t="b">
        <f>COUNTIF(connections!A:A, A873) &gt; 0</f>
        <v>0</v>
      </c>
      <c r="G873" t="s">
        <v>2823</v>
      </c>
    </row>
    <row r="874" spans="1:10" x14ac:dyDescent="0.25">
      <c r="A874" t="s">
        <v>2824</v>
      </c>
      <c r="B874">
        <v>2019</v>
      </c>
      <c r="C874" t="s">
        <v>176</v>
      </c>
      <c r="D874" t="b">
        <f>TRUE()</f>
        <v>1</v>
      </c>
      <c r="E874" t="b">
        <f>COUNTIF(connections!A:A, A874) &gt; 0</f>
        <v>1</v>
      </c>
      <c r="F874" t="s">
        <v>274</v>
      </c>
      <c r="G874" t="s">
        <v>2825</v>
      </c>
      <c r="H874" t="s">
        <v>187</v>
      </c>
      <c r="I874" t="s">
        <v>2826</v>
      </c>
      <c r="J874" s="1" t="s">
        <v>2827</v>
      </c>
    </row>
    <row r="875" spans="1:10" x14ac:dyDescent="0.25">
      <c r="A875" t="s">
        <v>2828</v>
      </c>
      <c r="B875">
        <v>2022</v>
      </c>
      <c r="C875" t="s">
        <v>176</v>
      </c>
      <c r="D875" t="b">
        <f>TRUE()</f>
        <v>1</v>
      </c>
      <c r="E875" t="b">
        <f>COUNTIF(connections!A:A, A875) &gt; 0</f>
        <v>1</v>
      </c>
      <c r="G875" t="s">
        <v>2829</v>
      </c>
      <c r="H875" t="s">
        <v>187</v>
      </c>
      <c r="I875" t="s">
        <v>2830</v>
      </c>
      <c r="J875" s="10" t="s">
        <v>2831</v>
      </c>
    </row>
    <row r="876" spans="1:10" x14ac:dyDescent="0.25">
      <c r="A876" t="s">
        <v>2832</v>
      </c>
      <c r="B876">
        <v>2024</v>
      </c>
      <c r="C876" t="s">
        <v>222</v>
      </c>
      <c r="D876" t="b">
        <f>TRUE()</f>
        <v>1</v>
      </c>
      <c r="E876" t="b">
        <f>COUNTIF(connections!A:A, A876) &gt; 0</f>
        <v>0</v>
      </c>
      <c r="F876" t="s">
        <v>274</v>
      </c>
      <c r="G876" t="s">
        <v>2833</v>
      </c>
    </row>
    <row r="877" spans="1:10" x14ac:dyDescent="0.25">
      <c r="A877" t="s">
        <v>2834</v>
      </c>
      <c r="B877">
        <v>2023</v>
      </c>
      <c r="C877" t="s">
        <v>176</v>
      </c>
      <c r="D877" t="b">
        <f>TRUE()</f>
        <v>1</v>
      </c>
      <c r="E877" t="b">
        <f>COUNTIF(connections!A:A, A877) &gt; 0</f>
        <v>0</v>
      </c>
      <c r="G877" t="s">
        <v>2835</v>
      </c>
      <c r="H877" t="s">
        <v>187</v>
      </c>
      <c r="I877" t="s">
        <v>2836</v>
      </c>
      <c r="J877" s="1" t="s">
        <v>2837</v>
      </c>
    </row>
    <row r="878" spans="1:10" x14ac:dyDescent="0.25">
      <c r="A878" t="s">
        <v>2838</v>
      </c>
      <c r="B878">
        <v>2024</v>
      </c>
      <c r="C878" t="s">
        <v>176</v>
      </c>
      <c r="D878" t="b">
        <f>TRUE()</f>
        <v>1</v>
      </c>
      <c r="E878" t="b">
        <f>COUNTIF(connections!A:A, A878) &gt; 0</f>
        <v>0</v>
      </c>
      <c r="G878" t="s">
        <v>2839</v>
      </c>
    </row>
    <row r="879" spans="1:10" x14ac:dyDescent="0.25">
      <c r="A879" t="s">
        <v>2840</v>
      </c>
      <c r="B879">
        <v>2024</v>
      </c>
      <c r="C879" t="s">
        <v>176</v>
      </c>
      <c r="D879" t="b">
        <v>1</v>
      </c>
      <c r="E879" t="b">
        <f>COUNTIF(connections!A:A, A879) &gt; 0</f>
        <v>0</v>
      </c>
      <c r="G879" t="s">
        <v>2841</v>
      </c>
      <c r="J879" s="1" t="s">
        <v>2842</v>
      </c>
    </row>
    <row r="880" spans="1:10" x14ac:dyDescent="0.25">
      <c r="A880" t="s">
        <v>2843</v>
      </c>
      <c r="B880">
        <v>1998</v>
      </c>
      <c r="C880" t="s">
        <v>179</v>
      </c>
      <c r="D880" t="b">
        <f>TRUE()</f>
        <v>1</v>
      </c>
      <c r="E880" t="b">
        <f>COUNTIF(connections!A:A, A880) &gt; 0</f>
        <v>0</v>
      </c>
      <c r="G880" t="s">
        <v>2844</v>
      </c>
      <c r="H880" t="s">
        <v>187</v>
      </c>
      <c r="I880" t="s">
        <v>2845</v>
      </c>
    </row>
    <row r="881" spans="1:10" x14ac:dyDescent="0.25">
      <c r="A881" t="s">
        <v>2846</v>
      </c>
      <c r="B881">
        <v>2023</v>
      </c>
      <c r="C881" t="s">
        <v>222</v>
      </c>
      <c r="D881" t="b">
        <f>TRUE()</f>
        <v>1</v>
      </c>
      <c r="E881" t="b">
        <f>COUNTIF(connections!A:A, A881) &gt; 0</f>
        <v>1</v>
      </c>
      <c r="F881" t="s">
        <v>617</v>
      </c>
      <c r="G881" t="s">
        <v>2847</v>
      </c>
      <c r="H881" t="s">
        <v>187</v>
      </c>
      <c r="I881" t="s">
        <v>2848</v>
      </c>
      <c r="J881" s="1" t="s">
        <v>2849</v>
      </c>
    </row>
    <row r="882" spans="1:10" x14ac:dyDescent="0.25">
      <c r="A882" t="s">
        <v>2850</v>
      </c>
      <c r="B882">
        <v>2025</v>
      </c>
      <c r="C882" t="s">
        <v>222</v>
      </c>
      <c r="D882" t="b">
        <f>TRUE()</f>
        <v>1</v>
      </c>
      <c r="E882" t="b">
        <f>COUNTIF(connections!A:A, A882) &gt; 0</f>
        <v>0</v>
      </c>
      <c r="F882" t="s">
        <v>617</v>
      </c>
      <c r="G882" t="s">
        <v>2851</v>
      </c>
    </row>
    <row r="883" spans="1:10" x14ac:dyDescent="0.25">
      <c r="A883" t="s">
        <v>7843</v>
      </c>
      <c r="B883">
        <v>2026</v>
      </c>
      <c r="C883" t="s">
        <v>176</v>
      </c>
      <c r="D883" t="b">
        <f>TRUE()</f>
        <v>1</v>
      </c>
      <c r="E883" t="b">
        <f>COUNTIF(connections!A:A, A883) &gt; 0</f>
        <v>0</v>
      </c>
      <c r="G883" t="s">
        <v>7844</v>
      </c>
      <c r="J883" s="10" t="s">
        <v>7845</v>
      </c>
    </row>
    <row r="884" spans="1:10" x14ac:dyDescent="0.25">
      <c r="A884" t="s">
        <v>2852</v>
      </c>
      <c r="B884">
        <v>2026</v>
      </c>
      <c r="C884" t="s">
        <v>176</v>
      </c>
      <c r="D884" t="b">
        <f>TRUE()</f>
        <v>1</v>
      </c>
      <c r="E884" t="b">
        <f>COUNTIF(connections!A:A, A884) &gt; 0</f>
        <v>0</v>
      </c>
      <c r="G884" t="s">
        <v>2853</v>
      </c>
    </row>
    <row r="885" spans="1:10" x14ac:dyDescent="0.25">
      <c r="A885" t="s">
        <v>2854</v>
      </c>
      <c r="B885">
        <v>2023</v>
      </c>
      <c r="C885" t="s">
        <v>179</v>
      </c>
      <c r="D885" t="b">
        <f>TRUE()</f>
        <v>1</v>
      </c>
      <c r="E885" t="b">
        <f>COUNTIF(connections!A:A, A885) &gt; 0</f>
        <v>0</v>
      </c>
      <c r="F885" t="s">
        <v>274</v>
      </c>
      <c r="G885" t="s">
        <v>2855</v>
      </c>
    </row>
    <row r="886" spans="1:10" x14ac:dyDescent="0.25">
      <c r="A886" t="s">
        <v>2856</v>
      </c>
      <c r="B886">
        <v>2025</v>
      </c>
      <c r="C886" t="s">
        <v>176</v>
      </c>
      <c r="D886" t="b">
        <f>TRUE()</f>
        <v>1</v>
      </c>
      <c r="E886" t="b">
        <f>COUNTIF(connections!A:A, A886) &gt; 0</f>
        <v>0</v>
      </c>
      <c r="G886" t="s">
        <v>2857</v>
      </c>
      <c r="H886" t="s">
        <v>187</v>
      </c>
      <c r="I886" t="s">
        <v>2858</v>
      </c>
      <c r="J886" s="1" t="s">
        <v>2859</v>
      </c>
    </row>
    <row r="887" spans="1:10" x14ac:dyDescent="0.25">
      <c r="A887" t="s">
        <v>2860</v>
      </c>
      <c r="B887">
        <v>2017</v>
      </c>
      <c r="C887" t="s">
        <v>222</v>
      </c>
      <c r="D887" t="b">
        <f>TRUE()</f>
        <v>1</v>
      </c>
      <c r="E887" t="b">
        <f>COUNTIF(connections!A:A, A887) &gt; 0</f>
        <v>0</v>
      </c>
      <c r="G887" t="s">
        <v>2861</v>
      </c>
      <c r="H887" t="s">
        <v>187</v>
      </c>
      <c r="I887" t="s">
        <v>2862</v>
      </c>
      <c r="J887" s="1" t="s">
        <v>2863</v>
      </c>
    </row>
    <row r="888" spans="1:10" x14ac:dyDescent="0.25">
      <c r="A888" t="s">
        <v>2864</v>
      </c>
      <c r="B888">
        <v>2011</v>
      </c>
      <c r="C888" t="s">
        <v>179</v>
      </c>
      <c r="D888" t="b">
        <f>TRUE()</f>
        <v>1</v>
      </c>
      <c r="E888" t="b">
        <f>COUNTIF(connections!A:A, A888) &gt; 0</f>
        <v>0</v>
      </c>
      <c r="G888" t="s">
        <v>2865</v>
      </c>
    </row>
    <row r="889" spans="1:10" x14ac:dyDescent="0.25">
      <c r="A889" t="s">
        <v>2866</v>
      </c>
      <c r="B889">
        <v>2012</v>
      </c>
      <c r="C889" t="s">
        <v>222</v>
      </c>
      <c r="D889" t="b">
        <f>TRUE()</f>
        <v>1</v>
      </c>
      <c r="E889" t="b">
        <f>COUNTIF(connections!A:A, A889) &gt; 0</f>
        <v>0</v>
      </c>
      <c r="G889" t="s">
        <v>2867</v>
      </c>
      <c r="H889" t="s">
        <v>187</v>
      </c>
      <c r="I889" t="s">
        <v>2868</v>
      </c>
      <c r="J889" s="1" t="s">
        <v>2869</v>
      </c>
    </row>
    <row r="890" spans="1:10" x14ac:dyDescent="0.25">
      <c r="A890" t="s">
        <v>2870</v>
      </c>
      <c r="B890">
        <v>2017</v>
      </c>
      <c r="C890" t="s">
        <v>176</v>
      </c>
      <c r="D890" t="b">
        <f>FALSE()</f>
        <v>0</v>
      </c>
      <c r="E890" t="b">
        <f>COUNTIF(connections!A:A, A890) &gt; 0</f>
        <v>0</v>
      </c>
      <c r="F890" t="s">
        <v>652</v>
      </c>
      <c r="G890" t="s">
        <v>2871</v>
      </c>
      <c r="H890" t="s">
        <v>187</v>
      </c>
      <c r="I890" t="s">
        <v>2872</v>
      </c>
      <c r="J890" s="1" t="s">
        <v>2873</v>
      </c>
    </row>
    <row r="891" spans="1:10" x14ac:dyDescent="0.25">
      <c r="A891" t="s">
        <v>2874</v>
      </c>
      <c r="B891">
        <v>2005</v>
      </c>
      <c r="C891" t="s">
        <v>222</v>
      </c>
      <c r="D891" t="b">
        <f>TRUE()</f>
        <v>1</v>
      </c>
      <c r="E891" t="b">
        <f>COUNTIF(connections!A:A, A891) &gt; 0</f>
        <v>1</v>
      </c>
      <c r="F891" t="s">
        <v>274</v>
      </c>
      <c r="G891" t="s">
        <v>2875</v>
      </c>
      <c r="H891" t="s">
        <v>187</v>
      </c>
      <c r="I891" t="s">
        <v>2876</v>
      </c>
      <c r="J891" s="1" t="s">
        <v>2877</v>
      </c>
    </row>
    <row r="892" spans="1:10" x14ac:dyDescent="0.25">
      <c r="A892" t="s">
        <v>2878</v>
      </c>
      <c r="B892">
        <v>2020</v>
      </c>
      <c r="C892" t="s">
        <v>176</v>
      </c>
      <c r="D892" t="b">
        <f>FALSE()</f>
        <v>0</v>
      </c>
      <c r="E892" t="b">
        <f>COUNTIF(connections!A:A, A892) &gt; 0</f>
        <v>1</v>
      </c>
      <c r="G892" t="s">
        <v>2879</v>
      </c>
      <c r="H892" t="s">
        <v>187</v>
      </c>
      <c r="I892" t="s">
        <v>2880</v>
      </c>
      <c r="J892" s="10" t="s">
        <v>2881</v>
      </c>
    </row>
    <row r="893" spans="1:10" x14ac:dyDescent="0.25">
      <c r="A893" t="s">
        <v>2882</v>
      </c>
      <c r="B893">
        <v>2025</v>
      </c>
      <c r="C893" t="s">
        <v>176</v>
      </c>
      <c r="D893" t="b">
        <f>TRUE()</f>
        <v>1</v>
      </c>
      <c r="E893" t="b">
        <f>COUNTIF(connections!A:A, A893) &gt; 0</f>
        <v>0</v>
      </c>
      <c r="G893" t="s">
        <v>2883</v>
      </c>
    </row>
    <row r="894" spans="1:10" x14ac:dyDescent="0.25">
      <c r="A894" t="s">
        <v>2884</v>
      </c>
      <c r="B894">
        <v>2025</v>
      </c>
      <c r="C894" t="s">
        <v>176</v>
      </c>
      <c r="D894" t="b">
        <f>FALSE()</f>
        <v>0</v>
      </c>
      <c r="E894" t="b">
        <f>COUNTIF(connections!A:A, A894) &gt; 0</f>
        <v>0</v>
      </c>
      <c r="G894" t="s">
        <v>2885</v>
      </c>
    </row>
    <row r="895" spans="1:10" x14ac:dyDescent="0.25">
      <c r="A895" t="s">
        <v>2886</v>
      </c>
      <c r="B895">
        <v>2024</v>
      </c>
      <c r="C895" t="s">
        <v>176</v>
      </c>
      <c r="D895" t="b">
        <f>TRUE()</f>
        <v>1</v>
      </c>
      <c r="E895" t="b">
        <f>COUNTIF(connections!A:A, A895) &gt; 0</f>
        <v>0</v>
      </c>
      <c r="G895" t="s">
        <v>2887</v>
      </c>
    </row>
    <row r="896" spans="1:10" x14ac:dyDescent="0.25">
      <c r="A896" t="s">
        <v>2888</v>
      </c>
      <c r="B896">
        <v>2019</v>
      </c>
      <c r="C896" t="s">
        <v>222</v>
      </c>
      <c r="D896" t="b">
        <f>FALSE()</f>
        <v>0</v>
      </c>
      <c r="E896" t="b">
        <f>COUNTIF(connections!A:A, A896) &gt; 0</f>
        <v>0</v>
      </c>
      <c r="G896" t="s">
        <v>2889</v>
      </c>
    </row>
    <row r="897" spans="1:10" x14ac:dyDescent="0.25">
      <c r="A897" t="s">
        <v>2890</v>
      </c>
      <c r="B897">
        <v>2023</v>
      </c>
      <c r="C897" t="s">
        <v>182</v>
      </c>
      <c r="D897" t="b">
        <f>TRUE()</f>
        <v>1</v>
      </c>
      <c r="E897" t="b">
        <f>COUNTIF(connections!A:A, A897) &gt; 0</f>
        <v>1</v>
      </c>
      <c r="G897" t="s">
        <v>2891</v>
      </c>
      <c r="H897" t="s">
        <v>187</v>
      </c>
      <c r="I897" t="s">
        <v>2892</v>
      </c>
      <c r="J897" s="1" t="s">
        <v>2893</v>
      </c>
    </row>
    <row r="898" spans="1:10" x14ac:dyDescent="0.25">
      <c r="A898" t="s">
        <v>2894</v>
      </c>
      <c r="B898">
        <v>2024</v>
      </c>
      <c r="C898" t="s">
        <v>176</v>
      </c>
      <c r="D898" t="b">
        <f>TRUE()</f>
        <v>1</v>
      </c>
      <c r="E898" t="b">
        <f>COUNTIF(connections!A:A, A898) &gt; 0</f>
        <v>0</v>
      </c>
      <c r="G898" t="s">
        <v>2895</v>
      </c>
    </row>
    <row r="899" spans="1:10" x14ac:dyDescent="0.25">
      <c r="A899" t="s">
        <v>2896</v>
      </c>
      <c r="B899">
        <v>2026</v>
      </c>
      <c r="C899" t="s">
        <v>182</v>
      </c>
      <c r="D899" t="b">
        <f>TRUE()</f>
        <v>1</v>
      </c>
      <c r="E899" t="b">
        <f>COUNTIF(connections!A:A, A899) &gt; 0</f>
        <v>0</v>
      </c>
      <c r="G899" t="s">
        <v>2897</v>
      </c>
    </row>
    <row r="900" spans="1:10" x14ac:dyDescent="0.25">
      <c r="A900" t="s">
        <v>2898</v>
      </c>
      <c r="B900">
        <v>2026</v>
      </c>
      <c r="C900" t="s">
        <v>222</v>
      </c>
      <c r="D900" t="b">
        <f>FALSE()</f>
        <v>0</v>
      </c>
      <c r="E900" t="b">
        <f>COUNTIF(connections!A:A, A900) &gt; 0</f>
        <v>0</v>
      </c>
      <c r="F900" t="s">
        <v>404</v>
      </c>
      <c r="G900" t="s">
        <v>2899</v>
      </c>
      <c r="J900" s="1" t="s">
        <v>2900</v>
      </c>
    </row>
    <row r="901" spans="1:10" x14ac:dyDescent="0.25">
      <c r="A901" t="s">
        <v>2901</v>
      </c>
      <c r="B901">
        <v>2023</v>
      </c>
      <c r="C901" t="s">
        <v>176</v>
      </c>
      <c r="D901" t="b">
        <v>1</v>
      </c>
      <c r="E901" t="b">
        <f>COUNTIF(connections!A:A, A901) &gt; 0</f>
        <v>1</v>
      </c>
      <c r="G901" t="s">
        <v>2902</v>
      </c>
      <c r="J901" s="1" t="s">
        <v>2903</v>
      </c>
    </row>
    <row r="902" spans="1:10" x14ac:dyDescent="0.25">
      <c r="A902" t="s">
        <v>2904</v>
      </c>
      <c r="B902">
        <v>2026</v>
      </c>
      <c r="C902" t="s">
        <v>182</v>
      </c>
      <c r="D902" t="b">
        <f>TRUE()</f>
        <v>1</v>
      </c>
      <c r="E902" t="b">
        <f>COUNTIF(connections!A:A, A902) &gt; 0</f>
        <v>0</v>
      </c>
      <c r="G902" t="s">
        <v>2905</v>
      </c>
    </row>
    <row r="903" spans="1:10" x14ac:dyDescent="0.25">
      <c r="A903" t="s">
        <v>2906</v>
      </c>
      <c r="B903">
        <v>2018</v>
      </c>
      <c r="C903" t="s">
        <v>176</v>
      </c>
      <c r="D903" t="b">
        <f>TRUE()</f>
        <v>1</v>
      </c>
      <c r="E903" t="b">
        <f>COUNTIF(connections!A:A, A903) &gt; 0</f>
        <v>1</v>
      </c>
      <c r="G903" t="s">
        <v>2907</v>
      </c>
      <c r="H903" t="s">
        <v>187</v>
      </c>
      <c r="I903" t="s">
        <v>2908</v>
      </c>
      <c r="J903" s="1" t="s">
        <v>2909</v>
      </c>
    </row>
    <row r="904" spans="1:10" x14ac:dyDescent="0.25">
      <c r="A904" t="s">
        <v>2910</v>
      </c>
      <c r="B904">
        <v>2024</v>
      </c>
      <c r="C904" t="s">
        <v>176</v>
      </c>
      <c r="D904" t="b">
        <f>TRUE()</f>
        <v>1</v>
      </c>
      <c r="E904" t="b">
        <f>COUNTIF(connections!A:A, A904) &gt; 0</f>
        <v>0</v>
      </c>
      <c r="G904" t="s">
        <v>2911</v>
      </c>
      <c r="H904" t="s">
        <v>187</v>
      </c>
      <c r="I904" t="s">
        <v>2912</v>
      </c>
      <c r="J904" s="1" t="s">
        <v>2913</v>
      </c>
    </row>
    <row r="905" spans="1:10" x14ac:dyDescent="0.25">
      <c r="A905" t="s">
        <v>2914</v>
      </c>
      <c r="B905">
        <v>2021</v>
      </c>
      <c r="C905" t="s">
        <v>222</v>
      </c>
      <c r="D905" t="b">
        <f>TRUE()</f>
        <v>1</v>
      </c>
      <c r="E905" t="b">
        <f>COUNTIF(connections!A:A, A905) &gt; 0</f>
        <v>0</v>
      </c>
      <c r="F905" t="s">
        <v>1164</v>
      </c>
      <c r="G905" t="s">
        <v>2915</v>
      </c>
      <c r="H905" t="s">
        <v>187</v>
      </c>
      <c r="I905" t="s">
        <v>2916</v>
      </c>
      <c r="J905" s="1" t="s">
        <v>2917</v>
      </c>
    </row>
    <row r="906" spans="1:10" x14ac:dyDescent="0.25">
      <c r="A906" t="s">
        <v>2918</v>
      </c>
      <c r="B906">
        <v>2025</v>
      </c>
      <c r="C906" t="s">
        <v>182</v>
      </c>
      <c r="D906" t="b">
        <f>TRUE()</f>
        <v>1</v>
      </c>
      <c r="E906" t="b">
        <f>COUNTIF(connections!A:A, A906) &gt; 0</f>
        <v>0</v>
      </c>
      <c r="F906" t="s">
        <v>731</v>
      </c>
      <c r="G906" t="s">
        <v>2919</v>
      </c>
      <c r="H906" t="s">
        <v>187</v>
      </c>
      <c r="I906" t="s">
        <v>9967</v>
      </c>
      <c r="J906" s="10" t="s">
        <v>9968</v>
      </c>
    </row>
    <row r="907" spans="1:10" x14ac:dyDescent="0.25">
      <c r="A907" t="s">
        <v>2920</v>
      </c>
      <c r="B907">
        <v>2025</v>
      </c>
      <c r="C907" t="s">
        <v>182</v>
      </c>
      <c r="D907" t="b">
        <f>TRUE()</f>
        <v>1</v>
      </c>
      <c r="E907" t="b">
        <f>COUNTIF(connections!A:A, A907) &gt; 0</f>
        <v>0</v>
      </c>
      <c r="F907" t="s">
        <v>731</v>
      </c>
      <c r="G907" t="s">
        <v>2921</v>
      </c>
      <c r="H907" t="s">
        <v>187</v>
      </c>
      <c r="I907" t="s">
        <v>2922</v>
      </c>
      <c r="J907" s="1" t="s">
        <v>2923</v>
      </c>
    </row>
    <row r="908" spans="1:10" x14ac:dyDescent="0.25">
      <c r="A908" t="s">
        <v>2924</v>
      </c>
      <c r="B908">
        <v>2022</v>
      </c>
      <c r="C908" t="s">
        <v>182</v>
      </c>
      <c r="D908" t="b">
        <f>TRUE()</f>
        <v>1</v>
      </c>
      <c r="E908" t="b">
        <f>COUNTIF(connections!A:A, A908) &gt; 0</f>
        <v>0</v>
      </c>
      <c r="F908" t="s">
        <v>731</v>
      </c>
      <c r="G908" t="s">
        <v>2925</v>
      </c>
      <c r="H908" t="s">
        <v>187</v>
      </c>
      <c r="I908" t="s">
        <v>2926</v>
      </c>
      <c r="J908" s="1" t="s">
        <v>2927</v>
      </c>
    </row>
    <row r="909" spans="1:10" x14ac:dyDescent="0.25">
      <c r="A909" t="s">
        <v>2928</v>
      </c>
      <c r="B909">
        <v>2026</v>
      </c>
      <c r="C909" t="s">
        <v>182</v>
      </c>
      <c r="D909" t="b">
        <f>TRUE()</f>
        <v>1</v>
      </c>
      <c r="E909" t="b">
        <f>COUNTIF(connections!A:A, A909) &gt; 0</f>
        <v>0</v>
      </c>
      <c r="G909" t="s">
        <v>2929</v>
      </c>
      <c r="J909" s="10" t="s">
        <v>2930</v>
      </c>
    </row>
    <row r="910" spans="1:10" x14ac:dyDescent="0.25">
      <c r="A910" t="s">
        <v>2931</v>
      </c>
      <c r="B910">
        <v>2025</v>
      </c>
      <c r="C910" t="s">
        <v>176</v>
      </c>
      <c r="D910" t="b">
        <f>TRUE()</f>
        <v>1</v>
      </c>
      <c r="E910" t="b">
        <f>COUNTIF(connections!A:A, A910) &gt; 0</f>
        <v>0</v>
      </c>
      <c r="G910" t="s">
        <v>2932</v>
      </c>
    </row>
    <row r="911" spans="1:10" x14ac:dyDescent="0.25">
      <c r="A911" t="s">
        <v>2933</v>
      </c>
      <c r="B911">
        <v>2023</v>
      </c>
      <c r="C911" t="s">
        <v>176</v>
      </c>
      <c r="D911" t="b">
        <f>TRUE()</f>
        <v>1</v>
      </c>
      <c r="E911" t="b">
        <f>COUNTIF(connections!A:A, A911) &gt; 0</f>
        <v>0</v>
      </c>
      <c r="F911" t="s">
        <v>458</v>
      </c>
      <c r="G911" t="s">
        <v>2934</v>
      </c>
      <c r="H911" t="s">
        <v>187</v>
      </c>
      <c r="I911" t="s">
        <v>2935</v>
      </c>
      <c r="J911" s="1" t="s">
        <v>2936</v>
      </c>
    </row>
    <row r="912" spans="1:10" x14ac:dyDescent="0.25">
      <c r="A912" t="s">
        <v>2937</v>
      </c>
      <c r="B912">
        <v>2024</v>
      </c>
      <c r="C912" t="s">
        <v>182</v>
      </c>
      <c r="D912" t="b">
        <f>TRUE()</f>
        <v>1</v>
      </c>
      <c r="E912" t="b">
        <f>COUNTIF(connections!A:A, A912) &gt; 0</f>
        <v>0</v>
      </c>
      <c r="F912" t="s">
        <v>1076</v>
      </c>
      <c r="G912" t="s">
        <v>2938</v>
      </c>
      <c r="H912" t="s">
        <v>187</v>
      </c>
      <c r="I912" t="s">
        <v>2939</v>
      </c>
      <c r="J912" s="1" t="s">
        <v>2940</v>
      </c>
    </row>
    <row r="913" spans="1:10" x14ac:dyDescent="0.25">
      <c r="A913" t="s">
        <v>2941</v>
      </c>
      <c r="B913">
        <v>2017</v>
      </c>
      <c r="C913" t="s">
        <v>179</v>
      </c>
      <c r="D913" t="b">
        <f>TRUE()</f>
        <v>1</v>
      </c>
      <c r="E913" t="b">
        <f>COUNTIF(connections!A:A, A913) &gt; 0</f>
        <v>0</v>
      </c>
      <c r="G913" t="s">
        <v>2942</v>
      </c>
    </row>
    <row r="914" spans="1:10" x14ac:dyDescent="0.25">
      <c r="A914" t="s">
        <v>2943</v>
      </c>
      <c r="B914">
        <v>2010</v>
      </c>
      <c r="C914" t="s">
        <v>179</v>
      </c>
      <c r="D914" t="b">
        <f>TRUE()</f>
        <v>1</v>
      </c>
      <c r="E914" t="b">
        <f>COUNTIF(connections!A:A, A914) &gt; 0</f>
        <v>1</v>
      </c>
      <c r="G914" t="s">
        <v>2944</v>
      </c>
      <c r="H914" t="s">
        <v>187</v>
      </c>
      <c r="I914" t="s">
        <v>2945</v>
      </c>
      <c r="J914" s="10" t="s">
        <v>2946</v>
      </c>
    </row>
    <row r="915" spans="1:10" x14ac:dyDescent="0.25">
      <c r="A915" t="s">
        <v>2947</v>
      </c>
      <c r="B915">
        <v>1994</v>
      </c>
      <c r="C915" t="s">
        <v>179</v>
      </c>
      <c r="D915" t="b">
        <f>TRUE()</f>
        <v>1</v>
      </c>
      <c r="E915" t="b">
        <f>COUNTIF(connections!A:A, A915) &gt; 0</f>
        <v>1</v>
      </c>
      <c r="G915" t="s">
        <v>2948</v>
      </c>
      <c r="H915" t="s">
        <v>187</v>
      </c>
      <c r="I915" t="s">
        <v>2949</v>
      </c>
    </row>
    <row r="916" spans="1:10" x14ac:dyDescent="0.25">
      <c r="A916" t="s">
        <v>2950</v>
      </c>
      <c r="B916">
        <v>2024</v>
      </c>
      <c r="C916" t="s">
        <v>182</v>
      </c>
      <c r="D916" t="b">
        <f>TRUE()</f>
        <v>1</v>
      </c>
      <c r="E916" t="b">
        <f>COUNTIF(connections!A:A, A916) &gt; 0</f>
        <v>0</v>
      </c>
      <c r="F916" t="s">
        <v>274</v>
      </c>
      <c r="G916" t="s">
        <v>2951</v>
      </c>
      <c r="H916" t="s">
        <v>187</v>
      </c>
      <c r="I916" t="s">
        <v>2952</v>
      </c>
      <c r="J916" s="1" t="s">
        <v>2953</v>
      </c>
    </row>
    <row r="917" spans="1:10" x14ac:dyDescent="0.25">
      <c r="A917" t="s">
        <v>2954</v>
      </c>
      <c r="B917">
        <v>2014</v>
      </c>
      <c r="C917" t="s">
        <v>176</v>
      </c>
      <c r="D917" t="b">
        <f>TRUE()</f>
        <v>1</v>
      </c>
      <c r="E917" t="b">
        <f>COUNTIF(connections!A:A, A917) &gt; 0</f>
        <v>1</v>
      </c>
      <c r="G917" t="s">
        <v>2955</v>
      </c>
      <c r="H917" t="s">
        <v>187</v>
      </c>
      <c r="I917" t="s">
        <v>2956</v>
      </c>
      <c r="J917" s="1" t="s">
        <v>2957</v>
      </c>
    </row>
    <row r="918" spans="1:10" x14ac:dyDescent="0.25">
      <c r="A918" t="s">
        <v>2958</v>
      </c>
      <c r="B918">
        <v>2020</v>
      </c>
      <c r="C918" t="s">
        <v>176</v>
      </c>
      <c r="D918" t="b">
        <f>TRUE()</f>
        <v>1</v>
      </c>
      <c r="E918" t="b">
        <f>COUNTIF(connections!A:A, A918) &gt; 0</f>
        <v>0</v>
      </c>
      <c r="G918" t="s">
        <v>2959</v>
      </c>
      <c r="H918" t="s">
        <v>187</v>
      </c>
      <c r="I918" t="s">
        <v>2960</v>
      </c>
      <c r="J918" s="1" t="s">
        <v>2961</v>
      </c>
    </row>
    <row r="919" spans="1:10" x14ac:dyDescent="0.25">
      <c r="A919" t="s">
        <v>2962</v>
      </c>
      <c r="B919">
        <v>2025</v>
      </c>
      <c r="C919" t="s">
        <v>179</v>
      </c>
      <c r="D919" t="b">
        <f>TRUE()</f>
        <v>1</v>
      </c>
      <c r="E919" t="b">
        <f>COUNTIF(connections!A:A, A919) &gt; 0</f>
        <v>0</v>
      </c>
      <c r="G919" t="s">
        <v>2963</v>
      </c>
      <c r="H919" t="s">
        <v>187</v>
      </c>
      <c r="I919" t="s">
        <v>2964</v>
      </c>
    </row>
    <row r="920" spans="1:10" x14ac:dyDescent="0.25">
      <c r="A920" t="s">
        <v>2965</v>
      </c>
      <c r="B920">
        <v>2023</v>
      </c>
      <c r="C920" t="s">
        <v>182</v>
      </c>
      <c r="D920" t="b">
        <f>TRUE()</f>
        <v>1</v>
      </c>
      <c r="E920" t="b">
        <f>COUNTIF(connections!A:A, A920) &gt; 0</f>
        <v>1</v>
      </c>
      <c r="G920" t="s">
        <v>2966</v>
      </c>
      <c r="H920" t="s">
        <v>187</v>
      </c>
      <c r="I920" t="s">
        <v>2967</v>
      </c>
      <c r="J920" s="1" t="s">
        <v>2968</v>
      </c>
    </row>
    <row r="921" spans="1:10" x14ac:dyDescent="0.25">
      <c r="A921" t="s">
        <v>2969</v>
      </c>
      <c r="B921">
        <v>2026</v>
      </c>
      <c r="C921" t="s">
        <v>182</v>
      </c>
      <c r="D921" t="b">
        <f>TRUE()</f>
        <v>1</v>
      </c>
      <c r="E921" t="b">
        <f>COUNTIF(connections!A:A, A921) &gt; 0</f>
        <v>0</v>
      </c>
      <c r="G921" t="s">
        <v>2970</v>
      </c>
      <c r="J921" s="10" t="s">
        <v>2971</v>
      </c>
    </row>
    <row r="922" spans="1:10" x14ac:dyDescent="0.25">
      <c r="A922" t="s">
        <v>2972</v>
      </c>
      <c r="B922">
        <v>2022</v>
      </c>
      <c r="C922" t="s">
        <v>179</v>
      </c>
      <c r="D922" t="b">
        <f>TRUE()</f>
        <v>1</v>
      </c>
      <c r="E922" t="b">
        <f>COUNTIF(connections!A:A, A922) &gt; 0</f>
        <v>0</v>
      </c>
      <c r="G922" t="s">
        <v>2973</v>
      </c>
      <c r="H922" t="s">
        <v>187</v>
      </c>
      <c r="I922" t="s">
        <v>2974</v>
      </c>
      <c r="J922"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1" r:id="rId341" xr:uid="{00000000-0004-0000-0000-000054010000}"/>
    <hyperlink ref="J572" r:id="rId342" xr:uid="{00000000-0004-0000-0000-000055010000}"/>
    <hyperlink ref="J574" r:id="rId343" xr:uid="{00000000-0004-0000-0000-000056010000}"/>
    <hyperlink ref="J575" r:id="rId344" xr:uid="{00000000-0004-0000-0000-000057010000}"/>
    <hyperlink ref="J577" r:id="rId345" xr:uid="{00000000-0004-0000-0000-000058010000}"/>
    <hyperlink ref="J578" r:id="rId346" xr:uid="{00000000-0004-0000-0000-000059010000}"/>
    <hyperlink ref="J579" r:id="rId347" xr:uid="{00000000-0004-0000-0000-00005A010000}"/>
    <hyperlink ref="J580" r:id="rId348" xr:uid="{00000000-0004-0000-0000-00005B010000}"/>
    <hyperlink ref="J584" r:id="rId349" xr:uid="{00000000-0004-0000-0000-00005C010000}"/>
    <hyperlink ref="J602" r:id="rId350" xr:uid="{00000000-0004-0000-0000-00005D010000}"/>
    <hyperlink ref="J603"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2" r:id="rId356" xr:uid="{00000000-0004-0000-0000-000063010000}"/>
    <hyperlink ref="J615" r:id="rId357" xr:uid="{00000000-0004-0000-0000-000064010000}"/>
    <hyperlink ref="J616" r:id="rId358" xr:uid="{00000000-0004-0000-0000-000065010000}"/>
    <hyperlink ref="J619" r:id="rId359" xr:uid="{00000000-0004-0000-0000-000066010000}"/>
    <hyperlink ref="J622" r:id="rId360" xr:uid="{00000000-0004-0000-0000-000067010000}"/>
    <hyperlink ref="J623" r:id="rId361" xr:uid="{00000000-0004-0000-0000-000068010000}"/>
    <hyperlink ref="J624" r:id="rId362" xr:uid="{00000000-0004-0000-0000-000069010000}"/>
    <hyperlink ref="J625" r:id="rId363" xr:uid="{00000000-0004-0000-0000-00006A010000}"/>
    <hyperlink ref="J626" r:id="rId364" xr:uid="{00000000-0004-0000-0000-00006B010000}"/>
    <hyperlink ref="J627" r:id="rId365" xr:uid="{00000000-0004-0000-0000-00006C010000}"/>
    <hyperlink ref="J628" r:id="rId366" xr:uid="{00000000-0004-0000-0000-00006D010000}"/>
    <hyperlink ref="J629" r:id="rId367" xr:uid="{00000000-0004-0000-0000-00006E010000}"/>
    <hyperlink ref="J630" r:id="rId368" xr:uid="{00000000-0004-0000-0000-00006F010000}"/>
    <hyperlink ref="J631" r:id="rId369" xr:uid="{00000000-0004-0000-0000-000070010000}"/>
    <hyperlink ref="J633" r:id="rId370" xr:uid="{00000000-0004-0000-0000-000071010000}"/>
    <hyperlink ref="J634" r:id="rId371" xr:uid="{00000000-0004-0000-0000-000072010000}"/>
    <hyperlink ref="J635" r:id="rId372" xr:uid="{00000000-0004-0000-0000-000073010000}"/>
    <hyperlink ref="J637" r:id="rId373" xr:uid="{00000000-0004-0000-0000-000074010000}"/>
    <hyperlink ref="J638" r:id="rId374" xr:uid="{00000000-0004-0000-0000-000075010000}"/>
    <hyperlink ref="J639" r:id="rId375" xr:uid="{00000000-0004-0000-0000-000076010000}"/>
    <hyperlink ref="J641" r:id="rId376" xr:uid="{00000000-0004-0000-0000-000077010000}"/>
    <hyperlink ref="J642" r:id="rId377" xr:uid="{00000000-0004-0000-0000-000078010000}"/>
    <hyperlink ref="J643" r:id="rId378" xr:uid="{00000000-0004-0000-0000-000079010000}"/>
    <hyperlink ref="J650" r:id="rId379" xr:uid="{00000000-0004-0000-0000-00007A010000}"/>
    <hyperlink ref="J651" r:id="rId380" xr:uid="{00000000-0004-0000-0000-00007B010000}"/>
    <hyperlink ref="J652" r:id="rId381" xr:uid="{00000000-0004-0000-0000-00007C010000}"/>
    <hyperlink ref="J653" r:id="rId382" xr:uid="{00000000-0004-0000-0000-00007D010000}"/>
    <hyperlink ref="J655" r:id="rId383" xr:uid="{00000000-0004-0000-0000-00007E010000}"/>
    <hyperlink ref="J657" r:id="rId384" xr:uid="{00000000-0004-0000-0000-00007F010000}"/>
    <hyperlink ref="J658" r:id="rId385" xr:uid="{00000000-0004-0000-0000-000080010000}"/>
    <hyperlink ref="J661" r:id="rId386" xr:uid="{00000000-0004-0000-0000-000081010000}"/>
    <hyperlink ref="J662" r:id="rId387" xr:uid="{00000000-0004-0000-0000-000082010000}"/>
    <hyperlink ref="J663" r:id="rId388" xr:uid="{00000000-0004-0000-0000-000083010000}"/>
    <hyperlink ref="J664" r:id="rId389" xr:uid="{00000000-0004-0000-0000-000084010000}"/>
    <hyperlink ref="J665" r:id="rId390" xr:uid="{00000000-0004-0000-0000-000085010000}"/>
    <hyperlink ref="J667" r:id="rId391" xr:uid="{00000000-0004-0000-0000-000086010000}"/>
    <hyperlink ref="J668" r:id="rId392" xr:uid="{00000000-0004-0000-0000-000087010000}"/>
    <hyperlink ref="J669" r:id="rId393" xr:uid="{00000000-0004-0000-0000-000088010000}"/>
    <hyperlink ref="J670" r:id="rId394" xr:uid="{00000000-0004-0000-0000-000089010000}"/>
    <hyperlink ref="J671" r:id="rId395" xr:uid="{00000000-0004-0000-0000-00008A010000}"/>
    <hyperlink ref="J674" r:id="rId396" xr:uid="{00000000-0004-0000-0000-00008B010000}"/>
    <hyperlink ref="J676" r:id="rId397" xr:uid="{00000000-0004-0000-0000-00008C010000}"/>
    <hyperlink ref="J677" r:id="rId398" xr:uid="{00000000-0004-0000-0000-00008D010000}"/>
    <hyperlink ref="J678" r:id="rId399" xr:uid="{00000000-0004-0000-0000-00008E010000}"/>
    <hyperlink ref="J680" r:id="rId400" xr:uid="{00000000-0004-0000-0000-00008F010000}"/>
    <hyperlink ref="J681" r:id="rId401" xr:uid="{00000000-0004-0000-0000-000090010000}"/>
    <hyperlink ref="J683" r:id="rId402" xr:uid="{00000000-0004-0000-0000-000091010000}"/>
    <hyperlink ref="J684" r:id="rId403" xr:uid="{00000000-0004-0000-0000-000092010000}"/>
    <hyperlink ref="J688" r:id="rId404" xr:uid="{00000000-0004-0000-0000-000093010000}"/>
    <hyperlink ref="J691" r:id="rId405" xr:uid="{00000000-0004-0000-0000-000094010000}"/>
    <hyperlink ref="J698" r:id="rId406" xr:uid="{00000000-0004-0000-0000-000095010000}"/>
    <hyperlink ref="J699" r:id="rId407" xr:uid="{00000000-0004-0000-0000-000096010000}"/>
    <hyperlink ref="J700" r:id="rId408" xr:uid="{00000000-0004-0000-0000-000097010000}"/>
    <hyperlink ref="J702" r:id="rId409" xr:uid="{00000000-0004-0000-0000-000098010000}"/>
    <hyperlink ref="J706" r:id="rId410" xr:uid="{00000000-0004-0000-0000-000099010000}"/>
    <hyperlink ref="J707" r:id="rId411" xr:uid="{00000000-0004-0000-0000-00009A010000}"/>
    <hyperlink ref="J709" r:id="rId412" xr:uid="{00000000-0004-0000-0000-00009B010000}"/>
    <hyperlink ref="J710" r:id="rId413" xr:uid="{00000000-0004-0000-0000-00009C010000}"/>
    <hyperlink ref="J712" r:id="rId414" xr:uid="{00000000-0004-0000-0000-00009D010000}"/>
    <hyperlink ref="J713" r:id="rId415" xr:uid="{00000000-0004-0000-0000-00009E010000}"/>
    <hyperlink ref="J714" r:id="rId416" xr:uid="{00000000-0004-0000-0000-00009F010000}"/>
    <hyperlink ref="J716" r:id="rId417" xr:uid="{00000000-0004-0000-0000-0000A0010000}"/>
    <hyperlink ref="J718" r:id="rId418" xr:uid="{00000000-0004-0000-0000-0000A1010000}"/>
    <hyperlink ref="J721" r:id="rId419" xr:uid="{00000000-0004-0000-0000-0000A2010000}"/>
    <hyperlink ref="J722" r:id="rId420" xr:uid="{00000000-0004-0000-0000-0000A3010000}"/>
    <hyperlink ref="J723" r:id="rId421" xr:uid="{00000000-0004-0000-0000-0000A4010000}"/>
    <hyperlink ref="J724" r:id="rId422" xr:uid="{00000000-0004-0000-0000-0000A5010000}"/>
    <hyperlink ref="J725" r:id="rId423" xr:uid="{00000000-0004-0000-0000-0000A6010000}"/>
    <hyperlink ref="J728" r:id="rId424" xr:uid="{00000000-0004-0000-0000-0000A7010000}"/>
    <hyperlink ref="J731" r:id="rId425" xr:uid="{00000000-0004-0000-0000-0000A8010000}"/>
    <hyperlink ref="J732" r:id="rId426" xr:uid="{00000000-0004-0000-0000-0000A9010000}"/>
    <hyperlink ref="J735" r:id="rId427" xr:uid="{00000000-0004-0000-0000-0000AA010000}"/>
    <hyperlink ref="J737" r:id="rId428" xr:uid="{00000000-0004-0000-0000-0000AB010000}"/>
    <hyperlink ref="J738" r:id="rId429" xr:uid="{00000000-0004-0000-0000-0000AC010000}"/>
    <hyperlink ref="J739" r:id="rId430" xr:uid="{00000000-0004-0000-0000-0000AD010000}"/>
    <hyperlink ref="J741" r:id="rId431" xr:uid="{00000000-0004-0000-0000-0000AE010000}"/>
    <hyperlink ref="J742" r:id="rId432" xr:uid="{00000000-0004-0000-0000-0000AF010000}"/>
    <hyperlink ref="J743" r:id="rId433" xr:uid="{00000000-0004-0000-0000-0000B0010000}"/>
    <hyperlink ref="J744" r:id="rId434" xr:uid="{00000000-0004-0000-0000-0000B1010000}"/>
    <hyperlink ref="J745" r:id="rId435" xr:uid="{00000000-0004-0000-0000-0000B2010000}"/>
    <hyperlink ref="J746" r:id="rId436" xr:uid="{00000000-0004-0000-0000-0000B3010000}"/>
    <hyperlink ref="J747" r:id="rId437" xr:uid="{00000000-0004-0000-0000-0000B4010000}"/>
    <hyperlink ref="J748" r:id="rId438" xr:uid="{00000000-0004-0000-0000-0000B5010000}"/>
    <hyperlink ref="J750" r:id="rId439" xr:uid="{00000000-0004-0000-0000-0000B6010000}"/>
    <hyperlink ref="J752" r:id="rId440" xr:uid="{00000000-0004-0000-0000-0000B7010000}"/>
    <hyperlink ref="J753" r:id="rId441" xr:uid="{00000000-0004-0000-0000-0000B8010000}"/>
    <hyperlink ref="J755" r:id="rId442" xr:uid="{00000000-0004-0000-0000-0000B9010000}"/>
    <hyperlink ref="J759" r:id="rId443" xr:uid="{00000000-0004-0000-0000-0000BA010000}"/>
    <hyperlink ref="J762" r:id="rId444" xr:uid="{00000000-0004-0000-0000-0000BB010000}"/>
    <hyperlink ref="J764" r:id="rId445" xr:uid="{00000000-0004-0000-0000-0000BC010000}"/>
    <hyperlink ref="J765" r:id="rId446" xr:uid="{00000000-0004-0000-0000-0000BD010000}"/>
    <hyperlink ref="J766" r:id="rId447" xr:uid="{00000000-0004-0000-0000-0000BE010000}"/>
    <hyperlink ref="J767" r:id="rId448" xr:uid="{00000000-0004-0000-0000-0000BF010000}"/>
    <hyperlink ref="J768" r:id="rId449" xr:uid="{00000000-0004-0000-0000-0000C0010000}"/>
    <hyperlink ref="J769" r:id="rId450" xr:uid="{00000000-0004-0000-0000-0000C1010000}"/>
    <hyperlink ref="J772" r:id="rId451" xr:uid="{00000000-0004-0000-0000-0000C2010000}"/>
    <hyperlink ref="J773" r:id="rId452" xr:uid="{00000000-0004-0000-0000-0000C3010000}"/>
    <hyperlink ref="J774" r:id="rId453" xr:uid="{00000000-0004-0000-0000-0000C4010000}"/>
    <hyperlink ref="J775" r:id="rId454" xr:uid="{00000000-0004-0000-0000-0000C5010000}"/>
    <hyperlink ref="J776" r:id="rId455" xr:uid="{00000000-0004-0000-0000-0000C6010000}"/>
    <hyperlink ref="J777" r:id="rId456" xr:uid="{00000000-0004-0000-0000-0000C7010000}"/>
    <hyperlink ref="J778" r:id="rId457" xr:uid="{00000000-0004-0000-0000-0000C8010000}"/>
    <hyperlink ref="J779" r:id="rId458" xr:uid="{00000000-0004-0000-0000-0000C9010000}"/>
    <hyperlink ref="J781" r:id="rId459" xr:uid="{00000000-0004-0000-0000-0000CA010000}"/>
    <hyperlink ref="J782" r:id="rId460" xr:uid="{00000000-0004-0000-0000-0000CB010000}"/>
    <hyperlink ref="J783" r:id="rId461" xr:uid="{00000000-0004-0000-0000-0000CC010000}"/>
    <hyperlink ref="J784" r:id="rId462" xr:uid="{00000000-0004-0000-0000-0000CD010000}"/>
    <hyperlink ref="J785" r:id="rId463" xr:uid="{00000000-0004-0000-0000-0000CE010000}"/>
    <hyperlink ref="J786" r:id="rId464" xr:uid="{00000000-0004-0000-0000-0000CF010000}"/>
    <hyperlink ref="J787" r:id="rId465" xr:uid="{00000000-0004-0000-0000-0000D0010000}"/>
    <hyperlink ref="J788" r:id="rId466" xr:uid="{00000000-0004-0000-0000-0000D1010000}"/>
    <hyperlink ref="J790" r:id="rId467" xr:uid="{00000000-0004-0000-0000-0000D2010000}"/>
    <hyperlink ref="J792" r:id="rId468" xr:uid="{00000000-0004-0000-0000-0000D3010000}"/>
    <hyperlink ref="J793" r:id="rId469" xr:uid="{00000000-0004-0000-0000-0000D4010000}"/>
    <hyperlink ref="J795" r:id="rId470" xr:uid="{00000000-0004-0000-0000-0000D5010000}"/>
    <hyperlink ref="J796" r:id="rId471" xr:uid="{00000000-0004-0000-0000-0000D6010000}"/>
    <hyperlink ref="J799" r:id="rId472" xr:uid="{00000000-0004-0000-0000-0000D7010000}"/>
    <hyperlink ref="J800" r:id="rId473" xr:uid="{00000000-0004-0000-0000-0000D8010000}"/>
    <hyperlink ref="J804" r:id="rId474" xr:uid="{00000000-0004-0000-0000-0000D9010000}"/>
    <hyperlink ref="J807" r:id="rId475" xr:uid="{00000000-0004-0000-0000-0000DA010000}"/>
    <hyperlink ref="J809" r:id="rId476" xr:uid="{00000000-0004-0000-0000-0000DB010000}"/>
    <hyperlink ref="J810" r:id="rId477" xr:uid="{00000000-0004-0000-0000-0000DC010000}"/>
    <hyperlink ref="J811" r:id="rId478" xr:uid="{00000000-0004-0000-0000-0000DD010000}"/>
    <hyperlink ref="J815" r:id="rId479" xr:uid="{00000000-0004-0000-0000-0000DE010000}"/>
    <hyperlink ref="J816" r:id="rId480" xr:uid="{00000000-0004-0000-0000-0000DF010000}"/>
    <hyperlink ref="J819" r:id="rId481" xr:uid="{00000000-0004-0000-0000-0000E0010000}"/>
    <hyperlink ref="J820" r:id="rId482" xr:uid="{00000000-0004-0000-0000-0000E1010000}"/>
    <hyperlink ref="J822" r:id="rId483" xr:uid="{00000000-0004-0000-0000-0000E2010000}"/>
    <hyperlink ref="J825" r:id="rId484" xr:uid="{00000000-0004-0000-0000-0000E3010000}"/>
    <hyperlink ref="J826" r:id="rId485" xr:uid="{00000000-0004-0000-0000-0000E4010000}"/>
    <hyperlink ref="J828" r:id="rId486" xr:uid="{00000000-0004-0000-0000-0000E5010000}"/>
    <hyperlink ref="J829" r:id="rId487" xr:uid="{00000000-0004-0000-0000-0000E6010000}"/>
    <hyperlink ref="J830" r:id="rId488" xr:uid="{00000000-0004-0000-0000-0000E7010000}"/>
    <hyperlink ref="J833" r:id="rId489" xr:uid="{00000000-0004-0000-0000-0000E8010000}"/>
    <hyperlink ref="J837" r:id="rId490" xr:uid="{00000000-0004-0000-0000-0000E9010000}"/>
    <hyperlink ref="J838" r:id="rId491" xr:uid="{00000000-0004-0000-0000-0000EA010000}"/>
    <hyperlink ref="J839" r:id="rId492" xr:uid="{00000000-0004-0000-0000-0000EB010000}"/>
    <hyperlink ref="J843" r:id="rId493" xr:uid="{00000000-0004-0000-0000-0000EC010000}"/>
    <hyperlink ref="J845" r:id="rId494" xr:uid="{00000000-0004-0000-0000-0000ED010000}"/>
    <hyperlink ref="J846" r:id="rId495" xr:uid="{00000000-0004-0000-0000-0000EE010000}"/>
    <hyperlink ref="J847" r:id="rId496" xr:uid="{00000000-0004-0000-0000-0000EF010000}"/>
    <hyperlink ref="J850" r:id="rId497" xr:uid="{00000000-0004-0000-0000-0000F0010000}"/>
    <hyperlink ref="J851" r:id="rId498" xr:uid="{00000000-0004-0000-0000-0000F1010000}"/>
    <hyperlink ref="J852" r:id="rId499" xr:uid="{00000000-0004-0000-0000-0000F2010000}"/>
    <hyperlink ref="J853" r:id="rId500" xr:uid="{00000000-0004-0000-0000-0000F3010000}"/>
    <hyperlink ref="J855" r:id="rId501" xr:uid="{00000000-0004-0000-0000-0000F4010000}"/>
    <hyperlink ref="J857" r:id="rId502" xr:uid="{00000000-0004-0000-0000-0000F5010000}"/>
    <hyperlink ref="J859" r:id="rId503" xr:uid="{00000000-0004-0000-0000-0000F6010000}"/>
    <hyperlink ref="J863" r:id="rId504" xr:uid="{00000000-0004-0000-0000-0000F7010000}"/>
    <hyperlink ref="J866" r:id="rId505" xr:uid="{00000000-0004-0000-0000-0000F8010000}"/>
    <hyperlink ref="J867" r:id="rId506" xr:uid="{00000000-0004-0000-0000-0000F9010000}"/>
    <hyperlink ref="J868" r:id="rId507" xr:uid="{00000000-0004-0000-0000-0000FA010000}"/>
    <hyperlink ref="J870" r:id="rId508" xr:uid="{00000000-0004-0000-0000-0000FB010000}"/>
    <hyperlink ref="J874" r:id="rId509" xr:uid="{00000000-0004-0000-0000-0000FC010000}"/>
    <hyperlink ref="J875" r:id="rId510" xr:uid="{00000000-0004-0000-0000-0000FD010000}"/>
    <hyperlink ref="J877" r:id="rId511" xr:uid="{00000000-0004-0000-0000-0000FE010000}"/>
    <hyperlink ref="J879" r:id="rId512" xr:uid="{00000000-0004-0000-0000-0000FF010000}"/>
    <hyperlink ref="J881" r:id="rId513" xr:uid="{00000000-0004-0000-0000-000000020000}"/>
    <hyperlink ref="J886" r:id="rId514" xr:uid="{00000000-0004-0000-0000-000001020000}"/>
    <hyperlink ref="J887" r:id="rId515" xr:uid="{00000000-0004-0000-0000-000002020000}"/>
    <hyperlink ref="J889" r:id="rId516" xr:uid="{00000000-0004-0000-0000-000003020000}"/>
    <hyperlink ref="J890" r:id="rId517" xr:uid="{00000000-0004-0000-0000-000004020000}"/>
    <hyperlink ref="J891" r:id="rId518" xr:uid="{00000000-0004-0000-0000-000005020000}"/>
    <hyperlink ref="J892" r:id="rId519" xr:uid="{00000000-0004-0000-0000-000006020000}"/>
    <hyperlink ref="J897" r:id="rId520" xr:uid="{00000000-0004-0000-0000-000007020000}"/>
    <hyperlink ref="J900" r:id="rId521" xr:uid="{00000000-0004-0000-0000-000008020000}"/>
    <hyperlink ref="J901" r:id="rId522" xr:uid="{00000000-0004-0000-0000-000009020000}"/>
    <hyperlink ref="J903" r:id="rId523" xr:uid="{00000000-0004-0000-0000-00000A020000}"/>
    <hyperlink ref="J904" r:id="rId524" xr:uid="{00000000-0004-0000-0000-00000B020000}"/>
    <hyperlink ref="J905" r:id="rId525" xr:uid="{00000000-0004-0000-0000-00000C020000}"/>
    <hyperlink ref="J907" r:id="rId526" xr:uid="{00000000-0004-0000-0000-00000D020000}"/>
    <hyperlink ref="J908" r:id="rId527" xr:uid="{00000000-0004-0000-0000-00000E020000}"/>
    <hyperlink ref="J909" r:id="rId528" xr:uid="{00000000-0004-0000-0000-00000F020000}"/>
    <hyperlink ref="J911" r:id="rId529" xr:uid="{00000000-0004-0000-0000-000010020000}"/>
    <hyperlink ref="J912" r:id="rId530" xr:uid="{00000000-0004-0000-0000-000011020000}"/>
    <hyperlink ref="J914" r:id="rId531" xr:uid="{00000000-0004-0000-0000-000012020000}"/>
    <hyperlink ref="J916" r:id="rId532" xr:uid="{00000000-0004-0000-0000-000013020000}"/>
    <hyperlink ref="J917" r:id="rId533" xr:uid="{00000000-0004-0000-0000-000014020000}"/>
    <hyperlink ref="J918" r:id="rId534" xr:uid="{00000000-0004-0000-0000-000015020000}"/>
    <hyperlink ref="J920" r:id="rId535" xr:uid="{00000000-0004-0000-0000-000016020000}"/>
    <hyperlink ref="J921" r:id="rId536" xr:uid="{00000000-0004-0000-0000-000017020000}"/>
    <hyperlink ref="J922" r:id="rId537" xr:uid="{00000000-0004-0000-0000-000018020000}"/>
    <hyperlink ref="J144" r:id="rId538" xr:uid="{08E49B8B-AB87-44CE-BD88-6A72072643F3}"/>
    <hyperlink ref="J573" r:id="rId539" xr:uid="{613E919C-99D5-4936-BD6E-E1B66FD364CC}"/>
    <hyperlink ref="J856"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3" r:id="rId545" xr:uid="{D3DC6B32-2913-4474-A207-EC23EF7C13A0}"/>
    <hyperlink ref="J734" r:id="rId546" xr:uid="{E6533295-AEB0-4582-96BC-AB1C31608544}"/>
    <hyperlink ref="J359" r:id="rId547" xr:uid="{107DEEB3-057C-4FEB-BCF1-E2DAB94E6F4E}"/>
    <hyperlink ref="J736" r:id="rId548" xr:uid="{83E867E7-804D-467B-82B9-5BA5921CE73F}"/>
    <hyperlink ref="J447" r:id="rId549" xr:uid="{E2F21C55-8B73-4F19-847B-9F98DB332EAE}"/>
    <hyperlink ref="J261" r:id="rId550" xr:uid="{329075B2-60F0-4BC2-9885-87D0F6DA2532}"/>
    <hyperlink ref="J607" r:id="rId551" xr:uid="{29C1BA05-6D3C-4DB9-ACCA-BACF951FFCF2}"/>
    <hyperlink ref="J18" r:id="rId552" xr:uid="{B1E80D83-91E1-4C19-BEF8-B703E9D0175F}"/>
    <hyperlink ref="J621" r:id="rId553" xr:uid="{F303BDB3-5201-4543-9648-08791ABDB3FE}"/>
    <hyperlink ref="J563" r:id="rId554" xr:uid="{F3C83FBE-7599-4D8D-98B4-DEECC58B1D37}"/>
    <hyperlink ref="J613" r:id="rId555" xr:uid="{383C2980-826A-4E46-9851-E40F883782B5}"/>
    <hyperlink ref="J632" r:id="rId556" xr:uid="{19EED455-3B7D-449F-85DE-CBD241AA8B10}"/>
    <hyperlink ref="J812" r:id="rId557" xr:uid="{9E30504A-97C5-46EA-9ADF-AE454DEB581B}"/>
    <hyperlink ref="J689" r:id="rId558" xr:uid="{E8B34758-00B4-43F3-BA4F-CEBBE79FC242}"/>
    <hyperlink ref="J704" r:id="rId559" xr:uid="{5A04ABF3-4935-4035-823B-C911F62C0AD5}"/>
    <hyperlink ref="J65" r:id="rId560" xr:uid="{AFB88A0E-7CB4-42A0-8B90-6B191939BC9F}"/>
    <hyperlink ref="J197" r:id="rId561" xr:uid="{1576A441-276D-4899-A6CE-6A87E32139DA}"/>
    <hyperlink ref="J430" r:id="rId562" xr:uid="{05DAEC17-A7F8-4842-9CEA-39134B2BD9B8}"/>
    <hyperlink ref="J827"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4" r:id="rId570" xr:uid="{EA1D64FF-A635-48FB-8FE3-3DAEC0661DDD}"/>
    <hyperlink ref="J733" r:id="rId571" xr:uid="{4FEAC80D-0062-42F7-A8AC-2235456304AC}"/>
    <hyperlink ref="J27" r:id="rId572" xr:uid="{87F7525E-206C-4CE2-838E-D526179D44E9}"/>
    <hyperlink ref="J849" r:id="rId573" xr:uid="{AC413CB7-944C-4B86-A1CE-939EF2BC8A8E}"/>
    <hyperlink ref="J570" r:id="rId574" xr:uid="{C8542F65-93AB-4E4A-A5D5-765CA6631289}"/>
    <hyperlink ref="J135" r:id="rId575" xr:uid="{F5C46010-8F43-4D6D-8244-ADAE109EFB61}"/>
    <hyperlink ref="J770" r:id="rId576" xr:uid="{4C630EA0-6037-4A15-9250-F2BE93B3F445}"/>
    <hyperlink ref="J817" r:id="rId577" xr:uid="{0458BECB-B19A-4DBF-8191-5957E5571B68}"/>
    <hyperlink ref="J357" r:id="rId578" xr:uid="{D851FA6F-78E8-45A7-89CD-74768FD7FE98}"/>
    <hyperlink ref="J53" r:id="rId579" xr:uid="{9563617C-E7C6-48E4-9A11-516BAD696086}"/>
    <hyperlink ref="J813" r:id="rId580" xr:uid="{FBAE9485-01DE-4708-949B-19EA67B27899}"/>
    <hyperlink ref="J221" r:id="rId581" xr:uid="{86A723EC-ECF5-4194-AC26-E60E03B562CE}"/>
    <hyperlink ref="J38" r:id="rId582" xr:uid="{DA79EC17-EBF2-4B6B-9EA8-A6A8E6F7E613}"/>
    <hyperlink ref="J294" r:id="rId583" xr:uid="{E7B35C2B-58D6-4CE5-960A-5A41E3DDF317}"/>
    <hyperlink ref="J749" r:id="rId584" xr:uid="{1C99CD87-086F-45AC-96A2-BC486C5DB756}"/>
    <hyperlink ref="J758" r:id="rId585" xr:uid="{B8B4D480-4229-4F08-993A-60EC6E1B90C9}"/>
    <hyperlink ref="J708" r:id="rId586" xr:uid="{3C7C8D86-F171-4E35-84E4-D205C8979876}"/>
    <hyperlink ref="J687" r:id="rId587" xr:uid="{4C6843DB-D27F-4A4F-8A70-54163BD5DA93}"/>
    <hyperlink ref="J672" r:id="rId588" xr:uid="{47CD558E-17EF-46B7-907E-AF7B25FB6DD7}"/>
    <hyperlink ref="J208" r:id="rId589" xr:uid="{2EF8F3BC-1380-4DF8-9FB4-A7261A89E970}"/>
    <hyperlink ref="J443" r:id="rId590" xr:uid="{3EB3F29A-8B57-4E1F-BCC9-816F798D197C}"/>
    <hyperlink ref="J644" r:id="rId591" xr:uid="{937F458A-2B3F-4299-90DC-7976DBDDA83D}"/>
    <hyperlink ref="J198" r:id="rId592" xr:uid="{5BBCD969-F4D0-43C8-86E1-73E3C4C7F278}"/>
    <hyperlink ref="J441" r:id="rId593" xr:uid="{88C9ED9A-015C-4625-830C-FFE63BAD81F8}"/>
    <hyperlink ref="J906" r:id="rId594" xr:uid="{CE05D1E9-F87C-4776-8FB8-5D6811A78005}"/>
    <hyperlink ref="J715"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29" r:id="rId601" xr:uid="{70330357-48C8-4A65-9A66-D06E5B7683B7}"/>
    <hyperlink ref="J675" r:id="rId602" xr:uid="{0A4B9F13-F5E8-4807-A550-63000D3A578D}"/>
    <hyperlink ref="J152" r:id="rId603" xr:uid="{ED53488C-D1C3-4DB9-98BC-D5F56B13154A}"/>
    <hyperlink ref="J761" r:id="rId604" xr:uid="{B6DEAF4F-CF5F-488C-9ADD-7EC6D4A1C37E}"/>
    <hyperlink ref="J419" r:id="rId605" xr:uid="{CAB1429C-2765-4EDE-BAA1-BA16F9386CD4}"/>
    <hyperlink ref="J576"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4" r:id="rId611" xr:uid="{766FEF58-E322-4484-8062-1E05F877938B}"/>
    <hyperlink ref="J599" r:id="rId612" xr:uid="{44A154C9-0A13-4EC4-9C0C-0ECBA4D37CAA}"/>
    <hyperlink ref="J601" r:id="rId613" xr:uid="{CEC1BFBF-7DC0-4457-9E12-17BABC63FC6A}"/>
    <hyperlink ref="J210" r:id="rId614" xr:uid="{5A7B42F9-4310-4881-A212-8C3279C43D9B}"/>
    <hyperlink ref="J751" r:id="rId615" xr:uid="{E819D4E0-9208-40C1-AC92-C0376C7BAE84}"/>
    <hyperlink ref="J841" r:id="rId616" xr:uid="{0E7C56AA-7AE0-4202-9D62-2ABD84A2D68A}"/>
    <hyperlink ref="J497" r:id="rId617" xr:uid="{7215BC9F-3804-40A0-A90F-E8FBD622D038}"/>
  </hyperlinks>
  <pageMargins left="0.7" right="0.7" top="0.75" bottom="0.75" header="0.511811023622047" footer="0.511811023622047"/>
  <pageSetup orientation="portrait" horizontalDpi="300" verticalDpi="300"/>
  <tableParts count="1">
    <tablePart r:id="rId6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0"/>
  <sheetViews>
    <sheetView tabSelected="1" topLeftCell="A582" zoomScaleNormal="100" workbookViewId="0">
      <selection activeCell="B605" sqref="B605"/>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8427</v>
      </c>
      <c r="G1" t="s">
        <v>9480</v>
      </c>
    </row>
    <row r="2" spans="1:7" x14ac:dyDescent="0.25">
      <c r="A2" t="s">
        <v>1294</v>
      </c>
      <c r="B2" t="s">
        <v>175</v>
      </c>
      <c r="C2">
        <v>2019</v>
      </c>
      <c r="E2" t="s">
        <v>3013</v>
      </c>
      <c r="F2" t="s">
        <v>9481</v>
      </c>
      <c r="G2" t="s">
        <v>187</v>
      </c>
    </row>
    <row r="3" spans="1:7" x14ac:dyDescent="0.25">
      <c r="A3" t="s">
        <v>1761</v>
      </c>
      <c r="B3" t="s">
        <v>178</v>
      </c>
      <c r="C3">
        <v>1995</v>
      </c>
      <c r="E3" t="s">
        <v>3270</v>
      </c>
      <c r="F3" t="s">
        <v>8922</v>
      </c>
      <c r="G3" t="s">
        <v>3994</v>
      </c>
    </row>
    <row r="4" spans="1:7" x14ac:dyDescent="0.25">
      <c r="A4" t="s">
        <v>2023</v>
      </c>
      <c r="B4" t="s">
        <v>178</v>
      </c>
      <c r="C4">
        <v>2003</v>
      </c>
      <c r="E4" t="s">
        <v>3270</v>
      </c>
      <c r="F4" t="s">
        <v>9422</v>
      </c>
      <c r="G4" t="s">
        <v>3994</v>
      </c>
    </row>
    <row r="5" spans="1:7" x14ac:dyDescent="0.25">
      <c r="A5" t="s">
        <v>1089</v>
      </c>
      <c r="B5" t="s">
        <v>181</v>
      </c>
      <c r="C5">
        <v>2021</v>
      </c>
      <c r="D5" t="s">
        <v>187</v>
      </c>
      <c r="F5" t="s">
        <v>9482</v>
      </c>
      <c r="G5" t="s">
        <v>3994</v>
      </c>
    </row>
    <row r="6" spans="1:7" x14ac:dyDescent="0.25">
      <c r="A6" t="s">
        <v>1843</v>
      </c>
      <c r="B6" t="s">
        <v>185</v>
      </c>
      <c r="C6">
        <v>2019</v>
      </c>
      <c r="E6" s="10" t="s">
        <v>9916</v>
      </c>
      <c r="F6" t="s">
        <v>9915</v>
      </c>
      <c r="G6" t="s">
        <v>3994</v>
      </c>
    </row>
    <row r="7" spans="1:7" x14ac:dyDescent="0.25">
      <c r="A7" t="s">
        <v>2804</v>
      </c>
      <c r="B7" t="s">
        <v>185</v>
      </c>
      <c r="C7">
        <v>2021</v>
      </c>
      <c r="E7" t="s">
        <v>3013</v>
      </c>
      <c r="F7" t="s">
        <v>9483</v>
      </c>
      <c r="G7" t="s">
        <v>3994</v>
      </c>
    </row>
    <row r="8" spans="1:7" x14ac:dyDescent="0.25">
      <c r="A8" t="s">
        <v>689</v>
      </c>
      <c r="B8" t="s">
        <v>190</v>
      </c>
      <c r="C8">
        <v>2015</v>
      </c>
      <c r="E8" t="s">
        <v>3083</v>
      </c>
      <c r="F8" t="s">
        <v>8579</v>
      </c>
      <c r="G8" t="s">
        <v>3994</v>
      </c>
    </row>
    <row r="9" spans="1:7" x14ac:dyDescent="0.25">
      <c r="A9" t="s">
        <v>160</v>
      </c>
      <c r="B9" t="s">
        <v>190</v>
      </c>
      <c r="C9">
        <v>2011</v>
      </c>
      <c r="E9" t="s">
        <v>3083</v>
      </c>
      <c r="F9" t="s">
        <v>9260</v>
      </c>
      <c r="G9" t="s">
        <v>3994</v>
      </c>
    </row>
    <row r="10" spans="1:7" x14ac:dyDescent="0.25">
      <c r="A10" t="s">
        <v>190</v>
      </c>
      <c r="B10" t="s">
        <v>194</v>
      </c>
      <c r="C10">
        <v>2017</v>
      </c>
      <c r="D10" t="s">
        <v>187</v>
      </c>
      <c r="F10" t="s">
        <v>9484</v>
      </c>
      <c r="G10" t="s">
        <v>3994</v>
      </c>
    </row>
    <row r="11" spans="1:7" x14ac:dyDescent="0.25">
      <c r="A11" t="s">
        <v>2073</v>
      </c>
      <c r="B11" t="s">
        <v>198</v>
      </c>
      <c r="C11">
        <v>2010</v>
      </c>
      <c r="E11" t="s">
        <v>2982</v>
      </c>
      <c r="F11" t="s">
        <v>8998</v>
      </c>
      <c r="G11" t="s">
        <v>3994</v>
      </c>
    </row>
    <row r="12" spans="1:7" x14ac:dyDescent="0.25">
      <c r="A12" t="s">
        <v>2498</v>
      </c>
      <c r="B12" t="s">
        <v>198</v>
      </c>
      <c r="C12">
        <v>2017</v>
      </c>
      <c r="D12" t="s">
        <v>187</v>
      </c>
      <c r="F12" t="s">
        <v>9485</v>
      </c>
      <c r="G12" t="s">
        <v>3994</v>
      </c>
    </row>
    <row r="13" spans="1:7" x14ac:dyDescent="0.25">
      <c r="A13" t="s">
        <v>205</v>
      </c>
      <c r="B13" t="s">
        <v>202</v>
      </c>
      <c r="C13">
        <v>2015</v>
      </c>
      <c r="D13" t="s">
        <v>187</v>
      </c>
      <c r="F13" t="s">
        <v>9486</v>
      </c>
      <c r="G13" t="s">
        <v>3994</v>
      </c>
    </row>
    <row r="14" spans="1:7" x14ac:dyDescent="0.25">
      <c r="A14" t="s">
        <v>2154</v>
      </c>
      <c r="B14" t="s">
        <v>205</v>
      </c>
      <c r="C14">
        <v>1980</v>
      </c>
      <c r="E14" t="s">
        <v>3317</v>
      </c>
      <c r="F14" t="s">
        <v>9028</v>
      </c>
      <c r="G14" t="s">
        <v>3994</v>
      </c>
    </row>
    <row r="15" spans="1:7" x14ac:dyDescent="0.25">
      <c r="A15" t="s">
        <v>2269</v>
      </c>
      <c r="B15" t="s">
        <v>209</v>
      </c>
      <c r="C15">
        <v>2022</v>
      </c>
      <c r="D15" t="s">
        <v>187</v>
      </c>
      <c r="F15" t="s">
        <v>9487</v>
      </c>
      <c r="G15" t="s">
        <v>3994</v>
      </c>
    </row>
    <row r="16" spans="1:7" x14ac:dyDescent="0.25">
      <c r="A16" t="s">
        <v>90</v>
      </c>
      <c r="B16" t="s">
        <v>209</v>
      </c>
      <c r="C16">
        <v>2017</v>
      </c>
      <c r="E16" t="s">
        <v>3340</v>
      </c>
      <c r="F16" t="s">
        <v>9488</v>
      </c>
      <c r="G16" t="s">
        <v>3994</v>
      </c>
    </row>
    <row r="17" spans="1:7" x14ac:dyDescent="0.25">
      <c r="A17" t="s">
        <v>2428</v>
      </c>
      <c r="B17" t="s">
        <v>213</v>
      </c>
      <c r="C17">
        <v>2008</v>
      </c>
      <c r="E17" s="10" t="s">
        <v>3388</v>
      </c>
      <c r="F17" t="s">
        <v>9489</v>
      </c>
      <c r="G17" t="s">
        <v>3994</v>
      </c>
    </row>
    <row r="18" spans="1:7" x14ac:dyDescent="0.25">
      <c r="A18" t="s">
        <v>160</v>
      </c>
      <c r="B18" t="s">
        <v>213</v>
      </c>
      <c r="C18">
        <v>2011</v>
      </c>
      <c r="E18" s="10" t="s">
        <v>3388</v>
      </c>
      <c r="F18" t="s">
        <v>9490</v>
      </c>
      <c r="G18" t="s">
        <v>3994</v>
      </c>
    </row>
    <row r="19" spans="1:7" x14ac:dyDescent="0.25">
      <c r="A19" t="s">
        <v>90</v>
      </c>
      <c r="B19" t="s">
        <v>215</v>
      </c>
      <c r="C19">
        <v>2017</v>
      </c>
      <c r="E19" t="s">
        <v>2982</v>
      </c>
      <c r="F19" t="s">
        <v>9077</v>
      </c>
      <c r="G19" t="s">
        <v>3994</v>
      </c>
    </row>
    <row r="20" spans="1:7" x14ac:dyDescent="0.25">
      <c r="A20" t="s">
        <v>160</v>
      </c>
      <c r="B20" t="s">
        <v>217</v>
      </c>
      <c r="C20">
        <v>2011</v>
      </c>
      <c r="E20" t="s">
        <v>3400</v>
      </c>
      <c r="F20" t="s">
        <v>9261</v>
      </c>
      <c r="G20" t="s">
        <v>3994</v>
      </c>
    </row>
    <row r="21" spans="1:7" x14ac:dyDescent="0.25">
      <c r="A21" t="s">
        <v>1144</v>
      </c>
      <c r="B21" t="s">
        <v>221</v>
      </c>
      <c r="C21">
        <v>2012</v>
      </c>
      <c r="E21" t="s">
        <v>3194</v>
      </c>
      <c r="F21" t="s">
        <v>8746</v>
      </c>
      <c r="G21" t="s">
        <v>3994</v>
      </c>
    </row>
    <row r="22" spans="1:7" x14ac:dyDescent="0.25">
      <c r="A22" t="s">
        <v>1046</v>
      </c>
      <c r="B22" t="s">
        <v>226</v>
      </c>
      <c r="C22">
        <v>2016</v>
      </c>
      <c r="E22" t="s">
        <v>3179</v>
      </c>
      <c r="F22" t="s">
        <v>8718</v>
      </c>
      <c r="G22" t="s">
        <v>3994</v>
      </c>
    </row>
    <row r="23" spans="1:7" x14ac:dyDescent="0.25">
      <c r="A23" t="s">
        <v>2906</v>
      </c>
      <c r="B23" t="s">
        <v>226</v>
      </c>
      <c r="C23">
        <v>2018</v>
      </c>
      <c r="E23" t="s">
        <v>3179</v>
      </c>
      <c r="F23" t="s">
        <v>9371</v>
      </c>
      <c r="G23" t="s">
        <v>3994</v>
      </c>
    </row>
    <row r="24" spans="1:7" x14ac:dyDescent="0.25">
      <c r="A24" t="s">
        <v>759</v>
      </c>
      <c r="B24" t="s">
        <v>228</v>
      </c>
      <c r="C24">
        <v>2018</v>
      </c>
      <c r="E24" t="s">
        <v>3110</v>
      </c>
      <c r="F24" t="s">
        <v>8615</v>
      </c>
      <c r="G24" t="s">
        <v>3994</v>
      </c>
    </row>
    <row r="25" spans="1:7" x14ac:dyDescent="0.25">
      <c r="A25" t="s">
        <v>1272</v>
      </c>
      <c r="B25" t="s">
        <v>7906</v>
      </c>
      <c r="C25">
        <v>2020</v>
      </c>
      <c r="E25" s="10" t="s">
        <v>7905</v>
      </c>
      <c r="F25" t="s">
        <v>8779</v>
      </c>
      <c r="G25" t="s">
        <v>3994</v>
      </c>
    </row>
    <row r="26" spans="1:7" x14ac:dyDescent="0.25">
      <c r="A26" t="s">
        <v>1855</v>
      </c>
      <c r="B26" t="s">
        <v>7906</v>
      </c>
      <c r="C26">
        <v>2015</v>
      </c>
      <c r="E26" s="10" t="s">
        <v>7905</v>
      </c>
      <c r="F26" t="s">
        <v>8962</v>
      </c>
      <c r="G26" t="s">
        <v>3994</v>
      </c>
    </row>
    <row r="27" spans="1:7" x14ac:dyDescent="0.25">
      <c r="A27" t="s">
        <v>2146</v>
      </c>
      <c r="B27" t="s">
        <v>7906</v>
      </c>
      <c r="C27">
        <v>2020</v>
      </c>
      <c r="E27" s="10" t="s">
        <v>7905</v>
      </c>
      <c r="F27" t="s">
        <v>9023</v>
      </c>
      <c r="G27" t="s">
        <v>3994</v>
      </c>
    </row>
    <row r="28" spans="1:7" x14ac:dyDescent="0.25">
      <c r="A28" t="s">
        <v>2021</v>
      </c>
      <c r="B28" t="s">
        <v>233</v>
      </c>
      <c r="C28">
        <v>2020</v>
      </c>
      <c r="D28" t="s">
        <v>187</v>
      </c>
      <c r="F28" t="s">
        <v>9973</v>
      </c>
      <c r="G28" t="s">
        <v>3994</v>
      </c>
    </row>
    <row r="29" spans="1:7" x14ac:dyDescent="0.25">
      <c r="A29" t="s">
        <v>90</v>
      </c>
      <c r="B29" t="s">
        <v>233</v>
      </c>
      <c r="C29">
        <v>2017</v>
      </c>
      <c r="E29" t="s">
        <v>3305</v>
      </c>
      <c r="F29" t="s">
        <v>9491</v>
      </c>
      <c r="G29" t="s">
        <v>3994</v>
      </c>
    </row>
    <row r="30" spans="1:7" x14ac:dyDescent="0.25">
      <c r="A30" t="s">
        <v>746</v>
      </c>
      <c r="B30" t="s">
        <v>237</v>
      </c>
      <c r="C30">
        <v>2015</v>
      </c>
      <c r="E30" t="s">
        <v>3093</v>
      </c>
      <c r="F30" t="s">
        <v>8593</v>
      </c>
      <c r="G30" t="s">
        <v>3994</v>
      </c>
    </row>
    <row r="31" spans="1:7" x14ac:dyDescent="0.25">
      <c r="A31" t="s">
        <v>90</v>
      </c>
      <c r="B31" t="s">
        <v>237</v>
      </c>
      <c r="C31">
        <v>2017</v>
      </c>
      <c r="E31" t="s">
        <v>3341</v>
      </c>
      <c r="F31" t="s">
        <v>9492</v>
      </c>
      <c r="G31" t="s">
        <v>187</v>
      </c>
    </row>
    <row r="32" spans="1:7" x14ac:dyDescent="0.25">
      <c r="A32" t="s">
        <v>759</v>
      </c>
      <c r="B32" t="s">
        <v>241</v>
      </c>
      <c r="C32">
        <v>2018</v>
      </c>
      <c r="E32" t="s">
        <v>2982</v>
      </c>
      <c r="F32" t="s">
        <v>8616</v>
      </c>
      <c r="G32" t="s">
        <v>3994</v>
      </c>
    </row>
    <row r="33" spans="1:7" x14ac:dyDescent="0.25">
      <c r="A33" t="s">
        <v>1046</v>
      </c>
      <c r="B33" t="s">
        <v>245</v>
      </c>
      <c r="C33">
        <v>2016</v>
      </c>
      <c r="E33" t="s">
        <v>3180</v>
      </c>
      <c r="F33" t="s">
        <v>8719</v>
      </c>
      <c r="G33" t="s">
        <v>3994</v>
      </c>
    </row>
    <row r="34" spans="1:7" x14ac:dyDescent="0.25">
      <c r="A34" t="s">
        <v>1855</v>
      </c>
      <c r="B34" t="s">
        <v>245</v>
      </c>
      <c r="C34">
        <v>2015</v>
      </c>
      <c r="E34" t="s">
        <v>3180</v>
      </c>
      <c r="F34" t="s">
        <v>8963</v>
      </c>
      <c r="G34" t="s">
        <v>3994</v>
      </c>
    </row>
    <row r="35" spans="1:7" x14ac:dyDescent="0.25">
      <c r="A35" t="s">
        <v>1443</v>
      </c>
      <c r="B35" t="s">
        <v>249</v>
      </c>
      <c r="C35">
        <v>2018</v>
      </c>
      <c r="E35" t="s">
        <v>3244</v>
      </c>
      <c r="F35" t="s">
        <v>8850</v>
      </c>
      <c r="G35" t="s">
        <v>3994</v>
      </c>
    </row>
    <row r="36" spans="1:7" x14ac:dyDescent="0.25">
      <c r="A36" t="s">
        <v>90</v>
      </c>
      <c r="B36" t="s">
        <v>249</v>
      </c>
      <c r="C36">
        <v>2017</v>
      </c>
      <c r="E36" t="s">
        <v>3244</v>
      </c>
      <c r="F36" t="s">
        <v>9078</v>
      </c>
      <c r="G36" t="s">
        <v>3994</v>
      </c>
    </row>
    <row r="37" spans="1:7" x14ac:dyDescent="0.25">
      <c r="A37" t="s">
        <v>759</v>
      </c>
      <c r="B37" t="s">
        <v>253</v>
      </c>
      <c r="C37">
        <v>2018</v>
      </c>
      <c r="E37" t="s">
        <v>3111</v>
      </c>
      <c r="F37" t="s">
        <v>8617</v>
      </c>
      <c r="G37" t="s">
        <v>3994</v>
      </c>
    </row>
    <row r="38" spans="1:7" x14ac:dyDescent="0.25">
      <c r="A38" t="s">
        <v>1294</v>
      </c>
      <c r="B38" t="s">
        <v>253</v>
      </c>
      <c r="C38">
        <v>2019</v>
      </c>
      <c r="E38" t="s">
        <v>3111</v>
      </c>
      <c r="F38" t="s">
        <v>8790</v>
      </c>
      <c r="G38" t="s">
        <v>3994</v>
      </c>
    </row>
    <row r="39" spans="1:7" x14ac:dyDescent="0.25">
      <c r="A39" t="s">
        <v>160</v>
      </c>
      <c r="B39" t="s">
        <v>253</v>
      </c>
      <c r="C39">
        <v>2011</v>
      </c>
      <c r="E39" t="s">
        <v>3111</v>
      </c>
      <c r="F39" t="s">
        <v>9262</v>
      </c>
      <c r="G39" t="s">
        <v>3994</v>
      </c>
    </row>
    <row r="40" spans="1:7" x14ac:dyDescent="0.25">
      <c r="A40" t="s">
        <v>1284</v>
      </c>
      <c r="B40" t="s">
        <v>256</v>
      </c>
      <c r="C40">
        <v>1984</v>
      </c>
      <c r="E40" t="s">
        <v>3218</v>
      </c>
      <c r="F40" t="s">
        <v>8783</v>
      </c>
      <c r="G40" t="s">
        <v>3994</v>
      </c>
    </row>
    <row r="41" spans="1:7" x14ac:dyDescent="0.25">
      <c r="A41" t="s">
        <v>1795</v>
      </c>
      <c r="B41" t="s">
        <v>256</v>
      </c>
      <c r="C41">
        <v>1987</v>
      </c>
      <c r="E41" s="10" t="s">
        <v>8401</v>
      </c>
      <c r="F41" t="s">
        <v>8928</v>
      </c>
      <c r="G41" t="s">
        <v>3994</v>
      </c>
    </row>
    <row r="42" spans="1:7" x14ac:dyDescent="0.25">
      <c r="A42" t="s">
        <v>2154</v>
      </c>
      <c r="B42" t="s">
        <v>256</v>
      </c>
      <c r="C42">
        <v>1980</v>
      </c>
      <c r="E42" s="10" t="s">
        <v>8401</v>
      </c>
      <c r="F42" t="s">
        <v>9029</v>
      </c>
      <c r="G42" t="s">
        <v>3994</v>
      </c>
    </row>
    <row r="43" spans="1:7" x14ac:dyDescent="0.25">
      <c r="A43" t="s">
        <v>1725</v>
      </c>
      <c r="B43" t="s">
        <v>260</v>
      </c>
      <c r="C43">
        <v>1983</v>
      </c>
      <c r="E43" t="s">
        <v>3268</v>
      </c>
      <c r="F43" t="s">
        <v>8918</v>
      </c>
      <c r="G43" t="s">
        <v>3994</v>
      </c>
    </row>
    <row r="44" spans="1:7" x14ac:dyDescent="0.25">
      <c r="A44" t="s">
        <v>746</v>
      </c>
      <c r="B44" t="s">
        <v>8108</v>
      </c>
      <c r="C44">
        <v>2015</v>
      </c>
      <c r="E44" s="10" t="s">
        <v>8120</v>
      </c>
      <c r="F44" t="s">
        <v>8594</v>
      </c>
      <c r="G44" t="s">
        <v>3994</v>
      </c>
    </row>
    <row r="45" spans="1:7" x14ac:dyDescent="0.25">
      <c r="A45" t="s">
        <v>1443</v>
      </c>
      <c r="B45" t="s">
        <v>8108</v>
      </c>
      <c r="C45">
        <v>2018</v>
      </c>
      <c r="E45" s="10" t="s">
        <v>8120</v>
      </c>
      <c r="F45" t="s">
        <v>8851</v>
      </c>
      <c r="G45" t="s">
        <v>3994</v>
      </c>
    </row>
    <row r="46" spans="1:7" x14ac:dyDescent="0.25">
      <c r="A46" t="s">
        <v>263</v>
      </c>
      <c r="B46" t="s">
        <v>268</v>
      </c>
      <c r="C46">
        <v>2022</v>
      </c>
      <c r="D46" t="s">
        <v>187</v>
      </c>
      <c r="F46" t="s">
        <v>9493</v>
      </c>
      <c r="G46" t="s">
        <v>3994</v>
      </c>
    </row>
    <row r="47" spans="1:7" x14ac:dyDescent="0.25">
      <c r="A47" t="s">
        <v>353</v>
      </c>
      <c r="B47" t="s">
        <v>270</v>
      </c>
      <c r="C47">
        <v>2023</v>
      </c>
      <c r="E47" s="10" t="s">
        <v>8355</v>
      </c>
      <c r="F47" t="s">
        <v>8498</v>
      </c>
      <c r="G47" t="s">
        <v>3994</v>
      </c>
    </row>
    <row r="48" spans="1:7" x14ac:dyDescent="0.25">
      <c r="A48" t="s">
        <v>1576</v>
      </c>
      <c r="B48" t="s">
        <v>270</v>
      </c>
      <c r="C48">
        <v>2021</v>
      </c>
      <c r="E48" s="10" t="s">
        <v>8355</v>
      </c>
      <c r="F48" t="s">
        <v>8879</v>
      </c>
      <c r="G48" t="s">
        <v>3994</v>
      </c>
    </row>
    <row r="49" spans="1:7" x14ac:dyDescent="0.25">
      <c r="A49" t="s">
        <v>1690</v>
      </c>
      <c r="B49" t="s">
        <v>270</v>
      </c>
      <c r="C49">
        <v>2020</v>
      </c>
      <c r="E49" s="10" t="s">
        <v>8355</v>
      </c>
      <c r="F49" t="s">
        <v>8906</v>
      </c>
      <c r="G49" t="s">
        <v>3994</v>
      </c>
    </row>
    <row r="50" spans="1:7" x14ac:dyDescent="0.25">
      <c r="A50" t="s">
        <v>90</v>
      </c>
      <c r="B50" t="s">
        <v>270</v>
      </c>
      <c r="C50">
        <v>2017</v>
      </c>
      <c r="E50" s="10" t="s">
        <v>8355</v>
      </c>
      <c r="F50" t="s">
        <v>9079</v>
      </c>
      <c r="G50" t="s">
        <v>3994</v>
      </c>
    </row>
    <row r="51" spans="1:7" x14ac:dyDescent="0.25">
      <c r="A51" t="s">
        <v>553</v>
      </c>
      <c r="B51" t="s">
        <v>273</v>
      </c>
      <c r="C51">
        <v>2010</v>
      </c>
      <c r="E51" t="s">
        <v>2982</v>
      </c>
      <c r="F51" t="s">
        <v>8572</v>
      </c>
      <c r="G51" t="s">
        <v>3994</v>
      </c>
    </row>
    <row r="52" spans="1:7" x14ac:dyDescent="0.25">
      <c r="A52" t="s">
        <v>1123</v>
      </c>
      <c r="B52" t="s">
        <v>276</v>
      </c>
      <c r="C52">
        <v>2020</v>
      </c>
      <c r="D52" t="s">
        <v>187</v>
      </c>
      <c r="F52" t="s">
        <v>9494</v>
      </c>
      <c r="G52" t="s">
        <v>3994</v>
      </c>
    </row>
    <row r="53" spans="1:7" x14ac:dyDescent="0.25">
      <c r="A53" t="s">
        <v>1443</v>
      </c>
      <c r="B53" t="s">
        <v>276</v>
      </c>
      <c r="C53">
        <v>2018</v>
      </c>
      <c r="E53" t="s">
        <v>3013</v>
      </c>
      <c r="F53" t="s">
        <v>9495</v>
      </c>
      <c r="G53" t="s">
        <v>187</v>
      </c>
    </row>
    <row r="54" spans="1:7" x14ac:dyDescent="0.25">
      <c r="A54" t="s">
        <v>1038</v>
      </c>
      <c r="B54" t="s">
        <v>281</v>
      </c>
      <c r="C54">
        <v>2023</v>
      </c>
      <c r="D54" t="s">
        <v>187</v>
      </c>
      <c r="F54" t="s">
        <v>9496</v>
      </c>
      <c r="G54" t="s">
        <v>3994</v>
      </c>
    </row>
    <row r="55" spans="1:7" x14ac:dyDescent="0.25">
      <c r="A55" t="s">
        <v>1144</v>
      </c>
      <c r="B55" t="s">
        <v>283</v>
      </c>
      <c r="C55">
        <v>2018</v>
      </c>
      <c r="E55" t="s">
        <v>3195</v>
      </c>
      <c r="F55" t="s">
        <v>8747</v>
      </c>
      <c r="G55" t="s">
        <v>3994</v>
      </c>
    </row>
    <row r="56" spans="1:7" x14ac:dyDescent="0.25">
      <c r="A56" t="s">
        <v>90</v>
      </c>
      <c r="B56" t="s">
        <v>283</v>
      </c>
      <c r="C56">
        <v>2017</v>
      </c>
      <c r="E56" t="s">
        <v>3195</v>
      </c>
      <c r="F56" t="s">
        <v>9080</v>
      </c>
      <c r="G56" t="s">
        <v>3994</v>
      </c>
    </row>
    <row r="57" spans="1:7" x14ac:dyDescent="0.25">
      <c r="A57" t="s">
        <v>873</v>
      </c>
      <c r="B57" t="s">
        <v>287</v>
      </c>
      <c r="C57">
        <v>2019</v>
      </c>
      <c r="E57" t="s">
        <v>3138</v>
      </c>
      <c r="F57" t="s">
        <v>9423</v>
      </c>
      <c r="G57" t="s">
        <v>3994</v>
      </c>
    </row>
    <row r="58" spans="1:7" x14ac:dyDescent="0.25">
      <c r="A58" t="s">
        <v>90</v>
      </c>
      <c r="B58" t="s">
        <v>287</v>
      </c>
      <c r="C58">
        <v>2017</v>
      </c>
      <c r="E58" t="s">
        <v>3138</v>
      </c>
      <c r="F58" t="s">
        <v>9424</v>
      </c>
      <c r="G58" t="s">
        <v>3994</v>
      </c>
    </row>
    <row r="59" spans="1:7" x14ac:dyDescent="0.25">
      <c r="A59" t="s">
        <v>2804</v>
      </c>
      <c r="B59" t="s">
        <v>290</v>
      </c>
      <c r="C59">
        <v>2021</v>
      </c>
      <c r="E59" t="s">
        <v>3013</v>
      </c>
      <c r="F59" t="s">
        <v>9497</v>
      </c>
      <c r="G59" t="s">
        <v>187</v>
      </c>
    </row>
    <row r="60" spans="1:7" x14ac:dyDescent="0.25">
      <c r="A60" t="s">
        <v>497</v>
      </c>
      <c r="B60" t="s">
        <v>294</v>
      </c>
      <c r="C60">
        <v>2022</v>
      </c>
      <c r="E60" t="s">
        <v>3065</v>
      </c>
      <c r="F60" t="s">
        <v>8551</v>
      </c>
      <c r="G60" t="s">
        <v>3994</v>
      </c>
    </row>
    <row r="61" spans="1:7" x14ac:dyDescent="0.25">
      <c r="A61" t="s">
        <v>847</v>
      </c>
      <c r="B61" t="s">
        <v>294</v>
      </c>
      <c r="C61">
        <v>1996</v>
      </c>
      <c r="E61" t="s">
        <v>3130</v>
      </c>
      <c r="F61" t="s">
        <v>8649</v>
      </c>
      <c r="G61" t="s">
        <v>3994</v>
      </c>
    </row>
    <row r="62" spans="1:7" x14ac:dyDescent="0.25">
      <c r="A62" t="s">
        <v>2804</v>
      </c>
      <c r="B62" t="s">
        <v>294</v>
      </c>
      <c r="C62">
        <v>2021</v>
      </c>
      <c r="E62" t="s">
        <v>3065</v>
      </c>
      <c r="F62" t="s">
        <v>9328</v>
      </c>
      <c r="G62" t="s">
        <v>3994</v>
      </c>
    </row>
    <row r="63" spans="1:7" x14ac:dyDescent="0.25">
      <c r="A63" t="s">
        <v>2804</v>
      </c>
      <c r="B63" t="s">
        <v>297</v>
      </c>
      <c r="C63">
        <v>2021</v>
      </c>
      <c r="E63" t="s">
        <v>2982</v>
      </c>
      <c r="F63" t="s">
        <v>9329</v>
      </c>
      <c r="G63" t="s">
        <v>3994</v>
      </c>
    </row>
    <row r="64" spans="1:7" x14ac:dyDescent="0.25">
      <c r="A64" t="s">
        <v>1951</v>
      </c>
      <c r="B64" t="s">
        <v>299</v>
      </c>
      <c r="C64">
        <v>2022</v>
      </c>
      <c r="E64" t="s">
        <v>3301</v>
      </c>
      <c r="F64" t="s">
        <v>8987</v>
      </c>
      <c r="G64" t="s">
        <v>3994</v>
      </c>
    </row>
    <row r="65" spans="1:7" x14ac:dyDescent="0.25">
      <c r="A65" t="s">
        <v>90</v>
      </c>
      <c r="B65" t="s">
        <v>299</v>
      </c>
      <c r="C65">
        <v>2017</v>
      </c>
      <c r="E65" t="s">
        <v>3301</v>
      </c>
      <c r="F65" t="s">
        <v>9081</v>
      </c>
      <c r="G65" t="s">
        <v>3994</v>
      </c>
    </row>
    <row r="66" spans="1:7" x14ac:dyDescent="0.25">
      <c r="A66" t="s">
        <v>746</v>
      </c>
      <c r="B66" t="s">
        <v>301</v>
      </c>
      <c r="C66">
        <v>2015</v>
      </c>
      <c r="D66" t="s">
        <v>3094</v>
      </c>
      <c r="E66" t="s">
        <v>3095</v>
      </c>
      <c r="F66" t="s">
        <v>8595</v>
      </c>
      <c r="G66" t="s">
        <v>3994</v>
      </c>
    </row>
    <row r="67" spans="1:7" x14ac:dyDescent="0.25">
      <c r="A67" t="s">
        <v>90</v>
      </c>
      <c r="B67" t="s">
        <v>301</v>
      </c>
      <c r="C67">
        <v>2017</v>
      </c>
      <c r="E67" t="s">
        <v>2982</v>
      </c>
      <c r="F67" t="s">
        <v>9082</v>
      </c>
      <c r="G67" t="s">
        <v>3994</v>
      </c>
    </row>
    <row r="68" spans="1:7" x14ac:dyDescent="0.25">
      <c r="A68" t="s">
        <v>1294</v>
      </c>
      <c r="B68" t="s">
        <v>303</v>
      </c>
      <c r="C68">
        <v>2019</v>
      </c>
      <c r="E68" t="s">
        <v>3223</v>
      </c>
      <c r="F68" t="s">
        <v>8791</v>
      </c>
      <c r="G68" t="s">
        <v>3994</v>
      </c>
    </row>
    <row r="69" spans="1:7" x14ac:dyDescent="0.25">
      <c r="A69" t="s">
        <v>2804</v>
      </c>
      <c r="B69" t="s">
        <v>303</v>
      </c>
      <c r="C69">
        <v>2021</v>
      </c>
      <c r="E69" t="s">
        <v>3013</v>
      </c>
      <c r="F69" t="s">
        <v>9498</v>
      </c>
      <c r="G69" t="s">
        <v>187</v>
      </c>
    </row>
    <row r="70" spans="1:7" x14ac:dyDescent="0.25">
      <c r="A70" t="s">
        <v>1046</v>
      </c>
      <c r="B70" t="s">
        <v>308</v>
      </c>
      <c r="C70">
        <v>2016</v>
      </c>
      <c r="E70" t="s">
        <v>3181</v>
      </c>
      <c r="F70" t="s">
        <v>9499</v>
      </c>
      <c r="G70" t="s">
        <v>187</v>
      </c>
    </row>
    <row r="71" spans="1:7" x14ac:dyDescent="0.25">
      <c r="A71" t="s">
        <v>160</v>
      </c>
      <c r="B71" t="s">
        <v>308</v>
      </c>
      <c r="C71">
        <v>2011</v>
      </c>
      <c r="E71" t="s">
        <v>3181</v>
      </c>
      <c r="F71" t="s">
        <v>9500</v>
      </c>
      <c r="G71" t="s">
        <v>187</v>
      </c>
    </row>
    <row r="72" spans="1:7" x14ac:dyDescent="0.25">
      <c r="A72" t="s">
        <v>574</v>
      </c>
      <c r="B72" t="s">
        <v>310</v>
      </c>
      <c r="C72">
        <v>2019</v>
      </c>
      <c r="E72" t="s">
        <v>3077</v>
      </c>
      <c r="F72" t="s">
        <v>8573</v>
      </c>
      <c r="G72" t="s">
        <v>3994</v>
      </c>
    </row>
    <row r="73" spans="1:7" x14ac:dyDescent="0.25">
      <c r="A73" t="s">
        <v>737</v>
      </c>
      <c r="B73" t="s">
        <v>310</v>
      </c>
      <c r="C73">
        <v>2019</v>
      </c>
      <c r="D73" t="s">
        <v>187</v>
      </c>
      <c r="E73" t="s">
        <v>3077</v>
      </c>
      <c r="F73" t="s">
        <v>8592</v>
      </c>
      <c r="G73" t="s">
        <v>3994</v>
      </c>
    </row>
    <row r="74" spans="1:7" x14ac:dyDescent="0.25">
      <c r="A74" t="s">
        <v>759</v>
      </c>
      <c r="B74" t="s">
        <v>310</v>
      </c>
      <c r="C74">
        <v>2018</v>
      </c>
      <c r="E74" t="s">
        <v>3077</v>
      </c>
      <c r="F74" t="s">
        <v>8618</v>
      </c>
      <c r="G74" t="s">
        <v>3994</v>
      </c>
    </row>
    <row r="75" spans="1:7" x14ac:dyDescent="0.25">
      <c r="A75" t="s">
        <v>1294</v>
      </c>
      <c r="B75" t="s">
        <v>310</v>
      </c>
      <c r="C75">
        <v>2019</v>
      </c>
      <c r="E75" t="s">
        <v>3077</v>
      </c>
      <c r="F75" t="s">
        <v>8792</v>
      </c>
      <c r="G75" t="s">
        <v>3994</v>
      </c>
    </row>
    <row r="76" spans="1:7" x14ac:dyDescent="0.25">
      <c r="A76" t="s">
        <v>90</v>
      </c>
      <c r="B76" t="s">
        <v>310</v>
      </c>
      <c r="C76">
        <v>2017</v>
      </c>
      <c r="E76" t="s">
        <v>3342</v>
      </c>
      <c r="F76" t="s">
        <v>9501</v>
      </c>
      <c r="G76" t="s">
        <v>3994</v>
      </c>
    </row>
    <row r="77" spans="1:7" x14ac:dyDescent="0.25">
      <c r="A77" t="s">
        <v>2906</v>
      </c>
      <c r="B77" t="s">
        <v>310</v>
      </c>
      <c r="C77">
        <v>2018</v>
      </c>
      <c r="E77" t="s">
        <v>3077</v>
      </c>
      <c r="F77" t="s">
        <v>9372</v>
      </c>
      <c r="G77" t="s">
        <v>3994</v>
      </c>
    </row>
    <row r="78" spans="1:7" x14ac:dyDescent="0.25">
      <c r="A78" t="s">
        <v>90</v>
      </c>
      <c r="B78" t="s">
        <v>314</v>
      </c>
      <c r="C78">
        <v>2017</v>
      </c>
      <c r="E78" t="s">
        <v>3343</v>
      </c>
      <c r="F78" t="s">
        <v>9083</v>
      </c>
      <c r="G78" t="s">
        <v>3994</v>
      </c>
    </row>
    <row r="79" spans="1:7" x14ac:dyDescent="0.25">
      <c r="A79" t="s">
        <v>497</v>
      </c>
      <c r="B79" t="s">
        <v>319</v>
      </c>
      <c r="C79">
        <v>2022</v>
      </c>
      <c r="E79" t="s">
        <v>2982</v>
      </c>
      <c r="F79" t="s">
        <v>8552</v>
      </c>
      <c r="G79" t="s">
        <v>3994</v>
      </c>
    </row>
    <row r="80" spans="1:7" x14ac:dyDescent="0.25">
      <c r="A80" t="s">
        <v>1046</v>
      </c>
      <c r="B80" t="s">
        <v>319</v>
      </c>
      <c r="C80">
        <v>2016</v>
      </c>
      <c r="E80" t="s">
        <v>2982</v>
      </c>
      <c r="F80" t="s">
        <v>8720</v>
      </c>
      <c r="G80" t="s">
        <v>3994</v>
      </c>
    </row>
    <row r="81" spans="1:7" x14ac:dyDescent="0.25">
      <c r="A81" t="s">
        <v>1594</v>
      </c>
      <c r="B81" t="s">
        <v>319</v>
      </c>
      <c r="C81">
        <v>2023</v>
      </c>
      <c r="E81" t="s">
        <v>2982</v>
      </c>
      <c r="F81" t="s">
        <v>8903</v>
      </c>
      <c r="G81" t="s">
        <v>3994</v>
      </c>
    </row>
    <row r="82" spans="1:7" x14ac:dyDescent="0.25">
      <c r="A82" t="s">
        <v>1855</v>
      </c>
      <c r="B82" t="s">
        <v>319</v>
      </c>
      <c r="C82">
        <v>2015</v>
      </c>
      <c r="E82" t="s">
        <v>2982</v>
      </c>
      <c r="F82" t="s">
        <v>8964</v>
      </c>
      <c r="G82" t="s">
        <v>3994</v>
      </c>
    </row>
    <row r="83" spans="1:7" x14ac:dyDescent="0.25">
      <c r="A83" t="s">
        <v>2804</v>
      </c>
      <c r="B83" t="s">
        <v>319</v>
      </c>
      <c r="C83">
        <v>2021</v>
      </c>
      <c r="E83" t="s">
        <v>2982</v>
      </c>
      <c r="F83" t="s">
        <v>9330</v>
      </c>
      <c r="G83" t="s">
        <v>3994</v>
      </c>
    </row>
    <row r="84" spans="1:7" x14ac:dyDescent="0.25">
      <c r="A84" t="s">
        <v>1155</v>
      </c>
      <c r="B84" t="s">
        <v>327</v>
      </c>
      <c r="C84">
        <v>2010</v>
      </c>
      <c r="D84" t="s">
        <v>187</v>
      </c>
      <c r="F84" t="s">
        <v>9502</v>
      </c>
      <c r="G84" t="s">
        <v>3994</v>
      </c>
    </row>
    <row r="85" spans="1:7" x14ac:dyDescent="0.25">
      <c r="A85" t="s">
        <v>759</v>
      </c>
      <c r="B85" t="s">
        <v>330</v>
      </c>
      <c r="C85">
        <v>2018</v>
      </c>
      <c r="E85" t="s">
        <v>3112</v>
      </c>
      <c r="F85" t="s">
        <v>8619</v>
      </c>
      <c r="G85" t="s">
        <v>3994</v>
      </c>
    </row>
    <row r="86" spans="1:7" x14ac:dyDescent="0.25">
      <c r="A86" t="s">
        <v>1046</v>
      </c>
      <c r="B86" t="s">
        <v>333</v>
      </c>
      <c r="C86">
        <v>2016</v>
      </c>
      <c r="E86" t="s">
        <v>3182</v>
      </c>
      <c r="F86" t="s">
        <v>8721</v>
      </c>
      <c r="G86" t="s">
        <v>3994</v>
      </c>
    </row>
    <row r="87" spans="1:7" x14ac:dyDescent="0.25">
      <c r="A87" t="s">
        <v>1855</v>
      </c>
      <c r="B87" t="s">
        <v>333</v>
      </c>
      <c r="C87">
        <v>2015</v>
      </c>
      <c r="E87" t="s">
        <v>3182</v>
      </c>
      <c r="F87" t="s">
        <v>8965</v>
      </c>
      <c r="G87" t="s">
        <v>3994</v>
      </c>
    </row>
    <row r="88" spans="1:7" x14ac:dyDescent="0.25">
      <c r="A88" t="s">
        <v>90</v>
      </c>
      <c r="B88" t="s">
        <v>333</v>
      </c>
      <c r="C88">
        <v>2017</v>
      </c>
      <c r="E88" t="s">
        <v>3182</v>
      </c>
      <c r="F88" t="s">
        <v>9084</v>
      </c>
      <c r="G88" t="s">
        <v>3994</v>
      </c>
    </row>
    <row r="89" spans="1:7" x14ac:dyDescent="0.25">
      <c r="A89" t="s">
        <v>178</v>
      </c>
      <c r="B89" t="s">
        <v>337</v>
      </c>
      <c r="C89">
        <v>2010</v>
      </c>
      <c r="D89" t="s">
        <v>187</v>
      </c>
      <c r="F89" t="s">
        <v>9503</v>
      </c>
      <c r="G89" t="s">
        <v>3994</v>
      </c>
    </row>
    <row r="90" spans="1:7" x14ac:dyDescent="0.25">
      <c r="A90" t="s">
        <v>2721</v>
      </c>
      <c r="B90" t="s">
        <v>341</v>
      </c>
      <c r="C90">
        <v>1993</v>
      </c>
      <c r="E90" t="s">
        <v>3013</v>
      </c>
      <c r="F90" t="s">
        <v>9504</v>
      </c>
      <c r="G90" t="s">
        <v>187</v>
      </c>
    </row>
    <row r="91" spans="1:7" x14ac:dyDescent="0.25">
      <c r="A91" t="s">
        <v>346</v>
      </c>
      <c r="B91" t="s">
        <v>344</v>
      </c>
      <c r="C91">
        <v>2022</v>
      </c>
      <c r="E91" t="s">
        <v>3015</v>
      </c>
      <c r="F91" t="s">
        <v>8490</v>
      </c>
      <c r="G91" t="s">
        <v>3994</v>
      </c>
    </row>
    <row r="92" spans="1:7" x14ac:dyDescent="0.25">
      <c r="A92" t="s">
        <v>2506</v>
      </c>
      <c r="B92" t="s">
        <v>344</v>
      </c>
      <c r="C92">
        <v>2021</v>
      </c>
      <c r="E92" t="s">
        <v>2982</v>
      </c>
      <c r="F92" t="s">
        <v>9235</v>
      </c>
      <c r="G92" t="s">
        <v>3994</v>
      </c>
    </row>
    <row r="93" spans="1:7" x14ac:dyDescent="0.25">
      <c r="A93" t="s">
        <v>873</v>
      </c>
      <c r="B93" t="s">
        <v>346</v>
      </c>
      <c r="C93">
        <v>2019</v>
      </c>
      <c r="E93" t="s">
        <v>2982</v>
      </c>
      <c r="F93" t="s">
        <v>8668</v>
      </c>
      <c r="G93" t="s">
        <v>3994</v>
      </c>
    </row>
    <row r="94" spans="1:7" x14ac:dyDescent="0.25">
      <c r="A94" t="s">
        <v>1435</v>
      </c>
      <c r="B94" t="s">
        <v>346</v>
      </c>
      <c r="C94">
        <v>2021</v>
      </c>
      <c r="E94" t="s">
        <v>2982</v>
      </c>
      <c r="F94" t="s">
        <v>8838</v>
      </c>
      <c r="G94" t="s">
        <v>3994</v>
      </c>
    </row>
    <row r="95" spans="1:7" x14ac:dyDescent="0.25">
      <c r="A95" t="s">
        <v>1443</v>
      </c>
      <c r="B95" t="s">
        <v>346</v>
      </c>
      <c r="C95">
        <v>2018</v>
      </c>
      <c r="E95" t="s">
        <v>3245</v>
      </c>
      <c r="F95" t="s">
        <v>8852</v>
      </c>
      <c r="G95" t="s">
        <v>3994</v>
      </c>
    </row>
    <row r="96" spans="1:7" x14ac:dyDescent="0.25">
      <c r="A96" t="s">
        <v>1576</v>
      </c>
      <c r="B96" t="s">
        <v>346</v>
      </c>
      <c r="C96">
        <v>2021</v>
      </c>
      <c r="E96" t="s">
        <v>2982</v>
      </c>
      <c r="F96" t="s">
        <v>8880</v>
      </c>
      <c r="G96" t="s">
        <v>3994</v>
      </c>
    </row>
    <row r="97" spans="1:7" x14ac:dyDescent="0.25">
      <c r="A97" t="s">
        <v>90</v>
      </c>
      <c r="B97" t="s">
        <v>346</v>
      </c>
      <c r="C97">
        <v>2017</v>
      </c>
      <c r="E97" t="s">
        <v>3245</v>
      </c>
      <c r="F97" t="s">
        <v>9085</v>
      </c>
      <c r="G97" t="s">
        <v>3994</v>
      </c>
    </row>
    <row r="98" spans="1:7" x14ac:dyDescent="0.25">
      <c r="A98" t="s">
        <v>1576</v>
      </c>
      <c r="B98" t="s">
        <v>353</v>
      </c>
      <c r="C98">
        <v>2021</v>
      </c>
      <c r="E98" t="s">
        <v>3259</v>
      </c>
      <c r="F98" t="s">
        <v>8881</v>
      </c>
      <c r="G98" t="s">
        <v>3994</v>
      </c>
    </row>
    <row r="99" spans="1:7" x14ac:dyDescent="0.25">
      <c r="A99" t="s">
        <v>90</v>
      </c>
      <c r="B99" t="s">
        <v>353</v>
      </c>
      <c r="C99">
        <v>2017</v>
      </c>
      <c r="E99" s="10" t="s">
        <v>10071</v>
      </c>
      <c r="F99" t="s">
        <v>10072</v>
      </c>
      <c r="G99" t="s">
        <v>3994</v>
      </c>
    </row>
    <row r="100" spans="1:7" x14ac:dyDescent="0.25">
      <c r="A100" t="s">
        <v>2706</v>
      </c>
      <c r="B100" t="s">
        <v>358</v>
      </c>
      <c r="C100">
        <v>1991</v>
      </c>
      <c r="E100" s="10" t="s">
        <v>3417</v>
      </c>
      <c r="F100" t="s">
        <v>9425</v>
      </c>
      <c r="G100" t="s">
        <v>3994</v>
      </c>
    </row>
    <row r="101" spans="1:7" x14ac:dyDescent="0.25">
      <c r="A101" t="s">
        <v>811</v>
      </c>
      <c r="B101" t="s">
        <v>360</v>
      </c>
      <c r="C101">
        <v>2024</v>
      </c>
      <c r="E101" t="s">
        <v>7650</v>
      </c>
      <c r="F101" t="s">
        <v>8642</v>
      </c>
      <c r="G101" t="s">
        <v>3994</v>
      </c>
    </row>
    <row r="102" spans="1:7" x14ac:dyDescent="0.25">
      <c r="A102" t="s">
        <v>2804</v>
      </c>
      <c r="B102" t="s">
        <v>360</v>
      </c>
      <c r="C102">
        <v>2021</v>
      </c>
      <c r="E102" t="s">
        <v>7650</v>
      </c>
      <c r="F102" t="s">
        <v>9331</v>
      </c>
      <c r="G102" t="s">
        <v>3994</v>
      </c>
    </row>
    <row r="103" spans="1:7" x14ac:dyDescent="0.25">
      <c r="A103" t="s">
        <v>1576</v>
      </c>
      <c r="B103" t="s">
        <v>364</v>
      </c>
      <c r="C103">
        <v>2021</v>
      </c>
      <c r="E103" t="s">
        <v>2982</v>
      </c>
      <c r="F103" t="s">
        <v>8882</v>
      </c>
      <c r="G103" t="s">
        <v>3994</v>
      </c>
    </row>
    <row r="104" spans="1:7" x14ac:dyDescent="0.25">
      <c r="A104" t="s">
        <v>90</v>
      </c>
      <c r="B104" t="s">
        <v>368</v>
      </c>
      <c r="C104">
        <v>2017</v>
      </c>
      <c r="E104" t="s">
        <v>3013</v>
      </c>
      <c r="F104" t="s">
        <v>9505</v>
      </c>
      <c r="G104" t="s">
        <v>187</v>
      </c>
    </row>
    <row r="105" spans="1:7" x14ac:dyDescent="0.25">
      <c r="A105" t="s">
        <v>346</v>
      </c>
      <c r="B105" t="s">
        <v>372</v>
      </c>
      <c r="C105">
        <v>2022</v>
      </c>
      <c r="E105" t="s">
        <v>3016</v>
      </c>
      <c r="F105" t="s">
        <v>8491</v>
      </c>
      <c r="G105" t="s">
        <v>3994</v>
      </c>
    </row>
    <row r="106" spans="1:7" x14ac:dyDescent="0.25">
      <c r="A106" t="s">
        <v>90</v>
      </c>
      <c r="B106" t="s">
        <v>372</v>
      </c>
      <c r="C106">
        <v>2017</v>
      </c>
      <c r="E106" t="s">
        <v>3016</v>
      </c>
      <c r="F106" t="s">
        <v>9086</v>
      </c>
      <c r="G106" t="s">
        <v>3994</v>
      </c>
    </row>
    <row r="107" spans="1:7" x14ac:dyDescent="0.25">
      <c r="A107" t="s">
        <v>1795</v>
      </c>
      <c r="B107" t="s">
        <v>375</v>
      </c>
      <c r="C107">
        <v>1987</v>
      </c>
      <c r="E107" t="s">
        <v>3274</v>
      </c>
      <c r="F107" t="s">
        <v>8929</v>
      </c>
      <c r="G107" t="s">
        <v>3994</v>
      </c>
    </row>
    <row r="108" spans="1:7" x14ac:dyDescent="0.25">
      <c r="A108" t="s">
        <v>2428</v>
      </c>
      <c r="B108" t="s">
        <v>375</v>
      </c>
      <c r="C108">
        <v>2008</v>
      </c>
      <c r="E108" t="s">
        <v>3274</v>
      </c>
      <c r="F108" t="s">
        <v>9198</v>
      </c>
      <c r="G108" t="s">
        <v>3994</v>
      </c>
    </row>
    <row r="109" spans="1:7" x14ac:dyDescent="0.25">
      <c r="A109" t="s">
        <v>2154</v>
      </c>
      <c r="B109" t="s">
        <v>379</v>
      </c>
      <c r="C109">
        <v>1980</v>
      </c>
      <c r="E109" s="10" t="s">
        <v>8429</v>
      </c>
      <c r="F109" t="s">
        <v>8430</v>
      </c>
      <c r="G109" t="s">
        <v>3994</v>
      </c>
    </row>
    <row r="110" spans="1:7" x14ac:dyDescent="0.25">
      <c r="A110" t="s">
        <v>2721</v>
      </c>
      <c r="B110" t="s">
        <v>379</v>
      </c>
      <c r="C110">
        <v>1993</v>
      </c>
      <c r="E110" s="10" t="s">
        <v>8429</v>
      </c>
      <c r="F110" t="s">
        <v>8428</v>
      </c>
      <c r="G110" t="s">
        <v>3994</v>
      </c>
    </row>
    <row r="111" spans="1:7" x14ac:dyDescent="0.25">
      <c r="A111" t="s">
        <v>379</v>
      </c>
      <c r="B111" t="s">
        <v>381</v>
      </c>
      <c r="C111">
        <v>1998</v>
      </c>
      <c r="D111" t="s">
        <v>187</v>
      </c>
      <c r="F111" t="s">
        <v>9506</v>
      </c>
      <c r="G111" t="s">
        <v>3994</v>
      </c>
    </row>
    <row r="112" spans="1:7" x14ac:dyDescent="0.25">
      <c r="A112" t="s">
        <v>1863</v>
      </c>
      <c r="B112" t="s">
        <v>7944</v>
      </c>
      <c r="C112">
        <v>2026</v>
      </c>
      <c r="E112" t="s">
        <v>2982</v>
      </c>
      <c r="F112" t="s">
        <v>8982</v>
      </c>
      <c r="G112" t="s">
        <v>3994</v>
      </c>
    </row>
    <row r="113" spans="1:7" x14ac:dyDescent="0.25">
      <c r="A113" t="s">
        <v>2594</v>
      </c>
      <c r="B113" t="s">
        <v>7944</v>
      </c>
      <c r="C113">
        <v>2019</v>
      </c>
      <c r="E113" t="s">
        <v>2982</v>
      </c>
      <c r="F113" t="s">
        <v>9252</v>
      </c>
      <c r="G113" t="s">
        <v>3994</v>
      </c>
    </row>
    <row r="114" spans="1:7" x14ac:dyDescent="0.25">
      <c r="A114" t="s">
        <v>2614</v>
      </c>
      <c r="B114" t="s">
        <v>7944</v>
      </c>
      <c r="C114">
        <v>2025</v>
      </c>
      <c r="E114" s="10" t="s">
        <v>7943</v>
      </c>
      <c r="F114" t="s">
        <v>9258</v>
      </c>
      <c r="G114" t="s">
        <v>3994</v>
      </c>
    </row>
    <row r="115" spans="1:7" x14ac:dyDescent="0.25">
      <c r="A115" t="s">
        <v>759</v>
      </c>
      <c r="B115" t="s">
        <v>387</v>
      </c>
      <c r="C115">
        <v>2018</v>
      </c>
      <c r="E115" t="s">
        <v>3113</v>
      </c>
      <c r="F115" t="s">
        <v>8620</v>
      </c>
      <c r="G115" t="s">
        <v>3994</v>
      </c>
    </row>
    <row r="116" spans="1:7" x14ac:dyDescent="0.25">
      <c r="A116" t="s">
        <v>1294</v>
      </c>
      <c r="B116" t="s">
        <v>387</v>
      </c>
      <c r="C116">
        <v>2019</v>
      </c>
      <c r="E116" t="s">
        <v>3113</v>
      </c>
      <c r="F116" t="s">
        <v>8793</v>
      </c>
      <c r="G116" t="s">
        <v>3994</v>
      </c>
    </row>
    <row r="117" spans="1:7" x14ac:dyDescent="0.25">
      <c r="A117" t="s">
        <v>353</v>
      </c>
      <c r="B117" t="s">
        <v>391</v>
      </c>
      <c r="C117">
        <v>2023</v>
      </c>
      <c r="E117" t="s">
        <v>3018</v>
      </c>
      <c r="F117" t="s">
        <v>9507</v>
      </c>
      <c r="G117" t="s">
        <v>187</v>
      </c>
    </row>
    <row r="118" spans="1:7" x14ac:dyDescent="0.25">
      <c r="A118" t="s">
        <v>457</v>
      </c>
      <c r="B118" t="s">
        <v>394</v>
      </c>
      <c r="C118">
        <v>2022</v>
      </c>
      <c r="E118" s="10" t="s">
        <v>3056</v>
      </c>
      <c r="F118" t="s">
        <v>9508</v>
      </c>
      <c r="G118" t="s">
        <v>3994</v>
      </c>
    </row>
    <row r="119" spans="1:7" x14ac:dyDescent="0.25">
      <c r="A119" t="s">
        <v>778</v>
      </c>
      <c r="B119" t="s">
        <v>394</v>
      </c>
      <c r="C119">
        <v>2023</v>
      </c>
      <c r="E119" s="10" t="s">
        <v>3056</v>
      </c>
      <c r="F119" t="s">
        <v>9509</v>
      </c>
      <c r="G119" t="s">
        <v>3994</v>
      </c>
    </row>
    <row r="120" spans="1:7" x14ac:dyDescent="0.25">
      <c r="A120" t="s">
        <v>1302</v>
      </c>
      <c r="B120" t="s">
        <v>394</v>
      </c>
      <c r="C120">
        <v>2023</v>
      </c>
      <c r="E120" s="10" t="s">
        <v>3056</v>
      </c>
      <c r="F120" t="s">
        <v>9510</v>
      </c>
      <c r="G120" t="s">
        <v>3994</v>
      </c>
    </row>
    <row r="121" spans="1:7" x14ac:dyDescent="0.25">
      <c r="A121" t="s">
        <v>1779</v>
      </c>
      <c r="B121" t="s">
        <v>394</v>
      </c>
      <c r="C121">
        <v>2022</v>
      </c>
      <c r="E121" s="10" t="s">
        <v>3056</v>
      </c>
      <c r="F121" t="s">
        <v>9511</v>
      </c>
      <c r="G121" t="s">
        <v>3994</v>
      </c>
    </row>
    <row r="122" spans="1:7" x14ac:dyDescent="0.25">
      <c r="A122" t="s">
        <v>2675</v>
      </c>
      <c r="B122" t="s">
        <v>394</v>
      </c>
      <c r="C122">
        <v>2022</v>
      </c>
      <c r="E122" s="10" t="s">
        <v>3056</v>
      </c>
      <c r="F122" t="s">
        <v>9512</v>
      </c>
      <c r="G122" t="s">
        <v>3994</v>
      </c>
    </row>
    <row r="123" spans="1:7" x14ac:dyDescent="0.25">
      <c r="A123" t="s">
        <v>2804</v>
      </c>
      <c r="B123" t="s">
        <v>394</v>
      </c>
      <c r="C123">
        <v>2021</v>
      </c>
      <c r="E123" s="10" t="s">
        <v>3056</v>
      </c>
      <c r="F123" t="s">
        <v>9513</v>
      </c>
      <c r="G123" t="s">
        <v>3994</v>
      </c>
    </row>
    <row r="124" spans="1:7" x14ac:dyDescent="0.25">
      <c r="A124" t="s">
        <v>643</v>
      </c>
      <c r="B124" t="s">
        <v>403</v>
      </c>
      <c r="C124">
        <v>2020</v>
      </c>
      <c r="D124" t="s">
        <v>187</v>
      </c>
      <c r="F124" t="s">
        <v>9514</v>
      </c>
      <c r="G124" t="s">
        <v>3994</v>
      </c>
    </row>
    <row r="125" spans="1:7" x14ac:dyDescent="0.25">
      <c r="A125" t="s">
        <v>90</v>
      </c>
      <c r="B125" t="s">
        <v>403</v>
      </c>
      <c r="C125">
        <v>2017</v>
      </c>
      <c r="E125" t="s">
        <v>3344</v>
      </c>
      <c r="F125" t="s">
        <v>9087</v>
      </c>
      <c r="G125" t="s">
        <v>3994</v>
      </c>
    </row>
    <row r="126" spans="1:7" x14ac:dyDescent="0.25">
      <c r="A126" t="s">
        <v>90</v>
      </c>
      <c r="B126" t="s">
        <v>411</v>
      </c>
      <c r="C126">
        <v>2017</v>
      </c>
      <c r="E126" t="s">
        <v>3345</v>
      </c>
      <c r="F126" t="s">
        <v>9088</v>
      </c>
      <c r="G126" t="s">
        <v>3994</v>
      </c>
    </row>
    <row r="127" spans="1:7" x14ac:dyDescent="0.25">
      <c r="A127" t="s">
        <v>1046</v>
      </c>
      <c r="B127" t="s">
        <v>415</v>
      </c>
      <c r="C127">
        <v>2016</v>
      </c>
      <c r="E127" t="s">
        <v>3183</v>
      </c>
      <c r="F127" t="s">
        <v>9427</v>
      </c>
      <c r="G127" t="s">
        <v>3994</v>
      </c>
    </row>
    <row r="128" spans="1:7" x14ac:dyDescent="0.25">
      <c r="A128" t="s">
        <v>1144</v>
      </c>
      <c r="B128" t="s">
        <v>415</v>
      </c>
      <c r="C128">
        <v>2012</v>
      </c>
      <c r="E128" s="10" t="s">
        <v>9408</v>
      </c>
      <c r="F128" t="s">
        <v>9410</v>
      </c>
      <c r="G128" t="s">
        <v>3994</v>
      </c>
    </row>
    <row r="129" spans="1:7" x14ac:dyDescent="0.25">
      <c r="A129" t="s">
        <v>1294</v>
      </c>
      <c r="B129" t="s">
        <v>415</v>
      </c>
      <c r="C129">
        <v>2019</v>
      </c>
      <c r="E129" s="10" t="s">
        <v>9408</v>
      </c>
      <c r="F129" t="s">
        <v>9409</v>
      </c>
      <c r="G129" t="s">
        <v>3994</v>
      </c>
    </row>
    <row r="130" spans="1:7" x14ac:dyDescent="0.25">
      <c r="A130" t="s">
        <v>160</v>
      </c>
      <c r="B130" t="s">
        <v>415</v>
      </c>
      <c r="C130">
        <v>2011</v>
      </c>
      <c r="E130" t="s">
        <v>3183</v>
      </c>
      <c r="F130" t="s">
        <v>9426</v>
      </c>
      <c r="G130" t="s">
        <v>3994</v>
      </c>
    </row>
    <row r="131" spans="1:7" x14ac:dyDescent="0.25">
      <c r="A131" t="s">
        <v>353</v>
      </c>
      <c r="B131" t="s">
        <v>419</v>
      </c>
      <c r="C131">
        <v>2023</v>
      </c>
      <c r="E131" t="s">
        <v>3019</v>
      </c>
      <c r="F131" t="s">
        <v>8499</v>
      </c>
      <c r="G131" t="s">
        <v>3994</v>
      </c>
    </row>
    <row r="132" spans="1:7" x14ac:dyDescent="0.25">
      <c r="A132" t="s">
        <v>353</v>
      </c>
      <c r="B132" t="s">
        <v>421</v>
      </c>
      <c r="C132">
        <v>2023</v>
      </c>
      <c r="E132" t="s">
        <v>2982</v>
      </c>
      <c r="F132" t="s">
        <v>8500</v>
      </c>
      <c r="G132" t="s">
        <v>3994</v>
      </c>
    </row>
    <row r="133" spans="1:7" x14ac:dyDescent="0.25">
      <c r="A133" t="s">
        <v>1576</v>
      </c>
      <c r="B133" t="s">
        <v>421</v>
      </c>
      <c r="C133">
        <v>2021</v>
      </c>
      <c r="E133" t="s">
        <v>2982</v>
      </c>
      <c r="F133" t="s">
        <v>8883</v>
      </c>
      <c r="G133" t="s">
        <v>3994</v>
      </c>
    </row>
    <row r="134" spans="1:7" x14ac:dyDescent="0.25">
      <c r="A134" t="s">
        <v>2324</v>
      </c>
      <c r="B134" t="s">
        <v>421</v>
      </c>
      <c r="C134">
        <v>2022</v>
      </c>
      <c r="E134" t="s">
        <v>2982</v>
      </c>
      <c r="F134" t="s">
        <v>9073</v>
      </c>
      <c r="G134" t="s">
        <v>3994</v>
      </c>
    </row>
    <row r="135" spans="1:7" x14ac:dyDescent="0.25">
      <c r="A135" t="s">
        <v>2804</v>
      </c>
      <c r="B135" t="s">
        <v>425</v>
      </c>
      <c r="C135">
        <v>2021</v>
      </c>
      <c r="E135" t="s">
        <v>3013</v>
      </c>
      <c r="F135" t="s">
        <v>9515</v>
      </c>
      <c r="G135" t="s">
        <v>187</v>
      </c>
    </row>
    <row r="136" spans="1:7" x14ac:dyDescent="0.25">
      <c r="A136" t="s">
        <v>353</v>
      </c>
      <c r="B136" t="s">
        <v>428</v>
      </c>
      <c r="C136">
        <v>2023</v>
      </c>
      <c r="E136" t="s">
        <v>3020</v>
      </c>
      <c r="F136" t="s">
        <v>9516</v>
      </c>
      <c r="G136" t="s">
        <v>3994</v>
      </c>
    </row>
    <row r="137" spans="1:7" x14ac:dyDescent="0.25">
      <c r="A137" t="s">
        <v>1294</v>
      </c>
      <c r="B137" t="s">
        <v>428</v>
      </c>
      <c r="C137">
        <v>2019</v>
      </c>
      <c r="E137" t="s">
        <v>3020</v>
      </c>
      <c r="F137" t="s">
        <v>9517</v>
      </c>
      <c r="G137" t="s">
        <v>3994</v>
      </c>
    </row>
    <row r="138" spans="1:7" x14ac:dyDescent="0.25">
      <c r="A138" t="s">
        <v>1435</v>
      </c>
      <c r="B138" t="s">
        <v>428</v>
      </c>
      <c r="C138">
        <v>2021</v>
      </c>
      <c r="E138" t="s">
        <v>3020</v>
      </c>
      <c r="F138" t="s">
        <v>9518</v>
      </c>
      <c r="G138" t="s">
        <v>3994</v>
      </c>
    </row>
    <row r="139" spans="1:7" x14ac:dyDescent="0.25">
      <c r="A139" t="s">
        <v>90</v>
      </c>
      <c r="B139" t="s">
        <v>428</v>
      </c>
      <c r="C139">
        <v>2017</v>
      </c>
      <c r="E139" t="s">
        <v>3020</v>
      </c>
      <c r="F139" t="s">
        <v>9519</v>
      </c>
      <c r="G139" t="s">
        <v>3994</v>
      </c>
    </row>
    <row r="140" spans="1:7" x14ac:dyDescent="0.25">
      <c r="A140" t="s">
        <v>2804</v>
      </c>
      <c r="B140" t="s">
        <v>428</v>
      </c>
      <c r="C140">
        <v>2021</v>
      </c>
      <c r="E140" t="s">
        <v>3020</v>
      </c>
      <c r="F140" t="s">
        <v>9520</v>
      </c>
      <c r="G140" t="s">
        <v>3994</v>
      </c>
    </row>
    <row r="141" spans="1:7" x14ac:dyDescent="0.25">
      <c r="A141" t="s">
        <v>1855</v>
      </c>
      <c r="B141" t="s">
        <v>431</v>
      </c>
      <c r="C141">
        <v>2015</v>
      </c>
      <c r="E141" t="s">
        <v>2982</v>
      </c>
      <c r="F141" t="s">
        <v>8966</v>
      </c>
      <c r="G141" t="s">
        <v>3994</v>
      </c>
    </row>
    <row r="142" spans="1:7" x14ac:dyDescent="0.25">
      <c r="A142" t="s">
        <v>2428</v>
      </c>
      <c r="B142" t="s">
        <v>431</v>
      </c>
      <c r="C142">
        <v>2008</v>
      </c>
      <c r="E142" t="s">
        <v>2982</v>
      </c>
      <c r="F142" t="s">
        <v>9199</v>
      </c>
      <c r="G142" t="s">
        <v>3994</v>
      </c>
    </row>
    <row r="143" spans="1:7" x14ac:dyDescent="0.25">
      <c r="A143" t="s">
        <v>160</v>
      </c>
      <c r="B143" t="s">
        <v>431</v>
      </c>
      <c r="C143">
        <v>2011</v>
      </c>
      <c r="E143" t="s">
        <v>2982</v>
      </c>
      <c r="F143" t="s">
        <v>9263</v>
      </c>
      <c r="G143" t="s">
        <v>3994</v>
      </c>
    </row>
    <row r="144" spans="1:7" x14ac:dyDescent="0.25">
      <c r="A144" t="s">
        <v>439</v>
      </c>
      <c r="B144" t="s">
        <v>443</v>
      </c>
      <c r="C144">
        <v>2023</v>
      </c>
      <c r="D144" t="s">
        <v>187</v>
      </c>
      <c r="F144" t="s">
        <v>9521</v>
      </c>
      <c r="G144" t="s">
        <v>3994</v>
      </c>
    </row>
    <row r="145" spans="1:7" x14ac:dyDescent="0.25">
      <c r="A145" t="s">
        <v>185</v>
      </c>
      <c r="B145" t="s">
        <v>10036</v>
      </c>
      <c r="C145">
        <v>2022</v>
      </c>
      <c r="E145" s="10" t="s">
        <v>10038</v>
      </c>
      <c r="F145" t="s">
        <v>10040</v>
      </c>
      <c r="G145" t="s">
        <v>3994</v>
      </c>
    </row>
    <row r="146" spans="1:7" x14ac:dyDescent="0.25">
      <c r="A146" t="s">
        <v>930</v>
      </c>
      <c r="B146" t="s">
        <v>10036</v>
      </c>
      <c r="C146">
        <v>2015</v>
      </c>
      <c r="E146" s="10" t="s">
        <v>10038</v>
      </c>
      <c r="F146" t="s">
        <v>10043</v>
      </c>
      <c r="G146" t="s">
        <v>3994</v>
      </c>
    </row>
    <row r="147" spans="1:7" x14ac:dyDescent="0.25">
      <c r="A147" t="s">
        <v>1621</v>
      </c>
      <c r="B147" t="s">
        <v>10036</v>
      </c>
      <c r="C147">
        <v>2025</v>
      </c>
      <c r="E147" s="10" t="s">
        <v>10038</v>
      </c>
      <c r="F147" t="s">
        <v>10042</v>
      </c>
      <c r="G147" t="s">
        <v>3994</v>
      </c>
    </row>
    <row r="148" spans="1:7" x14ac:dyDescent="0.25">
      <c r="A148" t="s">
        <v>2132</v>
      </c>
      <c r="B148" t="s">
        <v>10036</v>
      </c>
      <c r="C148">
        <v>2013</v>
      </c>
      <c r="E148" s="10" t="s">
        <v>10038</v>
      </c>
      <c r="F148" t="s">
        <v>10041</v>
      </c>
      <c r="G148" t="s">
        <v>3994</v>
      </c>
    </row>
    <row r="149" spans="1:7" x14ac:dyDescent="0.25">
      <c r="A149" t="s">
        <v>2428</v>
      </c>
      <c r="B149" t="s">
        <v>10036</v>
      </c>
      <c r="C149">
        <v>2008</v>
      </c>
      <c r="E149" s="10" t="s">
        <v>10038</v>
      </c>
      <c r="F149" t="s">
        <v>10044</v>
      </c>
      <c r="G149" t="s">
        <v>3994</v>
      </c>
    </row>
    <row r="150" spans="1:7" x14ac:dyDescent="0.25">
      <c r="A150" t="s">
        <v>2804</v>
      </c>
      <c r="B150" t="s">
        <v>10036</v>
      </c>
      <c r="C150">
        <v>2021</v>
      </c>
      <c r="E150" s="10" t="s">
        <v>10038</v>
      </c>
      <c r="F150" t="s">
        <v>10039</v>
      </c>
      <c r="G150" t="s">
        <v>3994</v>
      </c>
    </row>
    <row r="151" spans="1:7" x14ac:dyDescent="0.25">
      <c r="A151" t="s">
        <v>1294</v>
      </c>
      <c r="B151" t="s">
        <v>447</v>
      </c>
      <c r="C151">
        <v>2019</v>
      </c>
      <c r="E151" t="s">
        <v>2982</v>
      </c>
      <c r="F151" t="s">
        <v>8794</v>
      </c>
      <c r="G151" t="s">
        <v>3994</v>
      </c>
    </row>
    <row r="152" spans="1:7" x14ac:dyDescent="0.25">
      <c r="A152" t="s">
        <v>2804</v>
      </c>
      <c r="B152" t="s">
        <v>447</v>
      </c>
      <c r="C152">
        <v>2021</v>
      </c>
      <c r="E152" t="s">
        <v>3013</v>
      </c>
      <c r="F152" t="s">
        <v>9522</v>
      </c>
      <c r="G152" t="s">
        <v>187</v>
      </c>
    </row>
    <row r="153" spans="1:7" x14ac:dyDescent="0.25">
      <c r="A153" t="s">
        <v>2804</v>
      </c>
      <c r="B153" t="s">
        <v>449</v>
      </c>
      <c r="C153">
        <v>2021</v>
      </c>
      <c r="E153" t="s">
        <v>3013</v>
      </c>
      <c r="F153" t="s">
        <v>9523</v>
      </c>
      <c r="G153" t="s">
        <v>187</v>
      </c>
    </row>
    <row r="154" spans="1:7" x14ac:dyDescent="0.25">
      <c r="A154" t="s">
        <v>2443</v>
      </c>
      <c r="B154" t="s">
        <v>457</v>
      </c>
      <c r="C154">
        <v>2019</v>
      </c>
      <c r="D154" t="s">
        <v>187</v>
      </c>
      <c r="F154" t="s">
        <v>9524</v>
      </c>
      <c r="G154" t="s">
        <v>3994</v>
      </c>
    </row>
    <row r="155" spans="1:7" x14ac:dyDescent="0.25">
      <c r="A155" t="s">
        <v>2804</v>
      </c>
      <c r="B155" t="s">
        <v>457</v>
      </c>
      <c r="C155">
        <v>2021</v>
      </c>
      <c r="E155" t="s">
        <v>3013</v>
      </c>
      <c r="F155" t="s">
        <v>9525</v>
      </c>
      <c r="G155" t="s">
        <v>187</v>
      </c>
    </row>
    <row r="156" spans="1:7" x14ac:dyDescent="0.25">
      <c r="A156" t="s">
        <v>847</v>
      </c>
      <c r="B156" t="s">
        <v>462</v>
      </c>
      <c r="C156">
        <v>1996</v>
      </c>
      <c r="E156" t="s">
        <v>3131</v>
      </c>
      <c r="F156" t="s">
        <v>8650</v>
      </c>
      <c r="G156" t="s">
        <v>3994</v>
      </c>
    </row>
    <row r="157" spans="1:7" x14ac:dyDescent="0.25">
      <c r="A157" t="s">
        <v>90</v>
      </c>
      <c r="B157" t="s">
        <v>464</v>
      </c>
      <c r="C157">
        <v>2017</v>
      </c>
      <c r="E157" t="s">
        <v>2982</v>
      </c>
      <c r="F157" t="s">
        <v>9089</v>
      </c>
      <c r="G157" t="s">
        <v>3994</v>
      </c>
    </row>
    <row r="158" spans="1:7" x14ac:dyDescent="0.25">
      <c r="A158" t="s">
        <v>2804</v>
      </c>
      <c r="B158" t="s">
        <v>464</v>
      </c>
      <c r="C158">
        <v>2021</v>
      </c>
      <c r="E158" t="s">
        <v>3013</v>
      </c>
      <c r="F158" t="s">
        <v>9526</v>
      </c>
      <c r="G158" t="s">
        <v>187</v>
      </c>
    </row>
    <row r="159" spans="1:7" x14ac:dyDescent="0.25">
      <c r="A159" t="s">
        <v>1707</v>
      </c>
      <c r="B159" t="s">
        <v>469</v>
      </c>
      <c r="C159">
        <v>2016</v>
      </c>
      <c r="D159" t="s">
        <v>187</v>
      </c>
      <c r="F159" t="s">
        <v>9527</v>
      </c>
      <c r="G159" t="s">
        <v>3994</v>
      </c>
    </row>
    <row r="160" spans="1:7" x14ac:dyDescent="0.25">
      <c r="A160" t="s">
        <v>689</v>
      </c>
      <c r="B160" t="s">
        <v>473</v>
      </c>
      <c r="C160">
        <v>2015</v>
      </c>
      <c r="E160" t="s">
        <v>3084</v>
      </c>
      <c r="F160" t="s">
        <v>8580</v>
      </c>
      <c r="G160" t="s">
        <v>3994</v>
      </c>
    </row>
    <row r="161" spans="1:7" x14ac:dyDescent="0.25">
      <c r="A161" t="s">
        <v>90</v>
      </c>
      <c r="B161" t="s">
        <v>477</v>
      </c>
      <c r="C161">
        <v>2017</v>
      </c>
      <c r="E161" t="s">
        <v>2982</v>
      </c>
      <c r="F161" t="s">
        <v>9090</v>
      </c>
      <c r="G161" t="s">
        <v>3994</v>
      </c>
    </row>
    <row r="162" spans="1:7" x14ac:dyDescent="0.25">
      <c r="A162" t="s">
        <v>2751</v>
      </c>
      <c r="B162" t="s">
        <v>477</v>
      </c>
      <c r="C162">
        <v>2021</v>
      </c>
      <c r="D162" t="s">
        <v>187</v>
      </c>
      <c r="F162" t="s">
        <v>9528</v>
      </c>
      <c r="G162" t="s">
        <v>3994</v>
      </c>
    </row>
    <row r="163" spans="1:7" x14ac:dyDescent="0.25">
      <c r="A163" t="s">
        <v>90</v>
      </c>
      <c r="B163" t="s">
        <v>480</v>
      </c>
      <c r="C163">
        <v>2017</v>
      </c>
      <c r="E163" t="s">
        <v>3346</v>
      </c>
      <c r="F163" t="s">
        <v>9091</v>
      </c>
      <c r="G163" t="s">
        <v>3994</v>
      </c>
    </row>
    <row r="164" spans="1:7" x14ac:dyDescent="0.25">
      <c r="A164" t="s">
        <v>1144</v>
      </c>
      <c r="B164" t="s">
        <v>484</v>
      </c>
      <c r="C164">
        <v>2012</v>
      </c>
      <c r="E164" t="s">
        <v>3196</v>
      </c>
      <c r="F164" t="s">
        <v>8748</v>
      </c>
      <c r="G164" t="s">
        <v>3994</v>
      </c>
    </row>
    <row r="165" spans="1:7" x14ac:dyDescent="0.25">
      <c r="A165" t="s">
        <v>90</v>
      </c>
      <c r="B165" t="s">
        <v>484</v>
      </c>
      <c r="C165">
        <v>2017</v>
      </c>
      <c r="E165" t="s">
        <v>3196</v>
      </c>
      <c r="F165" t="s">
        <v>9092</v>
      </c>
      <c r="G165" t="s">
        <v>3994</v>
      </c>
    </row>
    <row r="166" spans="1:7" x14ac:dyDescent="0.25">
      <c r="A166" t="s">
        <v>1272</v>
      </c>
      <c r="B166" t="s">
        <v>488</v>
      </c>
      <c r="C166">
        <v>2020</v>
      </c>
      <c r="E166" t="s">
        <v>3216</v>
      </c>
      <c r="F166" t="s">
        <v>8780</v>
      </c>
      <c r="G166" t="s">
        <v>3994</v>
      </c>
    </row>
    <row r="167" spans="1:7" x14ac:dyDescent="0.25">
      <c r="A167" t="s">
        <v>1294</v>
      </c>
      <c r="B167" t="s">
        <v>488</v>
      </c>
      <c r="C167">
        <v>2019</v>
      </c>
      <c r="E167" t="s">
        <v>3216</v>
      </c>
      <c r="F167" t="s">
        <v>8795</v>
      </c>
      <c r="G167" t="s">
        <v>3994</v>
      </c>
    </row>
    <row r="168" spans="1:7" x14ac:dyDescent="0.25">
      <c r="A168" t="s">
        <v>2146</v>
      </c>
      <c r="B168" t="s">
        <v>488</v>
      </c>
      <c r="C168">
        <v>2020</v>
      </c>
      <c r="E168" t="s">
        <v>3216</v>
      </c>
      <c r="F168" t="s">
        <v>9024</v>
      </c>
      <c r="G168" t="s">
        <v>3994</v>
      </c>
    </row>
    <row r="169" spans="1:7" x14ac:dyDescent="0.25">
      <c r="A169" t="s">
        <v>2154</v>
      </c>
      <c r="B169" t="s">
        <v>490</v>
      </c>
      <c r="C169">
        <v>1980</v>
      </c>
      <c r="E169" t="s">
        <v>3318</v>
      </c>
      <c r="F169" t="s">
        <v>9030</v>
      </c>
      <c r="G169" t="s">
        <v>3994</v>
      </c>
    </row>
    <row r="170" spans="1:7" x14ac:dyDescent="0.25">
      <c r="A170" t="s">
        <v>826</v>
      </c>
      <c r="B170" t="s">
        <v>493</v>
      </c>
      <c r="C170">
        <v>2019</v>
      </c>
      <c r="E170" t="s">
        <v>2982</v>
      </c>
      <c r="F170" t="s">
        <v>8646</v>
      </c>
      <c r="G170" t="s">
        <v>3994</v>
      </c>
    </row>
    <row r="171" spans="1:7" x14ac:dyDescent="0.25">
      <c r="A171" t="s">
        <v>1144</v>
      </c>
      <c r="B171" t="s">
        <v>493</v>
      </c>
      <c r="C171">
        <v>2012</v>
      </c>
      <c r="E171" t="s">
        <v>2982</v>
      </c>
      <c r="F171" t="s">
        <v>8749</v>
      </c>
      <c r="G171" t="s">
        <v>3994</v>
      </c>
    </row>
    <row r="172" spans="1:7" x14ac:dyDescent="0.25">
      <c r="A172" t="s">
        <v>1576</v>
      </c>
      <c r="B172" t="s">
        <v>493</v>
      </c>
      <c r="C172">
        <v>2021</v>
      </c>
      <c r="E172" t="s">
        <v>2982</v>
      </c>
      <c r="F172" t="s">
        <v>8884</v>
      </c>
      <c r="G172" t="s">
        <v>3994</v>
      </c>
    </row>
    <row r="173" spans="1:7" x14ac:dyDescent="0.25">
      <c r="A173" t="s">
        <v>90</v>
      </c>
      <c r="B173" t="s">
        <v>493</v>
      </c>
      <c r="C173">
        <v>2017</v>
      </c>
      <c r="E173" t="s">
        <v>2982</v>
      </c>
      <c r="F173" t="s">
        <v>9093</v>
      </c>
      <c r="G173" t="s">
        <v>3994</v>
      </c>
    </row>
    <row r="174" spans="1:7" x14ac:dyDescent="0.25">
      <c r="A174" t="s">
        <v>2403</v>
      </c>
      <c r="B174" t="s">
        <v>497</v>
      </c>
      <c r="C174">
        <v>2019</v>
      </c>
      <c r="D174" t="s">
        <v>187</v>
      </c>
      <c r="F174" t="s">
        <v>9529</v>
      </c>
      <c r="G174" t="s">
        <v>3994</v>
      </c>
    </row>
    <row r="175" spans="1:7" x14ac:dyDescent="0.25">
      <c r="A175" t="s">
        <v>2804</v>
      </c>
      <c r="B175" t="s">
        <v>497</v>
      </c>
      <c r="C175">
        <v>2021</v>
      </c>
      <c r="E175" t="s">
        <v>3013</v>
      </c>
      <c r="F175" t="s">
        <v>9530</v>
      </c>
      <c r="G175" t="s">
        <v>187</v>
      </c>
    </row>
    <row r="176" spans="1:7" x14ac:dyDescent="0.25">
      <c r="A176" t="s">
        <v>1046</v>
      </c>
      <c r="B176" t="s">
        <v>501</v>
      </c>
      <c r="C176">
        <v>2016</v>
      </c>
      <c r="E176" t="s">
        <v>3184</v>
      </c>
      <c r="F176" t="s">
        <v>8722</v>
      </c>
      <c r="G176" t="s">
        <v>3994</v>
      </c>
    </row>
    <row r="177" spans="1:7" x14ac:dyDescent="0.25">
      <c r="A177" t="s">
        <v>160</v>
      </c>
      <c r="B177" t="s">
        <v>501</v>
      </c>
      <c r="C177">
        <v>2011</v>
      </c>
      <c r="E177" t="s">
        <v>3184</v>
      </c>
      <c r="F177" t="s">
        <v>9264</v>
      </c>
      <c r="G177" t="s">
        <v>3994</v>
      </c>
    </row>
    <row r="178" spans="1:7" x14ac:dyDescent="0.25">
      <c r="A178" t="s">
        <v>2652</v>
      </c>
      <c r="B178" t="s">
        <v>501</v>
      </c>
      <c r="C178">
        <v>2019</v>
      </c>
      <c r="E178" t="s">
        <v>3184</v>
      </c>
      <c r="F178" t="s">
        <v>9317</v>
      </c>
      <c r="G178" t="s">
        <v>3994</v>
      </c>
    </row>
    <row r="179" spans="1:7" x14ac:dyDescent="0.25">
      <c r="A179" t="s">
        <v>1435</v>
      </c>
      <c r="B179" t="s">
        <v>505</v>
      </c>
      <c r="C179">
        <v>2021</v>
      </c>
      <c r="E179" s="10" t="s">
        <v>8352</v>
      </c>
      <c r="F179" t="s">
        <v>8839</v>
      </c>
      <c r="G179" t="s">
        <v>3994</v>
      </c>
    </row>
    <row r="180" spans="1:7" x14ac:dyDescent="0.25">
      <c r="A180" t="s">
        <v>689</v>
      </c>
      <c r="B180" t="s">
        <v>7822</v>
      </c>
      <c r="C180">
        <v>2015</v>
      </c>
      <c r="D180" t="s">
        <v>187</v>
      </c>
      <c r="F180" t="s">
        <v>9531</v>
      </c>
      <c r="G180" t="s">
        <v>3994</v>
      </c>
    </row>
    <row r="181" spans="1:7" x14ac:dyDescent="0.25">
      <c r="A181" t="s">
        <v>260</v>
      </c>
      <c r="B181" t="s">
        <v>517</v>
      </c>
      <c r="C181">
        <v>1990</v>
      </c>
      <c r="E181" t="s">
        <v>3000</v>
      </c>
      <c r="F181" t="s">
        <v>8471</v>
      </c>
      <c r="G181" t="s">
        <v>3994</v>
      </c>
    </row>
    <row r="182" spans="1:7" x14ac:dyDescent="0.25">
      <c r="A182" t="s">
        <v>490</v>
      </c>
      <c r="B182" t="s">
        <v>517</v>
      </c>
      <c r="C182">
        <v>2009</v>
      </c>
      <c r="E182" s="10" t="s">
        <v>8432</v>
      </c>
      <c r="F182" t="s">
        <v>8434</v>
      </c>
      <c r="G182" t="s">
        <v>3994</v>
      </c>
    </row>
    <row r="183" spans="1:7" x14ac:dyDescent="0.25">
      <c r="A183" t="s">
        <v>836</v>
      </c>
      <c r="B183" t="s">
        <v>517</v>
      </c>
      <c r="C183">
        <v>2010</v>
      </c>
      <c r="E183" s="10" t="s">
        <v>8432</v>
      </c>
      <c r="F183" t="s">
        <v>8433</v>
      </c>
      <c r="G183" t="s">
        <v>3994</v>
      </c>
    </row>
    <row r="184" spans="1:7" x14ac:dyDescent="0.25">
      <c r="A184" t="s">
        <v>847</v>
      </c>
      <c r="B184" t="s">
        <v>517</v>
      </c>
      <c r="C184">
        <v>1996</v>
      </c>
      <c r="E184" t="s">
        <v>3000</v>
      </c>
      <c r="F184" t="s">
        <v>8651</v>
      </c>
      <c r="G184" t="s">
        <v>3994</v>
      </c>
    </row>
    <row r="185" spans="1:7" x14ac:dyDescent="0.25">
      <c r="A185" t="s">
        <v>922</v>
      </c>
      <c r="B185" t="s">
        <v>517</v>
      </c>
      <c r="C185">
        <v>2002</v>
      </c>
      <c r="E185" t="s">
        <v>3147</v>
      </c>
      <c r="F185" t="s">
        <v>9532</v>
      </c>
      <c r="G185" t="s">
        <v>187</v>
      </c>
    </row>
    <row r="186" spans="1:7" x14ac:dyDescent="0.25">
      <c r="A186" t="s">
        <v>2428</v>
      </c>
      <c r="B186" t="s">
        <v>517</v>
      </c>
      <c r="C186">
        <v>2008</v>
      </c>
      <c r="E186" s="10" t="s">
        <v>8432</v>
      </c>
      <c r="F186" t="s">
        <v>8431</v>
      </c>
      <c r="G186" t="s">
        <v>3994</v>
      </c>
    </row>
    <row r="187" spans="1:7" x14ac:dyDescent="0.25">
      <c r="A187" t="s">
        <v>2571</v>
      </c>
      <c r="B187" t="s">
        <v>517</v>
      </c>
      <c r="C187">
        <v>1998</v>
      </c>
      <c r="E187" t="s">
        <v>3147</v>
      </c>
      <c r="F187" t="s">
        <v>9533</v>
      </c>
      <c r="G187" t="s">
        <v>187</v>
      </c>
    </row>
    <row r="188" spans="1:7" x14ac:dyDescent="0.25">
      <c r="A188" t="s">
        <v>517</v>
      </c>
      <c r="B188" t="s">
        <v>519</v>
      </c>
      <c r="C188">
        <v>2010</v>
      </c>
      <c r="D188" t="s">
        <v>187</v>
      </c>
      <c r="F188" t="s">
        <v>9534</v>
      </c>
      <c r="G188" t="s">
        <v>3994</v>
      </c>
    </row>
    <row r="189" spans="1:7" x14ac:dyDescent="0.25">
      <c r="A189" t="s">
        <v>1523</v>
      </c>
      <c r="B189" t="s">
        <v>522</v>
      </c>
      <c r="C189">
        <v>1986</v>
      </c>
      <c r="E189" s="10" t="s">
        <v>8411</v>
      </c>
      <c r="F189" t="s">
        <v>8872</v>
      </c>
      <c r="G189" t="s">
        <v>3994</v>
      </c>
    </row>
    <row r="190" spans="1:7" x14ac:dyDescent="0.25">
      <c r="A190" t="s">
        <v>1795</v>
      </c>
      <c r="B190" t="s">
        <v>522</v>
      </c>
      <c r="C190">
        <v>1987</v>
      </c>
      <c r="E190" s="10" t="s">
        <v>8411</v>
      </c>
      <c r="F190" t="s">
        <v>8930</v>
      </c>
      <c r="G190" t="s">
        <v>3994</v>
      </c>
    </row>
    <row r="191" spans="1:7" x14ac:dyDescent="0.25">
      <c r="A191" t="s">
        <v>1882</v>
      </c>
      <c r="B191" t="s">
        <v>522</v>
      </c>
      <c r="C191">
        <v>1987</v>
      </c>
      <c r="E191" s="10" t="s">
        <v>8411</v>
      </c>
      <c r="F191" t="s">
        <v>8983</v>
      </c>
      <c r="G191" t="s">
        <v>3994</v>
      </c>
    </row>
    <row r="192" spans="1:7" x14ac:dyDescent="0.25">
      <c r="A192" t="s">
        <v>2154</v>
      </c>
      <c r="B192" t="s">
        <v>522</v>
      </c>
      <c r="C192">
        <v>1980</v>
      </c>
      <c r="F192" t="s">
        <v>9535</v>
      </c>
      <c r="G192" t="s">
        <v>187</v>
      </c>
    </row>
    <row r="193" spans="1:7" x14ac:dyDescent="0.25">
      <c r="A193" t="s">
        <v>1576</v>
      </c>
      <c r="B193" t="s">
        <v>528</v>
      </c>
      <c r="C193">
        <v>2021</v>
      </c>
      <c r="E193" t="s">
        <v>3260</v>
      </c>
      <c r="F193" t="s">
        <v>9536</v>
      </c>
      <c r="G193" t="s">
        <v>187</v>
      </c>
    </row>
    <row r="194" spans="1:7" x14ac:dyDescent="0.25">
      <c r="A194" t="s">
        <v>922</v>
      </c>
      <c r="B194" t="s">
        <v>531</v>
      </c>
      <c r="C194">
        <v>2002</v>
      </c>
      <c r="E194" t="s">
        <v>3148</v>
      </c>
      <c r="F194" t="s">
        <v>8683</v>
      </c>
      <c r="G194" t="s">
        <v>3994</v>
      </c>
    </row>
    <row r="195" spans="1:7" x14ac:dyDescent="0.25">
      <c r="A195" t="s">
        <v>964</v>
      </c>
      <c r="B195" t="s">
        <v>531</v>
      </c>
      <c r="C195">
        <v>2006</v>
      </c>
      <c r="E195" t="s">
        <v>3148</v>
      </c>
      <c r="F195" t="s">
        <v>9428</v>
      </c>
      <c r="G195" t="s">
        <v>3994</v>
      </c>
    </row>
    <row r="196" spans="1:7" x14ac:dyDescent="0.25">
      <c r="A196" t="s">
        <v>536</v>
      </c>
      <c r="B196" t="s">
        <v>534</v>
      </c>
      <c r="C196">
        <v>2010</v>
      </c>
      <c r="E196" t="s">
        <v>3073</v>
      </c>
      <c r="F196" t="s">
        <v>8569</v>
      </c>
      <c r="G196" t="s">
        <v>3994</v>
      </c>
    </row>
    <row r="197" spans="1:7" x14ac:dyDescent="0.25">
      <c r="A197" t="s">
        <v>531</v>
      </c>
      <c r="B197" t="s">
        <v>536</v>
      </c>
      <c r="C197">
        <v>2010</v>
      </c>
      <c r="E197" t="s">
        <v>3074</v>
      </c>
      <c r="F197" t="s">
        <v>8570</v>
      </c>
      <c r="G197" t="s">
        <v>3994</v>
      </c>
    </row>
    <row r="198" spans="1:7" x14ac:dyDescent="0.25">
      <c r="A198" t="s">
        <v>536</v>
      </c>
      <c r="B198" t="s">
        <v>538</v>
      </c>
      <c r="C198">
        <v>2013</v>
      </c>
      <c r="D198" t="s">
        <v>187</v>
      </c>
      <c r="F198" t="s">
        <v>9537</v>
      </c>
      <c r="G198" t="s">
        <v>3994</v>
      </c>
    </row>
    <row r="199" spans="1:7" x14ac:dyDescent="0.25">
      <c r="A199" t="s">
        <v>1454</v>
      </c>
      <c r="B199" t="s">
        <v>540</v>
      </c>
      <c r="C199">
        <v>2001</v>
      </c>
      <c r="E199" t="s">
        <v>3253</v>
      </c>
      <c r="F199" t="s">
        <v>8869</v>
      </c>
      <c r="G199" t="s">
        <v>3994</v>
      </c>
    </row>
    <row r="200" spans="1:7" x14ac:dyDescent="0.25">
      <c r="A200" t="s">
        <v>2023</v>
      </c>
      <c r="B200" t="s">
        <v>540</v>
      </c>
      <c r="C200">
        <v>2003</v>
      </c>
      <c r="E200" t="s">
        <v>3253</v>
      </c>
      <c r="F200" t="s">
        <v>9538</v>
      </c>
      <c r="G200" t="s">
        <v>187</v>
      </c>
    </row>
    <row r="201" spans="1:7" x14ac:dyDescent="0.25">
      <c r="A201" t="s">
        <v>2428</v>
      </c>
      <c r="B201" t="s">
        <v>540</v>
      </c>
      <c r="C201">
        <v>2008</v>
      </c>
      <c r="E201" t="s">
        <v>3253</v>
      </c>
      <c r="F201" t="s">
        <v>9200</v>
      </c>
      <c r="G201" t="s">
        <v>3994</v>
      </c>
    </row>
    <row r="202" spans="1:7" x14ac:dyDescent="0.25">
      <c r="A202" t="s">
        <v>353</v>
      </c>
      <c r="B202" t="s">
        <v>543</v>
      </c>
      <c r="C202">
        <v>2023</v>
      </c>
      <c r="E202" t="s">
        <v>3021</v>
      </c>
      <c r="F202" t="s">
        <v>8501</v>
      </c>
      <c r="G202" t="s">
        <v>3994</v>
      </c>
    </row>
    <row r="203" spans="1:7" x14ac:dyDescent="0.25">
      <c r="A203" t="s">
        <v>2361</v>
      </c>
      <c r="B203" t="s">
        <v>543</v>
      </c>
      <c r="C203">
        <v>2018</v>
      </c>
      <c r="E203" t="s">
        <v>3021</v>
      </c>
      <c r="F203" t="s">
        <v>9186</v>
      </c>
      <c r="G203" t="s">
        <v>3994</v>
      </c>
    </row>
    <row r="204" spans="1:7" x14ac:dyDescent="0.25">
      <c r="A204" t="s">
        <v>2154</v>
      </c>
      <c r="B204" t="s">
        <v>546</v>
      </c>
      <c r="C204">
        <v>1980</v>
      </c>
      <c r="E204" t="s">
        <v>3319</v>
      </c>
      <c r="F204" t="s">
        <v>9031</v>
      </c>
      <c r="G204" t="s">
        <v>3994</v>
      </c>
    </row>
    <row r="205" spans="1:7" x14ac:dyDescent="0.25">
      <c r="A205" t="s">
        <v>2428</v>
      </c>
      <c r="B205" t="s">
        <v>549</v>
      </c>
      <c r="C205">
        <v>2008</v>
      </c>
      <c r="E205" t="s">
        <v>3389</v>
      </c>
      <c r="F205" t="s">
        <v>9201</v>
      </c>
      <c r="G205" t="s">
        <v>3994</v>
      </c>
    </row>
    <row r="206" spans="1:7" x14ac:dyDescent="0.25">
      <c r="A206" t="s">
        <v>256</v>
      </c>
      <c r="B206" t="s">
        <v>553</v>
      </c>
      <c r="C206">
        <v>1994</v>
      </c>
      <c r="F206" t="s">
        <v>9539</v>
      </c>
      <c r="G206" t="s">
        <v>187</v>
      </c>
    </row>
    <row r="207" spans="1:7" x14ac:dyDescent="0.25">
      <c r="A207" t="s">
        <v>1004</v>
      </c>
      <c r="B207" t="s">
        <v>553</v>
      </c>
      <c r="C207">
        <v>2006</v>
      </c>
      <c r="E207" s="10" t="s">
        <v>8397</v>
      </c>
      <c r="F207" t="s">
        <v>8710</v>
      </c>
      <c r="G207" t="s">
        <v>3994</v>
      </c>
    </row>
    <row r="208" spans="1:7" x14ac:dyDescent="0.25">
      <c r="A208" t="s">
        <v>1882</v>
      </c>
      <c r="B208" t="s">
        <v>553</v>
      </c>
      <c r="C208">
        <v>1987</v>
      </c>
      <c r="E208" s="10" t="s">
        <v>8409</v>
      </c>
      <c r="F208" t="s">
        <v>8984</v>
      </c>
      <c r="G208" t="s">
        <v>3994</v>
      </c>
    </row>
    <row r="209" spans="1:7" x14ac:dyDescent="0.25">
      <c r="A209" t="s">
        <v>1046</v>
      </c>
      <c r="B209" t="s">
        <v>557</v>
      </c>
      <c r="C209">
        <v>2016</v>
      </c>
      <c r="E209" s="10" t="s">
        <v>8408</v>
      </c>
      <c r="F209" t="s">
        <v>8723</v>
      </c>
      <c r="G209" t="s">
        <v>3994</v>
      </c>
    </row>
    <row r="210" spans="1:7" x14ac:dyDescent="0.25">
      <c r="A210" t="s">
        <v>160</v>
      </c>
      <c r="B210" t="s">
        <v>557</v>
      </c>
      <c r="C210">
        <v>2011</v>
      </c>
      <c r="E210" t="s">
        <v>3401</v>
      </c>
      <c r="F210" t="s">
        <v>9265</v>
      </c>
      <c r="G210" t="s">
        <v>3994</v>
      </c>
    </row>
    <row r="211" spans="1:7" x14ac:dyDescent="0.25">
      <c r="A211" t="s">
        <v>1180</v>
      </c>
      <c r="B211" t="s">
        <v>561</v>
      </c>
      <c r="C211">
        <v>2024</v>
      </c>
      <c r="D211" t="s">
        <v>187</v>
      </c>
      <c r="F211" t="s">
        <v>9540</v>
      </c>
      <c r="G211" t="s">
        <v>3994</v>
      </c>
    </row>
    <row r="212" spans="1:7" x14ac:dyDescent="0.25">
      <c r="A212" t="s">
        <v>1443</v>
      </c>
      <c r="B212" t="s">
        <v>561</v>
      </c>
      <c r="C212">
        <v>2018</v>
      </c>
      <c r="E212" t="s">
        <v>2982</v>
      </c>
      <c r="F212" t="s">
        <v>8853</v>
      </c>
      <c r="G212" t="s">
        <v>3994</v>
      </c>
    </row>
    <row r="213" spans="1:7" x14ac:dyDescent="0.25">
      <c r="A213" t="s">
        <v>1100</v>
      </c>
      <c r="B213" t="s">
        <v>563</v>
      </c>
      <c r="C213">
        <v>2022</v>
      </c>
      <c r="E213" t="s">
        <v>566</v>
      </c>
      <c r="F213" t="s">
        <v>8743</v>
      </c>
      <c r="G213" t="s">
        <v>3994</v>
      </c>
    </row>
    <row r="214" spans="1:7" x14ac:dyDescent="0.25">
      <c r="A214" t="s">
        <v>2377</v>
      </c>
      <c r="B214" t="s">
        <v>563</v>
      </c>
      <c r="C214">
        <v>2021</v>
      </c>
      <c r="E214" t="s">
        <v>566</v>
      </c>
      <c r="F214" t="s">
        <v>9190</v>
      </c>
      <c r="G214" t="s">
        <v>3994</v>
      </c>
    </row>
    <row r="215" spans="1:7" x14ac:dyDescent="0.25">
      <c r="A215" t="s">
        <v>90</v>
      </c>
      <c r="B215" t="s">
        <v>567</v>
      </c>
      <c r="C215">
        <v>2017</v>
      </c>
      <c r="E215" t="s">
        <v>3347</v>
      </c>
      <c r="F215" t="s">
        <v>9094</v>
      </c>
      <c r="G215" t="s">
        <v>3994</v>
      </c>
    </row>
    <row r="216" spans="1:7" x14ac:dyDescent="0.25">
      <c r="A216" t="s">
        <v>689</v>
      </c>
      <c r="B216" t="s">
        <v>571</v>
      </c>
      <c r="C216">
        <v>2015</v>
      </c>
      <c r="E216" t="s">
        <v>3085</v>
      </c>
      <c r="F216" t="s">
        <v>9541</v>
      </c>
      <c r="G216" t="s">
        <v>187</v>
      </c>
    </row>
    <row r="217" spans="1:7" x14ac:dyDescent="0.25">
      <c r="A217" t="s">
        <v>2324</v>
      </c>
      <c r="B217" t="s">
        <v>571</v>
      </c>
      <c r="C217">
        <v>2022</v>
      </c>
      <c r="E217" t="s">
        <v>3085</v>
      </c>
      <c r="F217" t="s">
        <v>9542</v>
      </c>
      <c r="G217" t="s">
        <v>187</v>
      </c>
    </row>
    <row r="218" spans="1:7" x14ac:dyDescent="0.25">
      <c r="A218" t="s">
        <v>90</v>
      </c>
      <c r="B218" t="s">
        <v>571</v>
      </c>
      <c r="C218">
        <v>2017</v>
      </c>
      <c r="E218" t="s">
        <v>3348</v>
      </c>
      <c r="F218" t="s">
        <v>9543</v>
      </c>
      <c r="G218" t="s">
        <v>187</v>
      </c>
    </row>
    <row r="219" spans="1:7" x14ac:dyDescent="0.25">
      <c r="A219" t="s">
        <v>2804</v>
      </c>
      <c r="B219" t="s">
        <v>571</v>
      </c>
      <c r="C219">
        <v>2021</v>
      </c>
      <c r="E219" t="s">
        <v>3085</v>
      </c>
      <c r="F219" t="s">
        <v>9544</v>
      </c>
      <c r="G219" t="s">
        <v>187</v>
      </c>
    </row>
    <row r="220" spans="1:7" x14ac:dyDescent="0.25">
      <c r="A220" t="s">
        <v>1855</v>
      </c>
      <c r="B220" t="s">
        <v>574</v>
      </c>
      <c r="C220">
        <v>2015</v>
      </c>
      <c r="E220" s="10" t="s">
        <v>8353</v>
      </c>
      <c r="F220" t="s">
        <v>8967</v>
      </c>
      <c r="G220" t="s">
        <v>3994</v>
      </c>
    </row>
    <row r="221" spans="1:7" x14ac:dyDescent="0.25">
      <c r="A221" t="s">
        <v>2173</v>
      </c>
      <c r="B221" t="s">
        <v>574</v>
      </c>
      <c r="C221">
        <v>2013</v>
      </c>
      <c r="E221" s="10" t="s">
        <v>8353</v>
      </c>
      <c r="F221" t="s">
        <v>9050</v>
      </c>
      <c r="G221" t="s">
        <v>3994</v>
      </c>
    </row>
    <row r="222" spans="1:7" x14ac:dyDescent="0.25">
      <c r="A222" t="s">
        <v>160</v>
      </c>
      <c r="B222" t="s">
        <v>574</v>
      </c>
      <c r="C222">
        <v>2011</v>
      </c>
      <c r="E222" s="10" t="s">
        <v>8353</v>
      </c>
      <c r="F222" t="s">
        <v>9266</v>
      </c>
      <c r="G222" t="s">
        <v>3994</v>
      </c>
    </row>
    <row r="223" spans="1:7" x14ac:dyDescent="0.25">
      <c r="A223" t="s">
        <v>581</v>
      </c>
      <c r="B223" t="s">
        <v>578</v>
      </c>
      <c r="C223">
        <v>1997</v>
      </c>
      <c r="D223" t="s">
        <v>187</v>
      </c>
      <c r="F223" t="s">
        <v>9545</v>
      </c>
      <c r="G223" t="s">
        <v>3994</v>
      </c>
    </row>
    <row r="224" spans="1:7" x14ac:dyDescent="0.25">
      <c r="A224" t="s">
        <v>2721</v>
      </c>
      <c r="B224" t="s">
        <v>581</v>
      </c>
      <c r="C224">
        <v>1993</v>
      </c>
      <c r="D224" t="s">
        <v>187</v>
      </c>
      <c r="E224" t="s">
        <v>3032</v>
      </c>
      <c r="F224" t="s">
        <v>9546</v>
      </c>
      <c r="G224" t="s">
        <v>3994</v>
      </c>
    </row>
    <row r="225" spans="1:7" x14ac:dyDescent="0.25">
      <c r="A225" t="s">
        <v>1093</v>
      </c>
      <c r="B225" t="s">
        <v>584</v>
      </c>
      <c r="C225">
        <v>2007</v>
      </c>
      <c r="D225" t="s">
        <v>187</v>
      </c>
      <c r="F225" t="s">
        <v>9547</v>
      </c>
      <c r="G225" t="s">
        <v>3994</v>
      </c>
    </row>
    <row r="226" spans="1:7" x14ac:dyDescent="0.25">
      <c r="A226" t="s">
        <v>904</v>
      </c>
      <c r="B226" t="s">
        <v>586</v>
      </c>
      <c r="C226">
        <v>2022</v>
      </c>
      <c r="E226" s="10" t="s">
        <v>594</v>
      </c>
      <c r="F226" t="s">
        <v>8675</v>
      </c>
      <c r="G226" t="s">
        <v>3994</v>
      </c>
    </row>
    <row r="227" spans="1:7" x14ac:dyDescent="0.25">
      <c r="A227" t="s">
        <v>2804</v>
      </c>
      <c r="B227" t="s">
        <v>586</v>
      </c>
      <c r="C227">
        <v>2021</v>
      </c>
      <c r="E227" t="s">
        <v>3013</v>
      </c>
      <c r="F227" t="s">
        <v>9548</v>
      </c>
      <c r="G227" t="s">
        <v>187</v>
      </c>
    </row>
    <row r="228" spans="1:7" x14ac:dyDescent="0.25">
      <c r="A228" t="s">
        <v>586</v>
      </c>
      <c r="B228" t="s">
        <v>591</v>
      </c>
      <c r="C228">
        <v>2023</v>
      </c>
      <c r="D228" t="s">
        <v>187</v>
      </c>
      <c r="F228" t="s">
        <v>9549</v>
      </c>
      <c r="G228" t="s">
        <v>3994</v>
      </c>
    </row>
    <row r="229" spans="1:7" x14ac:dyDescent="0.25">
      <c r="A229" t="s">
        <v>353</v>
      </c>
      <c r="B229" t="s">
        <v>595</v>
      </c>
      <c r="C229">
        <v>2023</v>
      </c>
      <c r="E229" t="s">
        <v>3022</v>
      </c>
      <c r="F229" t="s">
        <v>8502</v>
      </c>
      <c r="G229" t="s">
        <v>3994</v>
      </c>
    </row>
    <row r="230" spans="1:7" x14ac:dyDescent="0.25">
      <c r="A230" t="s">
        <v>1576</v>
      </c>
      <c r="B230" t="s">
        <v>595</v>
      </c>
      <c r="C230">
        <v>2021</v>
      </c>
      <c r="E230" s="10" t="s">
        <v>8356</v>
      </c>
      <c r="F230" t="s">
        <v>8885</v>
      </c>
      <c r="G230" t="s">
        <v>3994</v>
      </c>
    </row>
    <row r="231" spans="1:7" x14ac:dyDescent="0.25">
      <c r="A231" t="s">
        <v>746</v>
      </c>
      <c r="B231" t="s">
        <v>598</v>
      </c>
      <c r="C231">
        <v>2015</v>
      </c>
      <c r="E231" t="s">
        <v>2982</v>
      </c>
      <c r="F231" t="s">
        <v>8596</v>
      </c>
      <c r="G231" t="s">
        <v>3994</v>
      </c>
    </row>
    <row r="232" spans="1:7" x14ac:dyDescent="0.25">
      <c r="A232" t="s">
        <v>90</v>
      </c>
      <c r="B232" t="s">
        <v>598</v>
      </c>
      <c r="C232">
        <v>2017</v>
      </c>
      <c r="E232" t="s">
        <v>2982</v>
      </c>
      <c r="F232" t="s">
        <v>9095</v>
      </c>
      <c r="G232" t="s">
        <v>3994</v>
      </c>
    </row>
    <row r="233" spans="1:7" x14ac:dyDescent="0.25">
      <c r="A233" t="s">
        <v>709</v>
      </c>
      <c r="B233" t="s">
        <v>602</v>
      </c>
      <c r="C233">
        <v>2022</v>
      </c>
      <c r="E233" t="s">
        <v>2982</v>
      </c>
      <c r="F233" t="s">
        <v>8586</v>
      </c>
      <c r="G233" t="s">
        <v>3994</v>
      </c>
    </row>
    <row r="234" spans="1:7" x14ac:dyDescent="0.25">
      <c r="A234" t="s">
        <v>1294</v>
      </c>
      <c r="B234" t="s">
        <v>602</v>
      </c>
      <c r="C234">
        <v>2019</v>
      </c>
      <c r="E234" t="s">
        <v>2982</v>
      </c>
      <c r="F234" t="s">
        <v>8796</v>
      </c>
      <c r="G234" t="s">
        <v>3994</v>
      </c>
    </row>
    <row r="235" spans="1:7" x14ac:dyDescent="0.25">
      <c r="A235" t="s">
        <v>904</v>
      </c>
      <c r="B235" t="s">
        <v>604</v>
      </c>
      <c r="C235">
        <v>2022</v>
      </c>
      <c r="E235" t="s">
        <v>3142</v>
      </c>
      <c r="F235" t="s">
        <v>8676</v>
      </c>
      <c r="G235" t="s">
        <v>3994</v>
      </c>
    </row>
    <row r="236" spans="1:7" x14ac:dyDescent="0.25">
      <c r="A236" t="s">
        <v>1817</v>
      </c>
      <c r="B236" t="s">
        <v>604</v>
      </c>
      <c r="C236">
        <v>2019</v>
      </c>
      <c r="E236" t="s">
        <v>3290</v>
      </c>
      <c r="F236" t="s">
        <v>9550</v>
      </c>
      <c r="G236" t="s">
        <v>187</v>
      </c>
    </row>
    <row r="237" spans="1:7" x14ac:dyDescent="0.25">
      <c r="A237" t="s">
        <v>2428</v>
      </c>
      <c r="B237" t="s">
        <v>604</v>
      </c>
      <c r="C237">
        <v>2008</v>
      </c>
      <c r="E237" t="s">
        <v>3142</v>
      </c>
      <c r="F237" t="s">
        <v>9202</v>
      </c>
      <c r="G237" t="s">
        <v>3994</v>
      </c>
    </row>
    <row r="238" spans="1:7" x14ac:dyDescent="0.25">
      <c r="A238" t="s">
        <v>353</v>
      </c>
      <c r="B238" t="s">
        <v>606</v>
      </c>
      <c r="C238">
        <v>2023</v>
      </c>
      <c r="E238" t="s">
        <v>609</v>
      </c>
      <c r="F238" t="s">
        <v>8503</v>
      </c>
      <c r="G238" t="s">
        <v>3994</v>
      </c>
    </row>
    <row r="239" spans="1:7" x14ac:dyDescent="0.25">
      <c r="A239" t="s">
        <v>505</v>
      </c>
      <c r="B239" t="s">
        <v>606</v>
      </c>
      <c r="C239">
        <v>2024</v>
      </c>
      <c r="E239" t="s">
        <v>609</v>
      </c>
      <c r="F239" t="s">
        <v>8566</v>
      </c>
      <c r="G239" t="s">
        <v>3994</v>
      </c>
    </row>
    <row r="240" spans="1:7" x14ac:dyDescent="0.25">
      <c r="A240" t="s">
        <v>497</v>
      </c>
      <c r="B240" t="s">
        <v>610</v>
      </c>
      <c r="C240">
        <v>2022</v>
      </c>
      <c r="E240" t="s">
        <v>3066</v>
      </c>
      <c r="F240" t="s">
        <v>8553</v>
      </c>
      <c r="G240" t="s">
        <v>3994</v>
      </c>
    </row>
    <row r="241" spans="1:7" x14ac:dyDescent="0.25">
      <c r="A241" t="s">
        <v>90</v>
      </c>
      <c r="B241" t="s">
        <v>610</v>
      </c>
      <c r="C241">
        <v>2017</v>
      </c>
      <c r="E241" t="s">
        <v>3066</v>
      </c>
      <c r="F241" t="s">
        <v>9551</v>
      </c>
      <c r="G241" t="s">
        <v>3994</v>
      </c>
    </row>
    <row r="242" spans="1:7" x14ac:dyDescent="0.25">
      <c r="A242" t="s">
        <v>160</v>
      </c>
      <c r="B242" t="s">
        <v>610</v>
      </c>
      <c r="C242">
        <v>2011</v>
      </c>
      <c r="E242" t="s">
        <v>3066</v>
      </c>
      <c r="F242" t="s">
        <v>9552</v>
      </c>
      <c r="G242" t="s">
        <v>3994</v>
      </c>
    </row>
    <row r="243" spans="1:7" x14ac:dyDescent="0.25">
      <c r="A243" t="s">
        <v>353</v>
      </c>
      <c r="B243" t="s">
        <v>613</v>
      </c>
      <c r="C243">
        <v>2023</v>
      </c>
      <c r="E243" t="s">
        <v>3023</v>
      </c>
      <c r="F243" t="s">
        <v>8504</v>
      </c>
      <c r="G243" t="s">
        <v>3994</v>
      </c>
    </row>
    <row r="244" spans="1:7" x14ac:dyDescent="0.25">
      <c r="A244" t="s">
        <v>1294</v>
      </c>
      <c r="B244" t="s">
        <v>619</v>
      </c>
      <c r="C244">
        <v>2019</v>
      </c>
      <c r="E244" s="10" t="s">
        <v>8437</v>
      </c>
      <c r="F244" t="s">
        <v>8436</v>
      </c>
      <c r="G244" t="s">
        <v>3994</v>
      </c>
    </row>
    <row r="245" spans="1:7" x14ac:dyDescent="0.25">
      <c r="A245" t="s">
        <v>1435</v>
      </c>
      <c r="B245" t="s">
        <v>619</v>
      </c>
      <c r="C245">
        <v>2021</v>
      </c>
      <c r="E245" s="10" t="s">
        <v>8437</v>
      </c>
      <c r="F245" t="s">
        <v>8840</v>
      </c>
      <c r="G245" t="s">
        <v>3994</v>
      </c>
    </row>
    <row r="246" spans="1:7" x14ac:dyDescent="0.25">
      <c r="A246" t="s">
        <v>1443</v>
      </c>
      <c r="B246" t="s">
        <v>619</v>
      </c>
      <c r="C246">
        <v>2018</v>
      </c>
      <c r="E246" s="10" t="s">
        <v>8437</v>
      </c>
      <c r="F246" t="s">
        <v>8435</v>
      </c>
      <c r="G246" t="s">
        <v>3994</v>
      </c>
    </row>
    <row r="247" spans="1:7" x14ac:dyDescent="0.25">
      <c r="A247" t="s">
        <v>90</v>
      </c>
      <c r="B247" t="s">
        <v>619</v>
      </c>
      <c r="C247">
        <v>2017</v>
      </c>
      <c r="E247" s="10" t="s">
        <v>8437</v>
      </c>
      <c r="F247" t="s">
        <v>9096</v>
      </c>
      <c r="G247" t="s">
        <v>3994</v>
      </c>
    </row>
    <row r="248" spans="1:7" x14ac:dyDescent="0.25">
      <c r="A248" t="s">
        <v>964</v>
      </c>
      <c r="B248" t="s">
        <v>623</v>
      </c>
      <c r="C248">
        <v>2006</v>
      </c>
      <c r="E248" t="s">
        <v>3164</v>
      </c>
      <c r="F248" t="s">
        <v>9553</v>
      </c>
      <c r="G248" t="s">
        <v>187</v>
      </c>
    </row>
    <row r="249" spans="1:7" x14ac:dyDescent="0.25">
      <c r="A249" t="s">
        <v>2428</v>
      </c>
      <c r="B249" t="s">
        <v>625</v>
      </c>
      <c r="C249">
        <v>2008</v>
      </c>
      <c r="E249" t="s">
        <v>3390</v>
      </c>
      <c r="F249" t="s">
        <v>9203</v>
      </c>
      <c r="G249" t="s">
        <v>3994</v>
      </c>
    </row>
    <row r="250" spans="1:7" x14ac:dyDescent="0.25">
      <c r="A250" t="s">
        <v>1855</v>
      </c>
      <c r="B250" t="s">
        <v>629</v>
      </c>
      <c r="C250">
        <v>2015</v>
      </c>
      <c r="E250" t="s">
        <v>3295</v>
      </c>
      <c r="F250" t="s">
        <v>9554</v>
      </c>
      <c r="G250" t="s">
        <v>187</v>
      </c>
    </row>
    <row r="251" spans="1:7" x14ac:dyDescent="0.25">
      <c r="A251" t="s">
        <v>353</v>
      </c>
      <c r="B251" t="s">
        <v>7645</v>
      </c>
      <c r="C251">
        <v>2023</v>
      </c>
      <c r="E251" t="s">
        <v>7641</v>
      </c>
      <c r="F251" t="s">
        <v>8505</v>
      </c>
      <c r="G251" t="s">
        <v>3994</v>
      </c>
    </row>
    <row r="252" spans="1:7" x14ac:dyDescent="0.25">
      <c r="A252" t="s">
        <v>7642</v>
      </c>
      <c r="B252" t="s">
        <v>7645</v>
      </c>
      <c r="C252">
        <v>2021</v>
      </c>
      <c r="E252" t="s">
        <v>7641</v>
      </c>
      <c r="F252" t="s">
        <v>8886</v>
      </c>
      <c r="G252" t="s">
        <v>3994</v>
      </c>
    </row>
    <row r="253" spans="1:7" x14ac:dyDescent="0.25">
      <c r="A253" t="s">
        <v>90</v>
      </c>
      <c r="B253" t="s">
        <v>633</v>
      </c>
      <c r="C253">
        <v>2017</v>
      </c>
      <c r="E253" t="s">
        <v>3349</v>
      </c>
      <c r="F253" t="s">
        <v>9097</v>
      </c>
      <c r="G253" t="s">
        <v>3994</v>
      </c>
    </row>
    <row r="254" spans="1:7" x14ac:dyDescent="0.25">
      <c r="A254" t="s">
        <v>160</v>
      </c>
      <c r="B254" t="s">
        <v>635</v>
      </c>
      <c r="C254">
        <v>2011</v>
      </c>
      <c r="E254" s="10" t="s">
        <v>3402</v>
      </c>
      <c r="F254" t="s">
        <v>9421</v>
      </c>
      <c r="G254" t="s">
        <v>3994</v>
      </c>
    </row>
    <row r="255" spans="1:7" x14ac:dyDescent="0.25">
      <c r="A255" t="s">
        <v>2804</v>
      </c>
      <c r="B255" t="s">
        <v>9981</v>
      </c>
      <c r="C255">
        <v>2021</v>
      </c>
      <c r="E255" t="s">
        <v>2982</v>
      </c>
      <c r="F255" t="s">
        <v>9985</v>
      </c>
      <c r="G255" t="s">
        <v>3994</v>
      </c>
    </row>
    <row r="256" spans="1:7" x14ac:dyDescent="0.25">
      <c r="A256" t="s">
        <v>1144</v>
      </c>
      <c r="B256" t="s">
        <v>639</v>
      </c>
      <c r="C256">
        <v>2012</v>
      </c>
      <c r="E256" t="s">
        <v>642</v>
      </c>
      <c r="F256" t="s">
        <v>8750</v>
      </c>
      <c r="G256" t="s">
        <v>3994</v>
      </c>
    </row>
    <row r="257" spans="1:7" x14ac:dyDescent="0.25">
      <c r="A257" t="s">
        <v>90</v>
      </c>
      <c r="B257" t="s">
        <v>643</v>
      </c>
      <c r="C257">
        <v>2017</v>
      </c>
      <c r="E257" t="s">
        <v>3350</v>
      </c>
      <c r="F257" t="s">
        <v>9098</v>
      </c>
      <c r="G257" t="s">
        <v>3994</v>
      </c>
    </row>
    <row r="258" spans="1:7" x14ac:dyDescent="0.25">
      <c r="A258" t="s">
        <v>746</v>
      </c>
      <c r="B258" t="s">
        <v>647</v>
      </c>
      <c r="C258">
        <v>2015</v>
      </c>
      <c r="E258" s="10" t="s">
        <v>3096</v>
      </c>
      <c r="F258" t="s">
        <v>9420</v>
      </c>
      <c r="G258" t="s">
        <v>3994</v>
      </c>
    </row>
    <row r="259" spans="1:7" x14ac:dyDescent="0.25">
      <c r="A259" t="s">
        <v>1272</v>
      </c>
      <c r="B259" t="s">
        <v>651</v>
      </c>
      <c r="C259">
        <v>2020</v>
      </c>
      <c r="E259" s="10" t="s">
        <v>8316</v>
      </c>
      <c r="F259" t="s">
        <v>9555</v>
      </c>
      <c r="G259" t="s">
        <v>187</v>
      </c>
    </row>
    <row r="260" spans="1:7" x14ac:dyDescent="0.25">
      <c r="A260" t="s">
        <v>1294</v>
      </c>
      <c r="B260" t="s">
        <v>651</v>
      </c>
      <c r="C260">
        <v>2019</v>
      </c>
      <c r="E260" s="10" t="s">
        <v>8316</v>
      </c>
      <c r="F260" t="s">
        <v>9556</v>
      </c>
      <c r="G260" t="s">
        <v>187</v>
      </c>
    </row>
    <row r="261" spans="1:7" x14ac:dyDescent="0.25">
      <c r="A261" t="s">
        <v>1817</v>
      </c>
      <c r="B261" t="s">
        <v>651</v>
      </c>
      <c r="C261">
        <v>2019</v>
      </c>
      <c r="E261" s="10" t="s">
        <v>8316</v>
      </c>
      <c r="F261" t="s">
        <v>9557</v>
      </c>
      <c r="G261" t="s">
        <v>187</v>
      </c>
    </row>
    <row r="262" spans="1:7" x14ac:dyDescent="0.25">
      <c r="A262" t="s">
        <v>2136</v>
      </c>
      <c r="B262" t="s">
        <v>651</v>
      </c>
      <c r="C262">
        <v>2020</v>
      </c>
      <c r="E262" s="10" t="s">
        <v>8316</v>
      </c>
      <c r="F262" t="s">
        <v>9558</v>
      </c>
      <c r="G262" t="s">
        <v>187</v>
      </c>
    </row>
    <row r="263" spans="1:7" x14ac:dyDescent="0.25">
      <c r="A263" t="s">
        <v>90</v>
      </c>
      <c r="B263" t="s">
        <v>651</v>
      </c>
      <c r="C263">
        <v>2017</v>
      </c>
      <c r="E263" s="10" t="s">
        <v>8316</v>
      </c>
      <c r="F263" t="s">
        <v>9559</v>
      </c>
      <c r="G263" t="s">
        <v>187</v>
      </c>
    </row>
    <row r="264" spans="1:7" x14ac:dyDescent="0.25">
      <c r="A264" t="s">
        <v>2428</v>
      </c>
      <c r="B264" t="s">
        <v>651</v>
      </c>
      <c r="C264">
        <v>2008</v>
      </c>
      <c r="E264" s="10" t="s">
        <v>8316</v>
      </c>
      <c r="F264" t="s">
        <v>9560</v>
      </c>
      <c r="G264" t="s">
        <v>187</v>
      </c>
    </row>
    <row r="265" spans="1:7" x14ac:dyDescent="0.25">
      <c r="A265" t="s">
        <v>160</v>
      </c>
      <c r="B265" t="s">
        <v>651</v>
      </c>
      <c r="C265">
        <v>2011</v>
      </c>
      <c r="E265" s="10" t="s">
        <v>8316</v>
      </c>
      <c r="F265" t="s">
        <v>9561</v>
      </c>
      <c r="G265" t="s">
        <v>187</v>
      </c>
    </row>
    <row r="266" spans="1:7" x14ac:dyDescent="0.25">
      <c r="A266" t="s">
        <v>1496</v>
      </c>
      <c r="B266" t="s">
        <v>10011</v>
      </c>
      <c r="C266">
        <v>2016</v>
      </c>
      <c r="E266" s="10" t="s">
        <v>10015</v>
      </c>
      <c r="F266" t="s">
        <v>10016</v>
      </c>
      <c r="G266" t="s">
        <v>3994</v>
      </c>
    </row>
    <row r="267" spans="1:7" x14ac:dyDescent="0.25">
      <c r="A267" t="s">
        <v>256</v>
      </c>
      <c r="B267" t="s">
        <v>656</v>
      </c>
      <c r="C267">
        <v>1994</v>
      </c>
      <c r="E267" s="10" t="s">
        <v>2987</v>
      </c>
      <c r="F267" t="s">
        <v>9418</v>
      </c>
      <c r="G267" t="s">
        <v>3994</v>
      </c>
    </row>
    <row r="268" spans="1:7" x14ac:dyDescent="0.25">
      <c r="A268" t="s">
        <v>260</v>
      </c>
      <c r="B268" t="s">
        <v>656</v>
      </c>
      <c r="C268">
        <v>1990</v>
      </c>
      <c r="E268" s="10" t="s">
        <v>3001</v>
      </c>
      <c r="F268" t="s">
        <v>8472</v>
      </c>
      <c r="G268" t="s">
        <v>3994</v>
      </c>
    </row>
    <row r="269" spans="1:7" x14ac:dyDescent="0.25">
      <c r="A269" t="s">
        <v>2804</v>
      </c>
      <c r="B269" t="s">
        <v>659</v>
      </c>
      <c r="C269">
        <v>2021</v>
      </c>
      <c r="E269" t="s">
        <v>3013</v>
      </c>
      <c r="F269" t="s">
        <v>9562</v>
      </c>
      <c r="G269" t="s">
        <v>187</v>
      </c>
    </row>
    <row r="270" spans="1:7" x14ac:dyDescent="0.25">
      <c r="A270" t="s">
        <v>847</v>
      </c>
      <c r="B270" t="s">
        <v>663</v>
      </c>
      <c r="C270">
        <v>1996</v>
      </c>
      <c r="E270" s="10" t="s">
        <v>8348</v>
      </c>
      <c r="F270" t="s">
        <v>8652</v>
      </c>
      <c r="G270" t="s">
        <v>3994</v>
      </c>
    </row>
    <row r="271" spans="1:7" x14ac:dyDescent="0.25">
      <c r="A271" t="s">
        <v>160</v>
      </c>
      <c r="B271" t="s">
        <v>663</v>
      </c>
      <c r="C271">
        <v>2011</v>
      </c>
      <c r="E271" s="10" t="s">
        <v>8348</v>
      </c>
      <c r="F271" t="s">
        <v>9267</v>
      </c>
      <c r="G271" t="s">
        <v>3994</v>
      </c>
    </row>
    <row r="272" spans="1:7" x14ac:dyDescent="0.25">
      <c r="A272" t="s">
        <v>1576</v>
      </c>
      <c r="B272" t="s">
        <v>667</v>
      </c>
      <c r="C272">
        <v>2021</v>
      </c>
      <c r="E272" t="s">
        <v>2982</v>
      </c>
      <c r="F272" t="s">
        <v>8887</v>
      </c>
      <c r="G272" t="s">
        <v>3994</v>
      </c>
    </row>
    <row r="273" spans="1:7" x14ac:dyDescent="0.25">
      <c r="A273" t="s">
        <v>353</v>
      </c>
      <c r="B273" t="s">
        <v>671</v>
      </c>
      <c r="C273">
        <v>2023</v>
      </c>
      <c r="E273" t="s">
        <v>2982</v>
      </c>
      <c r="F273" t="s">
        <v>8506</v>
      </c>
      <c r="G273" t="s">
        <v>3994</v>
      </c>
    </row>
    <row r="274" spans="1:7" x14ac:dyDescent="0.25">
      <c r="A274" t="s">
        <v>1443</v>
      </c>
      <c r="B274" t="s">
        <v>671</v>
      </c>
      <c r="C274">
        <v>2018</v>
      </c>
      <c r="E274" t="s">
        <v>2982</v>
      </c>
      <c r="F274" t="s">
        <v>8854</v>
      </c>
      <c r="G274" t="s">
        <v>3994</v>
      </c>
    </row>
    <row r="275" spans="1:7" x14ac:dyDescent="0.25">
      <c r="A275" t="s">
        <v>90</v>
      </c>
      <c r="B275" t="s">
        <v>671</v>
      </c>
      <c r="C275">
        <v>2017</v>
      </c>
      <c r="E275" t="s">
        <v>2982</v>
      </c>
      <c r="F275" t="s">
        <v>9099</v>
      </c>
      <c r="G275" t="s">
        <v>3994</v>
      </c>
    </row>
    <row r="276" spans="1:7" x14ac:dyDescent="0.25">
      <c r="A276" t="s">
        <v>510</v>
      </c>
      <c r="B276" t="s">
        <v>673</v>
      </c>
      <c r="C276">
        <v>2018</v>
      </c>
      <c r="D276" t="s">
        <v>187</v>
      </c>
      <c r="F276" t="s">
        <v>9563</v>
      </c>
      <c r="G276" t="s">
        <v>3994</v>
      </c>
    </row>
    <row r="277" spans="1:7" x14ac:dyDescent="0.25">
      <c r="A277" t="s">
        <v>1690</v>
      </c>
      <c r="B277" t="s">
        <v>673</v>
      </c>
      <c r="C277">
        <v>2020</v>
      </c>
      <c r="E277" t="s">
        <v>2982</v>
      </c>
      <c r="F277" t="s">
        <v>8907</v>
      </c>
      <c r="G277" t="s">
        <v>3994</v>
      </c>
    </row>
    <row r="278" spans="1:7" x14ac:dyDescent="0.25">
      <c r="A278" t="s">
        <v>90</v>
      </c>
      <c r="B278" t="s">
        <v>673</v>
      </c>
      <c r="C278">
        <v>2017</v>
      </c>
      <c r="E278" s="10" t="s">
        <v>8357</v>
      </c>
      <c r="F278" t="s">
        <v>9100</v>
      </c>
      <c r="G278" t="s">
        <v>3994</v>
      </c>
    </row>
    <row r="279" spans="1:7" x14ac:dyDescent="0.25">
      <c r="A279" t="s">
        <v>1761</v>
      </c>
      <c r="B279" t="s">
        <v>677</v>
      </c>
      <c r="C279">
        <v>1995</v>
      </c>
      <c r="E279" s="10" t="s">
        <v>8350</v>
      </c>
      <c r="F279" t="s">
        <v>8923</v>
      </c>
      <c r="G279" t="s">
        <v>3994</v>
      </c>
    </row>
    <row r="280" spans="1:7" x14ac:dyDescent="0.25">
      <c r="A280" t="s">
        <v>90</v>
      </c>
      <c r="B280" t="s">
        <v>681</v>
      </c>
      <c r="C280">
        <v>2017</v>
      </c>
      <c r="E280" t="s">
        <v>3351</v>
      </c>
      <c r="F280" t="s">
        <v>9101</v>
      </c>
      <c r="G280" t="s">
        <v>3994</v>
      </c>
    </row>
    <row r="281" spans="1:7" x14ac:dyDescent="0.25">
      <c r="A281" t="s">
        <v>1144</v>
      </c>
      <c r="B281" t="s">
        <v>685</v>
      </c>
      <c r="C281">
        <v>2012</v>
      </c>
      <c r="E281" t="s">
        <v>3197</v>
      </c>
      <c r="F281" t="s">
        <v>9419</v>
      </c>
      <c r="G281" t="s">
        <v>3994</v>
      </c>
    </row>
    <row r="282" spans="1:7" x14ac:dyDescent="0.25">
      <c r="A282" t="s">
        <v>2154</v>
      </c>
      <c r="B282" t="s">
        <v>689</v>
      </c>
      <c r="C282">
        <v>1980</v>
      </c>
      <c r="E282" t="s">
        <v>3320</v>
      </c>
      <c r="F282" t="s">
        <v>9032</v>
      </c>
      <c r="G282" t="s">
        <v>3994</v>
      </c>
    </row>
    <row r="283" spans="1:7" x14ac:dyDescent="0.25">
      <c r="A283" t="s">
        <v>2173</v>
      </c>
      <c r="B283" t="s">
        <v>689</v>
      </c>
      <c r="C283">
        <v>2013</v>
      </c>
      <c r="E283" t="s">
        <v>3320</v>
      </c>
      <c r="F283" t="s">
        <v>9051</v>
      </c>
      <c r="G283" t="s">
        <v>3994</v>
      </c>
    </row>
    <row r="284" spans="1:7" x14ac:dyDescent="0.25">
      <c r="A284" t="s">
        <v>2428</v>
      </c>
      <c r="B284" t="s">
        <v>689</v>
      </c>
      <c r="C284">
        <v>2008</v>
      </c>
      <c r="E284" t="s">
        <v>3320</v>
      </c>
      <c r="F284" t="s">
        <v>9204</v>
      </c>
      <c r="G284" t="s">
        <v>3994</v>
      </c>
    </row>
    <row r="285" spans="1:7" x14ac:dyDescent="0.25">
      <c r="A285" t="s">
        <v>160</v>
      </c>
      <c r="B285" t="s">
        <v>689</v>
      </c>
      <c r="C285">
        <v>2011</v>
      </c>
      <c r="E285" t="s">
        <v>3320</v>
      </c>
      <c r="F285" t="s">
        <v>9268</v>
      </c>
      <c r="G285" t="s">
        <v>3994</v>
      </c>
    </row>
    <row r="286" spans="1:7" x14ac:dyDescent="0.25">
      <c r="A286" t="s">
        <v>2947</v>
      </c>
      <c r="B286" t="s">
        <v>698</v>
      </c>
      <c r="C286">
        <v>1994</v>
      </c>
      <c r="E286" t="s">
        <v>3436</v>
      </c>
      <c r="F286" t="s">
        <v>9375</v>
      </c>
      <c r="G286" t="s">
        <v>3994</v>
      </c>
    </row>
    <row r="287" spans="1:7" x14ac:dyDescent="0.25">
      <c r="A287" t="s">
        <v>353</v>
      </c>
      <c r="B287" t="s">
        <v>706</v>
      </c>
      <c r="C287">
        <v>2023</v>
      </c>
      <c r="E287" t="s">
        <v>3024</v>
      </c>
      <c r="F287" t="s">
        <v>9401</v>
      </c>
      <c r="G287" t="s">
        <v>3994</v>
      </c>
    </row>
    <row r="288" spans="1:7" x14ac:dyDescent="0.25">
      <c r="A288" t="s">
        <v>1951</v>
      </c>
      <c r="B288" t="s">
        <v>706</v>
      </c>
      <c r="C288">
        <v>2022</v>
      </c>
      <c r="E288" t="s">
        <v>3024</v>
      </c>
      <c r="F288" t="s">
        <v>9400</v>
      </c>
      <c r="G288" t="s">
        <v>3994</v>
      </c>
    </row>
    <row r="289" spans="1:7" x14ac:dyDescent="0.25">
      <c r="A289" t="s">
        <v>759</v>
      </c>
      <c r="B289" t="s">
        <v>709</v>
      </c>
      <c r="C289">
        <v>2018</v>
      </c>
      <c r="E289" t="s">
        <v>3114</v>
      </c>
      <c r="F289" t="s">
        <v>9564</v>
      </c>
      <c r="G289" t="s">
        <v>187</v>
      </c>
    </row>
    <row r="290" spans="1:7" x14ac:dyDescent="0.25">
      <c r="A290" t="s">
        <v>914</v>
      </c>
      <c r="B290" t="s">
        <v>709</v>
      </c>
      <c r="C290">
        <v>2013</v>
      </c>
      <c r="E290" t="s">
        <v>3114</v>
      </c>
      <c r="F290" t="s">
        <v>9565</v>
      </c>
      <c r="G290" t="s">
        <v>187</v>
      </c>
    </row>
    <row r="291" spans="1:7" x14ac:dyDescent="0.25">
      <c r="A291" t="s">
        <v>1046</v>
      </c>
      <c r="B291" t="s">
        <v>709</v>
      </c>
      <c r="C291">
        <v>2016</v>
      </c>
      <c r="E291" t="s">
        <v>3114</v>
      </c>
      <c r="F291" t="s">
        <v>9566</v>
      </c>
      <c r="G291" t="s">
        <v>187</v>
      </c>
    </row>
    <row r="292" spans="1:7" x14ac:dyDescent="0.25">
      <c r="A292" t="s">
        <v>1294</v>
      </c>
      <c r="B292" t="s">
        <v>709</v>
      </c>
      <c r="C292">
        <v>2019</v>
      </c>
      <c r="E292" t="s">
        <v>3114</v>
      </c>
      <c r="F292" t="s">
        <v>9567</v>
      </c>
      <c r="G292" t="s">
        <v>187</v>
      </c>
    </row>
    <row r="293" spans="1:7" x14ac:dyDescent="0.25">
      <c r="A293" t="s">
        <v>160</v>
      </c>
      <c r="B293" t="s">
        <v>709</v>
      </c>
      <c r="C293">
        <v>2011</v>
      </c>
      <c r="E293" t="s">
        <v>3114</v>
      </c>
      <c r="F293" t="s">
        <v>9568</v>
      </c>
      <c r="G293" t="s">
        <v>187</v>
      </c>
    </row>
    <row r="294" spans="1:7" x14ac:dyDescent="0.25">
      <c r="A294" t="s">
        <v>1144</v>
      </c>
      <c r="B294" t="s">
        <v>713</v>
      </c>
      <c r="C294">
        <v>2012</v>
      </c>
      <c r="E294" t="s">
        <v>3198</v>
      </c>
      <c r="F294" t="s">
        <v>9429</v>
      </c>
      <c r="G294" t="s">
        <v>3994</v>
      </c>
    </row>
    <row r="295" spans="1:7" x14ac:dyDescent="0.25">
      <c r="A295" t="s">
        <v>2502</v>
      </c>
      <c r="B295" t="s">
        <v>713</v>
      </c>
      <c r="C295">
        <v>2015</v>
      </c>
      <c r="D295" t="s">
        <v>187</v>
      </c>
      <c r="F295" t="s">
        <v>9569</v>
      </c>
      <c r="G295" t="s">
        <v>3994</v>
      </c>
    </row>
    <row r="296" spans="1:7" x14ac:dyDescent="0.25">
      <c r="A296" t="s">
        <v>1576</v>
      </c>
      <c r="B296" t="s">
        <v>717</v>
      </c>
      <c r="C296">
        <v>2021</v>
      </c>
      <c r="E296" t="s">
        <v>3261</v>
      </c>
      <c r="F296" t="s">
        <v>8888</v>
      </c>
      <c r="G296" t="s">
        <v>3994</v>
      </c>
    </row>
    <row r="297" spans="1:7" x14ac:dyDescent="0.25">
      <c r="A297" t="s">
        <v>720</v>
      </c>
      <c r="B297" t="s">
        <v>724</v>
      </c>
      <c r="C297">
        <v>2016</v>
      </c>
      <c r="D297" t="s">
        <v>187</v>
      </c>
      <c r="F297" t="s">
        <v>9570</v>
      </c>
      <c r="G297" t="s">
        <v>3994</v>
      </c>
    </row>
    <row r="298" spans="1:7" x14ac:dyDescent="0.25">
      <c r="A298" t="s">
        <v>778</v>
      </c>
      <c r="B298" t="s">
        <v>7826</v>
      </c>
      <c r="C298">
        <v>2023</v>
      </c>
      <c r="E298" s="10" t="s">
        <v>10073</v>
      </c>
      <c r="F298" t="s">
        <v>10074</v>
      </c>
      <c r="G298" t="s">
        <v>3994</v>
      </c>
    </row>
    <row r="299" spans="1:7" x14ac:dyDescent="0.25">
      <c r="A299" t="s">
        <v>1294</v>
      </c>
      <c r="B299" t="s">
        <v>7826</v>
      </c>
      <c r="C299">
        <v>2019</v>
      </c>
      <c r="E299" t="s">
        <v>7828</v>
      </c>
      <c r="F299" t="s">
        <v>8797</v>
      </c>
      <c r="G299" t="s">
        <v>3994</v>
      </c>
    </row>
    <row r="300" spans="1:7" x14ac:dyDescent="0.25">
      <c r="A300" t="s">
        <v>2804</v>
      </c>
      <c r="B300" t="s">
        <v>7826</v>
      </c>
      <c r="C300">
        <v>2021</v>
      </c>
      <c r="E300" t="s">
        <v>7828</v>
      </c>
      <c r="F300" t="s">
        <v>9332</v>
      </c>
      <c r="G300" t="s">
        <v>3994</v>
      </c>
    </row>
    <row r="301" spans="1:7" x14ac:dyDescent="0.25">
      <c r="A301" t="s">
        <v>746</v>
      </c>
      <c r="B301" t="s">
        <v>726</v>
      </c>
      <c r="C301">
        <v>2015</v>
      </c>
      <c r="E301" s="10" t="s">
        <v>8359</v>
      </c>
      <c r="F301" t="s">
        <v>8597</v>
      </c>
      <c r="G301" t="s">
        <v>3994</v>
      </c>
    </row>
    <row r="302" spans="1:7" x14ac:dyDescent="0.25">
      <c r="A302" t="s">
        <v>847</v>
      </c>
      <c r="B302" t="s">
        <v>726</v>
      </c>
      <c r="C302">
        <v>1996</v>
      </c>
      <c r="E302" s="10" t="s">
        <v>8358</v>
      </c>
      <c r="F302" t="s">
        <v>8653</v>
      </c>
      <c r="G302" t="s">
        <v>3994</v>
      </c>
    </row>
    <row r="303" spans="1:7" x14ac:dyDescent="0.25">
      <c r="A303" t="s">
        <v>1294</v>
      </c>
      <c r="B303" t="s">
        <v>726</v>
      </c>
      <c r="C303">
        <v>2019</v>
      </c>
      <c r="E303" s="10" t="s">
        <v>8358</v>
      </c>
      <c r="F303" t="s">
        <v>8798</v>
      </c>
      <c r="G303" t="s">
        <v>3994</v>
      </c>
    </row>
    <row r="304" spans="1:7" x14ac:dyDescent="0.25">
      <c r="A304" t="s">
        <v>353</v>
      </c>
      <c r="B304" t="s">
        <v>730</v>
      </c>
      <c r="C304">
        <v>2023</v>
      </c>
      <c r="E304" t="s">
        <v>3025</v>
      </c>
      <c r="F304" t="s">
        <v>9571</v>
      </c>
      <c r="G304" t="s">
        <v>187</v>
      </c>
    </row>
    <row r="305" spans="1:7" x14ac:dyDescent="0.25">
      <c r="A305" t="s">
        <v>1435</v>
      </c>
      <c r="B305" t="s">
        <v>730</v>
      </c>
      <c r="C305">
        <v>2021</v>
      </c>
      <c r="E305" t="s">
        <v>3025</v>
      </c>
      <c r="F305" t="s">
        <v>9572</v>
      </c>
      <c r="G305" t="s">
        <v>187</v>
      </c>
    </row>
    <row r="306" spans="1:7" x14ac:dyDescent="0.25">
      <c r="A306" t="s">
        <v>1851</v>
      </c>
      <c r="B306" t="s">
        <v>730</v>
      </c>
      <c r="C306">
        <v>2024</v>
      </c>
      <c r="E306" t="s">
        <v>3025</v>
      </c>
      <c r="F306" t="s">
        <v>9573</v>
      </c>
      <c r="G306" t="s">
        <v>187</v>
      </c>
    </row>
    <row r="307" spans="1:7" x14ac:dyDescent="0.25">
      <c r="A307" t="s">
        <v>90</v>
      </c>
      <c r="B307" t="s">
        <v>730</v>
      </c>
      <c r="C307">
        <v>2017</v>
      </c>
      <c r="E307" t="s">
        <v>3025</v>
      </c>
      <c r="F307" t="s">
        <v>9574</v>
      </c>
      <c r="G307" t="s">
        <v>187</v>
      </c>
    </row>
    <row r="308" spans="1:7" x14ac:dyDescent="0.25">
      <c r="A308" t="s">
        <v>2506</v>
      </c>
      <c r="B308" t="s">
        <v>730</v>
      </c>
      <c r="C308">
        <v>2021</v>
      </c>
      <c r="E308" t="s">
        <v>3025</v>
      </c>
      <c r="F308" t="s">
        <v>9575</v>
      </c>
      <c r="G308" t="s">
        <v>187</v>
      </c>
    </row>
    <row r="309" spans="1:7" x14ac:dyDescent="0.25">
      <c r="A309" t="s">
        <v>746</v>
      </c>
      <c r="B309" t="s">
        <v>737</v>
      </c>
      <c r="C309">
        <v>2015</v>
      </c>
      <c r="E309" t="s">
        <v>3097</v>
      </c>
      <c r="F309" t="s">
        <v>9576</v>
      </c>
      <c r="G309" t="s">
        <v>187</v>
      </c>
    </row>
    <row r="310" spans="1:7" x14ac:dyDescent="0.25">
      <c r="A310" t="s">
        <v>847</v>
      </c>
      <c r="B310" t="s">
        <v>741</v>
      </c>
      <c r="C310">
        <v>1996</v>
      </c>
      <c r="E310" t="s">
        <v>3132</v>
      </c>
      <c r="F310" t="s">
        <v>8654</v>
      </c>
      <c r="G310" t="s">
        <v>3994</v>
      </c>
    </row>
    <row r="311" spans="1:7" x14ac:dyDescent="0.25">
      <c r="A311" t="s">
        <v>2095</v>
      </c>
      <c r="B311" t="s">
        <v>741</v>
      </c>
      <c r="C311">
        <v>2023</v>
      </c>
      <c r="E311" t="s">
        <v>3308</v>
      </c>
      <c r="F311" t="s">
        <v>9577</v>
      </c>
      <c r="G311" t="s">
        <v>3994</v>
      </c>
    </row>
    <row r="312" spans="1:7" x14ac:dyDescent="0.25">
      <c r="A312" t="s">
        <v>2136</v>
      </c>
      <c r="B312" t="s">
        <v>741</v>
      </c>
      <c r="C312">
        <v>2020</v>
      </c>
      <c r="E312" t="s">
        <v>3132</v>
      </c>
      <c r="F312" t="s">
        <v>9012</v>
      </c>
      <c r="G312" t="s">
        <v>3994</v>
      </c>
    </row>
    <row r="313" spans="1:7" x14ac:dyDescent="0.25">
      <c r="A313" t="s">
        <v>2804</v>
      </c>
      <c r="B313" t="s">
        <v>741</v>
      </c>
      <c r="C313">
        <v>2021</v>
      </c>
      <c r="E313" t="s">
        <v>3424</v>
      </c>
      <c r="F313" t="s">
        <v>9333</v>
      </c>
      <c r="G313" t="s">
        <v>3994</v>
      </c>
    </row>
    <row r="314" spans="1:7" x14ac:dyDescent="0.25">
      <c r="A314" t="s">
        <v>1272</v>
      </c>
      <c r="B314" t="s">
        <v>744</v>
      </c>
      <c r="C314">
        <v>2020</v>
      </c>
      <c r="E314" t="s">
        <v>3217</v>
      </c>
      <c r="F314" t="s">
        <v>9430</v>
      </c>
      <c r="G314" t="s">
        <v>3994</v>
      </c>
    </row>
    <row r="315" spans="1:7" x14ac:dyDescent="0.25">
      <c r="A315" t="s">
        <v>1294</v>
      </c>
      <c r="B315" t="s">
        <v>744</v>
      </c>
      <c r="C315">
        <v>2019</v>
      </c>
      <c r="E315" t="s">
        <v>3217</v>
      </c>
      <c r="F315" t="s">
        <v>9431</v>
      </c>
      <c r="G315" t="s">
        <v>3994</v>
      </c>
    </row>
    <row r="316" spans="1:7" x14ac:dyDescent="0.25">
      <c r="A316" t="s">
        <v>746</v>
      </c>
      <c r="B316" t="s">
        <v>750</v>
      </c>
      <c r="C316">
        <v>2015</v>
      </c>
      <c r="D316" t="s">
        <v>187</v>
      </c>
      <c r="F316" t="s">
        <v>9578</v>
      </c>
      <c r="G316" t="s">
        <v>3994</v>
      </c>
    </row>
    <row r="317" spans="1:7" x14ac:dyDescent="0.25">
      <c r="A317" t="s">
        <v>2721</v>
      </c>
      <c r="B317" t="s">
        <v>754</v>
      </c>
      <c r="C317">
        <v>1993</v>
      </c>
      <c r="E317" t="s">
        <v>3419</v>
      </c>
      <c r="F317" t="s">
        <v>9321</v>
      </c>
      <c r="G317" t="s">
        <v>3994</v>
      </c>
    </row>
    <row r="318" spans="1:7" x14ac:dyDescent="0.25">
      <c r="A318" t="s">
        <v>2132</v>
      </c>
      <c r="B318" t="s">
        <v>759</v>
      </c>
      <c r="C318">
        <v>2013</v>
      </c>
      <c r="E318" t="s">
        <v>3310</v>
      </c>
      <c r="F318" t="s">
        <v>9006</v>
      </c>
      <c r="G318" t="s">
        <v>3994</v>
      </c>
    </row>
    <row r="319" spans="1:7" x14ac:dyDescent="0.25">
      <c r="A319" t="s">
        <v>2173</v>
      </c>
      <c r="B319" t="s">
        <v>759</v>
      </c>
      <c r="C319">
        <v>2013</v>
      </c>
      <c r="E319" t="s">
        <v>3330</v>
      </c>
      <c r="F319" t="s">
        <v>9579</v>
      </c>
      <c r="G319" t="s">
        <v>187</v>
      </c>
    </row>
    <row r="320" spans="1:7" x14ac:dyDescent="0.25">
      <c r="A320" t="s">
        <v>160</v>
      </c>
      <c r="B320" t="s">
        <v>759</v>
      </c>
      <c r="C320">
        <v>2011</v>
      </c>
      <c r="E320" t="s">
        <v>3310</v>
      </c>
      <c r="F320" t="s">
        <v>9269</v>
      </c>
      <c r="G320" t="s">
        <v>3994</v>
      </c>
    </row>
    <row r="321" spans="1:7" x14ac:dyDescent="0.25">
      <c r="A321" t="s">
        <v>1855</v>
      </c>
      <c r="B321" t="s">
        <v>763</v>
      </c>
      <c r="C321">
        <v>2015</v>
      </c>
      <c r="E321" t="s">
        <v>3296</v>
      </c>
      <c r="F321" t="s">
        <v>8968</v>
      </c>
      <c r="G321" t="s">
        <v>3994</v>
      </c>
    </row>
    <row r="322" spans="1:7" x14ac:dyDescent="0.25">
      <c r="A322" t="s">
        <v>160</v>
      </c>
      <c r="B322" t="s">
        <v>763</v>
      </c>
      <c r="C322">
        <v>2011</v>
      </c>
      <c r="E322" t="s">
        <v>3403</v>
      </c>
      <c r="F322" t="s">
        <v>9270</v>
      </c>
      <c r="G322" t="s">
        <v>3994</v>
      </c>
    </row>
    <row r="323" spans="1:7" x14ac:dyDescent="0.25">
      <c r="A323" t="s">
        <v>353</v>
      </c>
      <c r="B323" t="s">
        <v>767</v>
      </c>
      <c r="C323">
        <v>2023</v>
      </c>
      <c r="E323" t="s">
        <v>3026</v>
      </c>
      <c r="F323" t="s">
        <v>8507</v>
      </c>
      <c r="G323" t="s">
        <v>3994</v>
      </c>
    </row>
    <row r="324" spans="1:7" x14ac:dyDescent="0.25">
      <c r="A324" t="s">
        <v>1443</v>
      </c>
      <c r="B324" t="s">
        <v>771</v>
      </c>
      <c r="C324">
        <v>2018</v>
      </c>
      <c r="E324" t="s">
        <v>3246</v>
      </c>
      <c r="F324" t="s">
        <v>8855</v>
      </c>
      <c r="G324" t="s">
        <v>3994</v>
      </c>
    </row>
    <row r="325" spans="1:7" x14ac:dyDescent="0.25">
      <c r="A325" t="s">
        <v>2146</v>
      </c>
      <c r="B325" t="s">
        <v>774</v>
      </c>
      <c r="C325">
        <v>2020</v>
      </c>
      <c r="E325" s="10" t="s">
        <v>8382</v>
      </c>
      <c r="F325" t="s">
        <v>9025</v>
      </c>
      <c r="G325" t="s">
        <v>3994</v>
      </c>
    </row>
    <row r="326" spans="1:7" x14ac:dyDescent="0.25">
      <c r="A326" t="s">
        <v>847</v>
      </c>
      <c r="B326" t="s">
        <v>778</v>
      </c>
      <c r="C326">
        <v>1996</v>
      </c>
      <c r="E326" t="s">
        <v>3133</v>
      </c>
      <c r="F326" t="s">
        <v>9580</v>
      </c>
      <c r="G326" t="s">
        <v>187</v>
      </c>
    </row>
    <row r="327" spans="1:7" x14ac:dyDescent="0.25">
      <c r="A327" t="s">
        <v>1294</v>
      </c>
      <c r="B327" t="s">
        <v>778</v>
      </c>
      <c r="C327">
        <v>2019</v>
      </c>
      <c r="E327" t="s">
        <v>3224</v>
      </c>
      <c r="F327" t="s">
        <v>8799</v>
      </c>
      <c r="G327" t="s">
        <v>3994</v>
      </c>
    </row>
    <row r="328" spans="1:7" x14ac:dyDescent="0.25">
      <c r="A328" t="s">
        <v>2804</v>
      </c>
      <c r="B328" t="s">
        <v>778</v>
      </c>
      <c r="C328">
        <v>2021</v>
      </c>
      <c r="E328" t="s">
        <v>3133</v>
      </c>
      <c r="F328" t="s">
        <v>9581</v>
      </c>
      <c r="G328" t="s">
        <v>187</v>
      </c>
    </row>
    <row r="329" spans="1:7" x14ac:dyDescent="0.25">
      <c r="A329" t="s">
        <v>1855</v>
      </c>
      <c r="B329" t="s">
        <v>782</v>
      </c>
      <c r="C329">
        <v>2015</v>
      </c>
      <c r="E329" s="10" t="s">
        <v>8347</v>
      </c>
      <c r="F329" t="s">
        <v>9582</v>
      </c>
      <c r="G329" t="s">
        <v>3994</v>
      </c>
    </row>
    <row r="330" spans="1:7" x14ac:dyDescent="0.25">
      <c r="A330" t="s">
        <v>813</v>
      </c>
      <c r="B330" t="s">
        <v>786</v>
      </c>
      <c r="C330">
        <v>2018</v>
      </c>
      <c r="E330" t="s">
        <v>2982</v>
      </c>
      <c r="F330" t="s">
        <v>8645</v>
      </c>
      <c r="G330" t="s">
        <v>3994</v>
      </c>
    </row>
    <row r="331" spans="1:7" x14ac:dyDescent="0.25">
      <c r="A331" t="s">
        <v>1144</v>
      </c>
      <c r="B331" t="s">
        <v>786</v>
      </c>
      <c r="C331">
        <v>2012</v>
      </c>
      <c r="E331" t="s">
        <v>2982</v>
      </c>
      <c r="F331" t="s">
        <v>8751</v>
      </c>
      <c r="G331" t="s">
        <v>3994</v>
      </c>
    </row>
    <row r="332" spans="1:7" x14ac:dyDescent="0.25">
      <c r="A332" t="s">
        <v>1443</v>
      </c>
      <c r="B332" t="s">
        <v>786</v>
      </c>
      <c r="C332">
        <v>2018</v>
      </c>
      <c r="E332" t="s">
        <v>2982</v>
      </c>
      <c r="F332" t="s">
        <v>8856</v>
      </c>
      <c r="G332" t="s">
        <v>3994</v>
      </c>
    </row>
    <row r="333" spans="1:7" x14ac:dyDescent="0.25">
      <c r="A333" t="s">
        <v>1144</v>
      </c>
      <c r="B333" t="s">
        <v>791</v>
      </c>
      <c r="C333">
        <v>2012</v>
      </c>
      <c r="E333" t="s">
        <v>3199</v>
      </c>
      <c r="F333" t="s">
        <v>8752</v>
      </c>
      <c r="G333" t="s">
        <v>3994</v>
      </c>
    </row>
    <row r="334" spans="1:7" x14ac:dyDescent="0.25">
      <c r="A334" t="s">
        <v>746</v>
      </c>
      <c r="B334" t="s">
        <v>795</v>
      </c>
      <c r="C334">
        <v>2015</v>
      </c>
      <c r="E334" t="s">
        <v>3098</v>
      </c>
      <c r="F334" t="s">
        <v>8598</v>
      </c>
      <c r="G334" t="s">
        <v>3994</v>
      </c>
    </row>
    <row r="335" spans="1:7" x14ac:dyDescent="0.25">
      <c r="A335" t="s">
        <v>1265</v>
      </c>
      <c r="B335" t="s">
        <v>795</v>
      </c>
      <c r="C335">
        <v>2015</v>
      </c>
      <c r="E335" t="s">
        <v>3098</v>
      </c>
      <c r="F335" t="s">
        <v>8778</v>
      </c>
      <c r="G335" t="s">
        <v>3994</v>
      </c>
    </row>
    <row r="336" spans="1:7" x14ac:dyDescent="0.25">
      <c r="A336" t="s">
        <v>1686</v>
      </c>
      <c r="B336" t="s">
        <v>795</v>
      </c>
      <c r="C336">
        <v>2017</v>
      </c>
      <c r="E336" t="s">
        <v>3098</v>
      </c>
      <c r="F336" t="s">
        <v>8905</v>
      </c>
      <c r="G336" t="s">
        <v>3994</v>
      </c>
    </row>
    <row r="337" spans="1:7" x14ac:dyDescent="0.25">
      <c r="A337" t="s">
        <v>90</v>
      </c>
      <c r="B337" t="s">
        <v>795</v>
      </c>
      <c r="C337">
        <v>2017</v>
      </c>
      <c r="E337" t="s">
        <v>3098</v>
      </c>
      <c r="F337" t="s">
        <v>9102</v>
      </c>
      <c r="G337" t="s">
        <v>3994</v>
      </c>
    </row>
    <row r="338" spans="1:7" x14ac:dyDescent="0.25">
      <c r="A338" t="s">
        <v>90</v>
      </c>
      <c r="B338" t="s">
        <v>799</v>
      </c>
      <c r="C338">
        <v>2017</v>
      </c>
      <c r="E338" t="s">
        <v>3352</v>
      </c>
      <c r="F338" t="s">
        <v>9583</v>
      </c>
      <c r="G338" t="s">
        <v>187</v>
      </c>
    </row>
    <row r="339" spans="1:7" x14ac:dyDescent="0.25">
      <c r="A339" t="s">
        <v>90</v>
      </c>
      <c r="B339" t="s">
        <v>803</v>
      </c>
      <c r="C339">
        <v>2017</v>
      </c>
      <c r="E339" t="s">
        <v>2982</v>
      </c>
      <c r="F339" t="s">
        <v>9103</v>
      </c>
      <c r="G339" t="s">
        <v>3994</v>
      </c>
    </row>
    <row r="340" spans="1:7" x14ac:dyDescent="0.25">
      <c r="A340" t="s">
        <v>2890</v>
      </c>
      <c r="B340" t="s">
        <v>803</v>
      </c>
      <c r="C340">
        <v>2023</v>
      </c>
      <c r="E340" t="s">
        <v>2982</v>
      </c>
      <c r="F340" t="s">
        <v>9368</v>
      </c>
      <c r="G340" t="s">
        <v>3994</v>
      </c>
    </row>
    <row r="341" spans="1:7" x14ac:dyDescent="0.25">
      <c r="A341" t="s">
        <v>1795</v>
      </c>
      <c r="B341" t="s">
        <v>807</v>
      </c>
      <c r="C341">
        <v>1987</v>
      </c>
      <c r="E341" t="s">
        <v>3275</v>
      </c>
      <c r="F341" t="s">
        <v>9432</v>
      </c>
      <c r="G341" t="s">
        <v>3994</v>
      </c>
    </row>
    <row r="342" spans="1:7" x14ac:dyDescent="0.25">
      <c r="A342" t="s">
        <v>1272</v>
      </c>
      <c r="B342" t="s">
        <v>7947</v>
      </c>
      <c r="C342">
        <v>2020</v>
      </c>
      <c r="E342" s="10" t="s">
        <v>7950</v>
      </c>
      <c r="F342" t="s">
        <v>8781</v>
      </c>
      <c r="G342" t="s">
        <v>3994</v>
      </c>
    </row>
    <row r="343" spans="1:7" x14ac:dyDescent="0.25">
      <c r="A343" t="s">
        <v>2136</v>
      </c>
      <c r="B343" t="s">
        <v>7947</v>
      </c>
      <c r="C343">
        <v>2020</v>
      </c>
      <c r="E343" s="10" t="s">
        <v>7950</v>
      </c>
      <c r="F343" t="s">
        <v>9013</v>
      </c>
      <c r="G343" t="s">
        <v>3994</v>
      </c>
    </row>
    <row r="344" spans="1:7" x14ac:dyDescent="0.25">
      <c r="A344" t="s">
        <v>2146</v>
      </c>
      <c r="B344" t="s">
        <v>7947</v>
      </c>
      <c r="C344">
        <v>2020</v>
      </c>
      <c r="E344" s="10" t="s">
        <v>7950</v>
      </c>
      <c r="F344" t="s">
        <v>9026</v>
      </c>
      <c r="G344" t="s">
        <v>3994</v>
      </c>
    </row>
    <row r="345" spans="1:7" x14ac:dyDescent="0.25">
      <c r="A345" t="s">
        <v>2901</v>
      </c>
      <c r="B345" t="s">
        <v>7947</v>
      </c>
      <c r="C345">
        <v>2023</v>
      </c>
      <c r="E345" s="10" t="s">
        <v>7950</v>
      </c>
      <c r="F345" t="s">
        <v>9369</v>
      </c>
      <c r="G345" t="s">
        <v>3994</v>
      </c>
    </row>
    <row r="346" spans="1:7" x14ac:dyDescent="0.25">
      <c r="A346" t="s">
        <v>2804</v>
      </c>
      <c r="B346" t="s">
        <v>811</v>
      </c>
      <c r="C346">
        <v>2021</v>
      </c>
      <c r="E346" t="s">
        <v>3013</v>
      </c>
      <c r="F346" t="s">
        <v>9584</v>
      </c>
      <c r="G346" t="s">
        <v>187</v>
      </c>
    </row>
    <row r="347" spans="1:7" x14ac:dyDescent="0.25">
      <c r="A347" t="s">
        <v>746</v>
      </c>
      <c r="B347" t="s">
        <v>813</v>
      </c>
      <c r="C347">
        <v>2015</v>
      </c>
      <c r="E347" t="s">
        <v>3099</v>
      </c>
      <c r="F347" t="s">
        <v>8599</v>
      </c>
      <c r="G347" t="s">
        <v>3994</v>
      </c>
    </row>
    <row r="348" spans="1:7" x14ac:dyDescent="0.25">
      <c r="A348" t="s">
        <v>1144</v>
      </c>
      <c r="B348" t="s">
        <v>813</v>
      </c>
      <c r="C348">
        <v>2012</v>
      </c>
      <c r="E348" t="s">
        <v>3099</v>
      </c>
      <c r="F348" t="s">
        <v>8753</v>
      </c>
      <c r="G348" t="s">
        <v>3994</v>
      </c>
    </row>
    <row r="349" spans="1:7" x14ac:dyDescent="0.25">
      <c r="A349" t="s">
        <v>90</v>
      </c>
      <c r="B349" t="s">
        <v>815</v>
      </c>
      <c r="C349">
        <v>2017</v>
      </c>
      <c r="E349" t="s">
        <v>3353</v>
      </c>
      <c r="F349" t="s">
        <v>9104</v>
      </c>
      <c r="G349" t="s">
        <v>3994</v>
      </c>
    </row>
    <row r="350" spans="1:7" x14ac:dyDescent="0.25">
      <c r="A350" t="s">
        <v>847</v>
      </c>
      <c r="B350" t="s">
        <v>819</v>
      </c>
      <c r="C350">
        <v>1996</v>
      </c>
      <c r="E350" s="10" t="s">
        <v>7919</v>
      </c>
      <c r="F350" t="s">
        <v>9585</v>
      </c>
      <c r="G350" t="s">
        <v>187</v>
      </c>
    </row>
    <row r="351" spans="1:7" x14ac:dyDescent="0.25">
      <c r="A351" t="s">
        <v>1795</v>
      </c>
      <c r="B351" t="s">
        <v>819</v>
      </c>
      <c r="C351">
        <v>1987</v>
      </c>
      <c r="E351" s="10" t="s">
        <v>7919</v>
      </c>
      <c r="F351" t="s">
        <v>9586</v>
      </c>
      <c r="G351" t="s">
        <v>187</v>
      </c>
    </row>
    <row r="352" spans="1:7" x14ac:dyDescent="0.25">
      <c r="A352" t="s">
        <v>2154</v>
      </c>
      <c r="B352" t="s">
        <v>819</v>
      </c>
      <c r="C352">
        <v>1980</v>
      </c>
      <c r="E352" s="10" t="s">
        <v>7919</v>
      </c>
      <c r="F352" t="s">
        <v>9587</v>
      </c>
      <c r="G352" t="s">
        <v>187</v>
      </c>
    </row>
    <row r="353" spans="1:7" x14ac:dyDescent="0.25">
      <c r="A353" t="s">
        <v>689</v>
      </c>
      <c r="B353" t="s">
        <v>821</v>
      </c>
      <c r="C353">
        <v>2015</v>
      </c>
      <c r="E353" t="s">
        <v>3086</v>
      </c>
      <c r="F353" t="s">
        <v>8581</v>
      </c>
      <c r="G353" t="s">
        <v>3994</v>
      </c>
    </row>
    <row r="354" spans="1:7" x14ac:dyDescent="0.25">
      <c r="A354" t="s">
        <v>1294</v>
      </c>
      <c r="B354" t="s">
        <v>821</v>
      </c>
      <c r="C354">
        <v>2019</v>
      </c>
      <c r="E354" t="s">
        <v>3086</v>
      </c>
      <c r="F354" t="s">
        <v>8800</v>
      </c>
      <c r="G354" t="s">
        <v>3994</v>
      </c>
    </row>
    <row r="355" spans="1:7" x14ac:dyDescent="0.25">
      <c r="A355" t="s">
        <v>90</v>
      </c>
      <c r="B355" t="s">
        <v>828</v>
      </c>
      <c r="C355">
        <v>2017</v>
      </c>
      <c r="E355" t="s">
        <v>2982</v>
      </c>
      <c r="F355" t="s">
        <v>9105</v>
      </c>
      <c r="G355" t="s">
        <v>3994</v>
      </c>
    </row>
    <row r="356" spans="1:7" x14ac:dyDescent="0.25">
      <c r="A356" t="s">
        <v>847</v>
      </c>
      <c r="B356" t="s">
        <v>832</v>
      </c>
      <c r="C356">
        <v>1996</v>
      </c>
      <c r="E356" s="10" t="s">
        <v>8444</v>
      </c>
      <c r="F356" t="s">
        <v>8445</v>
      </c>
      <c r="G356" t="s">
        <v>3994</v>
      </c>
    </row>
    <row r="357" spans="1:7" x14ac:dyDescent="0.25">
      <c r="A357" t="s">
        <v>964</v>
      </c>
      <c r="B357" t="s">
        <v>836</v>
      </c>
      <c r="C357">
        <v>2006</v>
      </c>
      <c r="E357" t="s">
        <v>3165</v>
      </c>
      <c r="F357" t="s">
        <v>8700</v>
      </c>
      <c r="G357" t="s">
        <v>3994</v>
      </c>
    </row>
    <row r="358" spans="1:7" x14ac:dyDescent="0.25">
      <c r="A358" t="s">
        <v>2804</v>
      </c>
      <c r="B358" t="s">
        <v>838</v>
      </c>
      <c r="C358">
        <v>2021</v>
      </c>
      <c r="E358" t="s">
        <v>3425</v>
      </c>
      <c r="F358" t="s">
        <v>9588</v>
      </c>
      <c r="G358" t="s">
        <v>187</v>
      </c>
    </row>
    <row r="359" spans="1:7" x14ac:dyDescent="0.25">
      <c r="A359" t="s">
        <v>8390</v>
      </c>
      <c r="B359" t="s">
        <v>8389</v>
      </c>
      <c r="C359">
        <v>2018</v>
      </c>
      <c r="D359" t="s">
        <v>187</v>
      </c>
      <c r="F359" t="s">
        <v>9589</v>
      </c>
      <c r="G359" t="s">
        <v>3994</v>
      </c>
    </row>
    <row r="360" spans="1:7" x14ac:dyDescent="0.25">
      <c r="A360" t="s">
        <v>924</v>
      </c>
      <c r="B360" t="s">
        <v>8389</v>
      </c>
      <c r="C360">
        <v>2019</v>
      </c>
      <c r="E360" s="10" t="s">
        <v>8388</v>
      </c>
      <c r="F360" t="s">
        <v>9590</v>
      </c>
      <c r="G360" t="s">
        <v>187</v>
      </c>
    </row>
    <row r="361" spans="1:7" x14ac:dyDescent="0.25">
      <c r="A361" t="s">
        <v>1272</v>
      </c>
      <c r="B361" t="s">
        <v>10067</v>
      </c>
      <c r="C361">
        <v>2020</v>
      </c>
      <c r="E361" s="10" t="s">
        <v>10069</v>
      </c>
      <c r="F361" t="s">
        <v>10070</v>
      </c>
      <c r="G361" t="s">
        <v>3994</v>
      </c>
    </row>
    <row r="362" spans="1:7" x14ac:dyDescent="0.25">
      <c r="A362" t="s">
        <v>759</v>
      </c>
      <c r="B362" t="s">
        <v>845</v>
      </c>
      <c r="C362">
        <v>2018</v>
      </c>
      <c r="E362" t="s">
        <v>3115</v>
      </c>
      <c r="F362" t="s">
        <v>8621</v>
      </c>
      <c r="G362" t="s">
        <v>3994</v>
      </c>
    </row>
    <row r="363" spans="1:7" x14ac:dyDescent="0.25">
      <c r="A363" t="s">
        <v>160</v>
      </c>
      <c r="B363" t="s">
        <v>845</v>
      </c>
      <c r="C363">
        <v>2011</v>
      </c>
      <c r="E363" t="s">
        <v>3115</v>
      </c>
      <c r="F363" t="s">
        <v>9271</v>
      </c>
      <c r="G363" t="s">
        <v>3994</v>
      </c>
    </row>
    <row r="364" spans="1:7" x14ac:dyDescent="0.25">
      <c r="A364" t="s">
        <v>379</v>
      </c>
      <c r="B364" t="s">
        <v>9990</v>
      </c>
      <c r="C364">
        <v>1998</v>
      </c>
      <c r="E364" s="10" t="s">
        <v>9994</v>
      </c>
      <c r="F364" t="s">
        <v>9995</v>
      </c>
      <c r="G364" t="s">
        <v>3994</v>
      </c>
    </row>
    <row r="365" spans="1:7" x14ac:dyDescent="0.25">
      <c r="A365" t="s">
        <v>260</v>
      </c>
      <c r="B365" t="s">
        <v>847</v>
      </c>
      <c r="C365">
        <v>1990</v>
      </c>
      <c r="E365" t="s">
        <v>3002</v>
      </c>
      <c r="F365" t="s">
        <v>8473</v>
      </c>
      <c r="G365" t="s">
        <v>3994</v>
      </c>
    </row>
    <row r="366" spans="1:7" x14ac:dyDescent="0.25">
      <c r="A366" t="s">
        <v>1725</v>
      </c>
      <c r="B366" t="s">
        <v>847</v>
      </c>
      <c r="C366">
        <v>1983</v>
      </c>
      <c r="E366" t="s">
        <v>3002</v>
      </c>
      <c r="F366" t="s">
        <v>8919</v>
      </c>
      <c r="G366" t="s">
        <v>3994</v>
      </c>
    </row>
    <row r="367" spans="1:7" x14ac:dyDescent="0.25">
      <c r="A367" t="s">
        <v>1795</v>
      </c>
      <c r="B367" t="s">
        <v>847</v>
      </c>
      <c r="C367">
        <v>1987</v>
      </c>
      <c r="E367" t="s">
        <v>3002</v>
      </c>
      <c r="F367" t="s">
        <v>8931</v>
      </c>
      <c r="G367" t="s">
        <v>3994</v>
      </c>
    </row>
    <row r="368" spans="1:7" x14ac:dyDescent="0.25">
      <c r="A368" t="s">
        <v>873</v>
      </c>
      <c r="B368" t="s">
        <v>850</v>
      </c>
      <c r="C368">
        <v>2019</v>
      </c>
      <c r="E368" t="s">
        <v>3139</v>
      </c>
      <c r="F368" t="s">
        <v>8669</v>
      </c>
      <c r="G368" t="s">
        <v>3994</v>
      </c>
    </row>
    <row r="369" spans="1:7" x14ac:dyDescent="0.25">
      <c r="A369" t="s">
        <v>1129</v>
      </c>
      <c r="B369" t="s">
        <v>850</v>
      </c>
      <c r="C369">
        <v>2022</v>
      </c>
      <c r="E369" t="s">
        <v>2982</v>
      </c>
      <c r="F369" t="s">
        <v>8745</v>
      </c>
      <c r="G369" t="s">
        <v>3994</v>
      </c>
    </row>
    <row r="370" spans="1:7" x14ac:dyDescent="0.25">
      <c r="A370" t="s">
        <v>90</v>
      </c>
      <c r="B370" t="s">
        <v>850</v>
      </c>
      <c r="C370">
        <v>2017</v>
      </c>
      <c r="E370" t="s">
        <v>3354</v>
      </c>
      <c r="F370" t="s">
        <v>9106</v>
      </c>
      <c r="G370" t="s">
        <v>3994</v>
      </c>
    </row>
    <row r="371" spans="1:7" x14ac:dyDescent="0.25">
      <c r="A371" t="s">
        <v>353</v>
      </c>
      <c r="B371" t="s">
        <v>854</v>
      </c>
      <c r="C371">
        <v>2023</v>
      </c>
      <c r="E371" t="s">
        <v>3013</v>
      </c>
      <c r="F371" t="s">
        <v>9591</v>
      </c>
      <c r="G371" t="s">
        <v>3994</v>
      </c>
    </row>
    <row r="372" spans="1:7" x14ac:dyDescent="0.25">
      <c r="A372" t="s">
        <v>1435</v>
      </c>
      <c r="B372" t="s">
        <v>9919</v>
      </c>
      <c r="C372">
        <v>2021</v>
      </c>
      <c r="E372" s="10" t="s">
        <v>9918</v>
      </c>
      <c r="F372" t="s">
        <v>9917</v>
      </c>
      <c r="G372" t="s">
        <v>3994</v>
      </c>
    </row>
    <row r="373" spans="1:7" x14ac:dyDescent="0.25">
      <c r="A373" t="s">
        <v>160</v>
      </c>
      <c r="B373" t="s">
        <v>854</v>
      </c>
      <c r="C373">
        <v>2011</v>
      </c>
      <c r="E373" t="s">
        <v>3404</v>
      </c>
      <c r="F373" t="s">
        <v>9272</v>
      </c>
      <c r="G373" t="s">
        <v>3994</v>
      </c>
    </row>
    <row r="374" spans="1:7" x14ac:dyDescent="0.25">
      <c r="A374" t="s">
        <v>90</v>
      </c>
      <c r="B374" t="s">
        <v>856</v>
      </c>
      <c r="C374">
        <v>2017</v>
      </c>
      <c r="E374" t="s">
        <v>3355</v>
      </c>
      <c r="F374" t="s">
        <v>9107</v>
      </c>
      <c r="G374" t="s">
        <v>3994</v>
      </c>
    </row>
    <row r="375" spans="1:7" x14ac:dyDescent="0.25">
      <c r="A375" t="s">
        <v>353</v>
      </c>
      <c r="B375" t="s">
        <v>863</v>
      </c>
      <c r="C375">
        <v>2023</v>
      </c>
      <c r="E375" t="s">
        <v>3027</v>
      </c>
      <c r="F375" t="s">
        <v>8508</v>
      </c>
      <c r="G375" t="s">
        <v>3994</v>
      </c>
    </row>
    <row r="376" spans="1:7" x14ac:dyDescent="0.25">
      <c r="A376" t="s">
        <v>873</v>
      </c>
      <c r="B376" t="s">
        <v>863</v>
      </c>
      <c r="C376">
        <v>2019</v>
      </c>
      <c r="E376" t="s">
        <v>3027</v>
      </c>
      <c r="F376" t="s">
        <v>8670</v>
      </c>
      <c r="G376" t="s">
        <v>3994</v>
      </c>
    </row>
    <row r="377" spans="1:7" x14ac:dyDescent="0.25">
      <c r="A377" t="s">
        <v>1435</v>
      </c>
      <c r="B377" t="s">
        <v>863</v>
      </c>
      <c r="C377">
        <v>2021</v>
      </c>
      <c r="E377" t="s">
        <v>3027</v>
      </c>
      <c r="F377" t="s">
        <v>8841</v>
      </c>
      <c r="G377" t="s">
        <v>3994</v>
      </c>
    </row>
    <row r="378" spans="1:7" x14ac:dyDescent="0.25">
      <c r="A378" t="s">
        <v>1690</v>
      </c>
      <c r="B378" t="s">
        <v>863</v>
      </c>
      <c r="C378">
        <v>2020</v>
      </c>
      <c r="E378" t="s">
        <v>3027</v>
      </c>
      <c r="F378" t="s">
        <v>8908</v>
      </c>
      <c r="G378" t="s">
        <v>3994</v>
      </c>
    </row>
    <row r="379" spans="1:7" x14ac:dyDescent="0.25">
      <c r="A379" t="s">
        <v>90</v>
      </c>
      <c r="B379" t="s">
        <v>863</v>
      </c>
      <c r="C379">
        <v>2017</v>
      </c>
      <c r="E379" t="s">
        <v>3027</v>
      </c>
      <c r="F379" t="s">
        <v>9108</v>
      </c>
      <c r="G379" t="s">
        <v>3994</v>
      </c>
    </row>
    <row r="380" spans="1:7" x14ac:dyDescent="0.25">
      <c r="A380" t="s">
        <v>1144</v>
      </c>
      <c r="B380" t="s">
        <v>865</v>
      </c>
      <c r="C380">
        <v>2012</v>
      </c>
      <c r="E380" t="s">
        <v>3200</v>
      </c>
      <c r="F380" t="s">
        <v>8754</v>
      </c>
      <c r="G380" t="s">
        <v>3994</v>
      </c>
    </row>
    <row r="381" spans="1:7" x14ac:dyDescent="0.25">
      <c r="A381" t="s">
        <v>1443</v>
      </c>
      <c r="B381" t="s">
        <v>865</v>
      </c>
      <c r="C381">
        <v>2018</v>
      </c>
      <c r="E381" t="s">
        <v>3200</v>
      </c>
      <c r="F381" t="s">
        <v>8857</v>
      </c>
      <c r="G381" t="s">
        <v>3994</v>
      </c>
    </row>
    <row r="382" spans="1:7" x14ac:dyDescent="0.25">
      <c r="A382" t="s">
        <v>1690</v>
      </c>
      <c r="B382" t="s">
        <v>865</v>
      </c>
      <c r="C382">
        <v>2020</v>
      </c>
      <c r="E382" t="s">
        <v>3200</v>
      </c>
      <c r="F382" t="s">
        <v>8909</v>
      </c>
      <c r="G382" t="s">
        <v>3994</v>
      </c>
    </row>
    <row r="383" spans="1:7" x14ac:dyDescent="0.25">
      <c r="A383" t="s">
        <v>2196</v>
      </c>
      <c r="B383" t="s">
        <v>865</v>
      </c>
      <c r="C383">
        <v>2021</v>
      </c>
      <c r="E383" t="s">
        <v>3200</v>
      </c>
      <c r="F383" t="s">
        <v>9066</v>
      </c>
      <c r="G383" t="s">
        <v>3994</v>
      </c>
    </row>
    <row r="384" spans="1:7" x14ac:dyDescent="0.25">
      <c r="A384" t="s">
        <v>90</v>
      </c>
      <c r="B384" t="s">
        <v>865</v>
      </c>
      <c r="C384">
        <v>2017</v>
      </c>
      <c r="E384" t="s">
        <v>3200</v>
      </c>
      <c r="F384" t="s">
        <v>9109</v>
      </c>
      <c r="G384" t="s">
        <v>3994</v>
      </c>
    </row>
    <row r="385" spans="1:7" x14ac:dyDescent="0.25">
      <c r="A385" t="s">
        <v>2428</v>
      </c>
      <c r="B385" t="s">
        <v>865</v>
      </c>
      <c r="C385">
        <v>2008</v>
      </c>
      <c r="E385" t="s">
        <v>3200</v>
      </c>
      <c r="F385" t="s">
        <v>9205</v>
      </c>
      <c r="G385" t="s">
        <v>3994</v>
      </c>
    </row>
    <row r="386" spans="1:7" x14ac:dyDescent="0.25">
      <c r="A386" t="s">
        <v>90</v>
      </c>
      <c r="B386" t="s">
        <v>869</v>
      </c>
      <c r="C386">
        <v>2017</v>
      </c>
      <c r="E386" t="s">
        <v>2982</v>
      </c>
      <c r="F386" t="s">
        <v>9110</v>
      </c>
      <c r="G386" t="s">
        <v>3994</v>
      </c>
    </row>
    <row r="387" spans="1:7" x14ac:dyDescent="0.25">
      <c r="A387" t="s">
        <v>364</v>
      </c>
      <c r="B387" t="s">
        <v>8308</v>
      </c>
      <c r="C387">
        <v>2024</v>
      </c>
      <c r="E387" t="s">
        <v>2982</v>
      </c>
      <c r="F387" t="s">
        <v>8538</v>
      </c>
      <c r="G387" t="s">
        <v>3994</v>
      </c>
    </row>
    <row r="388" spans="1:7" x14ac:dyDescent="0.25">
      <c r="A388" t="s">
        <v>1576</v>
      </c>
      <c r="B388" t="s">
        <v>8308</v>
      </c>
      <c r="C388">
        <v>2021</v>
      </c>
      <c r="E388" t="s">
        <v>2982</v>
      </c>
      <c r="F388" t="s">
        <v>8889</v>
      </c>
      <c r="G388" t="s">
        <v>3994</v>
      </c>
    </row>
    <row r="389" spans="1:7" x14ac:dyDescent="0.25">
      <c r="A389" t="s">
        <v>1851</v>
      </c>
      <c r="B389" t="s">
        <v>8308</v>
      </c>
      <c r="C389">
        <v>2024</v>
      </c>
      <c r="E389" t="s">
        <v>2982</v>
      </c>
      <c r="F389" t="s">
        <v>8960</v>
      </c>
      <c r="G389" t="s">
        <v>3994</v>
      </c>
    </row>
    <row r="390" spans="1:7" x14ac:dyDescent="0.25">
      <c r="A390" t="s">
        <v>2471</v>
      </c>
      <c r="B390" t="s">
        <v>8308</v>
      </c>
      <c r="C390">
        <v>2025</v>
      </c>
      <c r="D390" t="s">
        <v>187</v>
      </c>
      <c r="F390" t="s">
        <v>9592</v>
      </c>
      <c r="G390" t="s">
        <v>3994</v>
      </c>
    </row>
    <row r="391" spans="1:7" x14ac:dyDescent="0.25">
      <c r="A391" t="s">
        <v>946</v>
      </c>
      <c r="B391" t="s">
        <v>873</v>
      </c>
      <c r="C391">
        <v>2014</v>
      </c>
      <c r="E391" t="s">
        <v>3161</v>
      </c>
      <c r="F391" t="s">
        <v>8697</v>
      </c>
      <c r="G391" t="s">
        <v>3994</v>
      </c>
    </row>
    <row r="392" spans="1:7" x14ac:dyDescent="0.25">
      <c r="A392" t="s">
        <v>746</v>
      </c>
      <c r="B392" t="s">
        <v>877</v>
      </c>
      <c r="C392">
        <v>2015</v>
      </c>
      <c r="E392" t="s">
        <v>3100</v>
      </c>
      <c r="F392" t="s">
        <v>8600</v>
      </c>
      <c r="G392" t="s">
        <v>3994</v>
      </c>
    </row>
    <row r="393" spans="1:7" x14ac:dyDescent="0.25">
      <c r="A393" t="s">
        <v>873</v>
      </c>
      <c r="B393" t="s">
        <v>877</v>
      </c>
      <c r="C393">
        <v>2019</v>
      </c>
      <c r="E393" t="s">
        <v>3100</v>
      </c>
      <c r="F393" t="s">
        <v>8671</v>
      </c>
      <c r="G393" t="s">
        <v>3994</v>
      </c>
    </row>
    <row r="394" spans="1:7" x14ac:dyDescent="0.25">
      <c r="A394" t="s">
        <v>90</v>
      </c>
      <c r="B394" t="s">
        <v>877</v>
      </c>
      <c r="C394">
        <v>2017</v>
      </c>
      <c r="E394" t="s">
        <v>3100</v>
      </c>
      <c r="F394" t="s">
        <v>9111</v>
      </c>
      <c r="G394" t="s">
        <v>3994</v>
      </c>
    </row>
    <row r="395" spans="1:7" x14ac:dyDescent="0.25">
      <c r="A395" t="s">
        <v>90</v>
      </c>
      <c r="B395" t="s">
        <v>879</v>
      </c>
      <c r="C395">
        <v>2017</v>
      </c>
      <c r="E395" t="s">
        <v>3356</v>
      </c>
      <c r="F395" t="s">
        <v>9112</v>
      </c>
      <c r="G395" t="s">
        <v>3994</v>
      </c>
    </row>
    <row r="396" spans="1:7" x14ac:dyDescent="0.25">
      <c r="A396" t="s">
        <v>90</v>
      </c>
      <c r="B396" t="s">
        <v>887</v>
      </c>
      <c r="C396">
        <v>2017</v>
      </c>
      <c r="E396" t="s">
        <v>2982</v>
      </c>
      <c r="F396" t="s">
        <v>9113</v>
      </c>
      <c r="G396" t="s">
        <v>3994</v>
      </c>
    </row>
    <row r="397" spans="1:7" x14ac:dyDescent="0.25">
      <c r="A397" t="s">
        <v>185</v>
      </c>
      <c r="B397" t="s">
        <v>889</v>
      </c>
      <c r="C397">
        <v>2022</v>
      </c>
      <c r="E397" t="s">
        <v>2982</v>
      </c>
      <c r="F397" t="s">
        <v>8454</v>
      </c>
      <c r="G397" t="s">
        <v>3994</v>
      </c>
    </row>
    <row r="398" spans="1:7" x14ac:dyDescent="0.25">
      <c r="A398" t="s">
        <v>2804</v>
      </c>
      <c r="B398" t="s">
        <v>889</v>
      </c>
      <c r="C398">
        <v>2021</v>
      </c>
      <c r="E398" t="s">
        <v>2982</v>
      </c>
      <c r="F398" t="s">
        <v>9334</v>
      </c>
      <c r="G398" t="s">
        <v>3994</v>
      </c>
    </row>
    <row r="399" spans="1:7" x14ac:dyDescent="0.25">
      <c r="A399" t="s">
        <v>754</v>
      </c>
      <c r="B399" t="s">
        <v>893</v>
      </c>
      <c r="C399">
        <v>2022</v>
      </c>
      <c r="E399" t="s">
        <v>3109</v>
      </c>
      <c r="F399" t="s">
        <v>8614</v>
      </c>
      <c r="G399" t="s">
        <v>3994</v>
      </c>
    </row>
    <row r="400" spans="1:7" x14ac:dyDescent="0.25">
      <c r="A400" t="s">
        <v>1576</v>
      </c>
      <c r="B400" t="s">
        <v>896</v>
      </c>
      <c r="C400">
        <v>2021</v>
      </c>
      <c r="E400" t="s">
        <v>3262</v>
      </c>
      <c r="F400" t="s">
        <v>8890</v>
      </c>
      <c r="G400" t="s">
        <v>3994</v>
      </c>
    </row>
    <row r="401" spans="1:7" x14ac:dyDescent="0.25">
      <c r="A401" t="s">
        <v>873</v>
      </c>
      <c r="B401" t="s">
        <v>898</v>
      </c>
      <c r="C401">
        <v>2019</v>
      </c>
      <c r="E401" t="s">
        <v>3140</v>
      </c>
      <c r="F401" t="s">
        <v>8672</v>
      </c>
      <c r="G401" t="s">
        <v>3994</v>
      </c>
    </row>
    <row r="402" spans="1:7" x14ac:dyDescent="0.25">
      <c r="A402" t="s">
        <v>90</v>
      </c>
      <c r="B402" t="s">
        <v>898</v>
      </c>
      <c r="C402">
        <v>2017</v>
      </c>
      <c r="E402" t="s">
        <v>3140</v>
      </c>
      <c r="F402" t="s">
        <v>9114</v>
      </c>
      <c r="G402" t="s">
        <v>3994</v>
      </c>
    </row>
    <row r="403" spans="1:7" x14ac:dyDescent="0.25">
      <c r="A403" t="s">
        <v>353</v>
      </c>
      <c r="B403" t="s">
        <v>900</v>
      </c>
      <c r="C403">
        <v>2023</v>
      </c>
      <c r="E403" t="s">
        <v>3028</v>
      </c>
      <c r="F403" t="s">
        <v>9433</v>
      </c>
      <c r="G403" t="s">
        <v>3994</v>
      </c>
    </row>
    <row r="404" spans="1:7" x14ac:dyDescent="0.25">
      <c r="A404" t="s">
        <v>1443</v>
      </c>
      <c r="B404" t="s">
        <v>904</v>
      </c>
      <c r="C404">
        <v>2018</v>
      </c>
      <c r="E404" s="10" t="s">
        <v>8360</v>
      </c>
      <c r="F404" t="s">
        <v>8858</v>
      </c>
      <c r="G404" t="s">
        <v>3994</v>
      </c>
    </row>
    <row r="405" spans="1:7" x14ac:dyDescent="0.25">
      <c r="A405" t="s">
        <v>1496</v>
      </c>
      <c r="B405" t="s">
        <v>904</v>
      </c>
      <c r="C405">
        <v>2016</v>
      </c>
      <c r="E405" t="s">
        <v>2982</v>
      </c>
      <c r="F405" t="s">
        <v>8870</v>
      </c>
      <c r="G405" t="s">
        <v>3994</v>
      </c>
    </row>
    <row r="406" spans="1:7" x14ac:dyDescent="0.25">
      <c r="A406" t="s">
        <v>606</v>
      </c>
      <c r="B406" t="s">
        <v>909</v>
      </c>
      <c r="C406">
        <v>2025</v>
      </c>
      <c r="E406" t="s">
        <v>2982</v>
      </c>
      <c r="F406" t="s">
        <v>8575</v>
      </c>
      <c r="G406" t="s">
        <v>3994</v>
      </c>
    </row>
    <row r="407" spans="1:7" x14ac:dyDescent="0.25">
      <c r="A407" t="s">
        <v>914</v>
      </c>
      <c r="B407" t="s">
        <v>918</v>
      </c>
      <c r="C407">
        <v>2013</v>
      </c>
      <c r="D407" t="s">
        <v>187</v>
      </c>
      <c r="F407" t="s">
        <v>9593</v>
      </c>
      <c r="G407" t="s">
        <v>3994</v>
      </c>
    </row>
    <row r="408" spans="1:7" x14ac:dyDescent="0.25">
      <c r="A408" t="s">
        <v>2428</v>
      </c>
      <c r="B408" t="s">
        <v>930</v>
      </c>
      <c r="C408">
        <v>2008</v>
      </c>
      <c r="E408" t="s">
        <v>3391</v>
      </c>
      <c r="F408" t="s">
        <v>9206</v>
      </c>
      <c r="G408" t="s">
        <v>3994</v>
      </c>
    </row>
    <row r="409" spans="1:7" x14ac:dyDescent="0.25">
      <c r="A409" t="s">
        <v>1080</v>
      </c>
      <c r="B409" t="s">
        <v>934</v>
      </c>
      <c r="C409">
        <v>1990</v>
      </c>
      <c r="D409" t="s">
        <v>187</v>
      </c>
      <c r="E409" t="s">
        <v>3193</v>
      </c>
      <c r="F409" t="s">
        <v>8741</v>
      </c>
      <c r="G409" t="s">
        <v>3994</v>
      </c>
    </row>
    <row r="410" spans="1:7" x14ac:dyDescent="0.25">
      <c r="A410" t="s">
        <v>2721</v>
      </c>
      <c r="B410" t="s">
        <v>7841</v>
      </c>
      <c r="C410">
        <v>1993</v>
      </c>
      <c r="D410" t="s">
        <v>187</v>
      </c>
      <c r="F410" t="s">
        <v>9594</v>
      </c>
      <c r="G410" t="s">
        <v>3994</v>
      </c>
    </row>
    <row r="411" spans="1:7" x14ac:dyDescent="0.25">
      <c r="A411" t="s">
        <v>2721</v>
      </c>
      <c r="B411" t="s">
        <v>937</v>
      </c>
      <c r="C411">
        <v>1993</v>
      </c>
      <c r="D411" t="s">
        <v>187</v>
      </c>
      <c r="F411" t="s">
        <v>9595</v>
      </c>
      <c r="G411" t="s">
        <v>3994</v>
      </c>
    </row>
    <row r="412" spans="1:7" x14ac:dyDescent="0.25">
      <c r="A412" t="s">
        <v>1795</v>
      </c>
      <c r="B412" t="s">
        <v>940</v>
      </c>
      <c r="C412">
        <v>1987</v>
      </c>
      <c r="E412" t="s">
        <v>3276</v>
      </c>
      <c r="F412" t="s">
        <v>8932</v>
      </c>
      <c r="G412" t="s">
        <v>3994</v>
      </c>
    </row>
    <row r="413" spans="1:7" x14ac:dyDescent="0.25">
      <c r="A413" t="s">
        <v>2775</v>
      </c>
      <c r="B413" t="s">
        <v>942</v>
      </c>
      <c r="C413">
        <v>2021</v>
      </c>
      <c r="E413" s="10" t="s">
        <v>8383</v>
      </c>
      <c r="F413" t="s">
        <v>9434</v>
      </c>
      <c r="G413" t="s">
        <v>3994</v>
      </c>
    </row>
    <row r="414" spans="1:7" x14ac:dyDescent="0.25">
      <c r="A414" t="s">
        <v>759</v>
      </c>
      <c r="B414" t="s">
        <v>948</v>
      </c>
      <c r="C414">
        <v>2018</v>
      </c>
      <c r="E414" t="s">
        <v>3116</v>
      </c>
      <c r="F414" t="s">
        <v>8622</v>
      </c>
      <c r="G414" t="s">
        <v>3994</v>
      </c>
    </row>
    <row r="415" spans="1:7" x14ac:dyDescent="0.25">
      <c r="A415" t="s">
        <v>1294</v>
      </c>
      <c r="B415" t="s">
        <v>948</v>
      </c>
      <c r="C415">
        <v>2019</v>
      </c>
      <c r="E415" t="s">
        <v>3116</v>
      </c>
      <c r="F415" t="s">
        <v>8801</v>
      </c>
      <c r="G415" t="s">
        <v>3994</v>
      </c>
    </row>
    <row r="416" spans="1:7" x14ac:dyDescent="0.25">
      <c r="A416" t="s">
        <v>160</v>
      </c>
      <c r="B416" t="s">
        <v>948</v>
      </c>
      <c r="C416">
        <v>2011</v>
      </c>
      <c r="E416" t="s">
        <v>3116</v>
      </c>
      <c r="F416" t="s">
        <v>9273</v>
      </c>
      <c r="G416" t="s">
        <v>3994</v>
      </c>
    </row>
    <row r="417" spans="1:7" x14ac:dyDescent="0.25">
      <c r="A417" t="s">
        <v>1496</v>
      </c>
      <c r="B417" t="s">
        <v>952</v>
      </c>
      <c r="C417">
        <v>2016</v>
      </c>
      <c r="E417" t="s">
        <v>3254</v>
      </c>
      <c r="F417" t="s">
        <v>8871</v>
      </c>
      <c r="G417" t="s">
        <v>3994</v>
      </c>
    </row>
    <row r="418" spans="1:7" x14ac:dyDescent="0.25">
      <c r="A418" t="s">
        <v>353</v>
      </c>
      <c r="B418" t="s">
        <v>7983</v>
      </c>
      <c r="C418">
        <v>2023</v>
      </c>
      <c r="E418" s="10" t="s">
        <v>7982</v>
      </c>
      <c r="F418" t="s">
        <v>8509</v>
      </c>
      <c r="G418" t="s">
        <v>3994</v>
      </c>
    </row>
    <row r="419" spans="1:7" x14ac:dyDescent="0.25">
      <c r="A419" t="s">
        <v>353</v>
      </c>
      <c r="B419" t="s">
        <v>7983</v>
      </c>
      <c r="C419">
        <v>2023</v>
      </c>
      <c r="E419" s="10" t="s">
        <v>7982</v>
      </c>
      <c r="F419" t="s">
        <v>8509</v>
      </c>
      <c r="G419" t="s">
        <v>3994</v>
      </c>
    </row>
    <row r="420" spans="1:7" x14ac:dyDescent="0.25">
      <c r="A420" t="s">
        <v>353</v>
      </c>
      <c r="B420" t="s">
        <v>954</v>
      </c>
      <c r="C420">
        <v>2023</v>
      </c>
      <c r="E420" t="s">
        <v>2982</v>
      </c>
      <c r="F420" t="s">
        <v>8510</v>
      </c>
      <c r="G420" t="s">
        <v>3994</v>
      </c>
    </row>
    <row r="421" spans="1:7" x14ac:dyDescent="0.25">
      <c r="A421" t="s">
        <v>353</v>
      </c>
      <c r="B421" t="s">
        <v>958</v>
      </c>
      <c r="C421">
        <v>2023</v>
      </c>
      <c r="E421" t="s">
        <v>3029</v>
      </c>
      <c r="F421" t="s">
        <v>8511</v>
      </c>
      <c r="G421" t="s">
        <v>3994</v>
      </c>
    </row>
    <row r="422" spans="1:7" x14ac:dyDescent="0.25">
      <c r="A422" t="s">
        <v>873</v>
      </c>
      <c r="B422" t="s">
        <v>960</v>
      </c>
      <c r="C422">
        <v>2019</v>
      </c>
      <c r="E422" t="s">
        <v>3141</v>
      </c>
      <c r="F422" t="s">
        <v>8673</v>
      </c>
      <c r="G422" t="s">
        <v>3994</v>
      </c>
    </row>
    <row r="423" spans="1:7" x14ac:dyDescent="0.25">
      <c r="A423" t="s">
        <v>1951</v>
      </c>
      <c r="B423" t="s">
        <v>960</v>
      </c>
      <c r="C423">
        <v>2022</v>
      </c>
      <c r="E423" t="s">
        <v>3141</v>
      </c>
      <c r="F423" t="s">
        <v>8988</v>
      </c>
      <c r="G423" t="s">
        <v>3994</v>
      </c>
    </row>
    <row r="424" spans="1:7" x14ac:dyDescent="0.25">
      <c r="A424" t="s">
        <v>90</v>
      </c>
      <c r="B424" t="s">
        <v>960</v>
      </c>
      <c r="C424">
        <v>2017</v>
      </c>
      <c r="E424" t="s">
        <v>3141</v>
      </c>
      <c r="F424" t="s">
        <v>9115</v>
      </c>
      <c r="G424" t="s">
        <v>3994</v>
      </c>
    </row>
    <row r="425" spans="1:7" x14ac:dyDescent="0.25">
      <c r="A425" t="s">
        <v>1538</v>
      </c>
      <c r="B425" t="s">
        <v>964</v>
      </c>
      <c r="C425">
        <v>1995</v>
      </c>
      <c r="E425" t="s">
        <v>3255</v>
      </c>
      <c r="F425" t="s">
        <v>8873</v>
      </c>
      <c r="G425" t="s">
        <v>3994</v>
      </c>
    </row>
    <row r="426" spans="1:7" x14ac:dyDescent="0.25">
      <c r="A426" t="s">
        <v>1443</v>
      </c>
      <c r="B426" t="s">
        <v>967</v>
      </c>
      <c r="C426">
        <v>2018</v>
      </c>
      <c r="E426" s="10" t="s">
        <v>9948</v>
      </c>
      <c r="F426" t="s">
        <v>9947</v>
      </c>
      <c r="G426" t="s">
        <v>3994</v>
      </c>
    </row>
    <row r="427" spans="1:7" x14ac:dyDescent="0.25">
      <c r="A427" t="s">
        <v>1443</v>
      </c>
      <c r="B427" t="s">
        <v>971</v>
      </c>
      <c r="C427">
        <v>2018</v>
      </c>
      <c r="E427" t="s">
        <v>2982</v>
      </c>
      <c r="F427" t="s">
        <v>8859</v>
      </c>
      <c r="G427" t="s">
        <v>3994</v>
      </c>
    </row>
    <row r="428" spans="1:7" x14ac:dyDescent="0.25">
      <c r="A428" t="s">
        <v>1676</v>
      </c>
      <c r="B428" t="s">
        <v>971</v>
      </c>
      <c r="C428">
        <v>2002</v>
      </c>
      <c r="E428" t="s">
        <v>2982</v>
      </c>
      <c r="F428" t="s">
        <v>8904</v>
      </c>
      <c r="G428" t="s">
        <v>3994</v>
      </c>
    </row>
    <row r="429" spans="1:7" x14ac:dyDescent="0.25">
      <c r="A429" t="s">
        <v>1761</v>
      </c>
      <c r="B429" t="s">
        <v>971</v>
      </c>
      <c r="C429">
        <v>1995</v>
      </c>
      <c r="E429" t="s">
        <v>2982</v>
      </c>
      <c r="F429" t="s">
        <v>8924</v>
      </c>
      <c r="G429" t="s">
        <v>3994</v>
      </c>
    </row>
    <row r="430" spans="1:7" x14ac:dyDescent="0.25">
      <c r="A430" t="s">
        <v>2721</v>
      </c>
      <c r="B430" t="s">
        <v>971</v>
      </c>
      <c r="C430">
        <v>1993</v>
      </c>
      <c r="E430" t="s">
        <v>2982</v>
      </c>
      <c r="F430" t="s">
        <v>9596</v>
      </c>
      <c r="G430" t="s">
        <v>3994</v>
      </c>
    </row>
    <row r="431" spans="1:7" x14ac:dyDescent="0.25">
      <c r="A431" t="s">
        <v>2721</v>
      </c>
      <c r="B431" t="s">
        <v>977</v>
      </c>
      <c r="C431">
        <v>1993</v>
      </c>
      <c r="E431" t="s">
        <v>3013</v>
      </c>
      <c r="F431" t="s">
        <v>9597</v>
      </c>
      <c r="G431" t="s">
        <v>187</v>
      </c>
    </row>
    <row r="432" spans="1:7" x14ac:dyDescent="0.25">
      <c r="A432" t="s">
        <v>746</v>
      </c>
      <c r="B432" t="s">
        <v>980</v>
      </c>
      <c r="C432">
        <v>2015</v>
      </c>
      <c r="E432" t="s">
        <v>3101</v>
      </c>
      <c r="F432" t="s">
        <v>8601</v>
      </c>
      <c r="G432" t="s">
        <v>3994</v>
      </c>
    </row>
    <row r="433" spans="1:7" x14ac:dyDescent="0.25">
      <c r="A433" t="s">
        <v>256</v>
      </c>
      <c r="B433" t="s">
        <v>984</v>
      </c>
      <c r="C433">
        <v>1994</v>
      </c>
      <c r="E433" t="s">
        <v>2988</v>
      </c>
      <c r="F433" t="s">
        <v>9598</v>
      </c>
      <c r="G433" t="s">
        <v>187</v>
      </c>
    </row>
    <row r="434" spans="1:7" x14ac:dyDescent="0.25">
      <c r="A434" t="s">
        <v>260</v>
      </c>
      <c r="B434" t="s">
        <v>984</v>
      </c>
      <c r="C434">
        <v>1990</v>
      </c>
      <c r="E434" t="s">
        <v>2988</v>
      </c>
      <c r="F434" t="s">
        <v>9599</v>
      </c>
      <c r="G434" t="s">
        <v>187</v>
      </c>
    </row>
    <row r="435" spans="1:7" x14ac:dyDescent="0.25">
      <c r="A435" t="s">
        <v>522</v>
      </c>
      <c r="B435" t="s">
        <v>984</v>
      </c>
      <c r="C435">
        <v>1989</v>
      </c>
      <c r="E435" t="s">
        <v>3072</v>
      </c>
      <c r="F435" t="s">
        <v>8567</v>
      </c>
      <c r="G435" t="s">
        <v>3994</v>
      </c>
    </row>
    <row r="436" spans="1:7" x14ac:dyDescent="0.25">
      <c r="A436" t="s">
        <v>847</v>
      </c>
      <c r="B436" t="s">
        <v>984</v>
      </c>
      <c r="C436">
        <v>1996</v>
      </c>
      <c r="E436" t="s">
        <v>3072</v>
      </c>
      <c r="F436" t="s">
        <v>8655</v>
      </c>
      <c r="G436" t="s">
        <v>3994</v>
      </c>
    </row>
    <row r="437" spans="1:7" x14ac:dyDescent="0.25">
      <c r="A437" t="s">
        <v>922</v>
      </c>
      <c r="B437" t="s">
        <v>984</v>
      </c>
      <c r="C437">
        <v>2002</v>
      </c>
      <c r="E437" t="s">
        <v>2988</v>
      </c>
      <c r="F437" t="s">
        <v>9600</v>
      </c>
      <c r="G437" t="s">
        <v>187</v>
      </c>
    </row>
    <row r="438" spans="1:7" x14ac:dyDescent="0.25">
      <c r="A438" t="s">
        <v>964</v>
      </c>
      <c r="B438" t="s">
        <v>984</v>
      </c>
      <c r="C438">
        <v>2006</v>
      </c>
      <c r="E438" t="s">
        <v>3072</v>
      </c>
      <c r="F438" t="s">
        <v>8701</v>
      </c>
      <c r="G438" t="s">
        <v>3994</v>
      </c>
    </row>
    <row r="439" spans="1:7" x14ac:dyDescent="0.25">
      <c r="A439" t="s">
        <v>1004</v>
      </c>
      <c r="B439" t="s">
        <v>984</v>
      </c>
      <c r="C439">
        <v>2006</v>
      </c>
      <c r="E439" t="s">
        <v>2988</v>
      </c>
      <c r="F439" t="s">
        <v>9601</v>
      </c>
      <c r="G439" t="s">
        <v>187</v>
      </c>
    </row>
    <row r="440" spans="1:7" x14ac:dyDescent="0.25">
      <c r="A440" t="s">
        <v>1027</v>
      </c>
      <c r="B440" t="s">
        <v>984</v>
      </c>
      <c r="C440">
        <v>2008</v>
      </c>
      <c r="E440" t="s">
        <v>2988</v>
      </c>
      <c r="F440" t="s">
        <v>9602</v>
      </c>
      <c r="G440" t="s">
        <v>187</v>
      </c>
    </row>
    <row r="441" spans="1:7" x14ac:dyDescent="0.25">
      <c r="A441" t="s">
        <v>2571</v>
      </c>
      <c r="B441" t="s">
        <v>984</v>
      </c>
      <c r="C441">
        <v>1998</v>
      </c>
      <c r="E441" t="s">
        <v>2988</v>
      </c>
      <c r="F441" t="s">
        <v>9603</v>
      </c>
      <c r="G441" t="s">
        <v>187</v>
      </c>
    </row>
    <row r="442" spans="1:7" x14ac:dyDescent="0.25">
      <c r="A442" t="s">
        <v>1576</v>
      </c>
      <c r="B442" t="s">
        <v>988</v>
      </c>
      <c r="C442">
        <v>2021</v>
      </c>
      <c r="E442" t="s">
        <v>2982</v>
      </c>
      <c r="F442" t="s">
        <v>8891</v>
      </c>
      <c r="G442" t="s">
        <v>3994</v>
      </c>
    </row>
    <row r="443" spans="1:7" x14ac:dyDescent="0.25">
      <c r="A443" t="s">
        <v>160</v>
      </c>
      <c r="B443" t="s">
        <v>992</v>
      </c>
      <c r="C443">
        <v>2011</v>
      </c>
      <c r="E443" t="s">
        <v>2982</v>
      </c>
      <c r="F443" t="s">
        <v>9274</v>
      </c>
      <c r="G443" t="s">
        <v>3994</v>
      </c>
    </row>
    <row r="444" spans="1:7" x14ac:dyDescent="0.25">
      <c r="A444" t="s">
        <v>1004</v>
      </c>
      <c r="B444" t="s">
        <v>994</v>
      </c>
      <c r="C444">
        <v>2006</v>
      </c>
      <c r="E444" s="10" t="s">
        <v>9949</v>
      </c>
      <c r="F444" t="s">
        <v>9950</v>
      </c>
      <c r="G444" t="s">
        <v>3994</v>
      </c>
    </row>
    <row r="445" spans="1:7" x14ac:dyDescent="0.25">
      <c r="A445" t="s">
        <v>1538</v>
      </c>
      <c r="B445" t="s">
        <v>994</v>
      </c>
      <c r="C445">
        <v>1995</v>
      </c>
      <c r="E445" s="10" t="s">
        <v>9949</v>
      </c>
      <c r="F445" t="s">
        <v>9975</v>
      </c>
      <c r="G445" t="s">
        <v>3994</v>
      </c>
    </row>
    <row r="446" spans="1:7" x14ac:dyDescent="0.25">
      <c r="A446" t="s">
        <v>1572</v>
      </c>
      <c r="B446" t="s">
        <v>994</v>
      </c>
      <c r="C446">
        <v>2001</v>
      </c>
      <c r="E446" s="10" t="s">
        <v>9949</v>
      </c>
      <c r="F446" t="s">
        <v>9951</v>
      </c>
      <c r="G446" t="s">
        <v>3994</v>
      </c>
    </row>
    <row r="447" spans="1:7" x14ac:dyDescent="0.25">
      <c r="A447" t="s">
        <v>2721</v>
      </c>
      <c r="B447" t="s">
        <v>994</v>
      </c>
      <c r="C447">
        <v>1993</v>
      </c>
      <c r="E447" s="10" t="s">
        <v>9949</v>
      </c>
      <c r="F447" t="s">
        <v>9952</v>
      </c>
      <c r="G447" t="s">
        <v>3994</v>
      </c>
    </row>
    <row r="448" spans="1:7" x14ac:dyDescent="0.25">
      <c r="A448" t="s">
        <v>2173</v>
      </c>
      <c r="B448" t="s">
        <v>998</v>
      </c>
      <c r="C448">
        <v>2013</v>
      </c>
      <c r="E448" s="10" t="s">
        <v>8345</v>
      </c>
      <c r="F448" t="s">
        <v>9604</v>
      </c>
      <c r="G448" t="s">
        <v>187</v>
      </c>
    </row>
    <row r="449" spans="1:7" x14ac:dyDescent="0.25">
      <c r="A449" t="s">
        <v>759</v>
      </c>
      <c r="B449" t="s">
        <v>1002</v>
      </c>
      <c r="C449">
        <v>2018</v>
      </c>
      <c r="E449" t="s">
        <v>3117</v>
      </c>
      <c r="F449" t="s">
        <v>8623</v>
      </c>
      <c r="G449" t="s">
        <v>3994</v>
      </c>
    </row>
    <row r="450" spans="1:7" x14ac:dyDescent="0.25">
      <c r="A450" t="s">
        <v>1294</v>
      </c>
      <c r="B450" t="s">
        <v>1002</v>
      </c>
      <c r="C450">
        <v>2019</v>
      </c>
      <c r="E450" t="s">
        <v>3117</v>
      </c>
      <c r="F450" t="s">
        <v>8802</v>
      </c>
      <c r="G450" t="s">
        <v>3994</v>
      </c>
    </row>
    <row r="451" spans="1:7" x14ac:dyDescent="0.25">
      <c r="A451" t="s">
        <v>2173</v>
      </c>
      <c r="B451" t="s">
        <v>1002</v>
      </c>
      <c r="C451">
        <v>2013</v>
      </c>
      <c r="E451" t="s">
        <v>3117</v>
      </c>
      <c r="F451" t="s">
        <v>9052</v>
      </c>
      <c r="G451" t="s">
        <v>3994</v>
      </c>
    </row>
    <row r="452" spans="1:7" x14ac:dyDescent="0.25">
      <c r="A452" t="s">
        <v>2335</v>
      </c>
      <c r="B452" t="s">
        <v>1002</v>
      </c>
      <c r="C452">
        <v>2020</v>
      </c>
      <c r="E452" s="10" t="s">
        <v>9923</v>
      </c>
      <c r="F452" t="s">
        <v>9924</v>
      </c>
      <c r="G452" t="s">
        <v>3994</v>
      </c>
    </row>
    <row r="453" spans="1:7" x14ac:dyDescent="0.25">
      <c r="A453" t="s">
        <v>2428</v>
      </c>
      <c r="B453" t="s">
        <v>1002</v>
      </c>
      <c r="C453">
        <v>2008</v>
      </c>
      <c r="E453" t="s">
        <v>3117</v>
      </c>
      <c r="F453" t="s">
        <v>9207</v>
      </c>
      <c r="G453" t="s">
        <v>3994</v>
      </c>
    </row>
    <row r="454" spans="1:7" x14ac:dyDescent="0.25">
      <c r="A454" t="s">
        <v>1284</v>
      </c>
      <c r="B454" t="s">
        <v>1004</v>
      </c>
      <c r="C454">
        <v>1984</v>
      </c>
      <c r="E454" t="s">
        <v>3219</v>
      </c>
      <c r="F454" t="s">
        <v>8784</v>
      </c>
      <c r="G454" t="s">
        <v>3994</v>
      </c>
    </row>
    <row r="455" spans="1:7" x14ac:dyDescent="0.25">
      <c r="A455" t="s">
        <v>2594</v>
      </c>
      <c r="B455" t="s">
        <v>1008</v>
      </c>
      <c r="C455">
        <v>2019</v>
      </c>
      <c r="E455" t="s">
        <v>2982</v>
      </c>
      <c r="F455" t="s">
        <v>9253</v>
      </c>
      <c r="G455" t="s">
        <v>3994</v>
      </c>
    </row>
    <row r="456" spans="1:7" x14ac:dyDescent="0.25">
      <c r="A456" t="s">
        <v>2428</v>
      </c>
      <c r="B456" t="s">
        <v>1014</v>
      </c>
      <c r="C456">
        <v>2008</v>
      </c>
      <c r="E456" t="s">
        <v>3392</v>
      </c>
      <c r="F456" t="s">
        <v>9208</v>
      </c>
      <c r="G456" t="s">
        <v>3994</v>
      </c>
    </row>
    <row r="457" spans="1:7" x14ac:dyDescent="0.25">
      <c r="A457" t="s">
        <v>2804</v>
      </c>
      <c r="B457" t="s">
        <v>1017</v>
      </c>
      <c r="C457">
        <v>2021</v>
      </c>
      <c r="E457" t="s">
        <v>3013</v>
      </c>
      <c r="F457" t="s">
        <v>9605</v>
      </c>
      <c r="G457" t="s">
        <v>187</v>
      </c>
    </row>
    <row r="458" spans="1:7" x14ac:dyDescent="0.25">
      <c r="A458" t="s">
        <v>847</v>
      </c>
      <c r="B458" t="s">
        <v>1021</v>
      </c>
      <c r="C458">
        <v>1996</v>
      </c>
      <c r="E458" s="10" t="s">
        <v>9937</v>
      </c>
      <c r="F458" t="s">
        <v>9939</v>
      </c>
      <c r="G458" t="s">
        <v>3994</v>
      </c>
    </row>
    <row r="459" spans="1:7" x14ac:dyDescent="0.25">
      <c r="A459" t="s">
        <v>2335</v>
      </c>
      <c r="B459" t="s">
        <v>1021</v>
      </c>
      <c r="C459">
        <v>2020</v>
      </c>
      <c r="E459" s="10" t="s">
        <v>9937</v>
      </c>
      <c r="F459" t="s">
        <v>9938</v>
      </c>
      <c r="G459" t="s">
        <v>3994</v>
      </c>
    </row>
    <row r="460" spans="1:7" x14ac:dyDescent="0.25">
      <c r="A460" t="s">
        <v>2804</v>
      </c>
      <c r="B460" t="s">
        <v>1021</v>
      </c>
      <c r="C460">
        <v>2021</v>
      </c>
      <c r="E460" s="10" t="s">
        <v>9937</v>
      </c>
      <c r="F460" t="s">
        <v>9606</v>
      </c>
      <c r="G460" t="s">
        <v>3994</v>
      </c>
    </row>
    <row r="461" spans="1:7" x14ac:dyDescent="0.25">
      <c r="A461" t="s">
        <v>1027</v>
      </c>
      <c r="B461" t="s">
        <v>1025</v>
      </c>
      <c r="C461">
        <v>2008</v>
      </c>
      <c r="D461" t="s">
        <v>187</v>
      </c>
      <c r="F461" t="s">
        <v>9607</v>
      </c>
      <c r="G461" t="s">
        <v>3994</v>
      </c>
    </row>
    <row r="462" spans="1:7" x14ac:dyDescent="0.25">
      <c r="A462" t="s">
        <v>256</v>
      </c>
      <c r="B462" t="s">
        <v>1027</v>
      </c>
      <c r="C462">
        <v>1994</v>
      </c>
      <c r="F462" t="s">
        <v>9608</v>
      </c>
      <c r="G462" t="s">
        <v>187</v>
      </c>
    </row>
    <row r="463" spans="1:7" x14ac:dyDescent="0.25">
      <c r="A463" t="s">
        <v>260</v>
      </c>
      <c r="B463" t="s">
        <v>1027</v>
      </c>
      <c r="C463">
        <v>1990</v>
      </c>
      <c r="F463" t="s">
        <v>9609</v>
      </c>
      <c r="G463" t="s">
        <v>187</v>
      </c>
    </row>
    <row r="464" spans="1:7" x14ac:dyDescent="0.25">
      <c r="A464" t="s">
        <v>1795</v>
      </c>
      <c r="B464" t="s">
        <v>1027</v>
      </c>
      <c r="C464">
        <v>1987</v>
      </c>
      <c r="F464" t="s">
        <v>9610</v>
      </c>
      <c r="G464" t="s">
        <v>187</v>
      </c>
    </row>
    <row r="465" spans="1:7" x14ac:dyDescent="0.25">
      <c r="A465" t="s">
        <v>759</v>
      </c>
      <c r="B465" t="s">
        <v>1029</v>
      </c>
      <c r="C465">
        <v>2018</v>
      </c>
      <c r="E465" t="s">
        <v>2982</v>
      </c>
      <c r="F465" t="s">
        <v>9611</v>
      </c>
      <c r="G465" t="s">
        <v>187</v>
      </c>
    </row>
    <row r="466" spans="1:7" x14ac:dyDescent="0.25">
      <c r="A466" t="s">
        <v>1294</v>
      </c>
      <c r="B466" t="s">
        <v>1029</v>
      </c>
      <c r="C466">
        <v>2019</v>
      </c>
      <c r="E466" t="s">
        <v>2982</v>
      </c>
      <c r="F466" t="s">
        <v>9612</v>
      </c>
      <c r="G466" t="s">
        <v>187</v>
      </c>
    </row>
    <row r="467" spans="1:7" x14ac:dyDescent="0.25">
      <c r="A467" t="s">
        <v>90</v>
      </c>
      <c r="B467" t="s">
        <v>1029</v>
      </c>
      <c r="C467">
        <v>2017</v>
      </c>
      <c r="E467" t="s">
        <v>2982</v>
      </c>
      <c r="F467" t="s">
        <v>9613</v>
      </c>
      <c r="G467" t="s">
        <v>187</v>
      </c>
    </row>
    <row r="468" spans="1:7" x14ac:dyDescent="0.25">
      <c r="A468" t="s">
        <v>160</v>
      </c>
      <c r="B468" t="s">
        <v>1029</v>
      </c>
      <c r="C468">
        <v>2011</v>
      </c>
      <c r="E468" t="s">
        <v>2982</v>
      </c>
      <c r="F468" t="s">
        <v>9614</v>
      </c>
      <c r="G468" t="s">
        <v>187</v>
      </c>
    </row>
    <row r="469" spans="1:7" x14ac:dyDescent="0.25">
      <c r="A469" t="s">
        <v>90</v>
      </c>
      <c r="B469" t="s">
        <v>1034</v>
      </c>
      <c r="C469">
        <v>2017</v>
      </c>
      <c r="E469" t="s">
        <v>3357</v>
      </c>
      <c r="F469" t="s">
        <v>9116</v>
      </c>
      <c r="G469" t="s">
        <v>3994</v>
      </c>
    </row>
    <row r="470" spans="1:7" x14ac:dyDescent="0.25">
      <c r="A470" t="s">
        <v>1576</v>
      </c>
      <c r="B470" t="s">
        <v>1038</v>
      </c>
      <c r="C470">
        <v>2021</v>
      </c>
      <c r="E470" t="s">
        <v>3013</v>
      </c>
      <c r="F470" t="s">
        <v>9615</v>
      </c>
      <c r="G470" t="s">
        <v>187</v>
      </c>
    </row>
    <row r="471" spans="1:7" x14ac:dyDescent="0.25">
      <c r="A471" t="s">
        <v>2136</v>
      </c>
      <c r="B471" t="s">
        <v>1042</v>
      </c>
      <c r="C471">
        <v>2020</v>
      </c>
      <c r="E471" t="s">
        <v>3313</v>
      </c>
      <c r="F471" t="s">
        <v>9616</v>
      </c>
      <c r="G471" t="s">
        <v>187</v>
      </c>
    </row>
    <row r="472" spans="1:7" x14ac:dyDescent="0.25">
      <c r="A472" t="s">
        <v>1855</v>
      </c>
      <c r="B472" t="s">
        <v>1046</v>
      </c>
      <c r="C472">
        <v>2015</v>
      </c>
      <c r="E472" t="s">
        <v>3297</v>
      </c>
      <c r="F472" t="s">
        <v>8969</v>
      </c>
      <c r="G472" t="s">
        <v>3994</v>
      </c>
    </row>
    <row r="473" spans="1:7" x14ac:dyDescent="0.25">
      <c r="A473" t="s">
        <v>2428</v>
      </c>
      <c r="B473" t="s">
        <v>1046</v>
      </c>
      <c r="C473">
        <v>2008</v>
      </c>
      <c r="E473" t="s">
        <v>3297</v>
      </c>
      <c r="F473" t="s">
        <v>9209</v>
      </c>
      <c r="G473" t="s">
        <v>3994</v>
      </c>
    </row>
    <row r="474" spans="1:7" x14ac:dyDescent="0.25">
      <c r="A474" t="s">
        <v>160</v>
      </c>
      <c r="B474" t="s">
        <v>1046</v>
      </c>
      <c r="C474">
        <v>2011</v>
      </c>
      <c r="E474" t="s">
        <v>3297</v>
      </c>
      <c r="F474" t="s">
        <v>9275</v>
      </c>
      <c r="G474" t="s">
        <v>3994</v>
      </c>
    </row>
    <row r="475" spans="1:7" x14ac:dyDescent="0.25">
      <c r="A475" t="s">
        <v>490</v>
      </c>
      <c r="B475" t="s">
        <v>1050</v>
      </c>
      <c r="C475">
        <v>2009</v>
      </c>
      <c r="E475" t="s">
        <v>3058</v>
      </c>
      <c r="F475" t="s">
        <v>8543</v>
      </c>
      <c r="G475" t="s">
        <v>3994</v>
      </c>
    </row>
    <row r="476" spans="1:7" x14ac:dyDescent="0.25">
      <c r="A476" t="s">
        <v>746</v>
      </c>
      <c r="B476" t="s">
        <v>1050</v>
      </c>
      <c r="C476">
        <v>2015</v>
      </c>
      <c r="E476" t="s">
        <v>3102</v>
      </c>
      <c r="F476" t="s">
        <v>8602</v>
      </c>
      <c r="G476" t="s">
        <v>3994</v>
      </c>
    </row>
    <row r="477" spans="1:7" x14ac:dyDescent="0.25">
      <c r="A477" t="s">
        <v>847</v>
      </c>
      <c r="B477" t="s">
        <v>1050</v>
      </c>
      <c r="C477">
        <v>1996</v>
      </c>
      <c r="E477" t="s">
        <v>3058</v>
      </c>
      <c r="F477" t="s">
        <v>8656</v>
      </c>
      <c r="G477" t="s">
        <v>3994</v>
      </c>
    </row>
    <row r="478" spans="1:7" x14ac:dyDescent="0.25">
      <c r="A478" t="s">
        <v>1046</v>
      </c>
      <c r="B478" t="s">
        <v>1050</v>
      </c>
      <c r="C478">
        <v>2016</v>
      </c>
      <c r="E478" t="s">
        <v>3102</v>
      </c>
      <c r="F478" t="s">
        <v>8724</v>
      </c>
      <c r="G478" t="s">
        <v>3994</v>
      </c>
    </row>
    <row r="479" spans="1:7" x14ac:dyDescent="0.25">
      <c r="A479" t="s">
        <v>1365</v>
      </c>
      <c r="B479" t="s">
        <v>1050</v>
      </c>
      <c r="C479">
        <v>2018</v>
      </c>
      <c r="E479" t="s">
        <v>3102</v>
      </c>
      <c r="F479" t="s">
        <v>8833</v>
      </c>
      <c r="G479" t="s">
        <v>3994</v>
      </c>
    </row>
    <row r="480" spans="1:7" x14ac:dyDescent="0.25">
      <c r="A480" t="s">
        <v>2481</v>
      </c>
      <c r="B480" t="s">
        <v>1050</v>
      </c>
      <c r="C480">
        <v>2020</v>
      </c>
      <c r="E480" t="s">
        <v>3058</v>
      </c>
      <c r="F480" t="s">
        <v>9233</v>
      </c>
      <c r="G480" t="s">
        <v>3994</v>
      </c>
    </row>
    <row r="481" spans="1:7" x14ac:dyDescent="0.25">
      <c r="A481" t="s">
        <v>2625</v>
      </c>
      <c r="B481" t="s">
        <v>1052</v>
      </c>
      <c r="C481">
        <v>2000</v>
      </c>
      <c r="D481" t="s">
        <v>187</v>
      </c>
      <c r="E481" t="s">
        <v>3326</v>
      </c>
      <c r="F481" t="s">
        <v>9315</v>
      </c>
      <c r="G481" t="s">
        <v>3994</v>
      </c>
    </row>
    <row r="482" spans="1:7" x14ac:dyDescent="0.25">
      <c r="A482" t="s">
        <v>2721</v>
      </c>
      <c r="B482" t="s">
        <v>1055</v>
      </c>
      <c r="C482">
        <v>1993</v>
      </c>
      <c r="D482" t="s">
        <v>187</v>
      </c>
      <c r="F482" t="s">
        <v>9617</v>
      </c>
      <c r="G482" t="s">
        <v>3994</v>
      </c>
    </row>
    <row r="483" spans="1:7" x14ac:dyDescent="0.25">
      <c r="A483" t="s">
        <v>1055</v>
      </c>
      <c r="B483" t="s">
        <v>1057</v>
      </c>
      <c r="C483">
        <v>2015</v>
      </c>
      <c r="D483" t="s">
        <v>187</v>
      </c>
      <c r="F483" t="s">
        <v>9618</v>
      </c>
      <c r="G483" t="s">
        <v>3994</v>
      </c>
    </row>
    <row r="484" spans="1:7" x14ac:dyDescent="0.25">
      <c r="A484" t="s">
        <v>778</v>
      </c>
      <c r="B484" t="s">
        <v>1059</v>
      </c>
      <c r="C484">
        <v>2023</v>
      </c>
      <c r="E484" t="s">
        <v>2982</v>
      </c>
      <c r="F484" t="s">
        <v>8637</v>
      </c>
      <c r="G484" t="s">
        <v>3994</v>
      </c>
    </row>
    <row r="485" spans="1:7" x14ac:dyDescent="0.25">
      <c r="A485" t="s">
        <v>2136</v>
      </c>
      <c r="B485" t="s">
        <v>1059</v>
      </c>
      <c r="C485">
        <v>2020</v>
      </c>
      <c r="E485" t="s">
        <v>2982</v>
      </c>
      <c r="F485" t="s">
        <v>9014</v>
      </c>
      <c r="G485" t="s">
        <v>3994</v>
      </c>
    </row>
    <row r="486" spans="1:7" x14ac:dyDescent="0.25">
      <c r="A486" t="s">
        <v>90</v>
      </c>
      <c r="B486" t="s">
        <v>1059</v>
      </c>
      <c r="C486">
        <v>2017</v>
      </c>
      <c r="E486" t="s">
        <v>2982</v>
      </c>
      <c r="F486" t="s">
        <v>9117</v>
      </c>
      <c r="G486" t="s">
        <v>3994</v>
      </c>
    </row>
    <row r="487" spans="1:7" x14ac:dyDescent="0.25">
      <c r="A487" t="s">
        <v>930</v>
      </c>
      <c r="B487" t="s">
        <v>1067</v>
      </c>
      <c r="C487">
        <v>2015</v>
      </c>
      <c r="E487" s="10" t="s">
        <v>8416</v>
      </c>
      <c r="F487" t="s">
        <v>8690</v>
      </c>
      <c r="G487" t="s">
        <v>3994</v>
      </c>
    </row>
    <row r="488" spans="1:7" x14ac:dyDescent="0.25">
      <c r="A488" t="s">
        <v>1046</v>
      </c>
      <c r="B488" t="s">
        <v>1067</v>
      </c>
      <c r="C488">
        <v>2016</v>
      </c>
      <c r="D488" t="s">
        <v>187</v>
      </c>
      <c r="F488" t="s">
        <v>9619</v>
      </c>
      <c r="G488" t="s">
        <v>3994</v>
      </c>
    </row>
    <row r="489" spans="1:7" x14ac:dyDescent="0.25">
      <c r="A489" t="s">
        <v>2506</v>
      </c>
      <c r="B489" t="s">
        <v>1071</v>
      </c>
      <c r="C489">
        <v>2021</v>
      </c>
      <c r="E489" t="s">
        <v>3013</v>
      </c>
      <c r="F489" t="s">
        <v>9620</v>
      </c>
      <c r="G489" t="s">
        <v>187</v>
      </c>
    </row>
    <row r="490" spans="1:7" x14ac:dyDescent="0.25">
      <c r="A490" t="s">
        <v>2154</v>
      </c>
      <c r="B490" t="s">
        <v>1080</v>
      </c>
      <c r="C490">
        <v>1980</v>
      </c>
      <c r="E490" t="s">
        <v>3321</v>
      </c>
      <c r="F490" t="s">
        <v>9033</v>
      </c>
      <c r="G490" t="s">
        <v>3994</v>
      </c>
    </row>
    <row r="491" spans="1:7" x14ac:dyDescent="0.25">
      <c r="A491" t="s">
        <v>1795</v>
      </c>
      <c r="B491" t="s">
        <v>1083</v>
      </c>
      <c r="C491">
        <v>1987</v>
      </c>
      <c r="E491" t="s">
        <v>3277</v>
      </c>
      <c r="F491" t="s">
        <v>8933</v>
      </c>
      <c r="G491" t="s">
        <v>3994</v>
      </c>
    </row>
    <row r="492" spans="1:7" x14ac:dyDescent="0.25">
      <c r="A492" t="s">
        <v>904</v>
      </c>
      <c r="B492" t="s">
        <v>1085</v>
      </c>
      <c r="C492">
        <v>2022</v>
      </c>
      <c r="E492" t="s">
        <v>1088</v>
      </c>
      <c r="F492" t="s">
        <v>8677</v>
      </c>
      <c r="G492" t="s">
        <v>3994</v>
      </c>
    </row>
    <row r="493" spans="1:7" x14ac:dyDescent="0.25">
      <c r="A493" t="s">
        <v>2428</v>
      </c>
      <c r="B493" t="s">
        <v>1085</v>
      </c>
      <c r="C493">
        <v>2008</v>
      </c>
      <c r="E493" t="s">
        <v>1088</v>
      </c>
      <c r="F493" t="s">
        <v>9210</v>
      </c>
      <c r="G493" t="s">
        <v>3994</v>
      </c>
    </row>
    <row r="494" spans="1:7" x14ac:dyDescent="0.25">
      <c r="A494" t="s">
        <v>1443</v>
      </c>
      <c r="B494" t="s">
        <v>1089</v>
      </c>
      <c r="C494">
        <v>2018</v>
      </c>
      <c r="E494" t="s">
        <v>3247</v>
      </c>
      <c r="F494" t="s">
        <v>9621</v>
      </c>
      <c r="G494" t="s">
        <v>187</v>
      </c>
    </row>
    <row r="495" spans="1:7" x14ac:dyDescent="0.25">
      <c r="A495" t="s">
        <v>90</v>
      </c>
      <c r="B495" t="s">
        <v>1089</v>
      </c>
      <c r="C495">
        <v>2017</v>
      </c>
      <c r="E495" t="s">
        <v>3247</v>
      </c>
      <c r="F495" t="s">
        <v>9622</v>
      </c>
      <c r="G495" t="s">
        <v>187</v>
      </c>
    </row>
    <row r="496" spans="1:7" x14ac:dyDescent="0.25">
      <c r="A496" t="s">
        <v>578</v>
      </c>
      <c r="B496" t="s">
        <v>1093</v>
      </c>
      <c r="C496">
        <v>1998</v>
      </c>
      <c r="D496" t="s">
        <v>187</v>
      </c>
      <c r="F496" t="s">
        <v>9623</v>
      </c>
      <c r="G496" t="s">
        <v>3994</v>
      </c>
    </row>
    <row r="497" spans="1:7" x14ac:dyDescent="0.25">
      <c r="A497" t="s">
        <v>2804</v>
      </c>
      <c r="B497" t="s">
        <v>1096</v>
      </c>
      <c r="C497">
        <v>2021</v>
      </c>
      <c r="E497" t="s">
        <v>1099</v>
      </c>
      <c r="F497" t="s">
        <v>9335</v>
      </c>
      <c r="G497" t="s">
        <v>3994</v>
      </c>
    </row>
    <row r="498" spans="1:7" x14ac:dyDescent="0.25">
      <c r="A498" t="s">
        <v>2377</v>
      </c>
      <c r="B498" t="s">
        <v>1100</v>
      </c>
      <c r="C498">
        <v>2021</v>
      </c>
      <c r="E498" t="s">
        <v>3013</v>
      </c>
      <c r="F498" t="s">
        <v>9624</v>
      </c>
      <c r="G498" t="s">
        <v>187</v>
      </c>
    </row>
    <row r="499" spans="1:7" x14ac:dyDescent="0.25">
      <c r="A499" t="s">
        <v>2173</v>
      </c>
      <c r="B499" t="s">
        <v>1104</v>
      </c>
      <c r="C499">
        <v>2013</v>
      </c>
      <c r="E499" t="s">
        <v>3331</v>
      </c>
      <c r="F499" t="s">
        <v>9053</v>
      </c>
      <c r="G499" t="s">
        <v>3994</v>
      </c>
    </row>
    <row r="500" spans="1:7" x14ac:dyDescent="0.25">
      <c r="A500" t="s">
        <v>2428</v>
      </c>
      <c r="B500" t="s">
        <v>1104</v>
      </c>
      <c r="C500">
        <v>2008</v>
      </c>
      <c r="E500" t="s">
        <v>3331</v>
      </c>
      <c r="F500" t="s">
        <v>9211</v>
      </c>
      <c r="G500" t="s">
        <v>3994</v>
      </c>
    </row>
    <row r="501" spans="1:7" x14ac:dyDescent="0.25">
      <c r="A501" t="s">
        <v>786</v>
      </c>
      <c r="B501" t="s">
        <v>1108</v>
      </c>
      <c r="C501">
        <v>2023</v>
      </c>
      <c r="E501" t="s">
        <v>2982</v>
      </c>
      <c r="F501" t="s">
        <v>8641</v>
      </c>
      <c r="G501" t="s">
        <v>3994</v>
      </c>
    </row>
    <row r="502" spans="1:7" x14ac:dyDescent="0.25">
      <c r="A502" t="s">
        <v>1089</v>
      </c>
      <c r="B502" t="s">
        <v>1108</v>
      </c>
      <c r="C502">
        <v>2021</v>
      </c>
      <c r="E502" t="s">
        <v>2982</v>
      </c>
      <c r="F502" t="s">
        <v>8742</v>
      </c>
      <c r="G502" t="s">
        <v>3994</v>
      </c>
    </row>
    <row r="503" spans="1:7" x14ac:dyDescent="0.25">
      <c r="A503" t="s">
        <v>1443</v>
      </c>
      <c r="B503" t="s">
        <v>1108</v>
      </c>
      <c r="C503">
        <v>2018</v>
      </c>
      <c r="E503" t="s">
        <v>3248</v>
      </c>
      <c r="F503" t="s">
        <v>8860</v>
      </c>
      <c r="G503" t="s">
        <v>3994</v>
      </c>
    </row>
    <row r="504" spans="1:7" x14ac:dyDescent="0.25">
      <c r="A504" t="s">
        <v>90</v>
      </c>
      <c r="B504" t="s">
        <v>1108</v>
      </c>
      <c r="C504">
        <v>2017</v>
      </c>
      <c r="E504" t="s">
        <v>3248</v>
      </c>
      <c r="F504" t="s">
        <v>9118</v>
      </c>
      <c r="G504" t="s">
        <v>3994</v>
      </c>
    </row>
    <row r="505" spans="1:7" x14ac:dyDescent="0.25">
      <c r="A505" t="s">
        <v>346</v>
      </c>
      <c r="B505" t="s">
        <v>1111</v>
      </c>
      <c r="C505">
        <v>2022</v>
      </c>
      <c r="E505" s="10" t="s">
        <v>8346</v>
      </c>
      <c r="F505" t="s">
        <v>8492</v>
      </c>
      <c r="G505" t="s">
        <v>3994</v>
      </c>
    </row>
    <row r="506" spans="1:7" x14ac:dyDescent="0.25">
      <c r="A506" t="s">
        <v>497</v>
      </c>
      <c r="B506" t="s">
        <v>1111</v>
      </c>
      <c r="C506">
        <v>2022</v>
      </c>
      <c r="E506" s="10" t="s">
        <v>8346</v>
      </c>
      <c r="F506" t="s">
        <v>8554</v>
      </c>
      <c r="G506" t="s">
        <v>3994</v>
      </c>
    </row>
    <row r="507" spans="1:7" x14ac:dyDescent="0.25">
      <c r="A507" t="s">
        <v>1951</v>
      </c>
      <c r="B507" t="s">
        <v>1111</v>
      </c>
      <c r="C507">
        <v>2022</v>
      </c>
      <c r="E507" s="10" t="s">
        <v>8346</v>
      </c>
      <c r="F507" t="s">
        <v>8989</v>
      </c>
      <c r="G507" t="s">
        <v>3994</v>
      </c>
    </row>
    <row r="508" spans="1:7" x14ac:dyDescent="0.25">
      <c r="A508" t="s">
        <v>1115</v>
      </c>
      <c r="B508" t="s">
        <v>1119</v>
      </c>
      <c r="C508">
        <v>2018</v>
      </c>
      <c r="D508" t="s">
        <v>187</v>
      </c>
      <c r="F508" t="s">
        <v>9625</v>
      </c>
      <c r="G508" t="s">
        <v>3994</v>
      </c>
    </row>
    <row r="509" spans="1:7" x14ac:dyDescent="0.25">
      <c r="A509" t="s">
        <v>1144</v>
      </c>
      <c r="B509" t="s">
        <v>1123</v>
      </c>
      <c r="C509">
        <v>2012</v>
      </c>
      <c r="E509" t="s">
        <v>3201</v>
      </c>
      <c r="F509" t="s">
        <v>8755</v>
      </c>
      <c r="G509" t="s">
        <v>3994</v>
      </c>
    </row>
    <row r="510" spans="1:7" x14ac:dyDescent="0.25">
      <c r="A510" t="s">
        <v>90</v>
      </c>
      <c r="B510" t="s">
        <v>1123</v>
      </c>
      <c r="C510">
        <v>2017</v>
      </c>
      <c r="E510" t="s">
        <v>3201</v>
      </c>
      <c r="F510" t="s">
        <v>9119</v>
      </c>
      <c r="G510" t="s">
        <v>3994</v>
      </c>
    </row>
    <row r="511" spans="1:7" x14ac:dyDescent="0.25">
      <c r="A511" t="s">
        <v>1294</v>
      </c>
      <c r="B511" t="s">
        <v>1129</v>
      </c>
      <c r="C511">
        <v>2019</v>
      </c>
      <c r="E511" t="s">
        <v>3225</v>
      </c>
      <c r="F511" t="s">
        <v>8803</v>
      </c>
      <c r="G511" t="s">
        <v>3994</v>
      </c>
    </row>
    <row r="512" spans="1:7" x14ac:dyDescent="0.25">
      <c r="A512" t="s">
        <v>90</v>
      </c>
      <c r="B512" t="s">
        <v>1129</v>
      </c>
      <c r="C512">
        <v>2017</v>
      </c>
      <c r="E512" t="s">
        <v>3225</v>
      </c>
      <c r="F512" t="s">
        <v>9120</v>
      </c>
      <c r="G512" t="s">
        <v>3994</v>
      </c>
    </row>
    <row r="513" spans="1:7" x14ac:dyDescent="0.25">
      <c r="A513" t="s">
        <v>160</v>
      </c>
      <c r="B513" t="s">
        <v>1133</v>
      </c>
      <c r="C513">
        <v>2011</v>
      </c>
      <c r="E513" t="s">
        <v>3013</v>
      </c>
      <c r="F513" t="s">
        <v>9626</v>
      </c>
      <c r="G513" t="s">
        <v>187</v>
      </c>
    </row>
    <row r="514" spans="1:7" x14ac:dyDescent="0.25">
      <c r="A514" t="s">
        <v>1435</v>
      </c>
      <c r="B514" t="s">
        <v>1137</v>
      </c>
      <c r="C514">
        <v>2021</v>
      </c>
      <c r="E514" t="s">
        <v>3240</v>
      </c>
      <c r="F514" t="s">
        <v>8842</v>
      </c>
      <c r="G514" t="s">
        <v>3994</v>
      </c>
    </row>
    <row r="515" spans="1:7" x14ac:dyDescent="0.25">
      <c r="A515" t="s">
        <v>256</v>
      </c>
      <c r="B515" t="s">
        <v>1141</v>
      </c>
      <c r="C515">
        <v>1994</v>
      </c>
      <c r="E515" t="s">
        <v>2989</v>
      </c>
      <c r="F515" t="s">
        <v>8461</v>
      </c>
      <c r="G515" t="s">
        <v>3994</v>
      </c>
    </row>
    <row r="516" spans="1:7" x14ac:dyDescent="0.25">
      <c r="A516" t="s">
        <v>922</v>
      </c>
      <c r="B516" t="s">
        <v>1141</v>
      </c>
      <c r="C516">
        <v>2002</v>
      </c>
      <c r="E516" t="s">
        <v>2989</v>
      </c>
      <c r="F516" t="s">
        <v>8684</v>
      </c>
      <c r="G516" t="s">
        <v>3994</v>
      </c>
    </row>
    <row r="517" spans="1:7" x14ac:dyDescent="0.25">
      <c r="A517" t="s">
        <v>1538</v>
      </c>
      <c r="B517" t="s">
        <v>1141</v>
      </c>
      <c r="C517">
        <v>1995</v>
      </c>
      <c r="E517" t="s">
        <v>2989</v>
      </c>
      <c r="F517" t="s">
        <v>9435</v>
      </c>
      <c r="G517" t="s">
        <v>3994</v>
      </c>
    </row>
    <row r="518" spans="1:7" x14ac:dyDescent="0.25">
      <c r="A518" t="s">
        <v>1795</v>
      </c>
      <c r="B518" t="s">
        <v>1141</v>
      </c>
      <c r="C518">
        <v>1987</v>
      </c>
      <c r="E518" t="s">
        <v>2989</v>
      </c>
      <c r="F518" t="s">
        <v>8934</v>
      </c>
      <c r="G518" t="s">
        <v>3994</v>
      </c>
    </row>
    <row r="519" spans="1:7" x14ac:dyDescent="0.25">
      <c r="A519" t="s">
        <v>2428</v>
      </c>
      <c r="B519" t="s">
        <v>1144</v>
      </c>
      <c r="C519">
        <v>2008</v>
      </c>
      <c r="E519" t="s">
        <v>3393</v>
      </c>
      <c r="F519" t="s">
        <v>9627</v>
      </c>
      <c r="G519" t="s">
        <v>187</v>
      </c>
    </row>
    <row r="520" spans="1:7" x14ac:dyDescent="0.25">
      <c r="A520" t="s">
        <v>2874</v>
      </c>
      <c r="B520" t="s">
        <v>1144</v>
      </c>
      <c r="C520">
        <v>2005</v>
      </c>
      <c r="E520" s="10" t="s">
        <v>8396</v>
      </c>
      <c r="F520" t="s">
        <v>9367</v>
      </c>
      <c r="G520" t="s">
        <v>3994</v>
      </c>
    </row>
    <row r="521" spans="1:7" x14ac:dyDescent="0.25">
      <c r="A521" t="s">
        <v>160</v>
      </c>
      <c r="B521" t="s">
        <v>1148</v>
      </c>
      <c r="C521">
        <v>2011</v>
      </c>
      <c r="E521" t="s">
        <v>3405</v>
      </c>
      <c r="F521" t="s">
        <v>9276</v>
      </c>
      <c r="G521" t="s">
        <v>3994</v>
      </c>
    </row>
    <row r="522" spans="1:7" x14ac:dyDescent="0.25">
      <c r="A522" t="s">
        <v>759</v>
      </c>
      <c r="B522" t="s">
        <v>1151</v>
      </c>
      <c r="C522">
        <v>2018</v>
      </c>
      <c r="E522" t="s">
        <v>3118</v>
      </c>
      <c r="F522" t="s">
        <v>8624</v>
      </c>
      <c r="G522" t="s">
        <v>3994</v>
      </c>
    </row>
    <row r="523" spans="1:7" x14ac:dyDescent="0.25">
      <c r="A523" t="s">
        <v>2173</v>
      </c>
      <c r="B523" t="s">
        <v>1151</v>
      </c>
      <c r="C523">
        <v>2013</v>
      </c>
      <c r="E523" t="s">
        <v>3118</v>
      </c>
      <c r="F523" t="s">
        <v>9054</v>
      </c>
      <c r="G523" t="s">
        <v>3994</v>
      </c>
    </row>
    <row r="524" spans="1:7" x14ac:dyDescent="0.25">
      <c r="A524" t="s">
        <v>2715</v>
      </c>
      <c r="B524" t="s">
        <v>1155</v>
      </c>
      <c r="C524">
        <v>1999</v>
      </c>
      <c r="E524" t="s">
        <v>3418</v>
      </c>
      <c r="F524" t="s">
        <v>9320</v>
      </c>
      <c r="G524" t="s">
        <v>3994</v>
      </c>
    </row>
    <row r="525" spans="1:7" x14ac:dyDescent="0.25">
      <c r="A525" t="s">
        <v>1661</v>
      </c>
      <c r="B525" t="s">
        <v>1157</v>
      </c>
      <c r="C525">
        <v>2011</v>
      </c>
      <c r="D525" t="s">
        <v>187</v>
      </c>
      <c r="F525" t="s">
        <v>9628</v>
      </c>
      <c r="G525" t="s">
        <v>3994</v>
      </c>
    </row>
    <row r="526" spans="1:7" x14ac:dyDescent="0.25">
      <c r="A526" t="s">
        <v>1746</v>
      </c>
      <c r="B526" t="s">
        <v>1157</v>
      </c>
      <c r="C526">
        <v>2011</v>
      </c>
      <c r="D526" t="s">
        <v>187</v>
      </c>
      <c r="F526" t="s">
        <v>9629</v>
      </c>
      <c r="G526" t="s">
        <v>3994</v>
      </c>
    </row>
    <row r="527" spans="1:7" x14ac:dyDescent="0.25">
      <c r="A527" t="s">
        <v>1761</v>
      </c>
      <c r="B527" t="s">
        <v>9956</v>
      </c>
      <c r="C527">
        <v>1995</v>
      </c>
      <c r="E527" s="10" t="s">
        <v>9957</v>
      </c>
      <c r="F527" t="s">
        <v>9960</v>
      </c>
      <c r="G527" t="s">
        <v>3994</v>
      </c>
    </row>
    <row r="528" spans="1:7" x14ac:dyDescent="0.25">
      <c r="A528" t="s">
        <v>1970</v>
      </c>
      <c r="B528" t="s">
        <v>9956</v>
      </c>
      <c r="C528">
        <v>2012</v>
      </c>
      <c r="E528" s="10" t="s">
        <v>9957</v>
      </c>
      <c r="F528" t="s">
        <v>9958</v>
      </c>
      <c r="G528" t="s">
        <v>3994</v>
      </c>
    </row>
    <row r="529" spans="1:7" x14ac:dyDescent="0.25">
      <c r="A529" t="s">
        <v>2286</v>
      </c>
      <c r="B529" t="s">
        <v>9956</v>
      </c>
      <c r="C529">
        <v>2014</v>
      </c>
      <c r="E529" s="10" t="s">
        <v>9957</v>
      </c>
      <c r="F529" t="s">
        <v>9959</v>
      </c>
      <c r="G529" t="s">
        <v>3994</v>
      </c>
    </row>
    <row r="530" spans="1:7" x14ac:dyDescent="0.25">
      <c r="A530" t="s">
        <v>759</v>
      </c>
      <c r="B530" t="s">
        <v>1159</v>
      </c>
      <c r="C530">
        <v>2018</v>
      </c>
      <c r="E530" t="s">
        <v>3119</v>
      </c>
      <c r="F530" t="s">
        <v>8625</v>
      </c>
      <c r="G530" t="s">
        <v>3994</v>
      </c>
    </row>
    <row r="531" spans="1:7" x14ac:dyDescent="0.25">
      <c r="A531" t="s">
        <v>1046</v>
      </c>
      <c r="B531" t="s">
        <v>1159</v>
      </c>
      <c r="C531">
        <v>2016</v>
      </c>
      <c r="E531" t="s">
        <v>3119</v>
      </c>
      <c r="F531" t="s">
        <v>8725</v>
      </c>
      <c r="G531" t="s">
        <v>3994</v>
      </c>
    </row>
    <row r="532" spans="1:7" x14ac:dyDescent="0.25">
      <c r="A532" t="s">
        <v>2254</v>
      </c>
      <c r="B532" t="s">
        <v>1159</v>
      </c>
      <c r="C532">
        <v>2020</v>
      </c>
      <c r="E532" t="s">
        <v>2982</v>
      </c>
      <c r="F532" t="s">
        <v>9069</v>
      </c>
      <c r="G532" t="s">
        <v>3994</v>
      </c>
    </row>
    <row r="533" spans="1:7" x14ac:dyDescent="0.25">
      <c r="A533" t="s">
        <v>353</v>
      </c>
      <c r="B533" t="s">
        <v>1163</v>
      </c>
      <c r="C533">
        <v>2023</v>
      </c>
      <c r="E533" t="s">
        <v>3030</v>
      </c>
      <c r="F533" t="s">
        <v>8512</v>
      </c>
      <c r="G533" t="s">
        <v>3994</v>
      </c>
    </row>
    <row r="534" spans="1:7" x14ac:dyDescent="0.25">
      <c r="A534" t="s">
        <v>709</v>
      </c>
      <c r="B534" t="s">
        <v>1166</v>
      </c>
      <c r="C534">
        <v>2022</v>
      </c>
      <c r="E534" t="s">
        <v>3089</v>
      </c>
      <c r="F534" t="s">
        <v>8587</v>
      </c>
      <c r="G534" t="s">
        <v>3994</v>
      </c>
    </row>
    <row r="535" spans="1:7" x14ac:dyDescent="0.25">
      <c r="A535" t="s">
        <v>1294</v>
      </c>
      <c r="B535" t="s">
        <v>1166</v>
      </c>
      <c r="C535">
        <v>2019</v>
      </c>
      <c r="E535" t="s">
        <v>3089</v>
      </c>
      <c r="F535" t="s">
        <v>8804</v>
      </c>
      <c r="G535" t="s">
        <v>3994</v>
      </c>
    </row>
    <row r="536" spans="1:7" x14ac:dyDescent="0.25">
      <c r="A536" t="s">
        <v>2136</v>
      </c>
      <c r="B536" t="s">
        <v>1168</v>
      </c>
      <c r="C536">
        <v>2020</v>
      </c>
      <c r="E536" t="s">
        <v>3013</v>
      </c>
      <c r="F536" t="s">
        <v>9630</v>
      </c>
      <c r="G536" t="s">
        <v>187</v>
      </c>
    </row>
    <row r="537" spans="1:7" x14ac:dyDescent="0.25">
      <c r="A537" t="s">
        <v>256</v>
      </c>
      <c r="B537" t="s">
        <v>1171</v>
      </c>
      <c r="C537">
        <v>1994</v>
      </c>
      <c r="E537" s="10" t="s">
        <v>8438</v>
      </c>
      <c r="F537" t="s">
        <v>8439</v>
      </c>
      <c r="G537" t="s">
        <v>3994</v>
      </c>
    </row>
    <row r="538" spans="1:7" x14ac:dyDescent="0.25">
      <c r="A538" t="s">
        <v>1284</v>
      </c>
      <c r="B538" t="s">
        <v>1171</v>
      </c>
      <c r="C538">
        <v>1984</v>
      </c>
      <c r="E538" t="s">
        <v>3220</v>
      </c>
      <c r="F538" t="s">
        <v>8785</v>
      </c>
      <c r="G538" t="s">
        <v>3994</v>
      </c>
    </row>
    <row r="539" spans="1:7" x14ac:dyDescent="0.25">
      <c r="A539" t="s">
        <v>1171</v>
      </c>
      <c r="B539" t="s">
        <v>1174</v>
      </c>
      <c r="C539">
        <v>2002</v>
      </c>
      <c r="D539" t="s">
        <v>187</v>
      </c>
      <c r="F539" t="s">
        <v>9631</v>
      </c>
      <c r="G539" t="s">
        <v>3994</v>
      </c>
    </row>
    <row r="540" spans="1:7" x14ac:dyDescent="0.25">
      <c r="A540" t="s">
        <v>256</v>
      </c>
      <c r="B540" t="s">
        <v>1177</v>
      </c>
      <c r="C540">
        <v>1994</v>
      </c>
      <c r="E540" t="s">
        <v>2990</v>
      </c>
      <c r="F540" t="s">
        <v>8462</v>
      </c>
      <c r="G540" t="s">
        <v>3994</v>
      </c>
    </row>
    <row r="541" spans="1:7" x14ac:dyDescent="0.25">
      <c r="A541" t="s">
        <v>1174</v>
      </c>
      <c r="B541" t="s">
        <v>1177</v>
      </c>
      <c r="C541">
        <v>2007</v>
      </c>
      <c r="D541" t="s">
        <v>187</v>
      </c>
      <c r="F541" t="s">
        <v>9632</v>
      </c>
      <c r="G541" t="s">
        <v>3994</v>
      </c>
    </row>
    <row r="542" spans="1:7" x14ac:dyDescent="0.25">
      <c r="A542" t="s">
        <v>1284</v>
      </c>
      <c r="B542" t="s">
        <v>1177</v>
      </c>
      <c r="C542">
        <v>1984</v>
      </c>
      <c r="E542" t="s">
        <v>2990</v>
      </c>
      <c r="F542" t="s">
        <v>8786</v>
      </c>
      <c r="G542" t="s">
        <v>3994</v>
      </c>
    </row>
    <row r="543" spans="1:7" x14ac:dyDescent="0.25">
      <c r="A543" t="s">
        <v>2804</v>
      </c>
      <c r="B543" t="s">
        <v>1180</v>
      </c>
      <c r="C543">
        <v>2021</v>
      </c>
      <c r="E543" t="s">
        <v>2982</v>
      </c>
      <c r="F543" t="s">
        <v>9336</v>
      </c>
      <c r="G543" t="s">
        <v>3994</v>
      </c>
    </row>
    <row r="544" spans="1:7" x14ac:dyDescent="0.25">
      <c r="A544" t="s">
        <v>1180</v>
      </c>
      <c r="B544" t="s">
        <v>1184</v>
      </c>
      <c r="C544">
        <v>2024</v>
      </c>
      <c r="D544" t="s">
        <v>187</v>
      </c>
      <c r="F544" t="s">
        <v>9633</v>
      </c>
      <c r="G544" t="s">
        <v>3994</v>
      </c>
    </row>
    <row r="545" spans="1:7" x14ac:dyDescent="0.25">
      <c r="A545" t="s">
        <v>1187</v>
      </c>
      <c r="B545" t="s">
        <v>1191</v>
      </c>
      <c r="C545">
        <v>2020</v>
      </c>
      <c r="D545" t="s">
        <v>187</v>
      </c>
      <c r="F545" t="s">
        <v>9634</v>
      </c>
      <c r="G545" t="s">
        <v>3994</v>
      </c>
    </row>
    <row r="546" spans="1:7" x14ac:dyDescent="0.25">
      <c r="A546" t="s">
        <v>353</v>
      </c>
      <c r="B546" t="s">
        <v>1195</v>
      </c>
      <c r="C546">
        <v>2023</v>
      </c>
      <c r="E546" s="10" t="s">
        <v>8426</v>
      </c>
      <c r="F546" t="s">
        <v>8513</v>
      </c>
      <c r="G546" t="s">
        <v>3994</v>
      </c>
    </row>
    <row r="547" spans="1:7" x14ac:dyDescent="0.25">
      <c r="A547" t="s">
        <v>2804</v>
      </c>
      <c r="B547" t="s">
        <v>1195</v>
      </c>
      <c r="C547">
        <v>2021</v>
      </c>
      <c r="E547" t="s">
        <v>3426</v>
      </c>
      <c r="F547" t="s">
        <v>9337</v>
      </c>
      <c r="G547" t="s">
        <v>3994</v>
      </c>
    </row>
    <row r="548" spans="1:7" x14ac:dyDescent="0.25">
      <c r="A548" t="s">
        <v>1795</v>
      </c>
      <c r="B548" t="s">
        <v>1197</v>
      </c>
      <c r="C548">
        <v>1987</v>
      </c>
      <c r="E548" t="s">
        <v>3278</v>
      </c>
      <c r="F548" t="s">
        <v>9635</v>
      </c>
      <c r="G548" t="s">
        <v>187</v>
      </c>
    </row>
    <row r="549" spans="1:7" x14ac:dyDescent="0.25">
      <c r="A549" t="s">
        <v>497</v>
      </c>
      <c r="B549" t="s">
        <v>1201</v>
      </c>
      <c r="C549">
        <v>2022</v>
      </c>
      <c r="E549" s="10" t="s">
        <v>8417</v>
      </c>
      <c r="F549" t="s">
        <v>9415</v>
      </c>
      <c r="G549" t="s">
        <v>3994</v>
      </c>
    </row>
    <row r="550" spans="1:7" x14ac:dyDescent="0.25">
      <c r="A550" t="s">
        <v>1549</v>
      </c>
      <c r="B550" t="s">
        <v>1201</v>
      </c>
      <c r="C550">
        <v>2021</v>
      </c>
      <c r="E550" s="10" t="s">
        <v>8417</v>
      </c>
      <c r="F550" t="s">
        <v>9416</v>
      </c>
      <c r="G550" t="s">
        <v>3994</v>
      </c>
    </row>
    <row r="551" spans="1:7" x14ac:dyDescent="0.25">
      <c r="A551" t="s">
        <v>2698</v>
      </c>
      <c r="B551" t="s">
        <v>1201</v>
      </c>
      <c r="C551">
        <v>2022</v>
      </c>
      <c r="E551" s="10" t="s">
        <v>8417</v>
      </c>
      <c r="F551" t="s">
        <v>9417</v>
      </c>
      <c r="G551" t="s">
        <v>3994</v>
      </c>
    </row>
    <row r="552" spans="1:7" x14ac:dyDescent="0.25">
      <c r="A552" t="s">
        <v>346</v>
      </c>
      <c r="B552" t="s">
        <v>1211</v>
      </c>
      <c r="C552">
        <v>2022</v>
      </c>
      <c r="E552" s="10" t="s">
        <v>8361</v>
      </c>
      <c r="F552" t="s">
        <v>8493</v>
      </c>
      <c r="G552" t="s">
        <v>3994</v>
      </c>
    </row>
    <row r="553" spans="1:7" x14ac:dyDescent="0.25">
      <c r="A553" t="s">
        <v>847</v>
      </c>
      <c r="B553" t="s">
        <v>1211</v>
      </c>
      <c r="C553">
        <v>1996</v>
      </c>
      <c r="E553" s="10" t="s">
        <v>8362</v>
      </c>
      <c r="F553" t="s">
        <v>8657</v>
      </c>
      <c r="G553" t="s">
        <v>3994</v>
      </c>
    </row>
    <row r="554" spans="1:7" x14ac:dyDescent="0.25">
      <c r="A554" t="s">
        <v>2804</v>
      </c>
      <c r="B554" t="s">
        <v>1211</v>
      </c>
      <c r="C554">
        <v>2021</v>
      </c>
      <c r="E554" t="s">
        <v>3013</v>
      </c>
      <c r="F554" t="s">
        <v>9636</v>
      </c>
      <c r="G554" t="s">
        <v>187</v>
      </c>
    </row>
    <row r="555" spans="1:7" x14ac:dyDescent="0.25">
      <c r="A555" t="s">
        <v>1046</v>
      </c>
      <c r="B555" t="s">
        <v>1219</v>
      </c>
      <c r="C555">
        <v>2016</v>
      </c>
      <c r="E555" t="s">
        <v>2982</v>
      </c>
      <c r="F555" t="s">
        <v>8726</v>
      </c>
      <c r="G555" t="s">
        <v>3994</v>
      </c>
    </row>
    <row r="556" spans="1:7" x14ac:dyDescent="0.25">
      <c r="A556" t="s">
        <v>1294</v>
      </c>
      <c r="B556" t="s">
        <v>1219</v>
      </c>
      <c r="C556">
        <v>2019</v>
      </c>
      <c r="E556" t="s">
        <v>2982</v>
      </c>
      <c r="F556" t="s">
        <v>8805</v>
      </c>
      <c r="G556" t="s">
        <v>3994</v>
      </c>
    </row>
    <row r="557" spans="1:7" x14ac:dyDescent="0.25">
      <c r="A557" t="s">
        <v>2428</v>
      </c>
      <c r="B557" t="s">
        <v>1219</v>
      </c>
      <c r="C557">
        <v>2008</v>
      </c>
      <c r="E557" t="s">
        <v>2982</v>
      </c>
      <c r="F557" t="s">
        <v>9212</v>
      </c>
      <c r="G557" t="s">
        <v>3994</v>
      </c>
    </row>
    <row r="558" spans="1:7" x14ac:dyDescent="0.25">
      <c r="A558" t="s">
        <v>160</v>
      </c>
      <c r="B558" t="s">
        <v>1219</v>
      </c>
      <c r="C558">
        <v>2011</v>
      </c>
      <c r="E558" t="s">
        <v>2982</v>
      </c>
      <c r="F558" t="s">
        <v>9277</v>
      </c>
      <c r="G558" t="s">
        <v>3994</v>
      </c>
    </row>
    <row r="559" spans="1:7" x14ac:dyDescent="0.25">
      <c r="A559" t="s">
        <v>964</v>
      </c>
      <c r="B559" t="s">
        <v>1223</v>
      </c>
      <c r="C559">
        <v>2006</v>
      </c>
      <c r="E559" t="s">
        <v>2982</v>
      </c>
      <c r="F559" t="s">
        <v>8702</v>
      </c>
      <c r="G559" t="s">
        <v>3994</v>
      </c>
    </row>
    <row r="560" spans="1:7" x14ac:dyDescent="0.25">
      <c r="A560" t="s">
        <v>2154</v>
      </c>
      <c r="B560" t="s">
        <v>1227</v>
      </c>
      <c r="C560">
        <v>1980</v>
      </c>
      <c r="E560" t="s">
        <v>3322</v>
      </c>
      <c r="F560" t="s">
        <v>9034</v>
      </c>
      <c r="G560" t="s">
        <v>3994</v>
      </c>
    </row>
    <row r="561" spans="1:7" x14ac:dyDescent="0.25">
      <c r="A561" t="s">
        <v>160</v>
      </c>
      <c r="B561" t="s">
        <v>1227</v>
      </c>
      <c r="C561">
        <v>2011</v>
      </c>
      <c r="E561" t="s">
        <v>3322</v>
      </c>
      <c r="F561" t="s">
        <v>9278</v>
      </c>
      <c r="G561" t="s">
        <v>3994</v>
      </c>
    </row>
    <row r="562" spans="1:7" x14ac:dyDescent="0.25">
      <c r="A562" t="s">
        <v>90</v>
      </c>
      <c r="B562" t="s">
        <v>1231</v>
      </c>
      <c r="C562">
        <v>2022</v>
      </c>
      <c r="E562" t="s">
        <v>3358</v>
      </c>
      <c r="F562" t="s">
        <v>9637</v>
      </c>
      <c r="G562" t="s">
        <v>187</v>
      </c>
    </row>
    <row r="563" spans="1:7" x14ac:dyDescent="0.25">
      <c r="A563" t="s">
        <v>930</v>
      </c>
      <c r="B563" t="s">
        <v>1235</v>
      </c>
      <c r="C563">
        <v>2015</v>
      </c>
      <c r="E563" t="s">
        <v>3154</v>
      </c>
      <c r="F563" t="s">
        <v>8691</v>
      </c>
      <c r="G563" t="s">
        <v>3994</v>
      </c>
    </row>
    <row r="564" spans="1:7" x14ac:dyDescent="0.25">
      <c r="A564" t="s">
        <v>1046</v>
      </c>
      <c r="B564" t="s">
        <v>1235</v>
      </c>
      <c r="C564">
        <v>2016</v>
      </c>
      <c r="E564" s="10" t="s">
        <v>9922</v>
      </c>
      <c r="F564" t="s">
        <v>9921</v>
      </c>
      <c r="G564" t="s">
        <v>3994</v>
      </c>
    </row>
    <row r="565" spans="1:7" x14ac:dyDescent="0.25">
      <c r="A565" t="s">
        <v>1855</v>
      </c>
      <c r="B565" t="s">
        <v>1235</v>
      </c>
      <c r="C565">
        <v>2015</v>
      </c>
      <c r="E565" t="s">
        <v>3298</v>
      </c>
      <c r="F565" t="s">
        <v>8970</v>
      </c>
      <c r="G565" t="s">
        <v>3994</v>
      </c>
    </row>
    <row r="566" spans="1:7" x14ac:dyDescent="0.25">
      <c r="A566" t="s">
        <v>2428</v>
      </c>
      <c r="B566" t="s">
        <v>1235</v>
      </c>
      <c r="C566">
        <v>2008</v>
      </c>
      <c r="E566" t="s">
        <v>3298</v>
      </c>
      <c r="F566" t="s">
        <v>9213</v>
      </c>
      <c r="G566" t="s">
        <v>3994</v>
      </c>
    </row>
    <row r="567" spans="1:7" x14ac:dyDescent="0.25">
      <c r="A567" t="s">
        <v>2518</v>
      </c>
      <c r="B567" t="s">
        <v>1235</v>
      </c>
      <c r="C567">
        <v>2013</v>
      </c>
      <c r="E567" t="s">
        <v>3298</v>
      </c>
      <c r="F567" t="s">
        <v>9246</v>
      </c>
      <c r="G567" t="s">
        <v>3994</v>
      </c>
    </row>
    <row r="568" spans="1:7" x14ac:dyDescent="0.25">
      <c r="A568" t="s">
        <v>160</v>
      </c>
      <c r="B568" t="s">
        <v>1235</v>
      </c>
      <c r="C568">
        <v>2011</v>
      </c>
      <c r="E568" s="10" t="s">
        <v>9922</v>
      </c>
      <c r="F568" t="s">
        <v>9920</v>
      </c>
      <c r="G568" t="s">
        <v>3994</v>
      </c>
    </row>
    <row r="569" spans="1:7" x14ac:dyDescent="0.25">
      <c r="A569" t="s">
        <v>1235</v>
      </c>
      <c r="B569" t="s">
        <v>1239</v>
      </c>
      <c r="C569">
        <v>2026</v>
      </c>
      <c r="D569" t="s">
        <v>187</v>
      </c>
      <c r="F569" t="s">
        <v>9638</v>
      </c>
      <c r="G569" t="s">
        <v>3994</v>
      </c>
    </row>
    <row r="570" spans="1:7" x14ac:dyDescent="0.25">
      <c r="A570" t="s">
        <v>2804</v>
      </c>
      <c r="B570" t="s">
        <v>1243</v>
      </c>
      <c r="C570">
        <v>2021</v>
      </c>
      <c r="E570" t="s">
        <v>3013</v>
      </c>
      <c r="F570" t="s">
        <v>9639</v>
      </c>
      <c r="G570" t="s">
        <v>187</v>
      </c>
    </row>
    <row r="571" spans="1:7" x14ac:dyDescent="0.25">
      <c r="A571" t="s">
        <v>746</v>
      </c>
      <c r="B571" t="s">
        <v>1245</v>
      </c>
      <c r="C571">
        <v>2015</v>
      </c>
      <c r="E571" s="10" t="s">
        <v>8418</v>
      </c>
      <c r="F571" t="s">
        <v>8603</v>
      </c>
      <c r="G571" t="s">
        <v>3994</v>
      </c>
    </row>
    <row r="572" spans="1:7" x14ac:dyDescent="0.25">
      <c r="A572" t="s">
        <v>847</v>
      </c>
      <c r="B572" t="s">
        <v>1245</v>
      </c>
      <c r="C572">
        <v>1996</v>
      </c>
      <c r="E572" s="10" t="s">
        <v>8418</v>
      </c>
      <c r="F572" t="s">
        <v>8658</v>
      </c>
      <c r="G572" t="s">
        <v>3994</v>
      </c>
    </row>
    <row r="573" spans="1:7" x14ac:dyDescent="0.25">
      <c r="A573" t="s">
        <v>90</v>
      </c>
      <c r="B573" t="s">
        <v>1245</v>
      </c>
      <c r="C573">
        <v>2017</v>
      </c>
      <c r="E573" t="s">
        <v>3359</v>
      </c>
      <c r="F573" t="s">
        <v>9121</v>
      </c>
      <c r="G573" t="s">
        <v>3994</v>
      </c>
    </row>
    <row r="574" spans="1:7" x14ac:dyDescent="0.25">
      <c r="A574" t="s">
        <v>2804</v>
      </c>
      <c r="B574" t="s">
        <v>1251</v>
      </c>
      <c r="C574">
        <v>2021</v>
      </c>
      <c r="E574" t="s">
        <v>1254</v>
      </c>
      <c r="F574" t="s">
        <v>9338</v>
      </c>
      <c r="G574" t="s">
        <v>3994</v>
      </c>
    </row>
    <row r="575" spans="1:7" x14ac:dyDescent="0.25">
      <c r="A575" t="s">
        <v>90</v>
      </c>
      <c r="B575" t="s">
        <v>1255</v>
      </c>
      <c r="C575">
        <v>2017</v>
      </c>
      <c r="E575" t="s">
        <v>3360</v>
      </c>
      <c r="F575" t="s">
        <v>9640</v>
      </c>
      <c r="G575" t="s">
        <v>187</v>
      </c>
    </row>
    <row r="576" spans="1:7" x14ac:dyDescent="0.25">
      <c r="A576" t="s">
        <v>689</v>
      </c>
      <c r="B576" t="s">
        <v>1259</v>
      </c>
      <c r="C576">
        <v>2015</v>
      </c>
      <c r="E576" t="s">
        <v>2982</v>
      </c>
      <c r="F576" t="s">
        <v>8582</v>
      </c>
      <c r="G576" t="s">
        <v>3994</v>
      </c>
    </row>
    <row r="577" spans="1:7" x14ac:dyDescent="0.25">
      <c r="A577" t="s">
        <v>1259</v>
      </c>
      <c r="B577" t="s">
        <v>1262</v>
      </c>
      <c r="C577">
        <v>2021</v>
      </c>
      <c r="D577" t="s">
        <v>187</v>
      </c>
      <c r="F577" t="s">
        <v>9641</v>
      </c>
      <c r="G577" t="s">
        <v>3994</v>
      </c>
    </row>
    <row r="578" spans="1:7" x14ac:dyDescent="0.25">
      <c r="A578" t="s">
        <v>1144</v>
      </c>
      <c r="B578" t="s">
        <v>1265</v>
      </c>
      <c r="C578">
        <v>2012</v>
      </c>
      <c r="E578" s="10" t="s">
        <v>8394</v>
      </c>
      <c r="F578" t="s">
        <v>8756</v>
      </c>
      <c r="G578" t="s">
        <v>3994</v>
      </c>
    </row>
    <row r="579" spans="1:7" x14ac:dyDescent="0.25">
      <c r="A579" t="s">
        <v>2428</v>
      </c>
      <c r="B579" t="s">
        <v>1265</v>
      </c>
      <c r="C579">
        <v>2008</v>
      </c>
      <c r="E579" s="10" t="s">
        <v>8394</v>
      </c>
      <c r="F579" t="s">
        <v>9214</v>
      </c>
      <c r="G579" t="s">
        <v>3994</v>
      </c>
    </row>
    <row r="580" spans="1:7" x14ac:dyDescent="0.25">
      <c r="A580" t="s">
        <v>1046</v>
      </c>
      <c r="B580" t="s">
        <v>1272</v>
      </c>
      <c r="C580">
        <v>2016</v>
      </c>
      <c r="E580" t="s">
        <v>3185</v>
      </c>
      <c r="F580" t="s">
        <v>8727</v>
      </c>
      <c r="G580" t="s">
        <v>3994</v>
      </c>
    </row>
    <row r="581" spans="1:7" x14ac:dyDescent="0.25">
      <c r="A581" t="s">
        <v>2804</v>
      </c>
      <c r="B581" t="s">
        <v>1276</v>
      </c>
      <c r="C581">
        <v>2021</v>
      </c>
      <c r="E581" t="s">
        <v>2982</v>
      </c>
      <c r="F581" t="s">
        <v>9339</v>
      </c>
      <c r="G581" t="s">
        <v>3994</v>
      </c>
    </row>
    <row r="582" spans="1:7" x14ac:dyDescent="0.25">
      <c r="A582" t="s">
        <v>1276</v>
      </c>
      <c r="B582" t="s">
        <v>1280</v>
      </c>
      <c r="C582">
        <v>2022</v>
      </c>
      <c r="D582" t="s">
        <v>187</v>
      </c>
      <c r="F582" t="s">
        <v>9642</v>
      </c>
      <c r="G582" t="s">
        <v>3994</v>
      </c>
    </row>
    <row r="583" spans="1:7" x14ac:dyDescent="0.25">
      <c r="A583" t="s">
        <v>1855</v>
      </c>
      <c r="B583" t="s">
        <v>7699</v>
      </c>
      <c r="C583">
        <v>2015</v>
      </c>
      <c r="E583" t="s">
        <v>7702</v>
      </c>
      <c r="F583" t="s">
        <v>8971</v>
      </c>
      <c r="G583" t="s">
        <v>3994</v>
      </c>
    </row>
    <row r="584" spans="1:7" x14ac:dyDescent="0.25">
      <c r="A584" t="s">
        <v>2154</v>
      </c>
      <c r="B584" t="s">
        <v>1284</v>
      </c>
      <c r="C584">
        <v>1980</v>
      </c>
      <c r="F584" t="s">
        <v>9643</v>
      </c>
      <c r="G584" t="s">
        <v>187</v>
      </c>
    </row>
    <row r="585" spans="1:7" x14ac:dyDescent="0.25">
      <c r="A585" t="s">
        <v>2348</v>
      </c>
      <c r="B585" t="s">
        <v>1287</v>
      </c>
      <c r="C585">
        <v>2006</v>
      </c>
      <c r="E585" t="s">
        <v>3339</v>
      </c>
      <c r="F585" t="s">
        <v>9076</v>
      </c>
      <c r="G585" t="s">
        <v>3994</v>
      </c>
    </row>
    <row r="586" spans="1:7" x14ac:dyDescent="0.25">
      <c r="A586" t="s">
        <v>90</v>
      </c>
      <c r="B586" t="s">
        <v>1290</v>
      </c>
      <c r="C586">
        <v>2017</v>
      </c>
      <c r="F586" t="s">
        <v>9644</v>
      </c>
      <c r="G586" t="s">
        <v>187</v>
      </c>
    </row>
    <row r="587" spans="1:7" x14ac:dyDescent="0.25">
      <c r="A587" t="s">
        <v>746</v>
      </c>
      <c r="B587" t="s">
        <v>1294</v>
      </c>
      <c r="C587">
        <v>2015</v>
      </c>
      <c r="E587" s="10" t="s">
        <v>8354</v>
      </c>
      <c r="F587" t="s">
        <v>8604</v>
      </c>
      <c r="G587" t="s">
        <v>3994</v>
      </c>
    </row>
    <row r="588" spans="1:7" x14ac:dyDescent="0.25">
      <c r="A588" t="s">
        <v>759</v>
      </c>
      <c r="B588" t="s">
        <v>1294</v>
      </c>
      <c r="C588">
        <v>2018</v>
      </c>
      <c r="E588" s="10" t="s">
        <v>8354</v>
      </c>
      <c r="F588" t="s">
        <v>8626</v>
      </c>
      <c r="G588" t="s">
        <v>3994</v>
      </c>
    </row>
    <row r="589" spans="1:7" x14ac:dyDescent="0.25">
      <c r="A589" t="s">
        <v>1046</v>
      </c>
      <c r="B589" t="s">
        <v>1294</v>
      </c>
      <c r="C589">
        <v>2016</v>
      </c>
      <c r="E589" s="10" t="s">
        <v>8354</v>
      </c>
      <c r="F589" t="s">
        <v>8728</v>
      </c>
      <c r="G589" t="s">
        <v>3994</v>
      </c>
    </row>
    <row r="590" spans="1:7" x14ac:dyDescent="0.25">
      <c r="A590" t="s">
        <v>2173</v>
      </c>
      <c r="B590" t="s">
        <v>1294</v>
      </c>
      <c r="C590">
        <v>2013</v>
      </c>
      <c r="E590" s="10" t="s">
        <v>8354</v>
      </c>
      <c r="F590" t="s">
        <v>9055</v>
      </c>
      <c r="G590" t="s">
        <v>3994</v>
      </c>
    </row>
    <row r="591" spans="1:7" x14ac:dyDescent="0.25">
      <c r="A591" t="s">
        <v>90</v>
      </c>
      <c r="B591" t="s">
        <v>1294</v>
      </c>
      <c r="C591">
        <v>2017</v>
      </c>
      <c r="E591" s="10" t="s">
        <v>8354</v>
      </c>
      <c r="F591" t="s">
        <v>9122</v>
      </c>
      <c r="G591" t="s">
        <v>3994</v>
      </c>
    </row>
    <row r="592" spans="1:7" x14ac:dyDescent="0.25">
      <c r="A592" t="s">
        <v>2428</v>
      </c>
      <c r="B592" t="s">
        <v>1294</v>
      </c>
      <c r="C592">
        <v>2008</v>
      </c>
      <c r="E592" s="10" t="s">
        <v>8354</v>
      </c>
      <c r="F592" t="s">
        <v>9215</v>
      </c>
      <c r="G592" t="s">
        <v>3994</v>
      </c>
    </row>
    <row r="593" spans="1:7" x14ac:dyDescent="0.25">
      <c r="A593" t="s">
        <v>160</v>
      </c>
      <c r="B593" t="s">
        <v>1294</v>
      </c>
      <c r="C593">
        <v>2011</v>
      </c>
      <c r="E593" s="10" t="s">
        <v>8354</v>
      </c>
      <c r="F593" t="s">
        <v>9279</v>
      </c>
      <c r="G593" t="s">
        <v>3994</v>
      </c>
    </row>
    <row r="594" spans="1:7" x14ac:dyDescent="0.25">
      <c r="A594" t="s">
        <v>2906</v>
      </c>
      <c r="B594" t="s">
        <v>1294</v>
      </c>
      <c r="C594">
        <v>2018</v>
      </c>
      <c r="E594" s="10" t="s">
        <v>8354</v>
      </c>
      <c r="F594" t="s">
        <v>9373</v>
      </c>
      <c r="G594" t="s">
        <v>3994</v>
      </c>
    </row>
    <row r="595" spans="1:7" x14ac:dyDescent="0.25">
      <c r="A595" t="s">
        <v>1294</v>
      </c>
      <c r="B595" t="s">
        <v>1298</v>
      </c>
      <c r="C595">
        <v>2019</v>
      </c>
      <c r="D595" t="s">
        <v>187</v>
      </c>
      <c r="F595" t="s">
        <v>9645</v>
      </c>
      <c r="G595" t="s">
        <v>3994</v>
      </c>
    </row>
    <row r="596" spans="1:7" x14ac:dyDescent="0.25">
      <c r="A596" t="s">
        <v>847</v>
      </c>
      <c r="B596" t="s">
        <v>1302</v>
      </c>
      <c r="C596">
        <v>1996</v>
      </c>
      <c r="E596" s="10" t="s">
        <v>10122</v>
      </c>
      <c r="F596" t="s">
        <v>9646</v>
      </c>
      <c r="G596" t="s">
        <v>3994</v>
      </c>
    </row>
    <row r="597" spans="1:7" x14ac:dyDescent="0.25">
      <c r="A597" t="s">
        <v>2804</v>
      </c>
      <c r="B597" t="s">
        <v>1302</v>
      </c>
      <c r="C597">
        <v>2021</v>
      </c>
      <c r="E597" t="s">
        <v>3013</v>
      </c>
      <c r="F597" t="s">
        <v>9647</v>
      </c>
      <c r="G597" t="s">
        <v>187</v>
      </c>
    </row>
    <row r="598" spans="1:7" x14ac:dyDescent="0.25">
      <c r="A598" t="s">
        <v>1144</v>
      </c>
      <c r="B598" t="s">
        <v>1306</v>
      </c>
      <c r="C598">
        <v>2012</v>
      </c>
      <c r="E598" t="s">
        <v>3202</v>
      </c>
      <c r="F598" t="s">
        <v>9436</v>
      </c>
      <c r="G598" t="s">
        <v>3994</v>
      </c>
    </row>
    <row r="599" spans="1:7" x14ac:dyDescent="0.25">
      <c r="A599" t="s">
        <v>1306</v>
      </c>
      <c r="B599" t="s">
        <v>1310</v>
      </c>
      <c r="C599">
        <v>2014</v>
      </c>
      <c r="D599" t="s">
        <v>187</v>
      </c>
      <c r="F599" t="s">
        <v>9648</v>
      </c>
      <c r="G599" t="s">
        <v>3994</v>
      </c>
    </row>
    <row r="600" spans="1:7" x14ac:dyDescent="0.25">
      <c r="A600" t="s">
        <v>811</v>
      </c>
      <c r="B600" t="s">
        <v>1312</v>
      </c>
      <c r="C600">
        <v>2024</v>
      </c>
      <c r="E600" t="s">
        <v>2982</v>
      </c>
      <c r="F600" t="s">
        <v>8643</v>
      </c>
      <c r="G600" t="s">
        <v>3994</v>
      </c>
    </row>
    <row r="601" spans="1:7" x14ac:dyDescent="0.25">
      <c r="A601" t="s">
        <v>1306</v>
      </c>
      <c r="B601" t="s">
        <v>1312</v>
      </c>
      <c r="C601">
        <v>2014</v>
      </c>
      <c r="D601" t="s">
        <v>187</v>
      </c>
      <c r="F601" t="s">
        <v>9649</v>
      </c>
      <c r="G601" t="s">
        <v>3994</v>
      </c>
    </row>
    <row r="602" spans="1:7" x14ac:dyDescent="0.25">
      <c r="A602" t="s">
        <v>90</v>
      </c>
      <c r="B602" t="s">
        <v>7852</v>
      </c>
      <c r="C602">
        <v>2017</v>
      </c>
      <c r="E602" t="s">
        <v>7851</v>
      </c>
      <c r="F602" t="s">
        <v>9123</v>
      </c>
      <c r="G602" t="s">
        <v>3994</v>
      </c>
    </row>
    <row r="603" spans="1:7" x14ac:dyDescent="0.25">
      <c r="A603" t="s">
        <v>341</v>
      </c>
      <c r="B603" t="s">
        <v>1317</v>
      </c>
      <c r="C603">
        <v>1997</v>
      </c>
      <c r="E603" t="s">
        <v>3009</v>
      </c>
      <c r="F603" t="s">
        <v>9438</v>
      </c>
      <c r="G603" t="s">
        <v>3994</v>
      </c>
    </row>
    <row r="604" spans="1:7" x14ac:dyDescent="0.25">
      <c r="A604" t="s">
        <v>1795</v>
      </c>
      <c r="B604" t="s">
        <v>1317</v>
      </c>
      <c r="C604">
        <v>1987</v>
      </c>
      <c r="E604" t="s">
        <v>3279</v>
      </c>
      <c r="F604" t="s">
        <v>8935</v>
      </c>
      <c r="G604" t="s">
        <v>3994</v>
      </c>
    </row>
    <row r="605" spans="1:7" x14ac:dyDescent="0.25">
      <c r="A605" t="s">
        <v>1855</v>
      </c>
      <c r="B605" t="s">
        <v>1317</v>
      </c>
      <c r="C605">
        <v>2015</v>
      </c>
      <c r="E605" t="s">
        <v>3009</v>
      </c>
      <c r="F605" t="s">
        <v>9650</v>
      </c>
      <c r="G605" t="s">
        <v>187</v>
      </c>
    </row>
    <row r="606" spans="1:7" x14ac:dyDescent="0.25">
      <c r="A606" t="s">
        <v>2023</v>
      </c>
      <c r="B606" t="s">
        <v>1317</v>
      </c>
      <c r="C606">
        <v>2003</v>
      </c>
      <c r="E606" t="s">
        <v>3306</v>
      </c>
      <c r="F606" t="s">
        <v>9437</v>
      </c>
      <c r="G606" t="s">
        <v>3994</v>
      </c>
    </row>
    <row r="607" spans="1:7" x14ac:dyDescent="0.25">
      <c r="A607" t="s">
        <v>1144</v>
      </c>
      <c r="B607" t="s">
        <v>1320</v>
      </c>
      <c r="C607">
        <v>2012</v>
      </c>
      <c r="E607" t="s">
        <v>3203</v>
      </c>
      <c r="F607" t="s">
        <v>8757</v>
      </c>
      <c r="G607" t="s">
        <v>3994</v>
      </c>
    </row>
    <row r="608" spans="1:7" x14ac:dyDescent="0.25">
      <c r="A608" t="s">
        <v>160</v>
      </c>
      <c r="B608" t="s">
        <v>1320</v>
      </c>
      <c r="C608">
        <v>2011</v>
      </c>
      <c r="E608" t="s">
        <v>3203</v>
      </c>
      <c r="F608" t="s">
        <v>9280</v>
      </c>
      <c r="G608" t="s">
        <v>3994</v>
      </c>
    </row>
    <row r="609" spans="1:7" x14ac:dyDescent="0.25">
      <c r="A609" t="s">
        <v>1294</v>
      </c>
      <c r="B609" t="s">
        <v>1326</v>
      </c>
      <c r="C609">
        <v>2019</v>
      </c>
      <c r="E609" t="s">
        <v>3226</v>
      </c>
      <c r="F609" t="s">
        <v>9651</v>
      </c>
      <c r="G609" t="s">
        <v>187</v>
      </c>
    </row>
    <row r="610" spans="1:7" x14ac:dyDescent="0.25">
      <c r="A610" t="s">
        <v>344</v>
      </c>
      <c r="B610" t="s">
        <v>1330</v>
      </c>
      <c r="C610">
        <v>2023</v>
      </c>
      <c r="E610" t="s">
        <v>2982</v>
      </c>
      <c r="F610" t="s">
        <v>8484</v>
      </c>
      <c r="G610" t="s">
        <v>3994</v>
      </c>
    </row>
    <row r="611" spans="1:7" x14ac:dyDescent="0.25">
      <c r="A611" t="s">
        <v>1144</v>
      </c>
      <c r="B611" t="s">
        <v>1334</v>
      </c>
      <c r="C611">
        <v>2012</v>
      </c>
      <c r="E611" s="10" t="s">
        <v>8447</v>
      </c>
      <c r="F611" t="s">
        <v>8446</v>
      </c>
      <c r="G611" t="s">
        <v>3994</v>
      </c>
    </row>
    <row r="612" spans="1:7" x14ac:dyDescent="0.25">
      <c r="A612" t="s">
        <v>1144</v>
      </c>
      <c r="B612" t="s">
        <v>1336</v>
      </c>
      <c r="C612">
        <v>2012</v>
      </c>
      <c r="E612" s="10" t="s">
        <v>8349</v>
      </c>
      <c r="F612" t="s">
        <v>8758</v>
      </c>
      <c r="G612" t="s">
        <v>3994</v>
      </c>
    </row>
    <row r="613" spans="1:7" x14ac:dyDescent="0.25">
      <c r="A613" t="s">
        <v>2428</v>
      </c>
      <c r="B613" t="s">
        <v>1340</v>
      </c>
      <c r="C613">
        <v>2008</v>
      </c>
      <c r="E613" s="10" t="s">
        <v>8419</v>
      </c>
      <c r="F613" t="s">
        <v>9216</v>
      </c>
      <c r="G613" t="s">
        <v>3994</v>
      </c>
    </row>
    <row r="614" spans="1:7" x14ac:dyDescent="0.25">
      <c r="A614" t="s">
        <v>746</v>
      </c>
      <c r="B614" t="s">
        <v>1344</v>
      </c>
      <c r="C614">
        <v>2015</v>
      </c>
      <c r="E614" t="s">
        <v>3103</v>
      </c>
      <c r="F614" t="s">
        <v>9652</v>
      </c>
      <c r="G614" t="s">
        <v>187</v>
      </c>
    </row>
    <row r="615" spans="1:7" x14ac:dyDescent="0.25">
      <c r="A615" t="s">
        <v>847</v>
      </c>
      <c r="B615" t="s">
        <v>1344</v>
      </c>
      <c r="C615">
        <v>1996</v>
      </c>
      <c r="E615" t="s">
        <v>3134</v>
      </c>
      <c r="F615" t="s">
        <v>8659</v>
      </c>
      <c r="G615" t="s">
        <v>3994</v>
      </c>
    </row>
    <row r="616" spans="1:7" x14ac:dyDescent="0.25">
      <c r="A616" t="s">
        <v>1294</v>
      </c>
      <c r="B616" t="s">
        <v>1344</v>
      </c>
      <c r="C616">
        <v>2019</v>
      </c>
      <c r="E616" t="s">
        <v>3103</v>
      </c>
      <c r="F616" t="s">
        <v>9653</v>
      </c>
      <c r="G616" t="s">
        <v>187</v>
      </c>
    </row>
    <row r="617" spans="1:7" x14ac:dyDescent="0.25">
      <c r="A617" t="s">
        <v>1294</v>
      </c>
      <c r="B617" t="s">
        <v>1348</v>
      </c>
      <c r="C617">
        <v>2019</v>
      </c>
      <c r="E617" t="s">
        <v>3227</v>
      </c>
      <c r="F617" t="s">
        <v>8806</v>
      </c>
      <c r="G617" t="s">
        <v>3994</v>
      </c>
    </row>
    <row r="618" spans="1:7" x14ac:dyDescent="0.25">
      <c r="A618" t="s">
        <v>1302</v>
      </c>
      <c r="B618" t="s">
        <v>1348</v>
      </c>
      <c r="C618">
        <v>2023</v>
      </c>
      <c r="E618" t="s">
        <v>3238</v>
      </c>
      <c r="F618" t="s">
        <v>8828</v>
      </c>
      <c r="G618" t="s">
        <v>3994</v>
      </c>
    </row>
    <row r="619" spans="1:7" x14ac:dyDescent="0.25">
      <c r="A619" t="s">
        <v>90</v>
      </c>
      <c r="B619" t="s">
        <v>1348</v>
      </c>
      <c r="C619">
        <v>2017</v>
      </c>
      <c r="E619" t="s">
        <v>3361</v>
      </c>
      <c r="F619" t="s">
        <v>9124</v>
      </c>
      <c r="G619" t="s">
        <v>3994</v>
      </c>
    </row>
    <row r="620" spans="1:7" x14ac:dyDescent="0.25">
      <c r="A620" t="s">
        <v>2804</v>
      </c>
      <c r="B620" t="s">
        <v>1348</v>
      </c>
      <c r="C620">
        <v>2021</v>
      </c>
      <c r="E620" t="s">
        <v>3238</v>
      </c>
      <c r="F620" t="s">
        <v>9340</v>
      </c>
      <c r="G620" t="s">
        <v>3994</v>
      </c>
    </row>
    <row r="621" spans="1:7" x14ac:dyDescent="0.25">
      <c r="A621" t="s">
        <v>2878</v>
      </c>
      <c r="B621" t="s">
        <v>1351</v>
      </c>
      <c r="C621">
        <v>2020</v>
      </c>
      <c r="D621" t="s">
        <v>187</v>
      </c>
      <c r="F621" t="s">
        <v>9654</v>
      </c>
      <c r="G621" t="s">
        <v>3994</v>
      </c>
    </row>
    <row r="622" spans="1:7" x14ac:dyDescent="0.25">
      <c r="A622" t="s">
        <v>462</v>
      </c>
      <c r="B622" t="s">
        <v>1353</v>
      </c>
      <c r="C622">
        <v>2018</v>
      </c>
      <c r="D622" t="s">
        <v>187</v>
      </c>
      <c r="E622" t="s">
        <v>3057</v>
      </c>
      <c r="F622" t="s">
        <v>8542</v>
      </c>
      <c r="G622" t="s">
        <v>3994</v>
      </c>
    </row>
    <row r="623" spans="1:7" x14ac:dyDescent="0.25">
      <c r="A623" t="s">
        <v>90</v>
      </c>
      <c r="B623" t="s">
        <v>1353</v>
      </c>
      <c r="C623">
        <v>2017</v>
      </c>
      <c r="E623" t="s">
        <v>3057</v>
      </c>
      <c r="F623" t="s">
        <v>9125</v>
      </c>
      <c r="G623" t="s">
        <v>3994</v>
      </c>
    </row>
    <row r="624" spans="1:7" x14ac:dyDescent="0.25">
      <c r="A624" t="s">
        <v>1294</v>
      </c>
      <c r="B624" t="s">
        <v>1357</v>
      </c>
      <c r="C624">
        <v>2019</v>
      </c>
      <c r="E624" t="s">
        <v>3228</v>
      </c>
      <c r="F624" t="s">
        <v>9655</v>
      </c>
      <c r="G624" t="s">
        <v>187</v>
      </c>
    </row>
    <row r="625" spans="1:7" x14ac:dyDescent="0.25">
      <c r="A625" t="s">
        <v>497</v>
      </c>
      <c r="B625" t="s">
        <v>1361</v>
      </c>
      <c r="C625">
        <v>2022</v>
      </c>
      <c r="E625" t="s">
        <v>3067</v>
      </c>
      <c r="F625" t="s">
        <v>8555</v>
      </c>
      <c r="G625" t="s">
        <v>3994</v>
      </c>
    </row>
    <row r="626" spans="1:7" x14ac:dyDescent="0.25">
      <c r="A626" t="s">
        <v>2804</v>
      </c>
      <c r="B626" t="s">
        <v>1361</v>
      </c>
      <c r="C626">
        <v>2021</v>
      </c>
      <c r="E626" t="s">
        <v>3013</v>
      </c>
      <c r="F626" t="s">
        <v>9656</v>
      </c>
      <c r="G626" t="s">
        <v>187</v>
      </c>
    </row>
    <row r="627" spans="1:7" x14ac:dyDescent="0.25">
      <c r="A627" t="s">
        <v>1365</v>
      </c>
      <c r="B627" t="s">
        <v>1369</v>
      </c>
      <c r="C627">
        <v>2018</v>
      </c>
      <c r="D627" t="s">
        <v>187</v>
      </c>
      <c r="F627" t="s">
        <v>9657</v>
      </c>
      <c r="G627" t="s">
        <v>3994</v>
      </c>
    </row>
    <row r="628" spans="1:7" x14ac:dyDescent="0.25">
      <c r="A628" t="s">
        <v>571</v>
      </c>
      <c r="B628" t="s">
        <v>1373</v>
      </c>
      <c r="C628">
        <v>2022</v>
      </c>
      <c r="D628" t="s">
        <v>187</v>
      </c>
      <c r="F628" t="s">
        <v>9658</v>
      </c>
      <c r="G628" t="s">
        <v>3994</v>
      </c>
    </row>
    <row r="629" spans="1:7" x14ac:dyDescent="0.25">
      <c r="A629" t="s">
        <v>464</v>
      </c>
      <c r="B629" t="s">
        <v>1376</v>
      </c>
      <c r="C629">
        <v>2022</v>
      </c>
      <c r="D629" t="s">
        <v>187</v>
      </c>
      <c r="F629" t="s">
        <v>9659</v>
      </c>
      <c r="G629" t="s">
        <v>3994</v>
      </c>
    </row>
    <row r="630" spans="1:7" x14ac:dyDescent="0.25">
      <c r="A630" t="s">
        <v>90</v>
      </c>
      <c r="B630" t="s">
        <v>1376</v>
      </c>
      <c r="C630">
        <v>2017</v>
      </c>
      <c r="E630" t="s">
        <v>2982</v>
      </c>
      <c r="F630" t="s">
        <v>9660</v>
      </c>
      <c r="G630" t="s">
        <v>187</v>
      </c>
    </row>
    <row r="631" spans="1:7" x14ac:dyDescent="0.25">
      <c r="A631" t="s">
        <v>1592</v>
      </c>
      <c r="B631" t="s">
        <v>1378</v>
      </c>
      <c r="C631">
        <v>2019</v>
      </c>
      <c r="E631" s="10" t="s">
        <v>1381</v>
      </c>
      <c r="F631" t="s">
        <v>8900</v>
      </c>
      <c r="G631" t="s">
        <v>3994</v>
      </c>
    </row>
    <row r="632" spans="1:7" x14ac:dyDescent="0.25">
      <c r="A632" t="s">
        <v>2804</v>
      </c>
      <c r="B632" t="s">
        <v>1378</v>
      </c>
      <c r="C632">
        <v>2021</v>
      </c>
      <c r="E632" s="10" t="s">
        <v>1381</v>
      </c>
      <c r="F632" t="s">
        <v>9341</v>
      </c>
      <c r="G632" t="s">
        <v>3994</v>
      </c>
    </row>
    <row r="633" spans="1:7" x14ac:dyDescent="0.25">
      <c r="A633" t="s">
        <v>2721</v>
      </c>
      <c r="B633" t="s">
        <v>1382</v>
      </c>
      <c r="C633">
        <v>1993</v>
      </c>
      <c r="E633" t="s">
        <v>3013</v>
      </c>
      <c r="F633" t="s">
        <v>9661</v>
      </c>
      <c r="G633" t="s">
        <v>187</v>
      </c>
    </row>
    <row r="634" spans="1:7" x14ac:dyDescent="0.25">
      <c r="A634" t="s">
        <v>1761</v>
      </c>
      <c r="B634" t="s">
        <v>1388</v>
      </c>
      <c r="C634">
        <v>1995</v>
      </c>
      <c r="E634" t="s">
        <v>3271</v>
      </c>
      <c r="F634" t="s">
        <v>8925</v>
      </c>
      <c r="G634" t="s">
        <v>3994</v>
      </c>
    </row>
    <row r="635" spans="1:7" x14ac:dyDescent="0.25">
      <c r="A635" t="s">
        <v>2721</v>
      </c>
      <c r="B635" t="s">
        <v>1388</v>
      </c>
      <c r="C635">
        <v>1993</v>
      </c>
      <c r="E635" t="s">
        <v>3271</v>
      </c>
      <c r="F635" t="s">
        <v>9322</v>
      </c>
      <c r="G635" t="s">
        <v>3994</v>
      </c>
    </row>
    <row r="636" spans="1:7" x14ac:dyDescent="0.25">
      <c r="A636" t="s">
        <v>353</v>
      </c>
      <c r="B636" t="s">
        <v>1391</v>
      </c>
      <c r="C636">
        <v>2023</v>
      </c>
      <c r="E636" t="s">
        <v>3031</v>
      </c>
      <c r="F636" t="s">
        <v>8514</v>
      </c>
      <c r="G636" t="s">
        <v>3994</v>
      </c>
    </row>
    <row r="637" spans="1:7" x14ac:dyDescent="0.25">
      <c r="A637" t="s">
        <v>497</v>
      </c>
      <c r="B637" t="s">
        <v>1391</v>
      </c>
      <c r="C637">
        <v>2022</v>
      </c>
      <c r="E637" t="s">
        <v>2982</v>
      </c>
      <c r="F637" t="s">
        <v>8556</v>
      </c>
      <c r="G637" t="s">
        <v>3994</v>
      </c>
    </row>
    <row r="638" spans="1:7" x14ac:dyDescent="0.25">
      <c r="A638" t="s">
        <v>353</v>
      </c>
      <c r="B638" t="s">
        <v>1394</v>
      </c>
      <c r="C638">
        <v>2023</v>
      </c>
      <c r="E638" t="s">
        <v>3032</v>
      </c>
      <c r="F638" t="s">
        <v>9382</v>
      </c>
      <c r="G638" t="s">
        <v>3994</v>
      </c>
    </row>
    <row r="639" spans="1:7" x14ac:dyDescent="0.25">
      <c r="A639" t="s">
        <v>918</v>
      </c>
      <c r="B639" t="s">
        <v>1394</v>
      </c>
      <c r="C639">
        <v>2014</v>
      </c>
      <c r="E639" t="s">
        <v>3032</v>
      </c>
      <c r="F639" t="s">
        <v>9402</v>
      </c>
      <c r="G639" t="s">
        <v>3994</v>
      </c>
    </row>
    <row r="640" spans="1:7" x14ac:dyDescent="0.25">
      <c r="A640" t="s">
        <v>90</v>
      </c>
      <c r="B640" t="s">
        <v>1394</v>
      </c>
      <c r="C640">
        <v>2017</v>
      </c>
      <c r="E640" t="s">
        <v>3032</v>
      </c>
      <c r="F640" t="s">
        <v>9383</v>
      </c>
      <c r="G640" t="s">
        <v>3994</v>
      </c>
    </row>
    <row r="641" spans="1:7" x14ac:dyDescent="0.25">
      <c r="A641" t="s">
        <v>2890</v>
      </c>
      <c r="B641" t="s">
        <v>1394</v>
      </c>
      <c r="C641">
        <v>2023</v>
      </c>
      <c r="E641" s="10" t="s">
        <v>3032</v>
      </c>
      <c r="F641" t="s">
        <v>9381</v>
      </c>
      <c r="G641" t="s">
        <v>3994</v>
      </c>
    </row>
    <row r="642" spans="1:7" x14ac:dyDescent="0.25">
      <c r="A642" t="s">
        <v>2804</v>
      </c>
      <c r="B642" t="s">
        <v>1396</v>
      </c>
      <c r="C642">
        <v>2021</v>
      </c>
      <c r="E642" t="s">
        <v>3013</v>
      </c>
      <c r="F642" t="s">
        <v>9662</v>
      </c>
      <c r="G642" t="s">
        <v>187</v>
      </c>
    </row>
    <row r="643" spans="1:7" x14ac:dyDescent="0.25">
      <c r="A643" t="s">
        <v>256</v>
      </c>
      <c r="B643" t="s">
        <v>1400</v>
      </c>
      <c r="C643">
        <v>1994</v>
      </c>
      <c r="E643" t="s">
        <v>2991</v>
      </c>
      <c r="F643" t="s">
        <v>8463</v>
      </c>
      <c r="G643" t="s">
        <v>3994</v>
      </c>
    </row>
    <row r="644" spans="1:7" x14ac:dyDescent="0.25">
      <c r="A644" t="s">
        <v>689</v>
      </c>
      <c r="B644" t="s">
        <v>1400</v>
      </c>
      <c r="C644">
        <v>2015</v>
      </c>
      <c r="E644" t="s">
        <v>2991</v>
      </c>
      <c r="F644" t="s">
        <v>8583</v>
      </c>
      <c r="G644" t="s">
        <v>3994</v>
      </c>
    </row>
    <row r="645" spans="1:7" x14ac:dyDescent="0.25">
      <c r="A645" t="s">
        <v>1385</v>
      </c>
      <c r="B645" t="s">
        <v>1400</v>
      </c>
      <c r="C645">
        <v>2013</v>
      </c>
      <c r="E645" t="s">
        <v>2991</v>
      </c>
      <c r="F645" t="s">
        <v>8835</v>
      </c>
      <c r="G645" t="s">
        <v>3994</v>
      </c>
    </row>
    <row r="646" spans="1:7" x14ac:dyDescent="0.25">
      <c r="A646" t="s">
        <v>1795</v>
      </c>
      <c r="B646" t="s">
        <v>1400</v>
      </c>
      <c r="C646">
        <v>1987</v>
      </c>
      <c r="E646" t="s">
        <v>2991</v>
      </c>
      <c r="F646" t="s">
        <v>8936</v>
      </c>
      <c r="G646" t="s">
        <v>3994</v>
      </c>
    </row>
    <row r="647" spans="1:7" x14ac:dyDescent="0.25">
      <c r="A647" t="s">
        <v>2053</v>
      </c>
      <c r="B647" t="s">
        <v>1400</v>
      </c>
      <c r="C647">
        <v>1992</v>
      </c>
      <c r="E647" t="s">
        <v>2991</v>
      </c>
      <c r="F647" t="s">
        <v>8996</v>
      </c>
      <c r="G647" t="s">
        <v>3994</v>
      </c>
    </row>
    <row r="648" spans="1:7" x14ac:dyDescent="0.25">
      <c r="A648" t="s">
        <v>2154</v>
      </c>
      <c r="B648" t="s">
        <v>1400</v>
      </c>
      <c r="C648">
        <v>1980</v>
      </c>
      <c r="E648" t="s">
        <v>2991</v>
      </c>
      <c r="F648" t="s">
        <v>9035</v>
      </c>
      <c r="G648" t="s">
        <v>3994</v>
      </c>
    </row>
    <row r="649" spans="1:7" x14ac:dyDescent="0.25">
      <c r="A649" t="s">
        <v>2804</v>
      </c>
      <c r="B649" t="s">
        <v>1403</v>
      </c>
      <c r="C649">
        <v>2021</v>
      </c>
      <c r="E649" t="s">
        <v>3013</v>
      </c>
      <c r="F649" t="s">
        <v>9663</v>
      </c>
      <c r="G649" t="s">
        <v>187</v>
      </c>
    </row>
    <row r="650" spans="1:7" x14ac:dyDescent="0.25">
      <c r="A650" t="s">
        <v>836</v>
      </c>
      <c r="B650" t="s">
        <v>1407</v>
      </c>
      <c r="C650">
        <v>2010</v>
      </c>
      <c r="E650" s="10" t="s">
        <v>9412</v>
      </c>
      <c r="F650" t="s">
        <v>9411</v>
      </c>
      <c r="G650" t="s">
        <v>3994</v>
      </c>
    </row>
    <row r="651" spans="1:7" x14ac:dyDescent="0.25">
      <c r="A651" t="s">
        <v>994</v>
      </c>
      <c r="B651" t="s">
        <v>1407</v>
      </c>
      <c r="C651">
        <v>2011</v>
      </c>
      <c r="E651" t="s">
        <v>3168</v>
      </c>
      <c r="F651" t="s">
        <v>8707</v>
      </c>
      <c r="G651" t="s">
        <v>3994</v>
      </c>
    </row>
    <row r="652" spans="1:7" x14ac:dyDescent="0.25">
      <c r="A652" t="s">
        <v>1572</v>
      </c>
      <c r="B652" t="s">
        <v>1407</v>
      </c>
      <c r="C652">
        <v>2001</v>
      </c>
      <c r="E652" t="s">
        <v>3168</v>
      </c>
      <c r="F652" t="s">
        <v>8878</v>
      </c>
      <c r="G652" t="s">
        <v>3994</v>
      </c>
    </row>
    <row r="653" spans="1:7" x14ac:dyDescent="0.25">
      <c r="A653" t="s">
        <v>2804</v>
      </c>
      <c r="B653" t="s">
        <v>1409</v>
      </c>
      <c r="C653">
        <v>2021</v>
      </c>
      <c r="E653" t="s">
        <v>3427</v>
      </c>
      <c r="F653" t="s">
        <v>9664</v>
      </c>
      <c r="G653" t="s">
        <v>187</v>
      </c>
    </row>
    <row r="654" spans="1:7" x14ac:dyDescent="0.25">
      <c r="A654" t="s">
        <v>1046</v>
      </c>
      <c r="B654" t="s">
        <v>1413</v>
      </c>
      <c r="C654">
        <v>2016</v>
      </c>
      <c r="E654" s="10" t="s">
        <v>8403</v>
      </c>
      <c r="F654" t="s">
        <v>8729</v>
      </c>
      <c r="G654" t="s">
        <v>3994</v>
      </c>
    </row>
    <row r="655" spans="1:7" x14ac:dyDescent="0.25">
      <c r="A655" t="s">
        <v>2173</v>
      </c>
      <c r="B655" t="s">
        <v>1413</v>
      </c>
      <c r="C655">
        <v>2013</v>
      </c>
      <c r="E655" t="s">
        <v>3332</v>
      </c>
      <c r="F655" t="s">
        <v>9056</v>
      </c>
      <c r="G655" t="s">
        <v>3994</v>
      </c>
    </row>
    <row r="656" spans="1:7" x14ac:dyDescent="0.25">
      <c r="A656" t="s">
        <v>2428</v>
      </c>
      <c r="B656" t="s">
        <v>1413</v>
      </c>
      <c r="C656">
        <v>2008</v>
      </c>
      <c r="E656" s="10" t="s">
        <v>8403</v>
      </c>
      <c r="F656" t="s">
        <v>9217</v>
      </c>
      <c r="G656" t="s">
        <v>3994</v>
      </c>
    </row>
    <row r="657" spans="1:7" x14ac:dyDescent="0.25">
      <c r="A657" t="s">
        <v>2954</v>
      </c>
      <c r="B657" t="s">
        <v>1413</v>
      </c>
      <c r="C657">
        <v>2014</v>
      </c>
      <c r="E657" s="10" t="s">
        <v>8402</v>
      </c>
      <c r="F657" t="s">
        <v>9378</v>
      </c>
      <c r="G657" t="s">
        <v>3994</v>
      </c>
    </row>
    <row r="658" spans="1:7" x14ac:dyDescent="0.25">
      <c r="A658" t="s">
        <v>2132</v>
      </c>
      <c r="B658" t="s">
        <v>1417</v>
      </c>
      <c r="C658">
        <v>2013</v>
      </c>
      <c r="E658" t="s">
        <v>3311</v>
      </c>
      <c r="F658" t="s">
        <v>9007</v>
      </c>
      <c r="G658" t="s">
        <v>3994</v>
      </c>
    </row>
    <row r="659" spans="1:7" x14ac:dyDescent="0.25">
      <c r="A659" t="s">
        <v>256</v>
      </c>
      <c r="B659" t="s">
        <v>1420</v>
      </c>
      <c r="C659">
        <v>1994</v>
      </c>
      <c r="E659" t="s">
        <v>2992</v>
      </c>
      <c r="F659" t="s">
        <v>9665</v>
      </c>
      <c r="G659" t="s">
        <v>187</v>
      </c>
    </row>
    <row r="660" spans="1:7" x14ac:dyDescent="0.25">
      <c r="A660" t="s">
        <v>260</v>
      </c>
      <c r="B660" t="s">
        <v>1420</v>
      </c>
      <c r="C660">
        <v>1990</v>
      </c>
      <c r="E660" t="s">
        <v>2992</v>
      </c>
      <c r="F660" t="s">
        <v>9666</v>
      </c>
      <c r="G660" t="s">
        <v>187</v>
      </c>
    </row>
    <row r="661" spans="1:7" x14ac:dyDescent="0.25">
      <c r="A661" t="s">
        <v>1795</v>
      </c>
      <c r="B661" t="s">
        <v>1420</v>
      </c>
      <c r="C661">
        <v>1987</v>
      </c>
      <c r="E661" t="s">
        <v>2992</v>
      </c>
      <c r="F661" t="s">
        <v>9667</v>
      </c>
      <c r="G661" t="s">
        <v>187</v>
      </c>
    </row>
    <row r="662" spans="1:7" x14ac:dyDescent="0.25">
      <c r="A662" t="s">
        <v>1882</v>
      </c>
      <c r="B662" t="s">
        <v>1420</v>
      </c>
      <c r="C662">
        <v>1987</v>
      </c>
      <c r="E662" t="s">
        <v>2992</v>
      </c>
      <c r="F662" t="s">
        <v>9668</v>
      </c>
      <c r="G662" t="s">
        <v>187</v>
      </c>
    </row>
    <row r="663" spans="1:7" x14ac:dyDescent="0.25">
      <c r="A663" t="s">
        <v>2571</v>
      </c>
      <c r="B663" t="s">
        <v>1420</v>
      </c>
      <c r="C663">
        <v>1998</v>
      </c>
      <c r="E663" t="s">
        <v>2992</v>
      </c>
      <c r="F663" t="s">
        <v>9669</v>
      </c>
      <c r="G663" t="s">
        <v>187</v>
      </c>
    </row>
    <row r="664" spans="1:7" x14ac:dyDescent="0.25">
      <c r="A664" t="s">
        <v>2874</v>
      </c>
      <c r="B664" t="s">
        <v>1423</v>
      </c>
      <c r="C664">
        <v>2005</v>
      </c>
      <c r="D664" t="s">
        <v>187</v>
      </c>
      <c r="F664" t="s">
        <v>9670</v>
      </c>
      <c r="G664" t="s">
        <v>3994</v>
      </c>
    </row>
    <row r="665" spans="1:7" x14ac:dyDescent="0.25">
      <c r="A665" t="s">
        <v>260</v>
      </c>
      <c r="B665" t="s">
        <v>1425</v>
      </c>
      <c r="C665">
        <v>1990</v>
      </c>
      <c r="E665" t="s">
        <v>2982</v>
      </c>
      <c r="F665" t="s">
        <v>9439</v>
      </c>
      <c r="G665" t="s">
        <v>3994</v>
      </c>
    </row>
    <row r="666" spans="1:7" x14ac:dyDescent="0.25">
      <c r="A666" t="s">
        <v>922</v>
      </c>
      <c r="B666" t="s">
        <v>1425</v>
      </c>
      <c r="C666">
        <v>2002</v>
      </c>
      <c r="E666" t="s">
        <v>2982</v>
      </c>
      <c r="F666" t="s">
        <v>8685</v>
      </c>
      <c r="G666" t="s">
        <v>3994</v>
      </c>
    </row>
    <row r="667" spans="1:7" x14ac:dyDescent="0.25">
      <c r="A667" t="s">
        <v>2154</v>
      </c>
      <c r="B667" t="s">
        <v>1425</v>
      </c>
      <c r="C667">
        <v>1980</v>
      </c>
      <c r="E667" t="s">
        <v>2982</v>
      </c>
      <c r="F667" t="s">
        <v>9036</v>
      </c>
      <c r="G667" t="s">
        <v>3994</v>
      </c>
    </row>
    <row r="668" spans="1:7" x14ac:dyDescent="0.25">
      <c r="A668" t="s">
        <v>1690</v>
      </c>
      <c r="B668" t="s">
        <v>1428</v>
      </c>
      <c r="C668">
        <v>2020</v>
      </c>
      <c r="D668" t="s">
        <v>187</v>
      </c>
      <c r="F668" t="s">
        <v>9671</v>
      </c>
      <c r="G668" t="s">
        <v>3994</v>
      </c>
    </row>
    <row r="669" spans="1:7" x14ac:dyDescent="0.25">
      <c r="A669" t="s">
        <v>1306</v>
      </c>
      <c r="B669" t="s">
        <v>1432</v>
      </c>
      <c r="C669">
        <v>2014</v>
      </c>
      <c r="E669" t="s">
        <v>2982</v>
      </c>
      <c r="F669" t="s">
        <v>8832</v>
      </c>
      <c r="G669" t="s">
        <v>3994</v>
      </c>
    </row>
    <row r="670" spans="1:7" x14ac:dyDescent="0.25">
      <c r="A670" t="s">
        <v>1435</v>
      </c>
      <c r="B670" t="s">
        <v>1432</v>
      </c>
      <c r="C670">
        <v>2021</v>
      </c>
      <c r="E670" t="s">
        <v>2982</v>
      </c>
      <c r="F670" t="s">
        <v>8843</v>
      </c>
      <c r="G670" t="s">
        <v>3994</v>
      </c>
    </row>
    <row r="671" spans="1:7" x14ac:dyDescent="0.25">
      <c r="A671" t="s">
        <v>1690</v>
      </c>
      <c r="B671" t="s">
        <v>1435</v>
      </c>
      <c r="C671">
        <v>2020</v>
      </c>
      <c r="E671" t="s">
        <v>3267</v>
      </c>
      <c r="F671" t="s">
        <v>8910</v>
      </c>
      <c r="G671" t="s">
        <v>3994</v>
      </c>
    </row>
    <row r="672" spans="1:7" x14ac:dyDescent="0.25">
      <c r="A672" t="s">
        <v>90</v>
      </c>
      <c r="B672" t="s">
        <v>1435</v>
      </c>
      <c r="C672">
        <v>2017</v>
      </c>
      <c r="E672" t="s">
        <v>3267</v>
      </c>
      <c r="F672" t="s">
        <v>9126</v>
      </c>
      <c r="G672" t="s">
        <v>3994</v>
      </c>
    </row>
    <row r="673" spans="1:7" x14ac:dyDescent="0.25">
      <c r="A673" t="s">
        <v>353</v>
      </c>
      <c r="B673" t="s">
        <v>7987</v>
      </c>
      <c r="C673">
        <v>2023</v>
      </c>
      <c r="E673" s="10" t="s">
        <v>7986</v>
      </c>
      <c r="F673" t="s">
        <v>8515</v>
      </c>
      <c r="G673" t="s">
        <v>3994</v>
      </c>
    </row>
    <row r="674" spans="1:7" x14ac:dyDescent="0.25">
      <c r="A674" t="s">
        <v>353</v>
      </c>
      <c r="B674" t="s">
        <v>7987</v>
      </c>
      <c r="C674">
        <v>2023</v>
      </c>
      <c r="E674" s="10" t="s">
        <v>7986</v>
      </c>
      <c r="F674" t="s">
        <v>8515</v>
      </c>
      <c r="G674" t="s">
        <v>3994</v>
      </c>
    </row>
    <row r="675" spans="1:7" x14ac:dyDescent="0.25">
      <c r="A675" t="s">
        <v>720</v>
      </c>
      <c r="B675" t="s">
        <v>1439</v>
      </c>
      <c r="C675">
        <v>2016</v>
      </c>
      <c r="E675" t="s">
        <v>3090</v>
      </c>
      <c r="F675" t="s">
        <v>8589</v>
      </c>
      <c r="G675" t="s">
        <v>3994</v>
      </c>
    </row>
    <row r="676" spans="1:7" x14ac:dyDescent="0.25">
      <c r="A676" t="s">
        <v>1144</v>
      </c>
      <c r="B676" t="s">
        <v>1439</v>
      </c>
      <c r="C676">
        <v>2012</v>
      </c>
      <c r="E676" t="s">
        <v>3090</v>
      </c>
      <c r="F676" t="s">
        <v>8759</v>
      </c>
      <c r="G676" t="s">
        <v>3994</v>
      </c>
    </row>
    <row r="677" spans="1:7" x14ac:dyDescent="0.25">
      <c r="A677" t="s">
        <v>1144</v>
      </c>
      <c r="B677" t="s">
        <v>1443</v>
      </c>
      <c r="C677">
        <v>2012</v>
      </c>
      <c r="D677" t="s">
        <v>187</v>
      </c>
      <c r="E677" t="s">
        <v>3204</v>
      </c>
      <c r="F677" t="s">
        <v>8760</v>
      </c>
      <c r="G677" t="s">
        <v>3994</v>
      </c>
    </row>
    <row r="678" spans="1:7" x14ac:dyDescent="0.25">
      <c r="A678" t="s">
        <v>1385</v>
      </c>
      <c r="B678" t="s">
        <v>1443</v>
      </c>
      <c r="C678">
        <v>2013</v>
      </c>
      <c r="E678" t="s">
        <v>3239</v>
      </c>
      <c r="F678" t="s">
        <v>9672</v>
      </c>
      <c r="G678" t="s">
        <v>187</v>
      </c>
    </row>
    <row r="679" spans="1:7" x14ac:dyDescent="0.25">
      <c r="A679" t="s">
        <v>90</v>
      </c>
      <c r="B679" t="s">
        <v>1447</v>
      </c>
      <c r="C679">
        <v>2017</v>
      </c>
      <c r="E679" t="s">
        <v>2982</v>
      </c>
      <c r="F679" t="s">
        <v>9127</v>
      </c>
      <c r="G679" t="s">
        <v>3994</v>
      </c>
    </row>
    <row r="680" spans="1:7" x14ac:dyDescent="0.25">
      <c r="A680" t="s">
        <v>746</v>
      </c>
      <c r="B680" t="s">
        <v>1450</v>
      </c>
      <c r="C680">
        <v>2015</v>
      </c>
      <c r="E680" t="s">
        <v>3104</v>
      </c>
      <c r="F680" t="s">
        <v>8605</v>
      </c>
      <c r="G680" t="s">
        <v>3994</v>
      </c>
    </row>
    <row r="681" spans="1:7" x14ac:dyDescent="0.25">
      <c r="A681" t="s">
        <v>90</v>
      </c>
      <c r="B681" t="s">
        <v>1450</v>
      </c>
      <c r="C681">
        <v>2017</v>
      </c>
      <c r="E681" t="s">
        <v>3104</v>
      </c>
      <c r="F681" t="s">
        <v>9128</v>
      </c>
      <c r="G681" t="s">
        <v>3994</v>
      </c>
    </row>
    <row r="682" spans="1:7" x14ac:dyDescent="0.25">
      <c r="A682" t="s">
        <v>1795</v>
      </c>
      <c r="B682" t="s">
        <v>1454</v>
      </c>
      <c r="C682">
        <v>1987</v>
      </c>
      <c r="E682" t="s">
        <v>3280</v>
      </c>
      <c r="F682" t="s">
        <v>8937</v>
      </c>
      <c r="G682" t="s">
        <v>3994</v>
      </c>
    </row>
    <row r="683" spans="1:7" x14ac:dyDescent="0.25">
      <c r="A683" t="s">
        <v>1460</v>
      </c>
      <c r="B683" t="s">
        <v>1457</v>
      </c>
      <c r="C683">
        <v>2006</v>
      </c>
      <c r="D683" t="s">
        <v>187</v>
      </c>
      <c r="F683" t="s">
        <v>9673</v>
      </c>
      <c r="G683" t="s">
        <v>3994</v>
      </c>
    </row>
    <row r="684" spans="1:7" x14ac:dyDescent="0.25">
      <c r="A684" t="s">
        <v>2721</v>
      </c>
      <c r="B684" t="s">
        <v>1460</v>
      </c>
      <c r="C684">
        <v>1993</v>
      </c>
      <c r="E684" t="s">
        <v>3013</v>
      </c>
      <c r="F684" t="s">
        <v>9674</v>
      </c>
      <c r="G684" t="s">
        <v>187</v>
      </c>
    </row>
    <row r="685" spans="1:7" x14ac:dyDescent="0.25">
      <c r="A685" t="s">
        <v>778</v>
      </c>
      <c r="B685" t="s">
        <v>1463</v>
      </c>
      <c r="C685">
        <v>2023</v>
      </c>
      <c r="E685" t="s">
        <v>3126</v>
      </c>
      <c r="F685" t="s">
        <v>8638</v>
      </c>
      <c r="G685" t="s">
        <v>3994</v>
      </c>
    </row>
    <row r="686" spans="1:7" x14ac:dyDescent="0.25">
      <c r="A686" t="s">
        <v>847</v>
      </c>
      <c r="B686" t="s">
        <v>1463</v>
      </c>
      <c r="C686">
        <v>1996</v>
      </c>
      <c r="E686" t="s">
        <v>3126</v>
      </c>
      <c r="F686" t="s">
        <v>9440</v>
      </c>
      <c r="G686" t="s">
        <v>3994</v>
      </c>
    </row>
    <row r="687" spans="1:7" x14ac:dyDescent="0.25">
      <c r="A687" t="s">
        <v>1302</v>
      </c>
      <c r="B687" t="s">
        <v>1463</v>
      </c>
      <c r="C687">
        <v>2023</v>
      </c>
      <c r="E687" t="s">
        <v>3126</v>
      </c>
      <c r="F687" t="s">
        <v>8829</v>
      </c>
      <c r="G687" t="s">
        <v>3994</v>
      </c>
    </row>
    <row r="688" spans="1:7" x14ac:dyDescent="0.25">
      <c r="A688" t="s">
        <v>2804</v>
      </c>
      <c r="B688" t="s">
        <v>1463</v>
      </c>
      <c r="C688">
        <v>2021</v>
      </c>
      <c r="E688" t="s">
        <v>3126</v>
      </c>
      <c r="F688" t="s">
        <v>9342</v>
      </c>
      <c r="G688" t="s">
        <v>3994</v>
      </c>
    </row>
    <row r="689" spans="1:7" x14ac:dyDescent="0.25">
      <c r="A689" t="s">
        <v>922</v>
      </c>
      <c r="B689" t="s">
        <v>1467</v>
      </c>
      <c r="C689">
        <v>2002</v>
      </c>
      <c r="D689" t="s">
        <v>187</v>
      </c>
      <c r="F689" t="s">
        <v>9675</v>
      </c>
      <c r="G689" t="s">
        <v>3994</v>
      </c>
    </row>
    <row r="690" spans="1:7" x14ac:dyDescent="0.25">
      <c r="A690" t="s">
        <v>2377</v>
      </c>
      <c r="B690" t="s">
        <v>1471</v>
      </c>
      <c r="C690">
        <v>2021</v>
      </c>
      <c r="E690" t="s">
        <v>3013</v>
      </c>
      <c r="F690" t="s">
        <v>9676</v>
      </c>
      <c r="G690" t="s">
        <v>187</v>
      </c>
    </row>
    <row r="691" spans="1:7" x14ac:dyDescent="0.25">
      <c r="A691" t="s">
        <v>1933</v>
      </c>
      <c r="B691" t="s">
        <v>1475</v>
      </c>
      <c r="C691">
        <v>2021</v>
      </c>
      <c r="E691" t="s">
        <v>2982</v>
      </c>
      <c r="F691" t="s">
        <v>8986</v>
      </c>
      <c r="G691" t="s">
        <v>3994</v>
      </c>
    </row>
    <row r="692" spans="1:7" x14ac:dyDescent="0.25">
      <c r="A692" t="s">
        <v>90</v>
      </c>
      <c r="B692" t="s">
        <v>1475</v>
      </c>
      <c r="C692">
        <v>2017</v>
      </c>
      <c r="E692" t="s">
        <v>3362</v>
      </c>
      <c r="F692" t="s">
        <v>9129</v>
      </c>
      <c r="G692" t="s">
        <v>3994</v>
      </c>
    </row>
    <row r="693" spans="1:7" x14ac:dyDescent="0.25">
      <c r="A693" t="s">
        <v>2506</v>
      </c>
      <c r="B693" t="s">
        <v>1475</v>
      </c>
      <c r="C693">
        <v>2021</v>
      </c>
      <c r="E693" t="s">
        <v>2982</v>
      </c>
      <c r="F693" t="s">
        <v>9236</v>
      </c>
      <c r="G693" t="s">
        <v>3994</v>
      </c>
    </row>
    <row r="694" spans="1:7" x14ac:dyDescent="0.25">
      <c r="A694" t="s">
        <v>759</v>
      </c>
      <c r="B694" t="s">
        <v>1479</v>
      </c>
      <c r="C694">
        <v>2018</v>
      </c>
      <c r="E694" t="s">
        <v>3120</v>
      </c>
      <c r="F694" t="s">
        <v>8627</v>
      </c>
      <c r="G694" t="s">
        <v>3994</v>
      </c>
    </row>
    <row r="695" spans="1:7" x14ac:dyDescent="0.25">
      <c r="A695" t="s">
        <v>256</v>
      </c>
      <c r="B695" t="s">
        <v>1482</v>
      </c>
      <c r="C695">
        <v>1994</v>
      </c>
      <c r="E695" t="s">
        <v>2982</v>
      </c>
      <c r="F695" t="s">
        <v>8464</v>
      </c>
      <c r="G695" t="s">
        <v>3994</v>
      </c>
    </row>
    <row r="696" spans="1:7" x14ac:dyDescent="0.25">
      <c r="A696" t="s">
        <v>1004</v>
      </c>
      <c r="B696" t="s">
        <v>1482</v>
      </c>
      <c r="C696">
        <v>2006</v>
      </c>
      <c r="E696" t="s">
        <v>3170</v>
      </c>
      <c r="F696" t="s">
        <v>8711</v>
      </c>
      <c r="G696" t="s">
        <v>3994</v>
      </c>
    </row>
    <row r="697" spans="1:7" x14ac:dyDescent="0.25">
      <c r="A697" t="s">
        <v>1795</v>
      </c>
      <c r="B697" t="s">
        <v>1482</v>
      </c>
      <c r="C697">
        <v>1987</v>
      </c>
      <c r="E697" t="s">
        <v>2982</v>
      </c>
      <c r="F697" t="s">
        <v>8938</v>
      </c>
      <c r="G697" t="s">
        <v>3994</v>
      </c>
    </row>
    <row r="698" spans="1:7" x14ac:dyDescent="0.25">
      <c r="A698" t="s">
        <v>160</v>
      </c>
      <c r="B698" t="s">
        <v>1486</v>
      </c>
      <c r="C698">
        <v>2011</v>
      </c>
      <c r="E698" s="10" t="s">
        <v>9953</v>
      </c>
      <c r="F698" t="s">
        <v>9954</v>
      </c>
      <c r="G698" t="s">
        <v>3994</v>
      </c>
    </row>
    <row r="699" spans="1:7" x14ac:dyDescent="0.25">
      <c r="A699" t="s">
        <v>2804</v>
      </c>
      <c r="B699" t="s">
        <v>1486</v>
      </c>
      <c r="C699">
        <v>2021</v>
      </c>
      <c r="E699" s="10" t="s">
        <v>9953</v>
      </c>
      <c r="F699" t="s">
        <v>9677</v>
      </c>
      <c r="G699" t="s">
        <v>3994</v>
      </c>
    </row>
    <row r="700" spans="1:7" x14ac:dyDescent="0.25">
      <c r="A700" t="s">
        <v>379</v>
      </c>
      <c r="B700" t="s">
        <v>7978</v>
      </c>
      <c r="C700">
        <v>1998</v>
      </c>
      <c r="E700" s="10" t="s">
        <v>7981</v>
      </c>
      <c r="F700" t="s">
        <v>9678</v>
      </c>
      <c r="G700" t="s">
        <v>187</v>
      </c>
    </row>
    <row r="701" spans="1:7" x14ac:dyDescent="0.25">
      <c r="A701" t="s">
        <v>379</v>
      </c>
      <c r="B701" t="s">
        <v>7978</v>
      </c>
      <c r="C701">
        <v>1998</v>
      </c>
      <c r="E701" s="10" t="s">
        <v>7981</v>
      </c>
      <c r="F701" t="s">
        <v>9678</v>
      </c>
      <c r="G701" t="s">
        <v>187</v>
      </c>
    </row>
    <row r="702" spans="1:7" x14ac:dyDescent="0.25">
      <c r="A702" t="s">
        <v>1951</v>
      </c>
      <c r="B702" t="s">
        <v>1490</v>
      </c>
      <c r="C702">
        <v>2022</v>
      </c>
      <c r="E702" s="10" t="s">
        <v>8351</v>
      </c>
      <c r="F702" t="s">
        <v>8990</v>
      </c>
      <c r="G702" t="s">
        <v>3994</v>
      </c>
    </row>
    <row r="703" spans="1:7" x14ac:dyDescent="0.25">
      <c r="A703" t="s">
        <v>497</v>
      </c>
      <c r="B703" t="s">
        <v>1492</v>
      </c>
      <c r="C703">
        <v>2022</v>
      </c>
      <c r="E703" t="s">
        <v>3068</v>
      </c>
      <c r="F703" t="s">
        <v>8557</v>
      </c>
      <c r="G703" t="s">
        <v>3994</v>
      </c>
    </row>
    <row r="704" spans="1:7" x14ac:dyDescent="0.25">
      <c r="A704" t="s">
        <v>689</v>
      </c>
      <c r="B704" t="s">
        <v>1492</v>
      </c>
      <c r="C704">
        <v>2015</v>
      </c>
      <c r="E704" t="s">
        <v>3087</v>
      </c>
      <c r="F704" t="s">
        <v>8584</v>
      </c>
      <c r="G704" t="s">
        <v>3994</v>
      </c>
    </row>
    <row r="705" spans="1:7" x14ac:dyDescent="0.25">
      <c r="A705" t="s">
        <v>1294</v>
      </c>
      <c r="B705" t="s">
        <v>1492</v>
      </c>
      <c r="C705">
        <v>2019</v>
      </c>
      <c r="E705" t="s">
        <v>3087</v>
      </c>
      <c r="F705" t="s">
        <v>8807</v>
      </c>
      <c r="G705" t="s">
        <v>3994</v>
      </c>
    </row>
    <row r="706" spans="1:7" x14ac:dyDescent="0.25">
      <c r="A706" t="s">
        <v>2804</v>
      </c>
      <c r="B706" t="s">
        <v>1492</v>
      </c>
      <c r="C706">
        <v>2021</v>
      </c>
      <c r="E706" t="s">
        <v>3087</v>
      </c>
      <c r="F706" t="s">
        <v>9343</v>
      </c>
      <c r="G706" t="s">
        <v>3994</v>
      </c>
    </row>
    <row r="707" spans="1:7" x14ac:dyDescent="0.25">
      <c r="A707" t="s">
        <v>2804</v>
      </c>
      <c r="B707" t="s">
        <v>1500</v>
      </c>
      <c r="C707">
        <v>2021</v>
      </c>
      <c r="E707" t="s">
        <v>3013</v>
      </c>
      <c r="F707" t="s">
        <v>9679</v>
      </c>
      <c r="G707" t="s">
        <v>187</v>
      </c>
    </row>
    <row r="708" spans="1:7" x14ac:dyDescent="0.25">
      <c r="A708" t="s">
        <v>344</v>
      </c>
      <c r="B708" t="s">
        <v>1503</v>
      </c>
      <c r="C708">
        <v>2023</v>
      </c>
      <c r="E708" t="s">
        <v>3011</v>
      </c>
      <c r="F708" t="s">
        <v>8485</v>
      </c>
      <c r="G708" t="s">
        <v>3994</v>
      </c>
    </row>
    <row r="709" spans="1:7" x14ac:dyDescent="0.25">
      <c r="A709" t="s">
        <v>2506</v>
      </c>
      <c r="B709" t="s">
        <v>1503</v>
      </c>
      <c r="C709">
        <v>2021</v>
      </c>
      <c r="E709" t="s">
        <v>3011</v>
      </c>
      <c r="F709" t="s">
        <v>9237</v>
      </c>
      <c r="G709" t="s">
        <v>3994</v>
      </c>
    </row>
    <row r="710" spans="1:7" x14ac:dyDescent="0.25">
      <c r="A710" t="s">
        <v>2594</v>
      </c>
      <c r="B710" t="s">
        <v>1503</v>
      </c>
      <c r="C710">
        <v>2019</v>
      </c>
      <c r="E710" t="s">
        <v>3011</v>
      </c>
      <c r="F710" t="s">
        <v>9254</v>
      </c>
      <c r="G710" t="s">
        <v>3994</v>
      </c>
    </row>
    <row r="711" spans="1:7" x14ac:dyDescent="0.25">
      <c r="A711" t="s">
        <v>1089</v>
      </c>
      <c r="B711" t="s">
        <v>1507</v>
      </c>
      <c r="C711">
        <v>2021</v>
      </c>
      <c r="D711" t="s">
        <v>187</v>
      </c>
      <c r="F711" t="s">
        <v>9680</v>
      </c>
      <c r="G711" t="s">
        <v>3994</v>
      </c>
    </row>
    <row r="712" spans="1:7" x14ac:dyDescent="0.25">
      <c r="A712" t="s">
        <v>90</v>
      </c>
      <c r="B712" t="s">
        <v>1511</v>
      </c>
      <c r="C712">
        <v>2017</v>
      </c>
      <c r="E712" t="s">
        <v>2982</v>
      </c>
      <c r="F712" t="s">
        <v>9130</v>
      </c>
      <c r="G712" t="s">
        <v>3994</v>
      </c>
    </row>
    <row r="713" spans="1:7" x14ac:dyDescent="0.25">
      <c r="A713" t="s">
        <v>341</v>
      </c>
      <c r="B713" t="s">
        <v>1513</v>
      </c>
      <c r="C713">
        <v>1997</v>
      </c>
      <c r="E713" s="10" t="s">
        <v>10077</v>
      </c>
      <c r="F713" t="s">
        <v>10078</v>
      </c>
      <c r="G713" t="s">
        <v>187</v>
      </c>
    </row>
    <row r="714" spans="1:7" x14ac:dyDescent="0.25">
      <c r="A714" t="s">
        <v>490</v>
      </c>
      <c r="B714" t="s">
        <v>1513</v>
      </c>
      <c r="C714">
        <v>2009</v>
      </c>
      <c r="E714" t="s">
        <v>3059</v>
      </c>
      <c r="F714" t="s">
        <v>8544</v>
      </c>
      <c r="G714" t="s">
        <v>3994</v>
      </c>
    </row>
    <row r="715" spans="1:7" x14ac:dyDescent="0.25">
      <c r="A715" t="s">
        <v>2009</v>
      </c>
      <c r="B715" t="s">
        <v>1513</v>
      </c>
      <c r="C715">
        <v>2005</v>
      </c>
      <c r="E715" s="10" t="s">
        <v>10077</v>
      </c>
      <c r="F715" t="s">
        <v>10079</v>
      </c>
      <c r="G715" t="s">
        <v>187</v>
      </c>
    </row>
    <row r="716" spans="1:7" x14ac:dyDescent="0.25">
      <c r="A716" t="s">
        <v>2571</v>
      </c>
      <c r="B716" t="s">
        <v>1513</v>
      </c>
      <c r="C716">
        <v>1998</v>
      </c>
      <c r="E716" t="s">
        <v>3059</v>
      </c>
      <c r="F716" t="s">
        <v>9249</v>
      </c>
      <c r="G716" t="s">
        <v>3994</v>
      </c>
    </row>
    <row r="717" spans="1:7" x14ac:dyDescent="0.25">
      <c r="A717" t="s">
        <v>2578</v>
      </c>
      <c r="B717" t="s">
        <v>1513</v>
      </c>
      <c r="C717">
        <v>2017</v>
      </c>
      <c r="E717" t="s">
        <v>3059</v>
      </c>
      <c r="F717" t="s">
        <v>9251</v>
      </c>
      <c r="G717" t="s">
        <v>3994</v>
      </c>
    </row>
    <row r="718" spans="1:7" x14ac:dyDescent="0.25">
      <c r="A718" t="s">
        <v>1046</v>
      </c>
      <c r="B718" t="s">
        <v>1516</v>
      </c>
      <c r="C718">
        <v>2016</v>
      </c>
      <c r="E718" t="s">
        <v>2982</v>
      </c>
      <c r="F718" t="s">
        <v>8730</v>
      </c>
      <c r="G718" t="s">
        <v>3994</v>
      </c>
    </row>
    <row r="719" spans="1:7" x14ac:dyDescent="0.25">
      <c r="A719" t="s">
        <v>160</v>
      </c>
      <c r="B719" t="s">
        <v>1516</v>
      </c>
      <c r="C719">
        <v>2011</v>
      </c>
      <c r="E719" t="s">
        <v>2982</v>
      </c>
      <c r="F719" t="s">
        <v>9281</v>
      </c>
      <c r="G719" t="s">
        <v>3994</v>
      </c>
    </row>
    <row r="720" spans="1:7" x14ac:dyDescent="0.25">
      <c r="A720" t="s">
        <v>256</v>
      </c>
      <c r="B720" t="s">
        <v>1520</v>
      </c>
      <c r="C720">
        <v>1994</v>
      </c>
      <c r="E720" t="s">
        <v>2993</v>
      </c>
      <c r="F720" t="s">
        <v>8465</v>
      </c>
      <c r="G720" t="s">
        <v>3994</v>
      </c>
    </row>
    <row r="721" spans="1:7" x14ac:dyDescent="0.25">
      <c r="A721" t="s">
        <v>260</v>
      </c>
      <c r="B721" t="s">
        <v>1520</v>
      </c>
      <c r="C721">
        <v>1990</v>
      </c>
      <c r="E721" s="10" t="s">
        <v>10075</v>
      </c>
      <c r="F721" t="s">
        <v>8474</v>
      </c>
      <c r="G721" t="s">
        <v>3994</v>
      </c>
    </row>
    <row r="722" spans="1:7" x14ac:dyDescent="0.25">
      <c r="A722" t="s">
        <v>847</v>
      </c>
      <c r="B722" t="s">
        <v>1520</v>
      </c>
      <c r="C722">
        <v>1996</v>
      </c>
      <c r="E722" s="10" t="s">
        <v>10075</v>
      </c>
      <c r="F722" t="s">
        <v>8660</v>
      </c>
      <c r="G722" t="s">
        <v>3994</v>
      </c>
    </row>
    <row r="723" spans="1:7" x14ac:dyDescent="0.25">
      <c r="A723" t="s">
        <v>1725</v>
      </c>
      <c r="B723" t="s">
        <v>1520</v>
      </c>
      <c r="C723">
        <v>1983</v>
      </c>
      <c r="E723" s="10" t="s">
        <v>10075</v>
      </c>
      <c r="F723" t="s">
        <v>10076</v>
      </c>
      <c r="G723" t="s">
        <v>3994</v>
      </c>
    </row>
    <row r="724" spans="1:7" x14ac:dyDescent="0.25">
      <c r="A724" t="s">
        <v>1795</v>
      </c>
      <c r="B724" t="s">
        <v>1520</v>
      </c>
      <c r="C724">
        <v>1987</v>
      </c>
      <c r="E724" s="10" t="s">
        <v>2993</v>
      </c>
      <c r="F724" t="s">
        <v>8939</v>
      </c>
      <c r="G724" t="s">
        <v>3994</v>
      </c>
    </row>
    <row r="725" spans="1:7" x14ac:dyDescent="0.25">
      <c r="A725" t="s">
        <v>2154</v>
      </c>
      <c r="B725" t="s">
        <v>1523</v>
      </c>
      <c r="C725">
        <v>1980</v>
      </c>
      <c r="E725" t="s">
        <v>3323</v>
      </c>
      <c r="F725" t="s">
        <v>9037</v>
      </c>
      <c r="G725" t="s">
        <v>3994</v>
      </c>
    </row>
    <row r="726" spans="1:7" x14ac:dyDescent="0.25">
      <c r="A726" t="s">
        <v>2154</v>
      </c>
      <c r="B726" t="s">
        <v>8096</v>
      </c>
      <c r="C726">
        <v>1980</v>
      </c>
      <c r="E726" s="10" t="s">
        <v>8117</v>
      </c>
      <c r="F726" t="s">
        <v>9038</v>
      </c>
      <c r="G726" t="s">
        <v>3994</v>
      </c>
    </row>
    <row r="727" spans="1:7" x14ac:dyDescent="0.25">
      <c r="A727" t="s">
        <v>383</v>
      </c>
      <c r="B727" t="s">
        <v>1526</v>
      </c>
      <c r="C727">
        <v>2017</v>
      </c>
      <c r="E727" s="10" t="s">
        <v>3054</v>
      </c>
      <c r="F727" t="s">
        <v>9463</v>
      </c>
      <c r="G727" t="s">
        <v>3994</v>
      </c>
    </row>
    <row r="728" spans="1:7" x14ac:dyDescent="0.25">
      <c r="A728" t="s">
        <v>746</v>
      </c>
      <c r="B728" t="s">
        <v>1526</v>
      </c>
      <c r="C728">
        <v>2015</v>
      </c>
      <c r="E728" s="10" t="s">
        <v>3054</v>
      </c>
      <c r="F728" t="s">
        <v>9464</v>
      </c>
      <c r="G728" t="s">
        <v>3994</v>
      </c>
    </row>
    <row r="729" spans="1:7" x14ac:dyDescent="0.25">
      <c r="A729" t="s">
        <v>1115</v>
      </c>
      <c r="B729" t="s">
        <v>1526</v>
      </c>
      <c r="C729">
        <v>2018</v>
      </c>
      <c r="E729" s="10" t="s">
        <v>3054</v>
      </c>
      <c r="F729" t="s">
        <v>9465</v>
      </c>
      <c r="G729" t="s">
        <v>3994</v>
      </c>
    </row>
    <row r="730" spans="1:7" x14ac:dyDescent="0.25">
      <c r="A730" t="s">
        <v>90</v>
      </c>
      <c r="B730" t="s">
        <v>1526</v>
      </c>
      <c r="C730">
        <v>2017</v>
      </c>
      <c r="E730" s="10" t="s">
        <v>3054</v>
      </c>
      <c r="F730" t="s">
        <v>9466</v>
      </c>
      <c r="G730" t="s">
        <v>3994</v>
      </c>
    </row>
    <row r="731" spans="1:7" x14ac:dyDescent="0.25">
      <c r="A731" t="s">
        <v>2804</v>
      </c>
      <c r="B731" t="s">
        <v>7953</v>
      </c>
      <c r="C731">
        <v>2021</v>
      </c>
      <c r="E731" s="10" t="s">
        <v>7952</v>
      </c>
      <c r="F731" t="s">
        <v>9344</v>
      </c>
      <c r="G731" t="s">
        <v>3994</v>
      </c>
    </row>
    <row r="732" spans="1:7" x14ac:dyDescent="0.25">
      <c r="A732" t="s">
        <v>2804</v>
      </c>
      <c r="B732" t="s">
        <v>1530</v>
      </c>
      <c r="C732">
        <v>2021</v>
      </c>
      <c r="E732" t="s">
        <v>3013</v>
      </c>
      <c r="F732" t="s">
        <v>9681</v>
      </c>
      <c r="G732" t="s">
        <v>187</v>
      </c>
    </row>
    <row r="733" spans="1:7" x14ac:dyDescent="0.25">
      <c r="A733" t="s">
        <v>1435</v>
      </c>
      <c r="B733" t="s">
        <v>1532</v>
      </c>
      <c r="C733">
        <v>2021</v>
      </c>
      <c r="E733" s="10" t="s">
        <v>8393</v>
      </c>
      <c r="F733" t="s">
        <v>8844</v>
      </c>
      <c r="G733" t="s">
        <v>3994</v>
      </c>
    </row>
    <row r="734" spans="1:7" x14ac:dyDescent="0.25">
      <c r="A734" t="s">
        <v>1655</v>
      </c>
      <c r="B734" t="s">
        <v>1532</v>
      </c>
      <c r="C734">
        <v>2024</v>
      </c>
      <c r="D734" t="s">
        <v>187</v>
      </c>
      <c r="F734" t="s">
        <v>9682</v>
      </c>
      <c r="G734" t="s">
        <v>3994</v>
      </c>
    </row>
    <row r="735" spans="1:7" x14ac:dyDescent="0.25">
      <c r="A735" t="s">
        <v>1385</v>
      </c>
      <c r="B735" t="s">
        <v>1534</v>
      </c>
      <c r="C735">
        <v>2013</v>
      </c>
      <c r="E735" s="10" t="s">
        <v>8420</v>
      </c>
      <c r="F735" t="s">
        <v>8836</v>
      </c>
      <c r="G735" t="s">
        <v>3994</v>
      </c>
    </row>
    <row r="736" spans="1:7" x14ac:dyDescent="0.25">
      <c r="A736" t="s">
        <v>1443</v>
      </c>
      <c r="B736" t="s">
        <v>1534</v>
      </c>
      <c r="C736">
        <v>2018</v>
      </c>
      <c r="E736" s="10" t="s">
        <v>8420</v>
      </c>
      <c r="F736" t="s">
        <v>9441</v>
      </c>
      <c r="G736" t="s">
        <v>3994</v>
      </c>
    </row>
    <row r="737" spans="1:7" x14ac:dyDescent="0.25">
      <c r="A737" t="s">
        <v>353</v>
      </c>
      <c r="B737" t="s">
        <v>7991</v>
      </c>
      <c r="C737">
        <v>2023</v>
      </c>
      <c r="E737" s="10" t="s">
        <v>7990</v>
      </c>
      <c r="F737" t="s">
        <v>9683</v>
      </c>
      <c r="G737" t="s">
        <v>187</v>
      </c>
    </row>
    <row r="738" spans="1:7" x14ac:dyDescent="0.25">
      <c r="A738" t="s">
        <v>353</v>
      </c>
      <c r="B738" t="s">
        <v>7991</v>
      </c>
      <c r="C738">
        <v>2023</v>
      </c>
      <c r="E738" s="10" t="s">
        <v>7990</v>
      </c>
      <c r="F738" t="s">
        <v>9683</v>
      </c>
      <c r="G738" t="s">
        <v>187</v>
      </c>
    </row>
    <row r="739" spans="1:7" x14ac:dyDescent="0.25">
      <c r="A739" t="s">
        <v>1795</v>
      </c>
      <c r="B739" t="s">
        <v>1538</v>
      </c>
      <c r="C739">
        <v>1987</v>
      </c>
      <c r="E739" t="s">
        <v>3281</v>
      </c>
      <c r="F739" t="s">
        <v>8940</v>
      </c>
      <c r="G739" t="s">
        <v>3994</v>
      </c>
    </row>
    <row r="740" spans="1:7" x14ac:dyDescent="0.25">
      <c r="A740" t="s">
        <v>930</v>
      </c>
      <c r="B740" t="s">
        <v>1541</v>
      </c>
      <c r="C740">
        <v>2015</v>
      </c>
      <c r="E740" t="s">
        <v>3155</v>
      </c>
      <c r="F740" t="s">
        <v>8692</v>
      </c>
      <c r="G740" t="s">
        <v>3994</v>
      </c>
    </row>
    <row r="741" spans="1:7" x14ac:dyDescent="0.25">
      <c r="A741" t="s">
        <v>1855</v>
      </c>
      <c r="B741" t="s">
        <v>1541</v>
      </c>
      <c r="C741">
        <v>2015</v>
      </c>
      <c r="E741" t="s">
        <v>3155</v>
      </c>
      <c r="F741" t="s">
        <v>8972</v>
      </c>
      <c r="G741" t="s">
        <v>3994</v>
      </c>
    </row>
    <row r="742" spans="1:7" x14ac:dyDescent="0.25">
      <c r="A742" t="s">
        <v>2377</v>
      </c>
      <c r="B742" t="s">
        <v>1541</v>
      </c>
      <c r="C742">
        <v>2021</v>
      </c>
      <c r="E742" t="s">
        <v>3155</v>
      </c>
      <c r="F742" t="s">
        <v>9191</v>
      </c>
      <c r="G742" t="s">
        <v>3994</v>
      </c>
    </row>
    <row r="743" spans="1:7" x14ac:dyDescent="0.25">
      <c r="A743" t="s">
        <v>1144</v>
      </c>
      <c r="B743" t="s">
        <v>1545</v>
      </c>
      <c r="C743">
        <v>2012</v>
      </c>
      <c r="E743" t="s">
        <v>3013</v>
      </c>
      <c r="F743" t="s">
        <v>9684</v>
      </c>
      <c r="G743" t="s">
        <v>187</v>
      </c>
    </row>
    <row r="744" spans="1:7" x14ac:dyDescent="0.25">
      <c r="A744" t="s">
        <v>930</v>
      </c>
      <c r="B744" t="s">
        <v>1553</v>
      </c>
      <c r="C744">
        <v>2015</v>
      </c>
      <c r="E744" t="s">
        <v>3156</v>
      </c>
      <c r="F744" t="s">
        <v>9685</v>
      </c>
      <c r="G744" t="s">
        <v>187</v>
      </c>
    </row>
    <row r="745" spans="1:7" x14ac:dyDescent="0.25">
      <c r="A745" t="s">
        <v>2428</v>
      </c>
      <c r="B745" t="s">
        <v>1553</v>
      </c>
      <c r="C745">
        <v>2008</v>
      </c>
      <c r="E745" t="s">
        <v>3156</v>
      </c>
      <c r="F745" t="s">
        <v>9686</v>
      </c>
      <c r="G745" t="s">
        <v>187</v>
      </c>
    </row>
    <row r="746" spans="1:7" x14ac:dyDescent="0.25">
      <c r="A746" t="s">
        <v>344</v>
      </c>
      <c r="B746" t="s">
        <v>1559</v>
      </c>
      <c r="C746">
        <v>2023</v>
      </c>
      <c r="E746" t="s">
        <v>3012</v>
      </c>
      <c r="F746" t="s">
        <v>8486</v>
      </c>
      <c r="G746" t="s">
        <v>3994</v>
      </c>
    </row>
    <row r="747" spans="1:7" x14ac:dyDescent="0.25">
      <c r="A747" t="s">
        <v>353</v>
      </c>
      <c r="B747" t="s">
        <v>1559</v>
      </c>
      <c r="C747">
        <v>2023</v>
      </c>
      <c r="E747" t="s">
        <v>3012</v>
      </c>
      <c r="F747" t="s">
        <v>8516</v>
      </c>
      <c r="G747" t="s">
        <v>3994</v>
      </c>
    </row>
    <row r="748" spans="1:7" x14ac:dyDescent="0.25">
      <c r="A748" t="s">
        <v>1752</v>
      </c>
      <c r="B748" t="s">
        <v>1561</v>
      </c>
      <c r="C748">
        <v>2021</v>
      </c>
      <c r="E748" t="s">
        <v>3269</v>
      </c>
      <c r="F748" t="s">
        <v>8921</v>
      </c>
      <c r="G748" t="s">
        <v>3994</v>
      </c>
    </row>
    <row r="749" spans="1:7" x14ac:dyDescent="0.25">
      <c r="A749" t="s">
        <v>2136</v>
      </c>
      <c r="B749" t="s">
        <v>1561</v>
      </c>
      <c r="C749">
        <v>2020</v>
      </c>
      <c r="E749" t="s">
        <v>3269</v>
      </c>
      <c r="F749" t="s">
        <v>9015</v>
      </c>
      <c r="G749" t="s">
        <v>3994</v>
      </c>
    </row>
    <row r="750" spans="1:7" x14ac:dyDescent="0.25">
      <c r="A750" t="s">
        <v>1294</v>
      </c>
      <c r="B750" t="s">
        <v>9927</v>
      </c>
      <c r="C750">
        <v>2019</v>
      </c>
      <c r="E750" s="10" t="s">
        <v>9930</v>
      </c>
      <c r="F750" t="s">
        <v>9932</v>
      </c>
      <c r="G750" t="s">
        <v>3994</v>
      </c>
    </row>
    <row r="751" spans="1:7" x14ac:dyDescent="0.25">
      <c r="A751" t="s">
        <v>90</v>
      </c>
      <c r="B751" t="s">
        <v>9927</v>
      </c>
      <c r="C751">
        <v>2017</v>
      </c>
      <c r="E751" s="10" t="s">
        <v>9930</v>
      </c>
      <c r="F751" t="s">
        <v>9931</v>
      </c>
      <c r="G751" t="s">
        <v>3994</v>
      </c>
    </row>
    <row r="752" spans="1:7" x14ac:dyDescent="0.25">
      <c r="A752" t="s">
        <v>1795</v>
      </c>
      <c r="B752" t="s">
        <v>1563</v>
      </c>
      <c r="C752">
        <v>1987</v>
      </c>
      <c r="E752" t="s">
        <v>2982</v>
      </c>
      <c r="F752" t="s">
        <v>8941</v>
      </c>
      <c r="G752" t="s">
        <v>3994</v>
      </c>
    </row>
    <row r="753" spans="1:7" x14ac:dyDescent="0.25">
      <c r="A753" t="s">
        <v>160</v>
      </c>
      <c r="B753" t="s">
        <v>1563</v>
      </c>
      <c r="C753">
        <v>2011</v>
      </c>
      <c r="E753" t="s">
        <v>2982</v>
      </c>
      <c r="F753" t="s">
        <v>9282</v>
      </c>
      <c r="G753" t="s">
        <v>3994</v>
      </c>
    </row>
    <row r="754" spans="1:7" x14ac:dyDescent="0.25">
      <c r="A754" t="s">
        <v>836</v>
      </c>
      <c r="B754" t="s">
        <v>1565</v>
      </c>
      <c r="C754">
        <v>2010</v>
      </c>
      <c r="E754" t="s">
        <v>3128</v>
      </c>
      <c r="F754" t="s">
        <v>8647</v>
      </c>
      <c r="G754" t="s">
        <v>3994</v>
      </c>
    </row>
    <row r="755" spans="1:7" x14ac:dyDescent="0.25">
      <c r="A755" t="s">
        <v>1443</v>
      </c>
      <c r="B755" t="s">
        <v>1565</v>
      </c>
      <c r="C755">
        <v>2018</v>
      </c>
      <c r="E755" s="10" t="s">
        <v>9925</v>
      </c>
      <c r="F755" t="s">
        <v>9926</v>
      </c>
      <c r="G755" t="s">
        <v>3994</v>
      </c>
    </row>
    <row r="756" spans="1:7" x14ac:dyDescent="0.25">
      <c r="A756" t="s">
        <v>2286</v>
      </c>
      <c r="B756" t="s">
        <v>1565</v>
      </c>
      <c r="C756">
        <v>2014</v>
      </c>
      <c r="E756" t="s">
        <v>3128</v>
      </c>
      <c r="F756" t="s">
        <v>9070</v>
      </c>
      <c r="G756" t="s">
        <v>3994</v>
      </c>
    </row>
    <row r="757" spans="1:7" x14ac:dyDescent="0.25">
      <c r="A757" t="s">
        <v>90</v>
      </c>
      <c r="B757" t="s">
        <v>1565</v>
      </c>
      <c r="C757">
        <v>2017</v>
      </c>
      <c r="E757" t="s">
        <v>3128</v>
      </c>
      <c r="F757" t="s">
        <v>9131</v>
      </c>
      <c r="G757" t="s">
        <v>3994</v>
      </c>
    </row>
    <row r="758" spans="1:7" x14ac:dyDescent="0.25">
      <c r="A758" t="s">
        <v>90</v>
      </c>
      <c r="B758" t="s">
        <v>1568</v>
      </c>
      <c r="C758">
        <v>2017</v>
      </c>
      <c r="E758" s="10" t="s">
        <v>3363</v>
      </c>
      <c r="F758" t="s">
        <v>9132</v>
      </c>
      <c r="G758" t="s">
        <v>3994</v>
      </c>
    </row>
    <row r="759" spans="1:7" x14ac:dyDescent="0.25">
      <c r="A759" t="s">
        <v>1294</v>
      </c>
      <c r="B759" t="s">
        <v>1570</v>
      </c>
      <c r="C759">
        <v>2019</v>
      </c>
      <c r="E759" t="s">
        <v>3229</v>
      </c>
      <c r="F759" t="s">
        <v>8808</v>
      </c>
      <c r="G759" t="s">
        <v>3994</v>
      </c>
    </row>
    <row r="760" spans="1:7" x14ac:dyDescent="0.25">
      <c r="A760" t="s">
        <v>1284</v>
      </c>
      <c r="B760" t="s">
        <v>1572</v>
      </c>
      <c r="C760">
        <v>1984</v>
      </c>
      <c r="E760" t="s">
        <v>3221</v>
      </c>
      <c r="F760" t="s">
        <v>8787</v>
      </c>
      <c r="G760" t="s">
        <v>3994</v>
      </c>
    </row>
    <row r="761" spans="1:7" x14ac:dyDescent="0.25">
      <c r="A761" t="s">
        <v>746</v>
      </c>
      <c r="B761" t="s">
        <v>1574</v>
      </c>
      <c r="C761">
        <v>2015</v>
      </c>
      <c r="E761" t="s">
        <v>2982</v>
      </c>
      <c r="F761" t="s">
        <v>8606</v>
      </c>
      <c r="G761" t="s">
        <v>3994</v>
      </c>
    </row>
    <row r="762" spans="1:7" x14ac:dyDescent="0.25">
      <c r="A762" t="s">
        <v>90</v>
      </c>
      <c r="B762" t="s">
        <v>1574</v>
      </c>
      <c r="C762">
        <v>2017</v>
      </c>
      <c r="E762" t="s">
        <v>2982</v>
      </c>
      <c r="F762" t="s">
        <v>9133</v>
      </c>
      <c r="G762" t="s">
        <v>3994</v>
      </c>
    </row>
    <row r="763" spans="1:7" x14ac:dyDescent="0.25">
      <c r="A763" t="s">
        <v>2361</v>
      </c>
      <c r="B763" t="s">
        <v>1574</v>
      </c>
      <c r="C763">
        <v>2018</v>
      </c>
      <c r="E763" t="s">
        <v>2982</v>
      </c>
      <c r="F763" t="s">
        <v>9187</v>
      </c>
      <c r="G763" t="s">
        <v>3994</v>
      </c>
    </row>
    <row r="764" spans="1:7" x14ac:dyDescent="0.25">
      <c r="A764" t="s">
        <v>90</v>
      </c>
      <c r="B764" t="s">
        <v>1576</v>
      </c>
      <c r="C764">
        <v>2017</v>
      </c>
      <c r="E764" t="s">
        <v>3364</v>
      </c>
      <c r="F764" t="s">
        <v>9134</v>
      </c>
      <c r="G764" t="s">
        <v>3994</v>
      </c>
    </row>
    <row r="765" spans="1:7" x14ac:dyDescent="0.25">
      <c r="A765" t="s">
        <v>1576</v>
      </c>
      <c r="B765" t="s">
        <v>1580</v>
      </c>
      <c r="C765">
        <v>2021</v>
      </c>
      <c r="E765" t="s">
        <v>3013</v>
      </c>
      <c r="F765" t="s">
        <v>9687</v>
      </c>
      <c r="G765" t="s">
        <v>187</v>
      </c>
    </row>
    <row r="766" spans="1:7" x14ac:dyDescent="0.25">
      <c r="A766" t="s">
        <v>353</v>
      </c>
      <c r="B766" t="s">
        <v>1584</v>
      </c>
      <c r="C766">
        <v>2023</v>
      </c>
      <c r="E766" t="s">
        <v>3033</v>
      </c>
      <c r="F766" t="s">
        <v>8517</v>
      </c>
      <c r="G766" t="s">
        <v>3994</v>
      </c>
    </row>
    <row r="767" spans="1:7" x14ac:dyDescent="0.25">
      <c r="A767" t="s">
        <v>1817</v>
      </c>
      <c r="B767" t="s">
        <v>9996</v>
      </c>
      <c r="C767">
        <v>2019</v>
      </c>
      <c r="E767" s="10" t="s">
        <v>10000</v>
      </c>
      <c r="F767" t="s">
        <v>9999</v>
      </c>
      <c r="G767" t="s">
        <v>3994</v>
      </c>
    </row>
    <row r="768" spans="1:7" x14ac:dyDescent="0.25">
      <c r="A768" t="s">
        <v>2506</v>
      </c>
      <c r="B768" t="s">
        <v>1587</v>
      </c>
      <c r="C768">
        <v>2021</v>
      </c>
      <c r="E768" t="s">
        <v>2982</v>
      </c>
      <c r="F768" t="s">
        <v>9238</v>
      </c>
      <c r="G768" t="s">
        <v>3994</v>
      </c>
    </row>
    <row r="769" spans="1:7" x14ac:dyDescent="0.25">
      <c r="A769" t="s">
        <v>1817</v>
      </c>
      <c r="B769" t="s">
        <v>1594</v>
      </c>
      <c r="C769">
        <v>2019</v>
      </c>
      <c r="E769" t="s">
        <v>3291</v>
      </c>
      <c r="F769" t="s">
        <v>8955</v>
      </c>
      <c r="G769" t="s">
        <v>3994</v>
      </c>
    </row>
    <row r="770" spans="1:7" x14ac:dyDescent="0.25">
      <c r="A770" t="s">
        <v>90</v>
      </c>
      <c r="B770" t="s">
        <v>1594</v>
      </c>
      <c r="C770">
        <v>2017</v>
      </c>
      <c r="E770" t="s">
        <v>3291</v>
      </c>
      <c r="F770" t="s">
        <v>9442</v>
      </c>
      <c r="G770" t="s">
        <v>3994</v>
      </c>
    </row>
    <row r="771" spans="1:7" x14ac:dyDescent="0.25">
      <c r="A771" t="s">
        <v>160</v>
      </c>
      <c r="B771" t="s">
        <v>1594</v>
      </c>
      <c r="C771">
        <v>2011</v>
      </c>
      <c r="E771" t="s">
        <v>3291</v>
      </c>
      <c r="F771" t="s">
        <v>9443</v>
      </c>
      <c r="G771" t="s">
        <v>3994</v>
      </c>
    </row>
    <row r="772" spans="1:7" x14ac:dyDescent="0.25">
      <c r="A772" t="s">
        <v>497</v>
      </c>
      <c r="B772" t="s">
        <v>1596</v>
      </c>
      <c r="C772">
        <v>2022</v>
      </c>
      <c r="E772" t="s">
        <v>3069</v>
      </c>
      <c r="F772" t="s">
        <v>8558</v>
      </c>
      <c r="G772" t="s">
        <v>3994</v>
      </c>
    </row>
    <row r="773" spans="1:7" x14ac:dyDescent="0.25">
      <c r="A773" t="s">
        <v>623</v>
      </c>
      <c r="B773" t="s">
        <v>1598</v>
      </c>
      <c r="C773">
        <v>2017</v>
      </c>
      <c r="E773" t="s">
        <v>3079</v>
      </c>
      <c r="F773" t="s">
        <v>8576</v>
      </c>
      <c r="G773" t="s">
        <v>3994</v>
      </c>
    </row>
    <row r="774" spans="1:7" x14ac:dyDescent="0.25">
      <c r="A774" t="s">
        <v>2428</v>
      </c>
      <c r="B774" t="s">
        <v>1602</v>
      </c>
      <c r="C774">
        <v>2008</v>
      </c>
      <c r="E774" t="s">
        <v>3394</v>
      </c>
      <c r="F774" t="s">
        <v>9218</v>
      </c>
      <c r="G774" t="s">
        <v>3994</v>
      </c>
    </row>
    <row r="775" spans="1:7" x14ac:dyDescent="0.25">
      <c r="A775" t="s">
        <v>160</v>
      </c>
      <c r="B775" t="s">
        <v>1602</v>
      </c>
      <c r="C775">
        <v>2011</v>
      </c>
      <c r="E775" t="s">
        <v>3394</v>
      </c>
      <c r="F775" t="s">
        <v>9283</v>
      </c>
      <c r="G775" t="s">
        <v>3994</v>
      </c>
    </row>
    <row r="776" spans="1:7" x14ac:dyDescent="0.25">
      <c r="A776" t="s">
        <v>1294</v>
      </c>
      <c r="B776" t="s">
        <v>1606</v>
      </c>
      <c r="C776">
        <v>2019</v>
      </c>
      <c r="E776" t="s">
        <v>3230</v>
      </c>
      <c r="F776" t="s">
        <v>8809</v>
      </c>
      <c r="G776" t="s">
        <v>3994</v>
      </c>
    </row>
    <row r="777" spans="1:7" x14ac:dyDescent="0.25">
      <c r="A777" t="s">
        <v>1713</v>
      </c>
      <c r="B777" t="s">
        <v>1606</v>
      </c>
      <c r="C777">
        <v>2018</v>
      </c>
      <c r="E777" t="s">
        <v>3230</v>
      </c>
      <c r="F777" t="s">
        <v>8917</v>
      </c>
      <c r="G777" t="s">
        <v>3994</v>
      </c>
    </row>
    <row r="778" spans="1:7" x14ac:dyDescent="0.25">
      <c r="A778" t="s">
        <v>160</v>
      </c>
      <c r="B778" t="s">
        <v>1606</v>
      </c>
      <c r="C778">
        <v>2011</v>
      </c>
      <c r="E778" t="s">
        <v>3230</v>
      </c>
      <c r="F778" t="s">
        <v>9284</v>
      </c>
      <c r="G778" t="s">
        <v>3994</v>
      </c>
    </row>
    <row r="779" spans="1:7" x14ac:dyDescent="0.25">
      <c r="A779" t="s">
        <v>1435</v>
      </c>
      <c r="B779" t="s">
        <v>1610</v>
      </c>
      <c r="C779">
        <v>2021</v>
      </c>
      <c r="E779" t="s">
        <v>3241</v>
      </c>
      <c r="F779" t="s">
        <v>8845</v>
      </c>
      <c r="G779" t="s">
        <v>3994</v>
      </c>
    </row>
    <row r="780" spans="1:7" x14ac:dyDescent="0.25">
      <c r="A780" t="s">
        <v>1443</v>
      </c>
      <c r="B780" t="s">
        <v>1610</v>
      </c>
      <c r="C780">
        <v>2018</v>
      </c>
      <c r="E780" t="s">
        <v>3241</v>
      </c>
      <c r="F780" t="s">
        <v>8861</v>
      </c>
      <c r="G780" t="s">
        <v>3994</v>
      </c>
    </row>
    <row r="781" spans="1:7" x14ac:dyDescent="0.25">
      <c r="A781" t="s">
        <v>1690</v>
      </c>
      <c r="B781" t="s">
        <v>1610</v>
      </c>
      <c r="C781">
        <v>2020</v>
      </c>
      <c r="E781" t="s">
        <v>3241</v>
      </c>
      <c r="F781" t="s">
        <v>8911</v>
      </c>
      <c r="G781" t="s">
        <v>3994</v>
      </c>
    </row>
    <row r="782" spans="1:7" x14ac:dyDescent="0.25">
      <c r="A782" t="s">
        <v>90</v>
      </c>
      <c r="B782" t="s">
        <v>1610</v>
      </c>
      <c r="C782">
        <v>2017</v>
      </c>
      <c r="E782" t="s">
        <v>3241</v>
      </c>
      <c r="F782" t="s">
        <v>9135</v>
      </c>
      <c r="G782" t="s">
        <v>3994</v>
      </c>
    </row>
    <row r="783" spans="1:7" x14ac:dyDescent="0.25">
      <c r="A783" t="s">
        <v>1576</v>
      </c>
      <c r="B783" t="s">
        <v>1613</v>
      </c>
      <c r="C783">
        <v>2021</v>
      </c>
      <c r="D783" t="s">
        <v>187</v>
      </c>
      <c r="F783" t="s">
        <v>9688</v>
      </c>
      <c r="G783" t="s">
        <v>3994</v>
      </c>
    </row>
    <row r="784" spans="1:7" x14ac:dyDescent="0.25">
      <c r="A784" t="s">
        <v>2804</v>
      </c>
      <c r="B784" t="s">
        <v>1613</v>
      </c>
      <c r="C784">
        <v>2021</v>
      </c>
      <c r="E784" t="s">
        <v>3428</v>
      </c>
      <c r="F784" t="s">
        <v>9689</v>
      </c>
      <c r="G784" t="s">
        <v>187</v>
      </c>
    </row>
    <row r="785" spans="1:7" x14ac:dyDescent="0.25">
      <c r="A785" t="s">
        <v>1752</v>
      </c>
      <c r="B785" t="s">
        <v>1621</v>
      </c>
      <c r="C785">
        <v>2021</v>
      </c>
      <c r="D785" t="s">
        <v>187</v>
      </c>
      <c r="F785" t="s">
        <v>9690</v>
      </c>
      <c r="G785" t="s">
        <v>3994</v>
      </c>
    </row>
    <row r="786" spans="1:7" x14ac:dyDescent="0.25">
      <c r="A786" t="s">
        <v>2136</v>
      </c>
      <c r="B786" t="s">
        <v>1621</v>
      </c>
      <c r="C786">
        <v>2020</v>
      </c>
      <c r="E786" t="s">
        <v>2982</v>
      </c>
      <c r="F786" t="s">
        <v>9016</v>
      </c>
      <c r="G786" t="s">
        <v>3994</v>
      </c>
    </row>
    <row r="787" spans="1:7" x14ac:dyDescent="0.25">
      <c r="A787" t="s">
        <v>2804</v>
      </c>
      <c r="B787" t="s">
        <v>1621</v>
      </c>
      <c r="C787">
        <v>2021</v>
      </c>
      <c r="E787" t="s">
        <v>2982</v>
      </c>
      <c r="F787" t="s">
        <v>9345</v>
      </c>
      <c r="G787" t="s">
        <v>3994</v>
      </c>
    </row>
    <row r="788" spans="1:7" x14ac:dyDescent="0.25">
      <c r="A788" t="s">
        <v>90</v>
      </c>
      <c r="B788" t="s">
        <v>1625</v>
      </c>
      <c r="C788">
        <v>2017</v>
      </c>
      <c r="E788" t="s">
        <v>3365</v>
      </c>
      <c r="F788" t="s">
        <v>9691</v>
      </c>
      <c r="G788" t="s">
        <v>187</v>
      </c>
    </row>
    <row r="789" spans="1:7" x14ac:dyDescent="0.25">
      <c r="A789" t="s">
        <v>90</v>
      </c>
      <c r="B789" t="s">
        <v>1627</v>
      </c>
      <c r="C789">
        <v>2017</v>
      </c>
      <c r="E789" t="s">
        <v>3366</v>
      </c>
      <c r="F789" t="s">
        <v>9692</v>
      </c>
      <c r="G789" t="s">
        <v>187</v>
      </c>
    </row>
    <row r="790" spans="1:7" x14ac:dyDescent="0.25">
      <c r="A790" t="s">
        <v>353</v>
      </c>
      <c r="B790" t="s">
        <v>1631</v>
      </c>
      <c r="C790">
        <v>2023</v>
      </c>
      <c r="E790" t="s">
        <v>3034</v>
      </c>
      <c r="F790" t="s">
        <v>9693</v>
      </c>
      <c r="G790" t="s">
        <v>187</v>
      </c>
    </row>
    <row r="791" spans="1:7" x14ac:dyDescent="0.25">
      <c r="A791" t="s">
        <v>364</v>
      </c>
      <c r="B791" t="s">
        <v>1631</v>
      </c>
      <c r="C791">
        <v>2024</v>
      </c>
      <c r="E791" t="s">
        <v>3034</v>
      </c>
      <c r="F791" t="s">
        <v>9694</v>
      </c>
      <c r="G791" t="s">
        <v>187</v>
      </c>
    </row>
    <row r="792" spans="1:7" x14ac:dyDescent="0.25">
      <c r="A792" t="s">
        <v>2506</v>
      </c>
      <c r="B792" t="s">
        <v>1633</v>
      </c>
      <c r="C792">
        <v>2021</v>
      </c>
      <c r="E792" t="s">
        <v>2982</v>
      </c>
      <c r="F792" t="s">
        <v>9239</v>
      </c>
      <c r="G792" t="s">
        <v>3994</v>
      </c>
    </row>
    <row r="793" spans="1:7" x14ac:dyDescent="0.25">
      <c r="A793" t="s">
        <v>1443</v>
      </c>
      <c r="B793" t="s">
        <v>1637</v>
      </c>
      <c r="C793">
        <v>2018</v>
      </c>
      <c r="E793" t="s">
        <v>3249</v>
      </c>
      <c r="F793" t="s">
        <v>8862</v>
      </c>
      <c r="G793" t="s">
        <v>3994</v>
      </c>
    </row>
    <row r="794" spans="1:7" x14ac:dyDescent="0.25">
      <c r="A794" t="s">
        <v>759</v>
      </c>
      <c r="B794" t="s">
        <v>1641</v>
      </c>
      <c r="C794">
        <v>2018</v>
      </c>
      <c r="E794" t="s">
        <v>3121</v>
      </c>
      <c r="F794" t="s">
        <v>9452</v>
      </c>
      <c r="G794" t="s">
        <v>3994</v>
      </c>
    </row>
    <row r="795" spans="1:7" x14ac:dyDescent="0.25">
      <c r="A795" t="s">
        <v>1294</v>
      </c>
      <c r="B795" t="s">
        <v>1645</v>
      </c>
      <c r="C795">
        <v>2019</v>
      </c>
      <c r="E795" s="10" t="s">
        <v>8387</v>
      </c>
      <c r="F795" t="s">
        <v>9451</v>
      </c>
      <c r="G795" t="s">
        <v>3994</v>
      </c>
    </row>
    <row r="796" spans="1:7" x14ac:dyDescent="0.25">
      <c r="A796" t="s">
        <v>847</v>
      </c>
      <c r="B796" t="s">
        <v>1649</v>
      </c>
      <c r="C796">
        <v>1996</v>
      </c>
      <c r="E796" t="s">
        <v>3135</v>
      </c>
      <c r="F796" t="s">
        <v>8661</v>
      </c>
      <c r="G796" t="s">
        <v>3994</v>
      </c>
    </row>
    <row r="797" spans="1:7" x14ac:dyDescent="0.25">
      <c r="A797" t="s">
        <v>160</v>
      </c>
      <c r="B797" t="s">
        <v>1649</v>
      </c>
      <c r="C797">
        <v>2011</v>
      </c>
      <c r="D797" t="s">
        <v>187</v>
      </c>
      <c r="F797" t="s">
        <v>9695</v>
      </c>
      <c r="G797" t="s">
        <v>3994</v>
      </c>
    </row>
    <row r="798" spans="1:7" x14ac:dyDescent="0.25">
      <c r="A798" t="s">
        <v>1761</v>
      </c>
      <c r="B798" t="s">
        <v>1653</v>
      </c>
      <c r="C798">
        <v>1995</v>
      </c>
      <c r="E798" s="10" t="s">
        <v>8386</v>
      </c>
      <c r="F798" t="s">
        <v>9696</v>
      </c>
      <c r="G798" t="s">
        <v>187</v>
      </c>
    </row>
    <row r="799" spans="1:7" x14ac:dyDescent="0.25">
      <c r="A799" t="s">
        <v>1661</v>
      </c>
      <c r="B799" t="s">
        <v>1659</v>
      </c>
      <c r="C799">
        <v>2011</v>
      </c>
      <c r="D799" t="s">
        <v>187</v>
      </c>
      <c r="F799" t="s">
        <v>9697</v>
      </c>
      <c r="G799" t="s">
        <v>3994</v>
      </c>
    </row>
    <row r="800" spans="1:7" x14ac:dyDescent="0.25">
      <c r="A800" t="s">
        <v>1155</v>
      </c>
      <c r="B800" t="s">
        <v>1661</v>
      </c>
      <c r="C800">
        <v>2010</v>
      </c>
      <c r="D800" t="s">
        <v>187</v>
      </c>
      <c r="F800" t="s">
        <v>9698</v>
      </c>
      <c r="G800" t="s">
        <v>3994</v>
      </c>
    </row>
    <row r="801" spans="1:7" x14ac:dyDescent="0.25">
      <c r="A801" t="s">
        <v>2154</v>
      </c>
      <c r="B801" t="s">
        <v>1663</v>
      </c>
      <c r="C801">
        <v>1980</v>
      </c>
      <c r="E801" t="s">
        <v>3013</v>
      </c>
      <c r="F801" t="s">
        <v>9699</v>
      </c>
      <c r="G801" t="s">
        <v>187</v>
      </c>
    </row>
    <row r="802" spans="1:7" x14ac:dyDescent="0.25">
      <c r="A802" t="s">
        <v>2721</v>
      </c>
      <c r="B802" t="s">
        <v>1666</v>
      </c>
      <c r="C802">
        <v>1993</v>
      </c>
      <c r="E802" t="s">
        <v>1669</v>
      </c>
      <c r="F802" t="s">
        <v>9323</v>
      </c>
      <c r="G802" t="s">
        <v>3994</v>
      </c>
    </row>
    <row r="803" spans="1:7" x14ac:dyDescent="0.25">
      <c r="A803" t="s">
        <v>2804</v>
      </c>
      <c r="B803" t="s">
        <v>1670</v>
      </c>
      <c r="C803">
        <v>2021</v>
      </c>
      <c r="E803" t="s">
        <v>3013</v>
      </c>
      <c r="F803" t="s">
        <v>9700</v>
      </c>
      <c r="G803" t="s">
        <v>187</v>
      </c>
    </row>
    <row r="804" spans="1:7" x14ac:dyDescent="0.25">
      <c r="A804" t="s">
        <v>90</v>
      </c>
      <c r="B804" t="s">
        <v>1672</v>
      </c>
      <c r="C804">
        <v>2017</v>
      </c>
      <c r="E804" t="s">
        <v>3367</v>
      </c>
      <c r="F804" t="s">
        <v>9136</v>
      </c>
      <c r="G804" t="s">
        <v>3994</v>
      </c>
    </row>
    <row r="805" spans="1:7" x14ac:dyDescent="0.25">
      <c r="A805" t="s">
        <v>2721</v>
      </c>
      <c r="B805" t="s">
        <v>1676</v>
      </c>
      <c r="C805">
        <v>1993</v>
      </c>
      <c r="E805" t="s">
        <v>3013</v>
      </c>
      <c r="F805" t="s">
        <v>9701</v>
      </c>
      <c r="G805" t="s">
        <v>187</v>
      </c>
    </row>
    <row r="806" spans="1:7" x14ac:dyDescent="0.25">
      <c r="A806" t="s">
        <v>1676</v>
      </c>
      <c r="B806" t="s">
        <v>1679</v>
      </c>
      <c r="C806">
        <v>2002</v>
      </c>
      <c r="D806" t="s">
        <v>187</v>
      </c>
      <c r="F806" t="s">
        <v>9702</v>
      </c>
      <c r="G806" t="s">
        <v>3994</v>
      </c>
    </row>
    <row r="807" spans="1:7" x14ac:dyDescent="0.25">
      <c r="A807" t="s">
        <v>2721</v>
      </c>
      <c r="B807" t="s">
        <v>1682</v>
      </c>
      <c r="C807">
        <v>1993</v>
      </c>
      <c r="E807" t="s">
        <v>3420</v>
      </c>
      <c r="F807" t="s">
        <v>9324</v>
      </c>
      <c r="G807" t="s">
        <v>3994</v>
      </c>
    </row>
    <row r="808" spans="1:7" x14ac:dyDescent="0.25">
      <c r="A808" t="s">
        <v>1682</v>
      </c>
      <c r="B808" t="s">
        <v>1684</v>
      </c>
      <c r="C808">
        <v>2022</v>
      </c>
      <c r="D808" t="s">
        <v>187</v>
      </c>
      <c r="F808" t="s">
        <v>9703</v>
      </c>
      <c r="G808" t="s">
        <v>3994</v>
      </c>
    </row>
    <row r="809" spans="1:7" x14ac:dyDescent="0.25">
      <c r="A809" t="s">
        <v>946</v>
      </c>
      <c r="B809" t="s">
        <v>1686</v>
      </c>
      <c r="C809">
        <v>2014</v>
      </c>
      <c r="E809" t="s">
        <v>1689</v>
      </c>
      <c r="F809" t="s">
        <v>8698</v>
      </c>
      <c r="G809" t="s">
        <v>3994</v>
      </c>
    </row>
    <row r="810" spans="1:7" x14ac:dyDescent="0.25">
      <c r="A810" t="s">
        <v>90</v>
      </c>
      <c r="B810" t="s">
        <v>1690</v>
      </c>
      <c r="C810">
        <v>2017</v>
      </c>
      <c r="E810" t="s">
        <v>3013</v>
      </c>
      <c r="F810" t="s">
        <v>9704</v>
      </c>
      <c r="G810" t="s">
        <v>187</v>
      </c>
    </row>
    <row r="811" spans="1:7" x14ac:dyDescent="0.25">
      <c r="A811" t="s">
        <v>1428</v>
      </c>
      <c r="B811" t="s">
        <v>1694</v>
      </c>
      <c r="C811">
        <v>2023</v>
      </c>
      <c r="D811" t="s">
        <v>187</v>
      </c>
      <c r="E811" s="10" t="s">
        <v>9458</v>
      </c>
      <c r="F811" t="s">
        <v>9457</v>
      </c>
      <c r="G811" t="s">
        <v>3994</v>
      </c>
    </row>
    <row r="812" spans="1:7" x14ac:dyDescent="0.25">
      <c r="A812" t="s">
        <v>1690</v>
      </c>
      <c r="B812" t="s">
        <v>1694</v>
      </c>
      <c r="C812">
        <v>2020</v>
      </c>
      <c r="D812" t="s">
        <v>187</v>
      </c>
      <c r="F812" t="s">
        <v>9705</v>
      </c>
      <c r="G812" t="s">
        <v>3994</v>
      </c>
    </row>
    <row r="813" spans="1:7" x14ac:dyDescent="0.25">
      <c r="A813" t="s">
        <v>904</v>
      </c>
      <c r="B813" t="s">
        <v>1696</v>
      </c>
      <c r="C813">
        <v>2022</v>
      </c>
      <c r="E813" t="s">
        <v>3143</v>
      </c>
      <c r="F813" t="s">
        <v>8678</v>
      </c>
      <c r="G813" t="s">
        <v>3994</v>
      </c>
    </row>
    <row r="814" spans="1:7" x14ac:dyDescent="0.25">
      <c r="A814" t="s">
        <v>2804</v>
      </c>
      <c r="B814" t="s">
        <v>1696</v>
      </c>
      <c r="C814">
        <v>2021</v>
      </c>
      <c r="E814" t="s">
        <v>3143</v>
      </c>
      <c r="F814" t="s">
        <v>9346</v>
      </c>
      <c r="G814" t="s">
        <v>3994</v>
      </c>
    </row>
    <row r="815" spans="1:7" x14ac:dyDescent="0.25">
      <c r="A815" t="s">
        <v>1144</v>
      </c>
      <c r="B815" t="s">
        <v>1700</v>
      </c>
      <c r="C815">
        <v>2012</v>
      </c>
      <c r="E815" t="s">
        <v>3205</v>
      </c>
      <c r="F815" t="s">
        <v>9444</v>
      </c>
      <c r="G815" t="s">
        <v>3994</v>
      </c>
    </row>
    <row r="816" spans="1:7" x14ac:dyDescent="0.25">
      <c r="A816" t="s">
        <v>2428</v>
      </c>
      <c r="B816" t="s">
        <v>1700</v>
      </c>
      <c r="C816">
        <v>2008</v>
      </c>
      <c r="E816" t="s">
        <v>3205</v>
      </c>
      <c r="F816" t="s">
        <v>9445</v>
      </c>
      <c r="G816" t="s">
        <v>3994</v>
      </c>
    </row>
    <row r="817" spans="1:7" x14ac:dyDescent="0.25">
      <c r="A817" t="s">
        <v>160</v>
      </c>
      <c r="B817" t="s">
        <v>1700</v>
      </c>
      <c r="C817">
        <v>2011</v>
      </c>
      <c r="E817" t="s">
        <v>3205</v>
      </c>
      <c r="F817" t="s">
        <v>9446</v>
      </c>
      <c r="G817" t="s">
        <v>3994</v>
      </c>
    </row>
    <row r="818" spans="1:7" x14ac:dyDescent="0.25">
      <c r="A818" t="s">
        <v>241</v>
      </c>
      <c r="B818" t="s">
        <v>1704</v>
      </c>
      <c r="C818">
        <v>2025</v>
      </c>
      <c r="E818" t="s">
        <v>2986</v>
      </c>
      <c r="F818" t="s">
        <v>9393</v>
      </c>
      <c r="G818" t="s">
        <v>3994</v>
      </c>
    </row>
    <row r="819" spans="1:7" x14ac:dyDescent="0.25">
      <c r="A819" t="s">
        <v>2016</v>
      </c>
      <c r="B819" t="s">
        <v>1704</v>
      </c>
      <c r="C819">
        <v>2024</v>
      </c>
      <c r="E819" t="s">
        <v>2986</v>
      </c>
      <c r="F819" t="s">
        <v>9403</v>
      </c>
      <c r="G819" t="s">
        <v>3994</v>
      </c>
    </row>
    <row r="820" spans="1:7" x14ac:dyDescent="0.25">
      <c r="A820" t="s">
        <v>90</v>
      </c>
      <c r="B820" t="s">
        <v>1704</v>
      </c>
      <c r="C820">
        <v>2017</v>
      </c>
      <c r="E820" t="s">
        <v>3368</v>
      </c>
      <c r="F820" t="s">
        <v>9137</v>
      </c>
      <c r="G820" t="s">
        <v>3994</v>
      </c>
    </row>
    <row r="821" spans="1:7" x14ac:dyDescent="0.25">
      <c r="A821" t="s">
        <v>346</v>
      </c>
      <c r="B821" t="s">
        <v>1711</v>
      </c>
      <c r="C821">
        <v>2022</v>
      </c>
      <c r="D821" t="s">
        <v>187</v>
      </c>
      <c r="F821" t="s">
        <v>9706</v>
      </c>
      <c r="G821" t="s">
        <v>3994</v>
      </c>
    </row>
    <row r="822" spans="1:7" x14ac:dyDescent="0.25">
      <c r="A822" t="s">
        <v>2173</v>
      </c>
      <c r="B822" t="s">
        <v>1713</v>
      </c>
      <c r="C822">
        <v>2013</v>
      </c>
      <c r="E822" t="s">
        <v>3333</v>
      </c>
      <c r="F822" t="s">
        <v>9057</v>
      </c>
      <c r="G822" t="s">
        <v>3994</v>
      </c>
    </row>
    <row r="823" spans="1:7" x14ac:dyDescent="0.25">
      <c r="A823" t="s">
        <v>160</v>
      </c>
      <c r="B823" t="s">
        <v>1713</v>
      </c>
      <c r="C823">
        <v>2011</v>
      </c>
      <c r="E823" t="s">
        <v>3333</v>
      </c>
      <c r="F823" t="s">
        <v>9285</v>
      </c>
      <c r="G823" t="s">
        <v>3994</v>
      </c>
    </row>
    <row r="824" spans="1:7" x14ac:dyDescent="0.25">
      <c r="A824" t="s">
        <v>1713</v>
      </c>
      <c r="B824" t="s">
        <v>1717</v>
      </c>
      <c r="C824">
        <v>2018</v>
      </c>
      <c r="D824" t="s">
        <v>187</v>
      </c>
      <c r="F824" t="s">
        <v>9707</v>
      </c>
      <c r="G824" t="s">
        <v>3994</v>
      </c>
    </row>
    <row r="825" spans="1:7" x14ac:dyDescent="0.25">
      <c r="A825" t="s">
        <v>1294</v>
      </c>
      <c r="B825" t="s">
        <v>8422</v>
      </c>
      <c r="C825">
        <v>2019</v>
      </c>
      <c r="E825" s="10" t="s">
        <v>8421</v>
      </c>
      <c r="F825" t="s">
        <v>8810</v>
      </c>
      <c r="G825" t="s">
        <v>3994</v>
      </c>
    </row>
    <row r="826" spans="1:7" x14ac:dyDescent="0.25">
      <c r="A826" t="s">
        <v>256</v>
      </c>
      <c r="B826" t="s">
        <v>1719</v>
      </c>
      <c r="C826">
        <v>1994</v>
      </c>
      <c r="E826" t="s">
        <v>2982</v>
      </c>
      <c r="F826" t="s">
        <v>8466</v>
      </c>
      <c r="G826" t="s">
        <v>3994</v>
      </c>
    </row>
    <row r="827" spans="1:7" x14ac:dyDescent="0.25">
      <c r="A827" t="s">
        <v>490</v>
      </c>
      <c r="B827" t="s">
        <v>1719</v>
      </c>
      <c r="C827">
        <v>2009</v>
      </c>
      <c r="E827" t="s">
        <v>2982</v>
      </c>
      <c r="F827" t="s">
        <v>8545</v>
      </c>
      <c r="G827" t="s">
        <v>3994</v>
      </c>
    </row>
    <row r="828" spans="1:7" x14ac:dyDescent="0.25">
      <c r="A828" t="s">
        <v>1795</v>
      </c>
      <c r="B828" t="s">
        <v>1719</v>
      </c>
      <c r="C828">
        <v>1987</v>
      </c>
      <c r="E828" t="s">
        <v>2982</v>
      </c>
      <c r="F828" t="s">
        <v>8942</v>
      </c>
      <c r="G828" t="s">
        <v>3994</v>
      </c>
    </row>
    <row r="829" spans="1:7" x14ac:dyDescent="0.25">
      <c r="A829" t="s">
        <v>2788</v>
      </c>
      <c r="B829" t="s">
        <v>1719</v>
      </c>
      <c r="C829">
        <v>2017</v>
      </c>
      <c r="E829" t="s">
        <v>2982</v>
      </c>
      <c r="F829" t="s">
        <v>9326</v>
      </c>
      <c r="G829" t="s">
        <v>3994</v>
      </c>
    </row>
    <row r="830" spans="1:7" x14ac:dyDescent="0.25">
      <c r="A830" t="s">
        <v>2095</v>
      </c>
      <c r="B830" t="s">
        <v>1723</v>
      </c>
      <c r="C830">
        <v>2023</v>
      </c>
      <c r="E830" s="10" t="s">
        <v>8423</v>
      </c>
      <c r="F830" t="s">
        <v>9001</v>
      </c>
      <c r="G830" t="s">
        <v>3994</v>
      </c>
    </row>
    <row r="831" spans="1:7" x14ac:dyDescent="0.25">
      <c r="A831" t="s">
        <v>2136</v>
      </c>
      <c r="B831" t="s">
        <v>1723</v>
      </c>
      <c r="C831">
        <v>2020</v>
      </c>
      <c r="E831" t="s">
        <v>2982</v>
      </c>
      <c r="F831" t="s">
        <v>9017</v>
      </c>
      <c r="G831" t="s">
        <v>3994</v>
      </c>
    </row>
    <row r="832" spans="1:7" x14ac:dyDescent="0.25">
      <c r="A832" t="s">
        <v>2154</v>
      </c>
      <c r="B832" t="s">
        <v>1725</v>
      </c>
      <c r="C832">
        <v>1980</v>
      </c>
      <c r="E832" t="s">
        <v>3324</v>
      </c>
      <c r="F832" t="s">
        <v>9039</v>
      </c>
      <c r="G832" t="s">
        <v>3994</v>
      </c>
    </row>
    <row r="833" spans="1:7" x14ac:dyDescent="0.25">
      <c r="A833" t="s">
        <v>90</v>
      </c>
      <c r="B833" t="s">
        <v>1728</v>
      </c>
      <c r="C833">
        <v>2017</v>
      </c>
      <c r="E833" t="s">
        <v>3369</v>
      </c>
      <c r="F833" t="s">
        <v>9708</v>
      </c>
      <c r="G833" t="s">
        <v>187</v>
      </c>
    </row>
    <row r="834" spans="1:7" x14ac:dyDescent="0.25">
      <c r="A834" t="s">
        <v>90</v>
      </c>
      <c r="B834" t="s">
        <v>1734</v>
      </c>
      <c r="C834">
        <v>2017</v>
      </c>
      <c r="E834" t="s">
        <v>2982</v>
      </c>
      <c r="F834" t="s">
        <v>9138</v>
      </c>
      <c r="G834" t="s">
        <v>3994</v>
      </c>
    </row>
    <row r="835" spans="1:7" x14ac:dyDescent="0.25">
      <c r="A835" t="s">
        <v>2804</v>
      </c>
      <c r="B835" t="s">
        <v>1734</v>
      </c>
      <c r="C835">
        <v>2021</v>
      </c>
      <c r="E835" t="s">
        <v>2982</v>
      </c>
      <c r="F835" t="s">
        <v>9347</v>
      </c>
      <c r="G835" t="s">
        <v>3994</v>
      </c>
    </row>
    <row r="836" spans="1:7" x14ac:dyDescent="0.25">
      <c r="A836" t="s">
        <v>2747</v>
      </c>
      <c r="B836" t="s">
        <v>1738</v>
      </c>
      <c r="C836">
        <v>2014</v>
      </c>
      <c r="D836" t="s">
        <v>187</v>
      </c>
      <c r="F836" t="s">
        <v>9709</v>
      </c>
      <c r="G836" t="s">
        <v>3994</v>
      </c>
    </row>
    <row r="837" spans="1:7" x14ac:dyDescent="0.25">
      <c r="A837" t="s">
        <v>1738</v>
      </c>
      <c r="B837" t="s">
        <v>1742</v>
      </c>
      <c r="C837">
        <v>2018</v>
      </c>
      <c r="D837" t="s">
        <v>187</v>
      </c>
      <c r="F837" t="s">
        <v>9710</v>
      </c>
      <c r="G837" t="s">
        <v>3994</v>
      </c>
    </row>
    <row r="838" spans="1:7" x14ac:dyDescent="0.25">
      <c r="A838" t="s">
        <v>1155</v>
      </c>
      <c r="B838" t="s">
        <v>1746</v>
      </c>
      <c r="C838">
        <v>2010</v>
      </c>
      <c r="D838" t="s">
        <v>187</v>
      </c>
      <c r="F838" t="s">
        <v>9711</v>
      </c>
      <c r="G838" t="s">
        <v>3994</v>
      </c>
    </row>
    <row r="839" spans="1:7" x14ac:dyDescent="0.25">
      <c r="A839" t="s">
        <v>2428</v>
      </c>
      <c r="B839" t="s">
        <v>1748</v>
      </c>
      <c r="C839">
        <v>2008</v>
      </c>
      <c r="E839" t="s">
        <v>3395</v>
      </c>
      <c r="F839" t="s">
        <v>9219</v>
      </c>
      <c r="G839" t="s">
        <v>3994</v>
      </c>
    </row>
    <row r="840" spans="1:7" x14ac:dyDescent="0.25">
      <c r="A840" t="s">
        <v>2136</v>
      </c>
      <c r="B840" t="s">
        <v>1752</v>
      </c>
      <c r="C840">
        <v>2020</v>
      </c>
      <c r="E840" t="s">
        <v>3314</v>
      </c>
      <c r="F840" t="s">
        <v>9712</v>
      </c>
      <c r="G840" t="s">
        <v>187</v>
      </c>
    </row>
    <row r="841" spans="1:7" x14ac:dyDescent="0.25">
      <c r="A841" t="s">
        <v>1435</v>
      </c>
      <c r="B841" t="s">
        <v>1756</v>
      </c>
      <c r="C841">
        <v>2021</v>
      </c>
      <c r="E841" t="s">
        <v>2982</v>
      </c>
      <c r="F841" t="s">
        <v>8846</v>
      </c>
      <c r="G841" t="s">
        <v>3994</v>
      </c>
    </row>
    <row r="842" spans="1:7" x14ac:dyDescent="0.25">
      <c r="A842" t="s">
        <v>1899</v>
      </c>
      <c r="B842" t="s">
        <v>1758</v>
      </c>
      <c r="C842">
        <v>2014</v>
      </c>
      <c r="D842" t="s">
        <v>187</v>
      </c>
      <c r="F842" t="s">
        <v>9713</v>
      </c>
      <c r="G842" t="s">
        <v>3994</v>
      </c>
    </row>
    <row r="843" spans="1:7" x14ac:dyDescent="0.25">
      <c r="A843" t="s">
        <v>1795</v>
      </c>
      <c r="B843" t="s">
        <v>1761</v>
      </c>
      <c r="C843">
        <v>1987</v>
      </c>
      <c r="E843" s="10" t="s">
        <v>8440</v>
      </c>
      <c r="F843" t="s">
        <v>8441</v>
      </c>
      <c r="G843" t="s">
        <v>3994</v>
      </c>
    </row>
    <row r="844" spans="1:7" x14ac:dyDescent="0.25">
      <c r="A844" t="s">
        <v>2721</v>
      </c>
      <c r="B844" t="s">
        <v>1761</v>
      </c>
      <c r="C844">
        <v>1993</v>
      </c>
      <c r="D844" t="s">
        <v>187</v>
      </c>
      <c r="E844" t="s">
        <v>3032</v>
      </c>
      <c r="F844" t="s">
        <v>9714</v>
      </c>
      <c r="G844" t="s">
        <v>3994</v>
      </c>
    </row>
    <row r="845" spans="1:7" x14ac:dyDescent="0.25">
      <c r="A845" t="s">
        <v>2804</v>
      </c>
      <c r="B845" t="s">
        <v>1764</v>
      </c>
      <c r="C845">
        <v>2021</v>
      </c>
      <c r="E845" t="s">
        <v>3013</v>
      </c>
      <c r="F845" t="s">
        <v>9715</v>
      </c>
      <c r="G845" t="s">
        <v>187</v>
      </c>
    </row>
    <row r="846" spans="1:7" x14ac:dyDescent="0.25">
      <c r="A846" t="s">
        <v>746</v>
      </c>
      <c r="B846" t="s">
        <v>1768</v>
      </c>
      <c r="C846">
        <v>2015</v>
      </c>
      <c r="E846" t="s">
        <v>3105</v>
      </c>
      <c r="F846" t="s">
        <v>8607</v>
      </c>
      <c r="G846" t="s">
        <v>3994</v>
      </c>
    </row>
    <row r="847" spans="1:7" x14ac:dyDescent="0.25">
      <c r="A847" t="s">
        <v>90</v>
      </c>
      <c r="B847" t="s">
        <v>1768</v>
      </c>
      <c r="C847">
        <v>2017</v>
      </c>
      <c r="E847" t="s">
        <v>3105</v>
      </c>
      <c r="F847" t="s">
        <v>9139</v>
      </c>
      <c r="G847" t="s">
        <v>3994</v>
      </c>
    </row>
    <row r="848" spans="1:7" x14ac:dyDescent="0.25">
      <c r="A848" t="s">
        <v>1046</v>
      </c>
      <c r="B848" t="s">
        <v>1771</v>
      </c>
      <c r="C848">
        <v>2016</v>
      </c>
      <c r="E848" t="s">
        <v>3186</v>
      </c>
      <c r="F848" t="s">
        <v>8731</v>
      </c>
      <c r="G848" t="s">
        <v>3994</v>
      </c>
    </row>
    <row r="849" spans="1:7" x14ac:dyDescent="0.25">
      <c r="A849" t="s">
        <v>1855</v>
      </c>
      <c r="B849" t="s">
        <v>1771</v>
      </c>
      <c r="C849">
        <v>2015</v>
      </c>
      <c r="E849" t="s">
        <v>3186</v>
      </c>
      <c r="F849" t="s">
        <v>8973</v>
      </c>
      <c r="G849" t="s">
        <v>3994</v>
      </c>
    </row>
    <row r="850" spans="1:7" x14ac:dyDescent="0.25">
      <c r="A850" t="s">
        <v>1779</v>
      </c>
      <c r="B850" t="s">
        <v>1783</v>
      </c>
      <c r="C850">
        <v>2022</v>
      </c>
      <c r="D850" t="s">
        <v>187</v>
      </c>
      <c r="F850" t="s">
        <v>9716</v>
      </c>
      <c r="G850" t="s">
        <v>3994</v>
      </c>
    </row>
    <row r="851" spans="1:7" x14ac:dyDescent="0.25">
      <c r="A851" t="s">
        <v>759</v>
      </c>
      <c r="B851" t="s">
        <v>1787</v>
      </c>
      <c r="C851">
        <v>2018</v>
      </c>
      <c r="E851" s="10" t="s">
        <v>8399</v>
      </c>
      <c r="F851" t="s">
        <v>8628</v>
      </c>
      <c r="G851" t="s">
        <v>3994</v>
      </c>
    </row>
    <row r="852" spans="1:7" x14ac:dyDescent="0.25">
      <c r="A852" t="s">
        <v>1046</v>
      </c>
      <c r="B852" t="s">
        <v>1787</v>
      </c>
      <c r="C852">
        <v>2016</v>
      </c>
      <c r="E852" s="10" t="s">
        <v>8399</v>
      </c>
      <c r="F852" t="s">
        <v>8732</v>
      </c>
      <c r="G852" t="s">
        <v>3994</v>
      </c>
    </row>
    <row r="853" spans="1:7" x14ac:dyDescent="0.25">
      <c r="A853" t="s">
        <v>160</v>
      </c>
      <c r="B853" t="s">
        <v>1787</v>
      </c>
      <c r="C853">
        <v>2011</v>
      </c>
      <c r="E853" t="s">
        <v>2982</v>
      </c>
      <c r="F853" t="s">
        <v>9286</v>
      </c>
      <c r="G853" t="s">
        <v>3994</v>
      </c>
    </row>
    <row r="854" spans="1:7" x14ac:dyDescent="0.25">
      <c r="A854" t="s">
        <v>1787</v>
      </c>
      <c r="B854" t="s">
        <v>1791</v>
      </c>
      <c r="C854">
        <v>2019</v>
      </c>
      <c r="D854" t="s">
        <v>187</v>
      </c>
      <c r="F854" t="s">
        <v>9717</v>
      </c>
      <c r="G854" t="s">
        <v>3994</v>
      </c>
    </row>
    <row r="855" spans="1:7" x14ac:dyDescent="0.25">
      <c r="A855" t="s">
        <v>2804</v>
      </c>
      <c r="B855" t="s">
        <v>1793</v>
      </c>
      <c r="C855">
        <v>2021</v>
      </c>
      <c r="E855" t="s">
        <v>3013</v>
      </c>
      <c r="F855" t="s">
        <v>9718</v>
      </c>
      <c r="G855" t="s">
        <v>187</v>
      </c>
    </row>
    <row r="856" spans="1:7" x14ac:dyDescent="0.25">
      <c r="A856" t="s">
        <v>1284</v>
      </c>
      <c r="B856" t="s">
        <v>1795</v>
      </c>
      <c r="C856">
        <v>1984</v>
      </c>
      <c r="E856" t="s">
        <v>3222</v>
      </c>
      <c r="F856" t="s">
        <v>8788</v>
      </c>
      <c r="G856" t="s">
        <v>3994</v>
      </c>
    </row>
    <row r="857" spans="1:7" x14ac:dyDescent="0.25">
      <c r="A857" t="s">
        <v>726</v>
      </c>
      <c r="B857" t="s">
        <v>1798</v>
      </c>
      <c r="C857">
        <v>2020</v>
      </c>
      <c r="E857" t="s">
        <v>3092</v>
      </c>
      <c r="F857" t="s">
        <v>8591</v>
      </c>
      <c r="G857" t="s">
        <v>3994</v>
      </c>
    </row>
    <row r="858" spans="1:7" x14ac:dyDescent="0.25">
      <c r="A858" t="s">
        <v>1294</v>
      </c>
      <c r="B858" t="s">
        <v>1798</v>
      </c>
      <c r="C858">
        <v>2019</v>
      </c>
      <c r="E858" t="s">
        <v>3092</v>
      </c>
      <c r="F858" t="s">
        <v>8811</v>
      </c>
      <c r="G858" t="s">
        <v>3994</v>
      </c>
    </row>
    <row r="859" spans="1:7" x14ac:dyDescent="0.25">
      <c r="A859" t="s">
        <v>1294</v>
      </c>
      <c r="B859" t="s">
        <v>1801</v>
      </c>
      <c r="C859">
        <v>2019</v>
      </c>
      <c r="E859" t="s">
        <v>3013</v>
      </c>
      <c r="F859" t="s">
        <v>9719</v>
      </c>
      <c r="G859" t="s">
        <v>187</v>
      </c>
    </row>
    <row r="860" spans="1:7" x14ac:dyDescent="0.25">
      <c r="A860" t="s">
        <v>2804</v>
      </c>
      <c r="B860" t="s">
        <v>1804</v>
      </c>
      <c r="C860">
        <v>2021</v>
      </c>
      <c r="E860" t="s">
        <v>3013</v>
      </c>
      <c r="F860" t="s">
        <v>9720</v>
      </c>
      <c r="G860" t="s">
        <v>187</v>
      </c>
    </row>
    <row r="861" spans="1:7" x14ac:dyDescent="0.25">
      <c r="A861" t="s">
        <v>1046</v>
      </c>
      <c r="B861" t="s">
        <v>1809</v>
      </c>
      <c r="C861">
        <v>2016</v>
      </c>
      <c r="E861" s="10" t="s">
        <v>9941</v>
      </c>
      <c r="F861" t="s">
        <v>9940</v>
      </c>
      <c r="G861" t="s">
        <v>3994</v>
      </c>
    </row>
    <row r="862" spans="1:7" x14ac:dyDescent="0.25">
      <c r="A862" t="s">
        <v>2804</v>
      </c>
      <c r="B862" t="s">
        <v>1809</v>
      </c>
      <c r="C862">
        <v>2021</v>
      </c>
      <c r="E862" t="s">
        <v>2982</v>
      </c>
      <c r="F862" t="s">
        <v>9348</v>
      </c>
      <c r="G862" t="s">
        <v>3994</v>
      </c>
    </row>
    <row r="863" spans="1:7" x14ac:dyDescent="0.25">
      <c r="A863" t="s">
        <v>1576</v>
      </c>
      <c r="B863" t="s">
        <v>1811</v>
      </c>
      <c r="C863">
        <v>2021</v>
      </c>
      <c r="E863" t="s">
        <v>2982</v>
      </c>
      <c r="F863" t="s">
        <v>8892</v>
      </c>
      <c r="G863" t="s">
        <v>3994</v>
      </c>
    </row>
    <row r="864" spans="1:7" x14ac:dyDescent="0.25">
      <c r="A864" t="s">
        <v>1813</v>
      </c>
      <c r="B864" t="s">
        <v>1811</v>
      </c>
      <c r="C864">
        <v>2024</v>
      </c>
      <c r="D864" t="s">
        <v>187</v>
      </c>
      <c r="F864" t="s">
        <v>8954</v>
      </c>
      <c r="G864" t="s">
        <v>3994</v>
      </c>
    </row>
    <row r="865" spans="1:7" x14ac:dyDescent="0.25">
      <c r="A865" t="s">
        <v>90</v>
      </c>
      <c r="B865" t="s">
        <v>1811</v>
      </c>
      <c r="C865">
        <v>2017</v>
      </c>
      <c r="E865" t="s">
        <v>2982</v>
      </c>
      <c r="F865" t="s">
        <v>9140</v>
      </c>
      <c r="G865" t="s">
        <v>3994</v>
      </c>
    </row>
    <row r="866" spans="1:7" x14ac:dyDescent="0.25">
      <c r="A866" t="s">
        <v>2377</v>
      </c>
      <c r="B866" t="s">
        <v>1811</v>
      </c>
      <c r="C866">
        <v>2021</v>
      </c>
      <c r="E866" t="s">
        <v>2982</v>
      </c>
      <c r="F866" t="s">
        <v>9192</v>
      </c>
      <c r="G866" t="s">
        <v>3994</v>
      </c>
    </row>
    <row r="867" spans="1:7" x14ac:dyDescent="0.25">
      <c r="A867" t="s">
        <v>2522</v>
      </c>
      <c r="B867" t="s">
        <v>1811</v>
      </c>
      <c r="C867">
        <v>2025</v>
      </c>
      <c r="E867" t="s">
        <v>2982</v>
      </c>
      <c r="F867" t="s">
        <v>9247</v>
      </c>
      <c r="G867" t="s">
        <v>3994</v>
      </c>
    </row>
    <row r="868" spans="1:7" x14ac:dyDescent="0.25">
      <c r="A868" t="s">
        <v>2428</v>
      </c>
      <c r="B868" t="s">
        <v>1817</v>
      </c>
      <c r="C868">
        <v>2008</v>
      </c>
      <c r="E868" t="s">
        <v>2982</v>
      </c>
      <c r="F868" t="s">
        <v>9220</v>
      </c>
      <c r="G868" t="s">
        <v>3994</v>
      </c>
    </row>
    <row r="869" spans="1:7" x14ac:dyDescent="0.25">
      <c r="A869" t="s">
        <v>2804</v>
      </c>
      <c r="B869" t="s">
        <v>1821</v>
      </c>
      <c r="C869">
        <v>2021</v>
      </c>
      <c r="E869" t="s">
        <v>3013</v>
      </c>
      <c r="F869" t="s">
        <v>9721</v>
      </c>
      <c r="G869" t="s">
        <v>187</v>
      </c>
    </row>
    <row r="870" spans="1:7" x14ac:dyDescent="0.25">
      <c r="A870" t="s">
        <v>497</v>
      </c>
      <c r="B870" t="s">
        <v>1825</v>
      </c>
      <c r="C870">
        <v>2022</v>
      </c>
      <c r="E870" t="s">
        <v>1828</v>
      </c>
      <c r="F870" t="s">
        <v>8559</v>
      </c>
      <c r="G870" t="s">
        <v>3994</v>
      </c>
    </row>
    <row r="871" spans="1:7" x14ac:dyDescent="0.25">
      <c r="A871" t="s">
        <v>160</v>
      </c>
      <c r="B871" t="s">
        <v>1825</v>
      </c>
      <c r="C871">
        <v>2011</v>
      </c>
      <c r="E871" t="s">
        <v>1828</v>
      </c>
      <c r="F871" t="s">
        <v>9287</v>
      </c>
      <c r="G871" t="s">
        <v>3994</v>
      </c>
    </row>
    <row r="872" spans="1:7" x14ac:dyDescent="0.25">
      <c r="A872" t="s">
        <v>2804</v>
      </c>
      <c r="B872" t="s">
        <v>1829</v>
      </c>
      <c r="C872">
        <v>2021</v>
      </c>
      <c r="E872" t="s">
        <v>3013</v>
      </c>
      <c r="F872" t="s">
        <v>9722</v>
      </c>
      <c r="G872" t="s">
        <v>187</v>
      </c>
    </row>
    <row r="873" spans="1:7" x14ac:dyDescent="0.25">
      <c r="A873" t="s">
        <v>2185</v>
      </c>
      <c r="B873" t="s">
        <v>1833</v>
      </c>
      <c r="C873">
        <v>2022</v>
      </c>
      <c r="E873" t="s">
        <v>2982</v>
      </c>
      <c r="F873" t="s">
        <v>9063</v>
      </c>
      <c r="G873" t="s">
        <v>3994</v>
      </c>
    </row>
    <row r="874" spans="1:7" x14ac:dyDescent="0.25">
      <c r="A874" t="s">
        <v>90</v>
      </c>
      <c r="B874" t="s">
        <v>1833</v>
      </c>
      <c r="C874">
        <v>2017</v>
      </c>
      <c r="E874" t="s">
        <v>2982</v>
      </c>
      <c r="F874" t="s">
        <v>9141</v>
      </c>
      <c r="G874" t="s">
        <v>3994</v>
      </c>
    </row>
    <row r="875" spans="1:7" x14ac:dyDescent="0.25">
      <c r="A875" t="s">
        <v>2173</v>
      </c>
      <c r="B875" t="s">
        <v>1837</v>
      </c>
      <c r="C875">
        <v>2013</v>
      </c>
      <c r="E875" s="10" t="s">
        <v>8364</v>
      </c>
      <c r="F875" t="s">
        <v>9058</v>
      </c>
      <c r="G875" t="s">
        <v>3994</v>
      </c>
    </row>
    <row r="876" spans="1:7" x14ac:dyDescent="0.25">
      <c r="A876" t="s">
        <v>160</v>
      </c>
      <c r="B876" t="s">
        <v>1837</v>
      </c>
      <c r="C876">
        <v>2011</v>
      </c>
      <c r="E876" s="10" t="s">
        <v>8364</v>
      </c>
      <c r="F876" t="s">
        <v>9288</v>
      </c>
      <c r="G876" t="s">
        <v>3994</v>
      </c>
    </row>
    <row r="877" spans="1:7" x14ac:dyDescent="0.25">
      <c r="A877" t="s">
        <v>2804</v>
      </c>
      <c r="B877" t="s">
        <v>1837</v>
      </c>
      <c r="C877">
        <v>2021</v>
      </c>
      <c r="E877" t="s">
        <v>3013</v>
      </c>
      <c r="F877" t="s">
        <v>9723</v>
      </c>
      <c r="G877" t="s">
        <v>187</v>
      </c>
    </row>
    <row r="878" spans="1:7" x14ac:dyDescent="0.25">
      <c r="A878" t="s">
        <v>160</v>
      </c>
      <c r="B878" t="s">
        <v>1843</v>
      </c>
      <c r="C878">
        <v>2011</v>
      </c>
      <c r="E878" t="s">
        <v>3406</v>
      </c>
      <c r="F878" t="s">
        <v>9289</v>
      </c>
      <c r="G878" t="s">
        <v>3994</v>
      </c>
    </row>
    <row r="879" spans="1:7" x14ac:dyDescent="0.25">
      <c r="A879" t="s">
        <v>946</v>
      </c>
      <c r="B879" t="s">
        <v>1847</v>
      </c>
      <c r="C879">
        <v>2014</v>
      </c>
      <c r="E879" t="s">
        <v>3162</v>
      </c>
      <c r="F879" t="s">
        <v>9724</v>
      </c>
      <c r="G879" t="s">
        <v>187</v>
      </c>
    </row>
    <row r="880" spans="1:7" x14ac:dyDescent="0.25">
      <c r="A880" t="s">
        <v>1144</v>
      </c>
      <c r="B880" t="s">
        <v>1847</v>
      </c>
      <c r="C880">
        <v>2012</v>
      </c>
      <c r="E880" t="s">
        <v>3206</v>
      </c>
      <c r="F880" t="s">
        <v>8761</v>
      </c>
      <c r="G880" t="s">
        <v>3994</v>
      </c>
    </row>
    <row r="881" spans="1:7" x14ac:dyDescent="0.25">
      <c r="A881" t="s">
        <v>2506</v>
      </c>
      <c r="B881" t="s">
        <v>1851</v>
      </c>
      <c r="C881">
        <v>2021</v>
      </c>
      <c r="E881" t="s">
        <v>2982</v>
      </c>
      <c r="F881" t="s">
        <v>9240</v>
      </c>
      <c r="G881" t="s">
        <v>3994</v>
      </c>
    </row>
    <row r="882" spans="1:7" x14ac:dyDescent="0.25">
      <c r="A882" t="s">
        <v>160</v>
      </c>
      <c r="B882" t="s">
        <v>1851</v>
      </c>
      <c r="C882">
        <v>2011</v>
      </c>
      <c r="E882" t="s">
        <v>2982</v>
      </c>
      <c r="F882" t="s">
        <v>9290</v>
      </c>
      <c r="G882" t="s">
        <v>3994</v>
      </c>
    </row>
    <row r="883" spans="1:7" x14ac:dyDescent="0.25">
      <c r="A883" t="s">
        <v>2804</v>
      </c>
      <c r="B883" t="s">
        <v>1851</v>
      </c>
      <c r="C883">
        <v>2021</v>
      </c>
      <c r="E883" t="s">
        <v>2982</v>
      </c>
      <c r="F883" t="s">
        <v>9349</v>
      </c>
      <c r="G883" t="s">
        <v>3994</v>
      </c>
    </row>
    <row r="884" spans="1:7" x14ac:dyDescent="0.25">
      <c r="A884" t="s">
        <v>1144</v>
      </c>
      <c r="B884" t="s">
        <v>1855</v>
      </c>
      <c r="C884">
        <v>2012</v>
      </c>
      <c r="E884" s="10" t="s">
        <v>8404</v>
      </c>
      <c r="F884" t="s">
        <v>8762</v>
      </c>
      <c r="G884" t="s">
        <v>3994</v>
      </c>
    </row>
    <row r="885" spans="1:7" x14ac:dyDescent="0.25">
      <c r="A885" t="s">
        <v>2322</v>
      </c>
      <c r="B885" t="s">
        <v>1855</v>
      </c>
      <c r="C885">
        <v>2010</v>
      </c>
      <c r="E885" t="s">
        <v>3338</v>
      </c>
      <c r="F885" t="s">
        <v>9072</v>
      </c>
      <c r="G885" t="s">
        <v>3994</v>
      </c>
    </row>
    <row r="886" spans="1:7" x14ac:dyDescent="0.25">
      <c r="A886" t="s">
        <v>2428</v>
      </c>
      <c r="B886" t="s">
        <v>1855</v>
      </c>
      <c r="C886">
        <v>2008</v>
      </c>
      <c r="E886" s="10" t="s">
        <v>8404</v>
      </c>
      <c r="F886" t="s">
        <v>9221</v>
      </c>
      <c r="G886" t="s">
        <v>3994</v>
      </c>
    </row>
    <row r="887" spans="1:7" x14ac:dyDescent="0.25">
      <c r="A887" t="s">
        <v>160</v>
      </c>
      <c r="B887" t="s">
        <v>1855</v>
      </c>
      <c r="C887">
        <v>2011</v>
      </c>
      <c r="E887" s="10" t="s">
        <v>8404</v>
      </c>
      <c r="F887" t="s">
        <v>9291</v>
      </c>
      <c r="G887" t="s">
        <v>3994</v>
      </c>
    </row>
    <row r="888" spans="1:7" x14ac:dyDescent="0.25">
      <c r="A888" t="s">
        <v>1294</v>
      </c>
      <c r="B888" t="s">
        <v>1859</v>
      </c>
      <c r="C888">
        <v>2019</v>
      </c>
      <c r="E888" t="s">
        <v>3013</v>
      </c>
      <c r="F888" t="s">
        <v>9725</v>
      </c>
      <c r="G888" t="s">
        <v>187</v>
      </c>
    </row>
    <row r="889" spans="1:7" x14ac:dyDescent="0.25">
      <c r="A889" t="s">
        <v>344</v>
      </c>
      <c r="B889" t="s">
        <v>1863</v>
      </c>
      <c r="C889">
        <v>2023</v>
      </c>
      <c r="E889" t="s">
        <v>2982</v>
      </c>
      <c r="F889" t="s">
        <v>8487</v>
      </c>
      <c r="G889" t="s">
        <v>3994</v>
      </c>
    </row>
    <row r="890" spans="1:7" x14ac:dyDescent="0.25">
      <c r="A890" t="s">
        <v>2506</v>
      </c>
      <c r="B890" t="s">
        <v>1863</v>
      </c>
      <c r="C890">
        <v>2021</v>
      </c>
      <c r="E890" t="s">
        <v>2982</v>
      </c>
      <c r="F890" t="s">
        <v>9241</v>
      </c>
      <c r="G890" t="s">
        <v>3994</v>
      </c>
    </row>
    <row r="891" spans="1:7" x14ac:dyDescent="0.25">
      <c r="A891" t="s">
        <v>2614</v>
      </c>
      <c r="B891" t="s">
        <v>1863</v>
      </c>
      <c r="C891">
        <v>2025</v>
      </c>
      <c r="E891" t="s">
        <v>2982</v>
      </c>
      <c r="F891" t="s">
        <v>9259</v>
      </c>
      <c r="G891" t="s">
        <v>3994</v>
      </c>
    </row>
    <row r="892" spans="1:7" x14ac:dyDescent="0.25">
      <c r="A892" t="s">
        <v>759</v>
      </c>
      <c r="B892" t="s">
        <v>1865</v>
      </c>
      <c r="C892">
        <v>2018</v>
      </c>
      <c r="E892" t="s">
        <v>3013</v>
      </c>
      <c r="F892" t="s">
        <v>9726</v>
      </c>
      <c r="G892" t="s">
        <v>187</v>
      </c>
    </row>
    <row r="893" spans="1:7" x14ac:dyDescent="0.25">
      <c r="A893" t="s">
        <v>90</v>
      </c>
      <c r="B893" t="s">
        <v>1867</v>
      </c>
      <c r="C893">
        <v>2017</v>
      </c>
      <c r="E893" t="s">
        <v>3370</v>
      </c>
      <c r="F893" t="s">
        <v>9727</v>
      </c>
      <c r="G893" t="s">
        <v>187</v>
      </c>
    </row>
    <row r="894" spans="1:7" x14ac:dyDescent="0.25">
      <c r="A894" t="s">
        <v>160</v>
      </c>
      <c r="B894" t="s">
        <v>1867</v>
      </c>
      <c r="C894">
        <v>2011</v>
      </c>
      <c r="E894" t="s">
        <v>3370</v>
      </c>
      <c r="F894" t="s">
        <v>9728</v>
      </c>
      <c r="G894" t="s">
        <v>187</v>
      </c>
    </row>
    <row r="895" spans="1:7" x14ac:dyDescent="0.25">
      <c r="A895" t="s">
        <v>651</v>
      </c>
      <c r="B895" t="s">
        <v>1875</v>
      </c>
      <c r="C895">
        <v>2023</v>
      </c>
      <c r="E895" t="s">
        <v>3081</v>
      </c>
      <c r="F895" t="s">
        <v>9729</v>
      </c>
      <c r="G895" t="s">
        <v>187</v>
      </c>
    </row>
    <row r="896" spans="1:7" x14ac:dyDescent="0.25">
      <c r="A896" t="s">
        <v>1046</v>
      </c>
      <c r="B896" t="s">
        <v>1877</v>
      </c>
      <c r="C896">
        <v>2016</v>
      </c>
      <c r="E896" t="s">
        <v>3187</v>
      </c>
      <c r="F896" t="s">
        <v>8733</v>
      </c>
      <c r="G896" t="s">
        <v>3994</v>
      </c>
    </row>
    <row r="897" spans="1:7" x14ac:dyDescent="0.25">
      <c r="A897" t="s">
        <v>1855</v>
      </c>
      <c r="B897" t="s">
        <v>1877</v>
      </c>
      <c r="C897">
        <v>2015</v>
      </c>
      <c r="E897" t="s">
        <v>3187</v>
      </c>
      <c r="F897" t="s">
        <v>8974</v>
      </c>
      <c r="G897" t="s">
        <v>3994</v>
      </c>
    </row>
    <row r="898" spans="1:7" x14ac:dyDescent="0.25">
      <c r="A898" t="s">
        <v>1516</v>
      </c>
      <c r="B898" t="s">
        <v>1879</v>
      </c>
      <c r="C898">
        <v>2024</v>
      </c>
      <c r="D898" t="s">
        <v>187</v>
      </c>
      <c r="F898" t="s">
        <v>9730</v>
      </c>
      <c r="G898" t="s">
        <v>3994</v>
      </c>
    </row>
    <row r="899" spans="1:7" x14ac:dyDescent="0.25">
      <c r="A899" t="s">
        <v>1855</v>
      </c>
      <c r="B899" t="s">
        <v>1879</v>
      </c>
      <c r="C899">
        <v>2015</v>
      </c>
      <c r="E899" t="s">
        <v>3299</v>
      </c>
      <c r="F899" t="s">
        <v>9731</v>
      </c>
      <c r="G899" t="s">
        <v>187</v>
      </c>
    </row>
    <row r="900" spans="1:7" x14ac:dyDescent="0.25">
      <c r="A900" t="s">
        <v>2254</v>
      </c>
      <c r="B900" t="s">
        <v>1879</v>
      </c>
      <c r="C900">
        <v>2020</v>
      </c>
      <c r="E900" t="s">
        <v>3299</v>
      </c>
      <c r="F900" t="s">
        <v>9732</v>
      </c>
      <c r="G900" t="s">
        <v>187</v>
      </c>
    </row>
    <row r="901" spans="1:7" x14ac:dyDescent="0.25">
      <c r="A901" t="s">
        <v>2154</v>
      </c>
      <c r="B901" t="s">
        <v>1882</v>
      </c>
      <c r="C901">
        <v>1980</v>
      </c>
      <c r="E901" s="10" t="s">
        <v>8448</v>
      </c>
      <c r="F901" t="s">
        <v>8449</v>
      </c>
      <c r="G901" t="s">
        <v>3994</v>
      </c>
    </row>
    <row r="902" spans="1:7" x14ac:dyDescent="0.25">
      <c r="A902" t="s">
        <v>2721</v>
      </c>
      <c r="B902" t="s">
        <v>1885</v>
      </c>
      <c r="C902">
        <v>1993</v>
      </c>
      <c r="D902" t="s">
        <v>187</v>
      </c>
      <c r="F902" t="s">
        <v>9733</v>
      </c>
      <c r="G902" t="s">
        <v>3994</v>
      </c>
    </row>
    <row r="903" spans="1:7" x14ac:dyDescent="0.25">
      <c r="A903" t="s">
        <v>1891</v>
      </c>
      <c r="B903" t="s">
        <v>1887</v>
      </c>
      <c r="C903">
        <v>2017</v>
      </c>
      <c r="D903" t="s">
        <v>187</v>
      </c>
      <c r="F903" t="s">
        <v>9734</v>
      </c>
      <c r="G903" t="s">
        <v>3994</v>
      </c>
    </row>
    <row r="904" spans="1:7" x14ac:dyDescent="0.25">
      <c r="A904" t="s">
        <v>1885</v>
      </c>
      <c r="B904" t="s">
        <v>1891</v>
      </c>
      <c r="C904">
        <v>2015</v>
      </c>
      <c r="D904" t="s">
        <v>187</v>
      </c>
      <c r="F904" t="s">
        <v>9735</v>
      </c>
      <c r="G904" t="s">
        <v>3994</v>
      </c>
    </row>
    <row r="905" spans="1:7" x14ac:dyDescent="0.25">
      <c r="A905" t="s">
        <v>353</v>
      </c>
      <c r="B905" t="s">
        <v>1893</v>
      </c>
      <c r="C905">
        <v>2023</v>
      </c>
      <c r="E905" t="s">
        <v>3035</v>
      </c>
      <c r="F905" t="s">
        <v>8518</v>
      </c>
      <c r="G905" t="s">
        <v>3994</v>
      </c>
    </row>
    <row r="906" spans="1:7" x14ac:dyDescent="0.25">
      <c r="A906" t="s">
        <v>364</v>
      </c>
      <c r="B906" t="s">
        <v>1893</v>
      </c>
      <c r="C906">
        <v>2024</v>
      </c>
      <c r="E906" t="s">
        <v>3035</v>
      </c>
      <c r="F906" t="s">
        <v>8539</v>
      </c>
      <c r="G906" t="s">
        <v>3994</v>
      </c>
    </row>
    <row r="907" spans="1:7" x14ac:dyDescent="0.25">
      <c r="A907" t="s">
        <v>1576</v>
      </c>
      <c r="B907" t="s">
        <v>1893</v>
      </c>
      <c r="C907">
        <v>2021</v>
      </c>
      <c r="E907" t="s">
        <v>3035</v>
      </c>
      <c r="F907" t="s">
        <v>8893</v>
      </c>
      <c r="G907" t="s">
        <v>3994</v>
      </c>
    </row>
    <row r="908" spans="1:7" x14ac:dyDescent="0.25">
      <c r="A908" t="s">
        <v>1144</v>
      </c>
      <c r="B908" t="s">
        <v>1895</v>
      </c>
      <c r="C908">
        <v>2012</v>
      </c>
      <c r="E908" t="s">
        <v>3207</v>
      </c>
      <c r="F908" t="s">
        <v>8763</v>
      </c>
      <c r="G908" t="s">
        <v>3994</v>
      </c>
    </row>
    <row r="909" spans="1:7" x14ac:dyDescent="0.25">
      <c r="A909" t="s">
        <v>1855</v>
      </c>
      <c r="B909" t="s">
        <v>1895</v>
      </c>
      <c r="C909">
        <v>2015</v>
      </c>
      <c r="E909" t="s">
        <v>3207</v>
      </c>
      <c r="F909" t="s">
        <v>8975</v>
      </c>
      <c r="G909" t="s">
        <v>3994</v>
      </c>
    </row>
    <row r="910" spans="1:7" x14ac:dyDescent="0.25">
      <c r="A910" t="s">
        <v>90</v>
      </c>
      <c r="B910" t="s">
        <v>1895</v>
      </c>
      <c r="C910">
        <v>2017</v>
      </c>
      <c r="E910" t="s">
        <v>3207</v>
      </c>
      <c r="F910" t="s">
        <v>9142</v>
      </c>
      <c r="G910" t="s">
        <v>3994</v>
      </c>
    </row>
    <row r="911" spans="1:7" x14ac:dyDescent="0.25">
      <c r="A911" t="s">
        <v>1761</v>
      </c>
      <c r="B911" t="s">
        <v>1899</v>
      </c>
      <c r="C911">
        <v>1995</v>
      </c>
      <c r="E911" t="s">
        <v>3272</v>
      </c>
      <c r="F911" t="s">
        <v>9736</v>
      </c>
      <c r="G911" t="s">
        <v>187</v>
      </c>
    </row>
    <row r="912" spans="1:7" x14ac:dyDescent="0.25">
      <c r="A912" t="s">
        <v>2721</v>
      </c>
      <c r="B912" t="s">
        <v>1899</v>
      </c>
      <c r="C912">
        <v>1993</v>
      </c>
      <c r="E912" t="s">
        <v>3272</v>
      </c>
      <c r="F912" t="s">
        <v>9737</v>
      </c>
      <c r="G912" t="s">
        <v>187</v>
      </c>
    </row>
    <row r="913" spans="1:7" x14ac:dyDescent="0.25">
      <c r="A913" t="s">
        <v>1970</v>
      </c>
      <c r="B913" t="s">
        <v>1903</v>
      </c>
      <c r="C913">
        <v>2012</v>
      </c>
      <c r="E913" t="s">
        <v>3303</v>
      </c>
      <c r="F913" t="s">
        <v>9738</v>
      </c>
      <c r="G913" t="s">
        <v>187</v>
      </c>
    </row>
    <row r="914" spans="1:7" x14ac:dyDescent="0.25">
      <c r="A914" t="s">
        <v>205</v>
      </c>
      <c r="B914" t="s">
        <v>7829</v>
      </c>
      <c r="C914">
        <v>2015</v>
      </c>
      <c r="E914" s="10" t="s">
        <v>8365</v>
      </c>
      <c r="F914" t="s">
        <v>8458</v>
      </c>
      <c r="G914" t="s">
        <v>3994</v>
      </c>
    </row>
    <row r="915" spans="1:7" x14ac:dyDescent="0.25">
      <c r="A915" t="s">
        <v>1553</v>
      </c>
      <c r="B915" t="s">
        <v>7829</v>
      </c>
      <c r="C915">
        <v>2017</v>
      </c>
      <c r="E915" t="s">
        <v>7814</v>
      </c>
      <c r="F915" t="s">
        <v>8876</v>
      </c>
      <c r="G915" t="s">
        <v>3994</v>
      </c>
    </row>
    <row r="916" spans="1:7" x14ac:dyDescent="0.25">
      <c r="A916" t="s">
        <v>2324</v>
      </c>
      <c r="B916" t="s">
        <v>7829</v>
      </c>
      <c r="C916">
        <v>2022</v>
      </c>
      <c r="E916" s="10" t="s">
        <v>8366</v>
      </c>
      <c r="F916" t="s">
        <v>9074</v>
      </c>
      <c r="G916" t="s">
        <v>3994</v>
      </c>
    </row>
    <row r="917" spans="1:7" x14ac:dyDescent="0.25">
      <c r="A917" t="s">
        <v>2361</v>
      </c>
      <c r="B917" t="s">
        <v>7829</v>
      </c>
      <c r="C917">
        <v>2018</v>
      </c>
      <c r="E917" s="10" t="s">
        <v>8366</v>
      </c>
      <c r="F917" t="s">
        <v>9188</v>
      </c>
      <c r="G917" t="s">
        <v>3994</v>
      </c>
    </row>
    <row r="918" spans="1:7" x14ac:dyDescent="0.25">
      <c r="A918" t="s">
        <v>2506</v>
      </c>
      <c r="B918" t="s">
        <v>7829</v>
      </c>
      <c r="C918">
        <v>2021</v>
      </c>
      <c r="E918" t="s">
        <v>7814</v>
      </c>
      <c r="F918" t="s">
        <v>9242</v>
      </c>
      <c r="G918" t="s">
        <v>3994</v>
      </c>
    </row>
    <row r="919" spans="1:7" x14ac:dyDescent="0.25">
      <c r="A919" t="s">
        <v>847</v>
      </c>
      <c r="B919" t="s">
        <v>1911</v>
      </c>
      <c r="C919">
        <v>1996</v>
      </c>
      <c r="E919" s="10" t="s">
        <v>8367</v>
      </c>
      <c r="F919" t="s">
        <v>8662</v>
      </c>
      <c r="G919" t="s">
        <v>3994</v>
      </c>
    </row>
    <row r="920" spans="1:7" x14ac:dyDescent="0.25">
      <c r="A920" t="s">
        <v>914</v>
      </c>
      <c r="B920" t="s">
        <v>1911</v>
      </c>
      <c r="C920">
        <v>2013</v>
      </c>
      <c r="E920" s="10" t="s">
        <v>8367</v>
      </c>
      <c r="F920" t="s">
        <v>8680</v>
      </c>
      <c r="G920" t="s">
        <v>3994</v>
      </c>
    </row>
    <row r="921" spans="1:7" x14ac:dyDescent="0.25">
      <c r="A921" t="s">
        <v>1144</v>
      </c>
      <c r="B921" t="s">
        <v>1911</v>
      </c>
      <c r="C921">
        <v>2012</v>
      </c>
      <c r="E921" t="s">
        <v>3208</v>
      </c>
      <c r="F921" t="s">
        <v>8764</v>
      </c>
      <c r="G921" t="s">
        <v>3994</v>
      </c>
    </row>
    <row r="922" spans="1:7" x14ac:dyDescent="0.25">
      <c r="A922" t="s">
        <v>160</v>
      </c>
      <c r="B922" t="s">
        <v>1911</v>
      </c>
      <c r="C922">
        <v>2011</v>
      </c>
      <c r="E922" t="s">
        <v>3208</v>
      </c>
      <c r="F922" t="s">
        <v>9292</v>
      </c>
      <c r="G922" t="s">
        <v>3994</v>
      </c>
    </row>
    <row r="923" spans="1:7" x14ac:dyDescent="0.25">
      <c r="A923" t="s">
        <v>1795</v>
      </c>
      <c r="B923" t="s">
        <v>1918</v>
      </c>
      <c r="C923">
        <v>1987</v>
      </c>
      <c r="E923" t="s">
        <v>2982</v>
      </c>
      <c r="F923" t="s">
        <v>8943</v>
      </c>
      <c r="G923" t="s">
        <v>3994</v>
      </c>
    </row>
    <row r="924" spans="1:7" x14ac:dyDescent="0.25">
      <c r="A924" t="s">
        <v>90</v>
      </c>
      <c r="B924" t="s">
        <v>1921</v>
      </c>
      <c r="C924">
        <v>2017</v>
      </c>
      <c r="E924" t="s">
        <v>3013</v>
      </c>
      <c r="F924" t="s">
        <v>9739</v>
      </c>
      <c r="G924" t="s">
        <v>187</v>
      </c>
    </row>
    <row r="925" spans="1:7" x14ac:dyDescent="0.25">
      <c r="A925" t="s">
        <v>2009</v>
      </c>
      <c r="B925" t="s">
        <v>1925</v>
      </c>
      <c r="C925">
        <v>2005</v>
      </c>
      <c r="E925" t="s">
        <v>3304</v>
      </c>
      <c r="F925" t="s">
        <v>8995</v>
      </c>
      <c r="G925" t="s">
        <v>3994</v>
      </c>
    </row>
    <row r="926" spans="1:7" x14ac:dyDescent="0.25">
      <c r="A926" t="s">
        <v>160</v>
      </c>
      <c r="B926" t="s">
        <v>1927</v>
      </c>
      <c r="C926">
        <v>2011</v>
      </c>
      <c r="E926" t="s">
        <v>2982</v>
      </c>
      <c r="F926" t="s">
        <v>9293</v>
      </c>
      <c r="G926" t="s">
        <v>3994</v>
      </c>
    </row>
    <row r="927" spans="1:7" x14ac:dyDescent="0.25">
      <c r="A927" t="s">
        <v>1046</v>
      </c>
      <c r="B927" t="s">
        <v>7916</v>
      </c>
      <c r="C927">
        <v>2016</v>
      </c>
      <c r="E927" s="10" t="s">
        <v>7915</v>
      </c>
      <c r="F927" t="s">
        <v>9740</v>
      </c>
      <c r="G927" t="s">
        <v>187</v>
      </c>
    </row>
    <row r="928" spans="1:7" x14ac:dyDescent="0.25">
      <c r="A928" t="s">
        <v>353</v>
      </c>
      <c r="B928" t="s">
        <v>1931</v>
      </c>
      <c r="C928">
        <v>2023</v>
      </c>
      <c r="E928" t="s">
        <v>3036</v>
      </c>
      <c r="F928" t="s">
        <v>8519</v>
      </c>
      <c r="G928" t="s">
        <v>3994</v>
      </c>
    </row>
    <row r="929" spans="1:7" x14ac:dyDescent="0.25">
      <c r="A929" t="s">
        <v>1046</v>
      </c>
      <c r="B929" t="s">
        <v>1933</v>
      </c>
      <c r="C929">
        <v>2016</v>
      </c>
      <c r="E929" s="10" t="s">
        <v>8406</v>
      </c>
      <c r="F929" t="s">
        <v>9741</v>
      </c>
      <c r="G929" t="s">
        <v>187</v>
      </c>
    </row>
    <row r="930" spans="1:7" x14ac:dyDescent="0.25">
      <c r="A930" t="s">
        <v>160</v>
      </c>
      <c r="B930" t="s">
        <v>1933</v>
      </c>
      <c r="C930">
        <v>2011</v>
      </c>
      <c r="E930" t="s">
        <v>3407</v>
      </c>
      <c r="F930" t="s">
        <v>9742</v>
      </c>
      <c r="G930" t="s">
        <v>187</v>
      </c>
    </row>
    <row r="931" spans="1:7" x14ac:dyDescent="0.25">
      <c r="A931" t="s">
        <v>964</v>
      </c>
      <c r="B931" t="s">
        <v>1937</v>
      </c>
      <c r="C931">
        <v>2006</v>
      </c>
      <c r="E931" t="s">
        <v>1940</v>
      </c>
      <c r="F931" t="s">
        <v>8703</v>
      </c>
      <c r="G931" t="s">
        <v>3994</v>
      </c>
    </row>
    <row r="932" spans="1:7" x14ac:dyDescent="0.25">
      <c r="A932" t="s">
        <v>2107</v>
      </c>
      <c r="B932" t="s">
        <v>1937</v>
      </c>
      <c r="C932">
        <v>2020</v>
      </c>
      <c r="E932" t="s">
        <v>1940</v>
      </c>
      <c r="F932" t="s">
        <v>9004</v>
      </c>
      <c r="G932" t="s">
        <v>3994</v>
      </c>
    </row>
    <row r="933" spans="1:7" x14ac:dyDescent="0.25">
      <c r="A933" t="s">
        <v>2571</v>
      </c>
      <c r="B933" t="s">
        <v>1937</v>
      </c>
      <c r="C933">
        <v>1998</v>
      </c>
      <c r="E933" t="s">
        <v>1940</v>
      </c>
      <c r="F933" t="s">
        <v>9743</v>
      </c>
      <c r="G933" t="s">
        <v>187</v>
      </c>
    </row>
    <row r="934" spans="1:7" x14ac:dyDescent="0.25">
      <c r="A934" t="s">
        <v>1046</v>
      </c>
      <c r="B934" t="s">
        <v>1941</v>
      </c>
      <c r="C934">
        <v>2016</v>
      </c>
      <c r="E934" t="s">
        <v>3188</v>
      </c>
      <c r="F934" t="s">
        <v>8734</v>
      </c>
      <c r="G934" t="s">
        <v>3994</v>
      </c>
    </row>
    <row r="935" spans="1:7" x14ac:dyDescent="0.25">
      <c r="A935" t="s">
        <v>1817</v>
      </c>
      <c r="B935" t="s">
        <v>1941</v>
      </c>
      <c r="C935">
        <v>2019</v>
      </c>
      <c r="E935" t="s">
        <v>3292</v>
      </c>
      <c r="F935" t="s">
        <v>8956</v>
      </c>
      <c r="G935" t="s">
        <v>3994</v>
      </c>
    </row>
    <row r="936" spans="1:7" x14ac:dyDescent="0.25">
      <c r="A936" t="s">
        <v>160</v>
      </c>
      <c r="B936" t="s">
        <v>1941</v>
      </c>
      <c r="C936">
        <v>2011</v>
      </c>
      <c r="E936" t="s">
        <v>3408</v>
      </c>
      <c r="F936" t="s">
        <v>9294</v>
      </c>
      <c r="G936" t="s">
        <v>3994</v>
      </c>
    </row>
    <row r="937" spans="1:7" x14ac:dyDescent="0.25">
      <c r="A937" t="s">
        <v>1795</v>
      </c>
      <c r="B937" t="s">
        <v>1944</v>
      </c>
      <c r="C937">
        <v>1987</v>
      </c>
      <c r="E937" t="s">
        <v>3282</v>
      </c>
      <c r="F937" t="s">
        <v>8944</v>
      </c>
      <c r="G937" t="s">
        <v>3994</v>
      </c>
    </row>
    <row r="938" spans="1:7" x14ac:dyDescent="0.25">
      <c r="A938" t="s">
        <v>1443</v>
      </c>
      <c r="B938" t="s">
        <v>1947</v>
      </c>
      <c r="C938">
        <v>2018</v>
      </c>
      <c r="E938" t="s">
        <v>3250</v>
      </c>
      <c r="F938" t="s">
        <v>8863</v>
      </c>
      <c r="G938" t="s">
        <v>3994</v>
      </c>
    </row>
    <row r="939" spans="1:7" x14ac:dyDescent="0.25">
      <c r="A939" t="s">
        <v>90</v>
      </c>
      <c r="B939" t="s">
        <v>1947</v>
      </c>
      <c r="C939">
        <v>2017</v>
      </c>
      <c r="E939" t="s">
        <v>3250</v>
      </c>
      <c r="F939" t="s">
        <v>9143</v>
      </c>
      <c r="G939" t="s">
        <v>3994</v>
      </c>
    </row>
    <row r="940" spans="1:7" x14ac:dyDescent="0.25">
      <c r="A940" t="s">
        <v>497</v>
      </c>
      <c r="B940" t="s">
        <v>8114</v>
      </c>
      <c r="C940">
        <v>2022</v>
      </c>
      <c r="E940" s="10" t="s">
        <v>8122</v>
      </c>
      <c r="F940" t="s">
        <v>8560</v>
      </c>
      <c r="G940" t="s">
        <v>3994</v>
      </c>
    </row>
    <row r="941" spans="1:7" x14ac:dyDescent="0.25">
      <c r="A941" t="s">
        <v>2377</v>
      </c>
      <c r="B941" t="s">
        <v>8114</v>
      </c>
      <c r="C941">
        <v>2021</v>
      </c>
      <c r="E941" s="10" t="s">
        <v>8122</v>
      </c>
      <c r="F941" t="s">
        <v>9193</v>
      </c>
      <c r="G941" t="s">
        <v>3994</v>
      </c>
    </row>
    <row r="942" spans="1:7" x14ac:dyDescent="0.25">
      <c r="A942" t="s">
        <v>90</v>
      </c>
      <c r="B942" t="s">
        <v>1951</v>
      </c>
      <c r="C942">
        <v>2017</v>
      </c>
      <c r="E942" t="s">
        <v>3371</v>
      </c>
      <c r="F942" t="s">
        <v>9144</v>
      </c>
      <c r="G942" t="s">
        <v>3994</v>
      </c>
    </row>
    <row r="943" spans="1:7" x14ac:dyDescent="0.25">
      <c r="A943" t="s">
        <v>353</v>
      </c>
      <c r="B943" t="s">
        <v>1955</v>
      </c>
      <c r="C943">
        <v>2023</v>
      </c>
      <c r="E943" t="s">
        <v>3037</v>
      </c>
      <c r="F943" t="s">
        <v>8520</v>
      </c>
      <c r="G943" t="s">
        <v>3994</v>
      </c>
    </row>
    <row r="944" spans="1:7" x14ac:dyDescent="0.25">
      <c r="A944" t="s">
        <v>1851</v>
      </c>
      <c r="B944" t="s">
        <v>1955</v>
      </c>
      <c r="C944">
        <v>2024</v>
      </c>
      <c r="E944" t="s">
        <v>3037</v>
      </c>
      <c r="F944" t="s">
        <v>8961</v>
      </c>
      <c r="G944" t="s">
        <v>3994</v>
      </c>
    </row>
    <row r="945" spans="1:7" x14ac:dyDescent="0.25">
      <c r="A945" t="s">
        <v>1951</v>
      </c>
      <c r="B945" t="s">
        <v>1955</v>
      </c>
      <c r="C945">
        <v>2022</v>
      </c>
      <c r="E945" t="s">
        <v>3037</v>
      </c>
      <c r="F945" t="s">
        <v>8991</v>
      </c>
      <c r="G945" t="s">
        <v>3994</v>
      </c>
    </row>
    <row r="946" spans="1:7" x14ac:dyDescent="0.25">
      <c r="A946" t="s">
        <v>185</v>
      </c>
      <c r="B946" t="s">
        <v>7646</v>
      </c>
      <c r="C946">
        <v>2022</v>
      </c>
      <c r="E946" t="s">
        <v>7649</v>
      </c>
      <c r="F946" t="s">
        <v>9392</v>
      </c>
      <c r="G946" t="s">
        <v>3994</v>
      </c>
    </row>
    <row r="947" spans="1:7" x14ac:dyDescent="0.25">
      <c r="A947" t="s">
        <v>360</v>
      </c>
      <c r="B947" t="s">
        <v>7646</v>
      </c>
      <c r="C947">
        <v>2025</v>
      </c>
      <c r="E947" t="s">
        <v>7649</v>
      </c>
      <c r="F947" t="s">
        <v>9394</v>
      </c>
      <c r="G947" t="s">
        <v>3994</v>
      </c>
    </row>
    <row r="948" spans="1:7" x14ac:dyDescent="0.25">
      <c r="A948" t="s">
        <v>497</v>
      </c>
      <c r="B948" t="s">
        <v>7646</v>
      </c>
      <c r="C948">
        <v>2022</v>
      </c>
      <c r="E948" t="s">
        <v>7649</v>
      </c>
      <c r="F948" t="s">
        <v>9395</v>
      </c>
      <c r="G948" t="s">
        <v>3994</v>
      </c>
    </row>
    <row r="949" spans="1:7" x14ac:dyDescent="0.25">
      <c r="A949" t="s">
        <v>606</v>
      </c>
      <c r="B949" t="s">
        <v>7646</v>
      </c>
      <c r="C949">
        <v>2025</v>
      </c>
      <c r="E949" t="s">
        <v>7649</v>
      </c>
      <c r="F949" t="s">
        <v>9396</v>
      </c>
      <c r="G949" t="s">
        <v>3994</v>
      </c>
    </row>
    <row r="950" spans="1:7" x14ac:dyDescent="0.25">
      <c r="A950" t="s">
        <v>811</v>
      </c>
      <c r="B950" t="s">
        <v>7646</v>
      </c>
      <c r="C950">
        <v>2024</v>
      </c>
      <c r="E950" t="s">
        <v>7649</v>
      </c>
      <c r="F950" t="s">
        <v>9397</v>
      </c>
      <c r="G950" t="s">
        <v>3994</v>
      </c>
    </row>
    <row r="951" spans="1:7" x14ac:dyDescent="0.25">
      <c r="A951" t="s">
        <v>1621</v>
      </c>
      <c r="B951" t="s">
        <v>7646</v>
      </c>
      <c r="C951">
        <v>2025</v>
      </c>
      <c r="E951" t="s">
        <v>7649</v>
      </c>
      <c r="F951" t="s">
        <v>9398</v>
      </c>
      <c r="G951" t="s">
        <v>3994</v>
      </c>
    </row>
    <row r="952" spans="1:7" x14ac:dyDescent="0.25">
      <c r="A952" t="s">
        <v>160</v>
      </c>
      <c r="B952" t="s">
        <v>7646</v>
      </c>
      <c r="C952">
        <v>2011</v>
      </c>
      <c r="E952" t="s">
        <v>7649</v>
      </c>
      <c r="F952" t="s">
        <v>9399</v>
      </c>
      <c r="G952" t="s">
        <v>3994</v>
      </c>
    </row>
    <row r="953" spans="1:7" x14ac:dyDescent="0.25">
      <c r="A953" t="s">
        <v>333</v>
      </c>
      <c r="B953" t="s">
        <v>1958</v>
      </c>
      <c r="C953">
        <v>2020</v>
      </c>
      <c r="E953" t="s">
        <v>1961</v>
      </c>
      <c r="F953" t="s">
        <v>8482</v>
      </c>
      <c r="G953" t="s">
        <v>3994</v>
      </c>
    </row>
    <row r="954" spans="1:7" x14ac:dyDescent="0.25">
      <c r="A954" t="s">
        <v>497</v>
      </c>
      <c r="B954" t="s">
        <v>1958</v>
      </c>
      <c r="C954">
        <v>2022</v>
      </c>
      <c r="E954" t="s">
        <v>1961</v>
      </c>
      <c r="F954" t="s">
        <v>8561</v>
      </c>
      <c r="G954" t="s">
        <v>3994</v>
      </c>
    </row>
    <row r="955" spans="1:7" x14ac:dyDescent="0.25">
      <c r="A955" t="s">
        <v>2804</v>
      </c>
      <c r="B955" t="s">
        <v>1958</v>
      </c>
      <c r="C955">
        <v>2021</v>
      </c>
      <c r="E955" s="10" t="s">
        <v>1961</v>
      </c>
      <c r="F955" t="s">
        <v>9350</v>
      </c>
      <c r="G955" t="s">
        <v>3994</v>
      </c>
    </row>
    <row r="956" spans="1:7" x14ac:dyDescent="0.25">
      <c r="A956" t="s">
        <v>847</v>
      </c>
      <c r="B956" t="s">
        <v>1962</v>
      </c>
      <c r="C956">
        <v>1996</v>
      </c>
      <c r="E956" s="10" t="s">
        <v>1965</v>
      </c>
      <c r="F956" t="s">
        <v>8663</v>
      </c>
      <c r="G956" t="s">
        <v>3994</v>
      </c>
    </row>
    <row r="957" spans="1:7" x14ac:dyDescent="0.25">
      <c r="A957" t="s">
        <v>2804</v>
      </c>
      <c r="B957" t="s">
        <v>1962</v>
      </c>
      <c r="C957">
        <v>2021</v>
      </c>
      <c r="E957" t="s">
        <v>3013</v>
      </c>
      <c r="F957" t="s">
        <v>9744</v>
      </c>
      <c r="G957" t="s">
        <v>187</v>
      </c>
    </row>
    <row r="958" spans="1:7" x14ac:dyDescent="0.25">
      <c r="A958" t="s">
        <v>2804</v>
      </c>
      <c r="B958" t="s">
        <v>10029</v>
      </c>
      <c r="C958">
        <v>2021</v>
      </c>
      <c r="E958" t="s">
        <v>3013</v>
      </c>
      <c r="F958" t="s">
        <v>10032</v>
      </c>
      <c r="G958" t="s">
        <v>187</v>
      </c>
    </row>
    <row r="959" spans="1:7" x14ac:dyDescent="0.25">
      <c r="A959" t="s">
        <v>353</v>
      </c>
      <c r="B959" t="s">
        <v>1966</v>
      </c>
      <c r="C959">
        <v>2023</v>
      </c>
      <c r="E959" t="s">
        <v>1969</v>
      </c>
      <c r="F959" t="s">
        <v>8521</v>
      </c>
      <c r="G959" t="s">
        <v>3994</v>
      </c>
    </row>
    <row r="960" spans="1:7" x14ac:dyDescent="0.25">
      <c r="A960" t="s">
        <v>490</v>
      </c>
      <c r="B960" t="s">
        <v>1970</v>
      </c>
      <c r="C960">
        <v>2009</v>
      </c>
      <c r="E960" t="s">
        <v>3060</v>
      </c>
      <c r="F960" t="s">
        <v>8546</v>
      </c>
      <c r="G960" t="s">
        <v>3994</v>
      </c>
    </row>
    <row r="961" spans="1:7" x14ac:dyDescent="0.25">
      <c r="A961" t="s">
        <v>353</v>
      </c>
      <c r="B961" t="s">
        <v>1977</v>
      </c>
      <c r="C961">
        <v>2023</v>
      </c>
      <c r="E961" t="s">
        <v>3013</v>
      </c>
      <c r="F961" t="s">
        <v>9745</v>
      </c>
      <c r="G961" t="s">
        <v>187</v>
      </c>
    </row>
    <row r="962" spans="1:7" x14ac:dyDescent="0.25">
      <c r="A962" t="s">
        <v>1576</v>
      </c>
      <c r="B962" t="s">
        <v>1980</v>
      </c>
      <c r="C962">
        <v>2021</v>
      </c>
      <c r="E962" t="s">
        <v>3263</v>
      </c>
      <c r="F962" t="s">
        <v>8894</v>
      </c>
      <c r="G962" t="s">
        <v>3994</v>
      </c>
    </row>
    <row r="963" spans="1:7" x14ac:dyDescent="0.25">
      <c r="A963" t="s">
        <v>90</v>
      </c>
      <c r="B963" t="s">
        <v>1982</v>
      </c>
      <c r="C963">
        <v>2017</v>
      </c>
      <c r="E963" t="s">
        <v>2982</v>
      </c>
      <c r="F963" t="s">
        <v>9145</v>
      </c>
      <c r="G963" t="s">
        <v>3994</v>
      </c>
    </row>
    <row r="964" spans="1:7" x14ac:dyDescent="0.25">
      <c r="A964" t="s">
        <v>1435</v>
      </c>
      <c r="B964" t="s">
        <v>1984</v>
      </c>
      <c r="C964">
        <v>2021</v>
      </c>
      <c r="E964" t="s">
        <v>3242</v>
      </c>
      <c r="F964" t="s">
        <v>8847</v>
      </c>
      <c r="G964" t="s">
        <v>3994</v>
      </c>
    </row>
    <row r="965" spans="1:7" x14ac:dyDescent="0.25">
      <c r="A965" t="s">
        <v>90</v>
      </c>
      <c r="B965" t="s">
        <v>1992</v>
      </c>
      <c r="C965">
        <v>2017</v>
      </c>
      <c r="E965" t="s">
        <v>3372</v>
      </c>
      <c r="F965" t="s">
        <v>9146</v>
      </c>
      <c r="G965" t="s">
        <v>3994</v>
      </c>
    </row>
    <row r="966" spans="1:7" x14ac:dyDescent="0.25">
      <c r="A966" t="s">
        <v>924</v>
      </c>
      <c r="B966" t="s">
        <v>1995</v>
      </c>
      <c r="C966">
        <v>2019</v>
      </c>
      <c r="F966" t="s">
        <v>9746</v>
      </c>
      <c r="G966" t="s">
        <v>187</v>
      </c>
    </row>
    <row r="967" spans="1:7" x14ac:dyDescent="0.25">
      <c r="A967" t="s">
        <v>1995</v>
      </c>
      <c r="B967" t="s">
        <v>1998</v>
      </c>
      <c r="C967">
        <v>2021</v>
      </c>
      <c r="F967" t="s">
        <v>9747</v>
      </c>
      <c r="G967" t="s">
        <v>187</v>
      </c>
    </row>
    <row r="968" spans="1:7" x14ac:dyDescent="0.25">
      <c r="A968" t="s">
        <v>90</v>
      </c>
      <c r="B968" t="s">
        <v>1998</v>
      </c>
      <c r="C968">
        <v>2017</v>
      </c>
      <c r="F968" t="s">
        <v>9748</v>
      </c>
      <c r="G968" t="s">
        <v>187</v>
      </c>
    </row>
    <row r="969" spans="1:7" x14ac:dyDescent="0.25">
      <c r="A969" t="s">
        <v>2004</v>
      </c>
      <c r="B969" t="s">
        <v>2001</v>
      </c>
      <c r="C969">
        <v>2007</v>
      </c>
      <c r="D969" t="s">
        <v>187</v>
      </c>
      <c r="F969" t="s">
        <v>9749</v>
      </c>
      <c r="G969" t="s">
        <v>3994</v>
      </c>
    </row>
    <row r="970" spans="1:7" x14ac:dyDescent="0.25">
      <c r="A970" t="s">
        <v>2009</v>
      </c>
      <c r="B970" t="s">
        <v>2004</v>
      </c>
      <c r="C970">
        <v>2005</v>
      </c>
      <c r="D970" t="s">
        <v>187</v>
      </c>
      <c r="F970" t="s">
        <v>9750</v>
      </c>
      <c r="G970" t="s">
        <v>3994</v>
      </c>
    </row>
    <row r="971" spans="1:7" x14ac:dyDescent="0.25">
      <c r="A971" t="s">
        <v>2009</v>
      </c>
      <c r="B971" t="s">
        <v>2007</v>
      </c>
      <c r="C971">
        <v>2005</v>
      </c>
      <c r="D971" t="s">
        <v>187</v>
      </c>
      <c r="F971" t="s">
        <v>9751</v>
      </c>
      <c r="G971" t="s">
        <v>3994</v>
      </c>
    </row>
    <row r="972" spans="1:7" x14ac:dyDescent="0.25">
      <c r="A972" t="s">
        <v>2721</v>
      </c>
      <c r="B972" t="s">
        <v>2009</v>
      </c>
      <c r="C972">
        <v>1993</v>
      </c>
      <c r="D972" t="s">
        <v>187</v>
      </c>
      <c r="F972" t="s">
        <v>9752</v>
      </c>
      <c r="G972" t="s">
        <v>3994</v>
      </c>
    </row>
    <row r="973" spans="1:7" x14ac:dyDescent="0.25">
      <c r="A973" t="s">
        <v>2009</v>
      </c>
      <c r="B973" t="s">
        <v>2012</v>
      </c>
      <c r="C973">
        <v>2005</v>
      </c>
      <c r="D973" t="s">
        <v>187</v>
      </c>
      <c r="F973" t="s">
        <v>9753</v>
      </c>
      <c r="G973" t="s">
        <v>3994</v>
      </c>
    </row>
    <row r="974" spans="1:7" x14ac:dyDescent="0.25">
      <c r="A974" t="s">
        <v>2009</v>
      </c>
      <c r="B974" t="s">
        <v>2014</v>
      </c>
      <c r="C974">
        <v>2005</v>
      </c>
      <c r="D974" t="s">
        <v>187</v>
      </c>
      <c r="F974" t="s">
        <v>9754</v>
      </c>
      <c r="G974" t="s">
        <v>3994</v>
      </c>
    </row>
    <row r="975" spans="1:7" x14ac:dyDescent="0.25">
      <c r="A975" t="s">
        <v>2804</v>
      </c>
      <c r="B975" t="s">
        <v>7935</v>
      </c>
      <c r="C975">
        <v>2021</v>
      </c>
      <c r="E975" s="10" t="s">
        <v>7938</v>
      </c>
      <c r="F975" t="s">
        <v>9755</v>
      </c>
      <c r="G975" t="s">
        <v>187</v>
      </c>
    </row>
    <row r="976" spans="1:7" x14ac:dyDescent="0.25">
      <c r="A976" t="s">
        <v>2136</v>
      </c>
      <c r="B976" t="s">
        <v>2016</v>
      </c>
      <c r="C976">
        <v>2020</v>
      </c>
      <c r="E976" t="s">
        <v>2982</v>
      </c>
      <c r="F976" t="s">
        <v>9756</v>
      </c>
      <c r="G976" t="s">
        <v>187</v>
      </c>
    </row>
    <row r="977" spans="1:7" x14ac:dyDescent="0.25">
      <c r="A977" t="s">
        <v>1435</v>
      </c>
      <c r="B977" t="s">
        <v>2018</v>
      </c>
      <c r="C977">
        <v>2021</v>
      </c>
      <c r="E977" t="s">
        <v>3243</v>
      </c>
      <c r="F977" t="s">
        <v>9757</v>
      </c>
      <c r="G977" t="s">
        <v>187</v>
      </c>
    </row>
    <row r="978" spans="1:7" x14ac:dyDescent="0.25">
      <c r="A978" t="s">
        <v>2016</v>
      </c>
      <c r="B978" t="s">
        <v>2018</v>
      </c>
      <c r="C978">
        <v>2024</v>
      </c>
      <c r="E978" t="s">
        <v>3243</v>
      </c>
      <c r="F978" t="s">
        <v>9758</v>
      </c>
      <c r="G978" t="s">
        <v>187</v>
      </c>
    </row>
    <row r="979" spans="1:7" x14ac:dyDescent="0.25">
      <c r="A979" t="s">
        <v>90</v>
      </c>
      <c r="B979" t="s">
        <v>2018</v>
      </c>
      <c r="C979">
        <v>2017</v>
      </c>
      <c r="E979" t="s">
        <v>3243</v>
      </c>
      <c r="F979" t="s">
        <v>9759</v>
      </c>
      <c r="G979" t="s">
        <v>187</v>
      </c>
    </row>
    <row r="980" spans="1:7" x14ac:dyDescent="0.25">
      <c r="A980" t="s">
        <v>256</v>
      </c>
      <c r="B980" t="s">
        <v>2023</v>
      </c>
      <c r="C980">
        <v>1994</v>
      </c>
      <c r="E980" t="s">
        <v>2994</v>
      </c>
      <c r="F980" t="s">
        <v>8467</v>
      </c>
      <c r="G980" t="s">
        <v>3994</v>
      </c>
    </row>
    <row r="981" spans="1:7" x14ac:dyDescent="0.25">
      <c r="A981" t="s">
        <v>260</v>
      </c>
      <c r="B981" t="s">
        <v>2023</v>
      </c>
      <c r="C981">
        <v>1990</v>
      </c>
      <c r="E981" t="s">
        <v>2994</v>
      </c>
      <c r="F981" t="s">
        <v>8475</v>
      </c>
      <c r="G981" t="s">
        <v>3994</v>
      </c>
    </row>
    <row r="982" spans="1:7" x14ac:dyDescent="0.25">
      <c r="A982" t="s">
        <v>847</v>
      </c>
      <c r="B982" t="s">
        <v>2023</v>
      </c>
      <c r="C982">
        <v>1996</v>
      </c>
      <c r="E982" t="s">
        <v>2994</v>
      </c>
      <c r="F982" t="s">
        <v>8664</v>
      </c>
      <c r="G982" t="s">
        <v>3994</v>
      </c>
    </row>
    <row r="983" spans="1:7" x14ac:dyDescent="0.25">
      <c r="A983" t="s">
        <v>1538</v>
      </c>
      <c r="B983" t="s">
        <v>2023</v>
      </c>
      <c r="C983">
        <v>1995</v>
      </c>
      <c r="E983" t="s">
        <v>2994</v>
      </c>
      <c r="F983" t="s">
        <v>9453</v>
      </c>
      <c r="G983" t="s">
        <v>3994</v>
      </c>
    </row>
    <row r="984" spans="1:7" x14ac:dyDescent="0.25">
      <c r="A984" t="s">
        <v>1725</v>
      </c>
      <c r="B984" t="s">
        <v>2023</v>
      </c>
      <c r="C984">
        <v>1983</v>
      </c>
      <c r="E984" t="s">
        <v>2994</v>
      </c>
      <c r="F984" t="s">
        <v>8920</v>
      </c>
      <c r="G984" t="s">
        <v>3994</v>
      </c>
    </row>
    <row r="985" spans="1:7" x14ac:dyDescent="0.25">
      <c r="A985" t="s">
        <v>1795</v>
      </c>
      <c r="B985" t="s">
        <v>2023</v>
      </c>
      <c r="C985">
        <v>1987</v>
      </c>
      <c r="E985" t="s">
        <v>3283</v>
      </c>
      <c r="F985" t="s">
        <v>8945</v>
      </c>
      <c r="G985" t="s">
        <v>3994</v>
      </c>
    </row>
    <row r="986" spans="1:7" x14ac:dyDescent="0.25">
      <c r="A986" t="s">
        <v>1817</v>
      </c>
      <c r="B986" t="s">
        <v>2026</v>
      </c>
      <c r="C986">
        <v>2019</v>
      </c>
      <c r="E986" t="s">
        <v>3293</v>
      </c>
      <c r="F986" t="s">
        <v>9760</v>
      </c>
      <c r="G986" t="s">
        <v>187</v>
      </c>
    </row>
    <row r="987" spans="1:7" x14ac:dyDescent="0.25">
      <c r="A987" t="s">
        <v>160</v>
      </c>
      <c r="B987" t="s">
        <v>2028</v>
      </c>
      <c r="C987">
        <v>2011</v>
      </c>
      <c r="E987" t="s">
        <v>3409</v>
      </c>
      <c r="F987" t="s">
        <v>9295</v>
      </c>
      <c r="G987" t="s">
        <v>3994</v>
      </c>
    </row>
    <row r="988" spans="1:7" x14ac:dyDescent="0.25">
      <c r="A988" t="s">
        <v>2652</v>
      </c>
      <c r="B988" t="s">
        <v>2028</v>
      </c>
      <c r="C988">
        <v>2019</v>
      </c>
      <c r="E988" t="s">
        <v>3416</v>
      </c>
      <c r="F988" t="s">
        <v>9318</v>
      </c>
      <c r="G988" t="s">
        <v>3994</v>
      </c>
    </row>
    <row r="989" spans="1:7" x14ac:dyDescent="0.25">
      <c r="A989" t="s">
        <v>1294</v>
      </c>
      <c r="B989" t="s">
        <v>2031</v>
      </c>
      <c r="C989">
        <v>2019</v>
      </c>
      <c r="E989" t="s">
        <v>3231</v>
      </c>
      <c r="F989" t="s">
        <v>8812</v>
      </c>
      <c r="G989" t="s">
        <v>3994</v>
      </c>
    </row>
    <row r="990" spans="1:7" x14ac:dyDescent="0.25">
      <c r="A990" t="s">
        <v>2132</v>
      </c>
      <c r="B990" t="s">
        <v>2031</v>
      </c>
      <c r="C990">
        <v>2013</v>
      </c>
      <c r="E990" t="s">
        <v>3231</v>
      </c>
      <c r="F990" t="s">
        <v>9008</v>
      </c>
      <c r="G990" t="s">
        <v>3994</v>
      </c>
    </row>
    <row r="991" spans="1:7" x14ac:dyDescent="0.25">
      <c r="A991" t="s">
        <v>2906</v>
      </c>
      <c r="B991" t="s">
        <v>2031</v>
      </c>
      <c r="C991">
        <v>2018</v>
      </c>
      <c r="E991" t="s">
        <v>3231</v>
      </c>
      <c r="F991" t="s">
        <v>9374</v>
      </c>
      <c r="G991" t="s">
        <v>3994</v>
      </c>
    </row>
    <row r="992" spans="1:7" x14ac:dyDescent="0.25">
      <c r="A992" t="s">
        <v>1129</v>
      </c>
      <c r="B992" t="s">
        <v>8102</v>
      </c>
      <c r="C992">
        <v>2022</v>
      </c>
      <c r="D992" t="s">
        <v>187</v>
      </c>
      <c r="F992" t="s">
        <v>9761</v>
      </c>
      <c r="G992" t="s">
        <v>3994</v>
      </c>
    </row>
    <row r="993" spans="1:7" x14ac:dyDescent="0.25">
      <c r="A993" t="s">
        <v>922</v>
      </c>
      <c r="B993" t="s">
        <v>2035</v>
      </c>
      <c r="C993">
        <v>2002</v>
      </c>
      <c r="E993" t="s">
        <v>3149</v>
      </c>
      <c r="F993" t="s">
        <v>8686</v>
      </c>
      <c r="G993" t="s">
        <v>3994</v>
      </c>
    </row>
    <row r="994" spans="1:7" x14ac:dyDescent="0.25">
      <c r="A994" t="s">
        <v>2154</v>
      </c>
      <c r="B994" t="s">
        <v>2035</v>
      </c>
      <c r="C994">
        <v>1980</v>
      </c>
      <c r="E994" t="s">
        <v>3149</v>
      </c>
      <c r="F994" t="s">
        <v>9040</v>
      </c>
      <c r="G994" t="s">
        <v>3994</v>
      </c>
    </row>
    <row r="995" spans="1:7" x14ac:dyDescent="0.25">
      <c r="A995" t="s">
        <v>178</v>
      </c>
      <c r="B995" t="s">
        <v>2039</v>
      </c>
      <c r="C995">
        <v>2010</v>
      </c>
      <c r="E995" t="s">
        <v>2981</v>
      </c>
      <c r="F995" t="s">
        <v>8453</v>
      </c>
      <c r="G995" t="s">
        <v>3994</v>
      </c>
    </row>
    <row r="996" spans="1:7" x14ac:dyDescent="0.25">
      <c r="A996" t="s">
        <v>994</v>
      </c>
      <c r="B996" t="s">
        <v>2039</v>
      </c>
      <c r="C996">
        <v>2011</v>
      </c>
      <c r="E996" t="s">
        <v>2981</v>
      </c>
      <c r="F996" t="s">
        <v>8708</v>
      </c>
      <c r="G996" t="s">
        <v>3994</v>
      </c>
    </row>
    <row r="997" spans="1:7" x14ac:dyDescent="0.25">
      <c r="A997" t="s">
        <v>1294</v>
      </c>
      <c r="B997" t="s">
        <v>2043</v>
      </c>
      <c r="C997">
        <v>2019</v>
      </c>
      <c r="E997" s="10" t="s">
        <v>8424</v>
      </c>
      <c r="F997" t="s">
        <v>8813</v>
      </c>
      <c r="G997" t="s">
        <v>3994</v>
      </c>
    </row>
    <row r="998" spans="1:7" x14ac:dyDescent="0.25">
      <c r="A998" t="s">
        <v>353</v>
      </c>
      <c r="B998" t="s">
        <v>2045</v>
      </c>
      <c r="C998">
        <v>2023</v>
      </c>
      <c r="E998" t="s">
        <v>3038</v>
      </c>
      <c r="F998" t="s">
        <v>8522</v>
      </c>
      <c r="G998" t="s">
        <v>3994</v>
      </c>
    </row>
    <row r="999" spans="1:7" x14ac:dyDescent="0.25">
      <c r="A999" t="s">
        <v>717</v>
      </c>
      <c r="B999" t="s">
        <v>2045</v>
      </c>
      <c r="C999">
        <v>2024</v>
      </c>
      <c r="E999" t="s">
        <v>3066</v>
      </c>
      <c r="F999" t="s">
        <v>8588</v>
      </c>
      <c r="G999" t="s">
        <v>3994</v>
      </c>
    </row>
    <row r="1000" spans="1:7" x14ac:dyDescent="0.25">
      <c r="A1000" t="s">
        <v>337</v>
      </c>
      <c r="B1000" t="s">
        <v>2049</v>
      </c>
      <c r="C1000">
        <v>2014</v>
      </c>
      <c r="E1000" t="s">
        <v>3008</v>
      </c>
      <c r="F1000" t="s">
        <v>9762</v>
      </c>
      <c r="G1000" t="s">
        <v>187</v>
      </c>
    </row>
    <row r="1001" spans="1:7" x14ac:dyDescent="0.25">
      <c r="A1001" t="s">
        <v>497</v>
      </c>
      <c r="B1001" t="s">
        <v>2049</v>
      </c>
      <c r="C1001">
        <v>2022</v>
      </c>
      <c r="E1001" t="s">
        <v>3008</v>
      </c>
      <c r="F1001" t="s">
        <v>9763</v>
      </c>
      <c r="G1001" t="s">
        <v>187</v>
      </c>
    </row>
    <row r="1002" spans="1:7" x14ac:dyDescent="0.25">
      <c r="A1002" t="s">
        <v>1795</v>
      </c>
      <c r="B1002" t="s">
        <v>2053</v>
      </c>
      <c r="C1002">
        <v>1987</v>
      </c>
      <c r="E1002" t="s">
        <v>3284</v>
      </c>
      <c r="F1002" t="s">
        <v>8946</v>
      </c>
      <c r="G1002" t="s">
        <v>3994</v>
      </c>
    </row>
    <row r="1003" spans="1:7" x14ac:dyDescent="0.25">
      <c r="A1003" t="s">
        <v>2154</v>
      </c>
      <c r="B1003" t="s">
        <v>2053</v>
      </c>
      <c r="C1003">
        <v>1980</v>
      </c>
      <c r="E1003" t="s">
        <v>3284</v>
      </c>
      <c r="F1003" t="s">
        <v>9041</v>
      </c>
      <c r="G1003" t="s">
        <v>3994</v>
      </c>
    </row>
    <row r="1004" spans="1:7" x14ac:dyDescent="0.25">
      <c r="A1004" t="s">
        <v>1046</v>
      </c>
      <c r="B1004" t="s">
        <v>2056</v>
      </c>
      <c r="C1004">
        <v>2016</v>
      </c>
      <c r="E1004" t="s">
        <v>3189</v>
      </c>
      <c r="F1004" t="s">
        <v>8735</v>
      </c>
      <c r="G1004" t="s">
        <v>3994</v>
      </c>
    </row>
    <row r="1005" spans="1:7" x14ac:dyDescent="0.25">
      <c r="A1005" t="s">
        <v>1855</v>
      </c>
      <c r="B1005" t="s">
        <v>2056</v>
      </c>
      <c r="C1005">
        <v>2015</v>
      </c>
      <c r="E1005" t="s">
        <v>3189</v>
      </c>
      <c r="F1005" t="s">
        <v>8976</v>
      </c>
      <c r="G1005" t="s">
        <v>3994</v>
      </c>
    </row>
    <row r="1006" spans="1:7" x14ac:dyDescent="0.25">
      <c r="A1006" t="s">
        <v>160</v>
      </c>
      <c r="B1006" t="s">
        <v>2058</v>
      </c>
      <c r="C1006">
        <v>2011</v>
      </c>
      <c r="E1006" t="s">
        <v>3410</v>
      </c>
      <c r="F1006" t="s">
        <v>9296</v>
      </c>
      <c r="G1006" t="s">
        <v>3994</v>
      </c>
    </row>
    <row r="1007" spans="1:7" x14ac:dyDescent="0.25">
      <c r="A1007" t="s">
        <v>819</v>
      </c>
      <c r="B1007" t="s">
        <v>7920</v>
      </c>
      <c r="C1007">
        <v>2012</v>
      </c>
      <c r="E1007" s="10" t="s">
        <v>7921</v>
      </c>
      <c r="F1007" t="s">
        <v>9447</v>
      </c>
      <c r="G1007" t="s">
        <v>3994</v>
      </c>
    </row>
    <row r="1008" spans="1:7" x14ac:dyDescent="0.25">
      <c r="A1008" t="s">
        <v>1496</v>
      </c>
      <c r="B1008" t="s">
        <v>2061</v>
      </c>
      <c r="C1008">
        <v>2016</v>
      </c>
      <c r="E1008" t="s">
        <v>3013</v>
      </c>
      <c r="F1008" t="s">
        <v>9764</v>
      </c>
      <c r="G1008" t="s">
        <v>187</v>
      </c>
    </row>
    <row r="1009" spans="1:7" x14ac:dyDescent="0.25">
      <c r="A1009" t="s">
        <v>90</v>
      </c>
      <c r="B1009" t="s">
        <v>2061</v>
      </c>
      <c r="C1009">
        <v>2017</v>
      </c>
      <c r="E1009" t="s">
        <v>3013</v>
      </c>
      <c r="F1009" t="s">
        <v>9765</v>
      </c>
      <c r="G1009" t="s">
        <v>187</v>
      </c>
    </row>
    <row r="1010" spans="1:7" x14ac:dyDescent="0.25">
      <c r="A1010" t="s">
        <v>726</v>
      </c>
      <c r="B1010" t="s">
        <v>2065</v>
      </c>
      <c r="C1010">
        <v>2020</v>
      </c>
      <c r="D1010" t="s">
        <v>187</v>
      </c>
      <c r="F1010" t="s">
        <v>9766</v>
      </c>
      <c r="G1010" t="s">
        <v>3994</v>
      </c>
    </row>
    <row r="1011" spans="1:7" x14ac:dyDescent="0.25">
      <c r="A1011" t="s">
        <v>759</v>
      </c>
      <c r="B1011" t="s">
        <v>2069</v>
      </c>
      <c r="C1011">
        <v>2018</v>
      </c>
      <c r="E1011" t="s">
        <v>2982</v>
      </c>
      <c r="F1011" t="s">
        <v>8629</v>
      </c>
      <c r="G1011" t="s">
        <v>3994</v>
      </c>
    </row>
    <row r="1012" spans="1:7" x14ac:dyDescent="0.25">
      <c r="A1012" t="s">
        <v>1294</v>
      </c>
      <c r="B1012" t="s">
        <v>2069</v>
      </c>
      <c r="C1012">
        <v>2019</v>
      </c>
      <c r="E1012" t="s">
        <v>2982</v>
      </c>
      <c r="F1012" t="s">
        <v>8814</v>
      </c>
      <c r="G1012" t="s">
        <v>3994</v>
      </c>
    </row>
    <row r="1013" spans="1:7" x14ac:dyDescent="0.25">
      <c r="A1013" t="s">
        <v>1294</v>
      </c>
      <c r="B1013" t="s">
        <v>2071</v>
      </c>
      <c r="C1013">
        <v>2019</v>
      </c>
      <c r="E1013" t="s">
        <v>3232</v>
      </c>
      <c r="F1013" t="s">
        <v>8815</v>
      </c>
      <c r="G1013" t="s">
        <v>3994</v>
      </c>
    </row>
    <row r="1014" spans="1:7" x14ac:dyDescent="0.25">
      <c r="A1014" t="s">
        <v>2335</v>
      </c>
      <c r="B1014" t="s">
        <v>2071</v>
      </c>
      <c r="C1014">
        <v>2020</v>
      </c>
      <c r="E1014" t="s">
        <v>3232</v>
      </c>
      <c r="F1014" t="s">
        <v>9075</v>
      </c>
      <c r="G1014" t="s">
        <v>3994</v>
      </c>
    </row>
    <row r="1015" spans="1:7" x14ac:dyDescent="0.25">
      <c r="A1015" t="s">
        <v>1795</v>
      </c>
      <c r="B1015" t="s">
        <v>2073</v>
      </c>
      <c r="C1015">
        <v>1987</v>
      </c>
      <c r="E1015" s="10" t="s">
        <v>8395</v>
      </c>
      <c r="F1015" t="s">
        <v>8947</v>
      </c>
      <c r="G1015" t="s">
        <v>3994</v>
      </c>
    </row>
    <row r="1016" spans="1:7" x14ac:dyDescent="0.25">
      <c r="A1016" t="s">
        <v>2428</v>
      </c>
      <c r="B1016" t="s">
        <v>2073</v>
      </c>
      <c r="C1016">
        <v>2008</v>
      </c>
      <c r="E1016" s="10" t="s">
        <v>8395</v>
      </c>
      <c r="F1016" t="s">
        <v>9222</v>
      </c>
      <c r="G1016" t="s">
        <v>3994</v>
      </c>
    </row>
    <row r="1017" spans="1:7" x14ac:dyDescent="0.25">
      <c r="A1017" t="s">
        <v>540</v>
      </c>
      <c r="B1017" t="s">
        <v>2077</v>
      </c>
      <c r="C1017">
        <v>2015</v>
      </c>
      <c r="E1017" t="s">
        <v>3075</v>
      </c>
      <c r="F1017" t="s">
        <v>9767</v>
      </c>
      <c r="G1017" t="s">
        <v>187</v>
      </c>
    </row>
    <row r="1018" spans="1:7" x14ac:dyDescent="0.25">
      <c r="A1018" t="s">
        <v>2154</v>
      </c>
      <c r="B1018" t="s">
        <v>2077</v>
      </c>
      <c r="C1018">
        <v>1980</v>
      </c>
      <c r="E1018" t="s">
        <v>3325</v>
      </c>
      <c r="F1018" t="s">
        <v>9768</v>
      </c>
      <c r="G1018" t="s">
        <v>187</v>
      </c>
    </row>
    <row r="1019" spans="1:7" x14ac:dyDescent="0.25">
      <c r="A1019" t="s">
        <v>2428</v>
      </c>
      <c r="B1019" t="s">
        <v>2077</v>
      </c>
      <c r="C1019">
        <v>2008</v>
      </c>
      <c r="E1019" t="s">
        <v>3325</v>
      </c>
      <c r="F1019" t="s">
        <v>9769</v>
      </c>
      <c r="G1019" t="s">
        <v>187</v>
      </c>
    </row>
    <row r="1020" spans="1:7" x14ac:dyDescent="0.25">
      <c r="A1020" t="s">
        <v>847</v>
      </c>
      <c r="B1020" t="s">
        <v>7910</v>
      </c>
      <c r="C1020">
        <v>1996</v>
      </c>
      <c r="E1020" s="10" t="s">
        <v>7909</v>
      </c>
      <c r="F1020" t="s">
        <v>9770</v>
      </c>
      <c r="G1020" t="s">
        <v>187</v>
      </c>
    </row>
    <row r="1021" spans="1:7" x14ac:dyDescent="0.25">
      <c r="A1021" t="s">
        <v>1294</v>
      </c>
      <c r="B1021" t="s">
        <v>7910</v>
      </c>
      <c r="C1021">
        <v>2019</v>
      </c>
      <c r="E1021" s="10" t="s">
        <v>7909</v>
      </c>
      <c r="F1021" t="s">
        <v>9771</v>
      </c>
      <c r="G1021" t="s">
        <v>187</v>
      </c>
    </row>
    <row r="1022" spans="1:7" x14ac:dyDescent="0.25">
      <c r="A1022" t="s">
        <v>1144</v>
      </c>
      <c r="B1022" t="s">
        <v>2080</v>
      </c>
      <c r="C1022">
        <v>2012</v>
      </c>
      <c r="E1022" t="s">
        <v>3209</v>
      </c>
      <c r="F1022" t="s">
        <v>8765</v>
      </c>
      <c r="G1022" t="s">
        <v>3994</v>
      </c>
    </row>
    <row r="1023" spans="1:7" x14ac:dyDescent="0.25">
      <c r="A1023" t="s">
        <v>1855</v>
      </c>
      <c r="B1023" t="s">
        <v>2084</v>
      </c>
      <c r="C1023">
        <v>2015</v>
      </c>
      <c r="E1023" t="s">
        <v>2982</v>
      </c>
      <c r="F1023" t="s">
        <v>8977</v>
      </c>
      <c r="G1023" t="s">
        <v>3994</v>
      </c>
    </row>
    <row r="1024" spans="1:7" x14ac:dyDescent="0.25">
      <c r="A1024" t="s">
        <v>353</v>
      </c>
      <c r="B1024" t="s">
        <v>2088</v>
      </c>
      <c r="C1024">
        <v>2023</v>
      </c>
      <c r="E1024" t="s">
        <v>3039</v>
      </c>
      <c r="F1024" t="s">
        <v>8523</v>
      </c>
      <c r="G1024" t="s">
        <v>3994</v>
      </c>
    </row>
    <row r="1025" spans="1:7" x14ac:dyDescent="0.25">
      <c r="A1025" t="s">
        <v>90</v>
      </c>
      <c r="B1025" t="s">
        <v>2088</v>
      </c>
      <c r="C1025">
        <v>2017</v>
      </c>
      <c r="E1025" t="s">
        <v>3039</v>
      </c>
      <c r="F1025" t="s">
        <v>9147</v>
      </c>
      <c r="G1025" t="s">
        <v>3994</v>
      </c>
    </row>
    <row r="1026" spans="1:7" x14ac:dyDescent="0.25">
      <c r="A1026" t="s">
        <v>2804</v>
      </c>
      <c r="B1026" t="s">
        <v>2091</v>
      </c>
      <c r="C1026">
        <v>2021</v>
      </c>
      <c r="E1026" t="s">
        <v>3013</v>
      </c>
      <c r="F1026" t="s">
        <v>9772</v>
      </c>
      <c r="G1026" t="s">
        <v>187</v>
      </c>
    </row>
    <row r="1027" spans="1:7" x14ac:dyDescent="0.25">
      <c r="A1027" t="s">
        <v>160</v>
      </c>
      <c r="B1027" t="s">
        <v>2099</v>
      </c>
      <c r="C1027">
        <v>2011</v>
      </c>
      <c r="E1027" t="s">
        <v>3411</v>
      </c>
      <c r="F1027" t="s">
        <v>9297</v>
      </c>
      <c r="G1027" t="s">
        <v>3994</v>
      </c>
    </row>
    <row r="1028" spans="1:7" x14ac:dyDescent="0.25">
      <c r="A1028" t="s">
        <v>2804</v>
      </c>
      <c r="B1028" t="s">
        <v>2103</v>
      </c>
      <c r="C1028">
        <v>2021</v>
      </c>
      <c r="E1028" t="s">
        <v>3013</v>
      </c>
      <c r="F1028" t="s">
        <v>9773</v>
      </c>
      <c r="G1028" t="s">
        <v>187</v>
      </c>
    </row>
    <row r="1029" spans="1:7" x14ac:dyDescent="0.25">
      <c r="A1029" t="s">
        <v>2965</v>
      </c>
      <c r="B1029" t="s">
        <v>2103</v>
      </c>
      <c r="C1029">
        <v>2023</v>
      </c>
      <c r="D1029" t="s">
        <v>187</v>
      </c>
      <c r="F1029" t="s">
        <v>9774</v>
      </c>
      <c r="G1029" t="s">
        <v>3994</v>
      </c>
    </row>
    <row r="1030" spans="1:7" x14ac:dyDescent="0.25">
      <c r="A1030" t="s">
        <v>490</v>
      </c>
      <c r="B1030" t="s">
        <v>2107</v>
      </c>
      <c r="C1030">
        <v>2009</v>
      </c>
      <c r="E1030" s="10" t="s">
        <v>2110</v>
      </c>
      <c r="F1030" t="s">
        <v>8547</v>
      </c>
      <c r="G1030" t="s">
        <v>3994</v>
      </c>
    </row>
    <row r="1031" spans="1:7" x14ac:dyDescent="0.25">
      <c r="A1031" t="s">
        <v>847</v>
      </c>
      <c r="B1031" t="s">
        <v>2107</v>
      </c>
      <c r="C1031">
        <v>1996</v>
      </c>
      <c r="E1031" t="s">
        <v>3136</v>
      </c>
      <c r="F1031" t="s">
        <v>9775</v>
      </c>
      <c r="G1031" t="s">
        <v>187</v>
      </c>
    </row>
    <row r="1032" spans="1:7" x14ac:dyDescent="0.25">
      <c r="A1032" t="s">
        <v>964</v>
      </c>
      <c r="B1032" t="s">
        <v>2107</v>
      </c>
      <c r="C1032">
        <v>2006</v>
      </c>
      <c r="E1032" t="s">
        <v>3136</v>
      </c>
      <c r="F1032" t="s">
        <v>9776</v>
      </c>
      <c r="G1032" t="s">
        <v>187</v>
      </c>
    </row>
    <row r="1033" spans="1:7" x14ac:dyDescent="0.25">
      <c r="A1033" t="s">
        <v>1795</v>
      </c>
      <c r="B1033" t="s">
        <v>2107</v>
      </c>
      <c r="C1033">
        <v>1987</v>
      </c>
      <c r="E1033" t="s">
        <v>3136</v>
      </c>
      <c r="F1033" t="s">
        <v>9777</v>
      </c>
      <c r="G1033" t="s">
        <v>187</v>
      </c>
    </row>
    <row r="1034" spans="1:7" x14ac:dyDescent="0.25">
      <c r="A1034" t="s">
        <v>2571</v>
      </c>
      <c r="B1034" t="s">
        <v>2107</v>
      </c>
      <c r="C1034">
        <v>1998</v>
      </c>
      <c r="E1034" t="s">
        <v>3136</v>
      </c>
      <c r="F1034" t="s">
        <v>9778</v>
      </c>
      <c r="G1034" t="s">
        <v>187</v>
      </c>
    </row>
    <row r="1035" spans="1:7" x14ac:dyDescent="0.25">
      <c r="A1035" t="s">
        <v>2107</v>
      </c>
      <c r="B1035" t="s">
        <v>2111</v>
      </c>
      <c r="C1035">
        <v>2020</v>
      </c>
      <c r="D1035" t="s">
        <v>187</v>
      </c>
      <c r="F1035" t="s">
        <v>9779</v>
      </c>
      <c r="G1035" t="s">
        <v>3994</v>
      </c>
    </row>
    <row r="1036" spans="1:7" x14ac:dyDescent="0.25">
      <c r="A1036" t="s">
        <v>2111</v>
      </c>
      <c r="B1036" t="s">
        <v>2115</v>
      </c>
      <c r="C1036">
        <v>2024</v>
      </c>
      <c r="D1036" t="s">
        <v>187</v>
      </c>
      <c r="F1036" t="s">
        <v>9780</v>
      </c>
      <c r="G1036" t="s">
        <v>3994</v>
      </c>
    </row>
    <row r="1037" spans="1:7" x14ac:dyDescent="0.25">
      <c r="A1037" t="s">
        <v>2136</v>
      </c>
      <c r="B1037" t="s">
        <v>7925</v>
      </c>
      <c r="C1037">
        <v>2020</v>
      </c>
      <c r="E1037" s="10" t="s">
        <v>7924</v>
      </c>
      <c r="F1037" t="s">
        <v>9781</v>
      </c>
      <c r="G1037" t="s">
        <v>187</v>
      </c>
    </row>
    <row r="1038" spans="1:7" x14ac:dyDescent="0.25">
      <c r="A1038" t="s">
        <v>2804</v>
      </c>
      <c r="B1038" t="s">
        <v>7925</v>
      </c>
      <c r="C1038">
        <v>2021</v>
      </c>
      <c r="E1038" s="10" t="s">
        <v>7924</v>
      </c>
      <c r="F1038" t="s">
        <v>9782</v>
      </c>
      <c r="G1038" t="s">
        <v>187</v>
      </c>
    </row>
    <row r="1039" spans="1:7" x14ac:dyDescent="0.25">
      <c r="A1039" t="s">
        <v>90</v>
      </c>
      <c r="B1039" t="s">
        <v>2118</v>
      </c>
      <c r="C1039">
        <v>2017</v>
      </c>
      <c r="E1039" t="s">
        <v>3373</v>
      </c>
      <c r="F1039" t="s">
        <v>9148</v>
      </c>
      <c r="G1039" t="s">
        <v>3994</v>
      </c>
    </row>
    <row r="1040" spans="1:7" x14ac:dyDescent="0.25">
      <c r="A1040" t="s">
        <v>90</v>
      </c>
      <c r="B1040" t="s">
        <v>2122</v>
      </c>
      <c r="C1040">
        <v>2017</v>
      </c>
      <c r="E1040" t="s">
        <v>3374</v>
      </c>
      <c r="F1040" t="s">
        <v>9149</v>
      </c>
      <c r="G1040" t="s">
        <v>3994</v>
      </c>
    </row>
    <row r="1041" spans="1:7" x14ac:dyDescent="0.25">
      <c r="A1041" t="s">
        <v>930</v>
      </c>
      <c r="B1041" t="s">
        <v>2130</v>
      </c>
      <c r="C1041">
        <v>2015</v>
      </c>
      <c r="E1041" t="s">
        <v>3157</v>
      </c>
      <c r="F1041" t="s">
        <v>8693</v>
      </c>
      <c r="G1041" t="s">
        <v>3994</v>
      </c>
    </row>
    <row r="1042" spans="1:7" x14ac:dyDescent="0.25">
      <c r="A1042" t="s">
        <v>2132</v>
      </c>
      <c r="B1042" t="s">
        <v>2136</v>
      </c>
      <c r="C1042">
        <v>2013</v>
      </c>
      <c r="D1042" t="s">
        <v>187</v>
      </c>
      <c r="F1042" t="s">
        <v>9783</v>
      </c>
      <c r="G1042" t="s">
        <v>3994</v>
      </c>
    </row>
    <row r="1043" spans="1:7" x14ac:dyDescent="0.25">
      <c r="A1043" t="s">
        <v>2132</v>
      </c>
      <c r="B1043" t="s">
        <v>2140</v>
      </c>
      <c r="C1043">
        <v>2013</v>
      </c>
      <c r="D1043" t="s">
        <v>187</v>
      </c>
      <c r="F1043" t="s">
        <v>9784</v>
      </c>
      <c r="G1043" t="s">
        <v>3994</v>
      </c>
    </row>
    <row r="1044" spans="1:7" x14ac:dyDescent="0.25">
      <c r="A1044" t="s">
        <v>914</v>
      </c>
      <c r="B1044" t="s">
        <v>2144</v>
      </c>
      <c r="C1044">
        <v>2013</v>
      </c>
      <c r="E1044" t="s">
        <v>3145</v>
      </c>
      <c r="F1044" t="s">
        <v>8681</v>
      </c>
      <c r="G1044" t="s">
        <v>3994</v>
      </c>
    </row>
    <row r="1045" spans="1:7" x14ac:dyDescent="0.25">
      <c r="A1045" t="s">
        <v>1144</v>
      </c>
      <c r="B1045" t="s">
        <v>2144</v>
      </c>
      <c r="C1045">
        <v>2012</v>
      </c>
      <c r="E1045" t="s">
        <v>3145</v>
      </c>
      <c r="F1045" t="s">
        <v>8766</v>
      </c>
      <c r="G1045" t="s">
        <v>3994</v>
      </c>
    </row>
    <row r="1046" spans="1:7" x14ac:dyDescent="0.25">
      <c r="A1046" t="s">
        <v>759</v>
      </c>
      <c r="B1046" t="s">
        <v>2146</v>
      </c>
      <c r="C1046">
        <v>2018</v>
      </c>
      <c r="E1046" s="10" t="s">
        <v>9454</v>
      </c>
      <c r="F1046" t="s">
        <v>9448</v>
      </c>
      <c r="G1046" t="s">
        <v>3994</v>
      </c>
    </row>
    <row r="1047" spans="1:7" x14ac:dyDescent="0.25">
      <c r="A1047" t="s">
        <v>1046</v>
      </c>
      <c r="B1047" t="s">
        <v>2146</v>
      </c>
      <c r="C1047">
        <v>2016</v>
      </c>
      <c r="E1047" s="10" t="s">
        <v>8368</v>
      </c>
      <c r="F1047" t="s">
        <v>8736</v>
      </c>
      <c r="G1047" t="s">
        <v>3994</v>
      </c>
    </row>
    <row r="1048" spans="1:7" x14ac:dyDescent="0.25">
      <c r="A1048" t="s">
        <v>1272</v>
      </c>
      <c r="B1048" t="s">
        <v>2146</v>
      </c>
      <c r="C1048">
        <v>2020</v>
      </c>
      <c r="E1048" s="10" t="s">
        <v>9454</v>
      </c>
      <c r="F1048" t="s">
        <v>9449</v>
      </c>
      <c r="G1048" t="s">
        <v>3994</v>
      </c>
    </row>
    <row r="1049" spans="1:7" x14ac:dyDescent="0.25">
      <c r="A1049" t="s">
        <v>1855</v>
      </c>
      <c r="B1049" t="s">
        <v>2146</v>
      </c>
      <c r="C1049">
        <v>2015</v>
      </c>
      <c r="E1049" s="10" t="s">
        <v>9454</v>
      </c>
      <c r="F1049" t="s">
        <v>9450</v>
      </c>
      <c r="G1049" t="s">
        <v>3994</v>
      </c>
    </row>
    <row r="1050" spans="1:7" x14ac:dyDescent="0.25">
      <c r="A1050" t="s">
        <v>1855</v>
      </c>
      <c r="B1050" t="s">
        <v>2150</v>
      </c>
      <c r="C1050">
        <v>2015</v>
      </c>
      <c r="E1050" t="s">
        <v>2982</v>
      </c>
      <c r="F1050" t="s">
        <v>8978</v>
      </c>
      <c r="G1050" t="s">
        <v>3994</v>
      </c>
    </row>
    <row r="1051" spans="1:7" x14ac:dyDescent="0.25">
      <c r="A1051" t="s">
        <v>90</v>
      </c>
      <c r="B1051" t="s">
        <v>9933</v>
      </c>
      <c r="C1051">
        <v>2017</v>
      </c>
      <c r="E1051" s="10" t="s">
        <v>9935</v>
      </c>
      <c r="F1051" t="s">
        <v>9936</v>
      </c>
      <c r="G1051" t="s">
        <v>3994</v>
      </c>
    </row>
    <row r="1052" spans="1:7" x14ac:dyDescent="0.25">
      <c r="A1052" t="s">
        <v>185</v>
      </c>
      <c r="B1052" t="s">
        <v>2158</v>
      </c>
      <c r="C1052">
        <v>2022</v>
      </c>
      <c r="E1052" t="s">
        <v>2983</v>
      </c>
      <c r="F1052" t="s">
        <v>8455</v>
      </c>
      <c r="G1052" t="s">
        <v>3994</v>
      </c>
    </row>
    <row r="1053" spans="1:7" x14ac:dyDescent="0.25">
      <c r="A1053" t="s">
        <v>1690</v>
      </c>
      <c r="B1053" t="s">
        <v>2158</v>
      </c>
      <c r="C1053">
        <v>2020</v>
      </c>
      <c r="E1053" t="s">
        <v>2983</v>
      </c>
      <c r="F1053" t="s">
        <v>8912</v>
      </c>
      <c r="G1053" t="s">
        <v>3994</v>
      </c>
    </row>
    <row r="1054" spans="1:7" x14ac:dyDescent="0.25">
      <c r="A1054" t="s">
        <v>90</v>
      </c>
      <c r="B1054" t="s">
        <v>2158</v>
      </c>
      <c r="C1054">
        <v>2017</v>
      </c>
      <c r="E1054" t="s">
        <v>2983</v>
      </c>
      <c r="F1054" t="s">
        <v>9150</v>
      </c>
      <c r="G1054" t="s">
        <v>3994</v>
      </c>
    </row>
    <row r="1055" spans="1:7" x14ac:dyDescent="0.25">
      <c r="A1055" t="s">
        <v>256</v>
      </c>
      <c r="B1055" t="s">
        <v>2160</v>
      </c>
      <c r="C1055">
        <v>1994</v>
      </c>
      <c r="E1055" t="s">
        <v>2995</v>
      </c>
      <c r="F1055" t="s">
        <v>9455</v>
      </c>
      <c r="G1055" t="s">
        <v>3994</v>
      </c>
    </row>
    <row r="1056" spans="1:7" x14ac:dyDescent="0.25">
      <c r="A1056" t="s">
        <v>2571</v>
      </c>
      <c r="B1056" t="s">
        <v>2160</v>
      </c>
      <c r="C1056">
        <v>1998</v>
      </c>
      <c r="E1056" t="s">
        <v>2995</v>
      </c>
      <c r="F1056" t="s">
        <v>9456</v>
      </c>
      <c r="G1056" t="s">
        <v>3994</v>
      </c>
    </row>
    <row r="1057" spans="1:7" x14ac:dyDescent="0.25">
      <c r="A1057" t="s">
        <v>353</v>
      </c>
      <c r="B1057" t="s">
        <v>2162</v>
      </c>
      <c r="C1057">
        <v>2023</v>
      </c>
      <c r="E1057" t="s">
        <v>2982</v>
      </c>
      <c r="F1057" t="s">
        <v>8524</v>
      </c>
      <c r="G1057" t="s">
        <v>3994</v>
      </c>
    </row>
    <row r="1058" spans="1:7" x14ac:dyDescent="0.25">
      <c r="A1058" t="s">
        <v>2804</v>
      </c>
      <c r="B1058" t="s">
        <v>2162</v>
      </c>
      <c r="C1058">
        <v>2021</v>
      </c>
      <c r="E1058" t="s">
        <v>2982</v>
      </c>
      <c r="F1058" t="s">
        <v>9351</v>
      </c>
      <c r="G1058" t="s">
        <v>3994</v>
      </c>
    </row>
    <row r="1059" spans="1:7" x14ac:dyDescent="0.25">
      <c r="A1059" t="s">
        <v>2154</v>
      </c>
      <c r="B1059" t="s">
        <v>2166</v>
      </c>
      <c r="C1059">
        <v>1980</v>
      </c>
      <c r="E1059" t="s">
        <v>3326</v>
      </c>
      <c r="F1059" t="s">
        <v>9042</v>
      </c>
      <c r="G1059" t="s">
        <v>3994</v>
      </c>
    </row>
    <row r="1060" spans="1:7" x14ac:dyDescent="0.25">
      <c r="A1060" t="s">
        <v>2625</v>
      </c>
      <c r="B1060" t="s">
        <v>2166</v>
      </c>
      <c r="C1060">
        <v>2000</v>
      </c>
      <c r="D1060" t="s">
        <v>187</v>
      </c>
      <c r="F1060" t="s">
        <v>9785</v>
      </c>
      <c r="G1060" t="s">
        <v>3994</v>
      </c>
    </row>
    <row r="1061" spans="1:7" x14ac:dyDescent="0.25">
      <c r="A1061" t="s">
        <v>2173</v>
      </c>
      <c r="B1061" t="s">
        <v>2169</v>
      </c>
      <c r="C1061">
        <v>2013</v>
      </c>
      <c r="E1061" t="s">
        <v>3334</v>
      </c>
      <c r="F1061" t="s">
        <v>9786</v>
      </c>
      <c r="G1061" t="s">
        <v>187</v>
      </c>
    </row>
    <row r="1062" spans="1:7" x14ac:dyDescent="0.25">
      <c r="A1062" t="s">
        <v>2428</v>
      </c>
      <c r="B1062" t="s">
        <v>2173</v>
      </c>
      <c r="C1062">
        <v>2008</v>
      </c>
      <c r="E1062" t="s">
        <v>3396</v>
      </c>
      <c r="F1062" t="s">
        <v>9223</v>
      </c>
      <c r="G1062" t="s">
        <v>3994</v>
      </c>
    </row>
    <row r="1063" spans="1:7" x14ac:dyDescent="0.25">
      <c r="A1063" t="s">
        <v>160</v>
      </c>
      <c r="B1063" t="s">
        <v>2173</v>
      </c>
      <c r="C1063">
        <v>2011</v>
      </c>
      <c r="E1063" t="s">
        <v>3396</v>
      </c>
      <c r="F1063" t="s">
        <v>9298</v>
      </c>
      <c r="G1063" t="s">
        <v>3994</v>
      </c>
    </row>
    <row r="1064" spans="1:7" x14ac:dyDescent="0.25">
      <c r="A1064" t="s">
        <v>2173</v>
      </c>
      <c r="B1064" t="s">
        <v>2177</v>
      </c>
      <c r="C1064">
        <v>2013</v>
      </c>
      <c r="D1064" t="s">
        <v>187</v>
      </c>
      <c r="F1064" t="s">
        <v>9787</v>
      </c>
      <c r="G1064" t="s">
        <v>3994</v>
      </c>
    </row>
    <row r="1065" spans="1:7" x14ac:dyDescent="0.25">
      <c r="A1065" t="s">
        <v>90</v>
      </c>
      <c r="B1065" t="s">
        <v>2181</v>
      </c>
      <c r="C1065">
        <v>2017</v>
      </c>
      <c r="E1065" s="10" t="s">
        <v>9942</v>
      </c>
      <c r="F1065" t="s">
        <v>9788</v>
      </c>
      <c r="G1065" t="s">
        <v>3994</v>
      </c>
    </row>
    <row r="1066" spans="1:7" x14ac:dyDescent="0.25">
      <c r="A1066" t="s">
        <v>344</v>
      </c>
      <c r="B1066" t="s">
        <v>2187</v>
      </c>
      <c r="C1066">
        <v>2023</v>
      </c>
      <c r="E1066" s="10" t="s">
        <v>8369</v>
      </c>
      <c r="F1066" t="s">
        <v>8488</v>
      </c>
      <c r="G1066" t="s">
        <v>3994</v>
      </c>
    </row>
    <row r="1067" spans="1:7" x14ac:dyDescent="0.25">
      <c r="A1067" t="s">
        <v>346</v>
      </c>
      <c r="B1067" t="s">
        <v>2187</v>
      </c>
      <c r="C1067">
        <v>2022</v>
      </c>
      <c r="E1067" t="s">
        <v>3017</v>
      </c>
      <c r="F1067" t="s">
        <v>8494</v>
      </c>
      <c r="G1067" t="s">
        <v>3994</v>
      </c>
    </row>
    <row r="1068" spans="1:7" x14ac:dyDescent="0.25">
      <c r="A1068" t="s">
        <v>1144</v>
      </c>
      <c r="B1068" t="s">
        <v>2187</v>
      </c>
      <c r="C1068">
        <v>2012</v>
      </c>
      <c r="E1068" t="s">
        <v>3017</v>
      </c>
      <c r="F1068" t="s">
        <v>8767</v>
      </c>
      <c r="G1068" t="s">
        <v>3994</v>
      </c>
    </row>
    <row r="1069" spans="1:7" x14ac:dyDescent="0.25">
      <c r="A1069" t="s">
        <v>1443</v>
      </c>
      <c r="B1069" t="s">
        <v>2187</v>
      </c>
      <c r="C1069">
        <v>2018</v>
      </c>
      <c r="E1069" t="s">
        <v>3017</v>
      </c>
      <c r="F1069" t="s">
        <v>8864</v>
      </c>
      <c r="G1069" t="s">
        <v>3994</v>
      </c>
    </row>
    <row r="1070" spans="1:7" x14ac:dyDescent="0.25">
      <c r="A1070" t="s">
        <v>1951</v>
      </c>
      <c r="B1070" t="s">
        <v>2187</v>
      </c>
      <c r="C1070">
        <v>2022</v>
      </c>
      <c r="E1070" s="10" t="s">
        <v>8369</v>
      </c>
      <c r="F1070" t="s">
        <v>8992</v>
      </c>
      <c r="G1070" t="s">
        <v>3994</v>
      </c>
    </row>
    <row r="1071" spans="1:7" x14ac:dyDescent="0.25">
      <c r="A1071" t="s">
        <v>90</v>
      </c>
      <c r="B1071" t="s">
        <v>2187</v>
      </c>
      <c r="C1071">
        <v>2017</v>
      </c>
      <c r="E1071" t="s">
        <v>3017</v>
      </c>
      <c r="F1071" t="s">
        <v>9151</v>
      </c>
      <c r="G1071" t="s">
        <v>3994</v>
      </c>
    </row>
    <row r="1072" spans="1:7" x14ac:dyDescent="0.25">
      <c r="A1072" t="s">
        <v>994</v>
      </c>
      <c r="B1072" t="s">
        <v>2190</v>
      </c>
      <c r="C1072">
        <v>2011</v>
      </c>
      <c r="E1072" t="s">
        <v>3169</v>
      </c>
      <c r="F1072" t="s">
        <v>9789</v>
      </c>
      <c r="G1072" t="s">
        <v>187</v>
      </c>
    </row>
    <row r="1073" spans="1:7" x14ac:dyDescent="0.25">
      <c r="A1073" t="s">
        <v>2534</v>
      </c>
      <c r="B1073" t="s">
        <v>2190</v>
      </c>
      <c r="C1073">
        <v>1982</v>
      </c>
      <c r="E1073" t="s">
        <v>3169</v>
      </c>
      <c r="F1073" t="s">
        <v>9248</v>
      </c>
      <c r="G1073" t="s">
        <v>3994</v>
      </c>
    </row>
    <row r="1074" spans="1:7" x14ac:dyDescent="0.25">
      <c r="A1074" t="s">
        <v>90</v>
      </c>
      <c r="B1074" t="s">
        <v>2192</v>
      </c>
      <c r="C1074">
        <v>2017</v>
      </c>
      <c r="E1074" s="10" t="s">
        <v>8370</v>
      </c>
      <c r="F1074" t="s">
        <v>9152</v>
      </c>
      <c r="G1074" t="s">
        <v>3994</v>
      </c>
    </row>
    <row r="1075" spans="1:7" x14ac:dyDescent="0.25">
      <c r="A1075" t="s">
        <v>2804</v>
      </c>
      <c r="B1075" t="s">
        <v>2192</v>
      </c>
      <c r="C1075">
        <v>2021</v>
      </c>
      <c r="E1075" s="10" t="s">
        <v>8370</v>
      </c>
      <c r="F1075" t="s">
        <v>9352</v>
      </c>
      <c r="G1075" t="s">
        <v>3994</v>
      </c>
    </row>
    <row r="1076" spans="1:7" x14ac:dyDescent="0.25">
      <c r="A1076" t="s">
        <v>90</v>
      </c>
      <c r="B1076" t="s">
        <v>2196</v>
      </c>
      <c r="C1076">
        <v>2017</v>
      </c>
      <c r="E1076" t="s">
        <v>3375</v>
      </c>
      <c r="F1076" t="s">
        <v>9790</v>
      </c>
      <c r="G1076" t="s">
        <v>187</v>
      </c>
    </row>
    <row r="1077" spans="1:7" x14ac:dyDescent="0.25">
      <c r="A1077" t="s">
        <v>490</v>
      </c>
      <c r="B1077" t="s">
        <v>2200</v>
      </c>
      <c r="C1077">
        <v>2009</v>
      </c>
      <c r="E1077" t="s">
        <v>3061</v>
      </c>
      <c r="F1077" t="s">
        <v>8548</v>
      </c>
      <c r="G1077" t="s">
        <v>3994</v>
      </c>
    </row>
    <row r="1078" spans="1:7" x14ac:dyDescent="0.25">
      <c r="A1078" t="s">
        <v>2154</v>
      </c>
      <c r="B1078" t="s">
        <v>2200</v>
      </c>
      <c r="C1078">
        <v>1980</v>
      </c>
      <c r="E1078" t="s">
        <v>3061</v>
      </c>
      <c r="F1078" t="s">
        <v>9043</v>
      </c>
      <c r="G1078" t="s">
        <v>3994</v>
      </c>
    </row>
    <row r="1079" spans="1:7" x14ac:dyDescent="0.25">
      <c r="A1079" t="s">
        <v>353</v>
      </c>
      <c r="B1079" t="s">
        <v>2202</v>
      </c>
      <c r="C1079">
        <v>2023</v>
      </c>
      <c r="E1079" s="10" t="s">
        <v>3040</v>
      </c>
      <c r="F1079" t="s">
        <v>9791</v>
      </c>
      <c r="G1079" t="s">
        <v>187</v>
      </c>
    </row>
    <row r="1080" spans="1:7" x14ac:dyDescent="0.25">
      <c r="A1080" t="s">
        <v>90</v>
      </c>
      <c r="B1080" t="s">
        <v>2202</v>
      </c>
      <c r="C1080">
        <v>2017</v>
      </c>
      <c r="E1080" s="10" t="s">
        <v>3040</v>
      </c>
      <c r="F1080" t="s">
        <v>9792</v>
      </c>
      <c r="G1080" t="s">
        <v>187</v>
      </c>
    </row>
    <row r="1081" spans="1:7" x14ac:dyDescent="0.25">
      <c r="A1081" t="s">
        <v>2154</v>
      </c>
      <c r="B1081" t="s">
        <v>2204</v>
      </c>
      <c r="C1081">
        <v>1980</v>
      </c>
      <c r="E1081" t="s">
        <v>3327</v>
      </c>
      <c r="F1081" t="s">
        <v>9044</v>
      </c>
      <c r="G1081" t="s">
        <v>3994</v>
      </c>
    </row>
    <row r="1082" spans="1:7" x14ac:dyDescent="0.25">
      <c r="A1082" t="s">
        <v>353</v>
      </c>
      <c r="B1082" t="s">
        <v>2215</v>
      </c>
      <c r="C1082">
        <v>2023</v>
      </c>
      <c r="E1082" t="s">
        <v>3041</v>
      </c>
      <c r="F1082" t="s">
        <v>8525</v>
      </c>
      <c r="G1082" t="s">
        <v>3994</v>
      </c>
    </row>
    <row r="1083" spans="1:7" x14ac:dyDescent="0.25">
      <c r="A1083" t="s">
        <v>2211</v>
      </c>
      <c r="B1083" t="s">
        <v>2215</v>
      </c>
      <c r="C1083">
        <v>2021</v>
      </c>
      <c r="E1083" t="s">
        <v>3041</v>
      </c>
      <c r="F1083" t="s">
        <v>9067</v>
      </c>
      <c r="G1083" t="s">
        <v>3994</v>
      </c>
    </row>
    <row r="1084" spans="1:7" x14ac:dyDescent="0.25">
      <c r="A1084" t="s">
        <v>960</v>
      </c>
      <c r="B1084" t="s">
        <v>2219</v>
      </c>
      <c r="C1084">
        <v>2024</v>
      </c>
      <c r="E1084" t="s">
        <v>2982</v>
      </c>
      <c r="F1084" t="s">
        <v>8699</v>
      </c>
      <c r="G1084" t="s">
        <v>3994</v>
      </c>
    </row>
    <row r="1085" spans="1:7" x14ac:dyDescent="0.25">
      <c r="A1085" t="s">
        <v>353</v>
      </c>
      <c r="B1085" t="s">
        <v>2222</v>
      </c>
      <c r="C1085">
        <v>2023</v>
      </c>
      <c r="E1085" t="s">
        <v>3042</v>
      </c>
      <c r="F1085" t="s">
        <v>8526</v>
      </c>
      <c r="G1085" t="s">
        <v>3994</v>
      </c>
    </row>
    <row r="1086" spans="1:7" x14ac:dyDescent="0.25">
      <c r="A1086" t="s">
        <v>1576</v>
      </c>
      <c r="B1086" t="s">
        <v>2222</v>
      </c>
      <c r="C1086">
        <v>2021</v>
      </c>
      <c r="E1086" t="s">
        <v>3042</v>
      </c>
      <c r="F1086" t="s">
        <v>8895</v>
      </c>
      <c r="G1086" t="s">
        <v>3994</v>
      </c>
    </row>
    <row r="1087" spans="1:7" x14ac:dyDescent="0.25">
      <c r="A1087" t="s">
        <v>90</v>
      </c>
      <c r="B1087" t="s">
        <v>2222</v>
      </c>
      <c r="C1087">
        <v>2017</v>
      </c>
      <c r="E1087" t="s">
        <v>3042</v>
      </c>
      <c r="F1087" t="s">
        <v>9153</v>
      </c>
      <c r="G1087" t="s">
        <v>3994</v>
      </c>
    </row>
    <row r="1088" spans="1:7" x14ac:dyDescent="0.25">
      <c r="A1088" t="s">
        <v>2506</v>
      </c>
      <c r="B1088" t="s">
        <v>2222</v>
      </c>
      <c r="C1088">
        <v>2021</v>
      </c>
      <c r="E1088" t="s">
        <v>3042</v>
      </c>
      <c r="F1088" t="s">
        <v>9243</v>
      </c>
      <c r="G1088" t="s">
        <v>3994</v>
      </c>
    </row>
    <row r="1089" spans="1:7" x14ac:dyDescent="0.25">
      <c r="A1089" t="s">
        <v>1951</v>
      </c>
      <c r="B1089" t="s">
        <v>2229</v>
      </c>
      <c r="C1089">
        <v>2022</v>
      </c>
      <c r="E1089" t="s">
        <v>3302</v>
      </c>
      <c r="F1089" t="s">
        <v>8993</v>
      </c>
      <c r="G1089" t="s">
        <v>3994</v>
      </c>
    </row>
    <row r="1090" spans="1:7" x14ac:dyDescent="0.25">
      <c r="A1090" t="s">
        <v>353</v>
      </c>
      <c r="B1090" t="s">
        <v>2232</v>
      </c>
      <c r="C1090">
        <v>2023</v>
      </c>
      <c r="E1090" t="s">
        <v>3043</v>
      </c>
      <c r="F1090" t="s">
        <v>8527</v>
      </c>
      <c r="G1090" t="s">
        <v>3994</v>
      </c>
    </row>
    <row r="1091" spans="1:7" x14ac:dyDescent="0.25">
      <c r="A1091" t="s">
        <v>746</v>
      </c>
      <c r="B1091" t="s">
        <v>2232</v>
      </c>
      <c r="C1091">
        <v>2015</v>
      </c>
      <c r="E1091" s="10" t="s">
        <v>9459</v>
      </c>
      <c r="F1091" t="s">
        <v>9461</v>
      </c>
      <c r="G1091" t="s">
        <v>3994</v>
      </c>
    </row>
    <row r="1092" spans="1:7" x14ac:dyDescent="0.25">
      <c r="A1092" t="s">
        <v>847</v>
      </c>
      <c r="B1092" t="s">
        <v>2232</v>
      </c>
      <c r="C1092">
        <v>1996</v>
      </c>
      <c r="E1092" s="10" t="s">
        <v>9459</v>
      </c>
      <c r="F1092" t="s">
        <v>9460</v>
      </c>
      <c r="G1092" t="s">
        <v>3994</v>
      </c>
    </row>
    <row r="1093" spans="1:7" x14ac:dyDescent="0.25">
      <c r="A1093" t="s">
        <v>1576</v>
      </c>
      <c r="B1093" t="s">
        <v>2232</v>
      </c>
      <c r="C1093">
        <v>2021</v>
      </c>
      <c r="E1093" t="s">
        <v>3264</v>
      </c>
      <c r="F1093" t="s">
        <v>9793</v>
      </c>
      <c r="G1093" t="s">
        <v>187</v>
      </c>
    </row>
    <row r="1094" spans="1:7" x14ac:dyDescent="0.25">
      <c r="A1094" t="s">
        <v>353</v>
      </c>
      <c r="B1094" t="s">
        <v>2236</v>
      </c>
      <c r="C1094">
        <v>2023</v>
      </c>
      <c r="E1094" t="s">
        <v>3044</v>
      </c>
      <c r="F1094" t="s">
        <v>8528</v>
      </c>
      <c r="G1094" t="s">
        <v>3994</v>
      </c>
    </row>
    <row r="1095" spans="1:7" x14ac:dyDescent="0.25">
      <c r="A1095" t="s">
        <v>90</v>
      </c>
      <c r="B1095" t="s">
        <v>2236</v>
      </c>
      <c r="C1095">
        <v>2017</v>
      </c>
      <c r="E1095" t="s">
        <v>3044</v>
      </c>
      <c r="F1095" t="s">
        <v>9154</v>
      </c>
      <c r="G1095" t="s">
        <v>3994</v>
      </c>
    </row>
    <row r="1096" spans="1:7" x14ac:dyDescent="0.25">
      <c r="A1096" t="s">
        <v>1549</v>
      </c>
      <c r="B1096" t="s">
        <v>2239</v>
      </c>
      <c r="C1096">
        <v>2021</v>
      </c>
      <c r="E1096" t="s">
        <v>2241</v>
      </c>
      <c r="F1096" t="s">
        <v>8875</v>
      </c>
      <c r="G1096" t="s">
        <v>3994</v>
      </c>
    </row>
    <row r="1097" spans="1:7" x14ac:dyDescent="0.25">
      <c r="A1097" t="s">
        <v>90</v>
      </c>
      <c r="B1097" t="s">
        <v>2239</v>
      </c>
      <c r="C1097">
        <v>2017</v>
      </c>
      <c r="E1097" t="s">
        <v>2241</v>
      </c>
      <c r="F1097" t="s">
        <v>9155</v>
      </c>
      <c r="G1097" t="s">
        <v>3994</v>
      </c>
    </row>
    <row r="1098" spans="1:7" x14ac:dyDescent="0.25">
      <c r="A1098" t="s">
        <v>2804</v>
      </c>
      <c r="B1098" t="s">
        <v>8371</v>
      </c>
      <c r="C1098">
        <v>2021</v>
      </c>
      <c r="E1098" t="s">
        <v>3013</v>
      </c>
      <c r="F1098" t="s">
        <v>9794</v>
      </c>
      <c r="G1098" t="s">
        <v>187</v>
      </c>
    </row>
    <row r="1099" spans="1:7" x14ac:dyDescent="0.25">
      <c r="A1099" t="s">
        <v>1155</v>
      </c>
      <c r="B1099" t="s">
        <v>2242</v>
      </c>
      <c r="C1099">
        <v>2010</v>
      </c>
      <c r="D1099" t="s">
        <v>187</v>
      </c>
      <c r="F1099" t="s">
        <v>9795</v>
      </c>
      <c r="G1099" t="s">
        <v>3994</v>
      </c>
    </row>
    <row r="1100" spans="1:7" x14ac:dyDescent="0.25">
      <c r="A1100" t="s">
        <v>720</v>
      </c>
      <c r="B1100" t="s">
        <v>2244</v>
      </c>
      <c r="C1100">
        <v>2016</v>
      </c>
      <c r="E1100" t="s">
        <v>3091</v>
      </c>
      <c r="F1100" t="s">
        <v>8590</v>
      </c>
      <c r="G1100" t="s">
        <v>3994</v>
      </c>
    </row>
    <row r="1101" spans="1:7" x14ac:dyDescent="0.25">
      <c r="A1101" t="s">
        <v>746</v>
      </c>
      <c r="B1101" t="s">
        <v>2244</v>
      </c>
      <c r="C1101">
        <v>2015</v>
      </c>
      <c r="E1101" t="s">
        <v>3091</v>
      </c>
      <c r="F1101" t="s">
        <v>8608</v>
      </c>
      <c r="G1101" t="s">
        <v>3994</v>
      </c>
    </row>
    <row r="1102" spans="1:7" x14ac:dyDescent="0.25">
      <c r="A1102" t="s">
        <v>1115</v>
      </c>
      <c r="B1102" t="s">
        <v>2244</v>
      </c>
      <c r="C1102">
        <v>2018</v>
      </c>
      <c r="E1102" t="s">
        <v>3091</v>
      </c>
      <c r="F1102" t="s">
        <v>8744</v>
      </c>
      <c r="G1102" t="s">
        <v>3994</v>
      </c>
    </row>
    <row r="1103" spans="1:7" x14ac:dyDescent="0.25">
      <c r="A1103" t="s">
        <v>2804</v>
      </c>
      <c r="B1103" t="s">
        <v>2247</v>
      </c>
      <c r="C1103">
        <v>2021</v>
      </c>
      <c r="E1103" t="s">
        <v>3013</v>
      </c>
      <c r="F1103" t="s">
        <v>9796</v>
      </c>
      <c r="G1103" t="s">
        <v>187</v>
      </c>
    </row>
    <row r="1104" spans="1:7" x14ac:dyDescent="0.25">
      <c r="A1104" t="s">
        <v>353</v>
      </c>
      <c r="B1104" t="s">
        <v>2251</v>
      </c>
      <c r="C1104">
        <v>2023</v>
      </c>
      <c r="E1104" t="s">
        <v>2982</v>
      </c>
      <c r="F1104" t="s">
        <v>8529</v>
      </c>
      <c r="G1104" t="s">
        <v>3994</v>
      </c>
    </row>
    <row r="1105" spans="1:7" x14ac:dyDescent="0.25">
      <c r="A1105" t="s">
        <v>160</v>
      </c>
      <c r="B1105" t="s">
        <v>2251</v>
      </c>
      <c r="C1105">
        <v>2011</v>
      </c>
      <c r="E1105" t="s">
        <v>2982</v>
      </c>
      <c r="F1105" t="s">
        <v>9299</v>
      </c>
      <c r="G1105" t="s">
        <v>3994</v>
      </c>
    </row>
    <row r="1106" spans="1:7" x14ac:dyDescent="0.25">
      <c r="A1106" t="s">
        <v>435</v>
      </c>
      <c r="B1106" t="s">
        <v>2254</v>
      </c>
      <c r="C1106">
        <v>2019</v>
      </c>
      <c r="E1106" t="s">
        <v>2982</v>
      </c>
      <c r="F1106" t="s">
        <v>9797</v>
      </c>
      <c r="G1106" t="s">
        <v>187</v>
      </c>
    </row>
    <row r="1107" spans="1:7" x14ac:dyDescent="0.25">
      <c r="A1107" t="s">
        <v>759</v>
      </c>
      <c r="B1107" t="s">
        <v>2254</v>
      </c>
      <c r="C1107">
        <v>2018</v>
      </c>
      <c r="E1107" t="s">
        <v>2982</v>
      </c>
      <c r="F1107" t="s">
        <v>8630</v>
      </c>
      <c r="G1107" t="s">
        <v>3994</v>
      </c>
    </row>
    <row r="1108" spans="1:7" x14ac:dyDescent="0.25">
      <c r="A1108" t="s">
        <v>930</v>
      </c>
      <c r="B1108" t="s">
        <v>2254</v>
      </c>
      <c r="C1108">
        <v>2015</v>
      </c>
      <c r="E1108" t="s">
        <v>2982</v>
      </c>
      <c r="F1108" t="s">
        <v>8694</v>
      </c>
      <c r="G1108" t="s">
        <v>3994</v>
      </c>
    </row>
    <row r="1109" spans="1:7" x14ac:dyDescent="0.25">
      <c r="A1109" t="s">
        <v>2130</v>
      </c>
      <c r="B1109" t="s">
        <v>2254</v>
      </c>
      <c r="C1109">
        <v>2017</v>
      </c>
      <c r="E1109" t="s">
        <v>2982</v>
      </c>
      <c r="F1109" t="s">
        <v>9005</v>
      </c>
      <c r="G1109" t="s">
        <v>3994</v>
      </c>
    </row>
    <row r="1110" spans="1:7" x14ac:dyDescent="0.25">
      <c r="A1110" t="s">
        <v>2459</v>
      </c>
      <c r="B1110" t="s">
        <v>2254</v>
      </c>
      <c r="C1110">
        <v>2017</v>
      </c>
      <c r="E1110" t="s">
        <v>2982</v>
      </c>
      <c r="F1110" t="s">
        <v>9232</v>
      </c>
      <c r="G1110" t="s">
        <v>3994</v>
      </c>
    </row>
    <row r="1111" spans="1:7" x14ac:dyDescent="0.25">
      <c r="A1111" t="s">
        <v>2804</v>
      </c>
      <c r="B1111" t="s">
        <v>2258</v>
      </c>
      <c r="C1111">
        <v>2021</v>
      </c>
      <c r="E1111" t="s">
        <v>3013</v>
      </c>
      <c r="F1111" t="s">
        <v>9798</v>
      </c>
      <c r="G1111" t="s">
        <v>187</v>
      </c>
    </row>
    <row r="1112" spans="1:7" x14ac:dyDescent="0.25">
      <c r="A1112" t="s">
        <v>2225</v>
      </c>
      <c r="B1112" t="s">
        <v>2260</v>
      </c>
      <c r="C1112">
        <v>2021</v>
      </c>
      <c r="E1112" s="10" t="s">
        <v>8384</v>
      </c>
      <c r="F1112" t="s">
        <v>9799</v>
      </c>
      <c r="G1112" t="s">
        <v>187</v>
      </c>
    </row>
    <row r="1113" spans="1:7" x14ac:dyDescent="0.25">
      <c r="A1113" t="s">
        <v>90</v>
      </c>
      <c r="B1113" t="s">
        <v>2264</v>
      </c>
      <c r="C1113">
        <v>2017</v>
      </c>
      <c r="E1113" t="s">
        <v>3376</v>
      </c>
      <c r="F1113" t="s">
        <v>9156</v>
      </c>
      <c r="G1113" t="s">
        <v>3994</v>
      </c>
    </row>
    <row r="1114" spans="1:7" x14ac:dyDescent="0.25">
      <c r="A1114" t="s">
        <v>2594</v>
      </c>
      <c r="B1114" t="s">
        <v>2264</v>
      </c>
      <c r="C1114">
        <v>2019</v>
      </c>
      <c r="E1114" t="s">
        <v>3376</v>
      </c>
      <c r="F1114" t="s">
        <v>9255</v>
      </c>
      <c r="G1114" t="s">
        <v>3994</v>
      </c>
    </row>
    <row r="1115" spans="1:7" x14ac:dyDescent="0.25">
      <c r="A1115" t="s">
        <v>847</v>
      </c>
      <c r="B1115" t="s">
        <v>2267</v>
      </c>
      <c r="C1115">
        <v>1996</v>
      </c>
      <c r="E1115" s="10" t="s">
        <v>9407</v>
      </c>
      <c r="F1115" t="s">
        <v>9469</v>
      </c>
      <c r="G1115" t="s">
        <v>3994</v>
      </c>
    </row>
    <row r="1116" spans="1:7" x14ac:dyDescent="0.25">
      <c r="A1116" t="s">
        <v>998</v>
      </c>
      <c r="B1116" t="s">
        <v>2267</v>
      </c>
      <c r="C1116">
        <v>2018</v>
      </c>
      <c r="D1116" t="s">
        <v>187</v>
      </c>
      <c r="F1116" t="s">
        <v>9467</v>
      </c>
      <c r="G1116" t="s">
        <v>3994</v>
      </c>
    </row>
    <row r="1117" spans="1:7" x14ac:dyDescent="0.25">
      <c r="A1117" t="s">
        <v>1046</v>
      </c>
      <c r="B1117" t="s">
        <v>2267</v>
      </c>
      <c r="C1117">
        <v>2016</v>
      </c>
      <c r="E1117" t="s">
        <v>2982</v>
      </c>
      <c r="F1117" t="s">
        <v>9800</v>
      </c>
      <c r="G1117" t="s">
        <v>187</v>
      </c>
    </row>
    <row r="1118" spans="1:7" x14ac:dyDescent="0.25">
      <c r="A1118" t="s">
        <v>1294</v>
      </c>
      <c r="B1118" t="s">
        <v>2267</v>
      </c>
      <c r="C1118">
        <v>2019</v>
      </c>
      <c r="E1118" s="10" t="s">
        <v>9407</v>
      </c>
      <c r="F1118" t="s">
        <v>9470</v>
      </c>
      <c r="G1118" t="s">
        <v>3994</v>
      </c>
    </row>
    <row r="1119" spans="1:7" x14ac:dyDescent="0.25">
      <c r="A1119" t="s">
        <v>1817</v>
      </c>
      <c r="B1119" t="s">
        <v>2267</v>
      </c>
      <c r="C1119">
        <v>2019</v>
      </c>
      <c r="E1119" s="10" t="s">
        <v>9407</v>
      </c>
      <c r="F1119" t="s">
        <v>9468</v>
      </c>
      <c r="G1119" t="s">
        <v>3994</v>
      </c>
    </row>
    <row r="1120" spans="1:7" x14ac:dyDescent="0.25">
      <c r="A1120" t="s">
        <v>1010</v>
      </c>
      <c r="B1120" t="s">
        <v>2273</v>
      </c>
      <c r="C1120">
        <v>2025</v>
      </c>
      <c r="E1120" t="s">
        <v>3178</v>
      </c>
      <c r="F1120" t="s">
        <v>8716</v>
      </c>
      <c r="G1120" t="s">
        <v>3994</v>
      </c>
    </row>
    <row r="1121" spans="1:7" x14ac:dyDescent="0.25">
      <c r="A1121" t="s">
        <v>1294</v>
      </c>
      <c r="B1121" t="s">
        <v>2273</v>
      </c>
      <c r="C1121">
        <v>2019</v>
      </c>
      <c r="E1121" t="s">
        <v>2982</v>
      </c>
      <c r="F1121" t="s">
        <v>8816</v>
      </c>
      <c r="G1121" t="s">
        <v>3994</v>
      </c>
    </row>
    <row r="1122" spans="1:7" x14ac:dyDescent="0.25">
      <c r="A1122" t="s">
        <v>2136</v>
      </c>
      <c r="B1122" t="s">
        <v>2273</v>
      </c>
      <c r="C1122">
        <v>2020</v>
      </c>
      <c r="E1122" t="s">
        <v>2982</v>
      </c>
      <c r="F1122" t="s">
        <v>9018</v>
      </c>
      <c r="G1122" t="s">
        <v>3994</v>
      </c>
    </row>
    <row r="1123" spans="1:7" x14ac:dyDescent="0.25">
      <c r="A1123" t="s">
        <v>256</v>
      </c>
      <c r="B1123" t="s">
        <v>2276</v>
      </c>
      <c r="C1123">
        <v>1994</v>
      </c>
      <c r="E1123" t="s">
        <v>2996</v>
      </c>
      <c r="F1123" t="s">
        <v>8468</v>
      </c>
      <c r="G1123" t="s">
        <v>3994</v>
      </c>
    </row>
    <row r="1124" spans="1:7" x14ac:dyDescent="0.25">
      <c r="A1124" t="s">
        <v>1882</v>
      </c>
      <c r="B1124" t="s">
        <v>2276</v>
      </c>
      <c r="C1124">
        <v>1987</v>
      </c>
      <c r="E1124" t="s">
        <v>2996</v>
      </c>
      <c r="F1124" t="s">
        <v>8985</v>
      </c>
      <c r="G1124" t="s">
        <v>3994</v>
      </c>
    </row>
    <row r="1125" spans="1:7" x14ac:dyDescent="0.25">
      <c r="A1125" t="s">
        <v>746</v>
      </c>
      <c r="B1125" t="s">
        <v>2279</v>
      </c>
      <c r="C1125">
        <v>2015</v>
      </c>
      <c r="E1125" t="s">
        <v>3106</v>
      </c>
      <c r="F1125" t="s">
        <v>8609</v>
      </c>
      <c r="G1125" t="s">
        <v>3994</v>
      </c>
    </row>
    <row r="1126" spans="1:7" x14ac:dyDescent="0.25">
      <c r="A1126" t="s">
        <v>1294</v>
      </c>
      <c r="B1126" t="s">
        <v>2279</v>
      </c>
      <c r="C1126">
        <v>2019</v>
      </c>
      <c r="E1126" s="10" t="s">
        <v>3106</v>
      </c>
      <c r="F1126" t="s">
        <v>8442</v>
      </c>
      <c r="G1126" t="s">
        <v>3994</v>
      </c>
    </row>
    <row r="1127" spans="1:7" x14ac:dyDescent="0.25">
      <c r="A1127" t="s">
        <v>90</v>
      </c>
      <c r="B1127" t="s">
        <v>2279</v>
      </c>
      <c r="C1127">
        <v>2017</v>
      </c>
      <c r="E1127" t="s">
        <v>3106</v>
      </c>
      <c r="F1127" t="s">
        <v>9157</v>
      </c>
      <c r="G1127" t="s">
        <v>3994</v>
      </c>
    </row>
    <row r="1128" spans="1:7" x14ac:dyDescent="0.25">
      <c r="A1128" t="s">
        <v>1144</v>
      </c>
      <c r="B1128" t="s">
        <v>2281</v>
      </c>
      <c r="C1128">
        <v>2012</v>
      </c>
      <c r="E1128" t="s">
        <v>3210</v>
      </c>
      <c r="F1128" t="s">
        <v>8768</v>
      </c>
      <c r="G1128" t="s">
        <v>3994</v>
      </c>
    </row>
    <row r="1129" spans="1:7" x14ac:dyDescent="0.25">
      <c r="A1129" t="s">
        <v>2065</v>
      </c>
      <c r="B1129" t="s">
        <v>2281</v>
      </c>
      <c r="C1129">
        <v>2023</v>
      </c>
      <c r="E1129" t="s">
        <v>3210</v>
      </c>
      <c r="F1129" t="s">
        <v>8997</v>
      </c>
      <c r="G1129" t="s">
        <v>3994</v>
      </c>
    </row>
    <row r="1130" spans="1:7" x14ac:dyDescent="0.25">
      <c r="A1130" t="s">
        <v>2132</v>
      </c>
      <c r="B1130" t="s">
        <v>2281</v>
      </c>
      <c r="C1130">
        <v>2013</v>
      </c>
      <c r="E1130" t="s">
        <v>3210</v>
      </c>
      <c r="F1130" t="s">
        <v>9009</v>
      </c>
      <c r="G1130" t="s">
        <v>3994</v>
      </c>
    </row>
    <row r="1131" spans="1:7" x14ac:dyDescent="0.25">
      <c r="A1131" t="s">
        <v>497</v>
      </c>
      <c r="B1131" t="s">
        <v>2283</v>
      </c>
      <c r="C1131">
        <v>2022</v>
      </c>
      <c r="E1131" t="s">
        <v>3070</v>
      </c>
      <c r="F1131" t="s">
        <v>8562</v>
      </c>
      <c r="G1131" t="s">
        <v>3994</v>
      </c>
    </row>
    <row r="1132" spans="1:7" x14ac:dyDescent="0.25">
      <c r="A1132" t="s">
        <v>2136</v>
      </c>
      <c r="B1132" t="s">
        <v>2283</v>
      </c>
      <c r="C1132">
        <v>2020</v>
      </c>
      <c r="E1132" t="s">
        <v>3070</v>
      </c>
      <c r="F1132" t="s">
        <v>9019</v>
      </c>
      <c r="G1132" t="s">
        <v>3994</v>
      </c>
    </row>
    <row r="1133" spans="1:7" x14ac:dyDescent="0.25">
      <c r="A1133" t="s">
        <v>1302</v>
      </c>
      <c r="B1133" t="s">
        <v>7933</v>
      </c>
      <c r="C1133">
        <v>2023</v>
      </c>
      <c r="E1133" s="10" t="s">
        <v>7931</v>
      </c>
      <c r="F1133" t="s">
        <v>8830</v>
      </c>
      <c r="G1133" t="s">
        <v>3994</v>
      </c>
    </row>
    <row r="1134" spans="1:7" x14ac:dyDescent="0.25">
      <c r="A1134" t="s">
        <v>1970</v>
      </c>
      <c r="B1134" t="s">
        <v>2286</v>
      </c>
      <c r="C1134">
        <v>2012</v>
      </c>
      <c r="D1134" t="s">
        <v>187</v>
      </c>
      <c r="F1134" t="s">
        <v>9801</v>
      </c>
      <c r="G1134" t="s">
        <v>3994</v>
      </c>
    </row>
    <row r="1135" spans="1:7" x14ac:dyDescent="0.25">
      <c r="A1135" t="s">
        <v>1294</v>
      </c>
      <c r="B1135" t="s">
        <v>2288</v>
      </c>
      <c r="C1135">
        <v>2019</v>
      </c>
      <c r="E1135" t="s">
        <v>2982</v>
      </c>
      <c r="F1135" t="s">
        <v>8817</v>
      </c>
      <c r="G1135" t="s">
        <v>3994</v>
      </c>
    </row>
    <row r="1136" spans="1:7" x14ac:dyDescent="0.25">
      <c r="A1136" t="s">
        <v>1690</v>
      </c>
      <c r="B1136" t="s">
        <v>2288</v>
      </c>
      <c r="C1136">
        <v>2020</v>
      </c>
      <c r="E1136" t="s">
        <v>2982</v>
      </c>
      <c r="F1136" t="s">
        <v>8913</v>
      </c>
      <c r="G1136" t="s">
        <v>3994</v>
      </c>
    </row>
    <row r="1137" spans="1:7" x14ac:dyDescent="0.25">
      <c r="A1137" t="s">
        <v>160</v>
      </c>
      <c r="B1137" t="s">
        <v>2288</v>
      </c>
      <c r="C1137">
        <v>2011</v>
      </c>
      <c r="E1137" t="s">
        <v>2982</v>
      </c>
      <c r="F1137" t="s">
        <v>9300</v>
      </c>
      <c r="G1137" t="s">
        <v>3994</v>
      </c>
    </row>
    <row r="1138" spans="1:7" x14ac:dyDescent="0.25">
      <c r="A1138" t="s">
        <v>2295</v>
      </c>
      <c r="B1138" t="s">
        <v>2292</v>
      </c>
      <c r="C1138">
        <v>2000</v>
      </c>
      <c r="D1138" t="s">
        <v>187</v>
      </c>
      <c r="F1138" t="s">
        <v>9802</v>
      </c>
      <c r="G1138" t="s">
        <v>3994</v>
      </c>
    </row>
    <row r="1139" spans="1:7" x14ac:dyDescent="0.25">
      <c r="A1139" t="s">
        <v>1761</v>
      </c>
      <c r="B1139" t="s">
        <v>2295</v>
      </c>
      <c r="C1139">
        <v>1995</v>
      </c>
      <c r="D1139" t="s">
        <v>187</v>
      </c>
      <c r="F1139" t="s">
        <v>9803</v>
      </c>
      <c r="G1139" t="s">
        <v>3994</v>
      </c>
    </row>
    <row r="1140" spans="1:7" x14ac:dyDescent="0.25">
      <c r="A1140" t="s">
        <v>2292</v>
      </c>
      <c r="B1140" t="s">
        <v>2298</v>
      </c>
      <c r="C1140">
        <v>2008</v>
      </c>
      <c r="D1140" t="s">
        <v>187</v>
      </c>
      <c r="F1140" t="s">
        <v>9804</v>
      </c>
      <c r="G1140" t="s">
        <v>3994</v>
      </c>
    </row>
    <row r="1141" spans="1:7" x14ac:dyDescent="0.25">
      <c r="A1141" t="s">
        <v>2295</v>
      </c>
      <c r="B1141" t="s">
        <v>2301</v>
      </c>
      <c r="C1141">
        <v>2000</v>
      </c>
      <c r="D1141" t="s">
        <v>187</v>
      </c>
      <c r="F1141" t="s">
        <v>9805</v>
      </c>
      <c r="G1141" t="s">
        <v>3994</v>
      </c>
    </row>
    <row r="1142" spans="1:7" x14ac:dyDescent="0.25">
      <c r="A1142" t="s">
        <v>1761</v>
      </c>
      <c r="B1142" t="s">
        <v>2304</v>
      </c>
      <c r="C1142">
        <v>1995</v>
      </c>
      <c r="D1142" t="s">
        <v>187</v>
      </c>
      <c r="F1142" t="s">
        <v>9806</v>
      </c>
      <c r="G1142" t="s">
        <v>3994</v>
      </c>
    </row>
    <row r="1143" spans="1:7" x14ac:dyDescent="0.25">
      <c r="A1143" t="s">
        <v>2304</v>
      </c>
      <c r="B1143" t="s">
        <v>2307</v>
      </c>
      <c r="C1143">
        <v>1996</v>
      </c>
      <c r="D1143" t="s">
        <v>187</v>
      </c>
      <c r="F1143" t="s">
        <v>9807</v>
      </c>
      <c r="G1143" t="s">
        <v>3994</v>
      </c>
    </row>
    <row r="1144" spans="1:7" x14ac:dyDescent="0.25">
      <c r="A1144" t="s">
        <v>2314</v>
      </c>
      <c r="B1144" t="s">
        <v>2310</v>
      </c>
      <c r="C1144">
        <v>2010</v>
      </c>
      <c r="D1144" t="s">
        <v>187</v>
      </c>
      <c r="F1144" t="s">
        <v>9808</v>
      </c>
      <c r="G1144" t="s">
        <v>3994</v>
      </c>
    </row>
    <row r="1145" spans="1:7" x14ac:dyDescent="0.25">
      <c r="A1145" t="s">
        <v>2298</v>
      </c>
      <c r="B1145" t="s">
        <v>2314</v>
      </c>
      <c r="C1145">
        <v>2010</v>
      </c>
      <c r="D1145" t="s">
        <v>187</v>
      </c>
      <c r="F1145" t="s">
        <v>9809</v>
      </c>
      <c r="G1145" t="s">
        <v>3994</v>
      </c>
    </row>
    <row r="1146" spans="1:7" x14ac:dyDescent="0.25">
      <c r="A1146" t="s">
        <v>689</v>
      </c>
      <c r="B1146" t="s">
        <v>2318</v>
      </c>
      <c r="C1146">
        <v>2015</v>
      </c>
      <c r="E1146" t="s">
        <v>3088</v>
      </c>
      <c r="F1146" t="s">
        <v>8585</v>
      </c>
      <c r="G1146" t="s">
        <v>3994</v>
      </c>
    </row>
    <row r="1147" spans="1:7" x14ac:dyDescent="0.25">
      <c r="A1147" t="s">
        <v>746</v>
      </c>
      <c r="B1147" t="s">
        <v>2318</v>
      </c>
      <c r="C1147">
        <v>2015</v>
      </c>
      <c r="E1147" t="s">
        <v>3088</v>
      </c>
      <c r="F1147" t="s">
        <v>8610</v>
      </c>
      <c r="G1147" t="s">
        <v>3994</v>
      </c>
    </row>
    <row r="1148" spans="1:7" x14ac:dyDescent="0.25">
      <c r="A1148" t="s">
        <v>1443</v>
      </c>
      <c r="B1148" t="s">
        <v>2318</v>
      </c>
      <c r="C1148">
        <v>2018</v>
      </c>
      <c r="E1148" t="s">
        <v>3088</v>
      </c>
      <c r="F1148" t="s">
        <v>8865</v>
      </c>
      <c r="G1148" t="s">
        <v>3994</v>
      </c>
    </row>
    <row r="1149" spans="1:7" x14ac:dyDescent="0.25">
      <c r="A1149" t="s">
        <v>90</v>
      </c>
      <c r="B1149" t="s">
        <v>2318</v>
      </c>
      <c r="C1149">
        <v>2017</v>
      </c>
      <c r="E1149" t="s">
        <v>3088</v>
      </c>
      <c r="F1149" t="s">
        <v>9158</v>
      </c>
      <c r="G1149" t="s">
        <v>3994</v>
      </c>
    </row>
    <row r="1150" spans="1:7" x14ac:dyDescent="0.25">
      <c r="A1150" t="s">
        <v>930</v>
      </c>
      <c r="B1150" t="s">
        <v>2328</v>
      </c>
      <c r="C1150">
        <v>2015</v>
      </c>
      <c r="E1150" t="s">
        <v>3158</v>
      </c>
      <c r="F1150" t="s">
        <v>9810</v>
      </c>
      <c r="G1150" t="s">
        <v>187</v>
      </c>
    </row>
    <row r="1151" spans="1:7" x14ac:dyDescent="0.25">
      <c r="A1151" t="s">
        <v>2428</v>
      </c>
      <c r="B1151" t="s">
        <v>2328</v>
      </c>
      <c r="C1151">
        <v>2008</v>
      </c>
      <c r="E1151" t="s">
        <v>3158</v>
      </c>
      <c r="F1151" t="s">
        <v>9811</v>
      </c>
      <c r="G1151" t="s">
        <v>187</v>
      </c>
    </row>
    <row r="1152" spans="1:7" x14ac:dyDescent="0.25">
      <c r="A1152" t="s">
        <v>1435</v>
      </c>
      <c r="B1152" t="s">
        <v>7940</v>
      </c>
      <c r="C1152">
        <v>2021</v>
      </c>
      <c r="E1152" s="10" t="s">
        <v>7939</v>
      </c>
      <c r="F1152" t="s">
        <v>9812</v>
      </c>
      <c r="G1152" t="s">
        <v>187</v>
      </c>
    </row>
    <row r="1153" spans="1:7" x14ac:dyDescent="0.25">
      <c r="A1153" t="s">
        <v>90</v>
      </c>
      <c r="B1153" t="s">
        <v>7940</v>
      </c>
      <c r="C1153">
        <v>2017</v>
      </c>
      <c r="E1153" s="10" t="s">
        <v>7939</v>
      </c>
      <c r="F1153" t="s">
        <v>9813</v>
      </c>
      <c r="G1153" t="s">
        <v>187</v>
      </c>
    </row>
    <row r="1154" spans="1:7" x14ac:dyDescent="0.25">
      <c r="A1154" t="s">
        <v>260</v>
      </c>
      <c r="B1154" t="s">
        <v>2330</v>
      </c>
      <c r="C1154">
        <v>1990</v>
      </c>
      <c r="E1154" t="s">
        <v>3003</v>
      </c>
      <c r="F1154" t="s">
        <v>8476</v>
      </c>
      <c r="G1154" t="s">
        <v>3994</v>
      </c>
    </row>
    <row r="1155" spans="1:7" x14ac:dyDescent="0.25">
      <c r="A1155" t="s">
        <v>2695</v>
      </c>
      <c r="B1155" t="s">
        <v>2332</v>
      </c>
      <c r="C1155">
        <v>2025</v>
      </c>
      <c r="D1155" t="s">
        <v>187</v>
      </c>
      <c r="F1155" t="s">
        <v>9814</v>
      </c>
      <c r="G1155" t="s">
        <v>3994</v>
      </c>
    </row>
    <row r="1156" spans="1:7" x14ac:dyDescent="0.25">
      <c r="A1156" t="s">
        <v>8389</v>
      </c>
      <c r="B1156" t="s">
        <v>2339</v>
      </c>
      <c r="C1156">
        <v>2021</v>
      </c>
      <c r="E1156" t="s">
        <v>2982</v>
      </c>
      <c r="F1156" t="s">
        <v>8648</v>
      </c>
      <c r="G1156" t="s">
        <v>3994</v>
      </c>
    </row>
    <row r="1157" spans="1:7" x14ac:dyDescent="0.25">
      <c r="A1157" t="s">
        <v>2365</v>
      </c>
      <c r="B1157" t="s">
        <v>2339</v>
      </c>
      <c r="C1157">
        <v>2023</v>
      </c>
      <c r="E1157" t="s">
        <v>2982</v>
      </c>
      <c r="F1157" t="s">
        <v>9189</v>
      </c>
      <c r="G1157" t="s">
        <v>3994</v>
      </c>
    </row>
    <row r="1158" spans="1:7" x14ac:dyDescent="0.25">
      <c r="A1158" t="s">
        <v>2828</v>
      </c>
      <c r="B1158" t="s">
        <v>2339</v>
      </c>
      <c r="C1158">
        <v>2022</v>
      </c>
      <c r="D1158" t="s">
        <v>187</v>
      </c>
      <c r="F1158" t="s">
        <v>9815</v>
      </c>
      <c r="G1158" t="s">
        <v>3994</v>
      </c>
    </row>
    <row r="1159" spans="1:7" x14ac:dyDescent="0.25">
      <c r="A1159" t="s">
        <v>2428</v>
      </c>
      <c r="B1159" t="s">
        <v>2341</v>
      </c>
      <c r="C1159">
        <v>2008</v>
      </c>
      <c r="E1159" t="s">
        <v>2982</v>
      </c>
      <c r="F1159" t="s">
        <v>9224</v>
      </c>
      <c r="G1159" t="s">
        <v>3994</v>
      </c>
    </row>
    <row r="1160" spans="1:7" x14ac:dyDescent="0.25">
      <c r="A1160" t="s">
        <v>353</v>
      </c>
      <c r="B1160" t="s">
        <v>2344</v>
      </c>
      <c r="C1160">
        <v>2023</v>
      </c>
      <c r="E1160" t="s">
        <v>3045</v>
      </c>
      <c r="F1160" t="s">
        <v>9816</v>
      </c>
      <c r="G1160" t="s">
        <v>187</v>
      </c>
    </row>
    <row r="1161" spans="1:7" x14ac:dyDescent="0.25">
      <c r="A1161" t="s">
        <v>1795</v>
      </c>
      <c r="B1161" t="s">
        <v>2348</v>
      </c>
      <c r="C1161">
        <v>1987</v>
      </c>
      <c r="E1161" t="s">
        <v>3285</v>
      </c>
      <c r="F1161" t="s">
        <v>8948</v>
      </c>
      <c r="G1161" t="s">
        <v>3994</v>
      </c>
    </row>
    <row r="1162" spans="1:7" x14ac:dyDescent="0.25">
      <c r="A1162" t="s">
        <v>746</v>
      </c>
      <c r="B1162" t="s">
        <v>90</v>
      </c>
      <c r="C1162">
        <v>2015</v>
      </c>
      <c r="E1162" t="s">
        <v>3107</v>
      </c>
      <c r="F1162" t="s">
        <v>8611</v>
      </c>
      <c r="G1162" t="s">
        <v>3994</v>
      </c>
    </row>
    <row r="1163" spans="1:7" x14ac:dyDescent="0.25">
      <c r="A1163" t="s">
        <v>946</v>
      </c>
      <c r="B1163" t="s">
        <v>90</v>
      </c>
      <c r="C1163">
        <v>2014</v>
      </c>
      <c r="E1163" t="s">
        <v>3163</v>
      </c>
      <c r="F1163" t="s">
        <v>9817</v>
      </c>
      <c r="G1163" t="s">
        <v>187</v>
      </c>
    </row>
    <row r="1164" spans="1:7" x14ac:dyDescent="0.25">
      <c r="A1164" t="s">
        <v>1144</v>
      </c>
      <c r="B1164" t="s">
        <v>90</v>
      </c>
      <c r="C1164">
        <v>2012</v>
      </c>
      <c r="E1164" t="s">
        <v>3211</v>
      </c>
      <c r="F1164" t="s">
        <v>8769</v>
      </c>
      <c r="G1164" t="s">
        <v>3994</v>
      </c>
    </row>
    <row r="1165" spans="1:7" x14ac:dyDescent="0.25">
      <c r="A1165" t="s">
        <v>160</v>
      </c>
      <c r="B1165" t="s">
        <v>90</v>
      </c>
      <c r="C1165">
        <v>2011</v>
      </c>
      <c r="E1165" t="s">
        <v>3163</v>
      </c>
      <c r="F1165" t="s">
        <v>9818</v>
      </c>
      <c r="G1165" t="s">
        <v>187</v>
      </c>
    </row>
    <row r="1166" spans="1:7" x14ac:dyDescent="0.25">
      <c r="A1166" t="s">
        <v>90</v>
      </c>
      <c r="B1166" t="s">
        <v>38</v>
      </c>
      <c r="C1166">
        <v>2017</v>
      </c>
      <c r="D1166" t="s">
        <v>187</v>
      </c>
      <c r="F1166" t="s">
        <v>9819</v>
      </c>
      <c r="G1166" t="s">
        <v>3994</v>
      </c>
    </row>
    <row r="1167" spans="1:7" x14ac:dyDescent="0.25">
      <c r="A1167" t="s">
        <v>1144</v>
      </c>
      <c r="B1167" t="s">
        <v>2361</v>
      </c>
      <c r="C1167">
        <v>2012</v>
      </c>
      <c r="E1167" t="s">
        <v>2982</v>
      </c>
      <c r="F1167" t="s">
        <v>8770</v>
      </c>
      <c r="G1167" t="s">
        <v>3994</v>
      </c>
    </row>
    <row r="1168" spans="1:7" x14ac:dyDescent="0.25">
      <c r="A1168" t="s">
        <v>90</v>
      </c>
      <c r="B1168" t="s">
        <v>2361</v>
      </c>
      <c r="C1168">
        <v>2017</v>
      </c>
      <c r="E1168" t="s">
        <v>2982</v>
      </c>
      <c r="F1168" t="s">
        <v>9159</v>
      </c>
      <c r="G1168" t="s">
        <v>3994</v>
      </c>
    </row>
    <row r="1169" spans="1:7" x14ac:dyDescent="0.25">
      <c r="A1169" t="s">
        <v>2365</v>
      </c>
      <c r="B1169" t="s">
        <v>8376</v>
      </c>
      <c r="C1169">
        <v>2023</v>
      </c>
      <c r="D1169" t="s">
        <v>187</v>
      </c>
      <c r="F1169" t="s">
        <v>9820</v>
      </c>
      <c r="G1169" t="s">
        <v>3994</v>
      </c>
    </row>
    <row r="1170" spans="1:7" x14ac:dyDescent="0.25">
      <c r="A1170" t="s">
        <v>185</v>
      </c>
      <c r="B1170" t="s">
        <v>2365</v>
      </c>
      <c r="C1170">
        <v>2022</v>
      </c>
      <c r="E1170" s="10" t="s">
        <v>2368</v>
      </c>
      <c r="F1170" t="s">
        <v>8456</v>
      </c>
      <c r="G1170" t="s">
        <v>3994</v>
      </c>
    </row>
    <row r="1171" spans="1:7" x14ac:dyDescent="0.25">
      <c r="A1171" t="s">
        <v>497</v>
      </c>
      <c r="B1171" t="s">
        <v>2365</v>
      </c>
      <c r="C1171">
        <v>2022</v>
      </c>
      <c r="E1171" s="10" t="s">
        <v>2368</v>
      </c>
      <c r="F1171" t="s">
        <v>8563</v>
      </c>
      <c r="G1171" t="s">
        <v>3994</v>
      </c>
    </row>
    <row r="1172" spans="1:7" x14ac:dyDescent="0.25">
      <c r="A1172" t="s">
        <v>8389</v>
      </c>
      <c r="B1172" t="s">
        <v>2365</v>
      </c>
      <c r="C1172">
        <v>2021</v>
      </c>
      <c r="D1172" t="s">
        <v>187</v>
      </c>
      <c r="F1172" t="s">
        <v>9821</v>
      </c>
      <c r="G1172" t="s">
        <v>3994</v>
      </c>
    </row>
    <row r="1173" spans="1:7" x14ac:dyDescent="0.25">
      <c r="A1173" t="s">
        <v>924</v>
      </c>
      <c r="B1173" t="s">
        <v>2365</v>
      </c>
      <c r="C1173">
        <v>2019</v>
      </c>
      <c r="E1173" s="10" t="s">
        <v>2368</v>
      </c>
      <c r="F1173" t="s">
        <v>9822</v>
      </c>
      <c r="G1173" t="s">
        <v>187</v>
      </c>
    </row>
    <row r="1174" spans="1:7" x14ac:dyDescent="0.25">
      <c r="A1174" t="s">
        <v>1302</v>
      </c>
      <c r="B1174" t="s">
        <v>2365</v>
      </c>
      <c r="C1174">
        <v>2023</v>
      </c>
      <c r="E1174" s="10" t="s">
        <v>2368</v>
      </c>
      <c r="F1174" t="s">
        <v>8831</v>
      </c>
      <c r="G1174" t="s">
        <v>3994</v>
      </c>
    </row>
    <row r="1175" spans="1:7" x14ac:dyDescent="0.25">
      <c r="A1175" t="s">
        <v>2397</v>
      </c>
      <c r="B1175" t="s">
        <v>2365</v>
      </c>
      <c r="C1175">
        <v>2022</v>
      </c>
      <c r="E1175" s="10" t="s">
        <v>2368</v>
      </c>
      <c r="F1175" t="s">
        <v>9195</v>
      </c>
      <c r="G1175" t="s">
        <v>3994</v>
      </c>
    </row>
    <row r="1176" spans="1:7" x14ac:dyDescent="0.25">
      <c r="A1176" t="s">
        <v>2804</v>
      </c>
      <c r="B1176" t="s">
        <v>2365</v>
      </c>
      <c r="C1176">
        <v>2021</v>
      </c>
      <c r="E1176" s="10" t="s">
        <v>8375</v>
      </c>
      <c r="F1176" t="s">
        <v>9353</v>
      </c>
      <c r="G1176" t="s">
        <v>3994</v>
      </c>
    </row>
    <row r="1177" spans="1:7" x14ac:dyDescent="0.25">
      <c r="A1177" t="s">
        <v>1565</v>
      </c>
      <c r="B1177" t="s">
        <v>2369</v>
      </c>
      <c r="C1177">
        <v>2023</v>
      </c>
      <c r="E1177" t="s">
        <v>3258</v>
      </c>
      <c r="F1177" t="s">
        <v>8877</v>
      </c>
      <c r="G1177" t="s">
        <v>3994</v>
      </c>
    </row>
    <row r="1178" spans="1:7" x14ac:dyDescent="0.25">
      <c r="A1178" t="s">
        <v>1576</v>
      </c>
      <c r="B1178" t="s">
        <v>2369</v>
      </c>
      <c r="C1178">
        <v>2021</v>
      </c>
      <c r="E1178" t="s">
        <v>3258</v>
      </c>
      <c r="F1178" t="s">
        <v>8896</v>
      </c>
      <c r="G1178" t="s">
        <v>3994</v>
      </c>
    </row>
    <row r="1179" spans="1:7" x14ac:dyDescent="0.25">
      <c r="A1179" t="s">
        <v>1761</v>
      </c>
      <c r="B1179" t="s">
        <v>2369</v>
      </c>
      <c r="C1179">
        <v>1995</v>
      </c>
      <c r="E1179" t="s">
        <v>3258</v>
      </c>
      <c r="F1179" t="s">
        <v>8926</v>
      </c>
      <c r="G1179" t="s">
        <v>3994</v>
      </c>
    </row>
    <row r="1180" spans="1:7" x14ac:dyDescent="0.25">
      <c r="A1180" t="s">
        <v>90</v>
      </c>
      <c r="B1180" t="s">
        <v>2369</v>
      </c>
      <c r="C1180">
        <v>2017</v>
      </c>
      <c r="E1180" t="s">
        <v>3258</v>
      </c>
      <c r="F1180" t="s">
        <v>9160</v>
      </c>
      <c r="G1180" t="s">
        <v>3994</v>
      </c>
    </row>
    <row r="1181" spans="1:7" x14ac:dyDescent="0.25">
      <c r="A1181" t="s">
        <v>353</v>
      </c>
      <c r="B1181" t="s">
        <v>2371</v>
      </c>
      <c r="C1181">
        <v>2023</v>
      </c>
      <c r="E1181" t="s">
        <v>3046</v>
      </c>
      <c r="F1181" t="s">
        <v>8530</v>
      </c>
      <c r="G1181" t="s">
        <v>3994</v>
      </c>
    </row>
    <row r="1182" spans="1:7" x14ac:dyDescent="0.25">
      <c r="A1182" t="s">
        <v>90</v>
      </c>
      <c r="B1182" t="s">
        <v>2371</v>
      </c>
      <c r="C1182">
        <v>2017</v>
      </c>
      <c r="E1182" t="s">
        <v>3046</v>
      </c>
      <c r="F1182" t="s">
        <v>9161</v>
      </c>
      <c r="G1182" t="s">
        <v>3994</v>
      </c>
    </row>
    <row r="1183" spans="1:7" x14ac:dyDescent="0.25">
      <c r="A1183" t="s">
        <v>353</v>
      </c>
      <c r="B1183" t="s">
        <v>2381</v>
      </c>
      <c r="C1183">
        <v>2023</v>
      </c>
      <c r="E1183" t="s">
        <v>3047</v>
      </c>
      <c r="F1183" t="s">
        <v>8531</v>
      </c>
      <c r="G1183" t="s">
        <v>3994</v>
      </c>
    </row>
    <row r="1184" spans="1:7" x14ac:dyDescent="0.25">
      <c r="A1184" t="s">
        <v>778</v>
      </c>
      <c r="B1184" t="s">
        <v>2381</v>
      </c>
      <c r="C1184">
        <v>2023</v>
      </c>
      <c r="E1184" t="s">
        <v>3047</v>
      </c>
      <c r="F1184" t="s">
        <v>8639</v>
      </c>
      <c r="G1184" t="s">
        <v>3994</v>
      </c>
    </row>
    <row r="1185" spans="1:7" x14ac:dyDescent="0.25">
      <c r="A1185" t="s">
        <v>2804</v>
      </c>
      <c r="B1185" t="s">
        <v>2381</v>
      </c>
      <c r="C1185">
        <v>2021</v>
      </c>
      <c r="E1185" t="s">
        <v>2982</v>
      </c>
      <c r="F1185" t="s">
        <v>9354</v>
      </c>
      <c r="G1185" t="s">
        <v>3994</v>
      </c>
    </row>
    <row r="1186" spans="1:7" x14ac:dyDescent="0.25">
      <c r="A1186" t="s">
        <v>353</v>
      </c>
      <c r="B1186" t="s">
        <v>2385</v>
      </c>
      <c r="C1186">
        <v>2023</v>
      </c>
      <c r="E1186" t="s">
        <v>3048</v>
      </c>
      <c r="F1186" t="s">
        <v>9823</v>
      </c>
      <c r="G1186" t="s">
        <v>187</v>
      </c>
    </row>
    <row r="1187" spans="1:7" x14ac:dyDescent="0.25">
      <c r="A1187" t="s">
        <v>873</v>
      </c>
      <c r="B1187" t="s">
        <v>2385</v>
      </c>
      <c r="C1187">
        <v>2019</v>
      </c>
      <c r="E1187" s="10" t="s">
        <v>8407</v>
      </c>
      <c r="F1187" t="s">
        <v>9824</v>
      </c>
      <c r="G1187" t="s">
        <v>187</v>
      </c>
    </row>
    <row r="1188" spans="1:7" x14ac:dyDescent="0.25">
      <c r="A1188" t="s">
        <v>1435</v>
      </c>
      <c r="B1188" t="s">
        <v>2385</v>
      </c>
      <c r="C1188">
        <v>2021</v>
      </c>
      <c r="E1188" s="10" t="s">
        <v>8407</v>
      </c>
      <c r="F1188" t="s">
        <v>8848</v>
      </c>
      <c r="G1188" t="s">
        <v>3994</v>
      </c>
    </row>
    <row r="1189" spans="1:7" x14ac:dyDescent="0.25">
      <c r="A1189" t="s">
        <v>1144</v>
      </c>
      <c r="B1189" t="s">
        <v>2389</v>
      </c>
      <c r="C1189">
        <v>2012</v>
      </c>
      <c r="E1189" t="s">
        <v>3212</v>
      </c>
      <c r="F1189" t="s">
        <v>9825</v>
      </c>
      <c r="G1189" t="s">
        <v>187</v>
      </c>
    </row>
    <row r="1190" spans="1:7" x14ac:dyDescent="0.25">
      <c r="A1190" t="s">
        <v>256</v>
      </c>
      <c r="B1190" t="s">
        <v>2393</v>
      </c>
      <c r="C1190">
        <v>1994</v>
      </c>
      <c r="E1190" t="s">
        <v>2997</v>
      </c>
      <c r="F1190" t="s">
        <v>8469</v>
      </c>
      <c r="G1190" t="s">
        <v>3994</v>
      </c>
    </row>
    <row r="1191" spans="1:7" x14ac:dyDescent="0.25">
      <c r="A1191" t="s">
        <v>2792</v>
      </c>
      <c r="B1191" t="s">
        <v>2393</v>
      </c>
      <c r="C1191">
        <v>1992</v>
      </c>
      <c r="E1191" t="s">
        <v>2997</v>
      </c>
      <c r="F1191" t="s">
        <v>9327</v>
      </c>
      <c r="G1191" t="s">
        <v>3994</v>
      </c>
    </row>
    <row r="1192" spans="1:7" x14ac:dyDescent="0.25">
      <c r="A1192" t="s">
        <v>1004</v>
      </c>
      <c r="B1192" t="s">
        <v>2395</v>
      </c>
      <c r="C1192">
        <v>2006</v>
      </c>
      <c r="E1192" t="s">
        <v>3171</v>
      </c>
      <c r="F1192" t="s">
        <v>8712</v>
      </c>
      <c r="G1192" t="s">
        <v>3994</v>
      </c>
    </row>
    <row r="1193" spans="1:7" x14ac:dyDescent="0.25">
      <c r="A1193" t="s">
        <v>2393</v>
      </c>
      <c r="B1193" t="s">
        <v>2395</v>
      </c>
      <c r="C1193">
        <v>2022</v>
      </c>
      <c r="D1193" t="s">
        <v>187</v>
      </c>
      <c r="F1193" t="s">
        <v>9826</v>
      </c>
      <c r="G1193" t="s">
        <v>3994</v>
      </c>
    </row>
    <row r="1194" spans="1:7" x14ac:dyDescent="0.25">
      <c r="A1194" t="s">
        <v>1294</v>
      </c>
      <c r="B1194" t="s">
        <v>2397</v>
      </c>
      <c r="C1194">
        <v>2019</v>
      </c>
      <c r="E1194" t="s">
        <v>3233</v>
      </c>
      <c r="F1194" t="s">
        <v>8818</v>
      </c>
      <c r="G1194" t="s">
        <v>3994</v>
      </c>
    </row>
    <row r="1195" spans="1:7" x14ac:dyDescent="0.25">
      <c r="A1195" t="s">
        <v>2136</v>
      </c>
      <c r="B1195" t="s">
        <v>2397</v>
      </c>
      <c r="C1195">
        <v>2020</v>
      </c>
      <c r="E1195" s="10" t="s">
        <v>8381</v>
      </c>
      <c r="F1195" t="s">
        <v>9020</v>
      </c>
      <c r="G1195" t="s">
        <v>3994</v>
      </c>
    </row>
    <row r="1196" spans="1:7" x14ac:dyDescent="0.25">
      <c r="A1196" t="s">
        <v>2804</v>
      </c>
      <c r="B1196" t="s">
        <v>2397</v>
      </c>
      <c r="C1196">
        <v>2021</v>
      </c>
      <c r="E1196" t="s">
        <v>3233</v>
      </c>
      <c r="F1196" t="s">
        <v>9355</v>
      </c>
      <c r="G1196" t="s">
        <v>3994</v>
      </c>
    </row>
    <row r="1197" spans="1:7" x14ac:dyDescent="0.25">
      <c r="A1197" t="s">
        <v>759</v>
      </c>
      <c r="B1197" t="s">
        <v>10003</v>
      </c>
      <c r="C1197">
        <v>2018</v>
      </c>
      <c r="E1197" s="10" t="s">
        <v>10002</v>
      </c>
      <c r="F1197" t="s">
        <v>10006</v>
      </c>
      <c r="G1197" t="s">
        <v>3994</v>
      </c>
    </row>
    <row r="1198" spans="1:7" x14ac:dyDescent="0.25">
      <c r="A1198" t="s">
        <v>759</v>
      </c>
      <c r="B1198" t="s">
        <v>2403</v>
      </c>
      <c r="C1198">
        <v>2018</v>
      </c>
      <c r="E1198" t="s">
        <v>3122</v>
      </c>
      <c r="F1198" t="s">
        <v>8631</v>
      </c>
      <c r="G1198" t="s">
        <v>3994</v>
      </c>
    </row>
    <row r="1199" spans="1:7" x14ac:dyDescent="0.25">
      <c r="A1199" t="s">
        <v>2173</v>
      </c>
      <c r="B1199" t="s">
        <v>2403</v>
      </c>
      <c r="C1199">
        <v>2013</v>
      </c>
      <c r="E1199" t="s">
        <v>3122</v>
      </c>
      <c r="F1199" t="s">
        <v>9059</v>
      </c>
      <c r="G1199" t="s">
        <v>3994</v>
      </c>
    </row>
    <row r="1200" spans="1:7" x14ac:dyDescent="0.25">
      <c r="A1200" t="s">
        <v>160</v>
      </c>
      <c r="B1200" t="s">
        <v>2403</v>
      </c>
      <c r="C1200">
        <v>2011</v>
      </c>
      <c r="E1200" t="s">
        <v>3122</v>
      </c>
      <c r="F1200" t="s">
        <v>9301</v>
      </c>
      <c r="G1200" t="s">
        <v>3994</v>
      </c>
    </row>
    <row r="1201" spans="1:7" x14ac:dyDescent="0.25">
      <c r="A1201" t="s">
        <v>490</v>
      </c>
      <c r="B1201" t="s">
        <v>2406</v>
      </c>
      <c r="C1201">
        <v>2009</v>
      </c>
      <c r="E1201" t="s">
        <v>3062</v>
      </c>
      <c r="F1201" t="s">
        <v>8549</v>
      </c>
      <c r="G1201" t="s">
        <v>3994</v>
      </c>
    </row>
    <row r="1202" spans="1:7" x14ac:dyDescent="0.25">
      <c r="A1202" t="s">
        <v>922</v>
      </c>
      <c r="B1202" t="s">
        <v>2406</v>
      </c>
      <c r="C1202">
        <v>2002</v>
      </c>
      <c r="E1202" t="s">
        <v>3062</v>
      </c>
      <c r="F1202" t="s">
        <v>8687</v>
      </c>
      <c r="G1202" t="s">
        <v>3994</v>
      </c>
    </row>
    <row r="1203" spans="1:7" x14ac:dyDescent="0.25">
      <c r="A1203" t="s">
        <v>746</v>
      </c>
      <c r="B1203" t="s">
        <v>8105</v>
      </c>
      <c r="C1203">
        <v>2015</v>
      </c>
      <c r="E1203" s="10" t="s">
        <v>8119</v>
      </c>
      <c r="F1203" t="s">
        <v>9827</v>
      </c>
      <c r="G1203" t="s">
        <v>187</v>
      </c>
    </row>
    <row r="1204" spans="1:7" x14ac:dyDescent="0.25">
      <c r="A1204" t="s">
        <v>914</v>
      </c>
      <c r="B1204" t="s">
        <v>8105</v>
      </c>
      <c r="C1204">
        <v>2013</v>
      </c>
      <c r="E1204" s="10" t="s">
        <v>8119</v>
      </c>
      <c r="F1204" t="s">
        <v>9828</v>
      </c>
      <c r="G1204" t="s">
        <v>187</v>
      </c>
    </row>
    <row r="1205" spans="1:7" x14ac:dyDescent="0.25">
      <c r="A1205" t="s">
        <v>1255</v>
      </c>
      <c r="B1205" t="s">
        <v>8105</v>
      </c>
      <c r="C1205">
        <v>2020</v>
      </c>
      <c r="E1205" s="10" t="s">
        <v>8119</v>
      </c>
      <c r="F1205" t="s">
        <v>9829</v>
      </c>
      <c r="G1205" t="s">
        <v>187</v>
      </c>
    </row>
    <row r="1206" spans="1:7" x14ac:dyDescent="0.25">
      <c r="A1206" t="s">
        <v>1294</v>
      </c>
      <c r="B1206" t="s">
        <v>8105</v>
      </c>
      <c r="C1206">
        <v>2019</v>
      </c>
      <c r="E1206" s="10" t="s">
        <v>8119</v>
      </c>
      <c r="F1206" t="s">
        <v>9830</v>
      </c>
      <c r="G1206" t="s">
        <v>187</v>
      </c>
    </row>
    <row r="1207" spans="1:7" x14ac:dyDescent="0.25">
      <c r="A1207" t="s">
        <v>1144</v>
      </c>
      <c r="B1207" t="s">
        <v>7848</v>
      </c>
      <c r="C1207">
        <v>2012</v>
      </c>
      <c r="E1207" t="s">
        <v>7847</v>
      </c>
      <c r="F1207" t="s">
        <v>8771</v>
      </c>
      <c r="G1207" t="s">
        <v>3994</v>
      </c>
    </row>
    <row r="1208" spans="1:7" x14ac:dyDescent="0.25">
      <c r="A1208" t="s">
        <v>2173</v>
      </c>
      <c r="B1208" t="s">
        <v>7848</v>
      </c>
      <c r="C1208">
        <v>2013</v>
      </c>
      <c r="E1208" t="s">
        <v>7850</v>
      </c>
      <c r="F1208" t="s">
        <v>9060</v>
      </c>
      <c r="G1208" t="s">
        <v>3994</v>
      </c>
    </row>
    <row r="1209" spans="1:7" x14ac:dyDescent="0.25">
      <c r="A1209" t="s">
        <v>160</v>
      </c>
      <c r="B1209" t="s">
        <v>7848</v>
      </c>
      <c r="C1209">
        <v>2011</v>
      </c>
      <c r="E1209" t="s">
        <v>7847</v>
      </c>
      <c r="F1209" t="s">
        <v>9302</v>
      </c>
      <c r="G1209" t="s">
        <v>3994</v>
      </c>
    </row>
    <row r="1210" spans="1:7" x14ac:dyDescent="0.25">
      <c r="A1210" t="s">
        <v>2804</v>
      </c>
      <c r="B1210" t="s">
        <v>2410</v>
      </c>
      <c r="C1210">
        <v>2021</v>
      </c>
      <c r="E1210" t="s">
        <v>3013</v>
      </c>
      <c r="F1210" t="s">
        <v>9831</v>
      </c>
      <c r="G1210" t="s">
        <v>187</v>
      </c>
    </row>
    <row r="1211" spans="1:7" x14ac:dyDescent="0.25">
      <c r="A1211" t="s">
        <v>1385</v>
      </c>
      <c r="B1211" t="s">
        <v>2414</v>
      </c>
      <c r="C1211">
        <v>2013</v>
      </c>
      <c r="E1211" s="10" t="s">
        <v>8400</v>
      </c>
      <c r="F1211" t="s">
        <v>9832</v>
      </c>
      <c r="G1211" t="s">
        <v>187</v>
      </c>
    </row>
    <row r="1212" spans="1:7" x14ac:dyDescent="0.25">
      <c r="A1212" t="s">
        <v>1443</v>
      </c>
      <c r="B1212" t="s">
        <v>2414</v>
      </c>
      <c r="C1212">
        <v>2018</v>
      </c>
      <c r="E1212" t="s">
        <v>3251</v>
      </c>
      <c r="F1212" t="s">
        <v>9833</v>
      </c>
      <c r="G1212" t="s">
        <v>187</v>
      </c>
    </row>
    <row r="1213" spans="1:7" x14ac:dyDescent="0.25">
      <c r="A1213" t="s">
        <v>1855</v>
      </c>
      <c r="B1213" t="s">
        <v>2414</v>
      </c>
      <c r="C1213">
        <v>2015</v>
      </c>
      <c r="E1213" s="10" t="s">
        <v>8400</v>
      </c>
      <c r="F1213" t="s">
        <v>8979</v>
      </c>
      <c r="G1213" t="s">
        <v>3994</v>
      </c>
    </row>
    <row r="1214" spans="1:7" x14ac:dyDescent="0.25">
      <c r="A1214" t="s">
        <v>873</v>
      </c>
      <c r="B1214" t="s">
        <v>2416</v>
      </c>
      <c r="C1214">
        <v>2019</v>
      </c>
      <c r="E1214" t="s">
        <v>2982</v>
      </c>
      <c r="F1214" t="s">
        <v>9834</v>
      </c>
      <c r="G1214" t="s">
        <v>187</v>
      </c>
    </row>
    <row r="1215" spans="1:7" x14ac:dyDescent="0.25">
      <c r="A1215" t="s">
        <v>90</v>
      </c>
      <c r="B1215" t="s">
        <v>2416</v>
      </c>
      <c r="C1215">
        <v>2017</v>
      </c>
      <c r="E1215" t="s">
        <v>2982</v>
      </c>
      <c r="F1215" t="s">
        <v>9835</v>
      </c>
      <c r="G1215" t="s">
        <v>187</v>
      </c>
    </row>
    <row r="1216" spans="1:7" x14ac:dyDescent="0.25">
      <c r="A1216" t="s">
        <v>2428</v>
      </c>
      <c r="B1216" t="s">
        <v>2420</v>
      </c>
      <c r="C1216">
        <v>2008</v>
      </c>
      <c r="D1216" t="s">
        <v>187</v>
      </c>
      <c r="F1216" t="s">
        <v>9836</v>
      </c>
      <c r="G1216" t="s">
        <v>3994</v>
      </c>
    </row>
    <row r="1217" spans="1:7" x14ac:dyDescent="0.25">
      <c r="A1217" t="s">
        <v>2420</v>
      </c>
      <c r="B1217" t="s">
        <v>2424</v>
      </c>
      <c r="C1217">
        <v>2012</v>
      </c>
      <c r="D1217" t="s">
        <v>187</v>
      </c>
      <c r="F1217" t="s">
        <v>9837</v>
      </c>
      <c r="G1217" t="s">
        <v>3994</v>
      </c>
    </row>
    <row r="1218" spans="1:7" x14ac:dyDescent="0.25">
      <c r="A1218" t="s">
        <v>1795</v>
      </c>
      <c r="B1218" t="s">
        <v>2428</v>
      </c>
      <c r="C1218">
        <v>1987</v>
      </c>
      <c r="E1218" t="s">
        <v>3286</v>
      </c>
      <c r="F1218" t="s">
        <v>8949</v>
      </c>
      <c r="G1218" t="s">
        <v>3994</v>
      </c>
    </row>
    <row r="1219" spans="1:7" x14ac:dyDescent="0.25">
      <c r="A1219" t="s">
        <v>346</v>
      </c>
      <c r="B1219" t="s">
        <v>2431</v>
      </c>
      <c r="C1219">
        <v>2022</v>
      </c>
      <c r="E1219" t="s">
        <v>2982</v>
      </c>
      <c r="F1219" t="s">
        <v>8495</v>
      </c>
      <c r="G1219" t="s">
        <v>3994</v>
      </c>
    </row>
    <row r="1220" spans="1:7" x14ac:dyDescent="0.25">
      <c r="A1220" t="s">
        <v>1576</v>
      </c>
      <c r="B1220" t="s">
        <v>2431</v>
      </c>
      <c r="C1220">
        <v>2021</v>
      </c>
      <c r="E1220" t="s">
        <v>2982</v>
      </c>
      <c r="F1220" t="s">
        <v>8897</v>
      </c>
      <c r="G1220" t="s">
        <v>3994</v>
      </c>
    </row>
    <row r="1221" spans="1:7" x14ac:dyDescent="0.25">
      <c r="A1221" t="s">
        <v>90</v>
      </c>
      <c r="B1221" t="s">
        <v>2431</v>
      </c>
      <c r="C1221">
        <v>2017</v>
      </c>
      <c r="E1221" t="s">
        <v>2982</v>
      </c>
      <c r="F1221" t="s">
        <v>9162</v>
      </c>
      <c r="G1221" t="s">
        <v>3994</v>
      </c>
    </row>
    <row r="1222" spans="1:7" x14ac:dyDescent="0.25">
      <c r="A1222" t="s">
        <v>1592</v>
      </c>
      <c r="B1222" t="s">
        <v>2435</v>
      </c>
      <c r="C1222">
        <v>2019</v>
      </c>
      <c r="E1222" s="10" t="s">
        <v>8363</v>
      </c>
      <c r="F1222" t="s">
        <v>8901</v>
      </c>
      <c r="G1222" t="s">
        <v>3994</v>
      </c>
    </row>
    <row r="1223" spans="1:7" x14ac:dyDescent="0.25">
      <c r="A1223" t="s">
        <v>2804</v>
      </c>
      <c r="B1223" t="s">
        <v>2435</v>
      </c>
      <c r="C1223">
        <v>2021</v>
      </c>
      <c r="E1223" t="s">
        <v>3013</v>
      </c>
      <c r="F1223" t="s">
        <v>9838</v>
      </c>
      <c r="G1223" t="s">
        <v>187</v>
      </c>
    </row>
    <row r="1224" spans="1:7" x14ac:dyDescent="0.25">
      <c r="A1224" t="s">
        <v>1294</v>
      </c>
      <c r="B1224" t="s">
        <v>2439</v>
      </c>
      <c r="C1224">
        <v>2019</v>
      </c>
      <c r="E1224" t="s">
        <v>2982</v>
      </c>
      <c r="F1224" t="s">
        <v>8819</v>
      </c>
      <c r="G1224" t="s">
        <v>3994</v>
      </c>
    </row>
    <row r="1225" spans="1:7" x14ac:dyDescent="0.25">
      <c r="A1225" t="s">
        <v>90</v>
      </c>
      <c r="B1225" t="s">
        <v>2439</v>
      </c>
      <c r="C1225">
        <v>2017</v>
      </c>
      <c r="E1225" t="s">
        <v>2982</v>
      </c>
      <c r="F1225" t="s">
        <v>9163</v>
      </c>
      <c r="G1225" t="s">
        <v>3994</v>
      </c>
    </row>
    <row r="1226" spans="1:7" x14ac:dyDescent="0.25">
      <c r="A1226" t="s">
        <v>2428</v>
      </c>
      <c r="B1226" t="s">
        <v>2443</v>
      </c>
      <c r="C1226">
        <v>2008</v>
      </c>
      <c r="E1226" t="s">
        <v>2446</v>
      </c>
      <c r="F1226" t="s">
        <v>9225</v>
      </c>
      <c r="G1226" t="s">
        <v>3994</v>
      </c>
    </row>
    <row r="1227" spans="1:7" x14ac:dyDescent="0.25">
      <c r="A1227" t="s">
        <v>256</v>
      </c>
      <c r="B1227" t="s">
        <v>2447</v>
      </c>
      <c r="C1227">
        <v>1994</v>
      </c>
      <c r="E1227" t="s">
        <v>2998</v>
      </c>
      <c r="F1227" t="s">
        <v>8470</v>
      </c>
      <c r="G1227" t="s">
        <v>3994</v>
      </c>
    </row>
    <row r="1228" spans="1:7" x14ac:dyDescent="0.25">
      <c r="A1228" t="s">
        <v>553</v>
      </c>
      <c r="B1228" t="s">
        <v>2447</v>
      </c>
      <c r="C1228">
        <v>2010</v>
      </c>
      <c r="D1228" t="s">
        <v>187</v>
      </c>
      <c r="F1228" t="s">
        <v>9839</v>
      </c>
      <c r="G1228" t="s">
        <v>3994</v>
      </c>
    </row>
    <row r="1229" spans="1:7" x14ac:dyDescent="0.25">
      <c r="A1229" t="s">
        <v>353</v>
      </c>
      <c r="B1229" t="s">
        <v>2455</v>
      </c>
      <c r="C1229">
        <v>2023</v>
      </c>
      <c r="E1229" t="s">
        <v>3013</v>
      </c>
      <c r="F1229" t="s">
        <v>9840</v>
      </c>
      <c r="G1229" t="s">
        <v>187</v>
      </c>
    </row>
    <row r="1230" spans="1:7" x14ac:dyDescent="0.25">
      <c r="A1230" t="s">
        <v>2377</v>
      </c>
      <c r="B1230" t="s">
        <v>2455</v>
      </c>
      <c r="C1230">
        <v>2021</v>
      </c>
      <c r="E1230" t="s">
        <v>2982</v>
      </c>
      <c r="F1230" t="s">
        <v>9194</v>
      </c>
      <c r="G1230" t="s">
        <v>3994</v>
      </c>
    </row>
    <row r="1231" spans="1:7" x14ac:dyDescent="0.25">
      <c r="A1231" t="s">
        <v>160</v>
      </c>
      <c r="B1231" t="s">
        <v>2459</v>
      </c>
      <c r="C1231">
        <v>2011</v>
      </c>
      <c r="E1231" t="s">
        <v>3412</v>
      </c>
      <c r="F1231" t="s">
        <v>9303</v>
      </c>
      <c r="G1231" t="s">
        <v>3994</v>
      </c>
    </row>
    <row r="1232" spans="1:7" x14ac:dyDescent="0.25">
      <c r="A1232" t="s">
        <v>759</v>
      </c>
      <c r="B1232" t="s">
        <v>8328</v>
      </c>
      <c r="C1232">
        <v>2018</v>
      </c>
      <c r="E1232" s="10" t="s">
        <v>8338</v>
      </c>
      <c r="F1232" t="s">
        <v>9841</v>
      </c>
      <c r="G1232" t="s">
        <v>187</v>
      </c>
    </row>
    <row r="1233" spans="1:7" x14ac:dyDescent="0.25">
      <c r="A1233" t="s">
        <v>1443</v>
      </c>
      <c r="B1233" t="s">
        <v>8328</v>
      </c>
      <c r="C1233">
        <v>2018</v>
      </c>
      <c r="E1233" s="10" t="s">
        <v>8338</v>
      </c>
      <c r="F1233" t="s">
        <v>9842</v>
      </c>
      <c r="G1233" t="s">
        <v>187</v>
      </c>
    </row>
    <row r="1234" spans="1:7" x14ac:dyDescent="0.25">
      <c r="A1234" t="s">
        <v>90</v>
      </c>
      <c r="B1234" t="s">
        <v>8328</v>
      </c>
      <c r="C1234">
        <v>2017</v>
      </c>
      <c r="E1234" s="10" t="s">
        <v>8338</v>
      </c>
      <c r="F1234" t="s">
        <v>9843</v>
      </c>
      <c r="G1234" t="s">
        <v>187</v>
      </c>
    </row>
    <row r="1235" spans="1:7" x14ac:dyDescent="0.25">
      <c r="A1235" t="s">
        <v>185</v>
      </c>
      <c r="B1235" t="s">
        <v>2463</v>
      </c>
      <c r="C1235">
        <v>2022</v>
      </c>
      <c r="E1235" s="10" t="s">
        <v>2466</v>
      </c>
      <c r="F1235" t="s">
        <v>8457</v>
      </c>
      <c r="G1235" t="s">
        <v>3994</v>
      </c>
    </row>
    <row r="1236" spans="1:7" x14ac:dyDescent="0.25">
      <c r="A1236" t="s">
        <v>457</v>
      </c>
      <c r="B1236" t="s">
        <v>2463</v>
      </c>
      <c r="C1236">
        <v>2022</v>
      </c>
      <c r="E1236" s="10" t="s">
        <v>2466</v>
      </c>
      <c r="F1236" t="s">
        <v>8541</v>
      </c>
      <c r="G1236" t="s">
        <v>3994</v>
      </c>
    </row>
    <row r="1237" spans="1:7" x14ac:dyDescent="0.25">
      <c r="A1237" t="s">
        <v>497</v>
      </c>
      <c r="B1237" t="s">
        <v>2463</v>
      </c>
      <c r="C1237">
        <v>2022</v>
      </c>
      <c r="E1237" s="10" t="s">
        <v>2466</v>
      </c>
      <c r="F1237" t="s">
        <v>8564</v>
      </c>
      <c r="G1237" t="s">
        <v>3994</v>
      </c>
    </row>
    <row r="1238" spans="1:7" x14ac:dyDescent="0.25">
      <c r="A1238" t="s">
        <v>1843</v>
      </c>
      <c r="B1238" t="s">
        <v>2463</v>
      </c>
      <c r="C1238">
        <v>2019</v>
      </c>
      <c r="E1238" s="10" t="s">
        <v>2466</v>
      </c>
      <c r="F1238" t="s">
        <v>8959</v>
      </c>
      <c r="G1238" t="s">
        <v>3994</v>
      </c>
    </row>
    <row r="1239" spans="1:7" x14ac:dyDescent="0.25">
      <c r="A1239" t="s">
        <v>2192</v>
      </c>
      <c r="B1239" t="s">
        <v>2463</v>
      </c>
      <c r="C1239">
        <v>2022</v>
      </c>
      <c r="E1239" s="10" t="s">
        <v>2466</v>
      </c>
      <c r="F1239" t="s">
        <v>9065</v>
      </c>
      <c r="G1239" t="s">
        <v>3994</v>
      </c>
    </row>
    <row r="1240" spans="1:7" x14ac:dyDescent="0.25">
      <c r="A1240" t="s">
        <v>8371</v>
      </c>
      <c r="B1240" t="s">
        <v>2463</v>
      </c>
      <c r="C1240">
        <v>2022</v>
      </c>
      <c r="E1240" s="10" t="s">
        <v>2466</v>
      </c>
      <c r="F1240" t="s">
        <v>9068</v>
      </c>
      <c r="G1240" t="s">
        <v>3994</v>
      </c>
    </row>
    <row r="1241" spans="1:7" x14ac:dyDescent="0.25">
      <c r="A1241" t="s">
        <v>2397</v>
      </c>
      <c r="B1241" t="s">
        <v>2463</v>
      </c>
      <c r="C1241">
        <v>2022</v>
      </c>
      <c r="E1241" s="10" t="s">
        <v>2466</v>
      </c>
      <c r="F1241" t="s">
        <v>9196</v>
      </c>
      <c r="G1241" t="s">
        <v>3994</v>
      </c>
    </row>
    <row r="1242" spans="1:7" x14ac:dyDescent="0.25">
      <c r="A1242" t="s">
        <v>2410</v>
      </c>
      <c r="B1242" t="s">
        <v>2463</v>
      </c>
      <c r="C1242">
        <v>2022</v>
      </c>
      <c r="E1242" s="10" t="s">
        <v>2466</v>
      </c>
      <c r="F1242" t="s">
        <v>9197</v>
      </c>
      <c r="G1242" t="s">
        <v>3994</v>
      </c>
    </row>
    <row r="1243" spans="1:7" x14ac:dyDescent="0.25">
      <c r="A1243" t="s">
        <v>2804</v>
      </c>
      <c r="B1243" t="s">
        <v>2463</v>
      </c>
      <c r="C1243">
        <v>2021</v>
      </c>
      <c r="E1243" s="10" t="s">
        <v>2466</v>
      </c>
      <c r="F1243" t="s">
        <v>9844</v>
      </c>
      <c r="G1243" t="s">
        <v>187</v>
      </c>
    </row>
    <row r="1244" spans="1:7" x14ac:dyDescent="0.25">
      <c r="A1244" t="s">
        <v>2828</v>
      </c>
      <c r="B1244" t="s">
        <v>2463</v>
      </c>
      <c r="C1244">
        <v>2022</v>
      </c>
      <c r="E1244" s="10" t="s">
        <v>2466</v>
      </c>
      <c r="F1244" t="s">
        <v>9366</v>
      </c>
      <c r="G1244" t="s">
        <v>3994</v>
      </c>
    </row>
    <row r="1245" spans="1:7" x14ac:dyDescent="0.25">
      <c r="A1245" t="s">
        <v>1294</v>
      </c>
      <c r="B1245" t="s">
        <v>10083</v>
      </c>
      <c r="C1245">
        <v>2019</v>
      </c>
      <c r="E1245" s="10" t="s">
        <v>10082</v>
      </c>
      <c r="F1245" t="s">
        <v>10087</v>
      </c>
      <c r="G1245" t="s">
        <v>3994</v>
      </c>
    </row>
    <row r="1246" spans="1:7" x14ac:dyDescent="0.25">
      <c r="A1246" t="s">
        <v>2095</v>
      </c>
      <c r="B1246" t="s">
        <v>10083</v>
      </c>
      <c r="C1246">
        <v>2023</v>
      </c>
      <c r="E1246" s="10" t="s">
        <v>10082</v>
      </c>
      <c r="F1246" t="s">
        <v>10088</v>
      </c>
      <c r="G1246" t="s">
        <v>3994</v>
      </c>
    </row>
    <row r="1247" spans="1:7" x14ac:dyDescent="0.25">
      <c r="A1247" t="s">
        <v>90</v>
      </c>
      <c r="B1247" t="s">
        <v>10083</v>
      </c>
      <c r="C1247">
        <v>2017</v>
      </c>
      <c r="E1247" s="10" t="s">
        <v>10082</v>
      </c>
      <c r="F1247" t="s">
        <v>10086</v>
      </c>
      <c r="G1247" t="s">
        <v>3994</v>
      </c>
    </row>
    <row r="1248" spans="1:7" x14ac:dyDescent="0.25">
      <c r="A1248" t="s">
        <v>1294</v>
      </c>
      <c r="B1248" t="s">
        <v>2467</v>
      </c>
      <c r="C1248">
        <v>2019</v>
      </c>
      <c r="E1248" t="s">
        <v>3234</v>
      </c>
      <c r="F1248" t="s">
        <v>9845</v>
      </c>
      <c r="G1248" t="s">
        <v>187</v>
      </c>
    </row>
    <row r="1249" spans="1:7" x14ac:dyDescent="0.25">
      <c r="A1249" t="s">
        <v>90</v>
      </c>
      <c r="B1249" t="s">
        <v>2471</v>
      </c>
      <c r="C1249">
        <v>2017</v>
      </c>
      <c r="E1249" s="10" t="s">
        <v>3377</v>
      </c>
      <c r="F1249" t="s">
        <v>9164</v>
      </c>
      <c r="G1249" t="s">
        <v>3994</v>
      </c>
    </row>
    <row r="1250" spans="1:7" x14ac:dyDescent="0.25">
      <c r="A1250" t="s">
        <v>353</v>
      </c>
      <c r="B1250" t="s">
        <v>2475</v>
      </c>
      <c r="C1250">
        <v>2023</v>
      </c>
      <c r="E1250" t="s">
        <v>3049</v>
      </c>
      <c r="F1250" t="s">
        <v>8532</v>
      </c>
      <c r="G1250" t="s">
        <v>3994</v>
      </c>
    </row>
    <row r="1251" spans="1:7" x14ac:dyDescent="0.25">
      <c r="A1251" t="s">
        <v>1576</v>
      </c>
      <c r="B1251" t="s">
        <v>2475</v>
      </c>
      <c r="C1251">
        <v>2021</v>
      </c>
      <c r="E1251" t="s">
        <v>3049</v>
      </c>
      <c r="F1251" t="s">
        <v>8898</v>
      </c>
      <c r="G1251" t="s">
        <v>3994</v>
      </c>
    </row>
    <row r="1252" spans="1:7" x14ac:dyDescent="0.25">
      <c r="A1252" t="s">
        <v>1951</v>
      </c>
      <c r="B1252" t="s">
        <v>2475</v>
      </c>
      <c r="C1252">
        <v>2022</v>
      </c>
      <c r="E1252" t="s">
        <v>3049</v>
      </c>
      <c r="F1252" t="s">
        <v>8994</v>
      </c>
      <c r="G1252" t="s">
        <v>3994</v>
      </c>
    </row>
    <row r="1253" spans="1:7" x14ac:dyDescent="0.25">
      <c r="A1253" t="s">
        <v>497</v>
      </c>
      <c r="B1253" t="s">
        <v>8099</v>
      </c>
      <c r="C1253">
        <v>2022</v>
      </c>
      <c r="E1253" s="10" t="s">
        <v>8118</v>
      </c>
      <c r="F1253" t="s">
        <v>8443</v>
      </c>
      <c r="G1253" t="s">
        <v>3994</v>
      </c>
    </row>
    <row r="1254" spans="1:7" x14ac:dyDescent="0.25">
      <c r="A1254" t="s">
        <v>847</v>
      </c>
      <c r="B1254" t="s">
        <v>8099</v>
      </c>
      <c r="C1254">
        <v>1996</v>
      </c>
      <c r="E1254" s="10" t="s">
        <v>8118</v>
      </c>
      <c r="F1254" t="s">
        <v>8665</v>
      </c>
      <c r="G1254" t="s">
        <v>3994</v>
      </c>
    </row>
    <row r="1255" spans="1:7" x14ac:dyDescent="0.25">
      <c r="A1255" t="s">
        <v>2804</v>
      </c>
      <c r="B1255" t="s">
        <v>8099</v>
      </c>
      <c r="C1255">
        <v>2021</v>
      </c>
      <c r="E1255" s="10" t="s">
        <v>8118</v>
      </c>
      <c r="F1255" t="s">
        <v>9356</v>
      </c>
      <c r="G1255" t="s">
        <v>3994</v>
      </c>
    </row>
    <row r="1256" spans="1:7" x14ac:dyDescent="0.25">
      <c r="A1256" t="s">
        <v>256</v>
      </c>
      <c r="B1256" t="s">
        <v>2481</v>
      </c>
      <c r="C1256">
        <v>1994</v>
      </c>
      <c r="E1256" t="s">
        <v>2999</v>
      </c>
      <c r="F1256" t="s">
        <v>9846</v>
      </c>
      <c r="G1256" t="s">
        <v>187</v>
      </c>
    </row>
    <row r="1257" spans="1:7" x14ac:dyDescent="0.25">
      <c r="A1257" t="s">
        <v>746</v>
      </c>
      <c r="B1257" t="s">
        <v>2481</v>
      </c>
      <c r="C1257">
        <v>2015</v>
      </c>
      <c r="E1257" t="s">
        <v>2999</v>
      </c>
      <c r="F1257" t="s">
        <v>9847</v>
      </c>
      <c r="G1257" t="s">
        <v>187</v>
      </c>
    </row>
    <row r="1258" spans="1:7" x14ac:dyDescent="0.25">
      <c r="A1258" t="s">
        <v>2428</v>
      </c>
      <c r="B1258" t="s">
        <v>2485</v>
      </c>
      <c r="C1258">
        <v>2008</v>
      </c>
      <c r="E1258" t="s">
        <v>3397</v>
      </c>
      <c r="F1258" t="s">
        <v>9848</v>
      </c>
      <c r="G1258" t="s">
        <v>187</v>
      </c>
    </row>
    <row r="1259" spans="1:7" x14ac:dyDescent="0.25">
      <c r="A1259" t="s">
        <v>1538</v>
      </c>
      <c r="B1259" t="s">
        <v>2489</v>
      </c>
      <c r="C1259">
        <v>1995</v>
      </c>
      <c r="E1259" t="s">
        <v>3256</v>
      </c>
      <c r="F1259" t="s">
        <v>8874</v>
      </c>
      <c r="G1259" t="s">
        <v>3994</v>
      </c>
    </row>
    <row r="1260" spans="1:7" x14ac:dyDescent="0.25">
      <c r="A1260" t="s">
        <v>1795</v>
      </c>
      <c r="B1260" t="s">
        <v>2489</v>
      </c>
      <c r="C1260">
        <v>1987</v>
      </c>
      <c r="E1260" t="s">
        <v>3256</v>
      </c>
      <c r="F1260" t="s">
        <v>8950</v>
      </c>
      <c r="G1260" t="s">
        <v>3994</v>
      </c>
    </row>
    <row r="1261" spans="1:7" x14ac:dyDescent="0.25">
      <c r="A1261" t="s">
        <v>1435</v>
      </c>
      <c r="B1261" t="s">
        <v>10019</v>
      </c>
      <c r="C1261">
        <v>2021</v>
      </c>
      <c r="E1261" s="10" t="s">
        <v>10018</v>
      </c>
      <c r="F1261" t="s">
        <v>10024</v>
      </c>
      <c r="G1261" t="s">
        <v>3994</v>
      </c>
    </row>
    <row r="1262" spans="1:7" x14ac:dyDescent="0.25">
      <c r="A1262" t="s">
        <v>90</v>
      </c>
      <c r="B1262" t="s">
        <v>10019</v>
      </c>
      <c r="C1262">
        <v>2017</v>
      </c>
      <c r="E1262" s="10" t="s">
        <v>10018</v>
      </c>
      <c r="F1262" t="s">
        <v>10023</v>
      </c>
      <c r="G1262" t="s">
        <v>3994</v>
      </c>
    </row>
    <row r="1263" spans="1:7" x14ac:dyDescent="0.25">
      <c r="A1263" t="s">
        <v>1855</v>
      </c>
      <c r="B1263" t="s">
        <v>2492</v>
      </c>
      <c r="C1263">
        <v>2015</v>
      </c>
      <c r="E1263" t="s">
        <v>2495</v>
      </c>
      <c r="F1263" t="s">
        <v>8980</v>
      </c>
      <c r="G1263" t="s">
        <v>3994</v>
      </c>
    </row>
    <row r="1264" spans="1:7" x14ac:dyDescent="0.25">
      <c r="A1264" t="s">
        <v>2428</v>
      </c>
      <c r="B1264" t="s">
        <v>2492</v>
      </c>
      <c r="C1264">
        <v>2008</v>
      </c>
      <c r="E1264" t="s">
        <v>3398</v>
      </c>
      <c r="F1264" t="s">
        <v>9226</v>
      </c>
      <c r="G1264" t="s">
        <v>3994</v>
      </c>
    </row>
    <row r="1265" spans="1:7" x14ac:dyDescent="0.25">
      <c r="A1265" t="s">
        <v>160</v>
      </c>
      <c r="B1265" t="s">
        <v>2492</v>
      </c>
      <c r="C1265">
        <v>2011</v>
      </c>
      <c r="E1265" t="s">
        <v>3398</v>
      </c>
      <c r="F1265" t="s">
        <v>9304</v>
      </c>
      <c r="G1265" t="s">
        <v>3994</v>
      </c>
    </row>
    <row r="1266" spans="1:7" x14ac:dyDescent="0.25">
      <c r="A1266" t="s">
        <v>1454</v>
      </c>
      <c r="B1266" t="s">
        <v>8413</v>
      </c>
      <c r="C1266">
        <v>2001</v>
      </c>
      <c r="E1266" s="10" t="s">
        <v>8412</v>
      </c>
      <c r="F1266" t="s">
        <v>9849</v>
      </c>
      <c r="G1266" t="s">
        <v>187</v>
      </c>
    </row>
    <row r="1267" spans="1:7" x14ac:dyDescent="0.25">
      <c r="A1267" t="s">
        <v>1817</v>
      </c>
      <c r="B1267" t="s">
        <v>2496</v>
      </c>
      <c r="C1267">
        <v>2019</v>
      </c>
      <c r="E1267" t="s">
        <v>3294</v>
      </c>
      <c r="F1267" t="s">
        <v>8957</v>
      </c>
      <c r="G1267" t="s">
        <v>3994</v>
      </c>
    </row>
    <row r="1268" spans="1:7" x14ac:dyDescent="0.25">
      <c r="A1268" t="s">
        <v>2095</v>
      </c>
      <c r="B1268" t="s">
        <v>8413</v>
      </c>
      <c r="C1268">
        <v>2023</v>
      </c>
      <c r="E1268" s="10" t="s">
        <v>8412</v>
      </c>
      <c r="F1268" t="s">
        <v>9850</v>
      </c>
      <c r="G1268" t="s">
        <v>187</v>
      </c>
    </row>
    <row r="1269" spans="1:7" x14ac:dyDescent="0.25">
      <c r="A1269" t="s">
        <v>2173</v>
      </c>
      <c r="B1269" t="s">
        <v>2498</v>
      </c>
      <c r="C1269">
        <v>2013</v>
      </c>
      <c r="E1269" t="s">
        <v>3335</v>
      </c>
      <c r="F1269" t="s">
        <v>9061</v>
      </c>
      <c r="G1269" t="s">
        <v>3994</v>
      </c>
    </row>
    <row r="1270" spans="1:7" x14ac:dyDescent="0.25">
      <c r="A1270" t="s">
        <v>914</v>
      </c>
      <c r="B1270" t="s">
        <v>2502</v>
      </c>
      <c r="C1270">
        <v>2013</v>
      </c>
      <c r="E1270" s="10" t="s">
        <v>8410</v>
      </c>
      <c r="F1270" t="s">
        <v>9851</v>
      </c>
      <c r="G1270" t="s">
        <v>187</v>
      </c>
    </row>
    <row r="1271" spans="1:7" x14ac:dyDescent="0.25">
      <c r="A1271" t="s">
        <v>1144</v>
      </c>
      <c r="B1271" t="s">
        <v>2502</v>
      </c>
      <c r="C1271">
        <v>2012</v>
      </c>
      <c r="E1271" t="s">
        <v>3198</v>
      </c>
      <c r="F1271" t="s">
        <v>9852</v>
      </c>
      <c r="G1271" t="s">
        <v>187</v>
      </c>
    </row>
    <row r="1272" spans="1:7" x14ac:dyDescent="0.25">
      <c r="A1272" t="s">
        <v>924</v>
      </c>
      <c r="B1272" t="s">
        <v>2506</v>
      </c>
      <c r="C1272">
        <v>2019</v>
      </c>
      <c r="E1272" t="s">
        <v>3150</v>
      </c>
      <c r="F1272" t="s">
        <v>8688</v>
      </c>
      <c r="G1272" t="s">
        <v>3994</v>
      </c>
    </row>
    <row r="1273" spans="1:7" x14ac:dyDescent="0.25">
      <c r="A1273" t="s">
        <v>90</v>
      </c>
      <c r="B1273" t="s">
        <v>2510</v>
      </c>
      <c r="C1273">
        <v>2017</v>
      </c>
      <c r="E1273" s="10" t="s">
        <v>8385</v>
      </c>
      <c r="F1273" t="s">
        <v>9165</v>
      </c>
      <c r="G1273" t="s">
        <v>3994</v>
      </c>
    </row>
    <row r="1274" spans="1:7" x14ac:dyDescent="0.25">
      <c r="A1274" t="s">
        <v>1004</v>
      </c>
      <c r="B1274" t="s">
        <v>2514</v>
      </c>
      <c r="C1274">
        <v>2006</v>
      </c>
      <c r="E1274" t="s">
        <v>3172</v>
      </c>
      <c r="F1274" t="s">
        <v>9853</v>
      </c>
      <c r="G1274" t="s">
        <v>187</v>
      </c>
    </row>
    <row r="1275" spans="1:7" x14ac:dyDescent="0.25">
      <c r="A1275" t="s">
        <v>1294</v>
      </c>
      <c r="B1275" t="s">
        <v>2514</v>
      </c>
      <c r="C1275">
        <v>2019</v>
      </c>
      <c r="E1275" t="s">
        <v>3172</v>
      </c>
      <c r="F1275" t="s">
        <v>9390</v>
      </c>
      <c r="G1275" t="s">
        <v>3994</v>
      </c>
    </row>
    <row r="1276" spans="1:7" x14ac:dyDescent="0.25">
      <c r="A1276" t="s">
        <v>1549</v>
      </c>
      <c r="B1276" t="s">
        <v>2514</v>
      </c>
      <c r="C1276">
        <v>2021</v>
      </c>
      <c r="E1276" t="s">
        <v>3172</v>
      </c>
      <c r="F1276" t="s">
        <v>9391</v>
      </c>
      <c r="G1276" t="s">
        <v>3994</v>
      </c>
    </row>
    <row r="1277" spans="1:7" x14ac:dyDescent="0.25">
      <c r="A1277" t="s">
        <v>1576</v>
      </c>
      <c r="B1277" t="s">
        <v>2522</v>
      </c>
      <c r="C1277">
        <v>2021</v>
      </c>
      <c r="E1277" t="s">
        <v>3265</v>
      </c>
      <c r="F1277" t="s">
        <v>8899</v>
      </c>
      <c r="G1277" t="s">
        <v>3994</v>
      </c>
    </row>
    <row r="1278" spans="1:7" x14ac:dyDescent="0.25">
      <c r="A1278" t="s">
        <v>2095</v>
      </c>
      <c r="B1278" t="s">
        <v>2524</v>
      </c>
      <c r="C1278">
        <v>2023</v>
      </c>
      <c r="E1278" t="s">
        <v>3309</v>
      </c>
      <c r="F1278" t="s">
        <v>9002</v>
      </c>
      <c r="G1278" t="s">
        <v>3994</v>
      </c>
    </row>
    <row r="1279" spans="1:7" x14ac:dyDescent="0.25">
      <c r="A1279" t="s">
        <v>2136</v>
      </c>
      <c r="B1279" t="s">
        <v>2524</v>
      </c>
      <c r="C1279">
        <v>2020</v>
      </c>
      <c r="E1279" t="s">
        <v>3309</v>
      </c>
      <c r="F1279" t="s">
        <v>9021</v>
      </c>
      <c r="G1279" t="s">
        <v>3994</v>
      </c>
    </row>
    <row r="1280" spans="1:7" x14ac:dyDescent="0.25">
      <c r="A1280" t="s">
        <v>2146</v>
      </c>
      <c r="B1280" t="s">
        <v>2524</v>
      </c>
      <c r="C1280">
        <v>2020</v>
      </c>
      <c r="E1280" t="s">
        <v>3309</v>
      </c>
      <c r="F1280" t="s">
        <v>9027</v>
      </c>
      <c r="G1280" t="s">
        <v>3994</v>
      </c>
    </row>
    <row r="1281" spans="1:7" x14ac:dyDescent="0.25">
      <c r="A1281" t="s">
        <v>2804</v>
      </c>
      <c r="B1281" t="s">
        <v>2526</v>
      </c>
      <c r="C1281">
        <v>2021</v>
      </c>
      <c r="E1281" t="s">
        <v>3429</v>
      </c>
      <c r="F1281" t="s">
        <v>9357</v>
      </c>
      <c r="G1281" t="s">
        <v>3994</v>
      </c>
    </row>
    <row r="1282" spans="1:7" x14ac:dyDescent="0.25">
      <c r="A1282" t="s">
        <v>1144</v>
      </c>
      <c r="B1282" t="s">
        <v>2530</v>
      </c>
      <c r="C1282">
        <v>2012</v>
      </c>
      <c r="E1282" t="s">
        <v>3213</v>
      </c>
      <c r="F1282" t="s">
        <v>8772</v>
      </c>
      <c r="G1282" t="s">
        <v>3994</v>
      </c>
    </row>
    <row r="1283" spans="1:7" x14ac:dyDescent="0.25">
      <c r="A1283" t="s">
        <v>2428</v>
      </c>
      <c r="B1283" t="s">
        <v>2530</v>
      </c>
      <c r="C1283">
        <v>2008</v>
      </c>
      <c r="E1283" t="s">
        <v>3213</v>
      </c>
      <c r="F1283" t="s">
        <v>9227</v>
      </c>
      <c r="G1283" t="s">
        <v>3994</v>
      </c>
    </row>
    <row r="1284" spans="1:7" x14ac:dyDescent="0.25">
      <c r="A1284" t="s">
        <v>160</v>
      </c>
      <c r="B1284" t="s">
        <v>2530</v>
      </c>
      <c r="C1284">
        <v>2011</v>
      </c>
      <c r="E1284" t="s">
        <v>3213</v>
      </c>
      <c r="F1284" t="s">
        <v>9305</v>
      </c>
      <c r="G1284" t="s">
        <v>3994</v>
      </c>
    </row>
    <row r="1285" spans="1:7" x14ac:dyDescent="0.25">
      <c r="A1285" t="s">
        <v>341</v>
      </c>
      <c r="B1285" t="s">
        <v>2537</v>
      </c>
      <c r="C1285">
        <v>1997</v>
      </c>
      <c r="E1285" t="s">
        <v>3010</v>
      </c>
      <c r="F1285" t="s">
        <v>8483</v>
      </c>
      <c r="G1285" t="s">
        <v>3994</v>
      </c>
    </row>
    <row r="1286" spans="1:7" x14ac:dyDescent="0.25">
      <c r="A1286" t="s">
        <v>1046</v>
      </c>
      <c r="B1286" t="s">
        <v>2537</v>
      </c>
      <c r="C1286">
        <v>2016</v>
      </c>
      <c r="E1286" t="s">
        <v>3010</v>
      </c>
      <c r="F1286" t="s">
        <v>8737</v>
      </c>
      <c r="G1286" t="s">
        <v>3994</v>
      </c>
    </row>
    <row r="1287" spans="1:7" x14ac:dyDescent="0.25">
      <c r="A1287" t="s">
        <v>2537</v>
      </c>
      <c r="B1287" t="s">
        <v>2540</v>
      </c>
      <c r="C1287">
        <v>2021</v>
      </c>
      <c r="D1287" t="s">
        <v>187</v>
      </c>
      <c r="F1287" t="s">
        <v>9854</v>
      </c>
      <c r="G1287" t="s">
        <v>3994</v>
      </c>
    </row>
    <row r="1288" spans="1:7" x14ac:dyDescent="0.25">
      <c r="A1288" t="s">
        <v>847</v>
      </c>
      <c r="B1288" t="s">
        <v>2543</v>
      </c>
      <c r="C1288">
        <v>1996</v>
      </c>
      <c r="E1288" t="s">
        <v>3137</v>
      </c>
      <c r="F1288" t="s">
        <v>8666</v>
      </c>
      <c r="G1288" t="s">
        <v>3994</v>
      </c>
    </row>
    <row r="1289" spans="1:7" x14ac:dyDescent="0.25">
      <c r="A1289" t="s">
        <v>1795</v>
      </c>
      <c r="B1289" t="s">
        <v>2543</v>
      </c>
      <c r="C1289">
        <v>1987</v>
      </c>
      <c r="E1289" t="s">
        <v>3287</v>
      </c>
      <c r="F1289" t="s">
        <v>8951</v>
      </c>
      <c r="G1289" t="s">
        <v>3994</v>
      </c>
    </row>
    <row r="1290" spans="1:7" x14ac:dyDescent="0.25">
      <c r="A1290" t="s">
        <v>2154</v>
      </c>
      <c r="B1290" t="s">
        <v>2543</v>
      </c>
      <c r="C1290">
        <v>1980</v>
      </c>
      <c r="E1290" t="s">
        <v>3287</v>
      </c>
      <c r="F1290" t="s">
        <v>9045</v>
      </c>
      <c r="G1290" t="s">
        <v>3994</v>
      </c>
    </row>
    <row r="1291" spans="1:7" x14ac:dyDescent="0.25">
      <c r="A1291" t="s">
        <v>1443</v>
      </c>
      <c r="B1291" t="s">
        <v>2546</v>
      </c>
      <c r="C1291">
        <v>2018</v>
      </c>
      <c r="E1291" t="s">
        <v>2982</v>
      </c>
      <c r="F1291" t="s">
        <v>8866</v>
      </c>
      <c r="G1291" t="s">
        <v>3994</v>
      </c>
    </row>
    <row r="1292" spans="1:7" x14ac:dyDescent="0.25">
      <c r="A1292" t="s">
        <v>1294</v>
      </c>
      <c r="B1292" t="s">
        <v>2550</v>
      </c>
      <c r="C1292">
        <v>2019</v>
      </c>
      <c r="E1292" t="s">
        <v>3235</v>
      </c>
      <c r="F1292" t="s">
        <v>8820</v>
      </c>
      <c r="G1292" t="s">
        <v>3994</v>
      </c>
    </row>
    <row r="1293" spans="1:7" x14ac:dyDescent="0.25">
      <c r="A1293" t="s">
        <v>2556</v>
      </c>
      <c r="B1293" t="s">
        <v>2554</v>
      </c>
      <c r="C1293">
        <v>2018</v>
      </c>
      <c r="D1293" t="s">
        <v>187</v>
      </c>
      <c r="F1293" t="s">
        <v>9855</v>
      </c>
      <c r="G1293" t="s">
        <v>3994</v>
      </c>
    </row>
    <row r="1294" spans="1:7" x14ac:dyDescent="0.25">
      <c r="A1294" t="s">
        <v>2132</v>
      </c>
      <c r="B1294" t="s">
        <v>2556</v>
      </c>
      <c r="C1294">
        <v>2013</v>
      </c>
      <c r="E1294" t="s">
        <v>3312</v>
      </c>
      <c r="F1294" t="s">
        <v>9010</v>
      </c>
      <c r="G1294" t="s">
        <v>3994</v>
      </c>
    </row>
    <row r="1295" spans="1:7" x14ac:dyDescent="0.25">
      <c r="A1295" t="s">
        <v>350</v>
      </c>
      <c r="B1295" t="s">
        <v>2560</v>
      </c>
      <c r="C1295">
        <v>2018</v>
      </c>
      <c r="E1295" t="s">
        <v>2982</v>
      </c>
      <c r="F1295" t="s">
        <v>8496</v>
      </c>
      <c r="G1295" t="s">
        <v>3994</v>
      </c>
    </row>
    <row r="1296" spans="1:7" x14ac:dyDescent="0.25">
      <c r="A1296" t="s">
        <v>353</v>
      </c>
      <c r="B1296" t="s">
        <v>2560</v>
      </c>
      <c r="C1296">
        <v>2023</v>
      </c>
      <c r="E1296" s="10" t="s">
        <v>9944</v>
      </c>
      <c r="F1296" t="s">
        <v>9946</v>
      </c>
      <c r="G1296" t="s">
        <v>187</v>
      </c>
    </row>
    <row r="1297" spans="1:7" x14ac:dyDescent="0.25">
      <c r="A1297" t="s">
        <v>9943</v>
      </c>
      <c r="B1297" t="s">
        <v>2560</v>
      </c>
      <c r="C1297">
        <v>2025</v>
      </c>
      <c r="E1297" s="10" t="s">
        <v>9944</v>
      </c>
      <c r="F1297" t="s">
        <v>9945</v>
      </c>
      <c r="G1297" t="s">
        <v>187</v>
      </c>
    </row>
    <row r="1298" spans="1:7" x14ac:dyDescent="0.25">
      <c r="A1298" t="s">
        <v>1298</v>
      </c>
      <c r="B1298" t="s">
        <v>2560</v>
      </c>
      <c r="C1298">
        <v>2024</v>
      </c>
      <c r="E1298" s="10" t="s">
        <v>9944</v>
      </c>
      <c r="F1298" t="s">
        <v>9974</v>
      </c>
      <c r="G1298" t="s">
        <v>187</v>
      </c>
    </row>
    <row r="1299" spans="1:7" x14ac:dyDescent="0.25">
      <c r="A1299" t="s">
        <v>90</v>
      </c>
      <c r="B1299" t="s">
        <v>2560</v>
      </c>
      <c r="C1299">
        <v>2017</v>
      </c>
      <c r="E1299" t="s">
        <v>3378</v>
      </c>
      <c r="F1299" t="s">
        <v>9166</v>
      </c>
      <c r="G1299" t="s">
        <v>3994</v>
      </c>
    </row>
    <row r="1300" spans="1:7" x14ac:dyDescent="0.25">
      <c r="A1300" t="s">
        <v>90</v>
      </c>
      <c r="B1300" t="s">
        <v>2563</v>
      </c>
      <c r="C1300">
        <v>2017</v>
      </c>
      <c r="E1300" t="s">
        <v>3379</v>
      </c>
      <c r="F1300" t="s">
        <v>9167</v>
      </c>
      <c r="G1300" t="s">
        <v>3994</v>
      </c>
    </row>
    <row r="1301" spans="1:7" x14ac:dyDescent="0.25">
      <c r="A1301" t="s">
        <v>2073</v>
      </c>
      <c r="B1301" t="s">
        <v>2567</v>
      </c>
      <c r="C1301">
        <v>2010</v>
      </c>
      <c r="E1301" t="s">
        <v>2982</v>
      </c>
      <c r="F1301" t="s">
        <v>8999</v>
      </c>
      <c r="G1301" t="s">
        <v>3994</v>
      </c>
    </row>
    <row r="1302" spans="1:7" x14ac:dyDescent="0.25">
      <c r="A1302" t="s">
        <v>160</v>
      </c>
      <c r="B1302" t="s">
        <v>2567</v>
      </c>
      <c r="C1302">
        <v>2011</v>
      </c>
      <c r="E1302" t="s">
        <v>2982</v>
      </c>
      <c r="F1302" t="s">
        <v>9306</v>
      </c>
      <c r="G1302" t="s">
        <v>3994</v>
      </c>
    </row>
    <row r="1303" spans="1:7" x14ac:dyDescent="0.25">
      <c r="A1303" t="s">
        <v>2804</v>
      </c>
      <c r="B1303" t="s">
        <v>2567</v>
      </c>
      <c r="C1303">
        <v>2021</v>
      </c>
      <c r="E1303" s="10" t="s">
        <v>8451</v>
      </c>
      <c r="F1303" t="s">
        <v>8452</v>
      </c>
      <c r="G1303" t="s">
        <v>3994</v>
      </c>
    </row>
    <row r="1304" spans="1:7" x14ac:dyDescent="0.25">
      <c r="A1304" t="s">
        <v>2947</v>
      </c>
      <c r="B1304" t="s">
        <v>2571</v>
      </c>
      <c r="C1304">
        <v>1994</v>
      </c>
      <c r="E1304" t="s">
        <v>3437</v>
      </c>
      <c r="F1304" t="s">
        <v>9376</v>
      </c>
      <c r="G1304" t="s">
        <v>3994</v>
      </c>
    </row>
    <row r="1305" spans="1:7" x14ac:dyDescent="0.25">
      <c r="A1305" t="s">
        <v>90</v>
      </c>
      <c r="B1305" t="s">
        <v>2575</v>
      </c>
      <c r="C1305">
        <v>2017</v>
      </c>
      <c r="E1305" t="s">
        <v>3380</v>
      </c>
      <c r="F1305" t="s">
        <v>9168</v>
      </c>
      <c r="G1305" t="s">
        <v>3994</v>
      </c>
    </row>
    <row r="1306" spans="1:7" x14ac:dyDescent="0.25">
      <c r="A1306" t="s">
        <v>984</v>
      </c>
      <c r="B1306" t="s">
        <v>2578</v>
      </c>
      <c r="C1306">
        <v>2010</v>
      </c>
      <c r="E1306" t="s">
        <v>3167</v>
      </c>
      <c r="F1306" t="s">
        <v>8706</v>
      </c>
      <c r="G1306" t="s">
        <v>3994</v>
      </c>
    </row>
    <row r="1307" spans="1:7" x14ac:dyDescent="0.25">
      <c r="A1307" t="s">
        <v>1761</v>
      </c>
      <c r="B1307" t="s">
        <v>2578</v>
      </c>
      <c r="C1307">
        <v>1995</v>
      </c>
      <c r="E1307" t="s">
        <v>3273</v>
      </c>
      <c r="F1307" t="s">
        <v>8927</v>
      </c>
      <c r="G1307" t="s">
        <v>3994</v>
      </c>
    </row>
    <row r="1308" spans="1:7" x14ac:dyDescent="0.25">
      <c r="A1308" t="s">
        <v>2571</v>
      </c>
      <c r="B1308" t="s">
        <v>2578</v>
      </c>
      <c r="C1308">
        <v>1998</v>
      </c>
      <c r="E1308" t="s">
        <v>3167</v>
      </c>
      <c r="F1308" t="s">
        <v>9250</v>
      </c>
      <c r="G1308" t="s">
        <v>3994</v>
      </c>
    </row>
    <row r="1309" spans="1:7" x14ac:dyDescent="0.25">
      <c r="A1309" t="s">
        <v>341</v>
      </c>
      <c r="B1309" t="s">
        <v>2587</v>
      </c>
      <c r="C1309">
        <v>1997</v>
      </c>
      <c r="D1309" t="s">
        <v>187</v>
      </c>
      <c r="F1309" t="s">
        <v>9856</v>
      </c>
      <c r="G1309" t="s">
        <v>3994</v>
      </c>
    </row>
    <row r="1310" spans="1:7" x14ac:dyDescent="0.25">
      <c r="A1310" t="s">
        <v>1294</v>
      </c>
      <c r="B1310" t="s">
        <v>2590</v>
      </c>
      <c r="C1310">
        <v>2019</v>
      </c>
      <c r="E1310" t="s">
        <v>3236</v>
      </c>
      <c r="F1310" t="s">
        <v>8821</v>
      </c>
      <c r="G1310" t="s">
        <v>3994</v>
      </c>
    </row>
    <row r="1311" spans="1:7" x14ac:dyDescent="0.25">
      <c r="A1311" t="s">
        <v>90</v>
      </c>
      <c r="B1311" t="s">
        <v>2590</v>
      </c>
      <c r="C1311">
        <v>2017</v>
      </c>
      <c r="E1311" s="10" t="s">
        <v>3236</v>
      </c>
      <c r="F1311" t="s">
        <v>9404</v>
      </c>
      <c r="G1311" t="s">
        <v>3994</v>
      </c>
    </row>
    <row r="1312" spans="1:7" x14ac:dyDescent="0.25">
      <c r="A1312" t="s">
        <v>160</v>
      </c>
      <c r="B1312" t="s">
        <v>2590</v>
      </c>
      <c r="C1312">
        <v>2011</v>
      </c>
      <c r="E1312" s="10" t="s">
        <v>9406</v>
      </c>
      <c r="F1312" t="s">
        <v>9405</v>
      </c>
      <c r="G1312" t="s">
        <v>3994</v>
      </c>
    </row>
    <row r="1313" spans="1:7" x14ac:dyDescent="0.25">
      <c r="A1313" t="s">
        <v>924</v>
      </c>
      <c r="B1313" t="s">
        <v>2594</v>
      </c>
      <c r="C1313">
        <v>2019</v>
      </c>
      <c r="E1313" t="s">
        <v>3151</v>
      </c>
      <c r="F1313" t="s">
        <v>8689</v>
      </c>
      <c r="G1313" t="s">
        <v>3994</v>
      </c>
    </row>
    <row r="1314" spans="1:7" x14ac:dyDescent="0.25">
      <c r="A1314" t="s">
        <v>2136</v>
      </c>
      <c r="B1314" t="s">
        <v>2596</v>
      </c>
      <c r="C1314">
        <v>2020</v>
      </c>
      <c r="E1314" t="s">
        <v>3315</v>
      </c>
      <c r="F1314" t="s">
        <v>9857</v>
      </c>
      <c r="G1314" t="s">
        <v>187</v>
      </c>
    </row>
    <row r="1315" spans="1:7" x14ac:dyDescent="0.25">
      <c r="A1315" t="s">
        <v>574</v>
      </c>
      <c r="B1315" t="s">
        <v>2599</v>
      </c>
      <c r="C1315">
        <v>2019</v>
      </c>
      <c r="E1315" t="s">
        <v>3078</v>
      </c>
      <c r="F1315" t="s">
        <v>8574</v>
      </c>
      <c r="G1315" t="s">
        <v>3994</v>
      </c>
    </row>
    <row r="1316" spans="1:7" x14ac:dyDescent="0.25">
      <c r="A1316" t="s">
        <v>759</v>
      </c>
      <c r="B1316" t="s">
        <v>2599</v>
      </c>
      <c r="C1316">
        <v>2018</v>
      </c>
      <c r="E1316" t="s">
        <v>3078</v>
      </c>
      <c r="F1316" t="s">
        <v>8632</v>
      </c>
      <c r="G1316" t="s">
        <v>3994</v>
      </c>
    </row>
    <row r="1317" spans="1:7" x14ac:dyDescent="0.25">
      <c r="A1317" t="s">
        <v>1294</v>
      </c>
      <c r="B1317" t="s">
        <v>2599</v>
      </c>
      <c r="C1317">
        <v>2019</v>
      </c>
      <c r="E1317" t="s">
        <v>3237</v>
      </c>
      <c r="F1317" t="s">
        <v>8822</v>
      </c>
      <c r="G1317" t="s">
        <v>3994</v>
      </c>
    </row>
    <row r="1318" spans="1:7" x14ac:dyDescent="0.25">
      <c r="A1318" t="s">
        <v>2804</v>
      </c>
      <c r="B1318" t="s">
        <v>2603</v>
      </c>
      <c r="C1318">
        <v>2021</v>
      </c>
      <c r="E1318" t="s">
        <v>3013</v>
      </c>
      <c r="F1318" t="s">
        <v>9858</v>
      </c>
      <c r="G1318" t="s">
        <v>187</v>
      </c>
    </row>
    <row r="1319" spans="1:7" x14ac:dyDescent="0.25">
      <c r="A1319" t="s">
        <v>1144</v>
      </c>
      <c r="B1319" t="s">
        <v>2605</v>
      </c>
      <c r="C1319">
        <v>2012</v>
      </c>
      <c r="E1319" t="s">
        <v>2982</v>
      </c>
      <c r="F1319" t="s">
        <v>8773</v>
      </c>
      <c r="G1319" t="s">
        <v>3994</v>
      </c>
    </row>
    <row r="1320" spans="1:7" x14ac:dyDescent="0.25">
      <c r="A1320" t="s">
        <v>2804</v>
      </c>
      <c r="B1320" t="s">
        <v>2609</v>
      </c>
      <c r="C1320">
        <v>2021</v>
      </c>
      <c r="E1320" t="s">
        <v>3430</v>
      </c>
      <c r="F1320" t="s">
        <v>9859</v>
      </c>
      <c r="G1320" t="s">
        <v>187</v>
      </c>
    </row>
    <row r="1321" spans="1:7" x14ac:dyDescent="0.25">
      <c r="A1321" t="s">
        <v>2136</v>
      </c>
      <c r="B1321" t="s">
        <v>2612</v>
      </c>
      <c r="C1321">
        <v>2020</v>
      </c>
      <c r="E1321" t="s">
        <v>3316</v>
      </c>
      <c r="F1321" t="s">
        <v>9860</v>
      </c>
      <c r="G1321" t="s">
        <v>187</v>
      </c>
    </row>
    <row r="1322" spans="1:7" x14ac:dyDescent="0.25">
      <c r="A1322" t="s">
        <v>924</v>
      </c>
      <c r="B1322" t="s">
        <v>2614</v>
      </c>
      <c r="C1322">
        <v>2019</v>
      </c>
      <c r="E1322" t="s">
        <v>3152</v>
      </c>
      <c r="F1322" t="s">
        <v>9861</v>
      </c>
      <c r="G1322" t="s">
        <v>187</v>
      </c>
    </row>
    <row r="1323" spans="1:7" x14ac:dyDescent="0.25">
      <c r="A1323" t="s">
        <v>2594</v>
      </c>
      <c r="B1323" t="s">
        <v>2614</v>
      </c>
      <c r="C1323">
        <v>2019</v>
      </c>
      <c r="E1323" t="s">
        <v>3152</v>
      </c>
      <c r="F1323" t="s">
        <v>9256</v>
      </c>
      <c r="G1323" t="s">
        <v>3994</v>
      </c>
    </row>
    <row r="1324" spans="1:7" x14ac:dyDescent="0.25">
      <c r="A1324" t="s">
        <v>836</v>
      </c>
      <c r="B1324" t="s">
        <v>160</v>
      </c>
      <c r="C1324">
        <v>2010</v>
      </c>
      <c r="E1324" t="s">
        <v>3129</v>
      </c>
      <c r="F1324" t="s">
        <v>9862</v>
      </c>
      <c r="G1324" t="s">
        <v>187</v>
      </c>
    </row>
    <row r="1325" spans="1:7" x14ac:dyDescent="0.25">
      <c r="A1325" t="s">
        <v>2428</v>
      </c>
      <c r="B1325" t="s">
        <v>160</v>
      </c>
      <c r="C1325">
        <v>2008</v>
      </c>
      <c r="E1325" t="s">
        <v>3129</v>
      </c>
      <c r="F1325" t="s">
        <v>9863</v>
      </c>
      <c r="G1325" t="s">
        <v>187</v>
      </c>
    </row>
    <row r="1326" spans="1:7" x14ac:dyDescent="0.25">
      <c r="A1326" t="s">
        <v>160</v>
      </c>
      <c r="B1326" t="s">
        <v>2619</v>
      </c>
      <c r="C1326">
        <v>2011</v>
      </c>
      <c r="D1326" t="s">
        <v>187</v>
      </c>
      <c r="F1326" t="s">
        <v>9864</v>
      </c>
      <c r="G1326" t="s">
        <v>3994</v>
      </c>
    </row>
    <row r="1327" spans="1:7" x14ac:dyDescent="0.25">
      <c r="A1327" t="s">
        <v>623</v>
      </c>
      <c r="B1327" t="s">
        <v>2623</v>
      </c>
      <c r="C1327">
        <v>2017</v>
      </c>
      <c r="E1327" t="s">
        <v>3080</v>
      </c>
      <c r="F1327" t="s">
        <v>8577</v>
      </c>
      <c r="G1327" t="s">
        <v>3994</v>
      </c>
    </row>
    <row r="1328" spans="1:7" x14ac:dyDescent="0.25">
      <c r="A1328" t="s">
        <v>994</v>
      </c>
      <c r="B1328" t="s">
        <v>2623</v>
      </c>
      <c r="C1328">
        <v>2011</v>
      </c>
      <c r="E1328" t="s">
        <v>3080</v>
      </c>
      <c r="F1328" t="s">
        <v>8709</v>
      </c>
      <c r="G1328" t="s">
        <v>3994</v>
      </c>
    </row>
    <row r="1329" spans="1:7" x14ac:dyDescent="0.25">
      <c r="A1329" t="s">
        <v>1004</v>
      </c>
      <c r="B1329" t="s">
        <v>2623</v>
      </c>
      <c r="C1329">
        <v>2006</v>
      </c>
      <c r="E1329" t="s">
        <v>3173</v>
      </c>
      <c r="F1329" t="s">
        <v>8713</v>
      </c>
      <c r="G1329" t="s">
        <v>3994</v>
      </c>
    </row>
    <row r="1330" spans="1:7" x14ac:dyDescent="0.25">
      <c r="A1330" t="s">
        <v>2154</v>
      </c>
      <c r="B1330" t="s">
        <v>2625</v>
      </c>
      <c r="C1330">
        <v>1980</v>
      </c>
      <c r="E1330" t="s">
        <v>3326</v>
      </c>
      <c r="F1330" t="s">
        <v>9046</v>
      </c>
      <c r="G1330" t="s">
        <v>3994</v>
      </c>
    </row>
    <row r="1331" spans="1:7" x14ac:dyDescent="0.25">
      <c r="A1331" t="s">
        <v>2721</v>
      </c>
      <c r="B1331" t="s">
        <v>2625</v>
      </c>
      <c r="C1331">
        <v>1993</v>
      </c>
      <c r="E1331" t="s">
        <v>3421</v>
      </c>
      <c r="F1331" t="s">
        <v>9865</v>
      </c>
      <c r="G1331" t="s">
        <v>187</v>
      </c>
    </row>
    <row r="1332" spans="1:7" x14ac:dyDescent="0.25">
      <c r="A1332" t="s">
        <v>914</v>
      </c>
      <c r="B1332" t="s">
        <v>2630</v>
      </c>
      <c r="C1332">
        <v>2013</v>
      </c>
      <c r="E1332" t="s">
        <v>3146</v>
      </c>
      <c r="F1332" t="s">
        <v>8682</v>
      </c>
      <c r="G1332" t="s">
        <v>3994</v>
      </c>
    </row>
    <row r="1333" spans="1:7" x14ac:dyDescent="0.25">
      <c r="A1333" t="s">
        <v>260</v>
      </c>
      <c r="B1333" t="s">
        <v>2634</v>
      </c>
      <c r="C1333">
        <v>1990</v>
      </c>
      <c r="E1333" t="s">
        <v>3004</v>
      </c>
      <c r="F1333" t="s">
        <v>8477</v>
      </c>
      <c r="G1333" t="s">
        <v>3994</v>
      </c>
    </row>
    <row r="1334" spans="1:7" x14ac:dyDescent="0.25">
      <c r="A1334" t="s">
        <v>1420</v>
      </c>
      <c r="B1334" t="s">
        <v>2634</v>
      </c>
      <c r="C1334">
        <v>2007</v>
      </c>
      <c r="E1334" t="s">
        <v>3004</v>
      </c>
      <c r="F1334" t="s">
        <v>8837</v>
      </c>
      <c r="G1334" t="s">
        <v>3994</v>
      </c>
    </row>
    <row r="1335" spans="1:7" x14ac:dyDescent="0.25">
      <c r="A1335" t="s">
        <v>2023</v>
      </c>
      <c r="B1335" t="s">
        <v>2634</v>
      </c>
      <c r="C1335">
        <v>2003</v>
      </c>
      <c r="E1335" t="s">
        <v>3004</v>
      </c>
      <c r="F1335" t="s">
        <v>9866</v>
      </c>
      <c r="G1335" t="s">
        <v>187</v>
      </c>
    </row>
    <row r="1336" spans="1:7" x14ac:dyDescent="0.25">
      <c r="A1336" t="s">
        <v>2943</v>
      </c>
      <c r="B1336" t="s">
        <v>2637</v>
      </c>
      <c r="C1336">
        <v>2010</v>
      </c>
      <c r="D1336" t="s">
        <v>187</v>
      </c>
      <c r="E1336" t="s">
        <v>3435</v>
      </c>
      <c r="F1336" t="s">
        <v>9867</v>
      </c>
      <c r="G1336" t="s">
        <v>3994</v>
      </c>
    </row>
    <row r="1337" spans="1:7" x14ac:dyDescent="0.25">
      <c r="A1337" t="s">
        <v>323</v>
      </c>
      <c r="B1337" t="s">
        <v>2643</v>
      </c>
      <c r="C1337">
        <v>2020</v>
      </c>
      <c r="E1337" t="s">
        <v>3007</v>
      </c>
      <c r="F1337" t="s">
        <v>8481</v>
      </c>
      <c r="G1337" t="s">
        <v>3994</v>
      </c>
    </row>
    <row r="1338" spans="1:7" x14ac:dyDescent="0.25">
      <c r="A1338" t="s">
        <v>90</v>
      </c>
      <c r="B1338" t="s">
        <v>2643</v>
      </c>
      <c r="C1338">
        <v>2017</v>
      </c>
      <c r="E1338" t="s">
        <v>3381</v>
      </c>
      <c r="F1338" t="s">
        <v>9169</v>
      </c>
      <c r="G1338" t="s">
        <v>3994</v>
      </c>
    </row>
    <row r="1339" spans="1:7" x14ac:dyDescent="0.25">
      <c r="A1339" t="s">
        <v>160</v>
      </c>
      <c r="B1339" t="s">
        <v>2645</v>
      </c>
      <c r="C1339">
        <v>2011</v>
      </c>
      <c r="E1339" t="s">
        <v>3413</v>
      </c>
      <c r="F1339" t="s">
        <v>9307</v>
      </c>
      <c r="G1339" t="s">
        <v>3994</v>
      </c>
    </row>
    <row r="1340" spans="1:7" x14ac:dyDescent="0.25">
      <c r="A1340" t="s">
        <v>2698</v>
      </c>
      <c r="B1340" t="s">
        <v>2645</v>
      </c>
      <c r="C1340">
        <v>2022</v>
      </c>
      <c r="E1340" t="s">
        <v>3413</v>
      </c>
      <c r="F1340" t="s">
        <v>9319</v>
      </c>
      <c r="G1340" t="s">
        <v>3994</v>
      </c>
    </row>
    <row r="1341" spans="1:7" x14ac:dyDescent="0.25">
      <c r="A1341" t="s">
        <v>383</v>
      </c>
      <c r="B1341" t="s">
        <v>2648</v>
      </c>
      <c r="C1341">
        <v>2017</v>
      </c>
      <c r="E1341" t="s">
        <v>3055</v>
      </c>
      <c r="F1341" t="s">
        <v>8540</v>
      </c>
      <c r="G1341" t="s">
        <v>3994</v>
      </c>
    </row>
    <row r="1342" spans="1:7" x14ac:dyDescent="0.25">
      <c r="A1342" t="s">
        <v>1443</v>
      </c>
      <c r="B1342" t="s">
        <v>2648</v>
      </c>
      <c r="C1342">
        <v>2018</v>
      </c>
      <c r="E1342" t="s">
        <v>3055</v>
      </c>
      <c r="F1342" t="s">
        <v>8867</v>
      </c>
      <c r="G1342" t="s">
        <v>3994</v>
      </c>
    </row>
    <row r="1343" spans="1:7" x14ac:dyDescent="0.25">
      <c r="A1343" t="s">
        <v>90</v>
      </c>
      <c r="B1343" t="s">
        <v>2648</v>
      </c>
      <c r="C1343">
        <v>2017</v>
      </c>
      <c r="E1343" t="s">
        <v>3055</v>
      </c>
      <c r="F1343" t="s">
        <v>9170</v>
      </c>
      <c r="G1343" t="s">
        <v>3994</v>
      </c>
    </row>
    <row r="1344" spans="1:7" x14ac:dyDescent="0.25">
      <c r="A1344" t="s">
        <v>2481</v>
      </c>
      <c r="B1344" t="s">
        <v>2648</v>
      </c>
      <c r="C1344">
        <v>2020</v>
      </c>
      <c r="E1344" s="10" t="s">
        <v>8379</v>
      </c>
      <c r="F1344" t="s">
        <v>9234</v>
      </c>
      <c r="G1344" t="s">
        <v>3994</v>
      </c>
    </row>
    <row r="1345" spans="1:7" x14ac:dyDescent="0.25">
      <c r="A1345" t="s">
        <v>160</v>
      </c>
      <c r="B1345" t="s">
        <v>2652</v>
      </c>
      <c r="C1345">
        <v>2011</v>
      </c>
      <c r="D1345" t="s">
        <v>187</v>
      </c>
      <c r="F1345" t="s">
        <v>9868</v>
      </c>
      <c r="G1345" t="s">
        <v>3994</v>
      </c>
    </row>
    <row r="1346" spans="1:7" x14ac:dyDescent="0.25">
      <c r="A1346" t="s">
        <v>353</v>
      </c>
      <c r="B1346" t="s">
        <v>7928</v>
      </c>
      <c r="C1346">
        <v>2023</v>
      </c>
      <c r="E1346" t="s">
        <v>2982</v>
      </c>
      <c r="F1346" t="s">
        <v>8533</v>
      </c>
      <c r="G1346" t="s">
        <v>3994</v>
      </c>
    </row>
    <row r="1347" spans="1:7" x14ac:dyDescent="0.25">
      <c r="A1347" t="s">
        <v>2804</v>
      </c>
      <c r="B1347" t="s">
        <v>8136</v>
      </c>
      <c r="C1347">
        <v>2021</v>
      </c>
      <c r="E1347" s="10" t="s">
        <v>8137</v>
      </c>
      <c r="F1347" t="s">
        <v>9358</v>
      </c>
      <c r="G1347" t="s">
        <v>3994</v>
      </c>
    </row>
    <row r="1348" spans="1:7" x14ac:dyDescent="0.25">
      <c r="A1348" t="s">
        <v>2721</v>
      </c>
      <c r="B1348" t="s">
        <v>2656</v>
      </c>
      <c r="C1348">
        <v>1993</v>
      </c>
      <c r="D1348" t="s">
        <v>187</v>
      </c>
      <c r="F1348" t="s">
        <v>9869</v>
      </c>
      <c r="G1348" t="s">
        <v>3994</v>
      </c>
    </row>
    <row r="1349" spans="1:7" x14ac:dyDescent="0.25">
      <c r="A1349" t="s">
        <v>1443</v>
      </c>
      <c r="B1349" t="s">
        <v>2659</v>
      </c>
      <c r="C1349">
        <v>2018</v>
      </c>
      <c r="E1349" t="s">
        <v>3252</v>
      </c>
      <c r="F1349" t="s">
        <v>9870</v>
      </c>
      <c r="G1349" t="s">
        <v>187</v>
      </c>
    </row>
    <row r="1350" spans="1:7" x14ac:dyDescent="0.25">
      <c r="A1350" t="s">
        <v>1947</v>
      </c>
      <c r="B1350" t="s">
        <v>2659</v>
      </c>
      <c r="C1350">
        <v>2021</v>
      </c>
      <c r="E1350" t="s">
        <v>3252</v>
      </c>
      <c r="F1350" t="s">
        <v>9871</v>
      </c>
      <c r="G1350" t="s">
        <v>187</v>
      </c>
    </row>
    <row r="1351" spans="1:7" x14ac:dyDescent="0.25">
      <c r="A1351" t="s">
        <v>2324</v>
      </c>
      <c r="B1351" t="s">
        <v>2659</v>
      </c>
      <c r="C1351">
        <v>2022</v>
      </c>
      <c r="E1351" t="s">
        <v>3252</v>
      </c>
      <c r="F1351" t="s">
        <v>9872</v>
      </c>
      <c r="G1351" t="s">
        <v>187</v>
      </c>
    </row>
    <row r="1352" spans="1:7" x14ac:dyDescent="0.25">
      <c r="A1352" t="s">
        <v>90</v>
      </c>
      <c r="B1352" t="s">
        <v>2659</v>
      </c>
      <c r="C1352">
        <v>2017</v>
      </c>
      <c r="E1352" t="s">
        <v>3252</v>
      </c>
      <c r="F1352" t="s">
        <v>9171</v>
      </c>
      <c r="G1352" t="s">
        <v>3994</v>
      </c>
    </row>
    <row r="1353" spans="1:7" x14ac:dyDescent="0.25">
      <c r="A1353" t="s">
        <v>759</v>
      </c>
      <c r="B1353" t="s">
        <v>2663</v>
      </c>
      <c r="C1353">
        <v>2018</v>
      </c>
      <c r="D1353" t="s">
        <v>187</v>
      </c>
      <c r="E1353" t="s">
        <v>3123</v>
      </c>
      <c r="F1353" t="s">
        <v>8633</v>
      </c>
      <c r="G1353" t="s">
        <v>3994</v>
      </c>
    </row>
    <row r="1354" spans="1:7" x14ac:dyDescent="0.25">
      <c r="A1354" t="s">
        <v>237</v>
      </c>
      <c r="B1354" t="s">
        <v>2667</v>
      </c>
      <c r="C1354">
        <v>2021</v>
      </c>
      <c r="E1354" t="s">
        <v>2985</v>
      </c>
      <c r="F1354" t="s">
        <v>8460</v>
      </c>
      <c r="G1354" t="s">
        <v>3994</v>
      </c>
    </row>
    <row r="1355" spans="1:7" x14ac:dyDescent="0.25">
      <c r="A1355" t="s">
        <v>353</v>
      </c>
      <c r="B1355" t="s">
        <v>2667</v>
      </c>
      <c r="C1355">
        <v>2023</v>
      </c>
      <c r="E1355" t="s">
        <v>2985</v>
      </c>
      <c r="F1355" t="s">
        <v>8534</v>
      </c>
      <c r="G1355" t="s">
        <v>3994</v>
      </c>
    </row>
    <row r="1356" spans="1:7" x14ac:dyDescent="0.25">
      <c r="A1356" t="s">
        <v>1435</v>
      </c>
      <c r="B1356" t="s">
        <v>2667</v>
      </c>
      <c r="C1356">
        <v>2021</v>
      </c>
      <c r="E1356" t="s">
        <v>2985</v>
      </c>
      <c r="F1356" t="s">
        <v>8849</v>
      </c>
      <c r="G1356" t="s">
        <v>3994</v>
      </c>
    </row>
    <row r="1357" spans="1:7" x14ac:dyDescent="0.25">
      <c r="A1357" t="s">
        <v>1690</v>
      </c>
      <c r="B1357" t="s">
        <v>2667</v>
      </c>
      <c r="C1357">
        <v>2020</v>
      </c>
      <c r="E1357" t="s">
        <v>2985</v>
      </c>
      <c r="F1357" t="s">
        <v>8914</v>
      </c>
      <c r="G1357" t="s">
        <v>3994</v>
      </c>
    </row>
    <row r="1358" spans="1:7" x14ac:dyDescent="0.25">
      <c r="A1358" t="s">
        <v>90</v>
      </c>
      <c r="B1358" t="s">
        <v>2667</v>
      </c>
      <c r="C1358">
        <v>2017</v>
      </c>
      <c r="E1358" t="s">
        <v>2985</v>
      </c>
      <c r="F1358" t="s">
        <v>9172</v>
      </c>
      <c r="G1358" t="s">
        <v>3994</v>
      </c>
    </row>
    <row r="1359" spans="1:7" x14ac:dyDescent="0.25">
      <c r="A1359" t="s">
        <v>778</v>
      </c>
      <c r="B1359" t="s">
        <v>2669</v>
      </c>
      <c r="C1359">
        <v>2023</v>
      </c>
      <c r="E1359" t="s">
        <v>3127</v>
      </c>
      <c r="F1359" t="s">
        <v>8640</v>
      </c>
      <c r="G1359" t="s">
        <v>3994</v>
      </c>
    </row>
    <row r="1360" spans="1:7" x14ac:dyDescent="0.25">
      <c r="A1360" t="s">
        <v>811</v>
      </c>
      <c r="B1360" t="s">
        <v>2669</v>
      </c>
      <c r="C1360">
        <v>2024</v>
      </c>
      <c r="E1360" t="s">
        <v>3127</v>
      </c>
      <c r="F1360" t="s">
        <v>8644</v>
      </c>
      <c r="G1360" t="s">
        <v>3994</v>
      </c>
    </row>
    <row r="1361" spans="1:7" x14ac:dyDescent="0.25">
      <c r="A1361" t="s">
        <v>2804</v>
      </c>
      <c r="B1361" t="s">
        <v>2669</v>
      </c>
      <c r="C1361">
        <v>2021</v>
      </c>
      <c r="E1361" t="s">
        <v>3013</v>
      </c>
      <c r="F1361" t="s">
        <v>9873</v>
      </c>
      <c r="G1361" t="s">
        <v>187</v>
      </c>
    </row>
    <row r="1362" spans="1:7" x14ac:dyDescent="0.25">
      <c r="A1362" t="s">
        <v>2196</v>
      </c>
      <c r="B1362" t="s">
        <v>2671</v>
      </c>
      <c r="C1362">
        <v>2021</v>
      </c>
      <c r="E1362" t="s">
        <v>3337</v>
      </c>
      <c r="F1362" t="s">
        <v>9874</v>
      </c>
      <c r="G1362" t="s">
        <v>187</v>
      </c>
    </row>
    <row r="1363" spans="1:7" x14ac:dyDescent="0.25">
      <c r="A1363" t="s">
        <v>90</v>
      </c>
      <c r="B1363" t="s">
        <v>2671</v>
      </c>
      <c r="C1363">
        <v>2017</v>
      </c>
      <c r="E1363" t="s">
        <v>2982</v>
      </c>
      <c r="F1363" t="s">
        <v>9173</v>
      </c>
      <c r="G1363" t="s">
        <v>3994</v>
      </c>
    </row>
    <row r="1364" spans="1:7" x14ac:dyDescent="0.25">
      <c r="A1364" t="s">
        <v>1046</v>
      </c>
      <c r="B1364" t="s">
        <v>2675</v>
      </c>
      <c r="C1364">
        <v>2016</v>
      </c>
      <c r="E1364" t="s">
        <v>3190</v>
      </c>
      <c r="F1364" t="s">
        <v>8738</v>
      </c>
      <c r="G1364" t="s">
        <v>3994</v>
      </c>
    </row>
    <row r="1365" spans="1:7" x14ac:dyDescent="0.25">
      <c r="A1365" t="s">
        <v>1294</v>
      </c>
      <c r="B1365" t="s">
        <v>2675</v>
      </c>
      <c r="C1365">
        <v>2019</v>
      </c>
      <c r="E1365" t="s">
        <v>3190</v>
      </c>
      <c r="F1365" t="s">
        <v>8823</v>
      </c>
      <c r="G1365" t="s">
        <v>3994</v>
      </c>
    </row>
    <row r="1366" spans="1:7" x14ac:dyDescent="0.25">
      <c r="A1366" t="s">
        <v>160</v>
      </c>
      <c r="B1366" t="s">
        <v>2679</v>
      </c>
      <c r="C1366">
        <v>2011</v>
      </c>
      <c r="E1366" t="s">
        <v>3414</v>
      </c>
      <c r="F1366" t="s">
        <v>9308</v>
      </c>
      <c r="G1366" t="s">
        <v>3994</v>
      </c>
    </row>
    <row r="1367" spans="1:7" x14ac:dyDescent="0.25">
      <c r="A1367" t="s">
        <v>2721</v>
      </c>
      <c r="B1367" t="s">
        <v>2681</v>
      </c>
      <c r="C1367">
        <v>1993</v>
      </c>
      <c r="E1367" t="s">
        <v>3422</v>
      </c>
      <c r="F1367" t="s">
        <v>9325</v>
      </c>
      <c r="G1367" t="s">
        <v>3994</v>
      </c>
    </row>
    <row r="1368" spans="1:7" x14ac:dyDescent="0.25">
      <c r="A1368" t="s">
        <v>353</v>
      </c>
      <c r="B1368" t="s">
        <v>2686</v>
      </c>
      <c r="C1368">
        <v>2023</v>
      </c>
      <c r="E1368" t="s">
        <v>3050</v>
      </c>
      <c r="F1368" t="s">
        <v>8535</v>
      </c>
      <c r="G1368" t="s">
        <v>3994</v>
      </c>
    </row>
    <row r="1369" spans="1:7" x14ac:dyDescent="0.25">
      <c r="A1369" t="s">
        <v>2318</v>
      </c>
      <c r="B1369" t="s">
        <v>2686</v>
      </c>
      <c r="C1369">
        <v>2023</v>
      </c>
      <c r="E1369" t="s">
        <v>2982</v>
      </c>
      <c r="F1369" t="s">
        <v>9071</v>
      </c>
      <c r="G1369" t="s">
        <v>3994</v>
      </c>
    </row>
    <row r="1370" spans="1:7" x14ac:dyDescent="0.25">
      <c r="A1370" t="s">
        <v>90</v>
      </c>
      <c r="B1370" t="s">
        <v>2686</v>
      </c>
      <c r="C1370">
        <v>2017</v>
      </c>
      <c r="E1370" t="s">
        <v>2982</v>
      </c>
      <c r="F1370" t="s">
        <v>9174</v>
      </c>
      <c r="G1370" t="s">
        <v>3994</v>
      </c>
    </row>
    <row r="1371" spans="1:7" x14ac:dyDescent="0.25">
      <c r="A1371" t="s">
        <v>2804</v>
      </c>
      <c r="B1371" t="s">
        <v>2688</v>
      </c>
      <c r="C1371">
        <v>2021</v>
      </c>
      <c r="E1371" t="s">
        <v>3431</v>
      </c>
      <c r="F1371" t="s">
        <v>9359</v>
      </c>
      <c r="G1371" t="s">
        <v>3994</v>
      </c>
    </row>
    <row r="1372" spans="1:7" x14ac:dyDescent="0.25">
      <c r="A1372" t="s">
        <v>2804</v>
      </c>
      <c r="B1372" t="s">
        <v>2691</v>
      </c>
      <c r="C1372">
        <v>2021</v>
      </c>
      <c r="E1372" t="s">
        <v>3013</v>
      </c>
      <c r="F1372" t="s">
        <v>9875</v>
      </c>
      <c r="G1372" t="s">
        <v>187</v>
      </c>
    </row>
    <row r="1373" spans="1:7" x14ac:dyDescent="0.25">
      <c r="A1373" t="s">
        <v>1817</v>
      </c>
      <c r="B1373" t="s">
        <v>7957</v>
      </c>
      <c r="C1373">
        <v>2019</v>
      </c>
      <c r="E1373" s="10" t="s">
        <v>7956</v>
      </c>
      <c r="F1373" t="s">
        <v>8958</v>
      </c>
      <c r="G1373" t="s">
        <v>3994</v>
      </c>
    </row>
    <row r="1374" spans="1:7" x14ac:dyDescent="0.25">
      <c r="A1374" t="s">
        <v>90</v>
      </c>
      <c r="B1374" t="s">
        <v>7957</v>
      </c>
      <c r="C1374">
        <v>2017</v>
      </c>
      <c r="E1374" s="10" t="s">
        <v>7956</v>
      </c>
      <c r="F1374" t="s">
        <v>9175</v>
      </c>
      <c r="G1374" t="s">
        <v>3994</v>
      </c>
    </row>
    <row r="1375" spans="1:7" x14ac:dyDescent="0.25">
      <c r="A1375" t="s">
        <v>209</v>
      </c>
      <c r="B1375" t="s">
        <v>2695</v>
      </c>
      <c r="C1375">
        <v>2024</v>
      </c>
      <c r="E1375" t="s">
        <v>2984</v>
      </c>
      <c r="F1375" t="s">
        <v>8459</v>
      </c>
      <c r="G1375" t="s">
        <v>3994</v>
      </c>
    </row>
    <row r="1376" spans="1:7" x14ac:dyDescent="0.25">
      <c r="A1376" t="s">
        <v>344</v>
      </c>
      <c r="B1376" t="s">
        <v>2695</v>
      </c>
      <c r="C1376">
        <v>2023</v>
      </c>
      <c r="E1376" t="s">
        <v>2984</v>
      </c>
      <c r="F1376" t="s">
        <v>8489</v>
      </c>
      <c r="G1376" t="s">
        <v>3994</v>
      </c>
    </row>
    <row r="1377" spans="1:7" x14ac:dyDescent="0.25">
      <c r="A1377" t="s">
        <v>2506</v>
      </c>
      <c r="B1377" t="s">
        <v>2695</v>
      </c>
      <c r="C1377">
        <v>2021</v>
      </c>
      <c r="E1377" t="s">
        <v>2984</v>
      </c>
      <c r="F1377" t="s">
        <v>9244</v>
      </c>
      <c r="G1377" t="s">
        <v>3994</v>
      </c>
    </row>
    <row r="1378" spans="1:7" x14ac:dyDescent="0.25">
      <c r="A1378" t="s">
        <v>2594</v>
      </c>
      <c r="B1378" t="s">
        <v>2695</v>
      </c>
      <c r="C1378">
        <v>2019</v>
      </c>
      <c r="E1378" t="s">
        <v>2984</v>
      </c>
      <c r="F1378" t="s">
        <v>9257</v>
      </c>
      <c r="G1378" t="s">
        <v>3994</v>
      </c>
    </row>
    <row r="1379" spans="1:7" x14ac:dyDescent="0.25">
      <c r="A1379" t="s">
        <v>847</v>
      </c>
      <c r="B1379" t="s">
        <v>2698</v>
      </c>
      <c r="C1379">
        <v>1996</v>
      </c>
      <c r="E1379" s="10" t="s">
        <v>9385</v>
      </c>
      <c r="F1379" t="s">
        <v>9386</v>
      </c>
      <c r="G1379" t="s">
        <v>3994</v>
      </c>
    </row>
    <row r="1380" spans="1:7" x14ac:dyDescent="0.25">
      <c r="A1380" t="s">
        <v>1046</v>
      </c>
      <c r="B1380" t="s">
        <v>2698</v>
      </c>
      <c r="C1380">
        <v>2016</v>
      </c>
      <c r="E1380" t="s">
        <v>3191</v>
      </c>
      <c r="F1380" t="s">
        <v>9387</v>
      </c>
      <c r="G1380" t="s">
        <v>3994</v>
      </c>
    </row>
    <row r="1381" spans="1:7" x14ac:dyDescent="0.25">
      <c r="A1381" t="s">
        <v>1294</v>
      </c>
      <c r="B1381" t="s">
        <v>2698</v>
      </c>
      <c r="C1381">
        <v>2019</v>
      </c>
      <c r="E1381" t="s">
        <v>3191</v>
      </c>
      <c r="F1381" t="s">
        <v>8824</v>
      </c>
      <c r="G1381" t="s">
        <v>3994</v>
      </c>
    </row>
    <row r="1382" spans="1:7" x14ac:dyDescent="0.25">
      <c r="A1382" t="s">
        <v>1855</v>
      </c>
      <c r="B1382" t="s">
        <v>2698</v>
      </c>
      <c r="C1382">
        <v>2015</v>
      </c>
      <c r="E1382" t="s">
        <v>3191</v>
      </c>
      <c r="F1382" t="s">
        <v>9388</v>
      </c>
      <c r="G1382" t="s">
        <v>3994</v>
      </c>
    </row>
    <row r="1383" spans="1:7" x14ac:dyDescent="0.25">
      <c r="A1383" t="s">
        <v>2099</v>
      </c>
      <c r="B1383" t="s">
        <v>2698</v>
      </c>
      <c r="C1383">
        <v>2021</v>
      </c>
      <c r="E1383" s="10" t="s">
        <v>8380</v>
      </c>
      <c r="F1383" t="s">
        <v>9003</v>
      </c>
      <c r="G1383" t="s">
        <v>3994</v>
      </c>
    </row>
    <row r="1384" spans="1:7" x14ac:dyDescent="0.25">
      <c r="A1384" t="s">
        <v>160</v>
      </c>
      <c r="B1384" t="s">
        <v>2698</v>
      </c>
      <c r="C1384">
        <v>2011</v>
      </c>
      <c r="E1384" t="s">
        <v>3191</v>
      </c>
      <c r="F1384" t="s">
        <v>9389</v>
      </c>
      <c r="G1384" t="s">
        <v>3994</v>
      </c>
    </row>
    <row r="1385" spans="1:7" x14ac:dyDescent="0.25">
      <c r="A1385" t="s">
        <v>2804</v>
      </c>
      <c r="B1385" t="s">
        <v>2698</v>
      </c>
      <c r="C1385">
        <v>2021</v>
      </c>
      <c r="E1385" s="10" t="s">
        <v>3191</v>
      </c>
      <c r="F1385" t="s">
        <v>9384</v>
      </c>
      <c r="G1385" t="s">
        <v>3994</v>
      </c>
    </row>
    <row r="1386" spans="1:7" x14ac:dyDescent="0.25">
      <c r="A1386" t="s">
        <v>746</v>
      </c>
      <c r="B1386" t="s">
        <v>2702</v>
      </c>
      <c r="C1386">
        <v>2015</v>
      </c>
      <c r="E1386" t="s">
        <v>2982</v>
      </c>
      <c r="F1386" t="s">
        <v>8612</v>
      </c>
      <c r="G1386" t="s">
        <v>3994</v>
      </c>
    </row>
    <row r="1387" spans="1:7" x14ac:dyDescent="0.25">
      <c r="A1387" t="s">
        <v>2154</v>
      </c>
      <c r="B1387" t="s">
        <v>2706</v>
      </c>
      <c r="C1387">
        <v>1980</v>
      </c>
      <c r="E1387" t="s">
        <v>3328</v>
      </c>
      <c r="F1387" t="s">
        <v>9047</v>
      </c>
      <c r="G1387" t="s">
        <v>3994</v>
      </c>
    </row>
    <row r="1388" spans="1:7" x14ac:dyDescent="0.25">
      <c r="A1388" t="s">
        <v>2706</v>
      </c>
      <c r="B1388" t="s">
        <v>2709</v>
      </c>
      <c r="C1388">
        <v>1991</v>
      </c>
      <c r="D1388" t="s">
        <v>187</v>
      </c>
      <c r="F1388" t="s">
        <v>9876</v>
      </c>
      <c r="G1388" t="s">
        <v>3994</v>
      </c>
    </row>
    <row r="1389" spans="1:7" x14ac:dyDescent="0.25">
      <c r="A1389" t="s">
        <v>1046</v>
      </c>
      <c r="B1389" t="s">
        <v>2711</v>
      </c>
      <c r="C1389">
        <v>2016</v>
      </c>
      <c r="E1389" t="s">
        <v>3192</v>
      </c>
      <c r="F1389" t="s">
        <v>8739</v>
      </c>
      <c r="G1389" t="s">
        <v>3994</v>
      </c>
    </row>
    <row r="1390" spans="1:7" x14ac:dyDescent="0.25">
      <c r="A1390" t="s">
        <v>160</v>
      </c>
      <c r="B1390" t="s">
        <v>2711</v>
      </c>
      <c r="C1390">
        <v>2011</v>
      </c>
      <c r="E1390" t="s">
        <v>3192</v>
      </c>
      <c r="F1390" t="s">
        <v>9309</v>
      </c>
      <c r="G1390" t="s">
        <v>3994</v>
      </c>
    </row>
    <row r="1391" spans="1:7" x14ac:dyDescent="0.25">
      <c r="A1391" t="s">
        <v>2721</v>
      </c>
      <c r="B1391" t="s">
        <v>2715</v>
      </c>
      <c r="C1391">
        <v>1993</v>
      </c>
      <c r="D1391" t="s">
        <v>187</v>
      </c>
      <c r="F1391" t="s">
        <v>9877</v>
      </c>
      <c r="G1391" t="s">
        <v>3994</v>
      </c>
    </row>
    <row r="1392" spans="1:7" x14ac:dyDescent="0.25">
      <c r="A1392" t="s">
        <v>2715</v>
      </c>
      <c r="B1392" t="s">
        <v>2718</v>
      </c>
      <c r="C1392">
        <v>1999</v>
      </c>
      <c r="D1392" t="s">
        <v>187</v>
      </c>
      <c r="F1392" t="s">
        <v>9878</v>
      </c>
      <c r="G1392" t="s">
        <v>3994</v>
      </c>
    </row>
    <row r="1393" spans="1:7" x14ac:dyDescent="0.25">
      <c r="A1393" t="s">
        <v>2154</v>
      </c>
      <c r="B1393" t="s">
        <v>2721</v>
      </c>
      <c r="C1393">
        <v>1980</v>
      </c>
      <c r="E1393" t="s">
        <v>3329</v>
      </c>
      <c r="F1393" t="s">
        <v>9048</v>
      </c>
      <c r="G1393" t="s">
        <v>3994</v>
      </c>
    </row>
    <row r="1394" spans="1:7" x14ac:dyDescent="0.25">
      <c r="A1394" t="s">
        <v>964</v>
      </c>
      <c r="B1394" t="s">
        <v>2724</v>
      </c>
      <c r="C1394">
        <v>2006</v>
      </c>
      <c r="E1394" t="s">
        <v>2727</v>
      </c>
      <c r="F1394" t="s">
        <v>8704</v>
      </c>
      <c r="G1394" t="s">
        <v>3994</v>
      </c>
    </row>
    <row r="1395" spans="1:7" x14ac:dyDescent="0.25">
      <c r="A1395" t="s">
        <v>1157</v>
      </c>
      <c r="B1395" t="s">
        <v>2728</v>
      </c>
      <c r="C1395">
        <v>2014</v>
      </c>
      <c r="D1395" t="s">
        <v>187</v>
      </c>
      <c r="F1395" t="s">
        <v>9879</v>
      </c>
      <c r="G1395" t="s">
        <v>3994</v>
      </c>
    </row>
    <row r="1396" spans="1:7" x14ac:dyDescent="0.25">
      <c r="A1396" t="s">
        <v>1659</v>
      </c>
      <c r="B1396" t="s">
        <v>2731</v>
      </c>
      <c r="C1396">
        <v>2012</v>
      </c>
      <c r="D1396" t="s">
        <v>187</v>
      </c>
      <c r="F1396" t="s">
        <v>9880</v>
      </c>
      <c r="G1396" t="s">
        <v>3994</v>
      </c>
    </row>
    <row r="1397" spans="1:7" x14ac:dyDescent="0.25">
      <c r="A1397" t="s">
        <v>90</v>
      </c>
      <c r="B1397" t="s">
        <v>2734</v>
      </c>
      <c r="C1397">
        <v>2017</v>
      </c>
      <c r="E1397" t="s">
        <v>3382</v>
      </c>
      <c r="F1397" t="s">
        <v>9881</v>
      </c>
      <c r="G1397" t="s">
        <v>187</v>
      </c>
    </row>
    <row r="1398" spans="1:7" x14ac:dyDescent="0.25">
      <c r="A1398" t="s">
        <v>2185</v>
      </c>
      <c r="B1398" t="s">
        <v>2736</v>
      </c>
      <c r="C1398">
        <v>2022</v>
      </c>
      <c r="E1398" t="s">
        <v>3336</v>
      </c>
      <c r="F1398" t="s">
        <v>9064</v>
      </c>
      <c r="G1398" t="s">
        <v>3994</v>
      </c>
    </row>
    <row r="1399" spans="1:7" x14ac:dyDescent="0.25">
      <c r="A1399" t="s">
        <v>1690</v>
      </c>
      <c r="B1399" t="s">
        <v>2738</v>
      </c>
      <c r="C1399">
        <v>2020</v>
      </c>
      <c r="E1399" t="s">
        <v>2982</v>
      </c>
      <c r="F1399" t="s">
        <v>8915</v>
      </c>
      <c r="G1399" t="s">
        <v>3994</v>
      </c>
    </row>
    <row r="1400" spans="1:7" x14ac:dyDescent="0.25">
      <c r="A1400" t="s">
        <v>90</v>
      </c>
      <c r="B1400" t="s">
        <v>2738</v>
      </c>
      <c r="C1400">
        <v>2017</v>
      </c>
      <c r="E1400" t="s">
        <v>2982</v>
      </c>
      <c r="F1400" t="s">
        <v>9176</v>
      </c>
      <c r="G1400" t="s">
        <v>3994</v>
      </c>
    </row>
    <row r="1401" spans="1:7" x14ac:dyDescent="0.25">
      <c r="A1401" t="s">
        <v>1365</v>
      </c>
      <c r="B1401" t="s">
        <v>2742</v>
      </c>
      <c r="C1401">
        <v>2018</v>
      </c>
      <c r="E1401" t="s">
        <v>2982</v>
      </c>
      <c r="F1401" t="s">
        <v>8834</v>
      </c>
      <c r="G1401" t="s">
        <v>3994</v>
      </c>
    </row>
    <row r="1402" spans="1:7" x14ac:dyDescent="0.25">
      <c r="A1402" t="s">
        <v>2804</v>
      </c>
      <c r="B1402" t="s">
        <v>2742</v>
      </c>
      <c r="C1402">
        <v>2021</v>
      </c>
      <c r="E1402" t="s">
        <v>2982</v>
      </c>
      <c r="F1402" t="s">
        <v>9360</v>
      </c>
      <c r="G1402" t="s">
        <v>3994</v>
      </c>
    </row>
    <row r="1403" spans="1:7" x14ac:dyDescent="0.25">
      <c r="A1403" t="s">
        <v>930</v>
      </c>
      <c r="B1403" t="s">
        <v>2744</v>
      </c>
      <c r="C1403">
        <v>2015</v>
      </c>
      <c r="E1403" t="s">
        <v>3159</v>
      </c>
      <c r="F1403" t="s">
        <v>8695</v>
      </c>
      <c r="G1403" t="s">
        <v>3994</v>
      </c>
    </row>
    <row r="1404" spans="1:7" x14ac:dyDescent="0.25">
      <c r="A1404" t="s">
        <v>160</v>
      </c>
      <c r="B1404" t="s">
        <v>2747</v>
      </c>
      <c r="C1404">
        <v>2011</v>
      </c>
      <c r="E1404" t="s">
        <v>3415</v>
      </c>
      <c r="F1404" t="s">
        <v>9310</v>
      </c>
      <c r="G1404" t="s">
        <v>3994</v>
      </c>
    </row>
    <row r="1405" spans="1:7" x14ac:dyDescent="0.25">
      <c r="A1405" t="s">
        <v>1144</v>
      </c>
      <c r="B1405" t="s">
        <v>2751</v>
      </c>
      <c r="C1405">
        <v>2012</v>
      </c>
      <c r="E1405" t="s">
        <v>2982</v>
      </c>
      <c r="F1405" t="s">
        <v>8774</v>
      </c>
      <c r="G1405" t="s">
        <v>3994</v>
      </c>
    </row>
    <row r="1406" spans="1:7" x14ac:dyDescent="0.25">
      <c r="A1406" t="s">
        <v>90</v>
      </c>
      <c r="B1406" t="s">
        <v>2751</v>
      </c>
      <c r="C1406">
        <v>2017</v>
      </c>
      <c r="E1406" t="s">
        <v>2982</v>
      </c>
      <c r="F1406" t="s">
        <v>9177</v>
      </c>
      <c r="G1406" t="s">
        <v>3994</v>
      </c>
    </row>
    <row r="1407" spans="1:7" x14ac:dyDescent="0.25">
      <c r="A1407" t="s">
        <v>344</v>
      </c>
      <c r="B1407" t="s">
        <v>2755</v>
      </c>
      <c r="C1407">
        <v>2023</v>
      </c>
      <c r="E1407" t="s">
        <v>3013</v>
      </c>
      <c r="F1407" t="s">
        <v>9882</v>
      </c>
      <c r="G1407" t="s">
        <v>187</v>
      </c>
    </row>
    <row r="1408" spans="1:7" x14ac:dyDescent="0.25">
      <c r="A1408" t="s">
        <v>1443</v>
      </c>
      <c r="B1408" t="s">
        <v>8111</v>
      </c>
      <c r="C1408">
        <v>2018</v>
      </c>
      <c r="E1408" s="10" t="s">
        <v>8121</v>
      </c>
      <c r="F1408" t="s">
        <v>8868</v>
      </c>
      <c r="G1408" t="s">
        <v>3994</v>
      </c>
    </row>
    <row r="1409" spans="1:7" x14ac:dyDescent="0.25">
      <c r="A1409" t="s">
        <v>1144</v>
      </c>
      <c r="B1409" t="s">
        <v>2757</v>
      </c>
      <c r="C1409">
        <v>2012</v>
      </c>
      <c r="E1409" t="s">
        <v>2982</v>
      </c>
      <c r="F1409" t="s">
        <v>8775</v>
      </c>
      <c r="G1409" t="s">
        <v>3994</v>
      </c>
    </row>
    <row r="1410" spans="1:7" x14ac:dyDescent="0.25">
      <c r="A1410" t="s">
        <v>930</v>
      </c>
      <c r="B1410" t="s">
        <v>2760</v>
      </c>
      <c r="C1410">
        <v>2015</v>
      </c>
      <c r="E1410" t="s">
        <v>3160</v>
      </c>
      <c r="F1410" t="s">
        <v>8696</v>
      </c>
      <c r="G1410" t="s">
        <v>3994</v>
      </c>
    </row>
    <row r="1411" spans="1:7" x14ac:dyDescent="0.25">
      <c r="A1411" t="s">
        <v>2428</v>
      </c>
      <c r="B1411" t="s">
        <v>2760</v>
      </c>
      <c r="C1411">
        <v>2008</v>
      </c>
      <c r="E1411" t="s">
        <v>3160</v>
      </c>
      <c r="F1411" t="s">
        <v>9228</v>
      </c>
      <c r="G1411" t="s">
        <v>3994</v>
      </c>
    </row>
    <row r="1412" spans="1:7" x14ac:dyDescent="0.25">
      <c r="A1412" t="s">
        <v>160</v>
      </c>
      <c r="B1412" t="s">
        <v>2760</v>
      </c>
      <c r="C1412">
        <v>2011</v>
      </c>
      <c r="E1412" t="s">
        <v>3160</v>
      </c>
      <c r="F1412" t="s">
        <v>9311</v>
      </c>
      <c r="G1412" t="s">
        <v>3994</v>
      </c>
    </row>
    <row r="1413" spans="1:7" x14ac:dyDescent="0.25">
      <c r="A1413" t="s">
        <v>344</v>
      </c>
      <c r="B1413" t="s">
        <v>2763</v>
      </c>
      <c r="C1413">
        <v>2023</v>
      </c>
      <c r="E1413" t="s">
        <v>3014</v>
      </c>
      <c r="F1413" t="s">
        <v>9883</v>
      </c>
      <c r="G1413" t="s">
        <v>187</v>
      </c>
    </row>
    <row r="1414" spans="1:7" x14ac:dyDescent="0.25">
      <c r="A1414" t="s">
        <v>2614</v>
      </c>
      <c r="B1414" t="s">
        <v>2763</v>
      </c>
      <c r="C1414">
        <v>2025</v>
      </c>
      <c r="E1414" t="s">
        <v>3014</v>
      </c>
      <c r="F1414" t="s">
        <v>9884</v>
      </c>
      <c r="G1414" t="s">
        <v>187</v>
      </c>
    </row>
    <row r="1415" spans="1:7" x14ac:dyDescent="0.25">
      <c r="A1415" t="s">
        <v>759</v>
      </c>
      <c r="B1415" t="s">
        <v>2766</v>
      </c>
      <c r="C1415">
        <v>2018</v>
      </c>
      <c r="E1415" t="s">
        <v>2982</v>
      </c>
      <c r="F1415" t="s">
        <v>8634</v>
      </c>
      <c r="G1415" t="s">
        <v>3994</v>
      </c>
    </row>
    <row r="1416" spans="1:7" x14ac:dyDescent="0.25">
      <c r="A1416" t="s">
        <v>1004</v>
      </c>
      <c r="B1416" t="s">
        <v>2769</v>
      </c>
      <c r="C1416">
        <v>2006</v>
      </c>
      <c r="E1416" t="s">
        <v>3174</v>
      </c>
      <c r="F1416" t="s">
        <v>9885</v>
      </c>
      <c r="G1416" t="s">
        <v>187</v>
      </c>
    </row>
    <row r="1417" spans="1:7" x14ac:dyDescent="0.25">
      <c r="A1417" t="s">
        <v>160</v>
      </c>
      <c r="B1417" t="s">
        <v>2769</v>
      </c>
      <c r="C1417">
        <v>2011</v>
      </c>
      <c r="E1417" t="s">
        <v>3174</v>
      </c>
      <c r="F1417" t="s">
        <v>9886</v>
      </c>
      <c r="G1417" t="s">
        <v>187</v>
      </c>
    </row>
    <row r="1418" spans="1:7" x14ac:dyDescent="0.25">
      <c r="A1418" t="s">
        <v>256</v>
      </c>
      <c r="B1418" t="s">
        <v>2771</v>
      </c>
      <c r="C1418">
        <v>1994</v>
      </c>
      <c r="D1418" t="s">
        <v>187</v>
      </c>
      <c r="F1418" t="s">
        <v>9887</v>
      </c>
      <c r="G1418" t="s">
        <v>3994</v>
      </c>
    </row>
    <row r="1419" spans="1:7" x14ac:dyDescent="0.25">
      <c r="A1419" t="s">
        <v>353</v>
      </c>
      <c r="B1419" t="s">
        <v>7697</v>
      </c>
      <c r="C1419">
        <v>2023</v>
      </c>
      <c r="E1419" t="s">
        <v>7696</v>
      </c>
      <c r="F1419" t="s">
        <v>8536</v>
      </c>
      <c r="G1419" t="s">
        <v>3994</v>
      </c>
    </row>
    <row r="1420" spans="1:7" x14ac:dyDescent="0.25">
      <c r="A1420" t="s">
        <v>2506</v>
      </c>
      <c r="B1420" t="s">
        <v>7697</v>
      </c>
      <c r="C1420">
        <v>2021</v>
      </c>
      <c r="E1420" t="s">
        <v>7696</v>
      </c>
      <c r="F1420" t="s">
        <v>9245</v>
      </c>
      <c r="G1420" t="s">
        <v>3994</v>
      </c>
    </row>
    <row r="1421" spans="1:7" x14ac:dyDescent="0.25">
      <c r="A1421" t="s">
        <v>759</v>
      </c>
      <c r="B1421" t="s">
        <v>2782</v>
      </c>
      <c r="C1421">
        <v>2018</v>
      </c>
      <c r="E1421" t="s">
        <v>3124</v>
      </c>
      <c r="F1421" t="s">
        <v>8635</v>
      </c>
      <c r="G1421" t="s">
        <v>3994</v>
      </c>
    </row>
    <row r="1422" spans="1:7" x14ac:dyDescent="0.25">
      <c r="A1422" t="s">
        <v>1046</v>
      </c>
      <c r="B1422" t="s">
        <v>2782</v>
      </c>
      <c r="C1422">
        <v>2016</v>
      </c>
      <c r="E1422" s="10" t="s">
        <v>8425</v>
      </c>
      <c r="F1422" t="s">
        <v>8740</v>
      </c>
      <c r="G1422" t="s">
        <v>3994</v>
      </c>
    </row>
    <row r="1423" spans="1:7" x14ac:dyDescent="0.25">
      <c r="A1423" t="s">
        <v>2173</v>
      </c>
      <c r="B1423" t="s">
        <v>2782</v>
      </c>
      <c r="C1423">
        <v>2013</v>
      </c>
      <c r="E1423" t="s">
        <v>3124</v>
      </c>
      <c r="F1423" t="s">
        <v>9062</v>
      </c>
      <c r="G1423" t="s">
        <v>3994</v>
      </c>
    </row>
    <row r="1424" spans="1:7" x14ac:dyDescent="0.25">
      <c r="A1424" t="s">
        <v>90</v>
      </c>
      <c r="B1424" t="s">
        <v>2782</v>
      </c>
      <c r="C1424">
        <v>2017</v>
      </c>
      <c r="E1424" s="10" t="s">
        <v>9413</v>
      </c>
      <c r="F1424" t="s">
        <v>9414</v>
      </c>
      <c r="G1424" t="s">
        <v>3994</v>
      </c>
    </row>
    <row r="1425" spans="1:7" x14ac:dyDescent="0.25">
      <c r="A1425" t="s">
        <v>160</v>
      </c>
      <c r="B1425" t="s">
        <v>2782</v>
      </c>
      <c r="C1425">
        <v>2011</v>
      </c>
      <c r="E1425" t="s">
        <v>3124</v>
      </c>
      <c r="F1425" t="s">
        <v>9312</v>
      </c>
      <c r="G1425" t="s">
        <v>3994</v>
      </c>
    </row>
    <row r="1426" spans="1:7" x14ac:dyDescent="0.25">
      <c r="A1426" t="s">
        <v>1294</v>
      </c>
      <c r="B1426" t="s">
        <v>2786</v>
      </c>
      <c r="C1426">
        <v>2019</v>
      </c>
      <c r="E1426" s="10" t="s">
        <v>8425</v>
      </c>
      <c r="F1426" t="s">
        <v>9380</v>
      </c>
      <c r="G1426" t="s">
        <v>3994</v>
      </c>
    </row>
    <row r="1427" spans="1:7" x14ac:dyDescent="0.25">
      <c r="A1427" t="s">
        <v>2782</v>
      </c>
      <c r="B1427" t="s">
        <v>2786</v>
      </c>
      <c r="C1427">
        <v>2019</v>
      </c>
      <c r="D1427" t="s">
        <v>187</v>
      </c>
      <c r="F1427" t="s">
        <v>9888</v>
      </c>
      <c r="G1427" t="s">
        <v>3994</v>
      </c>
    </row>
    <row r="1428" spans="1:7" x14ac:dyDescent="0.25">
      <c r="A1428" t="s">
        <v>490</v>
      </c>
      <c r="B1428" t="s">
        <v>2788</v>
      </c>
      <c r="C1428">
        <v>2009</v>
      </c>
      <c r="E1428" t="s">
        <v>3063</v>
      </c>
      <c r="F1428" t="s">
        <v>8550</v>
      </c>
      <c r="G1428" t="s">
        <v>3994</v>
      </c>
    </row>
    <row r="1429" spans="1:7" x14ac:dyDescent="0.25">
      <c r="A1429" t="s">
        <v>1795</v>
      </c>
      <c r="B1429" t="s">
        <v>2788</v>
      </c>
      <c r="C1429">
        <v>1987</v>
      </c>
      <c r="E1429" s="10" t="s">
        <v>8398</v>
      </c>
      <c r="F1429" t="s">
        <v>8952</v>
      </c>
      <c r="G1429" t="s">
        <v>3994</v>
      </c>
    </row>
    <row r="1430" spans="1:7" x14ac:dyDescent="0.25">
      <c r="A1430" t="s">
        <v>2154</v>
      </c>
      <c r="B1430" t="s">
        <v>2788</v>
      </c>
      <c r="C1430">
        <v>1980</v>
      </c>
      <c r="E1430" s="10" t="s">
        <v>8398</v>
      </c>
      <c r="F1430" t="s">
        <v>9049</v>
      </c>
      <c r="G1430" t="s">
        <v>3994</v>
      </c>
    </row>
    <row r="1431" spans="1:7" x14ac:dyDescent="0.25">
      <c r="A1431" t="s">
        <v>2788</v>
      </c>
      <c r="B1431" t="s">
        <v>2790</v>
      </c>
      <c r="C1431">
        <v>2017</v>
      </c>
      <c r="D1431" t="s">
        <v>187</v>
      </c>
      <c r="F1431" t="s">
        <v>9889</v>
      </c>
      <c r="G1431" t="s">
        <v>3994</v>
      </c>
    </row>
    <row r="1432" spans="1:7" x14ac:dyDescent="0.25">
      <c r="A1432" t="s">
        <v>1795</v>
      </c>
      <c r="B1432" t="s">
        <v>2792</v>
      </c>
      <c r="C1432">
        <v>1987</v>
      </c>
      <c r="E1432" t="s">
        <v>3288</v>
      </c>
      <c r="F1432" t="s">
        <v>9890</v>
      </c>
      <c r="G1432" t="s">
        <v>187</v>
      </c>
    </row>
    <row r="1433" spans="1:7" x14ac:dyDescent="0.25">
      <c r="A1433" t="s">
        <v>1882</v>
      </c>
      <c r="B1433" t="s">
        <v>2792</v>
      </c>
      <c r="C1433">
        <v>1987</v>
      </c>
      <c r="E1433" t="s">
        <v>3288</v>
      </c>
      <c r="F1433" t="s">
        <v>9891</v>
      </c>
      <c r="G1433" t="s">
        <v>187</v>
      </c>
    </row>
    <row r="1434" spans="1:7" x14ac:dyDescent="0.25">
      <c r="A1434" t="s">
        <v>847</v>
      </c>
      <c r="B1434" t="s">
        <v>2796</v>
      </c>
      <c r="C1434">
        <v>1996</v>
      </c>
      <c r="E1434" s="10" t="s">
        <v>3166</v>
      </c>
      <c r="F1434" t="s">
        <v>8450</v>
      </c>
      <c r="G1434" t="s">
        <v>3994</v>
      </c>
    </row>
    <row r="1435" spans="1:7" x14ac:dyDescent="0.25">
      <c r="A1435" t="s">
        <v>964</v>
      </c>
      <c r="B1435" t="s">
        <v>2796</v>
      </c>
      <c r="C1435">
        <v>2018</v>
      </c>
      <c r="E1435" t="s">
        <v>3166</v>
      </c>
      <c r="F1435" t="s">
        <v>8705</v>
      </c>
      <c r="G1435" t="s">
        <v>3994</v>
      </c>
    </row>
    <row r="1436" spans="1:7" x14ac:dyDescent="0.25">
      <c r="A1436" t="s">
        <v>2428</v>
      </c>
      <c r="B1436" t="s">
        <v>2796</v>
      </c>
      <c r="C1436">
        <v>2018</v>
      </c>
      <c r="E1436" t="s">
        <v>3166</v>
      </c>
      <c r="F1436" t="s">
        <v>9229</v>
      </c>
      <c r="G1436" t="s">
        <v>3994</v>
      </c>
    </row>
    <row r="1437" spans="1:7" x14ac:dyDescent="0.25">
      <c r="A1437" t="s">
        <v>2804</v>
      </c>
      <c r="B1437" t="s">
        <v>2798</v>
      </c>
      <c r="C1437">
        <v>2021</v>
      </c>
      <c r="D1437" t="s">
        <v>187</v>
      </c>
      <c r="F1437" t="s">
        <v>9892</v>
      </c>
      <c r="G1437" t="s">
        <v>3994</v>
      </c>
    </row>
    <row r="1438" spans="1:7" x14ac:dyDescent="0.25">
      <c r="A1438" t="s">
        <v>497</v>
      </c>
      <c r="B1438" t="s">
        <v>2800</v>
      </c>
      <c r="C1438">
        <v>2022</v>
      </c>
      <c r="E1438" s="10" t="s">
        <v>8405</v>
      </c>
      <c r="F1438" t="s">
        <v>9893</v>
      </c>
      <c r="G1438" t="s">
        <v>187</v>
      </c>
    </row>
    <row r="1439" spans="1:7" x14ac:dyDescent="0.25">
      <c r="A1439" t="s">
        <v>2397</v>
      </c>
      <c r="B1439" t="s">
        <v>2800</v>
      </c>
      <c r="C1439">
        <v>2022</v>
      </c>
      <c r="E1439" s="10" t="s">
        <v>8405</v>
      </c>
      <c r="F1439" t="s">
        <v>9894</v>
      </c>
      <c r="G1439" t="s">
        <v>187</v>
      </c>
    </row>
    <row r="1440" spans="1:7" x14ac:dyDescent="0.25">
      <c r="A1440" t="s">
        <v>2804</v>
      </c>
      <c r="B1440" t="s">
        <v>2800</v>
      </c>
      <c r="C1440">
        <v>2021</v>
      </c>
      <c r="E1440" t="s">
        <v>2982</v>
      </c>
      <c r="F1440" t="s">
        <v>9361</v>
      </c>
      <c r="G1440" t="s">
        <v>3994</v>
      </c>
    </row>
    <row r="1441" spans="1:7" x14ac:dyDescent="0.25">
      <c r="A1441" t="s">
        <v>1592</v>
      </c>
      <c r="B1441" t="s">
        <v>2804</v>
      </c>
      <c r="C1441">
        <v>2019</v>
      </c>
      <c r="E1441" t="s">
        <v>3266</v>
      </c>
      <c r="F1441" t="s">
        <v>8902</v>
      </c>
      <c r="G1441" t="s">
        <v>3994</v>
      </c>
    </row>
    <row r="1442" spans="1:7" x14ac:dyDescent="0.25">
      <c r="A1442" t="s">
        <v>90</v>
      </c>
      <c r="B1442" t="s">
        <v>2808</v>
      </c>
      <c r="C1442">
        <v>2017</v>
      </c>
      <c r="E1442" t="s">
        <v>3383</v>
      </c>
      <c r="F1442" t="s">
        <v>9178</v>
      </c>
      <c r="G1442" t="s">
        <v>3994</v>
      </c>
    </row>
    <row r="1443" spans="1:7" x14ac:dyDescent="0.25">
      <c r="A1443" t="s">
        <v>651</v>
      </c>
      <c r="B1443" t="s">
        <v>2812</v>
      </c>
      <c r="C1443">
        <v>2023</v>
      </c>
      <c r="E1443" t="s">
        <v>3082</v>
      </c>
      <c r="F1443" t="s">
        <v>8578</v>
      </c>
      <c r="G1443" t="s">
        <v>3994</v>
      </c>
    </row>
    <row r="1444" spans="1:7" x14ac:dyDescent="0.25">
      <c r="A1444" t="s">
        <v>1029</v>
      </c>
      <c r="B1444" t="s">
        <v>2812</v>
      </c>
      <c r="C1444">
        <v>2022</v>
      </c>
      <c r="E1444" t="s">
        <v>3082</v>
      </c>
      <c r="F1444" t="s">
        <v>8717</v>
      </c>
      <c r="G1444" t="s">
        <v>3994</v>
      </c>
    </row>
    <row r="1445" spans="1:7" x14ac:dyDescent="0.25">
      <c r="A1445" t="s">
        <v>1272</v>
      </c>
      <c r="B1445" t="s">
        <v>2812</v>
      </c>
      <c r="C1445">
        <v>2020</v>
      </c>
      <c r="E1445" t="s">
        <v>3082</v>
      </c>
      <c r="F1445" t="s">
        <v>8782</v>
      </c>
      <c r="G1445" t="s">
        <v>3994</v>
      </c>
    </row>
    <row r="1446" spans="1:7" x14ac:dyDescent="0.25">
      <c r="A1446" t="s">
        <v>1294</v>
      </c>
      <c r="B1446" t="s">
        <v>2812</v>
      </c>
      <c r="C1446">
        <v>2019</v>
      </c>
      <c r="E1446" t="s">
        <v>3082</v>
      </c>
      <c r="F1446" t="s">
        <v>8825</v>
      </c>
      <c r="G1446" t="s">
        <v>3994</v>
      </c>
    </row>
    <row r="1447" spans="1:7" x14ac:dyDescent="0.25">
      <c r="A1447" t="s">
        <v>2136</v>
      </c>
      <c r="B1447" t="s">
        <v>2812</v>
      </c>
      <c r="C1447">
        <v>2020</v>
      </c>
      <c r="E1447" t="s">
        <v>3082</v>
      </c>
      <c r="F1447" t="s">
        <v>9022</v>
      </c>
      <c r="G1447" t="s">
        <v>3994</v>
      </c>
    </row>
    <row r="1448" spans="1:7" x14ac:dyDescent="0.25">
      <c r="A1448" t="s">
        <v>2954</v>
      </c>
      <c r="B1448" t="s">
        <v>2812</v>
      </c>
      <c r="C1448">
        <v>2014</v>
      </c>
      <c r="E1448" t="s">
        <v>3082</v>
      </c>
      <c r="F1448" t="s">
        <v>9379</v>
      </c>
      <c r="G1448" t="s">
        <v>3994</v>
      </c>
    </row>
    <row r="1449" spans="1:7" x14ac:dyDescent="0.25">
      <c r="A1449" t="s">
        <v>2804</v>
      </c>
      <c r="B1449" t="s">
        <v>2814</v>
      </c>
      <c r="C1449">
        <v>2021</v>
      </c>
      <c r="E1449" t="s">
        <v>2982</v>
      </c>
      <c r="F1449" t="s">
        <v>9362</v>
      </c>
      <c r="G1449" t="s">
        <v>3994</v>
      </c>
    </row>
    <row r="1450" spans="1:7" x14ac:dyDescent="0.25">
      <c r="A1450" t="s">
        <v>924</v>
      </c>
      <c r="B1450" t="s">
        <v>2818</v>
      </c>
      <c r="C1450">
        <v>2019</v>
      </c>
      <c r="E1450" t="s">
        <v>3153</v>
      </c>
      <c r="F1450" t="s">
        <v>9895</v>
      </c>
      <c r="G1450" t="s">
        <v>187</v>
      </c>
    </row>
    <row r="1451" spans="1:7" x14ac:dyDescent="0.25">
      <c r="A1451" t="s">
        <v>90</v>
      </c>
      <c r="B1451" t="s">
        <v>2818</v>
      </c>
      <c r="C1451">
        <v>2017</v>
      </c>
      <c r="E1451" t="s">
        <v>3153</v>
      </c>
      <c r="F1451" t="s">
        <v>9896</v>
      </c>
      <c r="G1451" t="s">
        <v>187</v>
      </c>
    </row>
    <row r="1452" spans="1:7" x14ac:dyDescent="0.25">
      <c r="A1452" t="s">
        <v>2721</v>
      </c>
      <c r="B1452" t="s">
        <v>2818</v>
      </c>
      <c r="C1452">
        <v>1993</v>
      </c>
      <c r="E1452" t="s">
        <v>3153</v>
      </c>
      <c r="F1452" t="s">
        <v>9897</v>
      </c>
      <c r="G1452" t="s">
        <v>187</v>
      </c>
    </row>
    <row r="1453" spans="1:7" x14ac:dyDescent="0.25">
      <c r="A1453" t="s">
        <v>2818</v>
      </c>
      <c r="B1453" t="s">
        <v>2820</v>
      </c>
      <c r="C1453">
        <v>2021</v>
      </c>
      <c r="D1453" t="s">
        <v>187</v>
      </c>
      <c r="F1453" t="s">
        <v>9898</v>
      </c>
      <c r="G1453" t="s">
        <v>3994</v>
      </c>
    </row>
    <row r="1454" spans="1:7" x14ac:dyDescent="0.25">
      <c r="A1454" t="s">
        <v>746</v>
      </c>
      <c r="B1454" t="s">
        <v>2822</v>
      </c>
      <c r="C1454">
        <v>2015</v>
      </c>
      <c r="E1454" t="s">
        <v>3108</v>
      </c>
      <c r="F1454" t="s">
        <v>8613</v>
      </c>
      <c r="G1454" t="s">
        <v>3994</v>
      </c>
    </row>
    <row r="1455" spans="1:7" x14ac:dyDescent="0.25">
      <c r="A1455" t="s">
        <v>90</v>
      </c>
      <c r="B1455" t="s">
        <v>2822</v>
      </c>
      <c r="C1455">
        <v>2017</v>
      </c>
      <c r="E1455" t="s">
        <v>2982</v>
      </c>
      <c r="F1455" t="s">
        <v>9179</v>
      </c>
      <c r="G1455" t="s">
        <v>3994</v>
      </c>
    </row>
    <row r="1456" spans="1:7" x14ac:dyDescent="0.25">
      <c r="A1456" t="s">
        <v>1144</v>
      </c>
      <c r="B1456" t="s">
        <v>2824</v>
      </c>
      <c r="C1456">
        <v>2012</v>
      </c>
      <c r="E1456" t="s">
        <v>3214</v>
      </c>
      <c r="F1456" t="s">
        <v>8776</v>
      </c>
      <c r="G1456" t="s">
        <v>3994</v>
      </c>
    </row>
    <row r="1457" spans="1:7" x14ac:dyDescent="0.25">
      <c r="A1457" t="s">
        <v>2804</v>
      </c>
      <c r="B1457" t="s">
        <v>2828</v>
      </c>
      <c r="C1457">
        <v>2021</v>
      </c>
      <c r="E1457" t="s">
        <v>2982</v>
      </c>
      <c r="F1457" t="s">
        <v>9363</v>
      </c>
      <c r="G1457" t="s">
        <v>3994</v>
      </c>
    </row>
    <row r="1458" spans="1:7" x14ac:dyDescent="0.25">
      <c r="A1458" t="s">
        <v>1004</v>
      </c>
      <c r="B1458" t="s">
        <v>2832</v>
      </c>
      <c r="C1458">
        <v>2006</v>
      </c>
      <c r="E1458" t="s">
        <v>3175</v>
      </c>
      <c r="F1458" t="s">
        <v>9899</v>
      </c>
      <c r="G1458" t="s">
        <v>187</v>
      </c>
    </row>
    <row r="1459" spans="1:7" x14ac:dyDescent="0.25">
      <c r="A1459" t="s">
        <v>1144</v>
      </c>
      <c r="B1459" t="s">
        <v>2832</v>
      </c>
      <c r="C1459">
        <v>2012</v>
      </c>
      <c r="E1459" t="s">
        <v>3175</v>
      </c>
      <c r="F1459" t="s">
        <v>9900</v>
      </c>
      <c r="G1459" t="s">
        <v>187</v>
      </c>
    </row>
    <row r="1460" spans="1:7" x14ac:dyDescent="0.25">
      <c r="A1460" t="s">
        <v>1855</v>
      </c>
      <c r="B1460" t="s">
        <v>2834</v>
      </c>
      <c r="C1460">
        <v>2015</v>
      </c>
      <c r="E1460" t="s">
        <v>3300</v>
      </c>
      <c r="F1460" t="s">
        <v>8981</v>
      </c>
      <c r="G1460" t="s">
        <v>3994</v>
      </c>
    </row>
    <row r="1461" spans="1:7" x14ac:dyDescent="0.25">
      <c r="A1461" t="s">
        <v>457</v>
      </c>
      <c r="B1461" t="s">
        <v>2838</v>
      </c>
      <c r="C1461">
        <v>2022</v>
      </c>
      <c r="D1461" t="s">
        <v>187</v>
      </c>
      <c r="F1461" t="s">
        <v>9901</v>
      </c>
      <c r="G1461" t="s">
        <v>3994</v>
      </c>
    </row>
    <row r="1462" spans="1:7" x14ac:dyDescent="0.25">
      <c r="A1462" t="s">
        <v>497</v>
      </c>
      <c r="B1462" t="s">
        <v>2838</v>
      </c>
      <c r="C1462">
        <v>2022</v>
      </c>
      <c r="E1462" t="s">
        <v>3071</v>
      </c>
      <c r="F1462" t="s">
        <v>8565</v>
      </c>
      <c r="G1462" t="s">
        <v>3994</v>
      </c>
    </row>
    <row r="1463" spans="1:7" x14ac:dyDescent="0.25">
      <c r="A1463" t="s">
        <v>847</v>
      </c>
      <c r="B1463" t="s">
        <v>2840</v>
      </c>
      <c r="C1463">
        <v>1996</v>
      </c>
      <c r="E1463" s="10" t="s">
        <v>3434</v>
      </c>
      <c r="F1463" t="s">
        <v>8667</v>
      </c>
      <c r="G1463" t="s">
        <v>3994</v>
      </c>
    </row>
    <row r="1464" spans="1:7" x14ac:dyDescent="0.25">
      <c r="A1464" t="s">
        <v>2901</v>
      </c>
      <c r="B1464" t="s">
        <v>2840</v>
      </c>
      <c r="C1464">
        <v>2023</v>
      </c>
      <c r="E1464" t="s">
        <v>3434</v>
      </c>
      <c r="F1464" t="s">
        <v>9370</v>
      </c>
      <c r="G1464" t="s">
        <v>3994</v>
      </c>
    </row>
    <row r="1465" spans="1:7" x14ac:dyDescent="0.25">
      <c r="A1465" t="s">
        <v>2721</v>
      </c>
      <c r="B1465" t="s">
        <v>2843</v>
      </c>
      <c r="C1465">
        <v>1993</v>
      </c>
      <c r="E1465" t="s">
        <v>3013</v>
      </c>
      <c r="F1465" t="s">
        <v>9902</v>
      </c>
      <c r="G1465" t="s">
        <v>187</v>
      </c>
    </row>
    <row r="1466" spans="1:7" x14ac:dyDescent="0.25">
      <c r="A1466" t="s">
        <v>904</v>
      </c>
      <c r="B1466" t="s">
        <v>2846</v>
      </c>
      <c r="C1466">
        <v>2022</v>
      </c>
      <c r="E1466" t="s">
        <v>3144</v>
      </c>
      <c r="F1466" t="s">
        <v>8679</v>
      </c>
      <c r="G1466" t="s">
        <v>3994</v>
      </c>
    </row>
    <row r="1467" spans="1:7" x14ac:dyDescent="0.25">
      <c r="A1467" t="s">
        <v>2846</v>
      </c>
      <c r="B1467" t="s">
        <v>2850</v>
      </c>
      <c r="C1467">
        <v>2023</v>
      </c>
      <c r="D1467" t="s">
        <v>187</v>
      </c>
      <c r="F1467" t="s">
        <v>9903</v>
      </c>
      <c r="G1467" t="s">
        <v>3994</v>
      </c>
    </row>
    <row r="1468" spans="1:7" x14ac:dyDescent="0.25">
      <c r="A1468" t="s">
        <v>350</v>
      </c>
      <c r="B1468" t="s">
        <v>7843</v>
      </c>
      <c r="C1468">
        <v>2018</v>
      </c>
      <c r="E1468" t="s">
        <v>7846</v>
      </c>
      <c r="F1468" t="s">
        <v>8497</v>
      </c>
      <c r="G1468" t="s">
        <v>3994</v>
      </c>
    </row>
    <row r="1469" spans="1:7" x14ac:dyDescent="0.25">
      <c r="A1469" t="s">
        <v>2804</v>
      </c>
      <c r="B1469" t="s">
        <v>7843</v>
      </c>
      <c r="C1469">
        <v>2021</v>
      </c>
      <c r="E1469" t="s">
        <v>7846</v>
      </c>
      <c r="F1469" t="s">
        <v>9364</v>
      </c>
      <c r="G1469" t="s">
        <v>3994</v>
      </c>
    </row>
    <row r="1470" spans="1:7" x14ac:dyDescent="0.25">
      <c r="A1470" t="s">
        <v>2804</v>
      </c>
      <c r="B1470" t="s">
        <v>2852</v>
      </c>
      <c r="C1470">
        <v>2021</v>
      </c>
      <c r="D1470" t="s">
        <v>187</v>
      </c>
      <c r="E1470" t="s">
        <v>3432</v>
      </c>
      <c r="F1470" t="s">
        <v>9904</v>
      </c>
      <c r="G1470" t="s">
        <v>3994</v>
      </c>
    </row>
    <row r="1471" spans="1:7" x14ac:dyDescent="0.25">
      <c r="A1471" t="s">
        <v>490</v>
      </c>
      <c r="B1471" t="s">
        <v>2854</v>
      </c>
      <c r="C1471">
        <v>2009</v>
      </c>
      <c r="E1471" t="s">
        <v>3064</v>
      </c>
      <c r="F1471" t="s">
        <v>9478</v>
      </c>
      <c r="G1471" t="s">
        <v>3994</v>
      </c>
    </row>
    <row r="1472" spans="1:7" x14ac:dyDescent="0.25">
      <c r="A1472" t="s">
        <v>1144</v>
      </c>
      <c r="B1472" t="s">
        <v>2854</v>
      </c>
      <c r="C1472">
        <v>2012</v>
      </c>
      <c r="E1472" t="s">
        <v>3064</v>
      </c>
      <c r="F1472" t="s">
        <v>9479</v>
      </c>
      <c r="G1472" t="s">
        <v>3994</v>
      </c>
    </row>
    <row r="1473" spans="1:7" x14ac:dyDescent="0.25">
      <c r="A1473" t="s">
        <v>90</v>
      </c>
      <c r="B1473" t="s">
        <v>2856</v>
      </c>
      <c r="C1473">
        <v>2017</v>
      </c>
      <c r="E1473" t="s">
        <v>3384</v>
      </c>
      <c r="F1473" t="s">
        <v>9180</v>
      </c>
      <c r="G1473" t="s">
        <v>3994</v>
      </c>
    </row>
    <row r="1474" spans="1:7" x14ac:dyDescent="0.25">
      <c r="A1474" t="s">
        <v>1004</v>
      </c>
      <c r="B1474" t="s">
        <v>2860</v>
      </c>
      <c r="C1474">
        <v>2006</v>
      </c>
      <c r="E1474" t="s">
        <v>3176</v>
      </c>
      <c r="F1474" t="s">
        <v>8714</v>
      </c>
      <c r="G1474" t="s">
        <v>3994</v>
      </c>
    </row>
    <row r="1475" spans="1:7" x14ac:dyDescent="0.25">
      <c r="A1475" t="s">
        <v>1004</v>
      </c>
      <c r="B1475" t="s">
        <v>2864</v>
      </c>
      <c r="C1475">
        <v>2006</v>
      </c>
      <c r="E1475" t="s">
        <v>3177</v>
      </c>
      <c r="F1475" t="s">
        <v>8715</v>
      </c>
      <c r="G1475" t="s">
        <v>3994</v>
      </c>
    </row>
    <row r="1476" spans="1:7" x14ac:dyDescent="0.25">
      <c r="A1476" t="s">
        <v>2023</v>
      </c>
      <c r="B1476" t="s">
        <v>2864</v>
      </c>
      <c r="C1476">
        <v>2003</v>
      </c>
      <c r="E1476" t="s">
        <v>3307</v>
      </c>
      <c r="F1476" t="s">
        <v>9477</v>
      </c>
      <c r="G1476" t="s">
        <v>3994</v>
      </c>
    </row>
    <row r="1477" spans="1:7" x14ac:dyDescent="0.25">
      <c r="A1477" t="s">
        <v>2769</v>
      </c>
      <c r="B1477" t="s">
        <v>2864</v>
      </c>
      <c r="C1477">
        <v>2012</v>
      </c>
      <c r="E1477" s="10" t="s">
        <v>10080</v>
      </c>
      <c r="F1477" t="s">
        <v>10081</v>
      </c>
      <c r="G1477" t="s">
        <v>3994</v>
      </c>
    </row>
    <row r="1478" spans="1:7" x14ac:dyDescent="0.25">
      <c r="A1478" t="s">
        <v>1795</v>
      </c>
      <c r="B1478" t="s">
        <v>2866</v>
      </c>
      <c r="C1478">
        <v>1987</v>
      </c>
      <c r="E1478" t="s">
        <v>3289</v>
      </c>
      <c r="F1478" t="s">
        <v>8953</v>
      </c>
      <c r="G1478" t="s">
        <v>3994</v>
      </c>
    </row>
    <row r="1479" spans="1:7" x14ac:dyDescent="0.25">
      <c r="A1479" t="s">
        <v>2489</v>
      </c>
      <c r="B1479" t="s">
        <v>2874</v>
      </c>
      <c r="C1479">
        <v>2002</v>
      </c>
      <c r="D1479" t="s">
        <v>187</v>
      </c>
      <c r="F1479" t="s">
        <v>9905</v>
      </c>
      <c r="G1479" t="s">
        <v>3994</v>
      </c>
    </row>
    <row r="1480" spans="1:7" x14ac:dyDescent="0.25">
      <c r="A1480" t="s">
        <v>2804</v>
      </c>
      <c r="B1480" t="s">
        <v>2882</v>
      </c>
      <c r="C1480">
        <v>2021</v>
      </c>
      <c r="E1480" t="s">
        <v>3433</v>
      </c>
      <c r="F1480" t="s">
        <v>9365</v>
      </c>
      <c r="G1480" t="s">
        <v>3994</v>
      </c>
    </row>
    <row r="1481" spans="1:7" x14ac:dyDescent="0.25">
      <c r="A1481" t="s">
        <v>2824</v>
      </c>
      <c r="B1481" t="s">
        <v>2886</v>
      </c>
      <c r="C1481">
        <v>2019</v>
      </c>
      <c r="D1481" t="s">
        <v>187</v>
      </c>
      <c r="F1481" t="s">
        <v>9906</v>
      </c>
      <c r="G1481" t="s">
        <v>3994</v>
      </c>
    </row>
    <row r="1482" spans="1:7" x14ac:dyDescent="0.25">
      <c r="A1482" t="s">
        <v>549</v>
      </c>
      <c r="B1482" t="s">
        <v>2890</v>
      </c>
      <c r="C1482">
        <v>2017</v>
      </c>
      <c r="E1482" t="s">
        <v>3076</v>
      </c>
      <c r="F1482" t="s">
        <v>8571</v>
      </c>
      <c r="G1482" t="s">
        <v>3994</v>
      </c>
    </row>
    <row r="1483" spans="1:7" x14ac:dyDescent="0.25">
      <c r="A1483" t="s">
        <v>1690</v>
      </c>
      <c r="B1483" t="s">
        <v>2890</v>
      </c>
      <c r="C1483">
        <v>2020</v>
      </c>
      <c r="E1483" t="s">
        <v>3076</v>
      </c>
      <c r="F1483" t="s">
        <v>8916</v>
      </c>
      <c r="G1483" t="s">
        <v>3994</v>
      </c>
    </row>
    <row r="1484" spans="1:7" x14ac:dyDescent="0.25">
      <c r="A1484" t="s">
        <v>2132</v>
      </c>
      <c r="B1484" t="s">
        <v>2890</v>
      </c>
      <c r="C1484">
        <v>2013</v>
      </c>
      <c r="E1484" t="s">
        <v>3076</v>
      </c>
      <c r="F1484" t="s">
        <v>9011</v>
      </c>
      <c r="G1484" t="s">
        <v>3994</v>
      </c>
    </row>
    <row r="1485" spans="1:7" x14ac:dyDescent="0.25">
      <c r="A1485" t="s">
        <v>90</v>
      </c>
      <c r="B1485" t="s">
        <v>2890</v>
      </c>
      <c r="C1485">
        <v>2017</v>
      </c>
      <c r="E1485" t="s">
        <v>3076</v>
      </c>
      <c r="F1485" t="s">
        <v>9181</v>
      </c>
      <c r="G1485" t="s">
        <v>3994</v>
      </c>
    </row>
    <row r="1486" spans="1:7" x14ac:dyDescent="0.25">
      <c r="A1486" t="s">
        <v>2428</v>
      </c>
      <c r="B1486" t="s">
        <v>2890</v>
      </c>
      <c r="C1486">
        <v>2008</v>
      </c>
      <c r="E1486" t="s">
        <v>3076</v>
      </c>
      <c r="F1486" t="s">
        <v>9230</v>
      </c>
      <c r="G1486" t="s">
        <v>3994</v>
      </c>
    </row>
    <row r="1487" spans="1:7" x14ac:dyDescent="0.25">
      <c r="A1487" t="s">
        <v>160</v>
      </c>
      <c r="B1487" t="s">
        <v>2890</v>
      </c>
      <c r="C1487">
        <v>2011</v>
      </c>
      <c r="E1487" t="s">
        <v>3076</v>
      </c>
      <c r="F1487" t="s">
        <v>9313</v>
      </c>
      <c r="G1487" t="s">
        <v>3994</v>
      </c>
    </row>
    <row r="1488" spans="1:7" x14ac:dyDescent="0.25">
      <c r="A1488" t="s">
        <v>759</v>
      </c>
      <c r="B1488" t="s">
        <v>2894</v>
      </c>
      <c r="C1488">
        <v>2018</v>
      </c>
      <c r="D1488" t="s">
        <v>187</v>
      </c>
      <c r="E1488" t="s">
        <v>3125</v>
      </c>
      <c r="F1488" t="s">
        <v>8636</v>
      </c>
      <c r="G1488" t="s">
        <v>3994</v>
      </c>
    </row>
    <row r="1489" spans="1:7" x14ac:dyDescent="0.25">
      <c r="A1489" t="s">
        <v>1549</v>
      </c>
      <c r="B1489" t="s">
        <v>2896</v>
      </c>
      <c r="C1489">
        <v>2021</v>
      </c>
      <c r="E1489" t="s">
        <v>3257</v>
      </c>
      <c r="F1489" t="s">
        <v>9476</v>
      </c>
      <c r="G1489" t="s">
        <v>3994</v>
      </c>
    </row>
    <row r="1490" spans="1:7" x14ac:dyDescent="0.25">
      <c r="A1490" t="s">
        <v>2122</v>
      </c>
      <c r="B1490" t="s">
        <v>2896</v>
      </c>
      <c r="C1490">
        <v>2020</v>
      </c>
      <c r="D1490" t="s">
        <v>187</v>
      </c>
      <c r="F1490" t="s">
        <v>9907</v>
      </c>
      <c r="G1490" t="s">
        <v>3994</v>
      </c>
    </row>
    <row r="1491" spans="1:7" x14ac:dyDescent="0.25">
      <c r="A1491" t="s">
        <v>90</v>
      </c>
      <c r="B1491" t="s">
        <v>2896</v>
      </c>
      <c r="C1491">
        <v>2017</v>
      </c>
      <c r="E1491" t="s">
        <v>3385</v>
      </c>
      <c r="F1491" t="s">
        <v>9473</v>
      </c>
      <c r="G1491" t="s">
        <v>3994</v>
      </c>
    </row>
    <row r="1492" spans="1:7" x14ac:dyDescent="0.25">
      <c r="A1492" t="s">
        <v>2506</v>
      </c>
      <c r="B1492" t="s">
        <v>2896</v>
      </c>
      <c r="C1492">
        <v>2021</v>
      </c>
      <c r="E1492" s="10" t="s">
        <v>9475</v>
      </c>
      <c r="F1492" t="s">
        <v>9474</v>
      </c>
      <c r="G1492" t="s">
        <v>3994</v>
      </c>
    </row>
    <row r="1493" spans="1:7" x14ac:dyDescent="0.25">
      <c r="A1493" t="s">
        <v>1294</v>
      </c>
      <c r="B1493" t="s">
        <v>2901</v>
      </c>
      <c r="C1493">
        <v>2019</v>
      </c>
      <c r="E1493" s="10" t="s">
        <v>7951</v>
      </c>
      <c r="F1493" t="s">
        <v>8826</v>
      </c>
      <c r="G1493" t="s">
        <v>3994</v>
      </c>
    </row>
    <row r="1494" spans="1:7" x14ac:dyDescent="0.25">
      <c r="A1494" t="s">
        <v>90</v>
      </c>
      <c r="B1494" t="s">
        <v>2904</v>
      </c>
      <c r="C1494">
        <v>2017</v>
      </c>
      <c r="E1494" t="s">
        <v>3386</v>
      </c>
      <c r="F1494" t="s">
        <v>9182</v>
      </c>
      <c r="G1494" t="s">
        <v>3994</v>
      </c>
    </row>
    <row r="1495" spans="1:7" x14ac:dyDescent="0.25">
      <c r="A1495" t="s">
        <v>2906</v>
      </c>
      <c r="B1495" t="s">
        <v>2910</v>
      </c>
      <c r="C1495">
        <v>2018</v>
      </c>
      <c r="D1495" t="s">
        <v>187</v>
      </c>
      <c r="F1495" t="s">
        <v>9908</v>
      </c>
      <c r="G1495" t="s">
        <v>3994</v>
      </c>
    </row>
    <row r="1496" spans="1:7" x14ac:dyDescent="0.25">
      <c r="A1496" t="s">
        <v>160</v>
      </c>
      <c r="B1496" t="s">
        <v>2914</v>
      </c>
      <c r="C1496">
        <v>2011</v>
      </c>
      <c r="E1496" t="s">
        <v>2982</v>
      </c>
      <c r="F1496" t="s">
        <v>9314</v>
      </c>
      <c r="G1496" t="s">
        <v>3994</v>
      </c>
    </row>
    <row r="1497" spans="1:7" x14ac:dyDescent="0.25">
      <c r="A1497" t="s">
        <v>353</v>
      </c>
      <c r="B1497" t="s">
        <v>2918</v>
      </c>
      <c r="C1497">
        <v>2023</v>
      </c>
      <c r="E1497" t="s">
        <v>3051</v>
      </c>
      <c r="F1497" t="s">
        <v>8537</v>
      </c>
      <c r="G1497" t="s">
        <v>3994</v>
      </c>
    </row>
    <row r="1498" spans="1:7" x14ac:dyDescent="0.25">
      <c r="A1498" t="s">
        <v>353</v>
      </c>
      <c r="B1498" t="s">
        <v>2920</v>
      </c>
      <c r="C1498">
        <v>2023</v>
      </c>
      <c r="E1498" t="s">
        <v>3052</v>
      </c>
      <c r="F1498" t="s">
        <v>9909</v>
      </c>
      <c r="G1498" t="s">
        <v>187</v>
      </c>
    </row>
    <row r="1499" spans="1:7" x14ac:dyDescent="0.25">
      <c r="A1499" t="s">
        <v>873</v>
      </c>
      <c r="B1499" t="s">
        <v>2924</v>
      </c>
      <c r="C1499">
        <v>2019</v>
      </c>
      <c r="E1499" s="10" t="s">
        <v>8374</v>
      </c>
      <c r="F1499" t="s">
        <v>8674</v>
      </c>
      <c r="G1499" t="s">
        <v>3994</v>
      </c>
    </row>
    <row r="1500" spans="1:7" x14ac:dyDescent="0.25">
      <c r="A1500" t="s">
        <v>90</v>
      </c>
      <c r="B1500" t="s">
        <v>2924</v>
      </c>
      <c r="C1500">
        <v>2017</v>
      </c>
      <c r="E1500" t="s">
        <v>3387</v>
      </c>
      <c r="F1500" t="s">
        <v>9183</v>
      </c>
      <c r="G1500" t="s">
        <v>3994</v>
      </c>
    </row>
    <row r="1501" spans="1:7" x14ac:dyDescent="0.25">
      <c r="A1501" t="s">
        <v>2080</v>
      </c>
      <c r="B1501" t="s">
        <v>2928</v>
      </c>
      <c r="C1501">
        <v>2015</v>
      </c>
      <c r="E1501" t="s">
        <v>2982</v>
      </c>
      <c r="F1501" t="s">
        <v>9000</v>
      </c>
      <c r="G1501" t="s">
        <v>3994</v>
      </c>
    </row>
    <row r="1502" spans="1:7" x14ac:dyDescent="0.25">
      <c r="A1502" t="s">
        <v>1294</v>
      </c>
      <c r="B1502" t="s">
        <v>2931</v>
      </c>
      <c r="C1502">
        <v>2019</v>
      </c>
      <c r="E1502" t="s">
        <v>3013</v>
      </c>
      <c r="F1502" t="s">
        <v>9910</v>
      </c>
      <c r="G1502" t="s">
        <v>187</v>
      </c>
    </row>
    <row r="1503" spans="1:7" x14ac:dyDescent="0.25">
      <c r="A1503" t="s">
        <v>2804</v>
      </c>
      <c r="B1503" t="s">
        <v>2933</v>
      </c>
      <c r="C1503">
        <v>2021</v>
      </c>
      <c r="E1503" t="s">
        <v>3013</v>
      </c>
      <c r="F1503" t="s">
        <v>9911</v>
      </c>
      <c r="G1503" t="s">
        <v>187</v>
      </c>
    </row>
    <row r="1504" spans="1:7" x14ac:dyDescent="0.25">
      <c r="A1504" t="s">
        <v>90</v>
      </c>
      <c r="B1504" t="s">
        <v>2937</v>
      </c>
      <c r="C1504">
        <v>2017</v>
      </c>
      <c r="E1504" t="s">
        <v>3013</v>
      </c>
      <c r="F1504" t="s">
        <v>9912</v>
      </c>
      <c r="G1504" t="s">
        <v>187</v>
      </c>
    </row>
    <row r="1505" spans="1:7" x14ac:dyDescent="0.25">
      <c r="A1505" t="s">
        <v>2447</v>
      </c>
      <c r="B1505" t="s">
        <v>2941</v>
      </c>
      <c r="C1505">
        <v>2014</v>
      </c>
      <c r="E1505" t="s">
        <v>3399</v>
      </c>
      <c r="F1505" t="s">
        <v>9231</v>
      </c>
      <c r="G1505" t="s">
        <v>3994</v>
      </c>
    </row>
    <row r="1506" spans="1:7" x14ac:dyDescent="0.25">
      <c r="A1506" t="s">
        <v>2721</v>
      </c>
      <c r="B1506" t="s">
        <v>2943</v>
      </c>
      <c r="C1506">
        <v>1993</v>
      </c>
      <c r="E1506" t="s">
        <v>3423</v>
      </c>
      <c r="F1506" t="s">
        <v>9913</v>
      </c>
      <c r="G1506" t="s">
        <v>187</v>
      </c>
    </row>
    <row r="1507" spans="1:7" x14ac:dyDescent="0.25">
      <c r="A1507" t="s">
        <v>260</v>
      </c>
      <c r="B1507" t="s">
        <v>2947</v>
      </c>
      <c r="C1507">
        <v>1990</v>
      </c>
      <c r="E1507" t="s">
        <v>3005</v>
      </c>
      <c r="F1507" t="s">
        <v>8478</v>
      </c>
      <c r="G1507" t="s">
        <v>3994</v>
      </c>
    </row>
    <row r="1508" spans="1:7" x14ac:dyDescent="0.25">
      <c r="A1508" t="s">
        <v>1294</v>
      </c>
      <c r="B1508" t="s">
        <v>2950</v>
      </c>
      <c r="C1508">
        <v>2019</v>
      </c>
      <c r="E1508" t="s">
        <v>2982</v>
      </c>
      <c r="F1508" t="s">
        <v>8827</v>
      </c>
      <c r="G1508" t="s">
        <v>3994</v>
      </c>
    </row>
    <row r="1509" spans="1:7" x14ac:dyDescent="0.25">
      <c r="A1509" t="s">
        <v>90</v>
      </c>
      <c r="B1509" t="s">
        <v>2950</v>
      </c>
      <c r="C1509">
        <v>2017</v>
      </c>
      <c r="E1509" t="s">
        <v>2982</v>
      </c>
      <c r="F1509" t="s">
        <v>9184</v>
      </c>
      <c r="G1509" t="s">
        <v>3994</v>
      </c>
    </row>
    <row r="1510" spans="1:7" x14ac:dyDescent="0.25">
      <c r="A1510" t="s">
        <v>2954</v>
      </c>
      <c r="B1510" t="s">
        <v>2958</v>
      </c>
      <c r="C1510">
        <v>2014</v>
      </c>
      <c r="D1510" t="s">
        <v>187</v>
      </c>
      <c r="F1510" t="s">
        <v>9914</v>
      </c>
      <c r="G1510" t="s">
        <v>3994</v>
      </c>
    </row>
    <row r="1511" spans="1:7" x14ac:dyDescent="0.25">
      <c r="A1511" t="s">
        <v>260</v>
      </c>
      <c r="B1511" t="s">
        <v>2962</v>
      </c>
      <c r="C1511">
        <v>1990</v>
      </c>
      <c r="E1511" t="s">
        <v>3006</v>
      </c>
      <c r="F1511" t="s">
        <v>8479</v>
      </c>
      <c r="G1511" t="s">
        <v>3994</v>
      </c>
    </row>
    <row r="1512" spans="1:7" x14ac:dyDescent="0.25">
      <c r="A1512" t="s">
        <v>525</v>
      </c>
      <c r="B1512" t="s">
        <v>2962</v>
      </c>
      <c r="C1512">
        <v>2005</v>
      </c>
      <c r="E1512" t="s">
        <v>3006</v>
      </c>
      <c r="F1512" t="s">
        <v>8568</v>
      </c>
      <c r="G1512" t="s">
        <v>3994</v>
      </c>
    </row>
    <row r="1513" spans="1:7" x14ac:dyDescent="0.25">
      <c r="A1513" t="s">
        <v>964</v>
      </c>
      <c r="B1513" t="s">
        <v>2962</v>
      </c>
      <c r="C1513">
        <v>2006</v>
      </c>
      <c r="E1513" t="s">
        <v>3006</v>
      </c>
      <c r="F1513" t="s">
        <v>9471</v>
      </c>
      <c r="G1513" t="s">
        <v>3994</v>
      </c>
    </row>
    <row r="1514" spans="1:7" x14ac:dyDescent="0.25">
      <c r="A1514" t="s">
        <v>1287</v>
      </c>
      <c r="B1514" t="s">
        <v>2962</v>
      </c>
      <c r="C1514">
        <v>2022</v>
      </c>
      <c r="E1514" t="s">
        <v>3006</v>
      </c>
      <c r="F1514" t="s">
        <v>8789</v>
      </c>
      <c r="G1514" t="s">
        <v>3994</v>
      </c>
    </row>
    <row r="1515" spans="1:7" x14ac:dyDescent="0.25">
      <c r="A1515" t="s">
        <v>2634</v>
      </c>
      <c r="B1515" t="s">
        <v>2962</v>
      </c>
      <c r="C1515">
        <v>2014</v>
      </c>
      <c r="E1515" t="s">
        <v>3006</v>
      </c>
      <c r="F1515" t="s">
        <v>9316</v>
      </c>
      <c r="G1515" t="s">
        <v>3994</v>
      </c>
    </row>
    <row r="1516" spans="1:7" x14ac:dyDescent="0.25">
      <c r="A1516" t="s">
        <v>2947</v>
      </c>
      <c r="B1516" t="s">
        <v>2962</v>
      </c>
      <c r="C1516">
        <v>1994</v>
      </c>
      <c r="E1516" t="s">
        <v>3006</v>
      </c>
      <c r="F1516" t="s">
        <v>9377</v>
      </c>
      <c r="G1516" t="s">
        <v>3994</v>
      </c>
    </row>
    <row r="1517" spans="1:7" x14ac:dyDescent="0.25">
      <c r="A1517" t="s">
        <v>1255</v>
      </c>
      <c r="B1517" t="s">
        <v>2965</v>
      </c>
      <c r="C1517">
        <v>2020</v>
      </c>
      <c r="E1517" t="s">
        <v>3215</v>
      </c>
      <c r="F1517" t="s">
        <v>8777</v>
      </c>
      <c r="G1517" t="s">
        <v>3994</v>
      </c>
    </row>
    <row r="1518" spans="1:7" x14ac:dyDescent="0.25">
      <c r="A1518" t="s">
        <v>90</v>
      </c>
      <c r="B1518" t="s">
        <v>2965</v>
      </c>
      <c r="C1518">
        <v>2017</v>
      </c>
      <c r="E1518" t="s">
        <v>3215</v>
      </c>
      <c r="F1518" t="s">
        <v>9185</v>
      </c>
      <c r="G1518" t="s">
        <v>3994</v>
      </c>
    </row>
    <row r="1519" spans="1:7" x14ac:dyDescent="0.25">
      <c r="A1519" t="s">
        <v>353</v>
      </c>
      <c r="B1519" t="s">
        <v>2969</v>
      </c>
      <c r="C1519">
        <v>2023</v>
      </c>
      <c r="E1519" t="s">
        <v>3053</v>
      </c>
      <c r="F1519" t="s">
        <v>9472</v>
      </c>
      <c r="G1519" t="s">
        <v>3994</v>
      </c>
    </row>
    <row r="1520" spans="1:7" x14ac:dyDescent="0.25">
      <c r="A1520" t="s">
        <v>260</v>
      </c>
      <c r="B1520" t="s">
        <v>2972</v>
      </c>
      <c r="C1520">
        <v>1990</v>
      </c>
      <c r="E1520" t="s">
        <v>2982</v>
      </c>
      <c r="F1520" t="s">
        <v>8480</v>
      </c>
      <c r="G1520" t="s">
        <v>3994</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s>
  <pageMargins left="0.7" right="0.7" top="0.75" bottom="0.75" header="0.511811023622047" footer="0.511811023622047"/>
  <pageSetup orientation="portrait" horizontalDpi="300" verticalDpi="300"/>
  <tableParts count="1">
    <tablePart r:id="rId97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8295</v>
      </c>
      <c r="Q1" t="s">
        <v>171</v>
      </c>
    </row>
    <row r="2" spans="1:17" x14ac:dyDescent="0.25">
      <c r="A2" t="s">
        <v>3452</v>
      </c>
      <c r="B2" t="s">
        <v>2804</v>
      </c>
      <c r="C2">
        <v>7</v>
      </c>
      <c r="D2">
        <v>3</v>
      </c>
      <c r="E2">
        <v>1</v>
      </c>
      <c r="F2">
        <v>0</v>
      </c>
      <c r="G2">
        <v>1</v>
      </c>
      <c r="H2">
        <v>0</v>
      </c>
      <c r="I2">
        <v>0</v>
      </c>
      <c r="J2">
        <v>0</v>
      </c>
      <c r="K2">
        <v>0</v>
      </c>
      <c r="L2">
        <v>0</v>
      </c>
      <c r="M2" t="s">
        <v>8284</v>
      </c>
      <c r="N2" t="s">
        <v>3453</v>
      </c>
      <c r="O2" t="s">
        <v>3454</v>
      </c>
      <c r="P2" t="s">
        <v>8302</v>
      </c>
      <c r="Q2" t="s">
        <v>3456</v>
      </c>
    </row>
    <row r="3" spans="1:17" x14ac:dyDescent="0.25">
      <c r="A3" t="s">
        <v>3457</v>
      </c>
      <c r="B3" t="s">
        <v>353</v>
      </c>
      <c r="C3">
        <v>7</v>
      </c>
      <c r="D3">
        <v>3</v>
      </c>
      <c r="E3">
        <v>0</v>
      </c>
      <c r="F3">
        <v>0</v>
      </c>
      <c r="G3">
        <v>0</v>
      </c>
      <c r="H3">
        <v>0</v>
      </c>
      <c r="I3">
        <v>0</v>
      </c>
      <c r="J3">
        <v>0</v>
      </c>
      <c r="K3">
        <v>0</v>
      </c>
      <c r="L3">
        <v>2</v>
      </c>
      <c r="M3" t="s">
        <v>8083</v>
      </c>
      <c r="N3" t="s">
        <v>7977</v>
      </c>
      <c r="O3" t="s">
        <v>3459</v>
      </c>
      <c r="P3" t="s">
        <v>8296</v>
      </c>
      <c r="Q3" t="s">
        <v>3460</v>
      </c>
    </row>
    <row r="4" spans="1:17" x14ac:dyDescent="0.25">
      <c r="A4" t="s">
        <v>3461</v>
      </c>
      <c r="B4" t="s">
        <v>90</v>
      </c>
      <c r="C4">
        <v>8</v>
      </c>
      <c r="D4">
        <v>3</v>
      </c>
      <c r="E4">
        <v>2</v>
      </c>
      <c r="F4">
        <v>0</v>
      </c>
      <c r="G4">
        <v>0</v>
      </c>
      <c r="H4">
        <v>0</v>
      </c>
      <c r="I4">
        <v>0</v>
      </c>
      <c r="J4">
        <v>0</v>
      </c>
      <c r="K4">
        <v>0</v>
      </c>
      <c r="L4">
        <v>0</v>
      </c>
      <c r="M4" t="s">
        <v>8066</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8067</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8060</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8061</v>
      </c>
      <c r="N7" t="s">
        <v>3474</v>
      </c>
      <c r="O7" t="s">
        <v>3475</v>
      </c>
      <c r="P7" t="s">
        <v>8300</v>
      </c>
      <c r="Q7" t="s">
        <v>3472</v>
      </c>
    </row>
    <row r="8" spans="1:17" x14ac:dyDescent="0.25">
      <c r="A8" t="s">
        <v>3476</v>
      </c>
      <c r="B8" t="s">
        <v>2804</v>
      </c>
      <c r="C8">
        <v>7</v>
      </c>
      <c r="D8">
        <v>3</v>
      </c>
      <c r="E8">
        <v>0</v>
      </c>
      <c r="F8">
        <v>0</v>
      </c>
      <c r="G8">
        <v>2</v>
      </c>
      <c r="H8">
        <v>0</v>
      </c>
      <c r="I8">
        <v>0</v>
      </c>
      <c r="J8">
        <v>0</v>
      </c>
      <c r="K8">
        <v>0</v>
      </c>
      <c r="L8">
        <v>0</v>
      </c>
      <c r="M8" t="s">
        <v>8063</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8065</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7481</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8062</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8082</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5"/>
  <sheetViews>
    <sheetView topLeftCell="A25" workbookViewId="0">
      <selection activeCell="D69" sqref="D69"/>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3492</v>
      </c>
      <c r="C1" t="s">
        <v>167</v>
      </c>
      <c r="D1" t="s">
        <v>3450</v>
      </c>
      <c r="E1" t="s">
        <v>3493</v>
      </c>
      <c r="F1" t="s">
        <v>3494</v>
      </c>
      <c r="G1" t="s">
        <v>3495</v>
      </c>
      <c r="H1" t="s">
        <v>3496</v>
      </c>
      <c r="I1" t="s">
        <v>171</v>
      </c>
      <c r="J1" t="s">
        <v>3497</v>
      </c>
    </row>
    <row r="2" spans="1:10" x14ac:dyDescent="0.25">
      <c r="A2" t="s">
        <v>3498</v>
      </c>
      <c r="B2" t="s">
        <v>3499</v>
      </c>
      <c r="C2" t="s">
        <v>3537</v>
      </c>
      <c r="D2" t="s">
        <v>3501</v>
      </c>
      <c r="E2" t="s">
        <v>3502</v>
      </c>
      <c r="F2" t="s">
        <v>497</v>
      </c>
      <c r="G2" t="s">
        <v>3503</v>
      </c>
      <c r="I2" t="s">
        <v>3504</v>
      </c>
      <c r="J2" t="s">
        <v>3438</v>
      </c>
    </row>
    <row r="3" spans="1:10" x14ac:dyDescent="0.25">
      <c r="A3" t="s">
        <v>3505</v>
      </c>
      <c r="B3" t="s">
        <v>41</v>
      </c>
      <c r="C3" t="s">
        <v>3506</v>
      </c>
      <c r="D3" t="s">
        <v>7464</v>
      </c>
      <c r="E3" t="s">
        <v>3507</v>
      </c>
      <c r="F3" t="s">
        <v>90</v>
      </c>
      <c r="G3" t="s">
        <v>3508</v>
      </c>
      <c r="I3" t="s">
        <v>3505</v>
      </c>
      <c r="J3" t="s">
        <v>3509</v>
      </c>
    </row>
    <row r="4" spans="1:10" x14ac:dyDescent="0.25">
      <c r="A4" t="s">
        <v>3510</v>
      </c>
      <c r="B4" t="s">
        <v>3511</v>
      </c>
      <c r="C4" t="s">
        <v>3512</v>
      </c>
      <c r="D4" t="s">
        <v>3513</v>
      </c>
      <c r="E4" t="s">
        <v>3514</v>
      </c>
      <c r="F4" t="s">
        <v>2933</v>
      </c>
      <c r="G4" t="s">
        <v>3515</v>
      </c>
      <c r="I4" t="s">
        <v>3516</v>
      </c>
      <c r="J4" t="s">
        <v>3517</v>
      </c>
    </row>
    <row r="5" spans="1:10" x14ac:dyDescent="0.25">
      <c r="A5" t="s">
        <v>3519</v>
      </c>
      <c r="B5" t="s">
        <v>3511</v>
      </c>
      <c r="C5" t="s">
        <v>3520</v>
      </c>
      <c r="D5" t="s">
        <v>3521</v>
      </c>
      <c r="E5" t="s">
        <v>3522</v>
      </c>
      <c r="F5" t="s">
        <v>1649</v>
      </c>
      <c r="G5" t="s">
        <v>3523</v>
      </c>
      <c r="I5" t="s">
        <v>3524</v>
      </c>
      <c r="J5" t="s">
        <v>3517</v>
      </c>
    </row>
    <row r="6" spans="1:10" x14ac:dyDescent="0.25">
      <c r="A6" t="s">
        <v>3525</v>
      </c>
      <c r="B6" t="s">
        <v>0</v>
      </c>
      <c r="C6" t="s">
        <v>3512</v>
      </c>
      <c r="D6" t="s">
        <v>3526</v>
      </c>
      <c r="E6" t="s">
        <v>3527</v>
      </c>
      <c r="F6" t="s">
        <v>160</v>
      </c>
      <c r="G6" t="s">
        <v>3528</v>
      </c>
      <c r="I6" t="s">
        <v>3529</v>
      </c>
      <c r="J6" t="s">
        <v>3438</v>
      </c>
    </row>
    <row r="7" spans="1:10" x14ac:dyDescent="0.25">
      <c r="A7" t="s">
        <v>3530</v>
      </c>
      <c r="B7" t="s">
        <v>3511</v>
      </c>
      <c r="C7" t="s">
        <v>3500</v>
      </c>
      <c r="D7" t="s">
        <v>3531</v>
      </c>
      <c r="E7" t="s">
        <v>3532</v>
      </c>
      <c r="F7" t="s">
        <v>2619</v>
      </c>
      <c r="G7" t="s">
        <v>3533</v>
      </c>
      <c r="I7" t="s">
        <v>3534</v>
      </c>
      <c r="J7" t="s">
        <v>3535</v>
      </c>
    </row>
    <row r="8" spans="1:10" x14ac:dyDescent="0.25">
      <c r="A8" t="s">
        <v>10111</v>
      </c>
      <c r="B8" t="s">
        <v>3499</v>
      </c>
      <c r="C8" t="s">
        <v>10112</v>
      </c>
      <c r="D8" t="s">
        <v>10113</v>
      </c>
      <c r="E8" t="s">
        <v>10115</v>
      </c>
      <c r="F8" t="s">
        <v>160</v>
      </c>
      <c r="G8" t="s">
        <v>4603</v>
      </c>
      <c r="I8" t="s">
        <v>10114</v>
      </c>
      <c r="J8" t="s">
        <v>3509</v>
      </c>
    </row>
    <row r="9" spans="1:10" x14ac:dyDescent="0.25">
      <c r="A9" t="s">
        <v>3536</v>
      </c>
      <c r="B9" t="s">
        <v>3499</v>
      </c>
      <c r="C9" t="s">
        <v>3537</v>
      </c>
      <c r="D9" t="s">
        <v>8311</v>
      </c>
      <c r="E9" t="s">
        <v>3538</v>
      </c>
      <c r="F9" t="s">
        <v>2619</v>
      </c>
      <c r="G9" t="s">
        <v>3539</v>
      </c>
      <c r="H9" t="s">
        <v>3540</v>
      </c>
      <c r="I9" t="s">
        <v>3541</v>
      </c>
      <c r="J9" t="s">
        <v>3542</v>
      </c>
    </row>
    <row r="10" spans="1:10" x14ac:dyDescent="0.25">
      <c r="A10" t="s">
        <v>3464</v>
      </c>
      <c r="B10" t="s">
        <v>3543</v>
      </c>
      <c r="C10" t="s">
        <v>3506</v>
      </c>
      <c r="D10" t="s">
        <v>3544</v>
      </c>
      <c r="E10" t="s">
        <v>3545</v>
      </c>
      <c r="F10" t="s">
        <v>90</v>
      </c>
      <c r="I10" t="s">
        <v>3546</v>
      </c>
      <c r="J10" t="s">
        <v>3438</v>
      </c>
    </row>
    <row r="11" spans="1:10" x14ac:dyDescent="0.25">
      <c r="A11" t="s">
        <v>3547</v>
      </c>
      <c r="B11" t="s">
        <v>41</v>
      </c>
      <c r="C11" t="s">
        <v>3548</v>
      </c>
      <c r="D11" t="s">
        <v>3549</v>
      </c>
      <c r="E11" t="s">
        <v>3550</v>
      </c>
      <c r="F11" t="s">
        <v>2619</v>
      </c>
      <c r="G11" t="s">
        <v>3551</v>
      </c>
      <c r="I11" t="s">
        <v>3552</v>
      </c>
      <c r="J11" t="s">
        <v>3553</v>
      </c>
    </row>
    <row r="12" spans="1:10" x14ac:dyDescent="0.25">
      <c r="A12" t="s">
        <v>3554</v>
      </c>
      <c r="B12" t="s">
        <v>3555</v>
      </c>
      <c r="C12" t="s">
        <v>3512</v>
      </c>
      <c r="D12" t="s">
        <v>3556</v>
      </c>
      <c r="E12" t="s">
        <v>3557</v>
      </c>
      <c r="F12" t="s">
        <v>90</v>
      </c>
      <c r="I12" t="s">
        <v>3558</v>
      </c>
      <c r="J12" t="s">
        <v>3559</v>
      </c>
    </row>
    <row r="13" spans="1:10" x14ac:dyDescent="0.25">
      <c r="A13" t="s">
        <v>7358</v>
      </c>
      <c r="B13" t="s">
        <v>3499</v>
      </c>
      <c r="C13" t="s">
        <v>3512</v>
      </c>
      <c r="D13" t="s">
        <v>7366</v>
      </c>
      <c r="E13" t="s">
        <v>7372</v>
      </c>
      <c r="F13" t="s">
        <v>90</v>
      </c>
      <c r="G13" t="s">
        <v>7359</v>
      </c>
      <c r="H13" t="s">
        <v>3666</v>
      </c>
      <c r="I13" t="s">
        <v>7358</v>
      </c>
      <c r="J13" t="s">
        <v>3585</v>
      </c>
    </row>
    <row r="14" spans="1:10" x14ac:dyDescent="0.25">
      <c r="A14" t="s">
        <v>7856</v>
      </c>
      <c r="B14" t="s">
        <v>3511</v>
      </c>
      <c r="C14" t="s">
        <v>3520</v>
      </c>
      <c r="D14" t="s">
        <v>8285</v>
      </c>
      <c r="E14" t="s">
        <v>8312</v>
      </c>
      <c r="F14" t="s">
        <v>2619</v>
      </c>
      <c r="G14" t="s">
        <v>4657</v>
      </c>
      <c r="H14" t="s">
        <v>3702</v>
      </c>
      <c r="I14" t="s">
        <v>7856</v>
      </c>
      <c r="J14" t="s">
        <v>3974</v>
      </c>
    </row>
    <row r="15" spans="1:10" x14ac:dyDescent="0.25">
      <c r="A15" t="s">
        <v>3560</v>
      </c>
      <c r="B15" t="s">
        <v>3511</v>
      </c>
      <c r="C15" t="s">
        <v>3561</v>
      </c>
      <c r="D15" t="s">
        <v>3562</v>
      </c>
      <c r="E15" t="s">
        <v>3563</v>
      </c>
      <c r="F15" t="s">
        <v>160</v>
      </c>
      <c r="G15" t="s">
        <v>3564</v>
      </c>
      <c r="I15" t="s">
        <v>3565</v>
      </c>
      <c r="J15" t="s">
        <v>3438</v>
      </c>
    </row>
    <row r="16" spans="1:10" x14ac:dyDescent="0.25">
      <c r="A16" t="s">
        <v>3566</v>
      </c>
      <c r="B16" t="s">
        <v>3511</v>
      </c>
      <c r="C16" t="s">
        <v>3520</v>
      </c>
      <c r="D16" t="s">
        <v>3567</v>
      </c>
      <c r="E16" t="s">
        <v>3568</v>
      </c>
      <c r="F16" t="s">
        <v>2804</v>
      </c>
      <c r="G16" t="s">
        <v>3569</v>
      </c>
      <c r="I16" t="s">
        <v>3566</v>
      </c>
      <c r="J16" t="s">
        <v>3517</v>
      </c>
    </row>
    <row r="17" spans="1:10" x14ac:dyDescent="0.25">
      <c r="A17" t="s">
        <v>3570</v>
      </c>
      <c r="B17" t="s">
        <v>3511</v>
      </c>
      <c r="C17" t="s">
        <v>3506</v>
      </c>
      <c r="D17" t="s">
        <v>3571</v>
      </c>
      <c r="E17" t="s">
        <v>3572</v>
      </c>
      <c r="F17" t="s">
        <v>2804</v>
      </c>
      <c r="G17" t="s">
        <v>3573</v>
      </c>
      <c r="I17" t="s">
        <v>3570</v>
      </c>
      <c r="J17" t="s">
        <v>3574</v>
      </c>
    </row>
    <row r="18" spans="1:10" x14ac:dyDescent="0.25">
      <c r="A18" t="s">
        <v>3575</v>
      </c>
      <c r="B18" t="s">
        <v>41</v>
      </c>
      <c r="C18" t="s">
        <v>3576</v>
      </c>
      <c r="D18" t="s">
        <v>3577</v>
      </c>
      <c r="E18" t="s">
        <v>3578</v>
      </c>
      <c r="F18" t="s">
        <v>2619</v>
      </c>
      <c r="G18" t="s">
        <v>315</v>
      </c>
      <c r="I18" t="s">
        <v>3575</v>
      </c>
      <c r="J18" t="s">
        <v>3579</v>
      </c>
    </row>
    <row r="19" spans="1:10" x14ac:dyDescent="0.25">
      <c r="A19" t="s">
        <v>3468</v>
      </c>
      <c r="B19" t="s">
        <v>3511</v>
      </c>
      <c r="C19" t="s">
        <v>3576</v>
      </c>
      <c r="D19" t="s">
        <v>3458</v>
      </c>
      <c r="E19" t="s">
        <v>3580</v>
      </c>
      <c r="F19" t="s">
        <v>160</v>
      </c>
      <c r="G19" t="s">
        <v>315</v>
      </c>
      <c r="I19" t="s">
        <v>3468</v>
      </c>
      <c r="J19" t="s">
        <v>3517</v>
      </c>
    </row>
    <row r="20" spans="1:10" x14ac:dyDescent="0.25">
      <c r="A20" t="s">
        <v>8166</v>
      </c>
      <c r="B20" t="s">
        <v>3511</v>
      </c>
      <c r="C20" t="s">
        <v>3576</v>
      </c>
      <c r="D20" t="s">
        <v>8167</v>
      </c>
      <c r="E20" t="s">
        <v>8173</v>
      </c>
      <c r="F20" t="s">
        <v>160</v>
      </c>
      <c r="I20" t="s">
        <v>8168</v>
      </c>
      <c r="J20" t="s">
        <v>3585</v>
      </c>
    </row>
    <row r="21" spans="1:10" x14ac:dyDescent="0.25">
      <c r="A21" t="s">
        <v>7816</v>
      </c>
      <c r="B21" t="s">
        <v>3499</v>
      </c>
      <c r="C21" t="s">
        <v>3506</v>
      </c>
      <c r="D21" t="s">
        <v>7819</v>
      </c>
      <c r="E21" t="s">
        <v>7824</v>
      </c>
      <c r="F21" t="s">
        <v>38</v>
      </c>
      <c r="G21" t="s">
        <v>3631</v>
      </c>
      <c r="H21" t="s">
        <v>3666</v>
      </c>
      <c r="I21" t="s">
        <v>7817</v>
      </c>
      <c r="J21" t="s">
        <v>3574</v>
      </c>
    </row>
    <row r="22" spans="1:10" x14ac:dyDescent="0.25">
      <c r="A22" t="s">
        <v>3581</v>
      </c>
      <c r="B22" t="s">
        <v>3499</v>
      </c>
      <c r="C22" t="s">
        <v>3520</v>
      </c>
      <c r="D22" t="s">
        <v>3582</v>
      </c>
      <c r="E22" t="s">
        <v>3583</v>
      </c>
      <c r="F22" t="s">
        <v>2619</v>
      </c>
      <c r="I22" t="s">
        <v>3584</v>
      </c>
      <c r="J22" t="s">
        <v>3585</v>
      </c>
    </row>
    <row r="23" spans="1:10" x14ac:dyDescent="0.25">
      <c r="A23" t="s">
        <v>7857</v>
      </c>
      <c r="B23" t="s">
        <v>3511</v>
      </c>
      <c r="C23" t="s">
        <v>3520</v>
      </c>
      <c r="D23" t="s">
        <v>7858</v>
      </c>
      <c r="E23" t="s">
        <v>7861</v>
      </c>
      <c r="F23" t="s">
        <v>2619</v>
      </c>
      <c r="G23" t="s">
        <v>7859</v>
      </c>
      <c r="I23" t="s">
        <v>7860</v>
      </c>
      <c r="J23" t="s">
        <v>3574</v>
      </c>
    </row>
    <row r="24" spans="1:10" x14ac:dyDescent="0.25">
      <c r="A24" t="s">
        <v>3586</v>
      </c>
      <c r="B24" t="s">
        <v>41</v>
      </c>
      <c r="C24" t="s">
        <v>3506</v>
      </c>
      <c r="D24" t="s">
        <v>3587</v>
      </c>
      <c r="E24" t="s">
        <v>3588</v>
      </c>
      <c r="F24" t="s">
        <v>1649</v>
      </c>
      <c r="G24" t="s">
        <v>3589</v>
      </c>
      <c r="I24" t="s">
        <v>3590</v>
      </c>
      <c r="J24" t="s">
        <v>3574</v>
      </c>
    </row>
    <row r="25" spans="1:10" x14ac:dyDescent="0.25">
      <c r="A25" t="s">
        <v>7830</v>
      </c>
      <c r="B25" t="s">
        <v>41</v>
      </c>
      <c r="C25" t="s">
        <v>3520</v>
      </c>
      <c r="D25" t="s">
        <v>7831</v>
      </c>
      <c r="E25" t="s">
        <v>7838</v>
      </c>
      <c r="F25" t="s">
        <v>2136</v>
      </c>
      <c r="G25" t="s">
        <v>3672</v>
      </c>
      <c r="I25" t="s">
        <v>7830</v>
      </c>
      <c r="J25" t="s">
        <v>3579</v>
      </c>
    </row>
    <row r="26" spans="1:10" x14ac:dyDescent="0.25">
      <c r="A26" t="s">
        <v>131</v>
      </c>
      <c r="B26" t="s">
        <v>0</v>
      </c>
      <c r="C26" t="s">
        <v>3520</v>
      </c>
      <c r="D26" t="s">
        <v>3591</v>
      </c>
      <c r="E26" t="s">
        <v>3592</v>
      </c>
      <c r="F26" t="s">
        <v>90</v>
      </c>
      <c r="G26" t="s">
        <v>3593</v>
      </c>
      <c r="I26" t="s">
        <v>132</v>
      </c>
      <c r="J26" t="s">
        <v>3574</v>
      </c>
    </row>
    <row r="27" spans="1:10" x14ac:dyDescent="0.25">
      <c r="A27" t="s">
        <v>3594</v>
      </c>
      <c r="B27" t="s">
        <v>41</v>
      </c>
      <c r="C27" t="s">
        <v>3512</v>
      </c>
      <c r="D27" t="s">
        <v>7834</v>
      </c>
      <c r="E27" t="s">
        <v>3595</v>
      </c>
      <c r="F27" t="s">
        <v>2804</v>
      </c>
      <c r="G27" t="s">
        <v>3596</v>
      </c>
      <c r="I27" t="s">
        <v>3597</v>
      </c>
      <c r="J27" t="s">
        <v>3438</v>
      </c>
    </row>
    <row r="28" spans="1:10" x14ac:dyDescent="0.25">
      <c r="A28" t="s">
        <v>3598</v>
      </c>
      <c r="B28" t="s">
        <v>3511</v>
      </c>
      <c r="C28" t="s">
        <v>3520</v>
      </c>
      <c r="D28" t="s">
        <v>7610</v>
      </c>
      <c r="E28" t="s">
        <v>3599</v>
      </c>
      <c r="F28" t="s">
        <v>2619</v>
      </c>
      <c r="G28" t="s">
        <v>3600</v>
      </c>
      <c r="I28" t="s">
        <v>3601</v>
      </c>
      <c r="J28" t="s">
        <v>3542</v>
      </c>
    </row>
    <row r="29" spans="1:10" x14ac:dyDescent="0.25">
      <c r="A29" t="s">
        <v>7832</v>
      </c>
      <c r="B29" t="s">
        <v>3511</v>
      </c>
      <c r="C29" t="s">
        <v>3506</v>
      </c>
      <c r="D29" t="s">
        <v>7833</v>
      </c>
      <c r="E29" t="s">
        <v>7839</v>
      </c>
      <c r="F29" t="s">
        <v>2136</v>
      </c>
      <c r="G29" t="s">
        <v>3528</v>
      </c>
      <c r="I29" t="s">
        <v>7832</v>
      </c>
      <c r="J29" t="s">
        <v>3438</v>
      </c>
    </row>
    <row r="30" spans="1:10" x14ac:dyDescent="0.25">
      <c r="A30" t="s">
        <v>3602</v>
      </c>
      <c r="B30" t="s">
        <v>0</v>
      </c>
      <c r="C30" t="s">
        <v>3603</v>
      </c>
      <c r="D30" t="s">
        <v>3604</v>
      </c>
      <c r="E30" t="s">
        <v>3605</v>
      </c>
      <c r="F30" t="s">
        <v>160</v>
      </c>
      <c r="G30" t="s">
        <v>3528</v>
      </c>
      <c r="I30" t="s">
        <v>3606</v>
      </c>
      <c r="J30" t="s">
        <v>3574</v>
      </c>
    </row>
    <row r="31" spans="1:10" x14ac:dyDescent="0.25">
      <c r="A31" t="s">
        <v>3607</v>
      </c>
      <c r="B31" t="s">
        <v>3511</v>
      </c>
      <c r="C31" t="s">
        <v>3520</v>
      </c>
      <c r="D31" t="s">
        <v>3608</v>
      </c>
      <c r="E31" t="s">
        <v>3609</v>
      </c>
      <c r="F31" t="s">
        <v>497</v>
      </c>
      <c r="G31" t="s">
        <v>3539</v>
      </c>
      <c r="I31" t="s">
        <v>3607</v>
      </c>
      <c r="J31" t="s">
        <v>3579</v>
      </c>
    </row>
    <row r="32" spans="1:10" x14ac:dyDescent="0.25">
      <c r="A32" t="s">
        <v>10108</v>
      </c>
      <c r="B32" t="s">
        <v>41</v>
      </c>
      <c r="C32" t="s">
        <v>3537</v>
      </c>
      <c r="D32" t="s">
        <v>10109</v>
      </c>
      <c r="E32" t="s">
        <v>10116</v>
      </c>
      <c r="F32" t="s">
        <v>2619</v>
      </c>
      <c r="G32" t="s">
        <v>10105</v>
      </c>
      <c r="I32" t="s">
        <v>10110</v>
      </c>
      <c r="J32" t="s">
        <v>3574</v>
      </c>
    </row>
    <row r="33" spans="1:10" x14ac:dyDescent="0.25">
      <c r="A33" t="s">
        <v>3610</v>
      </c>
      <c r="B33" t="s">
        <v>3555</v>
      </c>
      <c r="C33" t="s">
        <v>3520</v>
      </c>
      <c r="D33" t="s">
        <v>3611</v>
      </c>
      <c r="E33" t="s">
        <v>3612</v>
      </c>
      <c r="F33" t="s">
        <v>38</v>
      </c>
      <c r="G33" t="s">
        <v>3613</v>
      </c>
      <c r="I33" t="s">
        <v>3614</v>
      </c>
      <c r="J33" t="s">
        <v>3559</v>
      </c>
    </row>
    <row r="34" spans="1:10" x14ac:dyDescent="0.25">
      <c r="A34" t="s">
        <v>3615</v>
      </c>
      <c r="B34" t="s">
        <v>3511</v>
      </c>
      <c r="C34" t="s">
        <v>3548</v>
      </c>
      <c r="D34" t="s">
        <v>3616</v>
      </c>
      <c r="E34" t="s">
        <v>3617</v>
      </c>
      <c r="F34" t="s">
        <v>160</v>
      </c>
      <c r="G34" t="s">
        <v>3618</v>
      </c>
      <c r="I34" t="s">
        <v>3619</v>
      </c>
      <c r="J34" t="s">
        <v>3553</v>
      </c>
    </row>
    <row r="35" spans="1:10" x14ac:dyDescent="0.25">
      <c r="A35" t="s">
        <v>7818</v>
      </c>
      <c r="B35" t="s">
        <v>3511</v>
      </c>
      <c r="C35" t="s">
        <v>3506</v>
      </c>
      <c r="D35" t="s">
        <v>7820</v>
      </c>
      <c r="E35" t="s">
        <v>7825</v>
      </c>
      <c r="F35" t="s">
        <v>38</v>
      </c>
      <c r="G35" t="s">
        <v>3843</v>
      </c>
      <c r="I35" t="s">
        <v>7821</v>
      </c>
      <c r="J35" t="s">
        <v>3574</v>
      </c>
    </row>
    <row r="36" spans="1:10" x14ac:dyDescent="0.25">
      <c r="A36" t="s">
        <v>3620</v>
      </c>
      <c r="B36" t="s">
        <v>41</v>
      </c>
      <c r="C36" t="s">
        <v>3520</v>
      </c>
      <c r="D36" t="s">
        <v>3621</v>
      </c>
      <c r="E36" t="s">
        <v>3622</v>
      </c>
      <c r="F36" t="s">
        <v>1649</v>
      </c>
      <c r="G36" t="s">
        <v>3623</v>
      </c>
      <c r="I36" t="s">
        <v>3624</v>
      </c>
      <c r="J36" t="s">
        <v>3517</v>
      </c>
    </row>
    <row r="37" spans="1:10" x14ac:dyDescent="0.25">
      <c r="A37" t="s">
        <v>3625</v>
      </c>
      <c r="B37" t="s">
        <v>41</v>
      </c>
      <c r="C37" t="s">
        <v>3512</v>
      </c>
      <c r="D37" t="s">
        <v>3626</v>
      </c>
      <c r="E37" t="s">
        <v>3627</v>
      </c>
      <c r="F37" t="s">
        <v>160</v>
      </c>
      <c r="G37" t="s">
        <v>264</v>
      </c>
      <c r="I37" t="s">
        <v>3625</v>
      </c>
      <c r="J37" t="s">
        <v>3438</v>
      </c>
    </row>
    <row r="38" spans="1:10" x14ac:dyDescent="0.25">
      <c r="A38" t="s">
        <v>3628</v>
      </c>
      <c r="B38" t="s">
        <v>3499</v>
      </c>
      <c r="C38" t="s">
        <v>3512</v>
      </c>
      <c r="D38" t="s">
        <v>3629</v>
      </c>
      <c r="E38" t="s">
        <v>3630</v>
      </c>
      <c r="F38" t="s">
        <v>90</v>
      </c>
      <c r="G38" t="s">
        <v>3631</v>
      </c>
      <c r="I38" t="s">
        <v>3628</v>
      </c>
      <c r="J38" t="s">
        <v>3438</v>
      </c>
    </row>
    <row r="39" spans="1:10" x14ac:dyDescent="0.25">
      <c r="A39" t="s">
        <v>3632</v>
      </c>
      <c r="B39" t="s">
        <v>3511</v>
      </c>
      <c r="C39" t="s">
        <v>3506</v>
      </c>
      <c r="D39" t="s">
        <v>3633</v>
      </c>
      <c r="E39" t="s">
        <v>3634</v>
      </c>
      <c r="F39" t="s">
        <v>90</v>
      </c>
      <c r="G39" t="s">
        <v>3635</v>
      </c>
      <c r="I39" t="s">
        <v>3636</v>
      </c>
      <c r="J39" t="s">
        <v>3438</v>
      </c>
    </row>
    <row r="40" spans="1:10" x14ac:dyDescent="0.25">
      <c r="A40" t="s">
        <v>3637</v>
      </c>
      <c r="B40" t="s">
        <v>3511</v>
      </c>
      <c r="C40" t="s">
        <v>3520</v>
      </c>
      <c r="D40" t="s">
        <v>3638</v>
      </c>
      <c r="E40" t="s">
        <v>3639</v>
      </c>
      <c r="F40" t="s">
        <v>493</v>
      </c>
      <c r="G40" t="s">
        <v>3640</v>
      </c>
      <c r="I40" t="s">
        <v>3641</v>
      </c>
      <c r="J40" t="s">
        <v>3579</v>
      </c>
    </row>
    <row r="41" spans="1:10" x14ac:dyDescent="0.25">
      <c r="A41" t="s">
        <v>3642</v>
      </c>
      <c r="B41" t="s">
        <v>41</v>
      </c>
      <c r="C41" t="s">
        <v>3576</v>
      </c>
      <c r="D41" t="s">
        <v>3643</v>
      </c>
      <c r="E41" t="s">
        <v>3644</v>
      </c>
      <c r="F41" t="s">
        <v>160</v>
      </c>
      <c r="G41" t="s">
        <v>3645</v>
      </c>
      <c r="I41" t="s">
        <v>3646</v>
      </c>
      <c r="J41" t="s">
        <v>3585</v>
      </c>
    </row>
    <row r="42" spans="1:10" x14ac:dyDescent="0.25">
      <c r="A42" t="s">
        <v>3647</v>
      </c>
      <c r="B42" t="s">
        <v>41</v>
      </c>
      <c r="C42" t="s">
        <v>3512</v>
      </c>
      <c r="D42" t="s">
        <v>3648</v>
      </c>
      <c r="E42" t="s">
        <v>3649</v>
      </c>
      <c r="F42" t="s">
        <v>160</v>
      </c>
      <c r="G42" t="s">
        <v>3650</v>
      </c>
      <c r="I42" t="s">
        <v>3651</v>
      </c>
      <c r="J42" t="s">
        <v>3585</v>
      </c>
    </row>
    <row r="43" spans="1:10" x14ac:dyDescent="0.25">
      <c r="A43" t="s">
        <v>10104</v>
      </c>
      <c r="B43" t="s">
        <v>3511</v>
      </c>
      <c r="C43" t="s">
        <v>3537</v>
      </c>
      <c r="D43" t="s">
        <v>10117</v>
      </c>
      <c r="E43" t="s">
        <v>10118</v>
      </c>
      <c r="F43" t="s">
        <v>2619</v>
      </c>
      <c r="G43" t="s">
        <v>10107</v>
      </c>
      <c r="H43" t="s">
        <v>3666</v>
      </c>
      <c r="I43" t="s">
        <v>10106</v>
      </c>
      <c r="J43" t="s">
        <v>3574</v>
      </c>
    </row>
    <row r="44" spans="1:10" x14ac:dyDescent="0.25">
      <c r="A44" t="s">
        <v>3652</v>
      </c>
      <c r="B44" t="s">
        <v>41</v>
      </c>
      <c r="C44" t="s">
        <v>3653</v>
      </c>
      <c r="D44" t="s">
        <v>3654</v>
      </c>
      <c r="E44" t="s">
        <v>3655</v>
      </c>
      <c r="F44" t="s">
        <v>90</v>
      </c>
      <c r="G44" t="s">
        <v>3656</v>
      </c>
      <c r="I44" t="s">
        <v>3657</v>
      </c>
      <c r="J44" t="s">
        <v>3517</v>
      </c>
    </row>
    <row r="45" spans="1:10" x14ac:dyDescent="0.25">
      <c r="A45" t="s">
        <v>4742</v>
      </c>
      <c r="B45" t="s">
        <v>3499</v>
      </c>
      <c r="C45" t="s">
        <v>3512</v>
      </c>
      <c r="D45" t="s">
        <v>7368</v>
      </c>
      <c r="E45" t="s">
        <v>7373</v>
      </c>
      <c r="F45" t="s">
        <v>90</v>
      </c>
      <c r="G45" t="s">
        <v>4650</v>
      </c>
      <c r="I45" t="s">
        <v>4745</v>
      </c>
      <c r="J45" t="s">
        <v>3574</v>
      </c>
    </row>
    <row r="46" spans="1:10" x14ac:dyDescent="0.25">
      <c r="A46" t="s">
        <v>3658</v>
      </c>
      <c r="B46" t="s">
        <v>3555</v>
      </c>
      <c r="C46" t="s">
        <v>3520</v>
      </c>
      <c r="D46" t="s">
        <v>3659</v>
      </c>
      <c r="E46" t="s">
        <v>3660</v>
      </c>
      <c r="F46" t="s">
        <v>90</v>
      </c>
      <c r="G46" t="s">
        <v>3656</v>
      </c>
      <c r="I46" t="s">
        <v>3661</v>
      </c>
      <c r="J46" t="s">
        <v>3579</v>
      </c>
    </row>
    <row r="47" spans="1:10" x14ac:dyDescent="0.25">
      <c r="A47" t="s">
        <v>3662</v>
      </c>
      <c r="B47" t="s">
        <v>3511</v>
      </c>
      <c r="C47" t="s">
        <v>3520</v>
      </c>
      <c r="D47" t="s">
        <v>3663</v>
      </c>
      <c r="E47" t="s">
        <v>3664</v>
      </c>
      <c r="F47" t="s">
        <v>2619</v>
      </c>
      <c r="G47" t="s">
        <v>3665</v>
      </c>
      <c r="H47" t="s">
        <v>3666</v>
      </c>
      <c r="I47" t="s">
        <v>3667</v>
      </c>
      <c r="J47" t="s">
        <v>3574</v>
      </c>
    </row>
    <row r="48" spans="1:10" x14ac:dyDescent="0.25">
      <c r="A48" t="s">
        <v>3478</v>
      </c>
      <c r="B48" t="s">
        <v>3511</v>
      </c>
      <c r="C48" t="s">
        <v>3506</v>
      </c>
      <c r="D48" t="s">
        <v>3544</v>
      </c>
      <c r="E48" t="s">
        <v>3545</v>
      </c>
      <c r="F48" t="s">
        <v>2804</v>
      </c>
      <c r="G48" t="s">
        <v>3596</v>
      </c>
      <c r="I48" t="s">
        <v>3478</v>
      </c>
      <c r="J48" t="s">
        <v>3438</v>
      </c>
    </row>
    <row r="49" spans="1:10" x14ac:dyDescent="0.25">
      <c r="A49" t="s">
        <v>3668</v>
      </c>
      <c r="B49" t="s">
        <v>41</v>
      </c>
      <c r="C49" t="s">
        <v>3669</v>
      </c>
      <c r="D49" t="s">
        <v>3670</v>
      </c>
      <c r="E49" t="s">
        <v>3671</v>
      </c>
      <c r="F49" t="s">
        <v>2619</v>
      </c>
      <c r="G49" t="s">
        <v>3672</v>
      </c>
      <c r="H49" t="s">
        <v>3666</v>
      </c>
      <c r="I49" t="s">
        <v>3673</v>
      </c>
      <c r="J49" t="s">
        <v>3579</v>
      </c>
    </row>
    <row r="50" spans="1:10" x14ac:dyDescent="0.25">
      <c r="A50" t="s">
        <v>7835</v>
      </c>
      <c r="B50" t="s">
        <v>3499</v>
      </c>
      <c r="C50" t="s">
        <v>3520</v>
      </c>
      <c r="D50" t="s">
        <v>7836</v>
      </c>
      <c r="E50" t="s">
        <v>7840</v>
      </c>
      <c r="F50" t="s">
        <v>2136</v>
      </c>
      <c r="I50" t="s">
        <v>7837</v>
      </c>
      <c r="J50" t="s">
        <v>3438</v>
      </c>
    </row>
    <row r="51" spans="1:10" x14ac:dyDescent="0.25">
      <c r="A51" t="s">
        <v>7360</v>
      </c>
      <c r="B51" t="s">
        <v>3511</v>
      </c>
      <c r="C51" t="s">
        <v>3506</v>
      </c>
      <c r="D51" t="s">
        <v>7361</v>
      </c>
      <c r="E51" t="s">
        <v>7374</v>
      </c>
      <c r="F51" t="s">
        <v>38</v>
      </c>
      <c r="I51" t="s">
        <v>7362</v>
      </c>
      <c r="J51" t="s">
        <v>3553</v>
      </c>
    </row>
    <row r="52" spans="1:10" x14ac:dyDescent="0.25">
      <c r="A52" t="s">
        <v>7369</v>
      </c>
      <c r="B52" t="s">
        <v>3511</v>
      </c>
      <c r="C52" t="s">
        <v>3506</v>
      </c>
      <c r="D52" t="s">
        <v>7371</v>
      </c>
      <c r="E52" t="s">
        <v>7375</v>
      </c>
      <c r="F52" t="s">
        <v>38</v>
      </c>
      <c r="I52" t="s">
        <v>7370</v>
      </c>
      <c r="J52" t="s">
        <v>3974</v>
      </c>
    </row>
    <row r="53" spans="1:10" x14ac:dyDescent="0.25">
      <c r="A53" t="s">
        <v>3678</v>
      </c>
      <c r="B53" t="s">
        <v>3555</v>
      </c>
      <c r="C53" t="s">
        <v>3520</v>
      </c>
      <c r="D53" t="s">
        <v>3679</v>
      </c>
      <c r="E53" t="s">
        <v>3680</v>
      </c>
      <c r="F53" t="s">
        <v>90</v>
      </c>
      <c r="I53" t="s">
        <v>3681</v>
      </c>
      <c r="J53" t="s">
        <v>3579</v>
      </c>
    </row>
    <row r="54" spans="1:10" x14ac:dyDescent="0.25">
      <c r="A54" t="s">
        <v>3682</v>
      </c>
      <c r="B54" t="s">
        <v>3555</v>
      </c>
      <c r="C54" t="s">
        <v>3520</v>
      </c>
      <c r="D54" t="s">
        <v>3683</v>
      </c>
      <c r="E54" t="s">
        <v>3684</v>
      </c>
      <c r="F54" t="s">
        <v>90</v>
      </c>
      <c r="G54" t="s">
        <v>3685</v>
      </c>
      <c r="I54" t="s">
        <v>3686</v>
      </c>
      <c r="J54" t="s">
        <v>3559</v>
      </c>
    </row>
    <row r="55" spans="1:10" x14ac:dyDescent="0.25">
      <c r="A55" t="s">
        <v>3687</v>
      </c>
      <c r="B55" t="s">
        <v>3511</v>
      </c>
      <c r="C55" t="s">
        <v>3506</v>
      </c>
      <c r="D55" t="s">
        <v>3688</v>
      </c>
      <c r="E55" t="s">
        <v>3689</v>
      </c>
      <c r="F55" t="s">
        <v>497</v>
      </c>
      <c r="G55" t="s">
        <v>3690</v>
      </c>
      <c r="I55" t="s">
        <v>3687</v>
      </c>
      <c r="J55" t="s">
        <v>3517</v>
      </c>
    </row>
    <row r="56" spans="1:10" x14ac:dyDescent="0.25">
      <c r="A56" t="s">
        <v>3691</v>
      </c>
      <c r="B56" t="s">
        <v>3499</v>
      </c>
      <c r="C56" t="s">
        <v>3576</v>
      </c>
      <c r="D56" t="s">
        <v>3692</v>
      </c>
      <c r="E56" t="s">
        <v>3693</v>
      </c>
      <c r="F56" t="s">
        <v>1649</v>
      </c>
      <c r="G56" t="s">
        <v>3694</v>
      </c>
      <c r="I56" t="s">
        <v>3695</v>
      </c>
      <c r="J56" t="s">
        <v>3579</v>
      </c>
    </row>
    <row r="57" spans="1:10" x14ac:dyDescent="0.25">
      <c r="A57" t="s">
        <v>3696</v>
      </c>
      <c r="B57" t="s">
        <v>3511</v>
      </c>
      <c r="C57" t="s">
        <v>3500</v>
      </c>
      <c r="D57" t="s">
        <v>7611</v>
      </c>
      <c r="E57" t="s">
        <v>7634</v>
      </c>
      <c r="F57" t="s">
        <v>2619</v>
      </c>
      <c r="G57" t="s">
        <v>3697</v>
      </c>
      <c r="I57" t="s">
        <v>3698</v>
      </c>
      <c r="J57" t="s">
        <v>3535</v>
      </c>
    </row>
    <row r="58" spans="1:10" x14ac:dyDescent="0.25">
      <c r="A58" t="s">
        <v>3699</v>
      </c>
      <c r="B58" t="s">
        <v>3511</v>
      </c>
      <c r="C58" t="s">
        <v>3512</v>
      </c>
      <c r="D58" t="s">
        <v>3700</v>
      </c>
      <c r="E58" t="s">
        <v>3701</v>
      </c>
      <c r="F58" t="s">
        <v>160</v>
      </c>
      <c r="G58" t="s">
        <v>3685</v>
      </c>
      <c r="H58" t="s">
        <v>3702</v>
      </c>
      <c r="I58" t="s">
        <v>3699</v>
      </c>
      <c r="J58" t="s">
        <v>3703</v>
      </c>
    </row>
    <row r="59" spans="1:10" x14ac:dyDescent="0.25">
      <c r="A59" t="s">
        <v>10101</v>
      </c>
      <c r="B59" t="s">
        <v>3511</v>
      </c>
      <c r="C59" t="s">
        <v>3576</v>
      </c>
      <c r="D59" t="s">
        <v>10102</v>
      </c>
      <c r="E59" t="s">
        <v>10119</v>
      </c>
      <c r="F59" t="s">
        <v>160</v>
      </c>
      <c r="G59" t="s">
        <v>4603</v>
      </c>
      <c r="I59" t="s">
        <v>10103</v>
      </c>
      <c r="J59" t="s">
        <v>3574</v>
      </c>
    </row>
    <row r="60" spans="1:10" x14ac:dyDescent="0.25">
      <c r="A60" t="s">
        <v>3704</v>
      </c>
      <c r="B60" t="s">
        <v>3511</v>
      </c>
      <c r="C60" t="s">
        <v>3537</v>
      </c>
      <c r="D60" t="s">
        <v>3705</v>
      </c>
      <c r="E60" t="s">
        <v>3706</v>
      </c>
      <c r="F60" t="s">
        <v>160</v>
      </c>
      <c r="G60" t="s">
        <v>3707</v>
      </c>
      <c r="H60" t="s">
        <v>3540</v>
      </c>
      <c r="I60" t="s">
        <v>3708</v>
      </c>
      <c r="J60" t="s">
        <v>3517</v>
      </c>
    </row>
    <row r="61" spans="1:10" x14ac:dyDescent="0.25">
      <c r="A61" t="s">
        <v>3709</v>
      </c>
      <c r="B61" t="s">
        <v>3511</v>
      </c>
      <c r="C61" t="s">
        <v>3520</v>
      </c>
      <c r="D61" t="s">
        <v>3710</v>
      </c>
      <c r="E61" t="s">
        <v>3711</v>
      </c>
      <c r="F61" t="s">
        <v>2619</v>
      </c>
      <c r="H61" t="s">
        <v>3666</v>
      </c>
      <c r="I61" t="s">
        <v>3712</v>
      </c>
      <c r="J61" t="s">
        <v>3517</v>
      </c>
    </row>
    <row r="62" spans="1:10" x14ac:dyDescent="0.25">
      <c r="A62" t="s">
        <v>3713</v>
      </c>
      <c r="B62" t="s">
        <v>3511</v>
      </c>
      <c r="C62" t="s">
        <v>3506</v>
      </c>
      <c r="D62" t="s">
        <v>3714</v>
      </c>
      <c r="E62" t="s">
        <v>3715</v>
      </c>
      <c r="F62" t="s">
        <v>553</v>
      </c>
      <c r="G62" t="s">
        <v>3716</v>
      </c>
      <c r="I62" t="s">
        <v>3717</v>
      </c>
      <c r="J62" t="s">
        <v>3574</v>
      </c>
    </row>
    <row r="63" spans="1:10" x14ac:dyDescent="0.25">
      <c r="A63" t="s">
        <v>3718</v>
      </c>
      <c r="B63" t="s">
        <v>41</v>
      </c>
      <c r="C63" t="s">
        <v>3653</v>
      </c>
      <c r="D63" t="s">
        <v>3719</v>
      </c>
      <c r="E63" t="s">
        <v>3720</v>
      </c>
      <c r="F63" t="s">
        <v>90</v>
      </c>
      <c r="I63" t="s">
        <v>3718</v>
      </c>
      <c r="J63" t="s">
        <v>3517</v>
      </c>
    </row>
    <row r="64" spans="1:10" x14ac:dyDescent="0.25">
      <c r="A64" t="s">
        <v>7363</v>
      </c>
      <c r="B64" t="s">
        <v>3511</v>
      </c>
      <c r="C64" t="s">
        <v>3520</v>
      </c>
      <c r="D64" t="s">
        <v>7365</v>
      </c>
      <c r="E64" t="s">
        <v>7376</v>
      </c>
      <c r="F64" t="s">
        <v>90</v>
      </c>
      <c r="G64" t="s">
        <v>7367</v>
      </c>
      <c r="I64" t="s">
        <v>7364</v>
      </c>
      <c r="J64" t="s">
        <v>3585</v>
      </c>
    </row>
    <row r="65" spans="1:10" x14ac:dyDescent="0.25">
      <c r="A65" t="s">
        <v>3726</v>
      </c>
      <c r="B65" t="s">
        <v>41</v>
      </c>
      <c r="C65" t="s">
        <v>3669</v>
      </c>
      <c r="D65" t="s">
        <v>3727</v>
      </c>
      <c r="E65" t="s">
        <v>3728</v>
      </c>
      <c r="F65" t="s">
        <v>2619</v>
      </c>
      <c r="G65" t="s">
        <v>3729</v>
      </c>
      <c r="I65" t="s">
        <v>3730</v>
      </c>
      <c r="J65" t="s">
        <v>3574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3731</v>
      </c>
      <c r="D1" t="s">
        <v>3732</v>
      </c>
      <c r="E1" t="s">
        <v>1</v>
      </c>
      <c r="F1" t="s">
        <v>3438</v>
      </c>
      <c r="G1" t="s">
        <v>3733</v>
      </c>
      <c r="H1" t="s">
        <v>3734</v>
      </c>
      <c r="I1" t="s">
        <v>3735</v>
      </c>
      <c r="J1" t="s">
        <v>3736</v>
      </c>
      <c r="K1" t="s">
        <v>171</v>
      </c>
      <c r="L1" t="s">
        <v>3737</v>
      </c>
      <c r="M1" t="s">
        <v>8052</v>
      </c>
      <c r="N1" t="s">
        <v>8030</v>
      </c>
    </row>
    <row r="2" spans="1:14" x14ac:dyDescent="0.25">
      <c r="A2" t="s">
        <v>3738</v>
      </c>
      <c r="B2" t="s">
        <v>176</v>
      </c>
      <c r="C2" t="s">
        <v>3739</v>
      </c>
      <c r="D2" t="s">
        <v>3740</v>
      </c>
      <c r="E2" t="s">
        <v>160</v>
      </c>
      <c r="F2">
        <v>1</v>
      </c>
      <c r="G2">
        <v>1</v>
      </c>
      <c r="H2" t="s">
        <v>3741</v>
      </c>
      <c r="I2" t="s">
        <v>8056</v>
      </c>
      <c r="J2" t="s">
        <v>3455</v>
      </c>
      <c r="K2" t="s">
        <v>3742</v>
      </c>
      <c r="L2" t="s">
        <v>3743</v>
      </c>
      <c r="M2" t="s">
        <v>8053</v>
      </c>
      <c r="N2" t="s">
        <v>4321</v>
      </c>
    </row>
    <row r="3" spans="1:14" x14ac:dyDescent="0.25">
      <c r="A3" t="s">
        <v>3744</v>
      </c>
      <c r="B3" t="s">
        <v>176</v>
      </c>
      <c r="C3" t="s">
        <v>3739</v>
      </c>
      <c r="D3" t="s">
        <v>3740</v>
      </c>
      <c r="E3" t="s">
        <v>497</v>
      </c>
      <c r="F3">
        <v>1</v>
      </c>
      <c r="G3">
        <v>1</v>
      </c>
      <c r="H3" t="s">
        <v>3741</v>
      </c>
      <c r="I3" t="s">
        <v>3745</v>
      </c>
      <c r="J3" t="s">
        <v>3455</v>
      </c>
      <c r="K3" t="s">
        <v>3746</v>
      </c>
      <c r="L3" t="s">
        <v>3503</v>
      </c>
      <c r="M3" t="s">
        <v>8053</v>
      </c>
    </row>
    <row r="4" spans="1:14" x14ac:dyDescent="0.25">
      <c r="A4" t="s">
        <v>7870</v>
      </c>
      <c r="B4" t="s">
        <v>176</v>
      </c>
      <c r="C4" t="s">
        <v>3739</v>
      </c>
      <c r="D4" t="s">
        <v>3740</v>
      </c>
      <c r="E4" t="s">
        <v>1046</v>
      </c>
      <c r="F4">
        <v>1</v>
      </c>
      <c r="G4">
        <v>1</v>
      </c>
      <c r="H4" t="s">
        <v>3748</v>
      </c>
      <c r="I4" t="s">
        <v>7871</v>
      </c>
      <c r="J4" t="s">
        <v>3455</v>
      </c>
      <c r="K4" t="s">
        <v>7870</v>
      </c>
      <c r="L4" t="s">
        <v>7873</v>
      </c>
      <c r="M4" t="s">
        <v>8053</v>
      </c>
    </row>
    <row r="5" spans="1:14" x14ac:dyDescent="0.25">
      <c r="A5" t="s">
        <v>7353</v>
      </c>
      <c r="B5" t="s">
        <v>176</v>
      </c>
      <c r="C5" t="s">
        <v>3739</v>
      </c>
      <c r="D5" t="s">
        <v>3740</v>
      </c>
      <c r="E5" t="s">
        <v>2173</v>
      </c>
      <c r="F5">
        <v>1</v>
      </c>
      <c r="G5">
        <v>1</v>
      </c>
      <c r="H5" t="s">
        <v>3748</v>
      </c>
      <c r="I5" t="s">
        <v>7354</v>
      </c>
      <c r="J5" t="s">
        <v>3455</v>
      </c>
      <c r="K5" t="s">
        <v>7353</v>
      </c>
      <c r="L5" t="s">
        <v>7355</v>
      </c>
      <c r="M5" t="s">
        <v>8053</v>
      </c>
    </row>
    <row r="6" spans="1:14" x14ac:dyDescent="0.25">
      <c r="A6" t="s">
        <v>3747</v>
      </c>
      <c r="B6" t="s">
        <v>176</v>
      </c>
      <c r="C6" t="s">
        <v>3739</v>
      </c>
      <c r="D6" t="s">
        <v>3740</v>
      </c>
      <c r="E6" t="s">
        <v>2619</v>
      </c>
      <c r="F6">
        <v>1</v>
      </c>
      <c r="G6">
        <v>1</v>
      </c>
      <c r="H6" t="s">
        <v>3748</v>
      </c>
      <c r="I6" t="s">
        <v>3749</v>
      </c>
      <c r="J6" t="s">
        <v>7442</v>
      </c>
      <c r="K6" t="s">
        <v>3750</v>
      </c>
      <c r="L6" t="s">
        <v>3672</v>
      </c>
      <c r="M6" t="s">
        <v>8053</v>
      </c>
    </row>
    <row r="7" spans="1:14" x14ac:dyDescent="0.25">
      <c r="A7" t="s">
        <v>3751</v>
      </c>
      <c r="B7" t="s">
        <v>176</v>
      </c>
      <c r="C7" t="s">
        <v>3739</v>
      </c>
      <c r="D7" t="s">
        <v>3740</v>
      </c>
      <c r="E7" t="s">
        <v>1046</v>
      </c>
      <c r="F7">
        <v>1</v>
      </c>
      <c r="G7">
        <v>1</v>
      </c>
      <c r="H7" t="s">
        <v>3752</v>
      </c>
      <c r="I7" t="s">
        <v>8049</v>
      </c>
      <c r="J7" t="s">
        <v>3455</v>
      </c>
      <c r="K7" t="s">
        <v>3753</v>
      </c>
      <c r="L7" t="s">
        <v>7872</v>
      </c>
      <c r="M7" t="s">
        <v>8053</v>
      </c>
    </row>
    <row r="8" spans="1:14" x14ac:dyDescent="0.25">
      <c r="A8" t="s">
        <v>3754</v>
      </c>
      <c r="B8" t="s">
        <v>176</v>
      </c>
      <c r="C8" t="s">
        <v>3739</v>
      </c>
      <c r="D8" t="s">
        <v>3740</v>
      </c>
      <c r="E8" t="s">
        <v>1752</v>
      </c>
      <c r="F8">
        <v>1</v>
      </c>
      <c r="G8">
        <v>1</v>
      </c>
      <c r="H8" t="s">
        <v>3748</v>
      </c>
      <c r="I8" t="s">
        <v>3755</v>
      </c>
      <c r="J8" t="s">
        <v>3455</v>
      </c>
      <c r="K8" t="s">
        <v>3756</v>
      </c>
      <c r="M8" t="s">
        <v>8053</v>
      </c>
    </row>
    <row r="9" spans="1:14" x14ac:dyDescent="0.25">
      <c r="A9" t="s">
        <v>3757</v>
      </c>
      <c r="B9" t="s">
        <v>176</v>
      </c>
      <c r="C9" t="s">
        <v>3739</v>
      </c>
      <c r="D9" t="s">
        <v>3740</v>
      </c>
      <c r="E9" t="s">
        <v>1294</v>
      </c>
      <c r="F9">
        <v>1</v>
      </c>
      <c r="G9">
        <v>1</v>
      </c>
      <c r="H9" t="s">
        <v>3741</v>
      </c>
      <c r="I9" t="s">
        <v>3758</v>
      </c>
      <c r="J9" t="s">
        <v>3455</v>
      </c>
      <c r="K9" t="s">
        <v>3757</v>
      </c>
      <c r="L9" t="s">
        <v>3759</v>
      </c>
      <c r="M9" t="s">
        <v>8053</v>
      </c>
    </row>
    <row r="10" spans="1:14" x14ac:dyDescent="0.25">
      <c r="A10" t="s">
        <v>5079</v>
      </c>
      <c r="B10" t="s">
        <v>176</v>
      </c>
      <c r="C10" t="s">
        <v>3739</v>
      </c>
      <c r="D10" t="s">
        <v>3740</v>
      </c>
      <c r="E10" t="s">
        <v>160</v>
      </c>
      <c r="F10">
        <v>1</v>
      </c>
      <c r="G10">
        <v>1</v>
      </c>
      <c r="H10" t="s">
        <v>3741</v>
      </c>
      <c r="I10" t="s">
        <v>7976</v>
      </c>
      <c r="J10" t="s">
        <v>3455</v>
      </c>
      <c r="K10" t="s">
        <v>5079</v>
      </c>
      <c r="M10" t="s">
        <v>8053</v>
      </c>
    </row>
    <row r="11" spans="1:14" x14ac:dyDescent="0.25">
      <c r="A11" t="s">
        <v>3760</v>
      </c>
      <c r="B11" t="s">
        <v>176</v>
      </c>
      <c r="C11" t="s">
        <v>3739</v>
      </c>
      <c r="D11" t="s">
        <v>3740</v>
      </c>
      <c r="E11" t="s">
        <v>2619</v>
      </c>
      <c r="F11">
        <v>1</v>
      </c>
      <c r="G11">
        <v>1</v>
      </c>
      <c r="H11" t="s">
        <v>3748</v>
      </c>
      <c r="I11" t="s">
        <v>3761</v>
      </c>
      <c r="J11" t="s">
        <v>7448</v>
      </c>
      <c r="K11" t="s">
        <v>3762</v>
      </c>
      <c r="M11" t="s">
        <v>8053</v>
      </c>
    </row>
    <row r="12" spans="1:14" x14ac:dyDescent="0.25">
      <c r="A12" t="s">
        <v>3763</v>
      </c>
      <c r="B12" t="s">
        <v>176</v>
      </c>
      <c r="C12" t="s">
        <v>3739</v>
      </c>
      <c r="D12" t="s">
        <v>3740</v>
      </c>
      <c r="E12" t="s">
        <v>360</v>
      </c>
      <c r="F12">
        <v>1</v>
      </c>
      <c r="G12">
        <v>1</v>
      </c>
      <c r="H12" t="s">
        <v>3741</v>
      </c>
      <c r="I12" t="s">
        <v>3764</v>
      </c>
      <c r="J12" t="s">
        <v>3455</v>
      </c>
      <c r="K12" t="s">
        <v>3765</v>
      </c>
      <c r="L12" t="s">
        <v>3759</v>
      </c>
      <c r="M12" t="s">
        <v>8053</v>
      </c>
    </row>
    <row r="13" spans="1:14" x14ac:dyDescent="0.25">
      <c r="A13" t="s">
        <v>3766</v>
      </c>
      <c r="B13" t="s">
        <v>176</v>
      </c>
      <c r="C13" t="s">
        <v>3739</v>
      </c>
      <c r="D13" t="s">
        <v>3740</v>
      </c>
      <c r="E13" t="s">
        <v>160</v>
      </c>
      <c r="F13">
        <v>1</v>
      </c>
      <c r="G13">
        <v>1</v>
      </c>
      <c r="H13" t="s">
        <v>3741</v>
      </c>
      <c r="I13" t="s">
        <v>8058</v>
      </c>
      <c r="J13" t="s">
        <v>3455</v>
      </c>
      <c r="K13" t="s">
        <v>3766</v>
      </c>
      <c r="L13" t="s">
        <v>3767</v>
      </c>
      <c r="M13" t="s">
        <v>8053</v>
      </c>
      <c r="N13" t="s">
        <v>4321</v>
      </c>
    </row>
    <row r="14" spans="1:14" x14ac:dyDescent="0.25">
      <c r="A14" t="s">
        <v>3768</v>
      </c>
      <c r="B14" t="s">
        <v>176</v>
      </c>
      <c r="C14" t="s">
        <v>3739</v>
      </c>
      <c r="D14" t="s">
        <v>3740</v>
      </c>
      <c r="E14" t="s">
        <v>2132</v>
      </c>
      <c r="F14">
        <v>1</v>
      </c>
      <c r="G14">
        <v>1</v>
      </c>
      <c r="H14" t="s">
        <v>3741</v>
      </c>
      <c r="I14" t="s">
        <v>3769</v>
      </c>
      <c r="J14" t="s">
        <v>3455</v>
      </c>
      <c r="K14" t="s">
        <v>3768</v>
      </c>
      <c r="L14" t="s">
        <v>3672</v>
      </c>
      <c r="M14" t="s">
        <v>8053</v>
      </c>
    </row>
    <row r="15" spans="1:14" x14ac:dyDescent="0.25">
      <c r="A15" t="s">
        <v>3770</v>
      </c>
      <c r="B15" t="s">
        <v>176</v>
      </c>
      <c r="C15" t="s">
        <v>3739</v>
      </c>
      <c r="D15" t="s">
        <v>3740</v>
      </c>
      <c r="E15" t="s">
        <v>1294</v>
      </c>
      <c r="F15">
        <v>1</v>
      </c>
      <c r="G15">
        <v>1</v>
      </c>
      <c r="H15" t="s">
        <v>3748</v>
      </c>
      <c r="I15" t="s">
        <v>3771</v>
      </c>
      <c r="J15" t="s">
        <v>3455</v>
      </c>
      <c r="K15" t="s">
        <v>3770</v>
      </c>
      <c r="L15" t="s">
        <v>458</v>
      </c>
      <c r="M15" t="s">
        <v>8053</v>
      </c>
    </row>
    <row r="16" spans="1:14" x14ac:dyDescent="0.25">
      <c r="A16" t="s">
        <v>3772</v>
      </c>
      <c r="B16" t="s">
        <v>176</v>
      </c>
      <c r="C16" t="s">
        <v>3773</v>
      </c>
      <c r="D16" t="s">
        <v>3740</v>
      </c>
      <c r="E16" t="s">
        <v>2619</v>
      </c>
      <c r="F16">
        <v>1</v>
      </c>
      <c r="G16">
        <v>2</v>
      </c>
      <c r="H16" t="s">
        <v>3741</v>
      </c>
      <c r="I16" t="s">
        <v>8055</v>
      </c>
      <c r="J16" t="s">
        <v>7434</v>
      </c>
      <c r="K16" t="s">
        <v>3772</v>
      </c>
      <c r="L16" t="s">
        <v>3759</v>
      </c>
      <c r="M16" t="s">
        <v>8053</v>
      </c>
      <c r="N16" t="s">
        <v>4327</v>
      </c>
    </row>
    <row r="17" spans="1:14" x14ac:dyDescent="0.25">
      <c r="A17" t="s">
        <v>3774</v>
      </c>
      <c r="B17" t="s">
        <v>176</v>
      </c>
      <c r="C17" t="s">
        <v>3773</v>
      </c>
      <c r="D17" t="s">
        <v>3740</v>
      </c>
      <c r="E17" t="s">
        <v>2132</v>
      </c>
      <c r="F17">
        <v>1</v>
      </c>
      <c r="G17">
        <v>2</v>
      </c>
      <c r="H17" t="s">
        <v>3741</v>
      </c>
      <c r="I17" t="s">
        <v>3775</v>
      </c>
      <c r="J17" t="s">
        <v>3455</v>
      </c>
      <c r="K17" t="s">
        <v>3774</v>
      </c>
      <c r="L17" t="s">
        <v>3503</v>
      </c>
      <c r="M17" t="s">
        <v>8053</v>
      </c>
    </row>
    <row r="18" spans="1:14" x14ac:dyDescent="0.25">
      <c r="A18" t="s">
        <v>3776</v>
      </c>
      <c r="B18" t="s">
        <v>176</v>
      </c>
      <c r="C18" t="s">
        <v>3773</v>
      </c>
      <c r="D18" t="s">
        <v>3740</v>
      </c>
      <c r="E18" t="s">
        <v>2619</v>
      </c>
      <c r="F18">
        <v>1</v>
      </c>
      <c r="G18">
        <v>2</v>
      </c>
      <c r="H18" t="s">
        <v>3748</v>
      </c>
      <c r="I18" t="s">
        <v>3777</v>
      </c>
      <c r="J18" t="s">
        <v>3455</v>
      </c>
      <c r="K18" t="s">
        <v>3778</v>
      </c>
      <c r="L18" t="s">
        <v>3779</v>
      </c>
      <c r="M18" t="s">
        <v>8053</v>
      </c>
    </row>
    <row r="19" spans="1:14" x14ac:dyDescent="0.25">
      <c r="A19" t="s">
        <v>3780</v>
      </c>
      <c r="B19" t="s">
        <v>176</v>
      </c>
      <c r="C19" t="s">
        <v>3773</v>
      </c>
      <c r="D19" t="s">
        <v>3740</v>
      </c>
      <c r="E19" t="s">
        <v>160</v>
      </c>
      <c r="F19">
        <v>1</v>
      </c>
      <c r="G19">
        <v>2</v>
      </c>
      <c r="H19" t="s">
        <v>3741</v>
      </c>
      <c r="I19" t="s">
        <v>3781</v>
      </c>
      <c r="J19" t="s">
        <v>7452</v>
      </c>
      <c r="K19" t="s">
        <v>3782</v>
      </c>
      <c r="L19" t="s">
        <v>3672</v>
      </c>
      <c r="M19" t="s">
        <v>8053</v>
      </c>
    </row>
    <row r="20" spans="1:14" x14ac:dyDescent="0.25">
      <c r="A20" t="s">
        <v>7876</v>
      </c>
      <c r="B20" t="s">
        <v>176</v>
      </c>
      <c r="C20" t="s">
        <v>3773</v>
      </c>
      <c r="D20" t="s">
        <v>3740</v>
      </c>
      <c r="E20" t="s">
        <v>1046</v>
      </c>
      <c r="F20">
        <v>1</v>
      </c>
      <c r="G20">
        <v>2</v>
      </c>
      <c r="H20" t="s">
        <v>3748</v>
      </c>
      <c r="I20" t="s">
        <v>7877</v>
      </c>
      <c r="J20" t="s">
        <v>3455</v>
      </c>
      <c r="K20" t="s">
        <v>7876</v>
      </c>
      <c r="L20" t="s">
        <v>3804</v>
      </c>
      <c r="M20" t="s">
        <v>8053</v>
      </c>
    </row>
    <row r="21" spans="1:14" x14ac:dyDescent="0.25">
      <c r="A21" t="s">
        <v>7874</v>
      </c>
      <c r="B21" t="s">
        <v>176</v>
      </c>
      <c r="C21" t="s">
        <v>3773</v>
      </c>
      <c r="D21" t="s">
        <v>3740</v>
      </c>
      <c r="E21" t="s">
        <v>1046</v>
      </c>
      <c r="F21">
        <v>1</v>
      </c>
      <c r="G21">
        <v>2</v>
      </c>
      <c r="H21" t="s">
        <v>3748</v>
      </c>
      <c r="I21" t="s">
        <v>8079</v>
      </c>
      <c r="J21" t="s">
        <v>3455</v>
      </c>
      <c r="K21" t="s">
        <v>7875</v>
      </c>
      <c r="L21" t="s">
        <v>7873</v>
      </c>
      <c r="M21" t="s">
        <v>8053</v>
      </c>
      <c r="N21" t="s">
        <v>4319</v>
      </c>
    </row>
    <row r="22" spans="1:14" x14ac:dyDescent="0.25">
      <c r="A22" t="s">
        <v>3783</v>
      </c>
      <c r="B22" t="s">
        <v>176</v>
      </c>
      <c r="C22" t="s">
        <v>3773</v>
      </c>
      <c r="D22" t="s">
        <v>3784</v>
      </c>
      <c r="E22" t="s">
        <v>360</v>
      </c>
      <c r="F22">
        <v>1</v>
      </c>
      <c r="G22">
        <v>2</v>
      </c>
      <c r="H22" t="s">
        <v>3741</v>
      </c>
      <c r="I22" t="s">
        <v>8047</v>
      </c>
      <c r="J22" t="s">
        <v>3455</v>
      </c>
      <c r="K22" t="s">
        <v>3785</v>
      </c>
      <c r="L22" t="s">
        <v>3759</v>
      </c>
      <c r="M22" t="s">
        <v>8053</v>
      </c>
      <c r="N22" t="s">
        <v>4319</v>
      </c>
    </row>
    <row r="23" spans="1:14" x14ac:dyDescent="0.25">
      <c r="A23" t="s">
        <v>3786</v>
      </c>
      <c r="B23" t="s">
        <v>176</v>
      </c>
      <c r="C23" t="s">
        <v>3787</v>
      </c>
      <c r="D23" t="s">
        <v>3740</v>
      </c>
      <c r="E23" t="s">
        <v>2619</v>
      </c>
      <c r="F23">
        <v>1</v>
      </c>
      <c r="G23">
        <v>3</v>
      </c>
      <c r="H23" t="s">
        <v>3748</v>
      </c>
      <c r="I23" t="s">
        <v>7431</v>
      </c>
      <c r="J23" t="s">
        <v>7433</v>
      </c>
      <c r="K23" t="s">
        <v>3786</v>
      </c>
      <c r="M23" t="s">
        <v>8053</v>
      </c>
    </row>
    <row r="24" spans="1:14" x14ac:dyDescent="0.25">
      <c r="A24" t="s">
        <v>3788</v>
      </c>
      <c r="B24" t="s">
        <v>176</v>
      </c>
      <c r="C24" t="s">
        <v>3787</v>
      </c>
      <c r="D24" t="s">
        <v>3789</v>
      </c>
      <c r="E24" t="s">
        <v>1294</v>
      </c>
      <c r="F24">
        <v>1</v>
      </c>
      <c r="G24">
        <v>3</v>
      </c>
      <c r="H24" t="s">
        <v>3741</v>
      </c>
      <c r="I24" t="s">
        <v>3790</v>
      </c>
      <c r="J24" t="s">
        <v>3455</v>
      </c>
      <c r="K24" t="s">
        <v>3791</v>
      </c>
      <c r="L24" t="s">
        <v>3792</v>
      </c>
      <c r="M24" t="s">
        <v>8053</v>
      </c>
    </row>
    <row r="25" spans="1:14" x14ac:dyDescent="0.25">
      <c r="A25" t="s">
        <v>3793</v>
      </c>
      <c r="B25" t="s">
        <v>176</v>
      </c>
      <c r="C25" t="s">
        <v>3787</v>
      </c>
      <c r="D25" t="s">
        <v>3740</v>
      </c>
      <c r="E25" t="s">
        <v>1294</v>
      </c>
      <c r="F25">
        <v>1</v>
      </c>
      <c r="G25">
        <v>3</v>
      </c>
      <c r="H25" t="s">
        <v>3748</v>
      </c>
      <c r="I25" t="s">
        <v>3794</v>
      </c>
      <c r="J25" t="s">
        <v>7425</v>
      </c>
      <c r="K25" t="s">
        <v>3795</v>
      </c>
      <c r="M25" t="s">
        <v>8053</v>
      </c>
    </row>
    <row r="26" spans="1:14" x14ac:dyDescent="0.25">
      <c r="A26" t="s">
        <v>3796</v>
      </c>
      <c r="B26" t="s">
        <v>176</v>
      </c>
      <c r="C26" t="s">
        <v>3787</v>
      </c>
      <c r="D26" t="s">
        <v>3797</v>
      </c>
      <c r="E26" t="s">
        <v>360</v>
      </c>
      <c r="F26">
        <v>1</v>
      </c>
      <c r="G26">
        <v>3</v>
      </c>
      <c r="H26" t="s">
        <v>3741</v>
      </c>
      <c r="I26" t="s">
        <v>8048</v>
      </c>
      <c r="J26" t="s">
        <v>3455</v>
      </c>
      <c r="K26" t="s">
        <v>3798</v>
      </c>
      <c r="L26" t="s">
        <v>3759</v>
      </c>
      <c r="M26" t="s">
        <v>8053</v>
      </c>
      <c r="N26" t="s">
        <v>4321</v>
      </c>
    </row>
    <row r="27" spans="1:14" x14ac:dyDescent="0.25">
      <c r="A27" t="s">
        <v>3799</v>
      </c>
      <c r="B27" t="s">
        <v>182</v>
      </c>
      <c r="C27" t="s">
        <v>3739</v>
      </c>
      <c r="D27" t="s">
        <v>3740</v>
      </c>
      <c r="E27" t="s">
        <v>90</v>
      </c>
      <c r="F27">
        <v>1</v>
      </c>
      <c r="G27">
        <v>1</v>
      </c>
      <c r="H27" t="s">
        <v>3748</v>
      </c>
      <c r="I27" t="s">
        <v>3800</v>
      </c>
      <c r="J27" t="s">
        <v>5259</v>
      </c>
      <c r="K27" t="s">
        <v>3799</v>
      </c>
      <c r="M27" t="s">
        <v>8053</v>
      </c>
    </row>
    <row r="28" spans="1:14" x14ac:dyDescent="0.25">
      <c r="A28" t="s">
        <v>3801</v>
      </c>
      <c r="B28" t="s">
        <v>182</v>
      </c>
      <c r="C28" t="s">
        <v>3739</v>
      </c>
      <c r="D28" t="s">
        <v>3740</v>
      </c>
      <c r="E28" t="s">
        <v>90</v>
      </c>
      <c r="F28">
        <v>1</v>
      </c>
      <c r="G28">
        <v>1</v>
      </c>
      <c r="H28" t="s">
        <v>3748</v>
      </c>
      <c r="I28" t="s">
        <v>3802</v>
      </c>
      <c r="J28" t="s">
        <v>3455</v>
      </c>
      <c r="K28" t="s">
        <v>3803</v>
      </c>
      <c r="L28" t="s">
        <v>3804</v>
      </c>
      <c r="M28" t="s">
        <v>8053</v>
      </c>
    </row>
    <row r="29" spans="1:14" x14ac:dyDescent="0.25">
      <c r="A29" t="s">
        <v>3805</v>
      </c>
      <c r="B29" t="s">
        <v>182</v>
      </c>
      <c r="C29" t="s">
        <v>3739</v>
      </c>
      <c r="D29" t="s">
        <v>3740</v>
      </c>
      <c r="E29" t="s">
        <v>960</v>
      </c>
      <c r="F29">
        <v>1</v>
      </c>
      <c r="G29">
        <v>1</v>
      </c>
      <c r="H29" t="s">
        <v>3748</v>
      </c>
      <c r="I29" t="s">
        <v>3806</v>
      </c>
      <c r="J29" t="s">
        <v>3455</v>
      </c>
      <c r="K29" t="s">
        <v>3807</v>
      </c>
      <c r="L29" t="s">
        <v>3808</v>
      </c>
      <c r="M29" t="s">
        <v>8053</v>
      </c>
    </row>
    <row r="30" spans="1:14" x14ac:dyDescent="0.25">
      <c r="A30" t="s">
        <v>3809</v>
      </c>
      <c r="B30" t="s">
        <v>182</v>
      </c>
      <c r="C30" t="s">
        <v>3739</v>
      </c>
      <c r="D30" t="s">
        <v>3740</v>
      </c>
      <c r="E30" t="s">
        <v>960</v>
      </c>
      <c r="F30">
        <v>1</v>
      </c>
      <c r="G30">
        <v>1</v>
      </c>
      <c r="H30" t="s">
        <v>3748</v>
      </c>
      <c r="I30" t="s">
        <v>3810</v>
      </c>
      <c r="J30" t="s">
        <v>7451</v>
      </c>
      <c r="K30" t="s">
        <v>3811</v>
      </c>
      <c r="L30" t="s">
        <v>3812</v>
      </c>
      <c r="M30" t="s">
        <v>8053</v>
      </c>
    </row>
    <row r="31" spans="1:14" x14ac:dyDescent="0.25">
      <c r="A31" t="s">
        <v>3813</v>
      </c>
      <c r="B31" t="s">
        <v>182</v>
      </c>
      <c r="C31" t="s">
        <v>3739</v>
      </c>
      <c r="D31" t="s">
        <v>3740</v>
      </c>
      <c r="E31" t="s">
        <v>38</v>
      </c>
      <c r="F31">
        <v>1</v>
      </c>
      <c r="G31">
        <v>1</v>
      </c>
      <c r="H31" t="s">
        <v>3748</v>
      </c>
      <c r="I31" t="s">
        <v>3814</v>
      </c>
      <c r="J31" t="s">
        <v>3455</v>
      </c>
      <c r="K31" t="s">
        <v>3815</v>
      </c>
      <c r="L31" t="s">
        <v>3816</v>
      </c>
      <c r="M31" t="s">
        <v>8053</v>
      </c>
    </row>
    <row r="32" spans="1:14" x14ac:dyDescent="0.25">
      <c r="A32" t="s">
        <v>3817</v>
      </c>
      <c r="B32" t="s">
        <v>182</v>
      </c>
      <c r="C32" t="s">
        <v>3739</v>
      </c>
      <c r="D32" t="s">
        <v>3740</v>
      </c>
      <c r="E32" t="s">
        <v>38</v>
      </c>
      <c r="F32">
        <v>1</v>
      </c>
      <c r="G32">
        <v>1</v>
      </c>
      <c r="H32" t="s">
        <v>3748</v>
      </c>
      <c r="I32" t="s">
        <v>3818</v>
      </c>
      <c r="J32" t="s">
        <v>3455</v>
      </c>
      <c r="K32" t="s">
        <v>3819</v>
      </c>
      <c r="L32" t="s">
        <v>3820</v>
      </c>
      <c r="M32" t="s">
        <v>8053</v>
      </c>
    </row>
    <row r="33" spans="1:14" x14ac:dyDescent="0.25">
      <c r="A33" t="s">
        <v>3821</v>
      </c>
      <c r="B33" t="s">
        <v>182</v>
      </c>
      <c r="C33" t="s">
        <v>3739</v>
      </c>
      <c r="D33" t="s">
        <v>3789</v>
      </c>
      <c r="E33" t="s">
        <v>90</v>
      </c>
      <c r="F33">
        <v>1</v>
      </c>
      <c r="G33">
        <v>1</v>
      </c>
      <c r="H33" t="s">
        <v>3741</v>
      </c>
      <c r="I33" t="s">
        <v>3822</v>
      </c>
      <c r="J33" t="s">
        <v>7424</v>
      </c>
      <c r="K33" t="s">
        <v>3823</v>
      </c>
      <c r="L33" t="s">
        <v>3824</v>
      </c>
      <c r="M33" t="s">
        <v>8053</v>
      </c>
    </row>
    <row r="34" spans="1:14" x14ac:dyDescent="0.25">
      <c r="A34" t="s">
        <v>3825</v>
      </c>
      <c r="B34" t="s">
        <v>182</v>
      </c>
      <c r="C34" t="s">
        <v>3773</v>
      </c>
      <c r="D34" t="s">
        <v>3740</v>
      </c>
      <c r="E34" t="s">
        <v>90</v>
      </c>
      <c r="F34">
        <v>1</v>
      </c>
      <c r="G34">
        <v>2</v>
      </c>
      <c r="H34" t="s">
        <v>3741</v>
      </c>
      <c r="I34" t="s">
        <v>3826</v>
      </c>
      <c r="J34" t="s">
        <v>3455</v>
      </c>
      <c r="K34" t="s">
        <v>3827</v>
      </c>
      <c r="M34" t="s">
        <v>8053</v>
      </c>
    </row>
    <row r="35" spans="1:14" x14ac:dyDescent="0.25">
      <c r="A35" t="s">
        <v>3828</v>
      </c>
      <c r="B35" t="s">
        <v>182</v>
      </c>
      <c r="C35" t="s">
        <v>3773</v>
      </c>
      <c r="D35" t="s">
        <v>3740</v>
      </c>
      <c r="E35" t="s">
        <v>90</v>
      </c>
      <c r="F35">
        <v>1</v>
      </c>
      <c r="G35">
        <v>2</v>
      </c>
      <c r="H35" t="s">
        <v>3829</v>
      </c>
      <c r="I35" t="s">
        <v>8083</v>
      </c>
      <c r="J35" t="s">
        <v>3455</v>
      </c>
      <c r="K35" t="s">
        <v>3828</v>
      </c>
      <c r="M35" t="s">
        <v>8054</v>
      </c>
    </row>
    <row r="36" spans="1:14" x14ac:dyDescent="0.25">
      <c r="A36" t="s">
        <v>3830</v>
      </c>
      <c r="B36" t="s">
        <v>182</v>
      </c>
      <c r="C36" t="s">
        <v>3773</v>
      </c>
      <c r="D36" t="s">
        <v>3740</v>
      </c>
      <c r="E36" t="s">
        <v>38</v>
      </c>
      <c r="F36">
        <v>1</v>
      </c>
      <c r="G36">
        <v>2</v>
      </c>
      <c r="H36" t="s">
        <v>3748</v>
      </c>
      <c r="I36" t="s">
        <v>3831</v>
      </c>
      <c r="J36" t="s">
        <v>7461</v>
      </c>
      <c r="K36" t="s">
        <v>3832</v>
      </c>
      <c r="M36" t="s">
        <v>8053</v>
      </c>
    </row>
    <row r="37" spans="1:14" x14ac:dyDescent="0.25">
      <c r="A37" t="s">
        <v>3833</v>
      </c>
      <c r="B37" t="s">
        <v>182</v>
      </c>
      <c r="C37" t="s">
        <v>3787</v>
      </c>
      <c r="D37" t="s">
        <v>3740</v>
      </c>
      <c r="E37" t="s">
        <v>90</v>
      </c>
      <c r="F37">
        <v>1</v>
      </c>
      <c r="G37">
        <v>3</v>
      </c>
      <c r="H37" t="s">
        <v>3829</v>
      </c>
      <c r="I37" t="s">
        <v>8072</v>
      </c>
      <c r="J37" t="s">
        <v>7407</v>
      </c>
      <c r="K37" t="s">
        <v>3833</v>
      </c>
      <c r="M37" t="s">
        <v>8054</v>
      </c>
    </row>
    <row r="38" spans="1:14" x14ac:dyDescent="0.25">
      <c r="A38" t="s">
        <v>3834</v>
      </c>
      <c r="B38" t="s">
        <v>182</v>
      </c>
      <c r="C38" t="s">
        <v>3787</v>
      </c>
      <c r="D38" t="s">
        <v>3789</v>
      </c>
      <c r="E38" t="s">
        <v>90</v>
      </c>
      <c r="F38">
        <v>1</v>
      </c>
      <c r="G38">
        <v>3</v>
      </c>
      <c r="H38" t="s">
        <v>3835</v>
      </c>
      <c r="I38" t="s">
        <v>3836</v>
      </c>
      <c r="J38" t="s">
        <v>7419</v>
      </c>
      <c r="K38" t="s">
        <v>3834</v>
      </c>
      <c r="M38" t="s">
        <v>8053</v>
      </c>
    </row>
    <row r="39" spans="1:14" x14ac:dyDescent="0.25">
      <c r="A39" t="s">
        <v>3837</v>
      </c>
      <c r="B39" t="s">
        <v>222</v>
      </c>
      <c r="C39" t="s">
        <v>3739</v>
      </c>
      <c r="D39" t="s">
        <v>3740</v>
      </c>
      <c r="E39" t="s">
        <v>1649</v>
      </c>
      <c r="F39">
        <v>1</v>
      </c>
      <c r="G39">
        <v>1</v>
      </c>
      <c r="H39" t="s">
        <v>3741</v>
      </c>
      <c r="I39" t="s">
        <v>3838</v>
      </c>
      <c r="J39" t="s">
        <v>7435</v>
      </c>
      <c r="K39" t="s">
        <v>3837</v>
      </c>
      <c r="M39" t="s">
        <v>8053</v>
      </c>
    </row>
    <row r="40" spans="1:14" x14ac:dyDescent="0.25">
      <c r="A40" t="s">
        <v>7692</v>
      </c>
      <c r="B40" t="s">
        <v>222</v>
      </c>
      <c r="C40" t="s">
        <v>3739</v>
      </c>
      <c r="D40" t="s">
        <v>3740</v>
      </c>
      <c r="E40" t="s">
        <v>1649</v>
      </c>
      <c r="F40">
        <v>1</v>
      </c>
      <c r="G40">
        <v>1</v>
      </c>
      <c r="H40" t="s">
        <v>3748</v>
      </c>
      <c r="I40" t="s">
        <v>7693</v>
      </c>
      <c r="J40" t="s">
        <v>3455</v>
      </c>
      <c r="K40" t="s">
        <v>7694</v>
      </c>
      <c r="L40" t="s">
        <v>7695</v>
      </c>
      <c r="M40" t="s">
        <v>8053</v>
      </c>
    </row>
    <row r="41" spans="1:14" x14ac:dyDescent="0.25">
      <c r="A41" t="s">
        <v>3839</v>
      </c>
      <c r="B41" t="s">
        <v>222</v>
      </c>
      <c r="C41" t="s">
        <v>3739</v>
      </c>
      <c r="D41" t="s">
        <v>3740</v>
      </c>
      <c r="E41" t="s">
        <v>1201</v>
      </c>
      <c r="F41">
        <v>1</v>
      </c>
      <c r="G41">
        <v>1</v>
      </c>
      <c r="H41" t="s">
        <v>3741</v>
      </c>
      <c r="I41" t="s">
        <v>8057</v>
      </c>
      <c r="J41" t="s">
        <v>3455</v>
      </c>
      <c r="K41" t="s">
        <v>3839</v>
      </c>
      <c r="L41" t="s">
        <v>3840</v>
      </c>
      <c r="M41" t="s">
        <v>8053</v>
      </c>
      <c r="N41" t="s">
        <v>4321</v>
      </c>
    </row>
    <row r="42" spans="1:14" x14ac:dyDescent="0.25">
      <c r="A42" t="s">
        <v>7436</v>
      </c>
      <c r="B42" t="s">
        <v>222</v>
      </c>
      <c r="C42" t="s">
        <v>3739</v>
      </c>
      <c r="D42" t="s">
        <v>3740</v>
      </c>
      <c r="E42" t="s">
        <v>1649</v>
      </c>
      <c r="F42">
        <v>1</v>
      </c>
      <c r="G42">
        <v>1</v>
      </c>
      <c r="H42" t="s">
        <v>3741</v>
      </c>
      <c r="I42" t="s">
        <v>7437</v>
      </c>
      <c r="J42" t="s">
        <v>3455</v>
      </c>
      <c r="K42" t="s">
        <v>7436</v>
      </c>
      <c r="L42" t="s">
        <v>7438</v>
      </c>
      <c r="M42" t="s">
        <v>8053</v>
      </c>
    </row>
    <row r="43" spans="1:14" x14ac:dyDescent="0.25">
      <c r="A43" t="s">
        <v>3841</v>
      </c>
      <c r="B43" t="s">
        <v>222</v>
      </c>
      <c r="C43" t="s">
        <v>3739</v>
      </c>
      <c r="D43" t="s">
        <v>3740</v>
      </c>
      <c r="E43" t="s">
        <v>501</v>
      </c>
      <c r="F43">
        <v>1</v>
      </c>
      <c r="G43">
        <v>1</v>
      </c>
      <c r="H43" t="s">
        <v>3752</v>
      </c>
      <c r="I43" t="s">
        <v>3842</v>
      </c>
      <c r="J43" t="s">
        <v>3455</v>
      </c>
      <c r="K43" t="s">
        <v>3841</v>
      </c>
      <c r="L43" t="s">
        <v>3843</v>
      </c>
      <c r="M43" t="s">
        <v>8053</v>
      </c>
    </row>
    <row r="44" spans="1:14" x14ac:dyDescent="0.25">
      <c r="A44" t="s">
        <v>7681</v>
      </c>
      <c r="B44" t="s">
        <v>222</v>
      </c>
      <c r="C44" t="s">
        <v>3773</v>
      </c>
      <c r="D44" t="s">
        <v>3740</v>
      </c>
      <c r="E44" t="s">
        <v>1649</v>
      </c>
      <c r="F44">
        <v>1</v>
      </c>
      <c r="G44">
        <v>2</v>
      </c>
      <c r="H44" t="s">
        <v>3741</v>
      </c>
      <c r="I44" t="s">
        <v>7682</v>
      </c>
      <c r="J44" t="s">
        <v>3455</v>
      </c>
      <c r="K44" t="s">
        <v>7683</v>
      </c>
      <c r="L44" t="s">
        <v>7684</v>
      </c>
      <c r="M44" t="s">
        <v>8053</v>
      </c>
    </row>
    <row r="45" spans="1:14" x14ac:dyDescent="0.25">
      <c r="A45" t="s">
        <v>7971</v>
      </c>
      <c r="B45" t="s">
        <v>222</v>
      </c>
      <c r="C45" t="s">
        <v>3773</v>
      </c>
      <c r="D45" t="s">
        <v>3740</v>
      </c>
      <c r="E45" t="s">
        <v>1649</v>
      </c>
      <c r="F45">
        <v>1</v>
      </c>
      <c r="G45">
        <v>2</v>
      </c>
      <c r="H45" t="s">
        <v>3835</v>
      </c>
      <c r="I45" t="s">
        <v>7972</v>
      </c>
      <c r="J45" t="s">
        <v>7975</v>
      </c>
      <c r="K45" t="s">
        <v>7974</v>
      </c>
      <c r="M45" t="s">
        <v>8053</v>
      </c>
    </row>
    <row r="46" spans="1:14" x14ac:dyDescent="0.25">
      <c r="A46" t="s">
        <v>7960</v>
      </c>
      <c r="B46" t="s">
        <v>222</v>
      </c>
      <c r="C46" t="s">
        <v>3773</v>
      </c>
      <c r="D46" t="s">
        <v>3740</v>
      </c>
      <c r="E46" t="s">
        <v>1649</v>
      </c>
      <c r="F46">
        <v>1</v>
      </c>
      <c r="G46">
        <v>2</v>
      </c>
      <c r="H46" t="s">
        <v>3752</v>
      </c>
      <c r="I46" t="s">
        <v>7961</v>
      </c>
      <c r="J46" t="s">
        <v>3455</v>
      </c>
      <c r="K46" t="s">
        <v>7960</v>
      </c>
      <c r="L46" t="s">
        <v>7973</v>
      </c>
      <c r="M46" t="s">
        <v>8053</v>
      </c>
    </row>
    <row r="47" spans="1:14" x14ac:dyDescent="0.25">
      <c r="A47" t="s">
        <v>3844</v>
      </c>
      <c r="B47" t="s">
        <v>222</v>
      </c>
      <c r="C47" t="s">
        <v>3773</v>
      </c>
      <c r="D47" t="s">
        <v>3740</v>
      </c>
      <c r="E47" t="s">
        <v>1649</v>
      </c>
      <c r="F47">
        <v>1</v>
      </c>
      <c r="G47">
        <v>2</v>
      </c>
      <c r="H47" t="s">
        <v>3748</v>
      </c>
      <c r="I47" t="s">
        <v>3845</v>
      </c>
      <c r="J47" t="s">
        <v>7406</v>
      </c>
      <c r="K47" t="s">
        <v>3844</v>
      </c>
      <c r="M47" t="s">
        <v>8053</v>
      </c>
    </row>
    <row r="48" spans="1:14" x14ac:dyDescent="0.25">
      <c r="A48" t="s">
        <v>3846</v>
      </c>
      <c r="B48" t="s">
        <v>222</v>
      </c>
      <c r="C48" t="s">
        <v>3773</v>
      </c>
      <c r="D48" t="s">
        <v>3740</v>
      </c>
      <c r="E48" t="s">
        <v>1649</v>
      </c>
      <c r="F48">
        <v>1</v>
      </c>
      <c r="G48">
        <v>2</v>
      </c>
      <c r="H48" t="s">
        <v>3748</v>
      </c>
      <c r="I48" t="s">
        <v>3847</v>
      </c>
      <c r="J48" t="s">
        <v>7402</v>
      </c>
      <c r="K48" t="s">
        <v>3848</v>
      </c>
      <c r="L48" t="s">
        <v>3816</v>
      </c>
      <c r="M48" t="s">
        <v>8053</v>
      </c>
    </row>
    <row r="49" spans="1:13" x14ac:dyDescent="0.25">
      <c r="A49" t="s">
        <v>3849</v>
      </c>
      <c r="B49" t="s">
        <v>222</v>
      </c>
      <c r="C49" t="s">
        <v>3773</v>
      </c>
      <c r="D49" t="s">
        <v>3784</v>
      </c>
      <c r="E49" t="s">
        <v>501</v>
      </c>
      <c r="F49">
        <v>1</v>
      </c>
      <c r="G49">
        <v>2</v>
      </c>
      <c r="H49" t="s">
        <v>3748</v>
      </c>
      <c r="I49" t="s">
        <v>3850</v>
      </c>
      <c r="J49" t="s">
        <v>7399</v>
      </c>
      <c r="K49" t="s">
        <v>3849</v>
      </c>
      <c r="M49" t="s">
        <v>8053</v>
      </c>
    </row>
    <row r="50" spans="1:13" x14ac:dyDescent="0.25">
      <c r="A50" t="s">
        <v>3851</v>
      </c>
      <c r="B50" t="s">
        <v>222</v>
      </c>
      <c r="C50" t="s">
        <v>3773</v>
      </c>
      <c r="D50" t="s">
        <v>3740</v>
      </c>
      <c r="E50" t="s">
        <v>1649</v>
      </c>
      <c r="F50">
        <v>1</v>
      </c>
      <c r="G50">
        <v>2</v>
      </c>
      <c r="H50" t="s">
        <v>3741</v>
      </c>
      <c r="I50" t="s">
        <v>3852</v>
      </c>
      <c r="J50" t="s">
        <v>3455</v>
      </c>
      <c r="K50" t="s">
        <v>3851</v>
      </c>
      <c r="L50" t="s">
        <v>3853</v>
      </c>
      <c r="M50" t="s">
        <v>8053</v>
      </c>
    </row>
    <row r="51" spans="1:13" x14ac:dyDescent="0.25">
      <c r="A51" t="s">
        <v>3854</v>
      </c>
      <c r="B51" t="s">
        <v>222</v>
      </c>
      <c r="C51" t="s">
        <v>3773</v>
      </c>
      <c r="D51" t="s">
        <v>3740</v>
      </c>
      <c r="E51" t="s">
        <v>1649</v>
      </c>
      <c r="F51">
        <v>1</v>
      </c>
      <c r="G51">
        <v>2</v>
      </c>
      <c r="H51" t="s">
        <v>3748</v>
      </c>
      <c r="I51" t="s">
        <v>3855</v>
      </c>
      <c r="J51" t="s">
        <v>7677</v>
      </c>
      <c r="K51" t="s">
        <v>3854</v>
      </c>
      <c r="L51" t="s">
        <v>3856</v>
      </c>
      <c r="M51" t="s">
        <v>8053</v>
      </c>
    </row>
    <row r="52" spans="1:13" x14ac:dyDescent="0.25">
      <c r="A52" t="s">
        <v>3857</v>
      </c>
      <c r="B52" t="s">
        <v>222</v>
      </c>
      <c r="C52" t="s">
        <v>3773</v>
      </c>
      <c r="D52" t="s">
        <v>3740</v>
      </c>
      <c r="E52" t="s">
        <v>1649</v>
      </c>
      <c r="F52">
        <v>1</v>
      </c>
      <c r="G52">
        <v>2</v>
      </c>
      <c r="H52" t="s">
        <v>3748</v>
      </c>
      <c r="I52" t="s">
        <v>3858</v>
      </c>
      <c r="J52" t="s">
        <v>3455</v>
      </c>
      <c r="K52" t="s">
        <v>3859</v>
      </c>
      <c r="L52" t="s">
        <v>3860</v>
      </c>
      <c r="M52" t="s">
        <v>8053</v>
      </c>
    </row>
    <row r="53" spans="1:13" x14ac:dyDescent="0.25">
      <c r="A53" t="s">
        <v>3861</v>
      </c>
      <c r="B53" t="s">
        <v>222</v>
      </c>
      <c r="C53" t="s">
        <v>3773</v>
      </c>
      <c r="D53" t="s">
        <v>3740</v>
      </c>
      <c r="E53" t="s">
        <v>1129</v>
      </c>
      <c r="F53">
        <v>1</v>
      </c>
      <c r="G53">
        <v>2</v>
      </c>
      <c r="H53" t="s">
        <v>3835</v>
      </c>
      <c r="I53" t="s">
        <v>3862</v>
      </c>
      <c r="J53" t="s">
        <v>3455</v>
      </c>
      <c r="K53" t="s">
        <v>3861</v>
      </c>
      <c r="M53" t="s">
        <v>8053</v>
      </c>
    </row>
    <row r="54" spans="1:13" x14ac:dyDescent="0.25">
      <c r="A54" t="s">
        <v>3863</v>
      </c>
      <c r="B54" t="s">
        <v>222</v>
      </c>
      <c r="C54" t="s">
        <v>3787</v>
      </c>
      <c r="D54" t="s">
        <v>3740</v>
      </c>
      <c r="E54" t="s">
        <v>501</v>
      </c>
      <c r="F54">
        <v>1</v>
      </c>
      <c r="G54">
        <v>3</v>
      </c>
      <c r="H54" t="s">
        <v>3835</v>
      </c>
      <c r="I54" t="s">
        <v>3864</v>
      </c>
      <c r="J54" t="s">
        <v>7462</v>
      </c>
      <c r="K54" t="s">
        <v>3865</v>
      </c>
      <c r="M54" t="s">
        <v>8053</v>
      </c>
    </row>
    <row r="55" spans="1:13" x14ac:dyDescent="0.25">
      <c r="A55" t="s">
        <v>7965</v>
      </c>
      <c r="B55" t="s">
        <v>222</v>
      </c>
      <c r="C55" t="s">
        <v>3787</v>
      </c>
      <c r="D55" t="s">
        <v>3740</v>
      </c>
      <c r="E55" t="s">
        <v>1649</v>
      </c>
      <c r="F55">
        <v>1</v>
      </c>
      <c r="G55">
        <v>3</v>
      </c>
      <c r="H55" t="s">
        <v>3741</v>
      </c>
      <c r="I55" t="s">
        <v>7968</v>
      </c>
      <c r="J55" t="s">
        <v>7966</v>
      </c>
      <c r="K55" t="s">
        <v>7970</v>
      </c>
      <c r="L55" t="s">
        <v>7969</v>
      </c>
      <c r="M55" t="s">
        <v>8053</v>
      </c>
    </row>
    <row r="56" spans="1:13" x14ac:dyDescent="0.25">
      <c r="A56" t="s">
        <v>3866</v>
      </c>
      <c r="B56" t="s">
        <v>222</v>
      </c>
      <c r="C56" t="s">
        <v>3787</v>
      </c>
      <c r="D56" t="s">
        <v>3740</v>
      </c>
      <c r="E56" t="s">
        <v>1649</v>
      </c>
      <c r="F56">
        <v>1</v>
      </c>
      <c r="G56">
        <v>3</v>
      </c>
      <c r="H56" t="s">
        <v>3748</v>
      </c>
      <c r="I56" t="s">
        <v>3867</v>
      </c>
      <c r="K56" t="s">
        <v>3868</v>
      </c>
      <c r="L56" t="s">
        <v>3869</v>
      </c>
      <c r="M56" t="s">
        <v>8053</v>
      </c>
    </row>
    <row r="57" spans="1:13" x14ac:dyDescent="0.25">
      <c r="A57" t="s">
        <v>1168</v>
      </c>
      <c r="B57" t="s">
        <v>222</v>
      </c>
      <c r="C57" t="s">
        <v>3907</v>
      </c>
      <c r="D57" t="s">
        <v>3740</v>
      </c>
      <c r="E57" t="s">
        <v>1649</v>
      </c>
      <c r="F57">
        <v>1</v>
      </c>
      <c r="G57">
        <v>4</v>
      </c>
      <c r="H57" t="s">
        <v>3748</v>
      </c>
      <c r="I57" t="s">
        <v>7685</v>
      </c>
      <c r="J57" t="s">
        <v>7691</v>
      </c>
      <c r="K57" t="s">
        <v>1168</v>
      </c>
      <c r="L57" t="s">
        <v>458</v>
      </c>
      <c r="M57" t="s">
        <v>8053</v>
      </c>
    </row>
    <row r="58" spans="1:13" x14ac:dyDescent="0.25">
      <c r="A58" t="s">
        <v>7962</v>
      </c>
      <c r="B58" t="s">
        <v>222</v>
      </c>
      <c r="C58" t="s">
        <v>3907</v>
      </c>
      <c r="D58" t="s">
        <v>3740</v>
      </c>
      <c r="E58" t="s">
        <v>1649</v>
      </c>
      <c r="F58">
        <v>1</v>
      </c>
      <c r="G58">
        <v>4</v>
      </c>
      <c r="H58" t="s">
        <v>3741</v>
      </c>
      <c r="I58" t="s">
        <v>7963</v>
      </c>
      <c r="J58" t="s">
        <v>3455</v>
      </c>
      <c r="K58" t="s">
        <v>7964</v>
      </c>
      <c r="L58" t="s">
        <v>3860</v>
      </c>
      <c r="M58" t="s">
        <v>8053</v>
      </c>
    </row>
    <row r="59" spans="1:13" x14ac:dyDescent="0.25">
      <c r="A59" t="s">
        <v>7885</v>
      </c>
      <c r="B59" t="s">
        <v>179</v>
      </c>
      <c r="C59" t="s">
        <v>3739</v>
      </c>
      <c r="D59" t="s">
        <v>3740</v>
      </c>
      <c r="E59" t="s">
        <v>1795</v>
      </c>
      <c r="F59">
        <v>1</v>
      </c>
      <c r="G59">
        <v>1</v>
      </c>
      <c r="H59" t="s">
        <v>3829</v>
      </c>
      <c r="I59" t="s">
        <v>8073</v>
      </c>
      <c r="J59" t="s">
        <v>3455</v>
      </c>
      <c r="K59" t="s">
        <v>7886</v>
      </c>
      <c r="M59" t="s">
        <v>8054</v>
      </c>
    </row>
    <row r="60" spans="1:13" x14ac:dyDescent="0.25">
      <c r="A60" t="s">
        <v>3870</v>
      </c>
      <c r="B60" t="s">
        <v>179</v>
      </c>
      <c r="C60" t="s">
        <v>3739</v>
      </c>
      <c r="D60" t="s">
        <v>3740</v>
      </c>
      <c r="E60" t="s">
        <v>1795</v>
      </c>
      <c r="F60">
        <v>1</v>
      </c>
      <c r="G60">
        <v>1</v>
      </c>
      <c r="H60" t="s">
        <v>3835</v>
      </c>
      <c r="I60" t="s">
        <v>3871</v>
      </c>
      <c r="J60" t="s">
        <v>7463</v>
      </c>
      <c r="K60" t="s">
        <v>3870</v>
      </c>
      <c r="M60" t="s">
        <v>8053</v>
      </c>
    </row>
    <row r="61" spans="1:13" x14ac:dyDescent="0.25">
      <c r="A61" t="s">
        <v>7678</v>
      </c>
      <c r="B61" t="s">
        <v>179</v>
      </c>
      <c r="C61" t="s">
        <v>3739</v>
      </c>
      <c r="D61" t="s">
        <v>3740</v>
      </c>
      <c r="E61" t="s">
        <v>689</v>
      </c>
      <c r="F61">
        <v>1</v>
      </c>
      <c r="G61">
        <v>1</v>
      </c>
      <c r="H61" t="s">
        <v>3741</v>
      </c>
      <c r="I61" t="s">
        <v>7679</v>
      </c>
      <c r="J61" t="s">
        <v>3455</v>
      </c>
      <c r="K61" t="s">
        <v>7678</v>
      </c>
      <c r="L61" t="s">
        <v>7680</v>
      </c>
      <c r="M61" t="s">
        <v>8053</v>
      </c>
    </row>
    <row r="62" spans="1:13" x14ac:dyDescent="0.25">
      <c r="A62" t="s">
        <v>3872</v>
      </c>
      <c r="B62" t="s">
        <v>179</v>
      </c>
      <c r="C62" t="s">
        <v>3773</v>
      </c>
      <c r="D62" t="s">
        <v>3740</v>
      </c>
      <c r="E62" t="s">
        <v>1795</v>
      </c>
      <c r="F62">
        <v>1</v>
      </c>
      <c r="G62">
        <v>2</v>
      </c>
      <c r="H62" t="s">
        <v>3829</v>
      </c>
      <c r="I62" t="s">
        <v>8074</v>
      </c>
      <c r="J62" t="s">
        <v>7394</v>
      </c>
      <c r="K62" t="s">
        <v>3873</v>
      </c>
      <c r="M62" t="s">
        <v>8054</v>
      </c>
    </row>
    <row r="63" spans="1:13" x14ac:dyDescent="0.25">
      <c r="A63" t="s">
        <v>3874</v>
      </c>
      <c r="B63" t="s">
        <v>179</v>
      </c>
      <c r="C63" t="s">
        <v>3773</v>
      </c>
      <c r="D63" t="s">
        <v>3740</v>
      </c>
      <c r="E63" t="s">
        <v>1795</v>
      </c>
      <c r="F63">
        <v>1</v>
      </c>
      <c r="G63">
        <v>2</v>
      </c>
      <c r="H63" t="s">
        <v>3748</v>
      </c>
      <c r="I63" t="s">
        <v>3875</v>
      </c>
      <c r="J63" t="s">
        <v>7395</v>
      </c>
      <c r="K63" t="s">
        <v>3874</v>
      </c>
      <c r="M63" t="s">
        <v>8053</v>
      </c>
    </row>
    <row r="64" spans="1:13" x14ac:dyDescent="0.25">
      <c r="A64" t="s">
        <v>7882</v>
      </c>
      <c r="B64" t="s">
        <v>179</v>
      </c>
      <c r="C64" t="s">
        <v>3787</v>
      </c>
      <c r="D64" t="s">
        <v>3740</v>
      </c>
      <c r="E64" t="s">
        <v>553</v>
      </c>
      <c r="F64">
        <v>1</v>
      </c>
      <c r="G64">
        <v>3</v>
      </c>
      <c r="H64" t="s">
        <v>3748</v>
      </c>
      <c r="I64" t="s">
        <v>7883</v>
      </c>
      <c r="J64" t="s">
        <v>3455</v>
      </c>
      <c r="K64" t="s">
        <v>7884</v>
      </c>
      <c r="L64" t="s">
        <v>3816</v>
      </c>
      <c r="M64" t="s">
        <v>8053</v>
      </c>
    </row>
    <row r="65" spans="1:13" x14ac:dyDescent="0.25">
      <c r="A65" t="s">
        <v>3876</v>
      </c>
      <c r="B65" t="s">
        <v>179</v>
      </c>
      <c r="C65" t="s">
        <v>3787</v>
      </c>
      <c r="D65" t="s">
        <v>3740</v>
      </c>
      <c r="E65" t="s">
        <v>1795</v>
      </c>
      <c r="F65">
        <v>1</v>
      </c>
      <c r="G65">
        <v>3</v>
      </c>
      <c r="H65" t="s">
        <v>3748</v>
      </c>
      <c r="I65" t="s">
        <v>3877</v>
      </c>
      <c r="J65" t="s">
        <v>3455</v>
      </c>
      <c r="K65" t="s">
        <v>3876</v>
      </c>
      <c r="M65" t="s">
        <v>8053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3731</v>
      </c>
      <c r="D1" t="s">
        <v>3732</v>
      </c>
      <c r="E1" t="s">
        <v>1</v>
      </c>
      <c r="F1" t="s">
        <v>3438</v>
      </c>
      <c r="G1" t="s">
        <v>3733</v>
      </c>
      <c r="H1" t="s">
        <v>3734</v>
      </c>
      <c r="I1" t="s">
        <v>3735</v>
      </c>
      <c r="J1" t="s">
        <v>3736</v>
      </c>
      <c r="K1" t="s">
        <v>171</v>
      </c>
      <c r="L1" t="s">
        <v>3737</v>
      </c>
      <c r="M1" t="s">
        <v>7465</v>
      </c>
      <c r="N1" t="s">
        <v>8052</v>
      </c>
      <c r="O1" t="s">
        <v>8030</v>
      </c>
    </row>
    <row r="2" spans="1:15" x14ac:dyDescent="0.25">
      <c r="A2" t="s">
        <v>3878</v>
      </c>
      <c r="B2" t="s">
        <v>176</v>
      </c>
      <c r="C2" t="s">
        <v>3739</v>
      </c>
      <c r="D2" t="s">
        <v>3789</v>
      </c>
      <c r="E2" t="s">
        <v>1046</v>
      </c>
      <c r="F2">
        <v>1</v>
      </c>
      <c r="G2">
        <v>3</v>
      </c>
      <c r="H2" t="s">
        <v>3752</v>
      </c>
      <c r="I2" t="s">
        <v>8078</v>
      </c>
      <c r="J2" t="s">
        <v>7446</v>
      </c>
      <c r="K2" t="s">
        <v>3878</v>
      </c>
      <c r="L2" t="s">
        <v>3879</v>
      </c>
      <c r="N2" t="s">
        <v>8053</v>
      </c>
    </row>
    <row r="3" spans="1:15" x14ac:dyDescent="0.25">
      <c r="A3" t="s">
        <v>3880</v>
      </c>
      <c r="B3" t="s">
        <v>176</v>
      </c>
      <c r="C3" t="s">
        <v>3739</v>
      </c>
      <c r="D3" t="s">
        <v>3789</v>
      </c>
      <c r="E3" t="s">
        <v>1752</v>
      </c>
      <c r="F3">
        <v>1</v>
      </c>
      <c r="G3">
        <v>3</v>
      </c>
      <c r="H3" t="s">
        <v>3741</v>
      </c>
      <c r="I3" t="s">
        <v>3881</v>
      </c>
      <c r="J3" t="s">
        <v>3455</v>
      </c>
      <c r="K3" t="s">
        <v>3882</v>
      </c>
      <c r="L3" t="s">
        <v>3883</v>
      </c>
      <c r="N3" t="s">
        <v>8053</v>
      </c>
    </row>
    <row r="4" spans="1:15" x14ac:dyDescent="0.25">
      <c r="A4" t="s">
        <v>3884</v>
      </c>
      <c r="B4" t="s">
        <v>176</v>
      </c>
      <c r="C4" t="s">
        <v>3739</v>
      </c>
      <c r="D4" t="s">
        <v>3789</v>
      </c>
      <c r="E4" t="s">
        <v>2132</v>
      </c>
      <c r="F4">
        <v>1</v>
      </c>
      <c r="G4">
        <v>3</v>
      </c>
      <c r="H4" t="s">
        <v>3835</v>
      </c>
      <c r="I4" t="s">
        <v>3885</v>
      </c>
      <c r="J4" t="s">
        <v>7377</v>
      </c>
      <c r="K4" t="s">
        <v>3884</v>
      </c>
      <c r="N4" t="s">
        <v>8053</v>
      </c>
    </row>
    <row r="5" spans="1:15" x14ac:dyDescent="0.25">
      <c r="A5" t="s">
        <v>3886</v>
      </c>
      <c r="B5" t="s">
        <v>176</v>
      </c>
      <c r="C5" t="s">
        <v>3739</v>
      </c>
      <c r="D5" t="s">
        <v>3740</v>
      </c>
      <c r="E5" t="s">
        <v>160</v>
      </c>
      <c r="F5">
        <v>1</v>
      </c>
      <c r="G5">
        <v>3</v>
      </c>
      <c r="H5" t="s">
        <v>3829</v>
      </c>
      <c r="I5" t="s">
        <v>8075</v>
      </c>
      <c r="J5" t="s">
        <v>7454</v>
      </c>
      <c r="K5" t="s">
        <v>3886</v>
      </c>
      <c r="N5" t="s">
        <v>8054</v>
      </c>
    </row>
    <row r="6" spans="1:15" x14ac:dyDescent="0.25">
      <c r="A6" t="s">
        <v>7356</v>
      </c>
      <c r="B6" t="s">
        <v>176</v>
      </c>
      <c r="C6" t="s">
        <v>3739</v>
      </c>
      <c r="D6" t="s">
        <v>3789</v>
      </c>
      <c r="E6" t="s">
        <v>2173</v>
      </c>
      <c r="F6">
        <v>1</v>
      </c>
      <c r="G6">
        <v>3</v>
      </c>
      <c r="H6" t="s">
        <v>3748</v>
      </c>
      <c r="I6" t="s">
        <v>7357</v>
      </c>
      <c r="J6" t="s">
        <v>3455</v>
      </c>
      <c r="K6" t="s">
        <v>7356</v>
      </c>
      <c r="L6" t="s">
        <v>4567</v>
      </c>
      <c r="N6" t="s">
        <v>8053</v>
      </c>
    </row>
    <row r="7" spans="1:15" x14ac:dyDescent="0.25">
      <c r="A7" t="s">
        <v>3887</v>
      </c>
      <c r="B7" t="s">
        <v>176</v>
      </c>
      <c r="C7" t="s">
        <v>3739</v>
      </c>
      <c r="D7" t="s">
        <v>3789</v>
      </c>
      <c r="E7" t="s">
        <v>2619</v>
      </c>
      <c r="F7">
        <v>1</v>
      </c>
      <c r="G7">
        <v>3</v>
      </c>
      <c r="H7" t="s">
        <v>3741</v>
      </c>
      <c r="I7" t="s">
        <v>3888</v>
      </c>
      <c r="J7" t="s">
        <v>7456</v>
      </c>
      <c r="K7" t="s">
        <v>3889</v>
      </c>
      <c r="N7" t="s">
        <v>8053</v>
      </c>
    </row>
    <row r="8" spans="1:15" x14ac:dyDescent="0.25">
      <c r="A8" t="s">
        <v>3890</v>
      </c>
      <c r="B8" t="s">
        <v>176</v>
      </c>
      <c r="C8" t="s">
        <v>3739</v>
      </c>
      <c r="D8" t="s">
        <v>3740</v>
      </c>
      <c r="E8" t="s">
        <v>1294</v>
      </c>
      <c r="F8">
        <v>1</v>
      </c>
      <c r="G8">
        <v>3</v>
      </c>
      <c r="H8" t="s">
        <v>3752</v>
      </c>
      <c r="I8" t="s">
        <v>3891</v>
      </c>
      <c r="J8" t="s">
        <v>3455</v>
      </c>
      <c r="K8" t="s">
        <v>3890</v>
      </c>
      <c r="N8" t="s">
        <v>8053</v>
      </c>
    </row>
    <row r="9" spans="1:15" x14ac:dyDescent="0.25">
      <c r="A9" t="s">
        <v>3892</v>
      </c>
      <c r="B9" t="s">
        <v>176</v>
      </c>
      <c r="C9" t="s">
        <v>3739</v>
      </c>
      <c r="D9" t="s">
        <v>3740</v>
      </c>
      <c r="E9" t="s">
        <v>160</v>
      </c>
      <c r="F9">
        <v>1</v>
      </c>
      <c r="G9">
        <v>3</v>
      </c>
      <c r="H9" t="s">
        <v>3835</v>
      </c>
      <c r="I9" t="s">
        <v>3893</v>
      </c>
      <c r="J9" t="s">
        <v>3455</v>
      </c>
      <c r="K9" t="s">
        <v>3892</v>
      </c>
      <c r="N9" t="s">
        <v>8053</v>
      </c>
    </row>
    <row r="10" spans="1:15" x14ac:dyDescent="0.25">
      <c r="A10" t="s">
        <v>7895</v>
      </c>
      <c r="B10" t="s">
        <v>176</v>
      </c>
      <c r="C10" t="s">
        <v>3739</v>
      </c>
      <c r="D10" t="s">
        <v>3740</v>
      </c>
      <c r="E10" t="s">
        <v>2619</v>
      </c>
      <c r="F10">
        <v>1</v>
      </c>
      <c r="G10">
        <v>3</v>
      </c>
      <c r="H10" t="s">
        <v>3748</v>
      </c>
      <c r="I10" t="s">
        <v>7896</v>
      </c>
      <c r="J10" t="s">
        <v>3455</v>
      </c>
      <c r="K10" t="s">
        <v>7897</v>
      </c>
      <c r="N10" t="s">
        <v>8053</v>
      </c>
    </row>
    <row r="11" spans="1:15" x14ac:dyDescent="0.25">
      <c r="A11" t="s">
        <v>3894</v>
      </c>
      <c r="B11" t="s">
        <v>176</v>
      </c>
      <c r="C11" t="s">
        <v>3773</v>
      </c>
      <c r="D11" t="s">
        <v>3895</v>
      </c>
      <c r="E11" t="s">
        <v>1294</v>
      </c>
      <c r="F11">
        <v>1</v>
      </c>
      <c r="G11">
        <v>5</v>
      </c>
      <c r="H11" t="s">
        <v>3752</v>
      </c>
      <c r="I11" t="s">
        <v>3896</v>
      </c>
      <c r="J11" t="s">
        <v>3455</v>
      </c>
      <c r="K11" t="s">
        <v>3894</v>
      </c>
      <c r="N11" t="s">
        <v>8053</v>
      </c>
    </row>
    <row r="12" spans="1:15" x14ac:dyDescent="0.25">
      <c r="A12" t="s">
        <v>3897</v>
      </c>
      <c r="B12" t="s">
        <v>176</v>
      </c>
      <c r="C12" t="s">
        <v>3773</v>
      </c>
      <c r="D12" t="s">
        <v>3740</v>
      </c>
      <c r="E12" t="s">
        <v>160</v>
      </c>
      <c r="F12">
        <v>1</v>
      </c>
      <c r="G12">
        <v>5</v>
      </c>
      <c r="H12" t="s">
        <v>3748</v>
      </c>
      <c r="I12" t="s">
        <v>3898</v>
      </c>
      <c r="J12" t="s">
        <v>3455</v>
      </c>
      <c r="K12" t="s">
        <v>3899</v>
      </c>
      <c r="N12" t="s">
        <v>8053</v>
      </c>
    </row>
    <row r="13" spans="1:15" x14ac:dyDescent="0.25">
      <c r="A13" t="s">
        <v>7878</v>
      </c>
      <c r="B13" t="s">
        <v>176</v>
      </c>
      <c r="C13" t="s">
        <v>3773</v>
      </c>
      <c r="D13" t="s">
        <v>3740</v>
      </c>
      <c r="E13" t="s">
        <v>1046</v>
      </c>
      <c r="F13">
        <v>1</v>
      </c>
      <c r="G13">
        <v>5</v>
      </c>
      <c r="H13" t="s">
        <v>3748</v>
      </c>
      <c r="I13" t="s">
        <v>7879</v>
      </c>
      <c r="J13" t="s">
        <v>3455</v>
      </c>
      <c r="K13" t="s">
        <v>7880</v>
      </c>
      <c r="L13" t="s">
        <v>7881</v>
      </c>
      <c r="N13" t="s">
        <v>8053</v>
      </c>
    </row>
    <row r="14" spans="1:15" x14ac:dyDescent="0.25">
      <c r="A14" t="s">
        <v>3900</v>
      </c>
      <c r="B14" t="s">
        <v>176</v>
      </c>
      <c r="C14" t="s">
        <v>3773</v>
      </c>
      <c r="D14" t="s">
        <v>3740</v>
      </c>
      <c r="E14" t="s">
        <v>1029</v>
      </c>
      <c r="F14">
        <v>1</v>
      </c>
      <c r="G14">
        <v>5</v>
      </c>
      <c r="H14" t="s">
        <v>3748</v>
      </c>
      <c r="I14" t="s">
        <v>3901</v>
      </c>
      <c r="J14" t="s">
        <v>7444</v>
      </c>
      <c r="K14" t="s">
        <v>3902</v>
      </c>
      <c r="N14" t="s">
        <v>8053</v>
      </c>
    </row>
    <row r="15" spans="1:15" x14ac:dyDescent="0.25">
      <c r="A15" t="s">
        <v>3903</v>
      </c>
      <c r="B15" t="s">
        <v>176</v>
      </c>
      <c r="C15" t="s">
        <v>3773</v>
      </c>
      <c r="D15" t="s">
        <v>3740</v>
      </c>
      <c r="E15" t="s">
        <v>1298</v>
      </c>
      <c r="F15">
        <v>1</v>
      </c>
      <c r="G15">
        <v>5</v>
      </c>
      <c r="H15" t="s">
        <v>3748</v>
      </c>
      <c r="I15" t="s">
        <v>3904</v>
      </c>
      <c r="J15" t="s">
        <v>3455</v>
      </c>
      <c r="K15" t="s">
        <v>3903</v>
      </c>
      <c r="N15" t="s">
        <v>8053</v>
      </c>
    </row>
    <row r="16" spans="1:15" x14ac:dyDescent="0.25">
      <c r="A16" t="s">
        <v>7893</v>
      </c>
      <c r="B16" t="s">
        <v>176</v>
      </c>
      <c r="C16" t="s">
        <v>3773</v>
      </c>
      <c r="D16" t="s">
        <v>7894</v>
      </c>
      <c r="E16" t="s">
        <v>1046</v>
      </c>
      <c r="F16">
        <v>1</v>
      </c>
      <c r="G16">
        <v>5</v>
      </c>
      <c r="H16" t="s">
        <v>3748</v>
      </c>
      <c r="I16" t="s">
        <v>7892</v>
      </c>
      <c r="J16" t="s">
        <v>3455</v>
      </c>
      <c r="K16" t="s">
        <v>7893</v>
      </c>
      <c r="N16" t="s">
        <v>8053</v>
      </c>
    </row>
    <row r="17" spans="1:14" x14ac:dyDescent="0.25">
      <c r="A17" t="s">
        <v>3465</v>
      </c>
      <c r="B17" t="s">
        <v>176</v>
      </c>
      <c r="C17" t="s">
        <v>3787</v>
      </c>
      <c r="D17" t="s">
        <v>3740</v>
      </c>
      <c r="E17" t="s">
        <v>160</v>
      </c>
      <c r="F17">
        <v>1</v>
      </c>
      <c r="G17">
        <v>7</v>
      </c>
      <c r="H17" t="s">
        <v>3741</v>
      </c>
      <c r="I17" t="s">
        <v>3905</v>
      </c>
      <c r="J17" t="s">
        <v>3455</v>
      </c>
      <c r="K17" t="s">
        <v>3465</v>
      </c>
      <c r="N17" t="s">
        <v>8053</v>
      </c>
    </row>
    <row r="18" spans="1:14" x14ac:dyDescent="0.25">
      <c r="A18" t="s">
        <v>3906</v>
      </c>
      <c r="B18" t="s">
        <v>176</v>
      </c>
      <c r="C18" t="s">
        <v>3907</v>
      </c>
      <c r="D18" t="s">
        <v>3784</v>
      </c>
      <c r="E18" t="s">
        <v>1046</v>
      </c>
      <c r="F18">
        <v>1</v>
      </c>
      <c r="G18">
        <v>9</v>
      </c>
      <c r="H18" t="s">
        <v>3741</v>
      </c>
      <c r="I18" t="s">
        <v>3908</v>
      </c>
      <c r="J18" t="s">
        <v>3455</v>
      </c>
      <c r="K18" t="s">
        <v>3906</v>
      </c>
      <c r="L18" t="s">
        <v>3759</v>
      </c>
      <c r="N18" t="s">
        <v>8053</v>
      </c>
    </row>
    <row r="19" spans="1:14" x14ac:dyDescent="0.25">
      <c r="A19" t="s">
        <v>7898</v>
      </c>
      <c r="B19" t="s">
        <v>176</v>
      </c>
      <c r="C19" t="s">
        <v>3907</v>
      </c>
      <c r="D19" t="s">
        <v>3789</v>
      </c>
      <c r="E19" t="s">
        <v>709</v>
      </c>
      <c r="F19">
        <v>1</v>
      </c>
      <c r="G19">
        <v>9</v>
      </c>
      <c r="H19" t="s">
        <v>3748</v>
      </c>
      <c r="I19" t="s">
        <v>7899</v>
      </c>
      <c r="J19" t="s">
        <v>3455</v>
      </c>
      <c r="K19" t="s">
        <v>7900</v>
      </c>
      <c r="N19" t="s">
        <v>8053</v>
      </c>
    </row>
    <row r="20" spans="1:14" x14ac:dyDescent="0.25">
      <c r="A20" t="s">
        <v>7888</v>
      </c>
      <c r="B20" t="s">
        <v>182</v>
      </c>
      <c r="C20" t="s">
        <v>3739</v>
      </c>
      <c r="D20" t="s">
        <v>3740</v>
      </c>
      <c r="E20" t="s">
        <v>90</v>
      </c>
      <c r="F20">
        <v>1</v>
      </c>
      <c r="G20">
        <v>3</v>
      </c>
      <c r="H20" t="s">
        <v>3748</v>
      </c>
      <c r="I20" t="s">
        <v>7887</v>
      </c>
      <c r="J20" t="s">
        <v>3455</v>
      </c>
      <c r="K20" t="s">
        <v>7889</v>
      </c>
      <c r="N20" t="s">
        <v>8053</v>
      </c>
    </row>
    <row r="21" spans="1:14" x14ac:dyDescent="0.25">
      <c r="A21" t="s">
        <v>3909</v>
      </c>
      <c r="B21" t="s">
        <v>182</v>
      </c>
      <c r="C21" t="s">
        <v>3739</v>
      </c>
      <c r="D21" t="s">
        <v>3789</v>
      </c>
      <c r="E21" t="s">
        <v>90</v>
      </c>
      <c r="F21">
        <v>1</v>
      </c>
      <c r="G21">
        <v>3</v>
      </c>
      <c r="H21" t="s">
        <v>3748</v>
      </c>
      <c r="I21" t="s">
        <v>3910</v>
      </c>
      <c r="J21" t="s">
        <v>3455</v>
      </c>
      <c r="K21" t="s">
        <v>3911</v>
      </c>
      <c r="N21" t="s">
        <v>8053</v>
      </c>
    </row>
    <row r="22" spans="1:14" x14ac:dyDescent="0.25">
      <c r="A22" t="s">
        <v>3912</v>
      </c>
      <c r="B22" t="s">
        <v>182</v>
      </c>
      <c r="C22" t="s">
        <v>3739</v>
      </c>
      <c r="D22" t="s">
        <v>3740</v>
      </c>
      <c r="E22" t="s">
        <v>38</v>
      </c>
      <c r="F22">
        <v>1</v>
      </c>
      <c r="G22">
        <v>3</v>
      </c>
      <c r="H22" t="s">
        <v>3748</v>
      </c>
      <c r="I22" t="s">
        <v>3913</v>
      </c>
      <c r="J22" t="s">
        <v>7409</v>
      </c>
      <c r="K22" t="s">
        <v>3912</v>
      </c>
      <c r="N22" t="s">
        <v>8053</v>
      </c>
    </row>
    <row r="23" spans="1:14" x14ac:dyDescent="0.25">
      <c r="A23" t="s">
        <v>3914</v>
      </c>
      <c r="B23" t="s">
        <v>182</v>
      </c>
      <c r="C23" t="s">
        <v>3773</v>
      </c>
      <c r="D23" t="s">
        <v>3740</v>
      </c>
      <c r="E23" t="s">
        <v>353</v>
      </c>
      <c r="F23">
        <v>1</v>
      </c>
      <c r="G23">
        <v>5</v>
      </c>
      <c r="H23" t="s">
        <v>3829</v>
      </c>
      <c r="I23" t="s">
        <v>8068</v>
      </c>
      <c r="J23" t="s">
        <v>3455</v>
      </c>
      <c r="K23" t="s">
        <v>3915</v>
      </c>
      <c r="N23" t="s">
        <v>8054</v>
      </c>
    </row>
    <row r="24" spans="1:14" x14ac:dyDescent="0.25">
      <c r="A24" t="s">
        <v>3916</v>
      </c>
      <c r="B24" t="s">
        <v>182</v>
      </c>
      <c r="C24" t="s">
        <v>3773</v>
      </c>
      <c r="D24" t="s">
        <v>3740</v>
      </c>
      <c r="E24" t="s">
        <v>353</v>
      </c>
      <c r="F24">
        <v>1</v>
      </c>
      <c r="G24">
        <v>5</v>
      </c>
      <c r="H24" t="s">
        <v>3829</v>
      </c>
      <c r="I24" t="s">
        <v>8071</v>
      </c>
      <c r="J24" t="s">
        <v>3455</v>
      </c>
      <c r="K24" t="s">
        <v>3917</v>
      </c>
      <c r="N24" t="s">
        <v>8054</v>
      </c>
    </row>
    <row r="25" spans="1:14" x14ac:dyDescent="0.25">
      <c r="A25" t="s">
        <v>3918</v>
      </c>
      <c r="B25" t="s">
        <v>182</v>
      </c>
      <c r="C25" t="s">
        <v>3773</v>
      </c>
      <c r="D25" t="s">
        <v>3740</v>
      </c>
      <c r="E25" t="s">
        <v>353</v>
      </c>
      <c r="F25">
        <v>1</v>
      </c>
      <c r="G25">
        <v>5</v>
      </c>
      <c r="H25" t="s">
        <v>3829</v>
      </c>
      <c r="I25" t="s">
        <v>8069</v>
      </c>
      <c r="J25" t="s">
        <v>3455</v>
      </c>
      <c r="K25" t="s">
        <v>3919</v>
      </c>
      <c r="N25" t="s">
        <v>8054</v>
      </c>
    </row>
    <row r="26" spans="1:14" x14ac:dyDescent="0.25">
      <c r="A26" t="s">
        <v>3920</v>
      </c>
      <c r="B26" t="s">
        <v>182</v>
      </c>
      <c r="C26" t="s">
        <v>3773</v>
      </c>
      <c r="D26" t="s">
        <v>3789</v>
      </c>
      <c r="E26" t="s">
        <v>38</v>
      </c>
      <c r="F26">
        <v>1</v>
      </c>
      <c r="G26">
        <v>5</v>
      </c>
      <c r="H26" t="s">
        <v>3741</v>
      </c>
      <c r="I26" t="s">
        <v>3921</v>
      </c>
      <c r="J26" t="s">
        <v>7460</v>
      </c>
      <c r="K26" t="s">
        <v>3922</v>
      </c>
      <c r="N26" t="s">
        <v>8053</v>
      </c>
    </row>
    <row r="27" spans="1:14" x14ac:dyDescent="0.25">
      <c r="A27" t="s">
        <v>3923</v>
      </c>
      <c r="B27" t="s">
        <v>182</v>
      </c>
      <c r="C27" t="s">
        <v>3773</v>
      </c>
      <c r="D27" t="s">
        <v>3740</v>
      </c>
      <c r="E27" t="s">
        <v>353</v>
      </c>
      <c r="F27">
        <v>1</v>
      </c>
      <c r="G27">
        <v>5</v>
      </c>
      <c r="H27" t="s">
        <v>3829</v>
      </c>
      <c r="I27" t="s">
        <v>8070</v>
      </c>
      <c r="J27" t="s">
        <v>3455</v>
      </c>
      <c r="K27" t="s">
        <v>3924</v>
      </c>
      <c r="N27" t="s">
        <v>8054</v>
      </c>
    </row>
    <row r="28" spans="1:14" x14ac:dyDescent="0.25">
      <c r="A28" t="s">
        <v>3925</v>
      </c>
      <c r="B28" t="s">
        <v>182</v>
      </c>
      <c r="C28" t="s">
        <v>3787</v>
      </c>
      <c r="D28" t="s">
        <v>3740</v>
      </c>
      <c r="E28" t="s">
        <v>353</v>
      </c>
      <c r="F28">
        <v>1</v>
      </c>
      <c r="G28">
        <v>7</v>
      </c>
      <c r="H28" t="s">
        <v>3829</v>
      </c>
      <c r="I28" t="s">
        <v>8084</v>
      </c>
      <c r="J28" t="s">
        <v>3455</v>
      </c>
      <c r="K28" t="s">
        <v>3927</v>
      </c>
      <c r="N28" t="s">
        <v>8054</v>
      </c>
    </row>
    <row r="29" spans="1:14" x14ac:dyDescent="0.25">
      <c r="A29" t="s">
        <v>7890</v>
      </c>
      <c r="B29" t="s">
        <v>182</v>
      </c>
      <c r="C29" t="s">
        <v>3787</v>
      </c>
      <c r="D29" t="s">
        <v>3740</v>
      </c>
      <c r="E29" t="s">
        <v>353</v>
      </c>
      <c r="F29">
        <v>1</v>
      </c>
      <c r="G29">
        <v>7</v>
      </c>
      <c r="H29" t="s">
        <v>3829</v>
      </c>
      <c r="I29" t="s">
        <v>8076</v>
      </c>
      <c r="J29" t="s">
        <v>3455</v>
      </c>
      <c r="K29" t="s">
        <v>7891</v>
      </c>
      <c r="N29" t="s">
        <v>8054</v>
      </c>
    </row>
    <row r="30" spans="1:14" x14ac:dyDescent="0.25">
      <c r="A30" t="s">
        <v>3928</v>
      </c>
      <c r="B30" t="s">
        <v>182</v>
      </c>
      <c r="C30" t="s">
        <v>3787</v>
      </c>
      <c r="D30" t="s">
        <v>3740</v>
      </c>
      <c r="E30" t="s">
        <v>90</v>
      </c>
      <c r="F30">
        <v>1</v>
      </c>
      <c r="G30">
        <v>7</v>
      </c>
      <c r="H30" t="s">
        <v>3829</v>
      </c>
      <c r="I30" t="s">
        <v>3929</v>
      </c>
      <c r="J30" t="s">
        <v>7430</v>
      </c>
      <c r="K30" t="s">
        <v>3930</v>
      </c>
      <c r="N30" t="s">
        <v>8054</v>
      </c>
    </row>
    <row r="31" spans="1:14" x14ac:dyDescent="0.25">
      <c r="A31" t="s">
        <v>3931</v>
      </c>
      <c r="B31" t="s">
        <v>182</v>
      </c>
      <c r="C31" t="s">
        <v>3907</v>
      </c>
      <c r="D31" t="s">
        <v>3789</v>
      </c>
      <c r="E31" t="s">
        <v>90</v>
      </c>
      <c r="F31">
        <v>1</v>
      </c>
      <c r="G31">
        <v>9</v>
      </c>
      <c r="H31" t="s">
        <v>3748</v>
      </c>
      <c r="I31" t="s">
        <v>3932</v>
      </c>
      <c r="J31" t="s">
        <v>7457</v>
      </c>
      <c r="K31" t="s">
        <v>3933</v>
      </c>
      <c r="N31" t="s">
        <v>8053</v>
      </c>
    </row>
    <row r="32" spans="1:14" x14ac:dyDescent="0.25">
      <c r="A32" t="s">
        <v>3934</v>
      </c>
      <c r="B32" t="s">
        <v>222</v>
      </c>
      <c r="C32" t="s">
        <v>3739</v>
      </c>
      <c r="D32" t="s">
        <v>3789</v>
      </c>
      <c r="E32" t="s">
        <v>1129</v>
      </c>
      <c r="F32">
        <v>1</v>
      </c>
      <c r="G32">
        <v>3</v>
      </c>
      <c r="H32" t="s">
        <v>3741</v>
      </c>
      <c r="I32" t="s">
        <v>3935</v>
      </c>
      <c r="J32" t="s">
        <v>3455</v>
      </c>
      <c r="K32" t="s">
        <v>3936</v>
      </c>
      <c r="L32" t="s">
        <v>3767</v>
      </c>
      <c r="N32" t="s">
        <v>8053</v>
      </c>
    </row>
    <row r="33" spans="1:14" x14ac:dyDescent="0.25">
      <c r="A33" t="s">
        <v>3937</v>
      </c>
      <c r="B33" t="s">
        <v>222</v>
      </c>
      <c r="C33" t="s">
        <v>3739</v>
      </c>
      <c r="D33" t="s">
        <v>3740</v>
      </c>
      <c r="E33" t="s">
        <v>501</v>
      </c>
      <c r="F33">
        <v>1</v>
      </c>
      <c r="G33">
        <v>3</v>
      </c>
      <c r="H33" t="s">
        <v>3748</v>
      </c>
      <c r="I33" t="s">
        <v>3938</v>
      </c>
      <c r="J33" t="s">
        <v>7451</v>
      </c>
      <c r="K33" t="s">
        <v>3937</v>
      </c>
      <c r="L33" t="s">
        <v>3672</v>
      </c>
      <c r="N33" t="s">
        <v>8053</v>
      </c>
    </row>
    <row r="34" spans="1:14" x14ac:dyDescent="0.25">
      <c r="A34" t="s">
        <v>3939</v>
      </c>
      <c r="B34" t="s">
        <v>222</v>
      </c>
      <c r="C34" t="s">
        <v>3739</v>
      </c>
      <c r="D34" t="s">
        <v>3740</v>
      </c>
      <c r="E34" t="s">
        <v>1649</v>
      </c>
      <c r="F34">
        <v>1</v>
      </c>
      <c r="G34">
        <v>3</v>
      </c>
      <c r="H34" t="s">
        <v>3748</v>
      </c>
      <c r="I34" t="s">
        <v>3940</v>
      </c>
      <c r="J34" t="s">
        <v>3455</v>
      </c>
      <c r="K34" t="s">
        <v>3939</v>
      </c>
      <c r="L34" t="s">
        <v>3860</v>
      </c>
      <c r="N34" t="s">
        <v>8053</v>
      </c>
    </row>
    <row r="35" spans="1:14" x14ac:dyDescent="0.25">
      <c r="A35" t="s">
        <v>3941</v>
      </c>
      <c r="B35" t="s">
        <v>222</v>
      </c>
      <c r="C35" t="s">
        <v>3739</v>
      </c>
      <c r="D35" t="s">
        <v>3789</v>
      </c>
      <c r="E35" t="s">
        <v>501</v>
      </c>
      <c r="F35">
        <v>1</v>
      </c>
      <c r="G35">
        <v>3</v>
      </c>
      <c r="H35" t="s">
        <v>3752</v>
      </c>
      <c r="I35" t="s">
        <v>3942</v>
      </c>
      <c r="J35" t="s">
        <v>3455</v>
      </c>
      <c r="K35" t="s">
        <v>3941</v>
      </c>
      <c r="L35" t="s">
        <v>3843</v>
      </c>
      <c r="N35" t="s">
        <v>8053</v>
      </c>
    </row>
    <row r="36" spans="1:14" x14ac:dyDescent="0.25">
      <c r="A36" t="s">
        <v>3943</v>
      </c>
      <c r="B36" t="s">
        <v>222</v>
      </c>
      <c r="C36" t="s">
        <v>3739</v>
      </c>
      <c r="D36" t="s">
        <v>3740</v>
      </c>
      <c r="E36" t="s">
        <v>1649</v>
      </c>
      <c r="F36">
        <v>1</v>
      </c>
      <c r="G36">
        <v>3</v>
      </c>
      <c r="H36" t="s">
        <v>3748</v>
      </c>
      <c r="I36" t="s">
        <v>3944</v>
      </c>
      <c r="J36" t="s">
        <v>7443</v>
      </c>
      <c r="K36" t="s">
        <v>3943</v>
      </c>
      <c r="L36" t="s">
        <v>3860</v>
      </c>
      <c r="N36" t="s">
        <v>8053</v>
      </c>
    </row>
    <row r="37" spans="1:14" x14ac:dyDescent="0.25">
      <c r="A37" t="s">
        <v>3945</v>
      </c>
      <c r="B37" t="s">
        <v>222</v>
      </c>
      <c r="C37" t="s">
        <v>3739</v>
      </c>
      <c r="D37" t="s">
        <v>3740</v>
      </c>
      <c r="E37" t="s">
        <v>501</v>
      </c>
      <c r="F37">
        <v>1</v>
      </c>
      <c r="G37">
        <v>3</v>
      </c>
      <c r="H37" t="s">
        <v>3741</v>
      </c>
      <c r="I37" t="s">
        <v>3946</v>
      </c>
      <c r="J37" t="s">
        <v>3455</v>
      </c>
      <c r="K37" t="s">
        <v>3947</v>
      </c>
      <c r="N37" t="s">
        <v>8053</v>
      </c>
    </row>
    <row r="38" spans="1:14" x14ac:dyDescent="0.25">
      <c r="A38" t="s">
        <v>7902</v>
      </c>
      <c r="B38" t="s">
        <v>222</v>
      </c>
      <c r="C38" t="s">
        <v>3773</v>
      </c>
      <c r="D38" t="s">
        <v>3784</v>
      </c>
      <c r="E38" t="s">
        <v>1649</v>
      </c>
      <c r="F38">
        <v>1</v>
      </c>
      <c r="G38">
        <v>5</v>
      </c>
      <c r="H38" t="s">
        <v>3748</v>
      </c>
      <c r="I38" t="s">
        <v>7903</v>
      </c>
      <c r="J38" t="s">
        <v>3455</v>
      </c>
      <c r="K38" t="s">
        <v>7901</v>
      </c>
      <c r="L38" t="s">
        <v>7904</v>
      </c>
      <c r="N38" t="s">
        <v>8053</v>
      </c>
    </row>
    <row r="39" spans="1:14" x14ac:dyDescent="0.25">
      <c r="A39" t="s">
        <v>3948</v>
      </c>
      <c r="B39" t="s">
        <v>222</v>
      </c>
      <c r="C39" t="s">
        <v>3773</v>
      </c>
      <c r="D39" t="s">
        <v>3740</v>
      </c>
      <c r="E39" t="s">
        <v>1649</v>
      </c>
      <c r="F39">
        <v>1</v>
      </c>
      <c r="G39">
        <v>5</v>
      </c>
      <c r="H39" t="s">
        <v>3748</v>
      </c>
      <c r="I39" t="s">
        <v>3949</v>
      </c>
      <c r="J39" t="s">
        <v>3455</v>
      </c>
      <c r="K39" t="s">
        <v>3948</v>
      </c>
      <c r="N39" t="s">
        <v>8053</v>
      </c>
    </row>
    <row r="40" spans="1:14" x14ac:dyDescent="0.25">
      <c r="A40" t="s">
        <v>7426</v>
      </c>
      <c r="B40" t="s">
        <v>222</v>
      </c>
      <c r="C40" t="s">
        <v>3773</v>
      </c>
      <c r="D40" t="s">
        <v>3789</v>
      </c>
      <c r="E40" t="s">
        <v>1649</v>
      </c>
      <c r="F40">
        <v>1</v>
      </c>
      <c r="G40">
        <v>5</v>
      </c>
      <c r="H40" t="s">
        <v>7466</v>
      </c>
      <c r="I40" t="s">
        <v>8085</v>
      </c>
      <c r="J40" t="s">
        <v>7455</v>
      </c>
      <c r="K40" t="s">
        <v>7467</v>
      </c>
      <c r="L40" t="s">
        <v>3860</v>
      </c>
      <c r="M40">
        <v>3</v>
      </c>
      <c r="N40" t="s">
        <v>8053</v>
      </c>
    </row>
    <row r="41" spans="1:14" x14ac:dyDescent="0.25">
      <c r="A41" t="s">
        <v>3950</v>
      </c>
      <c r="B41" t="s">
        <v>222</v>
      </c>
      <c r="C41" t="s">
        <v>3773</v>
      </c>
      <c r="D41" t="s">
        <v>3895</v>
      </c>
      <c r="E41" t="s">
        <v>1649</v>
      </c>
      <c r="F41">
        <v>1</v>
      </c>
      <c r="G41">
        <v>5</v>
      </c>
      <c r="H41" t="s">
        <v>3752</v>
      </c>
      <c r="I41" t="s">
        <v>3951</v>
      </c>
      <c r="J41" t="s">
        <v>7460</v>
      </c>
      <c r="K41" t="s">
        <v>3952</v>
      </c>
      <c r="N41" t="s">
        <v>8053</v>
      </c>
    </row>
    <row r="42" spans="1:14" x14ac:dyDescent="0.25">
      <c r="A42" t="s">
        <v>3953</v>
      </c>
      <c r="B42" t="s">
        <v>222</v>
      </c>
      <c r="C42" t="s">
        <v>3773</v>
      </c>
      <c r="D42" t="s">
        <v>3740</v>
      </c>
      <c r="E42" t="s">
        <v>1649</v>
      </c>
      <c r="F42">
        <v>1</v>
      </c>
      <c r="G42">
        <v>5</v>
      </c>
      <c r="H42" t="s">
        <v>3748</v>
      </c>
      <c r="I42" t="s">
        <v>3954</v>
      </c>
      <c r="J42" t="s">
        <v>3455</v>
      </c>
      <c r="K42" t="s">
        <v>3953</v>
      </c>
      <c r="L42" t="s">
        <v>3860</v>
      </c>
      <c r="N42" t="s">
        <v>8053</v>
      </c>
    </row>
    <row r="43" spans="1:14" x14ac:dyDescent="0.25">
      <c r="A43" t="s">
        <v>3955</v>
      </c>
      <c r="B43" t="s">
        <v>222</v>
      </c>
      <c r="C43" t="s">
        <v>3787</v>
      </c>
      <c r="D43" t="s">
        <v>3956</v>
      </c>
      <c r="E43" t="s">
        <v>1649</v>
      </c>
      <c r="F43">
        <v>1</v>
      </c>
      <c r="G43">
        <v>7</v>
      </c>
      <c r="H43" t="s">
        <v>3835</v>
      </c>
      <c r="I43" t="s">
        <v>3957</v>
      </c>
      <c r="J43" t="s">
        <v>7377</v>
      </c>
      <c r="K43" t="s">
        <v>3958</v>
      </c>
      <c r="N43" t="s">
        <v>8053</v>
      </c>
    </row>
    <row r="44" spans="1:14" x14ac:dyDescent="0.25">
      <c r="A44" t="s">
        <v>3959</v>
      </c>
      <c r="B44" t="s">
        <v>222</v>
      </c>
      <c r="C44" t="s">
        <v>3787</v>
      </c>
      <c r="D44" t="s">
        <v>3789</v>
      </c>
      <c r="E44" t="s">
        <v>1649</v>
      </c>
      <c r="F44">
        <v>1</v>
      </c>
      <c r="G44">
        <v>7</v>
      </c>
      <c r="H44" t="s">
        <v>3752</v>
      </c>
      <c r="I44" t="s">
        <v>3960</v>
      </c>
      <c r="J44" t="s">
        <v>7447</v>
      </c>
      <c r="K44" t="s">
        <v>3961</v>
      </c>
      <c r="N44" t="s">
        <v>8053</v>
      </c>
    </row>
    <row r="45" spans="1:14" x14ac:dyDescent="0.25">
      <c r="A45" t="s">
        <v>3962</v>
      </c>
      <c r="B45" t="s">
        <v>222</v>
      </c>
      <c r="C45" t="s">
        <v>3907</v>
      </c>
      <c r="D45" t="s">
        <v>3789</v>
      </c>
      <c r="E45" t="s">
        <v>1649</v>
      </c>
      <c r="F45">
        <v>1</v>
      </c>
      <c r="G45">
        <v>9</v>
      </c>
      <c r="H45" t="s">
        <v>3741</v>
      </c>
      <c r="I45" t="s">
        <v>8059</v>
      </c>
      <c r="J45" t="s">
        <v>3455</v>
      </c>
      <c r="K45" t="s">
        <v>3963</v>
      </c>
      <c r="L45" t="s">
        <v>3964</v>
      </c>
      <c r="N45" t="s">
        <v>8053</v>
      </c>
    </row>
    <row r="46" spans="1:14" x14ac:dyDescent="0.25">
      <c r="A46" t="s">
        <v>3965</v>
      </c>
      <c r="B46" t="s">
        <v>179</v>
      </c>
      <c r="C46" t="s">
        <v>3739</v>
      </c>
      <c r="D46" t="s">
        <v>3740</v>
      </c>
      <c r="E46" t="s">
        <v>689</v>
      </c>
      <c r="F46">
        <v>1</v>
      </c>
      <c r="G46">
        <v>3</v>
      </c>
      <c r="H46" t="s">
        <v>3829</v>
      </c>
      <c r="I46" t="s">
        <v>8064</v>
      </c>
      <c r="J46" t="s">
        <v>3455</v>
      </c>
      <c r="K46" t="s">
        <v>3965</v>
      </c>
      <c r="N46" t="s">
        <v>8054</v>
      </c>
    </row>
    <row r="47" spans="1:14" x14ac:dyDescent="0.25">
      <c r="A47" t="s">
        <v>3966</v>
      </c>
      <c r="B47" t="s">
        <v>179</v>
      </c>
      <c r="C47" t="s">
        <v>3773</v>
      </c>
      <c r="D47" t="s">
        <v>3740</v>
      </c>
      <c r="E47" t="s">
        <v>689</v>
      </c>
      <c r="F47">
        <v>1</v>
      </c>
      <c r="G47">
        <v>5</v>
      </c>
      <c r="H47" t="s">
        <v>3829</v>
      </c>
      <c r="I47" t="s">
        <v>8064</v>
      </c>
      <c r="J47" t="s">
        <v>3455</v>
      </c>
      <c r="K47" t="s">
        <v>3967</v>
      </c>
      <c r="N47" t="s">
        <v>8054</v>
      </c>
    </row>
    <row r="48" spans="1:14" x14ac:dyDescent="0.25">
      <c r="A48" t="s">
        <v>3968</v>
      </c>
      <c r="B48" t="s">
        <v>179</v>
      </c>
      <c r="C48" t="s">
        <v>3787</v>
      </c>
      <c r="D48" t="s">
        <v>3784</v>
      </c>
      <c r="E48" t="s">
        <v>2154</v>
      </c>
      <c r="F48">
        <v>1</v>
      </c>
      <c r="G48">
        <v>7</v>
      </c>
      <c r="H48" t="s">
        <v>3741</v>
      </c>
      <c r="I48" t="s">
        <v>3969</v>
      </c>
      <c r="J48" t="s">
        <v>7453</v>
      </c>
      <c r="K48" t="s">
        <v>3968</v>
      </c>
      <c r="N48" t="s">
        <v>8053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7380</v>
      </c>
      <c r="D1" t="s">
        <v>3450</v>
      </c>
      <c r="E1" t="s">
        <v>3493</v>
      </c>
    </row>
    <row r="2" spans="1:5" x14ac:dyDescent="0.25">
      <c r="A2" t="s">
        <v>7439</v>
      </c>
      <c r="B2" t="s">
        <v>7410</v>
      </c>
      <c r="C2" t="s">
        <v>7441</v>
      </c>
      <c r="D2" t="s">
        <v>7440</v>
      </c>
      <c r="E2" t="s">
        <v>7994</v>
      </c>
    </row>
    <row r="3" spans="1:5" x14ac:dyDescent="0.25">
      <c r="A3" t="s">
        <v>7468</v>
      </c>
      <c r="B3" t="s">
        <v>3677</v>
      </c>
      <c r="C3" t="s">
        <v>3455</v>
      </c>
      <c r="D3" t="s">
        <v>7469</v>
      </c>
      <c r="E3" t="s">
        <v>7995</v>
      </c>
    </row>
    <row r="4" spans="1:5" x14ac:dyDescent="0.25">
      <c r="A4" t="s">
        <v>7429</v>
      </c>
      <c r="B4" t="s">
        <v>3980</v>
      </c>
      <c r="C4" t="s">
        <v>7393</v>
      </c>
      <c r="D4" t="s">
        <v>7432</v>
      </c>
      <c r="E4" t="s">
        <v>7996</v>
      </c>
    </row>
    <row r="5" spans="1:5" x14ac:dyDescent="0.25">
      <c r="A5" t="s">
        <v>7399</v>
      </c>
      <c r="B5" t="s">
        <v>5283</v>
      </c>
      <c r="C5" t="s">
        <v>7388</v>
      </c>
      <c r="D5" t="s">
        <v>7401</v>
      </c>
      <c r="E5" t="s">
        <v>7997</v>
      </c>
    </row>
    <row r="6" spans="1:5" x14ac:dyDescent="0.25">
      <c r="A6" t="s">
        <v>7394</v>
      </c>
      <c r="B6" t="s">
        <v>5719</v>
      </c>
      <c r="C6" t="s">
        <v>7387</v>
      </c>
      <c r="D6" t="s">
        <v>7408</v>
      </c>
      <c r="E6" t="s">
        <v>7998</v>
      </c>
    </row>
    <row r="7" spans="1:5" x14ac:dyDescent="0.25">
      <c r="A7" t="s">
        <v>7445</v>
      </c>
      <c r="B7" t="s">
        <v>5719</v>
      </c>
      <c r="C7" t="s">
        <v>3455</v>
      </c>
      <c r="D7" t="s">
        <v>7459</v>
      </c>
      <c r="E7" t="s">
        <v>7999</v>
      </c>
    </row>
    <row r="8" spans="1:5" x14ac:dyDescent="0.25">
      <c r="A8" t="s">
        <v>7686</v>
      </c>
      <c r="B8" t="s">
        <v>5719</v>
      </c>
      <c r="C8" t="s">
        <v>7687</v>
      </c>
      <c r="D8" t="s">
        <v>7688</v>
      </c>
      <c r="E8" t="s">
        <v>8000</v>
      </c>
    </row>
    <row r="9" spans="1:5" x14ac:dyDescent="0.25">
      <c r="A9" t="s">
        <v>7689</v>
      </c>
      <c r="B9" t="s">
        <v>7381</v>
      </c>
      <c r="C9" t="s">
        <v>7383</v>
      </c>
      <c r="D9" t="s">
        <v>7690</v>
      </c>
      <c r="E9" t="s">
        <v>8001</v>
      </c>
    </row>
    <row r="10" spans="1:5" x14ac:dyDescent="0.25">
      <c r="A10" t="s">
        <v>5199</v>
      </c>
      <c r="B10" t="s">
        <v>7410</v>
      </c>
      <c r="C10" t="s">
        <v>7387</v>
      </c>
      <c r="D10" t="s">
        <v>7411</v>
      </c>
      <c r="E10" t="s">
        <v>8002</v>
      </c>
    </row>
    <row r="11" spans="1:5" x14ac:dyDescent="0.25">
      <c r="A11" t="s">
        <v>7385</v>
      </c>
      <c r="B11" t="s">
        <v>7386</v>
      </c>
      <c r="C11" t="s">
        <v>3455</v>
      </c>
      <c r="D11" t="s">
        <v>7418</v>
      </c>
      <c r="E11" t="s">
        <v>8003</v>
      </c>
    </row>
    <row r="12" spans="1:5" x14ac:dyDescent="0.25">
      <c r="A12" t="s">
        <v>1322</v>
      </c>
      <c r="B12" t="s">
        <v>3980</v>
      </c>
      <c r="C12" t="s">
        <v>7388</v>
      </c>
      <c r="D12" t="s">
        <v>7416</v>
      </c>
      <c r="E12" t="s">
        <v>8004</v>
      </c>
    </row>
    <row r="13" spans="1:5" x14ac:dyDescent="0.25">
      <c r="A13" t="s">
        <v>7407</v>
      </c>
      <c r="B13" t="s">
        <v>5719</v>
      </c>
      <c r="C13" t="s">
        <v>7387</v>
      </c>
      <c r="D13" t="s">
        <v>7470</v>
      </c>
      <c r="E13" t="s">
        <v>8005</v>
      </c>
    </row>
    <row r="14" spans="1:5" x14ac:dyDescent="0.25">
      <c r="A14" t="s">
        <v>7422</v>
      </c>
      <c r="B14" t="s">
        <v>7410</v>
      </c>
      <c r="C14" t="s">
        <v>3455</v>
      </c>
      <c r="D14" t="s">
        <v>7423</v>
      </c>
      <c r="E14" t="s">
        <v>8006</v>
      </c>
    </row>
    <row r="15" spans="1:5" x14ac:dyDescent="0.25">
      <c r="A15" t="s">
        <v>7420</v>
      </c>
      <c r="B15" t="s">
        <v>7381</v>
      </c>
      <c r="C15" t="s">
        <v>7383</v>
      </c>
      <c r="D15" t="s">
        <v>7421</v>
      </c>
      <c r="E15" t="s">
        <v>8007</v>
      </c>
    </row>
    <row r="16" spans="1:5" x14ac:dyDescent="0.25">
      <c r="A16" t="s">
        <v>7403</v>
      </c>
      <c r="B16" t="s">
        <v>3677</v>
      </c>
      <c r="C16" t="s">
        <v>3455</v>
      </c>
      <c r="D16" t="s">
        <v>7405</v>
      </c>
      <c r="E16" t="s">
        <v>8008</v>
      </c>
    </row>
    <row r="17" spans="1:5" x14ac:dyDescent="0.25">
      <c r="A17" t="s">
        <v>7449</v>
      </c>
      <c r="B17" t="s">
        <v>5719</v>
      </c>
      <c r="C17" t="s">
        <v>7393</v>
      </c>
      <c r="D17" t="s">
        <v>7450</v>
      </c>
      <c r="E17" t="s">
        <v>8009</v>
      </c>
    </row>
    <row r="18" spans="1:5" x14ac:dyDescent="0.25">
      <c r="A18" t="s">
        <v>7395</v>
      </c>
      <c r="B18" t="s">
        <v>3980</v>
      </c>
      <c r="C18" t="s">
        <v>3455</v>
      </c>
      <c r="D18" t="s">
        <v>7413</v>
      </c>
      <c r="E18" t="s">
        <v>8010</v>
      </c>
    </row>
    <row r="19" spans="1:5" x14ac:dyDescent="0.25">
      <c r="A19" t="s">
        <v>7409</v>
      </c>
      <c r="B19" t="s">
        <v>5719</v>
      </c>
      <c r="C19" t="s">
        <v>3455</v>
      </c>
      <c r="D19" t="s">
        <v>7471</v>
      </c>
      <c r="E19" t="s">
        <v>8011</v>
      </c>
    </row>
    <row r="20" spans="1:5" x14ac:dyDescent="0.25">
      <c r="A20" t="s">
        <v>7391</v>
      </c>
      <c r="B20" t="s">
        <v>5283</v>
      </c>
      <c r="C20" t="s">
        <v>7393</v>
      </c>
      <c r="D20" t="s">
        <v>7392</v>
      </c>
      <c r="E20" t="s">
        <v>8012</v>
      </c>
    </row>
    <row r="21" spans="1:5" x14ac:dyDescent="0.25">
      <c r="A21" t="s">
        <v>7384</v>
      </c>
      <c r="B21" t="s">
        <v>7381</v>
      </c>
      <c r="C21" t="s">
        <v>7387</v>
      </c>
      <c r="D21" t="s">
        <v>7415</v>
      </c>
      <c r="E21" t="s">
        <v>8013</v>
      </c>
    </row>
    <row r="22" spans="1:5" x14ac:dyDescent="0.25">
      <c r="A22" t="s">
        <v>7382</v>
      </c>
      <c r="B22" t="s">
        <v>7381</v>
      </c>
      <c r="C22" t="s">
        <v>7383</v>
      </c>
      <c r="D22" t="s">
        <v>7417</v>
      </c>
      <c r="E22" t="s">
        <v>8014</v>
      </c>
    </row>
    <row r="23" spans="1:5" x14ac:dyDescent="0.25">
      <c r="A23" t="s">
        <v>7398</v>
      </c>
      <c r="B23" t="s">
        <v>3677</v>
      </c>
      <c r="C23" t="s">
        <v>3455</v>
      </c>
      <c r="D23" t="s">
        <v>7412</v>
      </c>
      <c r="E23" t="s">
        <v>8015</v>
      </c>
    </row>
    <row r="24" spans="1:5" x14ac:dyDescent="0.25">
      <c r="A24" t="s">
        <v>5446</v>
      </c>
      <c r="B24" t="s">
        <v>5719</v>
      </c>
      <c r="C24" t="s">
        <v>7379</v>
      </c>
      <c r="D24" t="s">
        <v>7404</v>
      </c>
      <c r="E24" t="s">
        <v>8016</v>
      </c>
    </row>
    <row r="25" spans="1:5" x14ac:dyDescent="0.25">
      <c r="A25" t="s">
        <v>5259</v>
      </c>
      <c r="B25" t="s">
        <v>5283</v>
      </c>
      <c r="C25" t="s">
        <v>3455</v>
      </c>
      <c r="D25" t="s">
        <v>7400</v>
      </c>
      <c r="E25" t="s">
        <v>8017</v>
      </c>
    </row>
    <row r="26" spans="1:5" x14ac:dyDescent="0.25">
      <c r="A26" t="s">
        <v>7447</v>
      </c>
      <c r="B26" t="s">
        <v>5719</v>
      </c>
      <c r="C26" t="s">
        <v>3455</v>
      </c>
      <c r="D26" t="s">
        <v>7458</v>
      </c>
      <c r="E26" t="s">
        <v>8018</v>
      </c>
    </row>
    <row r="27" spans="1:5" x14ac:dyDescent="0.25">
      <c r="A27" t="s">
        <v>5273</v>
      </c>
      <c r="B27" t="s">
        <v>7410</v>
      </c>
      <c r="C27" t="s">
        <v>7383</v>
      </c>
      <c r="D27" t="s">
        <v>7390</v>
      </c>
      <c r="E27" t="s">
        <v>8019</v>
      </c>
    </row>
    <row r="28" spans="1:5" x14ac:dyDescent="0.25">
      <c r="A28" t="s">
        <v>7389</v>
      </c>
      <c r="B28" t="s">
        <v>3980</v>
      </c>
      <c r="C28" t="s">
        <v>7388</v>
      </c>
      <c r="D28" t="s">
        <v>7414</v>
      </c>
      <c r="E28" t="s">
        <v>8020</v>
      </c>
    </row>
    <row r="29" spans="1:5" x14ac:dyDescent="0.25">
      <c r="A29" t="s">
        <v>7397</v>
      </c>
      <c r="B29" t="s">
        <v>5283</v>
      </c>
      <c r="C29" t="s">
        <v>7396</v>
      </c>
      <c r="D29" t="s">
        <v>7472</v>
      </c>
      <c r="E29" t="s">
        <v>8021</v>
      </c>
    </row>
    <row r="30" spans="1:5" x14ac:dyDescent="0.25">
      <c r="A30" t="s">
        <v>7377</v>
      </c>
      <c r="B30" t="s">
        <v>3677</v>
      </c>
      <c r="C30" t="s">
        <v>3455</v>
      </c>
      <c r="D30" t="s">
        <v>7378</v>
      </c>
      <c r="E30" t="s">
        <v>8022</v>
      </c>
    </row>
    <row r="31" spans="1:5" x14ac:dyDescent="0.25">
      <c r="A31" t="s">
        <v>7427</v>
      </c>
      <c r="B31" t="s">
        <v>7410</v>
      </c>
      <c r="C31" t="s">
        <v>7387</v>
      </c>
      <c r="D31" t="s">
        <v>7428</v>
      </c>
      <c r="E31" t="s">
        <v>8023</v>
      </c>
    </row>
    <row r="32" spans="1:5" x14ac:dyDescent="0.25">
      <c r="A32" t="s">
        <v>7966</v>
      </c>
      <c r="B32" t="s">
        <v>7410</v>
      </c>
      <c r="C32" t="s">
        <v>3455</v>
      </c>
      <c r="D32" t="s">
        <v>7967</v>
      </c>
      <c r="E32" t="s">
        <v>8024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3970</v>
      </c>
      <c r="E1" t="s">
        <v>3971</v>
      </c>
      <c r="F1" t="s">
        <v>3972</v>
      </c>
      <c r="G1" t="s">
        <v>3973</v>
      </c>
      <c r="H1" t="s">
        <v>3974</v>
      </c>
      <c r="I1" t="s">
        <v>3975</v>
      </c>
      <c r="J1" t="s">
        <v>3976</v>
      </c>
      <c r="K1" t="s">
        <v>3977</v>
      </c>
      <c r="L1" t="s">
        <v>3978</v>
      </c>
      <c r="M1" t="s">
        <v>7</v>
      </c>
    </row>
    <row r="2" spans="1:13" x14ac:dyDescent="0.25">
      <c r="A2" t="s">
        <v>3999</v>
      </c>
      <c r="B2" t="s">
        <v>3989</v>
      </c>
      <c r="C2" t="s">
        <v>501</v>
      </c>
      <c r="D2" t="s">
        <v>8086</v>
      </c>
      <c r="E2" t="s">
        <v>4000</v>
      </c>
      <c r="F2" t="s">
        <v>8087</v>
      </c>
      <c r="G2" t="s">
        <v>4001</v>
      </c>
      <c r="H2" t="s">
        <v>4002</v>
      </c>
      <c r="I2" t="s">
        <v>3993</v>
      </c>
      <c r="J2" t="s">
        <v>187</v>
      </c>
      <c r="K2" t="s">
        <v>4003</v>
      </c>
      <c r="L2" t="s">
        <v>4004</v>
      </c>
      <c r="M2" t="s">
        <v>3999</v>
      </c>
    </row>
    <row r="3" spans="1:13" x14ac:dyDescent="0.25">
      <c r="A3" t="s">
        <v>3996</v>
      </c>
      <c r="B3" t="s">
        <v>3980</v>
      </c>
      <c r="C3" t="s">
        <v>90</v>
      </c>
      <c r="D3" t="s">
        <v>8088</v>
      </c>
      <c r="E3" t="s">
        <v>7477</v>
      </c>
      <c r="F3" t="s">
        <v>8089</v>
      </c>
      <c r="G3" t="s">
        <v>7478</v>
      </c>
      <c r="H3" t="s">
        <v>3997</v>
      </c>
      <c r="I3" t="s">
        <v>3455</v>
      </c>
      <c r="J3" t="s">
        <v>187</v>
      </c>
      <c r="K3" t="s">
        <v>3998</v>
      </c>
      <c r="L3" t="s">
        <v>3983</v>
      </c>
      <c r="M3" t="s">
        <v>3996</v>
      </c>
    </row>
    <row r="4" spans="1:13" x14ac:dyDescent="0.25">
      <c r="A4" t="s">
        <v>3988</v>
      </c>
      <c r="B4" t="s">
        <v>3989</v>
      </c>
      <c r="C4" t="s">
        <v>1649</v>
      </c>
      <c r="D4" t="s">
        <v>8090</v>
      </c>
      <c r="E4" t="s">
        <v>3990</v>
      </c>
      <c r="F4" t="s">
        <v>8091</v>
      </c>
      <c r="G4" t="s">
        <v>3991</v>
      </c>
      <c r="H4" t="s">
        <v>3992</v>
      </c>
      <c r="I4" t="s">
        <v>3993</v>
      </c>
      <c r="J4" t="s">
        <v>3994</v>
      </c>
      <c r="K4" t="s">
        <v>3995</v>
      </c>
      <c r="L4" t="s">
        <v>3983</v>
      </c>
      <c r="M4" t="s">
        <v>3988</v>
      </c>
    </row>
    <row r="5" spans="1:13" x14ac:dyDescent="0.25">
      <c r="A5" t="s">
        <v>3984</v>
      </c>
      <c r="B5" t="s">
        <v>3980</v>
      </c>
      <c r="C5" t="s">
        <v>1649</v>
      </c>
      <c r="D5" t="s">
        <v>8025</v>
      </c>
      <c r="E5" t="s">
        <v>3985</v>
      </c>
      <c r="F5" t="s">
        <v>10063</v>
      </c>
      <c r="G5" t="s">
        <v>10064</v>
      </c>
      <c r="H5" t="s">
        <v>3986</v>
      </c>
      <c r="I5" t="s">
        <v>3455</v>
      </c>
      <c r="J5" t="s">
        <v>187</v>
      </c>
      <c r="K5" t="s">
        <v>3987</v>
      </c>
      <c r="L5" t="s">
        <v>3983</v>
      </c>
      <c r="M5" t="s">
        <v>3984</v>
      </c>
    </row>
    <row r="6" spans="1:13" x14ac:dyDescent="0.25">
      <c r="A6" t="s">
        <v>3979</v>
      </c>
      <c r="B6" t="s">
        <v>3980</v>
      </c>
      <c r="C6" t="s">
        <v>90</v>
      </c>
      <c r="D6" t="s">
        <v>7668</v>
      </c>
      <c r="E6" t="s">
        <v>7479</v>
      </c>
      <c r="F6" t="s">
        <v>8092</v>
      </c>
      <c r="G6" t="s">
        <v>7480</v>
      </c>
      <c r="H6" t="s">
        <v>3981</v>
      </c>
      <c r="I6" t="s">
        <v>3455</v>
      </c>
      <c r="J6" t="s">
        <v>187</v>
      </c>
      <c r="K6" t="s">
        <v>3982</v>
      </c>
      <c r="L6" t="s">
        <v>3983</v>
      </c>
      <c r="M6" t="s">
        <v>3979</v>
      </c>
    </row>
    <row r="7" spans="1:13" x14ac:dyDescent="0.25">
      <c r="A7" t="s">
        <v>5148</v>
      </c>
      <c r="B7" t="s">
        <v>3989</v>
      </c>
      <c r="C7" t="s">
        <v>1649</v>
      </c>
      <c r="D7" t="s">
        <v>8093</v>
      </c>
      <c r="E7" t="s">
        <v>7635</v>
      </c>
      <c r="F7" t="s">
        <v>10065</v>
      </c>
      <c r="G7" t="s">
        <v>10066</v>
      </c>
      <c r="H7" t="s">
        <v>7617</v>
      </c>
      <c r="I7" t="s">
        <v>7618</v>
      </c>
      <c r="J7" t="s">
        <v>187</v>
      </c>
      <c r="K7" t="s">
        <v>7636</v>
      </c>
      <c r="L7" t="s">
        <v>3983</v>
      </c>
      <c r="M7" t="s">
        <v>5148</v>
      </c>
    </row>
    <row r="8" spans="1:13" x14ac:dyDescent="0.25">
      <c r="A8" t="s">
        <v>5277</v>
      </c>
      <c r="B8" t="s">
        <v>3989</v>
      </c>
      <c r="C8" t="s">
        <v>90</v>
      </c>
      <c r="H8" t="s">
        <v>7615</v>
      </c>
      <c r="I8" t="s">
        <v>7614</v>
      </c>
      <c r="J8" t="s">
        <v>187</v>
      </c>
      <c r="K8" t="s">
        <v>7637</v>
      </c>
      <c r="L8" t="s">
        <v>3983</v>
      </c>
      <c r="M8" t="s">
        <v>5277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7786</v>
      </c>
      <c r="B6" t="s">
        <v>2698</v>
      </c>
      <c r="C6" t="s">
        <v>39</v>
      </c>
      <c r="F6" t="s">
        <v>40</v>
      </c>
      <c r="G6" t="s">
        <v>41</v>
      </c>
      <c r="H6" t="s">
        <v>7787</v>
      </c>
      <c r="O6" t="s">
        <v>7788</v>
      </c>
      <c r="R6" t="s">
        <v>7789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7783</v>
      </c>
      <c r="B9" t="s">
        <v>2698</v>
      </c>
      <c r="C9" t="s">
        <v>39</v>
      </c>
      <c r="F9" t="s">
        <v>40</v>
      </c>
      <c r="G9" t="s">
        <v>3499</v>
      </c>
      <c r="H9" t="s">
        <v>7784</v>
      </c>
      <c r="J9" t="s">
        <v>7785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7770</v>
      </c>
      <c r="B11" t="s">
        <v>38</v>
      </c>
      <c r="C11" t="s">
        <v>39</v>
      </c>
      <c r="E11" t="s">
        <v>7771</v>
      </c>
      <c r="F11" t="s">
        <v>40</v>
      </c>
      <c r="G11" t="s">
        <v>41</v>
      </c>
      <c r="H11" t="s">
        <v>7772</v>
      </c>
      <c r="I11" t="s">
        <v>7773</v>
      </c>
      <c r="O11" t="s">
        <v>7774</v>
      </c>
      <c r="Q11" t="s">
        <v>7775</v>
      </c>
      <c r="R11" t="s">
        <v>7776</v>
      </c>
      <c r="S11" t="s">
        <v>7777</v>
      </c>
      <c r="U11" t="s">
        <v>7778</v>
      </c>
      <c r="V11" t="s">
        <v>7779</v>
      </c>
      <c r="W11" t="s">
        <v>7780</v>
      </c>
      <c r="Y11" t="s">
        <v>7781</v>
      </c>
      <c r="Z11" t="s">
        <v>7782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7800</v>
      </c>
      <c r="B14" t="s">
        <v>90</v>
      </c>
      <c r="C14" t="s">
        <v>39</v>
      </c>
      <c r="E14" t="s">
        <v>7801</v>
      </c>
      <c r="F14" t="s">
        <v>40</v>
      </c>
      <c r="G14" t="s">
        <v>41</v>
      </c>
      <c r="H14" t="s">
        <v>7802</v>
      </c>
      <c r="I14" t="s">
        <v>7803</v>
      </c>
      <c r="O14" t="s">
        <v>7804</v>
      </c>
      <c r="Q14" t="s">
        <v>7805</v>
      </c>
      <c r="R14" t="s">
        <v>7806</v>
      </c>
      <c r="S14" t="s">
        <v>7807</v>
      </c>
      <c r="U14" t="s">
        <v>7805</v>
      </c>
      <c r="V14" t="s">
        <v>7808</v>
      </c>
      <c r="W14" t="s">
        <v>7809</v>
      </c>
      <c r="Y14" t="s">
        <v>7805</v>
      </c>
      <c r="Z14" t="s">
        <v>7810</v>
      </c>
      <c r="AA14" t="s">
        <v>99</v>
      </c>
      <c r="AC14" t="s">
        <v>7811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7790</v>
      </c>
      <c r="B16" t="s">
        <v>90</v>
      </c>
      <c r="C16" t="s">
        <v>39</v>
      </c>
      <c r="E16" t="s">
        <v>7791</v>
      </c>
      <c r="F16" t="s">
        <v>40</v>
      </c>
      <c r="G16" t="s">
        <v>41</v>
      </c>
      <c r="H16" t="s">
        <v>7792</v>
      </c>
      <c r="I16" t="s">
        <v>7793</v>
      </c>
      <c r="O16" t="s">
        <v>7777</v>
      </c>
      <c r="Q16" t="s">
        <v>7794</v>
      </c>
      <c r="R16" t="s">
        <v>7779</v>
      </c>
      <c r="S16" t="s">
        <v>7774</v>
      </c>
      <c r="U16" t="s">
        <v>7795</v>
      </c>
      <c r="V16" t="s">
        <v>7776</v>
      </c>
      <c r="W16" t="s">
        <v>7796</v>
      </c>
      <c r="Y16" t="s">
        <v>7797</v>
      </c>
      <c r="Z16" t="s">
        <v>7798</v>
      </c>
      <c r="AA16" t="s">
        <v>5719</v>
      </c>
      <c r="AC16" t="s">
        <v>7799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D29" sqref="D2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7490</v>
      </c>
    </row>
    <row r="2" spans="1:9" x14ac:dyDescent="0.25">
      <c r="A2" t="s">
        <v>7522</v>
      </c>
      <c r="B2" t="s">
        <v>3511</v>
      </c>
      <c r="C2" t="s">
        <v>4505</v>
      </c>
      <c r="D2" t="s">
        <v>7523</v>
      </c>
      <c r="E2" t="s">
        <v>7533</v>
      </c>
      <c r="G2" t="s">
        <v>2619</v>
      </c>
      <c r="H2" t="s">
        <v>7534</v>
      </c>
      <c r="I2" t="s">
        <v>7505</v>
      </c>
    </row>
    <row r="3" spans="1:9" x14ac:dyDescent="0.25">
      <c r="A3" t="s">
        <v>7501</v>
      </c>
      <c r="B3" t="s">
        <v>3511</v>
      </c>
      <c r="C3" t="s">
        <v>4505</v>
      </c>
      <c r="D3" t="s">
        <v>7503</v>
      </c>
      <c r="E3" t="s">
        <v>7527</v>
      </c>
      <c r="F3" t="s">
        <v>8297</v>
      </c>
      <c r="G3" t="s">
        <v>160</v>
      </c>
      <c r="H3" t="s">
        <v>7502</v>
      </c>
      <c r="I3" t="s">
        <v>7492</v>
      </c>
    </row>
    <row r="4" spans="1:9" x14ac:dyDescent="0.25">
      <c r="A4" t="s">
        <v>7506</v>
      </c>
      <c r="B4" t="s">
        <v>3499</v>
      </c>
      <c r="C4" t="s">
        <v>4505</v>
      </c>
      <c r="D4" t="s">
        <v>7507</v>
      </c>
      <c r="E4" t="s">
        <v>7528</v>
      </c>
      <c r="F4" t="s">
        <v>8298</v>
      </c>
      <c r="G4" t="s">
        <v>160</v>
      </c>
      <c r="H4" t="s">
        <v>7511</v>
      </c>
      <c r="I4" t="s">
        <v>7505</v>
      </c>
    </row>
    <row r="5" spans="1:9" x14ac:dyDescent="0.25">
      <c r="A5" t="s">
        <v>7508</v>
      </c>
      <c r="B5" t="s">
        <v>3499</v>
      </c>
      <c r="C5" t="s">
        <v>4505</v>
      </c>
      <c r="D5" t="s">
        <v>7509</v>
      </c>
      <c r="E5" t="s">
        <v>7529</v>
      </c>
      <c r="F5" t="s">
        <v>8298</v>
      </c>
      <c r="G5" t="s">
        <v>160</v>
      </c>
      <c r="H5" t="s">
        <v>7510</v>
      </c>
      <c r="I5" t="s">
        <v>7505</v>
      </c>
    </row>
    <row r="6" spans="1:9" x14ac:dyDescent="0.25">
      <c r="A6" t="s">
        <v>7512</v>
      </c>
      <c r="B6" t="s">
        <v>3499</v>
      </c>
      <c r="C6" t="s">
        <v>4505</v>
      </c>
      <c r="D6" t="s">
        <v>7514</v>
      </c>
      <c r="E6" t="s">
        <v>7530</v>
      </c>
      <c r="F6" t="s">
        <v>8298</v>
      </c>
      <c r="G6" t="s">
        <v>160</v>
      </c>
      <c r="H6" t="s">
        <v>7513</v>
      </c>
      <c r="I6" t="s">
        <v>7505</v>
      </c>
    </row>
    <row r="7" spans="1:9" x14ac:dyDescent="0.25">
      <c r="A7" t="s">
        <v>7518</v>
      </c>
      <c r="B7" t="s">
        <v>3499</v>
      </c>
      <c r="C7" t="s">
        <v>4505</v>
      </c>
      <c r="D7" t="s">
        <v>7519</v>
      </c>
      <c r="E7" t="s">
        <v>7532</v>
      </c>
      <c r="G7" t="s">
        <v>2619</v>
      </c>
      <c r="H7" t="s">
        <v>7520</v>
      </c>
      <c r="I7" t="s">
        <v>7521</v>
      </c>
    </row>
    <row r="8" spans="1:9" x14ac:dyDescent="0.25">
      <c r="A8" t="s">
        <v>3518</v>
      </c>
      <c r="B8" t="s">
        <v>3499</v>
      </c>
      <c r="C8" t="s">
        <v>3520</v>
      </c>
      <c r="D8" t="s">
        <v>8223</v>
      </c>
      <c r="E8" t="s">
        <v>8174</v>
      </c>
      <c r="G8" t="s">
        <v>90</v>
      </c>
      <c r="H8" t="s">
        <v>3518</v>
      </c>
      <c r="I8" t="s">
        <v>7491</v>
      </c>
    </row>
    <row r="9" spans="1:9" x14ac:dyDescent="0.25">
      <c r="A9" t="s">
        <v>8164</v>
      </c>
      <c r="B9" t="s">
        <v>3499</v>
      </c>
      <c r="C9" t="s">
        <v>3520</v>
      </c>
      <c r="D9" t="s">
        <v>8222</v>
      </c>
      <c r="E9" t="s">
        <v>8175</v>
      </c>
      <c r="F9" t="s">
        <v>8299</v>
      </c>
      <c r="G9" t="s">
        <v>353</v>
      </c>
      <c r="H9" t="s">
        <v>8164</v>
      </c>
      <c r="I9" t="s">
        <v>7504</v>
      </c>
    </row>
    <row r="10" spans="1:9" x14ac:dyDescent="0.25">
      <c r="A10" t="s">
        <v>8139</v>
      </c>
      <c r="B10" t="s">
        <v>41</v>
      </c>
      <c r="C10" t="s">
        <v>3520</v>
      </c>
      <c r="D10" t="s">
        <v>8221</v>
      </c>
      <c r="E10" t="s">
        <v>8176</v>
      </c>
      <c r="F10" t="s">
        <v>8299</v>
      </c>
      <c r="G10" t="s">
        <v>353</v>
      </c>
      <c r="H10" t="s">
        <v>8140</v>
      </c>
      <c r="I10" t="s">
        <v>7504</v>
      </c>
    </row>
    <row r="11" spans="1:9" x14ac:dyDescent="0.25">
      <c r="A11" t="s">
        <v>7704</v>
      </c>
      <c r="B11" t="s">
        <v>3499</v>
      </c>
      <c r="C11" t="s">
        <v>3520</v>
      </c>
      <c r="D11" t="s">
        <v>8220</v>
      </c>
      <c r="E11" t="s">
        <v>8177</v>
      </c>
      <c r="G11" t="s">
        <v>90</v>
      </c>
      <c r="H11" t="s">
        <v>7705</v>
      </c>
      <c r="I11" t="s">
        <v>7706</v>
      </c>
    </row>
    <row r="12" spans="1:9" x14ac:dyDescent="0.25">
      <c r="A12" t="s">
        <v>8155</v>
      </c>
      <c r="B12" t="s">
        <v>41</v>
      </c>
      <c r="C12" t="s">
        <v>4505</v>
      </c>
      <c r="D12" t="s">
        <v>8156</v>
      </c>
      <c r="E12" t="s">
        <v>8178</v>
      </c>
      <c r="F12" t="s">
        <v>8297</v>
      </c>
      <c r="G12" t="s">
        <v>160</v>
      </c>
      <c r="H12" t="s">
        <v>8157</v>
      </c>
      <c r="I12" t="s">
        <v>7492</v>
      </c>
    </row>
    <row r="13" spans="1:9" x14ac:dyDescent="0.25">
      <c r="A13" t="s">
        <v>7496</v>
      </c>
      <c r="B13" t="s">
        <v>3511</v>
      </c>
      <c r="C13" t="s">
        <v>4505</v>
      </c>
      <c r="D13" t="s">
        <v>8094</v>
      </c>
      <c r="E13" t="s">
        <v>8095</v>
      </c>
      <c r="F13" t="s">
        <v>8297</v>
      </c>
      <c r="G13" t="s">
        <v>160</v>
      </c>
      <c r="H13" t="s">
        <v>7497</v>
      </c>
      <c r="I13" t="s">
        <v>7492</v>
      </c>
    </row>
    <row r="14" spans="1:9" x14ac:dyDescent="0.25">
      <c r="A14" t="s">
        <v>7515</v>
      </c>
      <c r="B14" t="s">
        <v>3499</v>
      </c>
      <c r="C14" t="s">
        <v>4505</v>
      </c>
      <c r="D14" t="s">
        <v>7516</v>
      </c>
      <c r="E14" t="s">
        <v>7531</v>
      </c>
      <c r="F14" t="s">
        <v>8298</v>
      </c>
      <c r="G14" t="s">
        <v>2619</v>
      </c>
      <c r="H14" t="s">
        <v>7517</v>
      </c>
      <c r="I14" t="s">
        <v>7505</v>
      </c>
    </row>
    <row r="15" spans="1:9" x14ac:dyDescent="0.25">
      <c r="A15" t="s">
        <v>3674</v>
      </c>
      <c r="B15" t="s">
        <v>3511</v>
      </c>
      <c r="C15" t="s">
        <v>4505</v>
      </c>
      <c r="D15" t="s">
        <v>3675</v>
      </c>
      <c r="E15" t="s">
        <v>7524</v>
      </c>
      <c r="F15" t="s">
        <v>8299</v>
      </c>
      <c r="G15" t="s">
        <v>353</v>
      </c>
      <c r="H15" t="s">
        <v>3676</v>
      </c>
      <c r="I15" t="s">
        <v>7504</v>
      </c>
    </row>
    <row r="16" spans="1:9" x14ac:dyDescent="0.25">
      <c r="A16" t="s">
        <v>8165</v>
      </c>
      <c r="B16" t="s">
        <v>3511</v>
      </c>
      <c r="C16" t="s">
        <v>3520</v>
      </c>
      <c r="D16" t="s">
        <v>8217</v>
      </c>
      <c r="E16" t="s">
        <v>8179</v>
      </c>
      <c r="F16" t="s">
        <v>8299</v>
      </c>
      <c r="G16" t="s">
        <v>353</v>
      </c>
      <c r="H16" t="s">
        <v>8165</v>
      </c>
      <c r="I16" t="s">
        <v>7504</v>
      </c>
    </row>
    <row r="17" spans="1:9" x14ac:dyDescent="0.25">
      <c r="A17" t="s">
        <v>8171</v>
      </c>
      <c r="B17" t="s">
        <v>3511</v>
      </c>
      <c r="C17" t="s">
        <v>3520</v>
      </c>
      <c r="D17" t="s">
        <v>8218</v>
      </c>
      <c r="E17" t="s">
        <v>8180</v>
      </c>
      <c r="F17" t="s">
        <v>8299</v>
      </c>
      <c r="G17" t="s">
        <v>353</v>
      </c>
      <c r="H17" t="s">
        <v>8172</v>
      </c>
      <c r="I17" t="s">
        <v>7504</v>
      </c>
    </row>
    <row r="18" spans="1:9" x14ac:dyDescent="0.25">
      <c r="A18" t="s">
        <v>8169</v>
      </c>
      <c r="B18" t="s">
        <v>3511</v>
      </c>
      <c r="C18" t="s">
        <v>3520</v>
      </c>
      <c r="D18" t="s">
        <v>8219</v>
      </c>
      <c r="E18" t="s">
        <v>8181</v>
      </c>
      <c r="F18" t="s">
        <v>8299</v>
      </c>
      <c r="G18" t="s">
        <v>353</v>
      </c>
      <c r="H18" t="s">
        <v>8170</v>
      </c>
      <c r="I18" t="s">
        <v>7504</v>
      </c>
    </row>
    <row r="19" spans="1:9" x14ac:dyDescent="0.25">
      <c r="A19" t="s">
        <v>7493</v>
      </c>
      <c r="B19" t="s">
        <v>41</v>
      </c>
      <c r="C19" t="s">
        <v>4505</v>
      </c>
      <c r="D19" t="s">
        <v>4150</v>
      </c>
      <c r="E19" t="s">
        <v>4151</v>
      </c>
      <c r="F19" t="s">
        <v>8297</v>
      </c>
      <c r="G19" t="s">
        <v>160</v>
      </c>
      <c r="H19" t="s">
        <v>7525</v>
      </c>
      <c r="I19" t="s">
        <v>7492</v>
      </c>
    </row>
    <row r="20" spans="1:9" x14ac:dyDescent="0.25">
      <c r="A20" t="s">
        <v>7494</v>
      </c>
      <c r="B20" t="s">
        <v>41</v>
      </c>
      <c r="C20" t="s">
        <v>4505</v>
      </c>
      <c r="D20" t="s">
        <v>4205</v>
      </c>
      <c r="E20" t="s">
        <v>4206</v>
      </c>
      <c r="F20" t="s">
        <v>8297</v>
      </c>
      <c r="G20" t="s">
        <v>160</v>
      </c>
      <c r="H20" t="s">
        <v>7495</v>
      </c>
      <c r="I20" t="s">
        <v>7492</v>
      </c>
    </row>
    <row r="21" spans="1:9" x14ac:dyDescent="0.25">
      <c r="A21" t="s">
        <v>7498</v>
      </c>
      <c r="B21" t="s">
        <v>41</v>
      </c>
      <c r="C21" t="s">
        <v>4505</v>
      </c>
      <c r="D21" t="s">
        <v>7500</v>
      </c>
      <c r="E21" t="s">
        <v>7526</v>
      </c>
      <c r="F21" t="s">
        <v>8297</v>
      </c>
      <c r="G21" t="s">
        <v>160</v>
      </c>
      <c r="H21" t="s">
        <v>7499</v>
      </c>
      <c r="I21" t="s">
        <v>7492</v>
      </c>
    </row>
    <row r="22" spans="1:9" x14ac:dyDescent="0.25">
      <c r="A22" t="s">
        <v>10095</v>
      </c>
      <c r="B22" t="s">
        <v>3511</v>
      </c>
      <c r="C22" t="s">
        <v>4505</v>
      </c>
      <c r="D22" t="s">
        <v>10096</v>
      </c>
      <c r="E22" t="s">
        <v>10120</v>
      </c>
      <c r="F22" t="s">
        <v>8297</v>
      </c>
      <c r="G22" t="s">
        <v>160</v>
      </c>
      <c r="H22" t="s">
        <v>10097</v>
      </c>
      <c r="I22" t="s">
        <v>7492</v>
      </c>
    </row>
    <row r="23" spans="1:9" x14ac:dyDescent="0.25">
      <c r="A23" t="s">
        <v>10098</v>
      </c>
      <c r="B23" t="s">
        <v>3499</v>
      </c>
      <c r="C23" t="s">
        <v>4505</v>
      </c>
      <c r="D23" t="s">
        <v>10099</v>
      </c>
      <c r="E23" t="s">
        <v>10121</v>
      </c>
      <c r="F23" t="s">
        <v>8298</v>
      </c>
      <c r="G23" t="s">
        <v>160</v>
      </c>
      <c r="H23" t="s">
        <v>10100</v>
      </c>
      <c r="I23" t="s">
        <v>7505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4005</v>
      </c>
      <c r="B1" t="s">
        <v>1</v>
      </c>
      <c r="C1" t="s">
        <v>4006</v>
      </c>
      <c r="D1" t="s">
        <v>6</v>
      </c>
      <c r="E1" t="s">
        <v>3450</v>
      </c>
      <c r="F1" t="s">
        <v>3493</v>
      </c>
      <c r="G1" t="s">
        <v>170</v>
      </c>
      <c r="H1" t="s">
        <v>171</v>
      </c>
      <c r="I1" t="s">
        <v>4007</v>
      </c>
      <c r="K1" t="s">
        <v>4008</v>
      </c>
      <c r="L1" t="s">
        <v>1</v>
      </c>
      <c r="N1" t="s">
        <v>4009</v>
      </c>
      <c r="O1" t="s">
        <v>1</v>
      </c>
    </row>
    <row r="2" spans="1:15" x14ac:dyDescent="0.25">
      <c r="A2" t="s">
        <v>4010</v>
      </c>
      <c r="B2" t="s">
        <v>2154</v>
      </c>
      <c r="C2" t="s">
        <v>4011</v>
      </c>
      <c r="D2" t="s">
        <v>41</v>
      </c>
      <c r="E2" t="s">
        <v>4012</v>
      </c>
      <c r="F2" t="s">
        <v>4013</v>
      </c>
      <c r="K2" t="s">
        <v>4014</v>
      </c>
      <c r="L2" t="s">
        <v>1795</v>
      </c>
      <c r="N2" t="s">
        <v>4015</v>
      </c>
      <c r="O2" t="s">
        <v>2154</v>
      </c>
    </row>
    <row r="3" spans="1:15" x14ac:dyDescent="0.25">
      <c r="A3" t="s">
        <v>4016</v>
      </c>
      <c r="B3" t="s">
        <v>1284</v>
      </c>
      <c r="C3" t="s">
        <v>4011</v>
      </c>
      <c r="D3" t="s">
        <v>3511</v>
      </c>
      <c r="E3" t="s">
        <v>4017</v>
      </c>
      <c r="F3" t="s">
        <v>4018</v>
      </c>
      <c r="H3" t="s">
        <v>4019</v>
      </c>
      <c r="K3" t="s">
        <v>4020</v>
      </c>
      <c r="L3" t="s">
        <v>1795</v>
      </c>
      <c r="N3" t="s">
        <v>4021</v>
      </c>
      <c r="O3" t="s">
        <v>2154</v>
      </c>
    </row>
    <row r="4" spans="1:15" x14ac:dyDescent="0.25">
      <c r="A4" t="s">
        <v>4022</v>
      </c>
      <c r="B4" t="s">
        <v>2154</v>
      </c>
      <c r="C4" t="s">
        <v>4011</v>
      </c>
      <c r="D4" t="s">
        <v>3511</v>
      </c>
      <c r="E4" t="s">
        <v>4023</v>
      </c>
      <c r="F4" t="s">
        <v>4024</v>
      </c>
      <c r="K4" t="s">
        <v>4025</v>
      </c>
      <c r="L4" t="s">
        <v>1795</v>
      </c>
      <c r="N4" t="s">
        <v>4026</v>
      </c>
      <c r="O4" t="s">
        <v>2154</v>
      </c>
    </row>
    <row r="5" spans="1:15" x14ac:dyDescent="0.25">
      <c r="A5" t="s">
        <v>4027</v>
      </c>
      <c r="B5" t="s">
        <v>2154</v>
      </c>
      <c r="C5" t="s">
        <v>4028</v>
      </c>
      <c r="D5" t="s">
        <v>41</v>
      </c>
      <c r="E5" t="s">
        <v>4029</v>
      </c>
      <c r="F5" t="s">
        <v>4030</v>
      </c>
      <c r="H5" t="s">
        <v>4031</v>
      </c>
      <c r="I5" t="s">
        <v>7473</v>
      </c>
      <c r="K5" t="s">
        <v>4032</v>
      </c>
      <c r="L5" t="s">
        <v>1795</v>
      </c>
      <c r="N5" t="s">
        <v>4033</v>
      </c>
      <c r="O5" t="s">
        <v>2154</v>
      </c>
    </row>
    <row r="6" spans="1:15" x14ac:dyDescent="0.25">
      <c r="A6" t="s">
        <v>4034</v>
      </c>
      <c r="B6" t="s">
        <v>2154</v>
      </c>
      <c r="C6" t="s">
        <v>4028</v>
      </c>
      <c r="D6" t="s">
        <v>3511</v>
      </c>
      <c r="E6" t="s">
        <v>7616</v>
      </c>
      <c r="F6" t="s">
        <v>4035</v>
      </c>
      <c r="K6" t="s">
        <v>4036</v>
      </c>
      <c r="L6" t="s">
        <v>1795</v>
      </c>
      <c r="N6" t="s">
        <v>4037</v>
      </c>
      <c r="O6" t="s">
        <v>2154</v>
      </c>
    </row>
    <row r="7" spans="1:15" x14ac:dyDescent="0.25">
      <c r="A7" t="s">
        <v>4038</v>
      </c>
      <c r="B7" t="s">
        <v>2154</v>
      </c>
      <c r="C7" t="s">
        <v>4039</v>
      </c>
      <c r="D7" t="s">
        <v>41</v>
      </c>
      <c r="E7" t="s">
        <v>4040</v>
      </c>
      <c r="F7" t="s">
        <v>4041</v>
      </c>
      <c r="H7" t="s">
        <v>4042</v>
      </c>
      <c r="K7" t="s">
        <v>4043</v>
      </c>
      <c r="L7" t="s">
        <v>1795</v>
      </c>
      <c r="N7" t="s">
        <v>4044</v>
      </c>
      <c r="O7" t="s">
        <v>2154</v>
      </c>
    </row>
    <row r="8" spans="1:15" x14ac:dyDescent="0.25">
      <c r="A8" t="s">
        <v>4045</v>
      </c>
      <c r="B8" t="s">
        <v>1284</v>
      </c>
      <c r="C8" t="s">
        <v>4011</v>
      </c>
      <c r="D8" t="s">
        <v>3511</v>
      </c>
      <c r="E8" t="s">
        <v>4046</v>
      </c>
      <c r="F8" t="s">
        <v>4047</v>
      </c>
      <c r="G8" t="s">
        <v>8207</v>
      </c>
      <c r="K8" t="s">
        <v>4048</v>
      </c>
      <c r="L8" t="s">
        <v>1795</v>
      </c>
      <c r="N8" t="s">
        <v>4049</v>
      </c>
      <c r="O8" t="s">
        <v>2154</v>
      </c>
    </row>
    <row r="9" spans="1:15" x14ac:dyDescent="0.25">
      <c r="A9" t="s">
        <v>4050</v>
      </c>
      <c r="B9" t="s">
        <v>2154</v>
      </c>
      <c r="C9" t="s">
        <v>4028</v>
      </c>
      <c r="D9" t="s">
        <v>3499</v>
      </c>
      <c r="E9" t="s">
        <v>4051</v>
      </c>
      <c r="F9" t="s">
        <v>4052</v>
      </c>
      <c r="K9" t="s">
        <v>4053</v>
      </c>
      <c r="L9" t="s">
        <v>1795</v>
      </c>
      <c r="N9" t="s">
        <v>4054</v>
      </c>
      <c r="O9" t="s">
        <v>2154</v>
      </c>
    </row>
    <row r="10" spans="1:15" x14ac:dyDescent="0.25">
      <c r="K10" t="s">
        <v>4055</v>
      </c>
      <c r="L10" t="s">
        <v>1795</v>
      </c>
      <c r="N10" t="s">
        <v>4056</v>
      </c>
      <c r="O10" t="s">
        <v>2154</v>
      </c>
    </row>
    <row r="11" spans="1:15" x14ac:dyDescent="0.25">
      <c r="K11" t="s">
        <v>4057</v>
      </c>
      <c r="L11" t="s">
        <v>1795</v>
      </c>
      <c r="N11" t="s">
        <v>4058</v>
      </c>
      <c r="O11" t="s">
        <v>2154</v>
      </c>
    </row>
    <row r="12" spans="1:15" x14ac:dyDescent="0.25">
      <c r="K12" t="s">
        <v>4059</v>
      </c>
      <c r="L12" t="s">
        <v>1795</v>
      </c>
      <c r="N12" t="s">
        <v>4060</v>
      </c>
      <c r="O12" t="s">
        <v>2154</v>
      </c>
    </row>
    <row r="13" spans="1:15" x14ac:dyDescent="0.25">
      <c r="K13" t="s">
        <v>4061</v>
      </c>
      <c r="L13" t="s">
        <v>1795</v>
      </c>
      <c r="N13" t="s">
        <v>4062</v>
      </c>
      <c r="O13" t="s">
        <v>2154</v>
      </c>
    </row>
    <row r="14" spans="1:15" x14ac:dyDescent="0.25">
      <c r="K14" t="s">
        <v>4063</v>
      </c>
      <c r="L14" t="s">
        <v>1795</v>
      </c>
      <c r="N14" t="s">
        <v>4064</v>
      </c>
      <c r="O14" t="s">
        <v>2154</v>
      </c>
    </row>
    <row r="15" spans="1:15" x14ac:dyDescent="0.25">
      <c r="K15" t="s">
        <v>4065</v>
      </c>
      <c r="L15" t="s">
        <v>1795</v>
      </c>
      <c r="N15" t="s">
        <v>4066</v>
      </c>
      <c r="O15" t="s">
        <v>2154</v>
      </c>
    </row>
    <row r="16" spans="1:15" x14ac:dyDescent="0.25">
      <c r="K16" t="s">
        <v>4067</v>
      </c>
      <c r="L16" t="s">
        <v>1795</v>
      </c>
      <c r="N16" t="s">
        <v>4068</v>
      </c>
      <c r="O16" t="s">
        <v>2154</v>
      </c>
    </row>
    <row r="17" spans="11:15" x14ac:dyDescent="0.25">
      <c r="K17" t="s">
        <v>4069</v>
      </c>
      <c r="L17" t="s">
        <v>1795</v>
      </c>
      <c r="N17" t="s">
        <v>4070</v>
      </c>
      <c r="O17" t="s">
        <v>2154</v>
      </c>
    </row>
    <row r="18" spans="11:15" x14ac:dyDescent="0.25">
      <c r="K18" t="s">
        <v>4071</v>
      </c>
      <c r="L18" t="s">
        <v>1795</v>
      </c>
      <c r="N18" t="s">
        <v>4072</v>
      </c>
      <c r="O18" t="s">
        <v>2154</v>
      </c>
    </row>
    <row r="19" spans="11:15" x14ac:dyDescent="0.25">
      <c r="K19" t="s">
        <v>4073</v>
      </c>
      <c r="L19" t="s">
        <v>1795</v>
      </c>
      <c r="N19" t="s">
        <v>4074</v>
      </c>
      <c r="O19" t="s">
        <v>2154</v>
      </c>
    </row>
    <row r="20" spans="11:15" x14ac:dyDescent="0.25">
      <c r="K20" t="s">
        <v>4075</v>
      </c>
      <c r="L20" t="s">
        <v>1795</v>
      </c>
      <c r="N20" t="s">
        <v>4076</v>
      </c>
      <c r="O20" t="s">
        <v>2154</v>
      </c>
    </row>
    <row r="21" spans="11:15" x14ac:dyDescent="0.25">
      <c r="K21" t="s">
        <v>4077</v>
      </c>
      <c r="L21" t="s">
        <v>1795</v>
      </c>
      <c r="N21" t="s">
        <v>4078</v>
      </c>
      <c r="O21" t="s">
        <v>2154</v>
      </c>
    </row>
    <row r="22" spans="11:15" x14ac:dyDescent="0.25">
      <c r="K22" t="s">
        <v>4079</v>
      </c>
      <c r="L22" t="s">
        <v>1795</v>
      </c>
      <c r="N22" t="s">
        <v>4080</v>
      </c>
      <c r="O22" t="s">
        <v>2154</v>
      </c>
    </row>
    <row r="23" spans="11:15" x14ac:dyDescent="0.25">
      <c r="K23" t="s">
        <v>4081</v>
      </c>
      <c r="L23" t="s">
        <v>1795</v>
      </c>
      <c r="N23" t="s">
        <v>4082</v>
      </c>
      <c r="O23" t="s">
        <v>2154</v>
      </c>
    </row>
    <row r="24" spans="11:15" x14ac:dyDescent="0.25">
      <c r="K24" t="s">
        <v>4083</v>
      </c>
      <c r="L24" t="s">
        <v>1795</v>
      </c>
      <c r="N24" t="s">
        <v>4084</v>
      </c>
      <c r="O24" t="s">
        <v>2154</v>
      </c>
    </row>
    <row r="25" spans="11:15" x14ac:dyDescent="0.25">
      <c r="K25" t="s">
        <v>4085</v>
      </c>
      <c r="L25" t="s">
        <v>1795</v>
      </c>
      <c r="N25" t="s">
        <v>4086</v>
      </c>
      <c r="O25" t="s">
        <v>2154</v>
      </c>
    </row>
    <row r="26" spans="11:15" x14ac:dyDescent="0.25">
      <c r="K26" t="s">
        <v>4087</v>
      </c>
      <c r="L26" t="s">
        <v>1795</v>
      </c>
      <c r="N26" t="s">
        <v>4088</v>
      </c>
      <c r="O26" t="s">
        <v>2154</v>
      </c>
    </row>
    <row r="27" spans="11:15" x14ac:dyDescent="0.25">
      <c r="K27" t="s">
        <v>4089</v>
      </c>
      <c r="L27" t="s">
        <v>2866</v>
      </c>
      <c r="N27" t="s">
        <v>4090</v>
      </c>
      <c r="O27" t="s">
        <v>2154</v>
      </c>
    </row>
    <row r="28" spans="11:15" x14ac:dyDescent="0.25">
      <c r="K28" t="s">
        <v>4091</v>
      </c>
      <c r="L28" t="s">
        <v>2866</v>
      </c>
      <c r="N28" t="s">
        <v>4092</v>
      </c>
      <c r="O28" t="s">
        <v>2154</v>
      </c>
    </row>
    <row r="29" spans="11:15" x14ac:dyDescent="0.25">
      <c r="K29" t="s">
        <v>4093</v>
      </c>
      <c r="L29" t="s">
        <v>2866</v>
      </c>
      <c r="N29" t="s">
        <v>4094</v>
      </c>
      <c r="O29" t="s">
        <v>2154</v>
      </c>
    </row>
    <row r="30" spans="11:15" x14ac:dyDescent="0.25">
      <c r="K30" t="s">
        <v>4095</v>
      </c>
      <c r="L30" t="s">
        <v>2866</v>
      </c>
      <c r="N30" t="s">
        <v>4096</v>
      </c>
      <c r="O30" t="s">
        <v>2154</v>
      </c>
    </row>
    <row r="31" spans="11:15" x14ac:dyDescent="0.25">
      <c r="K31" t="s">
        <v>4097</v>
      </c>
      <c r="L31" t="s">
        <v>2866</v>
      </c>
      <c r="N31" t="s">
        <v>4098</v>
      </c>
      <c r="O31" t="s">
        <v>2154</v>
      </c>
    </row>
    <row r="32" spans="11:15" x14ac:dyDescent="0.25">
      <c r="K32" t="s">
        <v>4099</v>
      </c>
      <c r="L32" t="s">
        <v>2866</v>
      </c>
      <c r="N32" t="s">
        <v>4100</v>
      </c>
      <c r="O32" t="s">
        <v>2154</v>
      </c>
    </row>
    <row r="33" spans="11:15" x14ac:dyDescent="0.25">
      <c r="K33" t="s">
        <v>4101</v>
      </c>
      <c r="L33" t="s">
        <v>2866</v>
      </c>
      <c r="N33" t="s">
        <v>4102</v>
      </c>
      <c r="O33" t="s">
        <v>2154</v>
      </c>
    </row>
    <row r="34" spans="11:15" x14ac:dyDescent="0.25">
      <c r="K34" t="s">
        <v>4103</v>
      </c>
      <c r="L34" t="s">
        <v>2866</v>
      </c>
      <c r="N34" t="s">
        <v>4104</v>
      </c>
      <c r="O34" t="s">
        <v>2154</v>
      </c>
    </row>
    <row r="35" spans="11:15" x14ac:dyDescent="0.25">
      <c r="K35" t="s">
        <v>4105</v>
      </c>
      <c r="L35" t="s">
        <v>2866</v>
      </c>
      <c r="N35" t="s">
        <v>4106</v>
      </c>
      <c r="O35" t="s">
        <v>2154</v>
      </c>
    </row>
    <row r="36" spans="11:15" x14ac:dyDescent="0.25">
      <c r="K36" t="s">
        <v>4071</v>
      </c>
      <c r="L36" t="s">
        <v>2866</v>
      </c>
      <c r="N36" t="s">
        <v>4107</v>
      </c>
      <c r="O36" t="s">
        <v>2154</v>
      </c>
    </row>
    <row r="37" spans="11:15" x14ac:dyDescent="0.25">
      <c r="K37" t="s">
        <v>4108</v>
      </c>
      <c r="L37" t="s">
        <v>2866</v>
      </c>
      <c r="N37" t="s">
        <v>4109</v>
      </c>
      <c r="O37" t="s">
        <v>2154</v>
      </c>
    </row>
    <row r="38" spans="11:15" x14ac:dyDescent="0.25">
      <c r="N38" t="s">
        <v>4110</v>
      </c>
      <c r="O38" t="s">
        <v>2154</v>
      </c>
    </row>
    <row r="39" spans="11:15" x14ac:dyDescent="0.25">
      <c r="N39" t="s">
        <v>4111</v>
      </c>
      <c r="O39" t="s">
        <v>2154</v>
      </c>
    </row>
    <row r="40" spans="11:15" x14ac:dyDescent="0.25">
      <c r="N40" t="s">
        <v>4112</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4006</v>
      </c>
      <c r="C1" t="s">
        <v>3450</v>
      </c>
      <c r="D1" t="s">
        <v>3493</v>
      </c>
      <c r="E1" t="s">
        <v>4113</v>
      </c>
      <c r="F1" t="s">
        <v>4114</v>
      </c>
      <c r="G1" t="s">
        <v>4007</v>
      </c>
    </row>
    <row r="2" spans="1:7" x14ac:dyDescent="0.25">
      <c r="A2" t="s">
        <v>4127</v>
      </c>
      <c r="B2" t="s">
        <v>4028</v>
      </c>
      <c r="C2" t="s">
        <v>8274</v>
      </c>
      <c r="D2" t="s">
        <v>4128</v>
      </c>
      <c r="E2" t="s">
        <v>8275</v>
      </c>
      <c r="F2" t="s">
        <v>4129</v>
      </c>
    </row>
    <row r="3" spans="1:7" x14ac:dyDescent="0.25">
      <c r="A3" t="s">
        <v>4019</v>
      </c>
      <c r="B3" t="s">
        <v>4011</v>
      </c>
      <c r="C3" t="s">
        <v>7725</v>
      </c>
      <c r="D3" t="s">
        <v>7726</v>
      </c>
      <c r="E3" t="s">
        <v>4154</v>
      </c>
      <c r="F3" t="s">
        <v>4155</v>
      </c>
    </row>
    <row r="4" spans="1:7" x14ac:dyDescent="0.25">
      <c r="A4" t="s">
        <v>4138</v>
      </c>
      <c r="B4" t="s">
        <v>4011</v>
      </c>
      <c r="C4" t="s">
        <v>4139</v>
      </c>
      <c r="D4" t="s">
        <v>4140</v>
      </c>
      <c r="E4" t="s">
        <v>4141</v>
      </c>
      <c r="F4" t="s">
        <v>4142</v>
      </c>
      <c r="G4" t="s">
        <v>4143</v>
      </c>
    </row>
    <row r="5" spans="1:7" x14ac:dyDescent="0.25">
      <c r="A5" t="s">
        <v>4149</v>
      </c>
      <c r="B5" t="s">
        <v>4028</v>
      </c>
      <c r="C5" t="s">
        <v>4150</v>
      </c>
      <c r="D5" t="s">
        <v>4151</v>
      </c>
      <c r="E5" t="s">
        <v>4152</v>
      </c>
      <c r="F5" t="s">
        <v>4153</v>
      </c>
    </row>
    <row r="6" spans="1:7" x14ac:dyDescent="0.25">
      <c r="A6" t="s">
        <v>4144</v>
      </c>
      <c r="B6" t="s">
        <v>4028</v>
      </c>
      <c r="C6" t="s">
        <v>4145</v>
      </c>
      <c r="D6" t="s">
        <v>4146</v>
      </c>
      <c r="E6" t="s">
        <v>4147</v>
      </c>
      <c r="F6" t="s">
        <v>4148</v>
      </c>
    </row>
    <row r="7" spans="1:7" x14ac:dyDescent="0.25">
      <c r="A7" t="s">
        <v>4133</v>
      </c>
      <c r="B7" t="s">
        <v>4011</v>
      </c>
      <c r="C7" t="s">
        <v>4134</v>
      </c>
      <c r="D7" t="s">
        <v>4135</v>
      </c>
      <c r="E7" t="s">
        <v>4136</v>
      </c>
      <c r="F7" t="s">
        <v>4137</v>
      </c>
    </row>
    <row r="8" spans="1:7" x14ac:dyDescent="0.25">
      <c r="A8" t="s">
        <v>4130</v>
      </c>
      <c r="B8" t="s">
        <v>4028</v>
      </c>
      <c r="C8" t="s">
        <v>3626</v>
      </c>
      <c r="D8" t="s">
        <v>4131</v>
      </c>
      <c r="E8" t="s">
        <v>3629</v>
      </c>
      <c r="F8" t="s">
        <v>4132</v>
      </c>
    </row>
    <row r="9" spans="1:7" x14ac:dyDescent="0.25">
      <c r="A9" t="s">
        <v>4119</v>
      </c>
      <c r="B9" t="s">
        <v>4011</v>
      </c>
      <c r="C9" t="s">
        <v>4120</v>
      </c>
      <c r="D9" t="s">
        <v>4121</v>
      </c>
      <c r="E9" t="s">
        <v>4122</v>
      </c>
      <c r="F9" t="s">
        <v>4123</v>
      </c>
    </row>
    <row r="10" spans="1:7" x14ac:dyDescent="0.25">
      <c r="A10" t="s">
        <v>4115</v>
      </c>
      <c r="B10" t="s">
        <v>4028</v>
      </c>
      <c r="C10" t="s">
        <v>3567</v>
      </c>
      <c r="D10" t="s">
        <v>4116</v>
      </c>
      <c r="E10" t="s">
        <v>4117</v>
      </c>
      <c r="F10" t="s">
        <v>4118</v>
      </c>
    </row>
    <row r="11" spans="1:7" x14ac:dyDescent="0.25">
      <c r="A11" t="s">
        <v>4124</v>
      </c>
      <c r="B11" t="s">
        <v>4039</v>
      </c>
      <c r="C11" t="s">
        <v>4040</v>
      </c>
      <c r="D11" t="s">
        <v>4041</v>
      </c>
      <c r="E11" t="s">
        <v>4125</v>
      </c>
      <c r="F11" t="s">
        <v>4126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4006</v>
      </c>
      <c r="D1" t="s">
        <v>3970</v>
      </c>
      <c r="E1" t="s">
        <v>3971</v>
      </c>
      <c r="F1" t="s">
        <v>4156</v>
      </c>
      <c r="G1" t="s">
        <v>4157</v>
      </c>
      <c r="H1" t="s">
        <v>170</v>
      </c>
      <c r="I1" t="s">
        <v>3494</v>
      </c>
      <c r="J1" t="s">
        <v>171</v>
      </c>
    </row>
    <row r="2" spans="1:10" x14ac:dyDescent="0.25">
      <c r="A2" t="s">
        <v>4158</v>
      </c>
      <c r="B2" t="s">
        <v>41</v>
      </c>
      <c r="C2" t="s">
        <v>4011</v>
      </c>
      <c r="D2" t="s">
        <v>7735</v>
      </c>
      <c r="E2" t="s">
        <v>7736</v>
      </c>
      <c r="F2" t="s">
        <v>7737</v>
      </c>
      <c r="G2" t="s">
        <v>7738</v>
      </c>
      <c r="H2" t="s">
        <v>8207</v>
      </c>
      <c r="I2" t="s">
        <v>90</v>
      </c>
      <c r="J2" t="s">
        <v>4159</v>
      </c>
    </row>
    <row r="3" spans="1:10" x14ac:dyDescent="0.25">
      <c r="A3" t="s">
        <v>4160</v>
      </c>
      <c r="B3" t="s">
        <v>41</v>
      </c>
      <c r="C3" t="s">
        <v>4028</v>
      </c>
      <c r="D3" t="s">
        <v>4150</v>
      </c>
      <c r="E3" t="s">
        <v>4151</v>
      </c>
      <c r="F3" t="s">
        <v>4161</v>
      </c>
      <c r="G3" t="s">
        <v>4162</v>
      </c>
      <c r="I3" t="s">
        <v>90</v>
      </c>
      <c r="J3" t="s">
        <v>4163</v>
      </c>
    </row>
    <row r="4" spans="1:10" x14ac:dyDescent="0.25">
      <c r="A4" t="s">
        <v>4164</v>
      </c>
      <c r="B4" t="s">
        <v>41</v>
      </c>
      <c r="C4" t="s">
        <v>4028</v>
      </c>
      <c r="D4" t="s">
        <v>4165</v>
      </c>
      <c r="E4" t="s">
        <v>4166</v>
      </c>
      <c r="F4" t="s">
        <v>4167</v>
      </c>
      <c r="G4" t="s">
        <v>4168</v>
      </c>
      <c r="I4" t="s">
        <v>90</v>
      </c>
      <c r="J4" t="s">
        <v>4169</v>
      </c>
    </row>
    <row r="5" spans="1:10" x14ac:dyDescent="0.25">
      <c r="A5" t="s">
        <v>4170</v>
      </c>
      <c r="B5" t="s">
        <v>41</v>
      </c>
      <c r="C5" t="s">
        <v>4028</v>
      </c>
      <c r="D5" t="s">
        <v>4171</v>
      </c>
      <c r="E5" t="s">
        <v>4172</v>
      </c>
      <c r="F5" t="s">
        <v>4173</v>
      </c>
      <c r="G5" t="s">
        <v>4174</v>
      </c>
      <c r="I5" t="s">
        <v>90</v>
      </c>
      <c r="J5" t="s">
        <v>4175</v>
      </c>
    </row>
    <row r="6" spans="1:10" x14ac:dyDescent="0.25">
      <c r="A6" t="s">
        <v>4176</v>
      </c>
      <c r="B6" t="s">
        <v>3499</v>
      </c>
      <c r="C6" t="s">
        <v>4028</v>
      </c>
      <c r="D6" t="s">
        <v>3626</v>
      </c>
      <c r="E6" t="s">
        <v>4131</v>
      </c>
      <c r="F6" t="s">
        <v>4177</v>
      </c>
      <c r="G6" t="s">
        <v>4178</v>
      </c>
      <c r="I6" t="s">
        <v>90</v>
      </c>
      <c r="J6" t="s">
        <v>4179</v>
      </c>
    </row>
    <row r="7" spans="1:10" x14ac:dyDescent="0.25">
      <c r="A7" t="s">
        <v>4180</v>
      </c>
      <c r="B7" t="s">
        <v>41</v>
      </c>
      <c r="C7" t="s">
        <v>4028</v>
      </c>
      <c r="D7" t="s">
        <v>4181</v>
      </c>
      <c r="E7" t="s">
        <v>4182</v>
      </c>
      <c r="F7" t="s">
        <v>4183</v>
      </c>
      <c r="G7" t="s">
        <v>4184</v>
      </c>
      <c r="I7" t="s">
        <v>90</v>
      </c>
      <c r="J7" t="s">
        <v>4185</v>
      </c>
    </row>
    <row r="8" spans="1:10" x14ac:dyDescent="0.25">
      <c r="A8" t="s">
        <v>4186</v>
      </c>
      <c r="B8" t="s">
        <v>41</v>
      </c>
      <c r="C8" t="s">
        <v>4028</v>
      </c>
      <c r="D8" t="s">
        <v>4187</v>
      </c>
      <c r="E8" t="s">
        <v>4188</v>
      </c>
      <c r="F8" t="s">
        <v>4189</v>
      </c>
      <c r="G8" t="s">
        <v>4190</v>
      </c>
      <c r="I8" t="s">
        <v>90</v>
      </c>
      <c r="J8" t="s">
        <v>4191</v>
      </c>
    </row>
    <row r="9" spans="1:10" x14ac:dyDescent="0.25">
      <c r="A9" t="s">
        <v>4192</v>
      </c>
      <c r="B9" t="s">
        <v>41</v>
      </c>
      <c r="C9" t="s">
        <v>4011</v>
      </c>
      <c r="D9" t="s">
        <v>4193</v>
      </c>
      <c r="E9" t="s">
        <v>4194</v>
      </c>
      <c r="F9" t="s">
        <v>4195</v>
      </c>
      <c r="G9" t="s">
        <v>4196</v>
      </c>
      <c r="I9" t="s">
        <v>90</v>
      </c>
      <c r="J9" t="s">
        <v>4197</v>
      </c>
    </row>
    <row r="10" spans="1:10" x14ac:dyDescent="0.25">
      <c r="A10" t="s">
        <v>4198</v>
      </c>
      <c r="B10" t="s">
        <v>3511</v>
      </c>
      <c r="C10" t="s">
        <v>4028</v>
      </c>
      <c r="D10" t="s">
        <v>4199</v>
      </c>
      <c r="E10" t="s">
        <v>4200</v>
      </c>
      <c r="F10" t="s">
        <v>4201</v>
      </c>
      <c r="G10" t="s">
        <v>4202</v>
      </c>
      <c r="I10" t="s">
        <v>38</v>
      </c>
      <c r="J10" t="s">
        <v>4203</v>
      </c>
    </row>
    <row r="11" spans="1:10" x14ac:dyDescent="0.25">
      <c r="A11" t="s">
        <v>4204</v>
      </c>
      <c r="B11" t="s">
        <v>41</v>
      </c>
      <c r="C11" t="s">
        <v>4028</v>
      </c>
      <c r="D11" t="s">
        <v>4205</v>
      </c>
      <c r="E11" t="s">
        <v>4206</v>
      </c>
      <c r="F11" t="s">
        <v>4207</v>
      </c>
      <c r="G11" t="s">
        <v>4208</v>
      </c>
      <c r="I11" t="s">
        <v>2154</v>
      </c>
      <c r="J11" t="s">
        <v>3455</v>
      </c>
    </row>
    <row r="12" spans="1:10" x14ac:dyDescent="0.25">
      <c r="A12" t="s">
        <v>4209</v>
      </c>
      <c r="B12" t="s">
        <v>3499</v>
      </c>
      <c r="C12" t="s">
        <v>4028</v>
      </c>
      <c r="D12" t="s">
        <v>4210</v>
      </c>
      <c r="E12" t="s">
        <v>4211</v>
      </c>
      <c r="F12" t="s">
        <v>3455</v>
      </c>
      <c r="G12" t="s">
        <v>4212</v>
      </c>
      <c r="I12" t="s">
        <v>2154</v>
      </c>
      <c r="J12" t="s">
        <v>3455</v>
      </c>
    </row>
    <row r="13" spans="1:10" x14ac:dyDescent="0.25">
      <c r="A13" t="s">
        <v>4213</v>
      </c>
      <c r="B13" t="s">
        <v>3499</v>
      </c>
      <c r="C13" t="s">
        <v>4028</v>
      </c>
      <c r="D13" t="s">
        <v>4214</v>
      </c>
      <c r="E13" t="s">
        <v>4215</v>
      </c>
      <c r="F13" t="s">
        <v>4216</v>
      </c>
      <c r="G13" t="s">
        <v>4217</v>
      </c>
      <c r="I13" t="s">
        <v>2154</v>
      </c>
      <c r="J13" t="s">
        <v>3455</v>
      </c>
    </row>
    <row r="14" spans="1:10" x14ac:dyDescent="0.25">
      <c r="A14" t="s">
        <v>4218</v>
      </c>
      <c r="B14" t="s">
        <v>3511</v>
      </c>
      <c r="C14" t="s">
        <v>4028</v>
      </c>
      <c r="D14" t="s">
        <v>4219</v>
      </c>
      <c r="E14" t="s">
        <v>4220</v>
      </c>
      <c r="F14" t="s">
        <v>4221</v>
      </c>
      <c r="G14" t="s">
        <v>4222</v>
      </c>
      <c r="I14" t="s">
        <v>2154</v>
      </c>
      <c r="J14" t="s">
        <v>3455</v>
      </c>
    </row>
    <row r="15" spans="1:10" x14ac:dyDescent="0.25">
      <c r="A15" t="s">
        <v>4223</v>
      </c>
      <c r="B15" t="s">
        <v>41</v>
      </c>
      <c r="C15" t="s">
        <v>4011</v>
      </c>
      <c r="D15" t="s">
        <v>4193</v>
      </c>
      <c r="E15" t="s">
        <v>4194</v>
      </c>
      <c r="F15" t="s">
        <v>4224</v>
      </c>
      <c r="G15" t="s">
        <v>4225</v>
      </c>
      <c r="I15" t="s">
        <v>256</v>
      </c>
      <c r="J15" t="s">
        <v>3455</v>
      </c>
    </row>
    <row r="16" spans="1:10" x14ac:dyDescent="0.25">
      <c r="A16" t="s">
        <v>4226</v>
      </c>
      <c r="B16" t="s">
        <v>3511</v>
      </c>
      <c r="C16" t="s">
        <v>4039</v>
      </c>
      <c r="D16" t="s">
        <v>4227</v>
      </c>
      <c r="E16" t="s">
        <v>4212</v>
      </c>
      <c r="F16" t="s">
        <v>4227</v>
      </c>
      <c r="G16" t="s">
        <v>4212</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4006</v>
      </c>
      <c r="E1" t="s">
        <v>167</v>
      </c>
      <c r="F1" t="s">
        <v>7624</v>
      </c>
      <c r="G1" t="s">
        <v>3450</v>
      </c>
      <c r="H1" t="s">
        <v>3493</v>
      </c>
      <c r="I1" t="s">
        <v>170</v>
      </c>
      <c r="J1" t="s">
        <v>171</v>
      </c>
    </row>
    <row r="2" spans="1:10" x14ac:dyDescent="0.25">
      <c r="A2" t="s">
        <v>7654</v>
      </c>
      <c r="B2" t="s">
        <v>3511</v>
      </c>
      <c r="C2" t="s">
        <v>2154</v>
      </c>
      <c r="D2" t="s">
        <v>4028</v>
      </c>
      <c r="E2" t="s">
        <v>7630</v>
      </c>
      <c r="F2">
        <v>2</v>
      </c>
      <c r="G2" t="s">
        <v>7662</v>
      </c>
      <c r="H2" t="s">
        <v>7669</v>
      </c>
      <c r="J2" t="s">
        <v>3455</v>
      </c>
    </row>
    <row r="3" spans="1:10" x14ac:dyDescent="0.25">
      <c r="A3" t="s">
        <v>7633</v>
      </c>
      <c r="B3" t="s">
        <v>3499</v>
      </c>
      <c r="C3" t="s">
        <v>1795</v>
      </c>
      <c r="D3" t="s">
        <v>4011</v>
      </c>
      <c r="E3" t="s">
        <v>7629</v>
      </c>
      <c r="F3">
        <v>4</v>
      </c>
      <c r="G3" t="s">
        <v>7632</v>
      </c>
      <c r="H3" t="s">
        <v>4024</v>
      </c>
      <c r="J3" t="s">
        <v>3455</v>
      </c>
    </row>
    <row r="4" spans="1:10" x14ac:dyDescent="0.25">
      <c r="A4" t="s">
        <v>7656</v>
      </c>
      <c r="B4" t="s">
        <v>3722</v>
      </c>
      <c r="C4" t="s">
        <v>1795</v>
      </c>
      <c r="D4" t="s">
        <v>4028</v>
      </c>
      <c r="E4" t="s">
        <v>7630</v>
      </c>
      <c r="F4">
        <v>1</v>
      </c>
      <c r="G4" t="s">
        <v>7664</v>
      </c>
      <c r="H4" t="s">
        <v>7670</v>
      </c>
      <c r="J4" t="s">
        <v>3455</v>
      </c>
    </row>
    <row r="5" spans="1:10" x14ac:dyDescent="0.25">
      <c r="A5" t="s">
        <v>7631</v>
      </c>
      <c r="B5" t="s">
        <v>3499</v>
      </c>
      <c r="C5" t="s">
        <v>2154</v>
      </c>
      <c r="D5" t="s">
        <v>4028</v>
      </c>
      <c r="E5" t="s">
        <v>7630</v>
      </c>
      <c r="F5">
        <v>3</v>
      </c>
      <c r="G5" t="s">
        <v>7658</v>
      </c>
      <c r="H5" t="s">
        <v>7639</v>
      </c>
      <c r="I5" t="s">
        <v>8208</v>
      </c>
      <c r="J5" t="s">
        <v>3455</v>
      </c>
    </row>
    <row r="6" spans="1:10" x14ac:dyDescent="0.25">
      <c r="A6" t="s">
        <v>7652</v>
      </c>
      <c r="B6" t="s">
        <v>41</v>
      </c>
      <c r="C6" t="s">
        <v>2154</v>
      </c>
      <c r="D6" t="s">
        <v>4011</v>
      </c>
      <c r="E6" t="s">
        <v>7630</v>
      </c>
      <c r="F6">
        <v>3</v>
      </c>
      <c r="G6" t="s">
        <v>7660</v>
      </c>
      <c r="H6" t="s">
        <v>7671</v>
      </c>
      <c r="J6" t="s">
        <v>3455</v>
      </c>
    </row>
    <row r="7" spans="1:10" x14ac:dyDescent="0.25">
      <c r="A7" t="s">
        <v>7651</v>
      </c>
      <c r="B7" t="s">
        <v>41</v>
      </c>
      <c r="C7" t="s">
        <v>2154</v>
      </c>
      <c r="D7" t="s">
        <v>4011</v>
      </c>
      <c r="E7" t="s">
        <v>7630</v>
      </c>
      <c r="F7">
        <v>3</v>
      </c>
      <c r="G7" t="s">
        <v>7659</v>
      </c>
      <c r="H7" t="s">
        <v>7672</v>
      </c>
      <c r="J7" t="s">
        <v>3455</v>
      </c>
    </row>
    <row r="8" spans="1:10" x14ac:dyDescent="0.25">
      <c r="A8" t="s">
        <v>7653</v>
      </c>
      <c r="B8" t="s">
        <v>41</v>
      </c>
      <c r="C8" t="s">
        <v>2154</v>
      </c>
      <c r="D8" t="s">
        <v>4028</v>
      </c>
      <c r="E8" t="s">
        <v>7630</v>
      </c>
      <c r="F8">
        <v>2</v>
      </c>
      <c r="G8" t="s">
        <v>7661</v>
      </c>
      <c r="H8" t="s">
        <v>7673</v>
      </c>
      <c r="J8" t="s">
        <v>3455</v>
      </c>
    </row>
    <row r="9" spans="1:10" x14ac:dyDescent="0.25">
      <c r="A9" t="s">
        <v>7628</v>
      </c>
      <c r="B9" t="s">
        <v>41</v>
      </c>
      <c r="C9" t="s">
        <v>2154</v>
      </c>
      <c r="D9" t="s">
        <v>4039</v>
      </c>
      <c r="E9" t="s">
        <v>3447</v>
      </c>
      <c r="F9">
        <v>4</v>
      </c>
      <c r="G9" t="s">
        <v>4227</v>
      </c>
      <c r="H9" t="s">
        <v>101</v>
      </c>
      <c r="J9" t="s">
        <v>3455</v>
      </c>
    </row>
    <row r="10" spans="1:10" x14ac:dyDescent="0.25">
      <c r="A10" t="s">
        <v>7666</v>
      </c>
      <c r="B10" t="s">
        <v>3511</v>
      </c>
      <c r="C10" t="s">
        <v>490</v>
      </c>
      <c r="D10" t="s">
        <v>4039</v>
      </c>
      <c r="E10" t="s">
        <v>7630</v>
      </c>
      <c r="F10">
        <v>2</v>
      </c>
      <c r="G10" t="s">
        <v>7667</v>
      </c>
      <c r="H10" t="s">
        <v>7674</v>
      </c>
      <c r="J10" t="s">
        <v>3455</v>
      </c>
    </row>
    <row r="11" spans="1:10" x14ac:dyDescent="0.25">
      <c r="A11" t="s">
        <v>7655</v>
      </c>
      <c r="B11" t="s">
        <v>3499</v>
      </c>
      <c r="C11" t="s">
        <v>2154</v>
      </c>
      <c r="D11" t="s">
        <v>4028</v>
      </c>
      <c r="E11" t="s">
        <v>7630</v>
      </c>
      <c r="F11">
        <v>3</v>
      </c>
      <c r="G11" t="s">
        <v>7663</v>
      </c>
      <c r="H11" t="s">
        <v>7675</v>
      </c>
      <c r="J11" t="s">
        <v>3455</v>
      </c>
    </row>
    <row r="12" spans="1:10" x14ac:dyDescent="0.25">
      <c r="A12" t="s">
        <v>7657</v>
      </c>
      <c r="B12" t="s">
        <v>3499</v>
      </c>
      <c r="C12" t="s">
        <v>2154</v>
      </c>
      <c r="D12" t="s">
        <v>4028</v>
      </c>
      <c r="E12" t="s">
        <v>7630</v>
      </c>
      <c r="F12">
        <v>3</v>
      </c>
      <c r="G12" t="s">
        <v>7665</v>
      </c>
      <c r="H12" t="s">
        <v>7676</v>
      </c>
      <c r="J12" t="s">
        <v>3455</v>
      </c>
    </row>
    <row r="13" spans="1:10" x14ac:dyDescent="0.25">
      <c r="A13" t="s">
        <v>3721</v>
      </c>
      <c r="B13" t="s">
        <v>3722</v>
      </c>
      <c r="C13" t="s">
        <v>1795</v>
      </c>
      <c r="D13" t="s">
        <v>4028</v>
      </c>
      <c r="E13" t="s">
        <v>7629</v>
      </c>
      <c r="F13">
        <v>1</v>
      </c>
      <c r="G13" t="s">
        <v>3723</v>
      </c>
      <c r="H13" t="s">
        <v>7638</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3732</v>
      </c>
      <c r="D1" t="s">
        <v>167</v>
      </c>
      <c r="E1" t="s">
        <v>3450</v>
      </c>
      <c r="F1" t="s">
        <v>3493</v>
      </c>
      <c r="G1" t="s">
        <v>3737</v>
      </c>
      <c r="H1" t="s">
        <v>1</v>
      </c>
      <c r="I1" t="s">
        <v>7</v>
      </c>
    </row>
    <row r="2" spans="1:9" x14ac:dyDescent="0.25">
      <c r="A2" t="s">
        <v>8143</v>
      </c>
      <c r="B2" t="s">
        <v>41</v>
      </c>
      <c r="C2" t="s">
        <v>3740</v>
      </c>
      <c r="D2" t="s">
        <v>3520</v>
      </c>
      <c r="E2" t="s">
        <v>8210</v>
      </c>
      <c r="F2" t="s">
        <v>8182</v>
      </c>
      <c r="G2" t="s">
        <v>8146</v>
      </c>
      <c r="H2" t="s">
        <v>160</v>
      </c>
      <c r="I2" t="s">
        <v>8144</v>
      </c>
    </row>
    <row r="3" spans="1:9" x14ac:dyDescent="0.25">
      <c r="A3" t="s">
        <v>8199</v>
      </c>
      <c r="B3" t="s">
        <v>3511</v>
      </c>
      <c r="C3" t="s">
        <v>3895</v>
      </c>
      <c r="D3" t="s">
        <v>8209</v>
      </c>
      <c r="E3" t="s">
        <v>8224</v>
      </c>
      <c r="F3" t="s">
        <v>8266</v>
      </c>
      <c r="G3" t="s">
        <v>4618</v>
      </c>
      <c r="H3" t="s">
        <v>344</v>
      </c>
      <c r="I3" t="s">
        <v>8199</v>
      </c>
    </row>
    <row r="4" spans="1:9" x14ac:dyDescent="0.25">
      <c r="A4" t="s">
        <v>8141</v>
      </c>
      <c r="B4" t="s">
        <v>3511</v>
      </c>
      <c r="C4" t="s">
        <v>3740</v>
      </c>
      <c r="D4" t="s">
        <v>3520</v>
      </c>
      <c r="E4" t="s">
        <v>8211</v>
      </c>
      <c r="F4" t="s">
        <v>8183</v>
      </c>
      <c r="G4" t="s">
        <v>4650</v>
      </c>
      <c r="H4" t="s">
        <v>160</v>
      </c>
      <c r="I4" t="s">
        <v>8142</v>
      </c>
    </row>
    <row r="5" spans="1:9" x14ac:dyDescent="0.25">
      <c r="A5" t="s">
        <v>8204</v>
      </c>
      <c r="B5" t="s">
        <v>3511</v>
      </c>
      <c r="C5" t="s">
        <v>3784</v>
      </c>
      <c r="D5" t="s">
        <v>8209</v>
      </c>
      <c r="E5" t="s">
        <v>8225</v>
      </c>
      <c r="F5" t="s">
        <v>8267</v>
      </c>
      <c r="G5" t="s">
        <v>4618</v>
      </c>
      <c r="H5" t="s">
        <v>344</v>
      </c>
      <c r="I5" t="s">
        <v>8204</v>
      </c>
    </row>
    <row r="6" spans="1:9" x14ac:dyDescent="0.25">
      <c r="A6" t="s">
        <v>8148</v>
      </c>
      <c r="B6" t="s">
        <v>3511</v>
      </c>
      <c r="C6" t="s">
        <v>3740</v>
      </c>
      <c r="D6" t="s">
        <v>3520</v>
      </c>
      <c r="E6" t="s">
        <v>8268</v>
      </c>
      <c r="F6" t="s">
        <v>8184</v>
      </c>
      <c r="G6" t="s">
        <v>4650</v>
      </c>
      <c r="H6" t="s">
        <v>2619</v>
      </c>
      <c r="I6" t="s">
        <v>8149</v>
      </c>
    </row>
    <row r="7" spans="1:9" x14ac:dyDescent="0.25">
      <c r="A7" t="s">
        <v>8202</v>
      </c>
      <c r="B7" t="s">
        <v>3499</v>
      </c>
      <c r="C7" t="s">
        <v>3784</v>
      </c>
      <c r="D7" t="s">
        <v>8209</v>
      </c>
      <c r="E7" t="s">
        <v>8226</v>
      </c>
      <c r="F7" t="s">
        <v>8269</v>
      </c>
      <c r="G7" t="s">
        <v>8203</v>
      </c>
      <c r="H7" t="s">
        <v>344</v>
      </c>
      <c r="I7" t="s">
        <v>8202</v>
      </c>
    </row>
    <row r="8" spans="1:9" x14ac:dyDescent="0.25">
      <c r="A8" t="s">
        <v>8145</v>
      </c>
      <c r="B8" t="s">
        <v>3499</v>
      </c>
      <c r="C8" t="s">
        <v>3740</v>
      </c>
      <c r="D8" t="s">
        <v>3520</v>
      </c>
      <c r="E8" t="s">
        <v>8212</v>
      </c>
      <c r="F8" t="s">
        <v>8185</v>
      </c>
      <c r="G8" t="s">
        <v>4650</v>
      </c>
      <c r="H8" t="s">
        <v>160</v>
      </c>
      <c r="I8" t="s">
        <v>8147</v>
      </c>
    </row>
    <row r="9" spans="1:9" x14ac:dyDescent="0.25">
      <c r="A9" t="s">
        <v>8200</v>
      </c>
      <c r="B9" t="s">
        <v>3499</v>
      </c>
      <c r="C9" t="s">
        <v>3740</v>
      </c>
      <c r="D9" t="s">
        <v>8209</v>
      </c>
      <c r="E9" t="s">
        <v>8227</v>
      </c>
      <c r="F9" t="s">
        <v>8270</v>
      </c>
      <c r="G9" t="s">
        <v>8201</v>
      </c>
      <c r="H9" t="s">
        <v>344</v>
      </c>
      <c r="I9" t="s">
        <v>8200</v>
      </c>
    </row>
    <row r="10" spans="1:9" x14ac:dyDescent="0.25">
      <c r="A10" t="s">
        <v>4586</v>
      </c>
      <c r="B10" t="s">
        <v>3499</v>
      </c>
      <c r="C10" t="s">
        <v>3740</v>
      </c>
      <c r="D10" t="s">
        <v>3520</v>
      </c>
      <c r="E10" t="s">
        <v>8286</v>
      </c>
      <c r="F10" t="s">
        <v>8313</v>
      </c>
      <c r="G10" t="s">
        <v>4802</v>
      </c>
      <c r="H10" t="s">
        <v>2804</v>
      </c>
      <c r="I10" t="s">
        <v>4586</v>
      </c>
    </row>
    <row r="11" spans="1:9" x14ac:dyDescent="0.25">
      <c r="A11" t="s">
        <v>8158</v>
      </c>
      <c r="B11" t="s">
        <v>3511</v>
      </c>
      <c r="C11" t="s">
        <v>3740</v>
      </c>
      <c r="D11" t="s">
        <v>3520</v>
      </c>
      <c r="E11" t="s">
        <v>8213</v>
      </c>
      <c r="F11" t="s">
        <v>8186</v>
      </c>
      <c r="H11" t="s">
        <v>2619</v>
      </c>
      <c r="I11" t="s">
        <v>8159</v>
      </c>
    </row>
    <row r="12" spans="1:9" x14ac:dyDescent="0.25">
      <c r="A12" t="s">
        <v>4615</v>
      </c>
      <c r="B12" t="s">
        <v>41</v>
      </c>
      <c r="C12" t="s">
        <v>3895</v>
      </c>
      <c r="D12" t="s">
        <v>8209</v>
      </c>
      <c r="E12" t="s">
        <v>8228</v>
      </c>
      <c r="F12" t="s">
        <v>8271</v>
      </c>
      <c r="G12" t="s">
        <v>8247</v>
      </c>
      <c r="H12" t="s">
        <v>344</v>
      </c>
      <c r="I12" t="s">
        <v>4615</v>
      </c>
    </row>
    <row r="13" spans="1:9" x14ac:dyDescent="0.25">
      <c r="A13" t="s">
        <v>8162</v>
      </c>
      <c r="B13" t="s">
        <v>41</v>
      </c>
      <c r="C13" t="s">
        <v>3740</v>
      </c>
      <c r="D13" t="s">
        <v>3520</v>
      </c>
      <c r="E13" t="s">
        <v>4431</v>
      </c>
      <c r="F13" t="s">
        <v>8187</v>
      </c>
      <c r="H13" t="s">
        <v>160</v>
      </c>
      <c r="I13" t="s">
        <v>8163</v>
      </c>
    </row>
    <row r="14" spans="1:9" x14ac:dyDescent="0.25">
      <c r="A14" t="s">
        <v>8154</v>
      </c>
      <c r="B14" t="s">
        <v>41</v>
      </c>
      <c r="C14" t="s">
        <v>3740</v>
      </c>
      <c r="D14" t="s">
        <v>3520</v>
      </c>
      <c r="E14" t="s">
        <v>8272</v>
      </c>
      <c r="F14" t="s">
        <v>8188</v>
      </c>
      <c r="H14" t="s">
        <v>2619</v>
      </c>
      <c r="I14" t="s">
        <v>8154</v>
      </c>
    </row>
    <row r="15" spans="1:9" x14ac:dyDescent="0.25">
      <c r="A15" t="s">
        <v>8160</v>
      </c>
      <c r="B15" t="s">
        <v>41</v>
      </c>
      <c r="C15" t="s">
        <v>3740</v>
      </c>
      <c r="D15" t="s">
        <v>3520</v>
      </c>
      <c r="E15" t="s">
        <v>8214</v>
      </c>
      <c r="F15" t="s">
        <v>8189</v>
      </c>
      <c r="H15" t="s">
        <v>160</v>
      </c>
      <c r="I15" t="s">
        <v>8161</v>
      </c>
    </row>
    <row r="16" spans="1:9" x14ac:dyDescent="0.25">
      <c r="A16" t="s">
        <v>4703</v>
      </c>
      <c r="B16" t="s">
        <v>3511</v>
      </c>
      <c r="C16" t="s">
        <v>3740</v>
      </c>
      <c r="D16" t="s">
        <v>3520</v>
      </c>
      <c r="E16" t="s">
        <v>3567</v>
      </c>
      <c r="F16" t="s">
        <v>3568</v>
      </c>
      <c r="H16" t="s">
        <v>160</v>
      </c>
      <c r="I16" t="s">
        <v>4705</v>
      </c>
    </row>
    <row r="17" spans="1:9" x14ac:dyDescent="0.25">
      <c r="A17" t="s">
        <v>8150</v>
      </c>
      <c r="B17" t="s">
        <v>3511</v>
      </c>
      <c r="C17" t="s">
        <v>3740</v>
      </c>
      <c r="D17" t="s">
        <v>3520</v>
      </c>
      <c r="E17" t="s">
        <v>8215</v>
      </c>
      <c r="F17" t="s">
        <v>3664</v>
      </c>
      <c r="G17" t="s">
        <v>4650</v>
      </c>
      <c r="H17" t="s">
        <v>2619</v>
      </c>
      <c r="I17" t="s">
        <v>8151</v>
      </c>
    </row>
    <row r="18" spans="1:9" x14ac:dyDescent="0.25">
      <c r="A18" t="s">
        <v>4909</v>
      </c>
      <c r="B18" t="s">
        <v>41</v>
      </c>
      <c r="C18" t="s">
        <v>3740</v>
      </c>
      <c r="D18" t="s">
        <v>3520</v>
      </c>
      <c r="E18" t="s">
        <v>8246</v>
      </c>
      <c r="F18" t="s">
        <v>8273</v>
      </c>
      <c r="G18" t="s">
        <v>8248</v>
      </c>
      <c r="H18" t="s">
        <v>344</v>
      </c>
      <c r="I18" t="s">
        <v>4909</v>
      </c>
    </row>
    <row r="19" spans="1:9" x14ac:dyDescent="0.25">
      <c r="A19" t="s">
        <v>8152</v>
      </c>
      <c r="B19" t="s">
        <v>3499</v>
      </c>
      <c r="C19" t="s">
        <v>3740</v>
      </c>
      <c r="D19" t="s">
        <v>3520</v>
      </c>
      <c r="E19" t="s">
        <v>8216</v>
      </c>
      <c r="F19" t="s">
        <v>3507</v>
      </c>
      <c r="G19" t="s">
        <v>3685</v>
      </c>
      <c r="H19" t="s">
        <v>2619</v>
      </c>
      <c r="I19" t="s">
        <v>8153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3732</v>
      </c>
      <c r="D1" t="s">
        <v>8233</v>
      </c>
      <c r="E1" t="s">
        <v>8234</v>
      </c>
      <c r="F1" t="s">
        <v>3493</v>
      </c>
      <c r="G1" t="s">
        <v>167</v>
      </c>
      <c r="H1" t="s">
        <v>3520</v>
      </c>
      <c r="I1" t="s">
        <v>8276</v>
      </c>
      <c r="J1" t="s">
        <v>3735</v>
      </c>
      <c r="K1" t="s">
        <v>8206</v>
      </c>
      <c r="L1" t="s">
        <v>3737</v>
      </c>
      <c r="M1" t="s">
        <v>1</v>
      </c>
      <c r="N1" t="s">
        <v>7</v>
      </c>
    </row>
    <row r="2" spans="1:14" x14ac:dyDescent="0.25">
      <c r="A2" t="s">
        <v>8305</v>
      </c>
      <c r="B2" t="s">
        <v>3499</v>
      </c>
      <c r="C2" t="s">
        <v>3789</v>
      </c>
      <c r="D2" t="s">
        <v>8235</v>
      </c>
      <c r="E2" t="s">
        <v>8192</v>
      </c>
      <c r="F2" t="s">
        <v>8254</v>
      </c>
      <c r="G2" t="s">
        <v>5439</v>
      </c>
      <c r="H2" t="s">
        <v>8306</v>
      </c>
      <c r="I2" t="s">
        <v>8314</v>
      </c>
      <c r="J2" t="s">
        <v>8303</v>
      </c>
      <c r="K2">
        <v>3</v>
      </c>
      <c r="L2" t="s">
        <v>3528</v>
      </c>
      <c r="M2" t="s">
        <v>2804</v>
      </c>
      <c r="N2" t="s">
        <v>8307</v>
      </c>
    </row>
    <row r="3" spans="1:14" x14ac:dyDescent="0.25">
      <c r="A3" t="s">
        <v>8252</v>
      </c>
      <c r="B3" t="s">
        <v>3499</v>
      </c>
      <c r="C3" t="s">
        <v>8253</v>
      </c>
      <c r="D3" t="s">
        <v>8235</v>
      </c>
      <c r="E3" t="s">
        <v>8257</v>
      </c>
      <c r="F3" t="s">
        <v>8294</v>
      </c>
      <c r="G3" t="s">
        <v>5439</v>
      </c>
      <c r="H3" t="s">
        <v>8255</v>
      </c>
      <c r="I3" t="s">
        <v>8277</v>
      </c>
      <c r="J3" t="s">
        <v>8232</v>
      </c>
      <c r="K3">
        <v>3</v>
      </c>
      <c r="M3" t="s">
        <v>344</v>
      </c>
      <c r="N3" t="s">
        <v>8256</v>
      </c>
    </row>
    <row r="4" spans="1:14" x14ac:dyDescent="0.25">
      <c r="A4" t="s">
        <v>8231</v>
      </c>
      <c r="B4" t="s">
        <v>3511</v>
      </c>
      <c r="C4" t="s">
        <v>3895</v>
      </c>
      <c r="D4" t="s">
        <v>8235</v>
      </c>
      <c r="E4" t="s">
        <v>3895</v>
      </c>
      <c r="F4" t="s">
        <v>8236</v>
      </c>
      <c r="G4" t="s">
        <v>5439</v>
      </c>
      <c r="H4" t="s">
        <v>8239</v>
      </c>
      <c r="I4" t="s">
        <v>8278</v>
      </c>
      <c r="J4" t="s">
        <v>8232</v>
      </c>
      <c r="K4">
        <v>3</v>
      </c>
      <c r="M4" t="s">
        <v>344</v>
      </c>
      <c r="N4" t="s">
        <v>8237</v>
      </c>
    </row>
    <row r="5" spans="1:14" x14ac:dyDescent="0.25">
      <c r="A5" t="s">
        <v>6829</v>
      </c>
      <c r="B5" t="s">
        <v>3499</v>
      </c>
      <c r="C5" t="s">
        <v>3784</v>
      </c>
      <c r="D5" t="s">
        <v>8260</v>
      </c>
      <c r="E5" t="s">
        <v>8261</v>
      </c>
      <c r="F5" t="s">
        <v>8254</v>
      </c>
      <c r="G5" t="s">
        <v>5446</v>
      </c>
      <c r="H5" t="s">
        <v>8279</v>
      </c>
      <c r="I5" t="s">
        <v>8280</v>
      </c>
      <c r="J5" t="s">
        <v>8262</v>
      </c>
      <c r="K5">
        <v>3</v>
      </c>
      <c r="M5" t="s">
        <v>1046</v>
      </c>
      <c r="N5" t="s">
        <v>8265</v>
      </c>
    </row>
    <row r="6" spans="1:14" x14ac:dyDescent="0.25">
      <c r="A6" t="s">
        <v>8287</v>
      </c>
      <c r="B6" t="s">
        <v>3511</v>
      </c>
      <c r="C6" t="s">
        <v>3740</v>
      </c>
      <c r="D6" t="s">
        <v>8288</v>
      </c>
      <c r="E6" t="s">
        <v>3740</v>
      </c>
      <c r="F6" t="s">
        <v>8236</v>
      </c>
      <c r="G6" t="s">
        <v>5446</v>
      </c>
      <c r="H6" t="s">
        <v>8301</v>
      </c>
      <c r="I6" t="s">
        <v>8315</v>
      </c>
      <c r="J6" t="s">
        <v>8289</v>
      </c>
      <c r="K6">
        <v>3</v>
      </c>
      <c r="L6" t="s">
        <v>8291</v>
      </c>
      <c r="M6" t="s">
        <v>2804</v>
      </c>
      <c r="N6" t="s">
        <v>8290</v>
      </c>
    </row>
    <row r="7" spans="1:14" x14ac:dyDescent="0.25">
      <c r="A7" t="s">
        <v>4690</v>
      </c>
      <c r="B7" t="s">
        <v>41</v>
      </c>
      <c r="C7" t="s">
        <v>3784</v>
      </c>
      <c r="D7" t="s">
        <v>8260</v>
      </c>
      <c r="E7" t="s">
        <v>8261</v>
      </c>
      <c r="F7" t="s">
        <v>8236</v>
      </c>
      <c r="G7" t="s">
        <v>5446</v>
      </c>
      <c r="H7" t="s">
        <v>3455</v>
      </c>
      <c r="J7" t="s">
        <v>8262</v>
      </c>
      <c r="K7">
        <v>3</v>
      </c>
      <c r="M7" t="s">
        <v>1046</v>
      </c>
      <c r="N7" t="s">
        <v>4693</v>
      </c>
    </row>
    <row r="8" spans="1:14" x14ac:dyDescent="0.25">
      <c r="A8" t="s">
        <v>8238</v>
      </c>
      <c r="B8" t="s">
        <v>3499</v>
      </c>
      <c r="C8" t="s">
        <v>3895</v>
      </c>
      <c r="D8" t="s">
        <v>8235</v>
      </c>
      <c r="E8" t="s">
        <v>3895</v>
      </c>
      <c r="F8" t="s">
        <v>8236</v>
      </c>
      <c r="G8" t="s">
        <v>5439</v>
      </c>
      <c r="H8" t="s">
        <v>8240</v>
      </c>
      <c r="I8" t="s">
        <v>8281</v>
      </c>
      <c r="J8" t="s">
        <v>8242</v>
      </c>
      <c r="K8">
        <v>3</v>
      </c>
      <c r="M8" t="s">
        <v>344</v>
      </c>
      <c r="N8" t="s">
        <v>8241</v>
      </c>
    </row>
    <row r="9" spans="1:14" x14ac:dyDescent="0.25">
      <c r="A9" t="s">
        <v>8292</v>
      </c>
      <c r="B9" t="s">
        <v>3499</v>
      </c>
      <c r="C9" t="s">
        <v>3740</v>
      </c>
      <c r="D9" t="s">
        <v>8288</v>
      </c>
      <c r="E9" t="s">
        <v>8261</v>
      </c>
      <c r="F9" t="s">
        <v>8236</v>
      </c>
      <c r="G9" t="s">
        <v>5446</v>
      </c>
      <c r="H9" t="s">
        <v>8301</v>
      </c>
      <c r="I9" t="s">
        <v>8315</v>
      </c>
      <c r="J9" t="s">
        <v>8289</v>
      </c>
      <c r="K9">
        <v>3</v>
      </c>
      <c r="L9" t="s">
        <v>8291</v>
      </c>
      <c r="M9" t="s">
        <v>2804</v>
      </c>
      <c r="N9" t="s">
        <v>8293</v>
      </c>
    </row>
    <row r="10" spans="1:14" x14ac:dyDescent="0.25">
      <c r="A10" t="s">
        <v>8302</v>
      </c>
      <c r="B10" t="s">
        <v>41</v>
      </c>
      <c r="C10" t="s">
        <v>3789</v>
      </c>
      <c r="D10" t="s">
        <v>8235</v>
      </c>
      <c r="E10" t="s">
        <v>8253</v>
      </c>
      <c r="F10" t="s">
        <v>8236</v>
      </c>
      <c r="G10" t="s">
        <v>5439</v>
      </c>
      <c r="H10" t="s">
        <v>3455</v>
      </c>
      <c r="J10" t="s">
        <v>8303</v>
      </c>
      <c r="K10">
        <v>3</v>
      </c>
      <c r="M10" t="s">
        <v>2804</v>
      </c>
      <c r="N10" t="s">
        <v>8302</v>
      </c>
    </row>
    <row r="11" spans="1:14" x14ac:dyDescent="0.25">
      <c r="A11" t="s">
        <v>8243</v>
      </c>
      <c r="B11" t="s">
        <v>41</v>
      </c>
      <c r="C11" t="s">
        <v>3895</v>
      </c>
      <c r="D11" t="s">
        <v>8235</v>
      </c>
      <c r="E11" t="s">
        <v>3895</v>
      </c>
      <c r="F11" t="s">
        <v>8236</v>
      </c>
      <c r="G11" t="s">
        <v>5439</v>
      </c>
      <c r="H11" t="s">
        <v>3455</v>
      </c>
      <c r="J11" t="s">
        <v>8245</v>
      </c>
      <c r="K11">
        <v>3</v>
      </c>
      <c r="L11" t="s">
        <v>3685</v>
      </c>
      <c r="M11" t="s">
        <v>344</v>
      </c>
      <c r="N11" t="s">
        <v>8244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6826</v>
      </c>
      <c r="C1" t="s">
        <v>6827</v>
      </c>
      <c r="D1" t="s">
        <v>8250</v>
      </c>
    </row>
    <row r="2" spans="1:4" x14ac:dyDescent="0.25">
      <c r="A2" t="s">
        <v>8252</v>
      </c>
      <c r="B2" t="s">
        <v>8231</v>
      </c>
      <c r="C2" t="s">
        <v>8258</v>
      </c>
      <c r="D2" t="s">
        <v>8259</v>
      </c>
    </row>
    <row r="3" spans="1:4" x14ac:dyDescent="0.25">
      <c r="A3" t="s">
        <v>8231</v>
      </c>
      <c r="B3" t="s">
        <v>8243</v>
      </c>
      <c r="C3" t="s">
        <v>8249</v>
      </c>
      <c r="D3" t="s">
        <v>8259</v>
      </c>
    </row>
    <row r="4" spans="1:4" x14ac:dyDescent="0.25">
      <c r="A4" t="s">
        <v>6829</v>
      </c>
      <c r="B4" t="s">
        <v>4690</v>
      </c>
      <c r="C4" t="s">
        <v>8264</v>
      </c>
      <c r="D4" t="s">
        <v>8263</v>
      </c>
    </row>
    <row r="5" spans="1:4" x14ac:dyDescent="0.25">
      <c r="A5" t="s">
        <v>8238</v>
      </c>
      <c r="B5" t="s">
        <v>8231</v>
      </c>
      <c r="C5" t="s">
        <v>8251</v>
      </c>
      <c r="D5" t="s">
        <v>8259</v>
      </c>
    </row>
    <row r="6" spans="1:4" x14ac:dyDescent="0.25">
      <c r="A6" t="s">
        <v>8292</v>
      </c>
      <c r="B6" t="s">
        <v>8287</v>
      </c>
      <c r="C6" t="s">
        <v>4586</v>
      </c>
      <c r="D6" t="s">
        <v>8263</v>
      </c>
    </row>
    <row r="7" spans="1:4" x14ac:dyDescent="0.25">
      <c r="A7" t="s">
        <v>8305</v>
      </c>
      <c r="B7" t="s">
        <v>8302</v>
      </c>
      <c r="C7" t="s">
        <v>8304</v>
      </c>
      <c r="D7" t="s">
        <v>8263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3732</v>
      </c>
      <c r="D1" t="s">
        <v>3450</v>
      </c>
      <c r="E1" t="s">
        <v>3493</v>
      </c>
      <c r="F1" t="s">
        <v>1</v>
      </c>
      <c r="G1" t="s">
        <v>7</v>
      </c>
    </row>
    <row r="2" spans="1:7" x14ac:dyDescent="0.25">
      <c r="A2" t="s">
        <v>7857</v>
      </c>
      <c r="B2" t="s">
        <v>41</v>
      </c>
      <c r="C2" t="s">
        <v>3784</v>
      </c>
      <c r="D2" t="s">
        <v>8229</v>
      </c>
      <c r="E2" t="s">
        <v>8282</v>
      </c>
      <c r="F2" t="s">
        <v>344</v>
      </c>
      <c r="G2" t="s">
        <v>7860</v>
      </c>
    </row>
    <row r="3" spans="1:7" x14ac:dyDescent="0.25">
      <c r="A3" t="s">
        <v>8205</v>
      </c>
      <c r="B3" t="s">
        <v>3499</v>
      </c>
      <c r="C3" t="s">
        <v>7894</v>
      </c>
      <c r="D3" t="s">
        <v>8230</v>
      </c>
      <c r="E3" t="s">
        <v>8283</v>
      </c>
      <c r="F3" t="s">
        <v>344</v>
      </c>
      <c r="G3" t="s">
        <v>8205</v>
      </c>
    </row>
    <row r="4" spans="1:7" x14ac:dyDescent="0.25">
      <c r="A4" t="s">
        <v>8196</v>
      </c>
      <c r="B4" t="s">
        <v>41</v>
      </c>
      <c r="C4" t="s">
        <v>3789</v>
      </c>
      <c r="D4" t="s">
        <v>3455</v>
      </c>
      <c r="E4" t="s">
        <v>3455</v>
      </c>
      <c r="F4" t="s">
        <v>344</v>
      </c>
      <c r="G4" t="s">
        <v>8197</v>
      </c>
    </row>
    <row r="5" spans="1:7" x14ac:dyDescent="0.25">
      <c r="A5" t="s">
        <v>8190</v>
      </c>
      <c r="B5" t="s">
        <v>3499</v>
      </c>
      <c r="C5" t="s">
        <v>8192</v>
      </c>
      <c r="D5" t="s">
        <v>8193</v>
      </c>
      <c r="E5" t="s">
        <v>8198</v>
      </c>
      <c r="F5" t="s">
        <v>344</v>
      </c>
      <c r="G5" t="s">
        <v>8194</v>
      </c>
    </row>
    <row r="6" spans="1:7" x14ac:dyDescent="0.25">
      <c r="A6" t="s">
        <v>8191</v>
      </c>
      <c r="B6" t="s">
        <v>3511</v>
      </c>
      <c r="C6" t="s">
        <v>3740</v>
      </c>
      <c r="D6" t="s">
        <v>7464</v>
      </c>
      <c r="E6" t="s">
        <v>3507</v>
      </c>
      <c r="F6" t="s">
        <v>344</v>
      </c>
      <c r="G6" t="s">
        <v>8195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3737</v>
      </c>
      <c r="D1" t="s">
        <v>7</v>
      </c>
      <c r="E1" t="s">
        <v>6</v>
      </c>
      <c r="F1" t="s">
        <v>4228</v>
      </c>
      <c r="G1" t="s">
        <v>4229</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4230</v>
      </c>
      <c r="B2" t="s">
        <v>160</v>
      </c>
      <c r="C2" t="s">
        <v>4231</v>
      </c>
      <c r="D2" t="s">
        <v>4232</v>
      </c>
      <c r="E2" t="s">
        <v>41</v>
      </c>
      <c r="L2" t="s">
        <v>4233</v>
      </c>
      <c r="N2" t="s">
        <v>4234</v>
      </c>
      <c r="O2" t="s">
        <v>49</v>
      </c>
      <c r="Q2" t="s">
        <v>4235</v>
      </c>
      <c r="R2" t="s">
        <v>3535</v>
      </c>
      <c r="U2" t="s">
        <v>4236</v>
      </c>
    </row>
    <row r="3" spans="1:37" x14ac:dyDescent="0.25">
      <c r="A3" t="s">
        <v>4237</v>
      </c>
      <c r="B3" t="s">
        <v>2619</v>
      </c>
      <c r="C3" t="s">
        <v>4231</v>
      </c>
      <c r="D3" t="s">
        <v>4238</v>
      </c>
      <c r="E3" t="s">
        <v>41</v>
      </c>
      <c r="G3" t="s">
        <v>187</v>
      </c>
      <c r="N3" t="s">
        <v>4239</v>
      </c>
      <c r="O3" t="s">
        <v>49</v>
      </c>
      <c r="Q3" t="s">
        <v>4240</v>
      </c>
      <c r="R3" t="s">
        <v>3535</v>
      </c>
      <c r="U3" t="s">
        <v>4241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4242</v>
      </c>
      <c r="B1" t="s">
        <v>1</v>
      </c>
      <c r="C1" t="s">
        <v>4243</v>
      </c>
      <c r="D1" t="s">
        <v>4244</v>
      </c>
      <c r="E1" t="s">
        <v>4245</v>
      </c>
      <c r="F1" t="s">
        <v>7</v>
      </c>
    </row>
    <row r="2" spans="1:6" x14ac:dyDescent="0.25">
      <c r="A2" t="s">
        <v>4246</v>
      </c>
      <c r="B2" t="s">
        <v>90</v>
      </c>
      <c r="C2" t="s">
        <v>4247</v>
      </c>
      <c r="D2" t="s">
        <v>4248</v>
      </c>
      <c r="E2" t="s">
        <v>3455</v>
      </c>
      <c r="F2" t="s">
        <v>4249</v>
      </c>
    </row>
    <row r="3" spans="1:6" x14ac:dyDescent="0.25">
      <c r="A3" t="s">
        <v>4250</v>
      </c>
      <c r="B3" t="s">
        <v>38</v>
      </c>
      <c r="C3" t="s">
        <v>4251</v>
      </c>
      <c r="D3" t="s">
        <v>4248</v>
      </c>
      <c r="E3">
        <v>3</v>
      </c>
      <c r="F3" t="s">
        <v>4250</v>
      </c>
    </row>
    <row r="4" spans="1:6" x14ac:dyDescent="0.25">
      <c r="A4" t="s">
        <v>4252</v>
      </c>
      <c r="B4" t="s">
        <v>38</v>
      </c>
      <c r="C4" t="s">
        <v>4253</v>
      </c>
      <c r="D4" t="s">
        <v>4248</v>
      </c>
      <c r="E4">
        <v>3</v>
      </c>
      <c r="F4" t="s">
        <v>4254</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4255</v>
      </c>
      <c r="E1" t="s">
        <v>4256</v>
      </c>
      <c r="F1" t="s">
        <v>4257</v>
      </c>
    </row>
    <row r="2" spans="1:6" x14ac:dyDescent="0.25">
      <c r="A2" t="s">
        <v>4258</v>
      </c>
      <c r="B2" t="s">
        <v>4259</v>
      </c>
      <c r="C2" t="s">
        <v>4260</v>
      </c>
      <c r="E2" t="s">
        <v>4261</v>
      </c>
      <c r="F2" t="s">
        <v>4258</v>
      </c>
    </row>
    <row r="3" spans="1:6" x14ac:dyDescent="0.25">
      <c r="A3" t="s">
        <v>7609</v>
      </c>
      <c r="B3" t="s">
        <v>7612</v>
      </c>
      <c r="C3" t="s">
        <v>7640</v>
      </c>
      <c r="E3" t="s">
        <v>7613</v>
      </c>
      <c r="F3" t="s">
        <v>7609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4255</v>
      </c>
      <c r="F1" t="s">
        <v>3438</v>
      </c>
      <c r="G1" t="s">
        <v>4257</v>
      </c>
    </row>
    <row r="2" spans="1:7" x14ac:dyDescent="0.25">
      <c r="A2" t="s">
        <v>4262</v>
      </c>
      <c r="B2" t="s">
        <v>4263</v>
      </c>
      <c r="C2" t="s">
        <v>4264</v>
      </c>
      <c r="D2" t="s">
        <v>4265</v>
      </c>
      <c r="E2" t="s">
        <v>4266</v>
      </c>
      <c r="F2">
        <v>1</v>
      </c>
      <c r="G2" t="s">
        <v>4262</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3735</v>
      </c>
      <c r="B1" t="s">
        <v>167</v>
      </c>
      <c r="C1" t="s">
        <v>3731</v>
      </c>
      <c r="D1" t="s">
        <v>8026</v>
      </c>
      <c r="E1" t="s">
        <v>8027</v>
      </c>
      <c r="F1" t="s">
        <v>8028</v>
      </c>
      <c r="G1" t="s">
        <v>8029</v>
      </c>
      <c r="H1" t="s">
        <v>8052</v>
      </c>
      <c r="I1" t="s">
        <v>8030</v>
      </c>
      <c r="J1" t="s">
        <v>170</v>
      </c>
    </row>
    <row r="2" spans="1:10" x14ac:dyDescent="0.25">
      <c r="A2" t="s">
        <v>3893</v>
      </c>
      <c r="B2" t="s">
        <v>3835</v>
      </c>
      <c r="C2" t="s">
        <v>3739</v>
      </c>
      <c r="D2" t="s">
        <v>8033</v>
      </c>
      <c r="E2" t="s">
        <v>3892</v>
      </c>
      <c r="G2" t="s">
        <v>8032</v>
      </c>
      <c r="H2" t="s">
        <v>8053</v>
      </c>
    </row>
    <row r="3" spans="1:10" x14ac:dyDescent="0.25">
      <c r="A3" t="s">
        <v>3483</v>
      </c>
      <c r="D3" t="s">
        <v>8041</v>
      </c>
      <c r="E3" t="s">
        <v>3482</v>
      </c>
      <c r="G3" t="s">
        <v>8032</v>
      </c>
      <c r="H3" t="s">
        <v>8054</v>
      </c>
    </row>
    <row r="4" spans="1:10" x14ac:dyDescent="0.25">
      <c r="A4" t="s">
        <v>7879</v>
      </c>
      <c r="B4" t="s">
        <v>3748</v>
      </c>
      <c r="C4" t="s">
        <v>3773</v>
      </c>
      <c r="D4" t="s">
        <v>8033</v>
      </c>
      <c r="E4" t="s">
        <v>7878</v>
      </c>
      <c r="G4" t="s">
        <v>8032</v>
      </c>
      <c r="H4" t="s">
        <v>8053</v>
      </c>
    </row>
    <row r="5" spans="1:10" x14ac:dyDescent="0.25">
      <c r="A5" t="s">
        <v>8050</v>
      </c>
      <c r="D5" t="s">
        <v>6456</v>
      </c>
      <c r="E5" t="s">
        <v>5148</v>
      </c>
      <c r="F5" t="s">
        <v>8043</v>
      </c>
      <c r="G5" t="s">
        <v>8044</v>
      </c>
      <c r="H5" t="s">
        <v>8054</v>
      </c>
    </row>
    <row r="6" spans="1:10" x14ac:dyDescent="0.25">
      <c r="A6" t="s">
        <v>8051</v>
      </c>
      <c r="D6" t="s">
        <v>6456</v>
      </c>
      <c r="E6" t="s">
        <v>3999</v>
      </c>
      <c r="F6" t="s">
        <v>8043</v>
      </c>
      <c r="G6" t="s">
        <v>8044</v>
      </c>
      <c r="H6" t="s">
        <v>8054</v>
      </c>
    </row>
    <row r="7" spans="1:10" x14ac:dyDescent="0.25">
      <c r="A7" t="s">
        <v>3929</v>
      </c>
      <c r="B7" t="s">
        <v>3829</v>
      </c>
      <c r="C7" t="s">
        <v>3787</v>
      </c>
      <c r="D7" t="s">
        <v>8033</v>
      </c>
      <c r="E7" t="s">
        <v>3928</v>
      </c>
      <c r="G7" t="s">
        <v>8032</v>
      </c>
      <c r="H7" t="s">
        <v>8054</v>
      </c>
    </row>
    <row r="8" spans="1:10" x14ac:dyDescent="0.25">
      <c r="A8" t="s">
        <v>8080</v>
      </c>
      <c r="D8" t="s">
        <v>6456</v>
      </c>
      <c r="E8" t="s">
        <v>3988</v>
      </c>
      <c r="F8" t="s">
        <v>8043</v>
      </c>
      <c r="G8" t="s">
        <v>8044</v>
      </c>
      <c r="H8" t="s">
        <v>8054</v>
      </c>
    </row>
    <row r="9" spans="1:10" x14ac:dyDescent="0.25">
      <c r="A9" t="s">
        <v>3951</v>
      </c>
      <c r="B9" t="s">
        <v>3752</v>
      </c>
      <c r="C9" t="s">
        <v>3773</v>
      </c>
      <c r="D9" t="s">
        <v>8033</v>
      </c>
      <c r="E9" t="s">
        <v>3950</v>
      </c>
      <c r="G9" t="s">
        <v>8032</v>
      </c>
      <c r="H9" t="s">
        <v>8053</v>
      </c>
    </row>
    <row r="10" spans="1:10" x14ac:dyDescent="0.25">
      <c r="A10" t="s">
        <v>3875</v>
      </c>
      <c r="B10" t="s">
        <v>3748</v>
      </c>
      <c r="C10" t="s">
        <v>3773</v>
      </c>
      <c r="D10" t="s">
        <v>8031</v>
      </c>
      <c r="E10" t="s">
        <v>3874</v>
      </c>
      <c r="G10" t="s">
        <v>8032</v>
      </c>
      <c r="H10" t="s">
        <v>8053</v>
      </c>
    </row>
    <row r="11" spans="1:10" x14ac:dyDescent="0.25">
      <c r="A11" t="s">
        <v>3877</v>
      </c>
      <c r="B11" t="s">
        <v>3748</v>
      </c>
      <c r="C11" t="s">
        <v>3787</v>
      </c>
      <c r="D11" t="s">
        <v>8031</v>
      </c>
      <c r="E11" t="s">
        <v>3876</v>
      </c>
      <c r="G11" t="s">
        <v>8032</v>
      </c>
      <c r="H11" t="s">
        <v>8053</v>
      </c>
    </row>
    <row r="12" spans="1:10" x14ac:dyDescent="0.25">
      <c r="A12" t="s">
        <v>3855</v>
      </c>
      <c r="B12" t="s">
        <v>3748</v>
      </c>
      <c r="C12" t="s">
        <v>3773</v>
      </c>
      <c r="D12" t="s">
        <v>8031</v>
      </c>
      <c r="E12" t="s">
        <v>3854</v>
      </c>
      <c r="G12" t="s">
        <v>8032</v>
      </c>
      <c r="H12" t="s">
        <v>8053</v>
      </c>
    </row>
    <row r="13" spans="1:10" x14ac:dyDescent="0.25">
      <c r="A13" t="s">
        <v>3901</v>
      </c>
      <c r="B13" t="s">
        <v>3748</v>
      </c>
      <c r="C13" t="s">
        <v>3773</v>
      </c>
      <c r="D13" t="s">
        <v>8033</v>
      </c>
      <c r="E13" t="s">
        <v>3900</v>
      </c>
      <c r="G13" t="s">
        <v>8032</v>
      </c>
      <c r="H13" t="s">
        <v>8053</v>
      </c>
    </row>
    <row r="14" spans="1:10" x14ac:dyDescent="0.25">
      <c r="A14" t="s">
        <v>7431</v>
      </c>
      <c r="B14" t="s">
        <v>3748</v>
      </c>
      <c r="C14" t="s">
        <v>3787</v>
      </c>
      <c r="D14" t="s">
        <v>8031</v>
      </c>
      <c r="E14" t="s">
        <v>3786</v>
      </c>
      <c r="G14" t="s">
        <v>8032</v>
      </c>
      <c r="H14" t="s">
        <v>8053</v>
      </c>
    </row>
    <row r="15" spans="1:10" x14ac:dyDescent="0.25">
      <c r="A15" t="s">
        <v>3850</v>
      </c>
      <c r="B15" t="s">
        <v>3748</v>
      </c>
      <c r="C15" t="s">
        <v>3773</v>
      </c>
      <c r="D15" t="s">
        <v>8031</v>
      </c>
      <c r="E15" t="s">
        <v>3849</v>
      </c>
      <c r="G15" t="s">
        <v>8032</v>
      </c>
      <c r="H15" t="s">
        <v>8053</v>
      </c>
    </row>
    <row r="16" spans="1:10" x14ac:dyDescent="0.25">
      <c r="A16" t="s">
        <v>3898</v>
      </c>
      <c r="B16" t="s">
        <v>3748</v>
      </c>
      <c r="C16" t="s">
        <v>3773</v>
      </c>
      <c r="D16" t="s">
        <v>8033</v>
      </c>
      <c r="E16" t="s">
        <v>3897</v>
      </c>
      <c r="G16" t="s">
        <v>8032</v>
      </c>
      <c r="H16" t="s">
        <v>8053</v>
      </c>
    </row>
    <row r="17" spans="1:9" x14ac:dyDescent="0.25">
      <c r="A17" t="s">
        <v>3858</v>
      </c>
      <c r="B17" t="s">
        <v>3748</v>
      </c>
      <c r="C17" t="s">
        <v>3773</v>
      </c>
      <c r="D17" t="s">
        <v>8031</v>
      </c>
      <c r="E17" t="s">
        <v>3857</v>
      </c>
      <c r="G17" t="s">
        <v>8032</v>
      </c>
      <c r="H17" t="s">
        <v>8053</v>
      </c>
    </row>
    <row r="18" spans="1:9" x14ac:dyDescent="0.25">
      <c r="A18" t="s">
        <v>8060</v>
      </c>
      <c r="D18" t="s">
        <v>8041</v>
      </c>
      <c r="E18" t="s">
        <v>3469</v>
      </c>
      <c r="G18" t="s">
        <v>8032</v>
      </c>
      <c r="H18" t="s">
        <v>8054</v>
      </c>
    </row>
    <row r="19" spans="1:9" x14ac:dyDescent="0.25">
      <c r="A19" t="s">
        <v>3921</v>
      </c>
      <c r="B19" t="s">
        <v>3741</v>
      </c>
      <c r="C19" t="s">
        <v>3773</v>
      </c>
      <c r="D19" t="s">
        <v>8033</v>
      </c>
      <c r="E19" t="s">
        <v>8034</v>
      </c>
      <c r="G19" t="s">
        <v>8032</v>
      </c>
      <c r="H19" t="s">
        <v>8053</v>
      </c>
    </row>
    <row r="20" spans="1:9" x14ac:dyDescent="0.25">
      <c r="A20" t="s">
        <v>8061</v>
      </c>
      <c r="D20" t="s">
        <v>8041</v>
      </c>
      <c r="E20" t="s">
        <v>3472</v>
      </c>
      <c r="G20" t="s">
        <v>8032</v>
      </c>
      <c r="H20" t="s">
        <v>8054</v>
      </c>
    </row>
    <row r="21" spans="1:9" x14ac:dyDescent="0.25">
      <c r="A21" t="s">
        <v>3831</v>
      </c>
      <c r="B21" t="s">
        <v>3748</v>
      </c>
      <c r="C21" t="s">
        <v>3773</v>
      </c>
      <c r="D21" t="s">
        <v>8031</v>
      </c>
      <c r="E21" t="s">
        <v>3830</v>
      </c>
      <c r="G21" t="s">
        <v>8032</v>
      </c>
      <c r="H21" t="s">
        <v>8053</v>
      </c>
    </row>
    <row r="22" spans="1:9" x14ac:dyDescent="0.25">
      <c r="A22" t="s">
        <v>3891</v>
      </c>
      <c r="B22" t="s">
        <v>3752</v>
      </c>
      <c r="C22" t="s">
        <v>3739</v>
      </c>
      <c r="D22" t="s">
        <v>8033</v>
      </c>
      <c r="E22" t="s">
        <v>3890</v>
      </c>
      <c r="G22" t="s">
        <v>8032</v>
      </c>
      <c r="H22" t="s">
        <v>8053</v>
      </c>
    </row>
    <row r="23" spans="1:9" x14ac:dyDescent="0.25">
      <c r="A23" t="s">
        <v>8056</v>
      </c>
      <c r="B23" t="s">
        <v>3741</v>
      </c>
      <c r="C23" t="s">
        <v>3739</v>
      </c>
      <c r="D23" t="s">
        <v>8031</v>
      </c>
      <c r="E23" t="s">
        <v>3738</v>
      </c>
      <c r="G23" t="s">
        <v>8032</v>
      </c>
      <c r="H23" t="s">
        <v>8053</v>
      </c>
      <c r="I23">
        <v>3</v>
      </c>
    </row>
    <row r="24" spans="1:9" x14ac:dyDescent="0.25">
      <c r="A24" t="s">
        <v>8057</v>
      </c>
      <c r="B24" t="s">
        <v>3741</v>
      </c>
      <c r="C24" t="s">
        <v>3739</v>
      </c>
      <c r="D24" t="s">
        <v>8031</v>
      </c>
      <c r="E24" t="s">
        <v>3839</v>
      </c>
      <c r="G24" t="s">
        <v>8032</v>
      </c>
      <c r="H24" t="s">
        <v>8053</v>
      </c>
      <c r="I24">
        <v>3</v>
      </c>
    </row>
    <row r="25" spans="1:9" x14ac:dyDescent="0.25">
      <c r="A25" t="s">
        <v>8055</v>
      </c>
      <c r="B25" t="s">
        <v>3741</v>
      </c>
      <c r="C25" t="s">
        <v>3773</v>
      </c>
      <c r="D25" t="s">
        <v>8031</v>
      </c>
      <c r="E25" t="s">
        <v>3772</v>
      </c>
      <c r="G25" t="s">
        <v>8032</v>
      </c>
      <c r="H25" t="s">
        <v>8053</v>
      </c>
      <c r="I25">
        <v>5</v>
      </c>
    </row>
    <row r="26" spans="1:9" x14ac:dyDescent="0.25">
      <c r="A26" t="s">
        <v>8058</v>
      </c>
      <c r="B26" t="s">
        <v>3741</v>
      </c>
      <c r="C26" t="s">
        <v>3739</v>
      </c>
      <c r="D26" t="s">
        <v>8031</v>
      </c>
      <c r="E26" t="s">
        <v>3766</v>
      </c>
      <c r="G26" t="s">
        <v>8032</v>
      </c>
      <c r="H26" t="s">
        <v>8053</v>
      </c>
      <c r="I26">
        <v>3</v>
      </c>
    </row>
    <row r="27" spans="1:9" x14ac:dyDescent="0.25">
      <c r="A27" t="s">
        <v>3935</v>
      </c>
      <c r="B27" t="s">
        <v>3741</v>
      </c>
      <c r="C27" t="s">
        <v>3739</v>
      </c>
      <c r="D27" t="s">
        <v>8033</v>
      </c>
      <c r="E27" t="s">
        <v>3934</v>
      </c>
      <c r="G27" t="s">
        <v>8032</v>
      </c>
      <c r="H27" t="s">
        <v>8053</v>
      </c>
    </row>
    <row r="28" spans="1:9" x14ac:dyDescent="0.25">
      <c r="A28" t="s">
        <v>3775</v>
      </c>
      <c r="B28" t="s">
        <v>3741</v>
      </c>
      <c r="C28" t="s">
        <v>3773</v>
      </c>
      <c r="D28" t="s">
        <v>8031</v>
      </c>
      <c r="E28" t="s">
        <v>3774</v>
      </c>
      <c r="G28" t="s">
        <v>8032</v>
      </c>
      <c r="H28" t="s">
        <v>8053</v>
      </c>
    </row>
    <row r="29" spans="1:9" x14ac:dyDescent="0.25">
      <c r="A29" t="s">
        <v>3946</v>
      </c>
      <c r="B29" t="s">
        <v>3741</v>
      </c>
      <c r="C29" t="s">
        <v>3739</v>
      </c>
      <c r="D29" t="s">
        <v>8033</v>
      </c>
      <c r="E29" t="s">
        <v>3945</v>
      </c>
      <c r="G29" t="s">
        <v>8032</v>
      </c>
      <c r="H29" t="s">
        <v>8053</v>
      </c>
    </row>
    <row r="30" spans="1:9" x14ac:dyDescent="0.25">
      <c r="A30" t="s">
        <v>7976</v>
      </c>
      <c r="B30" t="s">
        <v>3741</v>
      </c>
      <c r="C30" t="s">
        <v>3739</v>
      </c>
      <c r="D30" t="s">
        <v>8031</v>
      </c>
      <c r="E30" t="s">
        <v>5079</v>
      </c>
      <c r="G30" t="s">
        <v>8032</v>
      </c>
      <c r="H30" t="s">
        <v>8053</v>
      </c>
    </row>
    <row r="31" spans="1:9" x14ac:dyDescent="0.25">
      <c r="A31" t="s">
        <v>3790</v>
      </c>
      <c r="B31" t="s">
        <v>3741</v>
      </c>
      <c r="C31" t="s">
        <v>3787</v>
      </c>
      <c r="D31" t="s">
        <v>8031</v>
      </c>
      <c r="E31" t="s">
        <v>3788</v>
      </c>
      <c r="G31" t="s">
        <v>8032</v>
      </c>
      <c r="H31" t="s">
        <v>8053</v>
      </c>
    </row>
    <row r="32" spans="1:9" x14ac:dyDescent="0.25">
      <c r="A32" t="s">
        <v>3908</v>
      </c>
      <c r="B32" t="s">
        <v>3741</v>
      </c>
      <c r="C32" t="s">
        <v>3907</v>
      </c>
      <c r="D32" t="s">
        <v>8033</v>
      </c>
      <c r="E32" t="s">
        <v>3906</v>
      </c>
      <c r="G32" t="s">
        <v>8032</v>
      </c>
      <c r="H32" t="s">
        <v>8053</v>
      </c>
    </row>
    <row r="33" spans="1:9" x14ac:dyDescent="0.25">
      <c r="A33" t="s">
        <v>7682</v>
      </c>
      <c r="B33" t="s">
        <v>3741</v>
      </c>
      <c r="C33" t="s">
        <v>3773</v>
      </c>
      <c r="D33" t="s">
        <v>8031</v>
      </c>
      <c r="E33" t="s">
        <v>7681</v>
      </c>
      <c r="G33" t="s">
        <v>8032</v>
      </c>
      <c r="H33" t="s">
        <v>8053</v>
      </c>
    </row>
    <row r="34" spans="1:9" x14ac:dyDescent="0.25">
      <c r="A34" t="s">
        <v>3852</v>
      </c>
      <c r="B34" t="s">
        <v>3741</v>
      </c>
      <c r="C34" t="s">
        <v>3773</v>
      </c>
      <c r="D34" t="s">
        <v>8031</v>
      </c>
      <c r="E34" t="s">
        <v>3851</v>
      </c>
      <c r="G34" t="s">
        <v>8032</v>
      </c>
      <c r="H34" t="s">
        <v>8053</v>
      </c>
    </row>
    <row r="35" spans="1:9" x14ac:dyDescent="0.25">
      <c r="A35" t="s">
        <v>8039</v>
      </c>
      <c r="B35" t="s">
        <v>3741</v>
      </c>
      <c r="C35" t="s">
        <v>3773</v>
      </c>
      <c r="D35" t="s">
        <v>8033</v>
      </c>
      <c r="E35" t="s">
        <v>7426</v>
      </c>
      <c r="F35" t="s">
        <v>8040</v>
      </c>
      <c r="G35" t="s">
        <v>8032</v>
      </c>
      <c r="H35" t="s">
        <v>8053</v>
      </c>
    </row>
    <row r="36" spans="1:9" x14ac:dyDescent="0.25">
      <c r="A36" t="s">
        <v>7968</v>
      </c>
      <c r="B36" t="s">
        <v>3741</v>
      </c>
      <c r="C36" t="s">
        <v>3787</v>
      </c>
      <c r="D36" t="s">
        <v>8031</v>
      </c>
      <c r="E36" t="s">
        <v>7965</v>
      </c>
      <c r="G36" t="s">
        <v>8032</v>
      </c>
      <c r="H36" t="s">
        <v>8053</v>
      </c>
    </row>
    <row r="37" spans="1:9" x14ac:dyDescent="0.25">
      <c r="A37" t="s">
        <v>3764</v>
      </c>
      <c r="B37" t="s">
        <v>3741</v>
      </c>
      <c r="C37" t="s">
        <v>3739</v>
      </c>
      <c r="D37" t="s">
        <v>8031</v>
      </c>
      <c r="E37" t="s">
        <v>3763</v>
      </c>
      <c r="G37" t="s">
        <v>8032</v>
      </c>
      <c r="H37" t="s">
        <v>8053</v>
      </c>
    </row>
    <row r="38" spans="1:9" x14ac:dyDescent="0.25">
      <c r="A38" t="s">
        <v>8047</v>
      </c>
      <c r="B38" t="s">
        <v>3741</v>
      </c>
      <c r="C38" t="s">
        <v>3773</v>
      </c>
      <c r="D38" t="s">
        <v>8031</v>
      </c>
      <c r="E38" t="s">
        <v>3783</v>
      </c>
      <c r="G38" t="s">
        <v>8032</v>
      </c>
      <c r="H38" t="s">
        <v>8053</v>
      </c>
      <c r="I38">
        <v>2</v>
      </c>
    </row>
    <row r="39" spans="1:9" x14ac:dyDescent="0.25">
      <c r="A39" t="s">
        <v>8048</v>
      </c>
      <c r="B39" t="s">
        <v>3741</v>
      </c>
      <c r="C39" t="s">
        <v>3787</v>
      </c>
      <c r="D39" t="s">
        <v>8031</v>
      </c>
      <c r="E39" t="s">
        <v>3796</v>
      </c>
      <c r="G39" t="s">
        <v>8032</v>
      </c>
      <c r="H39" t="s">
        <v>8053</v>
      </c>
      <c r="I39">
        <v>3</v>
      </c>
    </row>
    <row r="40" spans="1:9" x14ac:dyDescent="0.25">
      <c r="A40" t="s">
        <v>3758</v>
      </c>
      <c r="B40" t="s">
        <v>3741</v>
      </c>
      <c r="C40" t="s">
        <v>3739</v>
      </c>
      <c r="D40" t="s">
        <v>8031</v>
      </c>
      <c r="E40" t="s">
        <v>3757</v>
      </c>
      <c r="G40" t="s">
        <v>8032</v>
      </c>
      <c r="H40" t="s">
        <v>8053</v>
      </c>
    </row>
    <row r="41" spans="1:9" x14ac:dyDescent="0.25">
      <c r="A41" t="s">
        <v>3769</v>
      </c>
      <c r="B41" t="s">
        <v>3741</v>
      </c>
      <c r="C41" t="s">
        <v>3739</v>
      </c>
      <c r="D41" t="s">
        <v>8031</v>
      </c>
      <c r="E41" t="s">
        <v>3768</v>
      </c>
      <c r="G41" t="s">
        <v>8032</v>
      </c>
      <c r="H41" t="s">
        <v>8053</v>
      </c>
    </row>
    <row r="42" spans="1:9" x14ac:dyDescent="0.25">
      <c r="A42" t="s">
        <v>3881</v>
      </c>
      <c r="B42" t="s">
        <v>3741</v>
      </c>
      <c r="C42" t="s">
        <v>3739</v>
      </c>
      <c r="D42" t="s">
        <v>8033</v>
      </c>
      <c r="E42" t="s">
        <v>3880</v>
      </c>
      <c r="G42" t="s">
        <v>8032</v>
      </c>
      <c r="H42" t="s">
        <v>8053</v>
      </c>
    </row>
    <row r="43" spans="1:9" x14ac:dyDescent="0.25">
      <c r="A43" t="s">
        <v>7963</v>
      </c>
      <c r="B43" t="s">
        <v>3741</v>
      </c>
      <c r="C43" t="s">
        <v>3907</v>
      </c>
      <c r="D43" t="s">
        <v>8031</v>
      </c>
      <c r="E43" t="s">
        <v>7962</v>
      </c>
      <c r="G43" t="s">
        <v>8032</v>
      </c>
      <c r="H43" t="s">
        <v>8053</v>
      </c>
    </row>
    <row r="44" spans="1:9" x14ac:dyDescent="0.25">
      <c r="A44" t="s">
        <v>3745</v>
      </c>
      <c r="B44" t="s">
        <v>3741</v>
      </c>
      <c r="C44" t="s">
        <v>3739</v>
      </c>
      <c r="D44" t="s">
        <v>8031</v>
      </c>
      <c r="E44" t="s">
        <v>3744</v>
      </c>
      <c r="G44" t="s">
        <v>8032</v>
      </c>
      <c r="H44" t="s">
        <v>8053</v>
      </c>
    </row>
    <row r="45" spans="1:9" x14ac:dyDescent="0.25">
      <c r="A45" t="s">
        <v>7679</v>
      </c>
      <c r="B45" t="s">
        <v>3741</v>
      </c>
      <c r="C45" t="s">
        <v>3739</v>
      </c>
      <c r="D45" t="s">
        <v>8031</v>
      </c>
      <c r="E45" t="s">
        <v>7678</v>
      </c>
      <c r="G45" t="s">
        <v>8032</v>
      </c>
      <c r="H45" t="s">
        <v>8053</v>
      </c>
    </row>
    <row r="46" spans="1:9" x14ac:dyDescent="0.25">
      <c r="A46" t="s">
        <v>3826</v>
      </c>
      <c r="B46" t="s">
        <v>3741</v>
      </c>
      <c r="C46" t="s">
        <v>3773</v>
      </c>
      <c r="D46" t="s">
        <v>8031</v>
      </c>
      <c r="E46" t="s">
        <v>3825</v>
      </c>
      <c r="G46" t="s">
        <v>8032</v>
      </c>
      <c r="H46" t="s">
        <v>8053</v>
      </c>
    </row>
    <row r="47" spans="1:9" x14ac:dyDescent="0.25">
      <c r="A47" t="s">
        <v>3822</v>
      </c>
      <c r="B47" t="s">
        <v>3741</v>
      </c>
      <c r="C47" t="s">
        <v>3739</v>
      </c>
      <c r="D47" t="s">
        <v>8031</v>
      </c>
      <c r="E47" t="s">
        <v>3821</v>
      </c>
      <c r="G47" t="s">
        <v>8032</v>
      </c>
      <c r="H47" t="s">
        <v>8053</v>
      </c>
    </row>
    <row r="48" spans="1:9" x14ac:dyDescent="0.25">
      <c r="A48" t="s">
        <v>3781</v>
      </c>
      <c r="B48" t="s">
        <v>3741</v>
      </c>
      <c r="C48" t="s">
        <v>3773</v>
      </c>
      <c r="D48" t="s">
        <v>8031</v>
      </c>
      <c r="E48" t="s">
        <v>3780</v>
      </c>
      <c r="G48" t="s">
        <v>8032</v>
      </c>
      <c r="H48" t="s">
        <v>8053</v>
      </c>
    </row>
    <row r="49" spans="1:8" x14ac:dyDescent="0.25">
      <c r="A49" t="s">
        <v>7437</v>
      </c>
      <c r="B49" t="s">
        <v>3741</v>
      </c>
      <c r="C49" t="s">
        <v>3739</v>
      </c>
      <c r="D49" t="s">
        <v>8031</v>
      </c>
      <c r="E49" t="s">
        <v>7436</v>
      </c>
      <c r="G49" t="s">
        <v>8032</v>
      </c>
      <c r="H49" t="s">
        <v>8053</v>
      </c>
    </row>
    <row r="50" spans="1:8" x14ac:dyDescent="0.25">
      <c r="A50" t="s">
        <v>3888</v>
      </c>
      <c r="B50" t="s">
        <v>3741</v>
      </c>
      <c r="C50" t="s">
        <v>3739</v>
      </c>
      <c r="D50" t="s">
        <v>8033</v>
      </c>
      <c r="E50" t="s">
        <v>3887</v>
      </c>
      <c r="G50" t="s">
        <v>8032</v>
      </c>
      <c r="H50" t="s">
        <v>8053</v>
      </c>
    </row>
    <row r="51" spans="1:8" x14ac:dyDescent="0.25">
      <c r="A51" t="s">
        <v>3905</v>
      </c>
      <c r="B51" t="s">
        <v>3741</v>
      </c>
      <c r="C51" t="s">
        <v>3787</v>
      </c>
      <c r="D51" t="s">
        <v>8033</v>
      </c>
      <c r="E51" t="s">
        <v>3465</v>
      </c>
      <c r="G51" t="s">
        <v>8032</v>
      </c>
      <c r="H51" t="s">
        <v>8053</v>
      </c>
    </row>
    <row r="52" spans="1:8" x14ac:dyDescent="0.25">
      <c r="A52" t="s">
        <v>7693</v>
      </c>
      <c r="B52" t="s">
        <v>3748</v>
      </c>
      <c r="C52" t="s">
        <v>3739</v>
      </c>
      <c r="D52" t="s">
        <v>8031</v>
      </c>
      <c r="E52" t="s">
        <v>7692</v>
      </c>
      <c r="G52" t="s">
        <v>8032</v>
      </c>
      <c r="H52" t="s">
        <v>8053</v>
      </c>
    </row>
    <row r="53" spans="1:8" x14ac:dyDescent="0.25">
      <c r="A53" t="s">
        <v>7354</v>
      </c>
      <c r="B53" t="s">
        <v>3748</v>
      </c>
      <c r="C53" t="s">
        <v>3739</v>
      </c>
      <c r="D53" t="s">
        <v>8031</v>
      </c>
      <c r="E53" t="s">
        <v>7353</v>
      </c>
      <c r="G53" t="s">
        <v>8032</v>
      </c>
      <c r="H53" t="s">
        <v>8053</v>
      </c>
    </row>
    <row r="54" spans="1:8" x14ac:dyDescent="0.25">
      <c r="A54" t="s">
        <v>7892</v>
      </c>
      <c r="B54" t="s">
        <v>3748</v>
      </c>
      <c r="C54" t="s">
        <v>3773</v>
      </c>
      <c r="D54" t="s">
        <v>8033</v>
      </c>
      <c r="E54" t="s">
        <v>7893</v>
      </c>
      <c r="G54" t="s">
        <v>8032</v>
      </c>
      <c r="H54" t="s">
        <v>8053</v>
      </c>
    </row>
    <row r="55" spans="1:8" x14ac:dyDescent="0.25">
      <c r="A55" t="s">
        <v>3755</v>
      </c>
      <c r="B55" t="s">
        <v>3748</v>
      </c>
      <c r="C55" t="s">
        <v>3739</v>
      </c>
      <c r="D55" t="s">
        <v>8031</v>
      </c>
      <c r="E55" t="s">
        <v>3754</v>
      </c>
      <c r="G55" t="s">
        <v>8032</v>
      </c>
      <c r="H55" t="s">
        <v>8053</v>
      </c>
    </row>
    <row r="56" spans="1:8" x14ac:dyDescent="0.25">
      <c r="A56" t="s">
        <v>3838</v>
      </c>
      <c r="B56" t="s">
        <v>3741</v>
      </c>
      <c r="C56" t="s">
        <v>3739</v>
      </c>
      <c r="D56" t="s">
        <v>8031</v>
      </c>
      <c r="E56" t="s">
        <v>3837</v>
      </c>
      <c r="G56" t="s">
        <v>8032</v>
      </c>
      <c r="H56" t="s">
        <v>8053</v>
      </c>
    </row>
    <row r="57" spans="1:8" x14ac:dyDescent="0.25">
      <c r="A57" t="s">
        <v>8068</v>
      </c>
      <c r="B57" t="s">
        <v>3829</v>
      </c>
      <c r="C57" t="s">
        <v>3773</v>
      </c>
      <c r="D57" t="s">
        <v>8033</v>
      </c>
      <c r="E57" t="s">
        <v>3914</v>
      </c>
      <c r="G57" t="s">
        <v>8032</v>
      </c>
      <c r="H57" t="s">
        <v>8054</v>
      </c>
    </row>
    <row r="58" spans="1:8" x14ac:dyDescent="0.25">
      <c r="A58" t="s">
        <v>8069</v>
      </c>
      <c r="B58" t="s">
        <v>3829</v>
      </c>
      <c r="C58" t="s">
        <v>3773</v>
      </c>
      <c r="D58" t="s">
        <v>8033</v>
      </c>
      <c r="E58" t="s">
        <v>3918</v>
      </c>
      <c r="G58" t="s">
        <v>8032</v>
      </c>
      <c r="H58" t="s">
        <v>8054</v>
      </c>
    </row>
    <row r="59" spans="1:8" x14ac:dyDescent="0.25">
      <c r="A59" t="s">
        <v>8070</v>
      </c>
      <c r="B59" t="s">
        <v>3829</v>
      </c>
      <c r="C59" t="s">
        <v>3773</v>
      </c>
      <c r="D59" t="s">
        <v>8033</v>
      </c>
      <c r="E59" t="s">
        <v>3923</v>
      </c>
      <c r="G59" t="s">
        <v>8032</v>
      </c>
      <c r="H59" t="s">
        <v>8054</v>
      </c>
    </row>
    <row r="60" spans="1:8" x14ac:dyDescent="0.25">
      <c r="A60" t="s">
        <v>8071</v>
      </c>
      <c r="B60" t="s">
        <v>3829</v>
      </c>
      <c r="C60" t="s">
        <v>3773</v>
      </c>
      <c r="D60" t="s">
        <v>8033</v>
      </c>
      <c r="E60" t="s">
        <v>3916</v>
      </c>
      <c r="G60" t="s">
        <v>8032</v>
      </c>
      <c r="H60" t="s">
        <v>8054</v>
      </c>
    </row>
    <row r="61" spans="1:8" x14ac:dyDescent="0.25">
      <c r="A61" t="s">
        <v>8072</v>
      </c>
      <c r="B61" t="s">
        <v>3829</v>
      </c>
      <c r="C61" t="s">
        <v>3787</v>
      </c>
      <c r="D61" t="s">
        <v>8031</v>
      </c>
      <c r="E61" t="s">
        <v>3833</v>
      </c>
      <c r="G61" t="s">
        <v>8032</v>
      </c>
      <c r="H61" t="s">
        <v>8054</v>
      </c>
    </row>
    <row r="62" spans="1:8" x14ac:dyDescent="0.25">
      <c r="A62" t="s">
        <v>8073</v>
      </c>
      <c r="B62" t="s">
        <v>3829</v>
      </c>
      <c r="C62" t="s">
        <v>3739</v>
      </c>
      <c r="D62" t="s">
        <v>8031</v>
      </c>
      <c r="E62" t="s">
        <v>7885</v>
      </c>
      <c r="G62" t="s">
        <v>8032</v>
      </c>
      <c r="H62" t="s">
        <v>8054</v>
      </c>
    </row>
    <row r="63" spans="1:8" x14ac:dyDescent="0.25">
      <c r="A63" t="s">
        <v>8074</v>
      </c>
      <c r="B63" t="s">
        <v>3829</v>
      </c>
      <c r="C63" t="s">
        <v>3773</v>
      </c>
      <c r="D63" t="s">
        <v>8031</v>
      </c>
      <c r="E63" t="s">
        <v>3872</v>
      </c>
      <c r="G63" t="s">
        <v>8032</v>
      </c>
      <c r="H63" t="s">
        <v>8054</v>
      </c>
    </row>
    <row r="64" spans="1:8" x14ac:dyDescent="0.25">
      <c r="A64" t="s">
        <v>8075</v>
      </c>
      <c r="B64" t="s">
        <v>3829</v>
      </c>
      <c r="C64" t="s">
        <v>3739</v>
      </c>
      <c r="D64" t="s">
        <v>8033</v>
      </c>
      <c r="E64" t="s">
        <v>3886</v>
      </c>
      <c r="G64" t="s">
        <v>8032</v>
      </c>
      <c r="H64" t="s">
        <v>8054</v>
      </c>
    </row>
    <row r="65" spans="1:8" x14ac:dyDescent="0.25">
      <c r="A65" t="s">
        <v>8035</v>
      </c>
      <c r="B65" t="s">
        <v>3748</v>
      </c>
      <c r="C65" t="s">
        <v>3773</v>
      </c>
      <c r="D65" t="s">
        <v>8033</v>
      </c>
      <c r="E65" t="s">
        <v>7426</v>
      </c>
      <c r="F65" t="s">
        <v>8036</v>
      </c>
      <c r="G65" t="s">
        <v>8032</v>
      </c>
      <c r="H65" t="s">
        <v>8053</v>
      </c>
    </row>
    <row r="66" spans="1:8" x14ac:dyDescent="0.25">
      <c r="A66" t="s">
        <v>7903</v>
      </c>
      <c r="B66" t="s">
        <v>3748</v>
      </c>
      <c r="C66" t="s">
        <v>3773</v>
      </c>
      <c r="D66" t="s">
        <v>8033</v>
      </c>
      <c r="E66" t="s">
        <v>7902</v>
      </c>
      <c r="G66" t="s">
        <v>8032</v>
      </c>
      <c r="H66" t="s">
        <v>8053</v>
      </c>
    </row>
    <row r="67" spans="1:8" x14ac:dyDescent="0.25">
      <c r="A67" t="s">
        <v>7899</v>
      </c>
      <c r="B67" t="s">
        <v>3748</v>
      </c>
      <c r="C67" t="s">
        <v>3907</v>
      </c>
      <c r="D67" t="s">
        <v>8033</v>
      </c>
      <c r="E67" t="s">
        <v>7898</v>
      </c>
      <c r="G67" t="s">
        <v>8032</v>
      </c>
      <c r="H67" t="s">
        <v>8053</v>
      </c>
    </row>
    <row r="68" spans="1:8" x14ac:dyDescent="0.25">
      <c r="A68" t="s">
        <v>7961</v>
      </c>
      <c r="B68" t="s">
        <v>3752</v>
      </c>
      <c r="C68" t="s">
        <v>3773</v>
      </c>
      <c r="D68" t="s">
        <v>8031</v>
      </c>
      <c r="E68" t="s">
        <v>7960</v>
      </c>
      <c r="G68" t="s">
        <v>8032</v>
      </c>
      <c r="H68" t="s">
        <v>8053</v>
      </c>
    </row>
    <row r="69" spans="1:8" x14ac:dyDescent="0.25">
      <c r="A69" t="s">
        <v>3862</v>
      </c>
      <c r="B69" t="s">
        <v>3835</v>
      </c>
      <c r="C69" t="s">
        <v>3773</v>
      </c>
      <c r="D69" t="s">
        <v>8031</v>
      </c>
      <c r="E69" t="s">
        <v>3861</v>
      </c>
      <c r="G69" t="s">
        <v>8032</v>
      </c>
      <c r="H69" t="s">
        <v>8053</v>
      </c>
    </row>
    <row r="70" spans="1:8" x14ac:dyDescent="0.25">
      <c r="A70" t="s">
        <v>3949</v>
      </c>
      <c r="B70" t="s">
        <v>3748</v>
      </c>
      <c r="C70" t="s">
        <v>3773</v>
      </c>
      <c r="D70" t="s">
        <v>8033</v>
      </c>
      <c r="E70" t="s">
        <v>3948</v>
      </c>
      <c r="G70" t="s">
        <v>8032</v>
      </c>
      <c r="H70" t="s">
        <v>8053</v>
      </c>
    </row>
    <row r="71" spans="1:8" x14ac:dyDescent="0.25">
      <c r="A71" t="s">
        <v>3806</v>
      </c>
      <c r="B71" t="s">
        <v>3748</v>
      </c>
      <c r="C71" t="s">
        <v>3739</v>
      </c>
      <c r="D71" t="s">
        <v>8031</v>
      </c>
      <c r="E71" t="s">
        <v>3805</v>
      </c>
      <c r="G71" t="s">
        <v>8032</v>
      </c>
      <c r="H71" t="s">
        <v>8053</v>
      </c>
    </row>
    <row r="72" spans="1:8" x14ac:dyDescent="0.25">
      <c r="A72" t="s">
        <v>7883</v>
      </c>
      <c r="B72" t="s">
        <v>3748</v>
      </c>
      <c r="C72" t="s">
        <v>3787</v>
      </c>
      <c r="D72" t="s">
        <v>8031</v>
      </c>
      <c r="E72" t="s">
        <v>7882</v>
      </c>
      <c r="G72" t="s">
        <v>8032</v>
      </c>
      <c r="H72" t="s">
        <v>8053</v>
      </c>
    </row>
    <row r="73" spans="1:8" x14ac:dyDescent="0.25">
      <c r="A73" t="s">
        <v>3954</v>
      </c>
      <c r="B73" t="s">
        <v>3748</v>
      </c>
      <c r="C73" t="s">
        <v>3773</v>
      </c>
      <c r="D73" t="s">
        <v>8033</v>
      </c>
      <c r="E73" t="s">
        <v>3953</v>
      </c>
      <c r="G73" t="s">
        <v>8032</v>
      </c>
      <c r="H73" t="s">
        <v>8053</v>
      </c>
    </row>
    <row r="74" spans="1:8" x14ac:dyDescent="0.25">
      <c r="A74" t="s">
        <v>8062</v>
      </c>
      <c r="D74" t="s">
        <v>8041</v>
      </c>
      <c r="E74" t="s">
        <v>3485</v>
      </c>
      <c r="G74" t="s">
        <v>8032</v>
      </c>
      <c r="H74" t="s">
        <v>8054</v>
      </c>
    </row>
    <row r="75" spans="1:8" x14ac:dyDescent="0.25">
      <c r="A75" t="s">
        <v>3802</v>
      </c>
      <c r="B75" t="s">
        <v>3748</v>
      </c>
      <c r="C75" t="s">
        <v>3739</v>
      </c>
      <c r="D75" t="s">
        <v>8031</v>
      </c>
      <c r="E75" t="s">
        <v>3801</v>
      </c>
      <c r="G75" t="s">
        <v>8032</v>
      </c>
      <c r="H75" t="s">
        <v>8053</v>
      </c>
    </row>
    <row r="76" spans="1:8" x14ac:dyDescent="0.25">
      <c r="A76" t="s">
        <v>3864</v>
      </c>
      <c r="B76" t="s">
        <v>3835</v>
      </c>
      <c r="C76" t="s">
        <v>3787</v>
      </c>
      <c r="D76" t="s">
        <v>8031</v>
      </c>
      <c r="E76" t="s">
        <v>3863</v>
      </c>
      <c r="G76" t="s">
        <v>8032</v>
      </c>
      <c r="H76" t="s">
        <v>8053</v>
      </c>
    </row>
    <row r="77" spans="1:8" x14ac:dyDescent="0.25">
      <c r="A77" t="s">
        <v>3932</v>
      </c>
      <c r="B77" t="s">
        <v>3748</v>
      </c>
      <c r="C77" t="s">
        <v>3907</v>
      </c>
      <c r="D77" t="s">
        <v>8033</v>
      </c>
      <c r="E77" t="s">
        <v>3931</v>
      </c>
      <c r="G77" t="s">
        <v>8032</v>
      </c>
      <c r="H77" t="s">
        <v>8053</v>
      </c>
    </row>
    <row r="78" spans="1:8" x14ac:dyDescent="0.25">
      <c r="A78" t="s">
        <v>3957</v>
      </c>
      <c r="B78" t="s">
        <v>3835</v>
      </c>
      <c r="C78" t="s">
        <v>3787</v>
      </c>
      <c r="D78" t="s">
        <v>8033</v>
      </c>
      <c r="E78" t="s">
        <v>3955</v>
      </c>
      <c r="G78" t="s">
        <v>8032</v>
      </c>
      <c r="H78" t="s">
        <v>8053</v>
      </c>
    </row>
    <row r="79" spans="1:8" x14ac:dyDescent="0.25">
      <c r="A79" t="s">
        <v>3910</v>
      </c>
      <c r="B79" t="s">
        <v>3748</v>
      </c>
      <c r="C79" t="s">
        <v>3739</v>
      </c>
      <c r="D79" t="s">
        <v>8033</v>
      </c>
      <c r="E79" t="s">
        <v>3911</v>
      </c>
      <c r="G79" t="s">
        <v>8032</v>
      </c>
      <c r="H79" t="s">
        <v>8053</v>
      </c>
    </row>
    <row r="80" spans="1:8" x14ac:dyDescent="0.25">
      <c r="A80" t="s">
        <v>3771</v>
      </c>
      <c r="B80" t="s">
        <v>3748</v>
      </c>
      <c r="C80" t="s">
        <v>3739</v>
      </c>
      <c r="D80" t="s">
        <v>8031</v>
      </c>
      <c r="E80" t="s">
        <v>3770</v>
      </c>
      <c r="G80" t="s">
        <v>8032</v>
      </c>
      <c r="H80" t="s">
        <v>8053</v>
      </c>
    </row>
    <row r="81" spans="1:8" x14ac:dyDescent="0.25">
      <c r="A81" t="s">
        <v>3940</v>
      </c>
      <c r="B81" t="s">
        <v>3748</v>
      </c>
      <c r="C81" t="s">
        <v>3739</v>
      </c>
      <c r="D81" t="s">
        <v>8033</v>
      </c>
      <c r="E81" t="s">
        <v>3939</v>
      </c>
      <c r="G81" t="s">
        <v>8032</v>
      </c>
      <c r="H81" t="s">
        <v>8053</v>
      </c>
    </row>
    <row r="82" spans="1:8" x14ac:dyDescent="0.25">
      <c r="A82" t="s">
        <v>3794</v>
      </c>
      <c r="B82" t="s">
        <v>3748</v>
      </c>
      <c r="C82" t="s">
        <v>3787</v>
      </c>
      <c r="D82" t="s">
        <v>8031</v>
      </c>
      <c r="E82" t="s">
        <v>3793</v>
      </c>
      <c r="G82" t="s">
        <v>8032</v>
      </c>
      <c r="H82" t="s">
        <v>8053</v>
      </c>
    </row>
    <row r="83" spans="1:8" x14ac:dyDescent="0.25">
      <c r="A83" t="s">
        <v>8045</v>
      </c>
      <c r="D83" t="s">
        <v>6456</v>
      </c>
      <c r="E83" t="s">
        <v>3984</v>
      </c>
      <c r="F83" t="s">
        <v>8043</v>
      </c>
      <c r="G83" t="s">
        <v>8044</v>
      </c>
      <c r="H83" t="s">
        <v>8054</v>
      </c>
    </row>
    <row r="84" spans="1:8" x14ac:dyDescent="0.25">
      <c r="A84" t="s">
        <v>8046</v>
      </c>
      <c r="D84" t="s">
        <v>6456</v>
      </c>
      <c r="E84" t="s">
        <v>3979</v>
      </c>
      <c r="F84" t="s">
        <v>8043</v>
      </c>
      <c r="G84" t="s">
        <v>8044</v>
      </c>
      <c r="H84" t="s">
        <v>8054</v>
      </c>
    </row>
    <row r="85" spans="1:8" x14ac:dyDescent="0.25">
      <c r="A85" t="s">
        <v>8081</v>
      </c>
      <c r="D85" t="s">
        <v>6456</v>
      </c>
      <c r="E85" t="s">
        <v>3996</v>
      </c>
      <c r="F85" t="s">
        <v>8043</v>
      </c>
      <c r="G85" t="s">
        <v>8044</v>
      </c>
      <c r="H85" t="s">
        <v>8054</v>
      </c>
    </row>
    <row r="86" spans="1:8" x14ac:dyDescent="0.25">
      <c r="A86" t="s">
        <v>8059</v>
      </c>
      <c r="B86" t="s">
        <v>3741</v>
      </c>
      <c r="C86" t="s">
        <v>3907</v>
      </c>
      <c r="D86" t="s">
        <v>8033</v>
      </c>
      <c r="E86" t="s">
        <v>3962</v>
      </c>
      <c r="G86" t="s">
        <v>8032</v>
      </c>
      <c r="H86" t="s">
        <v>8053</v>
      </c>
    </row>
    <row r="87" spans="1:8" x14ac:dyDescent="0.25">
      <c r="A87" t="s">
        <v>8284</v>
      </c>
      <c r="D87" t="s">
        <v>8041</v>
      </c>
      <c r="E87" t="s">
        <v>3452</v>
      </c>
      <c r="G87" t="s">
        <v>8032</v>
      </c>
      <c r="H87" t="s">
        <v>8054</v>
      </c>
    </row>
    <row r="88" spans="1:8" x14ac:dyDescent="0.25">
      <c r="A88" t="s">
        <v>3938</v>
      </c>
      <c r="B88" t="s">
        <v>3748</v>
      </c>
      <c r="C88" t="s">
        <v>3739</v>
      </c>
      <c r="D88" t="s">
        <v>8033</v>
      </c>
      <c r="E88" t="s">
        <v>3937</v>
      </c>
      <c r="G88" t="s">
        <v>8032</v>
      </c>
      <c r="H88" t="s">
        <v>8053</v>
      </c>
    </row>
    <row r="89" spans="1:8" x14ac:dyDescent="0.25">
      <c r="A89" t="s">
        <v>8066</v>
      </c>
      <c r="D89" t="s">
        <v>8041</v>
      </c>
      <c r="E89" t="s">
        <v>3461</v>
      </c>
      <c r="G89" t="s">
        <v>8032</v>
      </c>
      <c r="H89" t="s">
        <v>8054</v>
      </c>
    </row>
    <row r="90" spans="1:8" x14ac:dyDescent="0.25">
      <c r="A90" t="s">
        <v>8065</v>
      </c>
      <c r="D90" t="s">
        <v>8041</v>
      </c>
      <c r="E90" t="s">
        <v>3480</v>
      </c>
      <c r="G90" t="s">
        <v>8032</v>
      </c>
      <c r="H90" t="s">
        <v>8054</v>
      </c>
    </row>
    <row r="91" spans="1:8" x14ac:dyDescent="0.25">
      <c r="A91" t="s">
        <v>8064</v>
      </c>
      <c r="B91" t="s">
        <v>3829</v>
      </c>
      <c r="C91" t="s">
        <v>3739</v>
      </c>
      <c r="D91" t="s">
        <v>8033</v>
      </c>
      <c r="E91" t="s">
        <v>3965</v>
      </c>
      <c r="G91" t="s">
        <v>8032</v>
      </c>
      <c r="H91" t="s">
        <v>8054</v>
      </c>
    </row>
    <row r="92" spans="1:8" x14ac:dyDescent="0.25">
      <c r="A92" t="s">
        <v>8064</v>
      </c>
      <c r="B92" t="s">
        <v>3829</v>
      </c>
      <c r="C92" t="s">
        <v>3773</v>
      </c>
      <c r="D92" t="s">
        <v>8033</v>
      </c>
      <c r="E92" t="s">
        <v>3966</v>
      </c>
      <c r="G92" t="s">
        <v>8032</v>
      </c>
      <c r="H92" t="s">
        <v>8054</v>
      </c>
    </row>
    <row r="93" spans="1:8" x14ac:dyDescent="0.25">
      <c r="A93" t="s">
        <v>3842</v>
      </c>
      <c r="B93" t="s">
        <v>3752</v>
      </c>
      <c r="C93" t="s">
        <v>3739</v>
      </c>
      <c r="D93" t="s">
        <v>8031</v>
      </c>
      <c r="E93" t="s">
        <v>3841</v>
      </c>
      <c r="G93" t="s">
        <v>8032</v>
      </c>
      <c r="H93" t="s">
        <v>8053</v>
      </c>
    </row>
    <row r="94" spans="1:8" x14ac:dyDescent="0.25">
      <c r="A94" t="s">
        <v>8049</v>
      </c>
      <c r="B94" t="s">
        <v>3752</v>
      </c>
      <c r="C94" t="s">
        <v>3739</v>
      </c>
      <c r="D94" t="s">
        <v>8031</v>
      </c>
      <c r="E94" t="s">
        <v>3751</v>
      </c>
      <c r="G94" t="s">
        <v>8032</v>
      </c>
      <c r="H94" t="s">
        <v>8053</v>
      </c>
    </row>
    <row r="95" spans="1:8" x14ac:dyDescent="0.25">
      <c r="A95" t="s">
        <v>8078</v>
      </c>
      <c r="B95" t="s">
        <v>3752</v>
      </c>
      <c r="C95" t="s">
        <v>3739</v>
      </c>
      <c r="D95" t="s">
        <v>8033</v>
      </c>
      <c r="E95" t="s">
        <v>3878</v>
      </c>
      <c r="G95" t="s">
        <v>8032</v>
      </c>
      <c r="H95" t="s">
        <v>8053</v>
      </c>
    </row>
    <row r="96" spans="1:8" x14ac:dyDescent="0.25">
      <c r="A96" t="s">
        <v>3942</v>
      </c>
      <c r="B96" t="s">
        <v>3752</v>
      </c>
      <c r="C96" t="s">
        <v>3739</v>
      </c>
      <c r="D96" t="s">
        <v>8033</v>
      </c>
      <c r="E96" t="s">
        <v>3941</v>
      </c>
      <c r="G96" t="s">
        <v>8032</v>
      </c>
      <c r="H96" t="s">
        <v>8053</v>
      </c>
    </row>
    <row r="97" spans="1:9" x14ac:dyDescent="0.25">
      <c r="A97" t="s">
        <v>8076</v>
      </c>
      <c r="B97" t="s">
        <v>3829</v>
      </c>
      <c r="C97" t="s">
        <v>3787</v>
      </c>
      <c r="D97" t="s">
        <v>8033</v>
      </c>
      <c r="E97" t="s">
        <v>7890</v>
      </c>
      <c r="G97" t="s">
        <v>8032</v>
      </c>
      <c r="H97" t="s">
        <v>8054</v>
      </c>
    </row>
    <row r="98" spans="1:9" x14ac:dyDescent="0.25">
      <c r="A98" t="s">
        <v>8082</v>
      </c>
      <c r="D98" t="s">
        <v>8041</v>
      </c>
      <c r="E98" t="s">
        <v>3488</v>
      </c>
      <c r="G98" t="s">
        <v>8032</v>
      </c>
      <c r="H98" t="s">
        <v>8054</v>
      </c>
    </row>
    <row r="99" spans="1:9" x14ac:dyDescent="0.25">
      <c r="A99" t="s">
        <v>3800</v>
      </c>
      <c r="B99" t="s">
        <v>3748</v>
      </c>
      <c r="C99" t="s">
        <v>3739</v>
      </c>
      <c r="D99" t="s">
        <v>8031</v>
      </c>
      <c r="E99" t="s">
        <v>3799</v>
      </c>
      <c r="G99" t="s">
        <v>8032</v>
      </c>
      <c r="H99" t="s">
        <v>8053</v>
      </c>
    </row>
    <row r="100" spans="1:9" x14ac:dyDescent="0.25">
      <c r="A100" t="s">
        <v>3904</v>
      </c>
      <c r="B100" t="s">
        <v>3748</v>
      </c>
      <c r="C100" t="s">
        <v>3773</v>
      </c>
      <c r="D100" t="s">
        <v>8033</v>
      </c>
      <c r="E100" t="s">
        <v>3903</v>
      </c>
      <c r="G100" t="s">
        <v>8032</v>
      </c>
      <c r="H100" t="s">
        <v>8053</v>
      </c>
    </row>
    <row r="101" spans="1:9" x14ac:dyDescent="0.25">
      <c r="A101" t="s">
        <v>7357</v>
      </c>
      <c r="B101" t="s">
        <v>3748</v>
      </c>
      <c r="C101" t="s">
        <v>3739</v>
      </c>
      <c r="D101" t="s">
        <v>8033</v>
      </c>
      <c r="E101" t="s">
        <v>7356</v>
      </c>
      <c r="G101" t="s">
        <v>8032</v>
      </c>
      <c r="H101" t="s">
        <v>8053</v>
      </c>
    </row>
    <row r="102" spans="1:9" x14ac:dyDescent="0.25">
      <c r="A102" t="s">
        <v>3814</v>
      </c>
      <c r="B102" t="s">
        <v>3748</v>
      </c>
      <c r="C102" t="s">
        <v>3739</v>
      </c>
      <c r="D102" t="s">
        <v>8031</v>
      </c>
      <c r="E102" t="s">
        <v>3813</v>
      </c>
      <c r="G102" t="s">
        <v>8032</v>
      </c>
      <c r="H102" t="s">
        <v>8053</v>
      </c>
    </row>
    <row r="103" spans="1:9" x14ac:dyDescent="0.25">
      <c r="A103" t="s">
        <v>3749</v>
      </c>
      <c r="B103" t="s">
        <v>3748</v>
      </c>
      <c r="C103" t="s">
        <v>3739</v>
      </c>
      <c r="D103" t="s">
        <v>8031</v>
      </c>
      <c r="E103" t="s">
        <v>3747</v>
      </c>
      <c r="G103" t="s">
        <v>8032</v>
      </c>
      <c r="H103" t="s">
        <v>8053</v>
      </c>
    </row>
    <row r="104" spans="1:9" x14ac:dyDescent="0.25">
      <c r="A104" t="s">
        <v>3944</v>
      </c>
      <c r="B104" t="s">
        <v>3748</v>
      </c>
      <c r="C104" t="s">
        <v>3739</v>
      </c>
      <c r="D104" t="s">
        <v>8033</v>
      </c>
      <c r="E104" t="s">
        <v>3943</v>
      </c>
      <c r="G104" t="s">
        <v>8032</v>
      </c>
      <c r="H104" t="s">
        <v>8053</v>
      </c>
    </row>
    <row r="105" spans="1:9" x14ac:dyDescent="0.25">
      <c r="A105" t="s">
        <v>8083</v>
      </c>
      <c r="D105" t="s">
        <v>8041</v>
      </c>
      <c r="E105" t="s">
        <v>3457</v>
      </c>
      <c r="G105" t="s">
        <v>8032</v>
      </c>
      <c r="H105" t="s">
        <v>8054</v>
      </c>
    </row>
    <row r="106" spans="1:9" x14ac:dyDescent="0.25">
      <c r="A106" t="s">
        <v>3845</v>
      </c>
      <c r="B106" t="s">
        <v>3748</v>
      </c>
      <c r="C106" t="s">
        <v>3773</v>
      </c>
      <c r="D106" t="s">
        <v>8031</v>
      </c>
      <c r="E106" t="s">
        <v>3844</v>
      </c>
      <c r="G106" t="s">
        <v>8032</v>
      </c>
      <c r="H106" t="s">
        <v>8053</v>
      </c>
    </row>
    <row r="107" spans="1:9" x14ac:dyDescent="0.25">
      <c r="A107" t="s">
        <v>3871</v>
      </c>
      <c r="B107" t="s">
        <v>3835</v>
      </c>
      <c r="C107" t="s">
        <v>3739</v>
      </c>
      <c r="D107" t="s">
        <v>8031</v>
      </c>
      <c r="E107" t="s">
        <v>3870</v>
      </c>
      <c r="G107" t="s">
        <v>8032</v>
      </c>
      <c r="H107" t="s">
        <v>8053</v>
      </c>
    </row>
    <row r="108" spans="1:9" x14ac:dyDescent="0.25">
      <c r="A108" t="s">
        <v>3777</v>
      </c>
      <c r="B108" t="s">
        <v>3748</v>
      </c>
      <c r="C108" t="s">
        <v>3773</v>
      </c>
      <c r="D108" t="s">
        <v>8031</v>
      </c>
      <c r="E108" t="s">
        <v>3776</v>
      </c>
      <c r="G108" t="s">
        <v>8032</v>
      </c>
      <c r="H108" t="s">
        <v>8053</v>
      </c>
    </row>
    <row r="109" spans="1:9" x14ac:dyDescent="0.25">
      <c r="A109" t="s">
        <v>7877</v>
      </c>
      <c r="B109" t="s">
        <v>3748</v>
      </c>
      <c r="C109" t="s">
        <v>3773</v>
      </c>
      <c r="D109" t="s">
        <v>8031</v>
      </c>
      <c r="E109" t="s">
        <v>7876</v>
      </c>
      <c r="G109" t="s">
        <v>8032</v>
      </c>
      <c r="H109" t="s">
        <v>8053</v>
      </c>
    </row>
    <row r="110" spans="1:9" x14ac:dyDescent="0.25">
      <c r="A110" t="s">
        <v>7871</v>
      </c>
      <c r="B110" t="s">
        <v>3748</v>
      </c>
      <c r="C110" t="s">
        <v>3739</v>
      </c>
      <c r="D110" t="s">
        <v>8031</v>
      </c>
      <c r="E110" t="s">
        <v>7870</v>
      </c>
      <c r="G110" t="s">
        <v>8032</v>
      </c>
      <c r="H110" t="s">
        <v>8053</v>
      </c>
    </row>
    <row r="111" spans="1:9" x14ac:dyDescent="0.25">
      <c r="A111" t="s">
        <v>8079</v>
      </c>
      <c r="B111" t="s">
        <v>3748</v>
      </c>
      <c r="C111" t="s">
        <v>3773</v>
      </c>
      <c r="D111" t="s">
        <v>8031</v>
      </c>
      <c r="E111" t="s">
        <v>7874</v>
      </c>
      <c r="G111" t="s">
        <v>8032</v>
      </c>
      <c r="H111" t="s">
        <v>8053</v>
      </c>
      <c r="I111">
        <v>2</v>
      </c>
    </row>
    <row r="112" spans="1:9" x14ac:dyDescent="0.25">
      <c r="A112" t="s">
        <v>3818</v>
      </c>
      <c r="B112" t="s">
        <v>3748</v>
      </c>
      <c r="C112" t="s">
        <v>3739</v>
      </c>
      <c r="D112" t="s">
        <v>8031</v>
      </c>
      <c r="E112" t="s">
        <v>3817</v>
      </c>
      <c r="G112" t="s">
        <v>8032</v>
      </c>
      <c r="H112" t="s">
        <v>8053</v>
      </c>
    </row>
    <row r="113" spans="1:8" x14ac:dyDescent="0.25">
      <c r="A113" t="s">
        <v>3969</v>
      </c>
      <c r="B113" t="s">
        <v>3741</v>
      </c>
      <c r="C113" t="s">
        <v>3787</v>
      </c>
      <c r="D113" t="s">
        <v>8033</v>
      </c>
      <c r="E113" t="s">
        <v>3968</v>
      </c>
      <c r="G113" t="s">
        <v>8032</v>
      </c>
      <c r="H113" t="s">
        <v>8053</v>
      </c>
    </row>
    <row r="114" spans="1:8" x14ac:dyDescent="0.25">
      <c r="A114" t="s">
        <v>3960</v>
      </c>
      <c r="B114" t="s">
        <v>3752</v>
      </c>
      <c r="C114" t="s">
        <v>3787</v>
      </c>
      <c r="D114" t="s">
        <v>8033</v>
      </c>
      <c r="E114" t="s">
        <v>3959</v>
      </c>
      <c r="G114" t="s">
        <v>8032</v>
      </c>
      <c r="H114" t="s">
        <v>8053</v>
      </c>
    </row>
    <row r="115" spans="1:8" x14ac:dyDescent="0.25">
      <c r="A115" t="s">
        <v>7685</v>
      </c>
      <c r="B115" t="s">
        <v>3748</v>
      </c>
      <c r="C115" t="s">
        <v>3907</v>
      </c>
      <c r="D115" t="s">
        <v>8031</v>
      </c>
      <c r="E115" t="s">
        <v>1168</v>
      </c>
      <c r="G115" t="s">
        <v>8032</v>
      </c>
      <c r="H115" t="s">
        <v>8053</v>
      </c>
    </row>
    <row r="116" spans="1:8" x14ac:dyDescent="0.25">
      <c r="A116" t="s">
        <v>3896</v>
      </c>
      <c r="B116" t="s">
        <v>3752</v>
      </c>
      <c r="C116" t="s">
        <v>3773</v>
      </c>
      <c r="D116" t="s">
        <v>8033</v>
      </c>
      <c r="E116" t="s">
        <v>3894</v>
      </c>
      <c r="G116" t="s">
        <v>8032</v>
      </c>
      <c r="H116" t="s">
        <v>8053</v>
      </c>
    </row>
    <row r="117" spans="1:8" x14ac:dyDescent="0.25">
      <c r="A117" t="s">
        <v>8063</v>
      </c>
      <c r="D117" t="s">
        <v>8041</v>
      </c>
      <c r="E117" t="s">
        <v>3476</v>
      </c>
      <c r="G117" t="s">
        <v>8032</v>
      </c>
      <c r="H117" t="s">
        <v>8054</v>
      </c>
    </row>
    <row r="118" spans="1:8" x14ac:dyDescent="0.25">
      <c r="A118" t="s">
        <v>7896</v>
      </c>
      <c r="B118" t="s">
        <v>3748</v>
      </c>
      <c r="C118" t="s">
        <v>3739</v>
      </c>
      <c r="D118" t="s">
        <v>8033</v>
      </c>
      <c r="E118" t="s">
        <v>7895</v>
      </c>
      <c r="G118" t="s">
        <v>8032</v>
      </c>
      <c r="H118" t="s">
        <v>8053</v>
      </c>
    </row>
    <row r="119" spans="1:8" x14ac:dyDescent="0.25">
      <c r="A119" t="s">
        <v>7887</v>
      </c>
      <c r="B119" t="s">
        <v>3748</v>
      </c>
      <c r="C119" t="s">
        <v>3739</v>
      </c>
      <c r="D119" t="s">
        <v>8033</v>
      </c>
      <c r="E119" t="s">
        <v>7888</v>
      </c>
      <c r="G119" t="s">
        <v>8032</v>
      </c>
      <c r="H119" t="s">
        <v>8053</v>
      </c>
    </row>
    <row r="120" spans="1:8" x14ac:dyDescent="0.25">
      <c r="A120" t="s">
        <v>8037</v>
      </c>
      <c r="B120" t="s">
        <v>3748</v>
      </c>
      <c r="C120" t="s">
        <v>3773</v>
      </c>
      <c r="D120" t="s">
        <v>8033</v>
      </c>
      <c r="E120" t="s">
        <v>7426</v>
      </c>
      <c r="F120" t="s">
        <v>8038</v>
      </c>
      <c r="G120" t="s">
        <v>8032</v>
      </c>
      <c r="H120" t="s">
        <v>8053</v>
      </c>
    </row>
    <row r="121" spans="1:8" x14ac:dyDescent="0.25">
      <c r="A121" t="s">
        <v>3810</v>
      </c>
      <c r="B121" t="s">
        <v>3748</v>
      </c>
      <c r="C121" t="s">
        <v>3739</v>
      </c>
      <c r="D121" t="s">
        <v>8031</v>
      </c>
      <c r="E121" t="s">
        <v>3809</v>
      </c>
      <c r="G121" t="s">
        <v>8032</v>
      </c>
      <c r="H121" t="s">
        <v>8053</v>
      </c>
    </row>
    <row r="122" spans="1:8" x14ac:dyDescent="0.25">
      <c r="A122" t="s">
        <v>3867</v>
      </c>
      <c r="B122" t="s">
        <v>3748</v>
      </c>
      <c r="C122" t="s">
        <v>3787</v>
      </c>
      <c r="D122" t="s">
        <v>8031</v>
      </c>
      <c r="E122" t="s">
        <v>3866</v>
      </c>
      <c r="G122" t="s">
        <v>8032</v>
      </c>
      <c r="H122" t="s">
        <v>8053</v>
      </c>
    </row>
    <row r="123" spans="1:8" x14ac:dyDescent="0.25">
      <c r="A123" t="s">
        <v>3761</v>
      </c>
      <c r="B123" t="s">
        <v>3748</v>
      </c>
      <c r="C123" t="s">
        <v>3739</v>
      </c>
      <c r="D123" t="s">
        <v>8031</v>
      </c>
      <c r="E123" t="s">
        <v>3760</v>
      </c>
      <c r="G123" t="s">
        <v>8032</v>
      </c>
      <c r="H123" t="s">
        <v>8053</v>
      </c>
    </row>
    <row r="124" spans="1:8" x14ac:dyDescent="0.25">
      <c r="A124" t="s">
        <v>3913</v>
      </c>
      <c r="B124" t="s">
        <v>3748</v>
      </c>
      <c r="C124" t="s">
        <v>3739</v>
      </c>
      <c r="D124" t="s">
        <v>8033</v>
      </c>
      <c r="E124" t="s">
        <v>3912</v>
      </c>
      <c r="G124" t="s">
        <v>8032</v>
      </c>
      <c r="H124" t="s">
        <v>8053</v>
      </c>
    </row>
    <row r="125" spans="1:8" x14ac:dyDescent="0.25">
      <c r="A125" t="s">
        <v>8067</v>
      </c>
      <c r="D125" t="s">
        <v>8041</v>
      </c>
      <c r="E125" t="s">
        <v>3465</v>
      </c>
      <c r="G125" t="s">
        <v>8032</v>
      </c>
      <c r="H125" t="s">
        <v>8054</v>
      </c>
    </row>
    <row r="126" spans="1:8" x14ac:dyDescent="0.25">
      <c r="A126" t="s">
        <v>3847</v>
      </c>
      <c r="B126" t="s">
        <v>3748</v>
      </c>
      <c r="C126" t="s">
        <v>3773</v>
      </c>
      <c r="D126" t="s">
        <v>8031</v>
      </c>
      <c r="E126" t="s">
        <v>3846</v>
      </c>
      <c r="G126" t="s">
        <v>8032</v>
      </c>
      <c r="H126" t="s">
        <v>8053</v>
      </c>
    </row>
    <row r="127" spans="1:8" x14ac:dyDescent="0.25">
      <c r="A127" t="s">
        <v>8077</v>
      </c>
      <c r="B127" t="s">
        <v>3829</v>
      </c>
      <c r="C127" t="s">
        <v>3787</v>
      </c>
      <c r="D127" t="s">
        <v>8033</v>
      </c>
      <c r="E127" t="s">
        <v>3925</v>
      </c>
      <c r="G127" t="s">
        <v>8032</v>
      </c>
      <c r="H127" t="s">
        <v>8054</v>
      </c>
    </row>
    <row r="128" spans="1:8" x14ac:dyDescent="0.25">
      <c r="A128" t="s">
        <v>7972</v>
      </c>
      <c r="B128" t="s">
        <v>3835</v>
      </c>
      <c r="C128" t="s">
        <v>3773</v>
      </c>
      <c r="D128" t="s">
        <v>8031</v>
      </c>
      <c r="E128" t="s">
        <v>7971</v>
      </c>
      <c r="G128" t="s">
        <v>8032</v>
      </c>
      <c r="H128" t="s">
        <v>8053</v>
      </c>
    </row>
    <row r="129" spans="1:8" x14ac:dyDescent="0.25">
      <c r="A129" t="s">
        <v>3885</v>
      </c>
      <c r="B129" t="s">
        <v>3835</v>
      </c>
      <c r="C129" t="s">
        <v>3739</v>
      </c>
      <c r="D129" t="s">
        <v>8033</v>
      </c>
      <c r="E129" t="s">
        <v>3884</v>
      </c>
      <c r="G129" t="s">
        <v>8032</v>
      </c>
      <c r="H129" t="s">
        <v>8053</v>
      </c>
    </row>
    <row r="130" spans="1:8" x14ac:dyDescent="0.25">
      <c r="A130" t="s">
        <v>3836</v>
      </c>
      <c r="B130" t="s">
        <v>3835</v>
      </c>
      <c r="C130" t="s">
        <v>3787</v>
      </c>
      <c r="D130" t="s">
        <v>8031</v>
      </c>
      <c r="E130" t="s">
        <v>3834</v>
      </c>
      <c r="G130" t="s">
        <v>8032</v>
      </c>
      <c r="H130" t="s">
        <v>8053</v>
      </c>
    </row>
    <row r="131" spans="1:8" x14ac:dyDescent="0.25">
      <c r="A131" t="s">
        <v>4247</v>
      </c>
      <c r="D131" t="s">
        <v>8042</v>
      </c>
      <c r="E131" t="s">
        <v>4246</v>
      </c>
      <c r="G131" t="s">
        <v>8032</v>
      </c>
      <c r="H131" t="s">
        <v>8054</v>
      </c>
    </row>
    <row r="132" spans="1:8" x14ac:dyDescent="0.25">
      <c r="A132" t="s">
        <v>4251</v>
      </c>
      <c r="D132" t="s">
        <v>8042</v>
      </c>
      <c r="E132" t="s">
        <v>4250</v>
      </c>
      <c r="G132" t="s">
        <v>8032</v>
      </c>
      <c r="H132" t="s">
        <v>8054</v>
      </c>
    </row>
    <row r="133" spans="1:8" x14ac:dyDescent="0.25">
      <c r="A133" t="s">
        <v>8083</v>
      </c>
      <c r="B133" t="s">
        <v>3829</v>
      </c>
      <c r="C133" t="s">
        <v>3773</v>
      </c>
      <c r="D133" t="s">
        <v>8031</v>
      </c>
      <c r="E133" t="s">
        <v>3828</v>
      </c>
      <c r="G133" t="s">
        <v>8032</v>
      </c>
      <c r="H133" t="s">
        <v>8054</v>
      </c>
    </row>
    <row r="134" spans="1:8" x14ac:dyDescent="0.25">
      <c r="A134" t="s">
        <v>4253</v>
      </c>
      <c r="D134" t="s">
        <v>8042</v>
      </c>
      <c r="E134" t="s">
        <v>4252</v>
      </c>
      <c r="G134" t="s">
        <v>8032</v>
      </c>
      <c r="H134" t="s">
        <v>8054</v>
      </c>
    </row>
    <row r="135" spans="1:8" x14ac:dyDescent="0.25">
      <c r="A135" t="s">
        <v>8232</v>
      </c>
      <c r="B135" t="s">
        <v>3748</v>
      </c>
      <c r="D135" t="s">
        <v>5752</v>
      </c>
      <c r="E135" t="s">
        <v>8231</v>
      </c>
      <c r="G135" t="s">
        <v>8032</v>
      </c>
      <c r="H135" t="s">
        <v>8053</v>
      </c>
    </row>
    <row r="136" spans="1:8" x14ac:dyDescent="0.25">
      <c r="A136" t="s">
        <v>8242</v>
      </c>
      <c r="B136" t="s">
        <v>3748</v>
      </c>
      <c r="D136" t="s">
        <v>5752</v>
      </c>
      <c r="E136" t="s">
        <v>8238</v>
      </c>
      <c r="G136" t="s">
        <v>8032</v>
      </c>
      <c r="H136" t="s">
        <v>8053</v>
      </c>
    </row>
    <row r="137" spans="1:8" x14ac:dyDescent="0.25">
      <c r="A137" t="s">
        <v>8245</v>
      </c>
      <c r="B137" t="s">
        <v>3741</v>
      </c>
      <c r="D137" t="s">
        <v>5752</v>
      </c>
      <c r="E137" t="s">
        <v>8243</v>
      </c>
      <c r="G137" t="s">
        <v>8032</v>
      </c>
      <c r="H137" t="s">
        <v>8053</v>
      </c>
    </row>
    <row r="138" spans="1:8" x14ac:dyDescent="0.25">
      <c r="A138" t="s">
        <v>8232</v>
      </c>
      <c r="B138" t="s">
        <v>3748</v>
      </c>
      <c r="D138" t="s">
        <v>5752</v>
      </c>
      <c r="E138" t="s">
        <v>8252</v>
      </c>
      <c r="G138" t="s">
        <v>8032</v>
      </c>
      <c r="H138" t="s">
        <v>8053</v>
      </c>
    </row>
    <row r="139" spans="1:8" x14ac:dyDescent="0.25">
      <c r="A139" t="s">
        <v>8262</v>
      </c>
      <c r="B139" t="s">
        <v>3748</v>
      </c>
      <c r="D139" t="s">
        <v>5752</v>
      </c>
      <c r="E139" t="s">
        <v>4690</v>
      </c>
      <c r="G139" t="s">
        <v>8032</v>
      </c>
      <c r="H139" t="s">
        <v>8053</v>
      </c>
    </row>
    <row r="140" spans="1:8" x14ac:dyDescent="0.25">
      <c r="A140" t="s">
        <v>8262</v>
      </c>
      <c r="B140" t="s">
        <v>3748</v>
      </c>
      <c r="D140" t="s">
        <v>5752</v>
      </c>
      <c r="E140" t="s">
        <v>6829</v>
      </c>
      <c r="G140" t="s">
        <v>8032</v>
      </c>
      <c r="H140" t="s">
        <v>8053</v>
      </c>
    </row>
    <row r="141" spans="1:8" x14ac:dyDescent="0.25">
      <c r="A141" t="s">
        <v>8289</v>
      </c>
      <c r="B141" t="s">
        <v>3741</v>
      </c>
      <c r="D141" t="s">
        <v>5752</v>
      </c>
      <c r="E141" t="s">
        <v>8287</v>
      </c>
      <c r="G141" t="s">
        <v>8032</v>
      </c>
      <c r="H141" t="s">
        <v>8053</v>
      </c>
    </row>
    <row r="142" spans="1:8" x14ac:dyDescent="0.25">
      <c r="A142" t="s">
        <v>8289</v>
      </c>
      <c r="B142" t="s">
        <v>3741</v>
      </c>
      <c r="D142" t="s">
        <v>5752</v>
      </c>
      <c r="E142" t="s">
        <v>8292</v>
      </c>
      <c r="G142" t="s">
        <v>8032</v>
      </c>
      <c r="H142" t="s">
        <v>8053</v>
      </c>
    </row>
    <row r="143" spans="1:8" x14ac:dyDescent="0.25">
      <c r="A143" t="s">
        <v>8303</v>
      </c>
      <c r="B143" t="s">
        <v>3741</v>
      </c>
      <c r="D143" t="s">
        <v>5752</v>
      </c>
      <c r="E143" t="s">
        <v>8302</v>
      </c>
      <c r="G143" t="s">
        <v>8032</v>
      </c>
      <c r="H143" t="s">
        <v>8053</v>
      </c>
    </row>
    <row r="144" spans="1:8" x14ac:dyDescent="0.25">
      <c r="A144" t="s">
        <v>8303</v>
      </c>
      <c r="B144" t="s">
        <v>3741</v>
      </c>
      <c r="D144" t="s">
        <v>5752</v>
      </c>
      <c r="E144" t="s">
        <v>8305</v>
      </c>
      <c r="G144" t="s">
        <v>8032</v>
      </c>
      <c r="H144" t="s">
        <v>8053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4299</v>
      </c>
    </row>
    <row r="2" spans="1:28" x14ac:dyDescent="0.25">
      <c r="A2" s="13" t="s">
        <v>4300</v>
      </c>
    </row>
    <row r="4" spans="1:28" ht="25.5" customHeight="1" x14ac:dyDescent="0.25">
      <c r="A4" s="14" t="s">
        <v>4301</v>
      </c>
      <c r="B4" s="14" t="s">
        <v>4302</v>
      </c>
      <c r="C4" s="14" t="s">
        <v>4303</v>
      </c>
      <c r="E4" s="14" t="s">
        <v>4304</v>
      </c>
      <c r="F4" s="14" t="s">
        <v>4305</v>
      </c>
      <c r="G4" s="14" t="s">
        <v>172</v>
      </c>
      <c r="I4" s="14" t="s">
        <v>4306</v>
      </c>
      <c r="J4" s="14" t="s">
        <v>4305</v>
      </c>
      <c r="K4" s="14" t="s">
        <v>172</v>
      </c>
      <c r="L4" s="14" t="s">
        <v>4307</v>
      </c>
      <c r="N4" s="14" t="s">
        <v>4308</v>
      </c>
      <c r="O4" s="14" t="s">
        <v>1</v>
      </c>
      <c r="P4" s="14" t="s">
        <v>4304</v>
      </c>
      <c r="R4" s="14" t="s">
        <v>4308</v>
      </c>
      <c r="S4" s="14" t="s">
        <v>4309</v>
      </c>
      <c r="T4" s="14" t="s">
        <v>4304</v>
      </c>
      <c r="V4" s="14" t="s">
        <v>166</v>
      </c>
      <c r="W4" s="14" t="s">
        <v>4305</v>
      </c>
      <c r="X4" s="14" t="s">
        <v>172</v>
      </c>
      <c r="Y4" s="14" t="s">
        <v>4310</v>
      </c>
      <c r="AA4" s="14" t="s">
        <v>4311</v>
      </c>
      <c r="AB4" s="14" t="s">
        <v>4310</v>
      </c>
    </row>
    <row r="5" spans="1:28" x14ac:dyDescent="0.25">
      <c r="A5" s="15" t="s">
        <v>4305</v>
      </c>
      <c r="B5" s="16">
        <f>COUNTA(games!$A$2:$A$950)</f>
        <v>921</v>
      </c>
      <c r="C5" s="17" t="s">
        <v>4312</v>
      </c>
      <c r="E5" t="s">
        <v>4313</v>
      </c>
      <c r="F5">
        <f>COUNTIF('Map Calc'!$D$2:$D$950,0)</f>
        <v>71</v>
      </c>
      <c r="G5">
        <f>COUNTIFS('Map Calc'!$D$2:$D$950,0,'Map Calc'!$P$2:$P$950,"Yes")</f>
        <v>37</v>
      </c>
      <c r="I5" t="s">
        <v>176</v>
      </c>
      <c r="J5">
        <f>COUNTIF(games!$C$2:$C$950,$I5)</f>
        <v>403</v>
      </c>
      <c r="K5">
        <f>COUNTIFS(games!$C$2:$C$950,$I5,games!$H$2:$H$950,"Yes")</f>
        <v>269</v>
      </c>
      <c r="L5" s="18">
        <f>IF($J5=0,0,$K5/$J5)</f>
        <v>0.66749379652605456</v>
      </c>
      <c r="N5">
        <v>1</v>
      </c>
      <c r="O5" t="str">
        <f>IFERROR(INDEX('Map Calc'!$A$2:$A$950,MATCH(LARGE('Map Calc'!$O$2:$O$950,1),'Map Calc'!$O$2:$O$950,0)),"")</f>
        <v>Slay the Spire</v>
      </c>
      <c r="P5">
        <f>IFERROR(INDEX('Map Calc'!$D$2:$D$950,MATCH(LARGE('Map Calc'!$O$2:$O$950,1),'Map Calc'!$O$2:$O$950,0)),"")</f>
        <v>161</v>
      </c>
      <c r="R5">
        <v>1</v>
      </c>
      <c r="S5" t="str">
        <f>IFERROR(INDEX('Map Calc'!$A$2:$A$950,MATCH(LARGE('Map Calc'!$Q$2:$Q$950,1),'Map Calc'!$Q$2:$Q$950,0)),"")</f>
        <v>Slay the Spire</v>
      </c>
      <c r="T5">
        <f>IFERROR(INDEX('Map Calc'!$D$2:$D$950,MATCH(LARGE('Map Calc'!$Q$2:$Q$950,1),'Map Calc'!$Q$2:$Q$950,0)),"")</f>
        <v>161</v>
      </c>
      <c r="V5">
        <v>1978</v>
      </c>
      <c r="W5">
        <f>COUNTIF(games!$B$2:$B$950,$V5)</f>
        <v>1</v>
      </c>
      <c r="X5">
        <f>COUNTIFS(games!$B$2:$B$950,$V5,games!$H$2:$H$950,"Yes")</f>
        <v>1</v>
      </c>
      <c r="Y5">
        <f>COUNTIF('Map Calc'!$T$2:$T$1400,$V5)</f>
        <v>0</v>
      </c>
      <c r="AA5">
        <v>0</v>
      </c>
      <c r="AB5">
        <f>COUNTIF('Map Calc'!$V$2:$V$1400,$AA5)</f>
        <v>14</v>
      </c>
    </row>
    <row r="6" spans="1:28" x14ac:dyDescent="0.25">
      <c r="A6" s="15" t="s">
        <v>4314</v>
      </c>
      <c r="B6" s="16">
        <f>COUNTIF(games!$H$2:$H$950,"Yes")</f>
        <v>580</v>
      </c>
      <c r="C6" s="17" t="s">
        <v>4315</v>
      </c>
      <c r="E6" t="s">
        <v>4316</v>
      </c>
      <c r="F6">
        <f>COUNTIF('Map Calc'!$D$2:$D$950,1)</f>
        <v>333</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106</v>
      </c>
    </row>
    <row r="7" spans="1:28" x14ac:dyDescent="0.25">
      <c r="A7" s="15" t="s">
        <v>4317</v>
      </c>
      <c r="B7" s="19">
        <f>IF(B5=0,0,B6/B5)</f>
        <v>0.62975027144408247</v>
      </c>
      <c r="C7" s="17" t="s">
        <v>4318</v>
      </c>
      <c r="E7" t="s">
        <v>4319</v>
      </c>
      <c r="F7">
        <f>COUNTIF('Map Calc'!$D$2:$D$950,2)</f>
        <v>207</v>
      </c>
      <c r="G7">
        <f>COUNTIFS('Map Calc'!$D$2:$D$950,2,'Map Calc'!$P$2:$P$950,"Yes")</f>
        <v>121</v>
      </c>
      <c r="I7" t="s">
        <v>182</v>
      </c>
      <c r="J7">
        <f>COUNTIF(games!$C$2:$C$950,$I7)</f>
        <v>188</v>
      </c>
      <c r="K7">
        <f>COUNTIFS(games!$C$2:$C$950,$I7,games!$H$2:$H$950,"Yes")</f>
        <v>100</v>
      </c>
      <c r="L7" s="18">
        <f>IF($J7=0,0,$K7/$J7)</f>
        <v>0.53191489361702127</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169</v>
      </c>
    </row>
    <row r="8" spans="1:28" x14ac:dyDescent="0.25">
      <c r="A8" s="15" t="s">
        <v>4310</v>
      </c>
      <c r="B8" s="25">
        <f>COUNTA(connections!$A$2:$A$1520)</f>
        <v>1519</v>
      </c>
      <c r="C8" s="17" t="s">
        <v>4320</v>
      </c>
      <c r="E8" t="s">
        <v>4321</v>
      </c>
      <c r="F8">
        <f>COUNTIF('Map Calc'!$D$2:$D$950,3)</f>
        <v>135</v>
      </c>
      <c r="G8">
        <f>COUNTIFS('Map Calc'!$D$2:$D$950,3,'Map Calc'!$P$2:$P$950,"Yes")</f>
        <v>91</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71</v>
      </c>
      <c r="R8">
        <v>4</v>
      </c>
      <c r="S8" t="str">
        <f>IFERROR(INDEX('Map Calc'!$A$2:$A$950,MATCH(LARGE('Map Calc'!$Q$2:$Q$950,4),'Map Calc'!$Q$2:$Q$950,0)),"")</f>
        <v>Hades</v>
      </c>
      <c r="T8">
        <f>IFERROR(INDEX('Map Calc'!$D$2:$D$950,MATCH(LARGE('Map Calc'!$Q$2:$Q$950,4),'Map Calc'!$Q$2:$Q$950,0)),"")</f>
        <v>71</v>
      </c>
      <c r="V8">
        <v>1981</v>
      </c>
      <c r="W8">
        <f>COUNTIF(games!$B$2:$B$950,$V8)</f>
        <v>0</v>
      </c>
      <c r="X8">
        <f>COUNTIFS(games!$B$2:$B$950,$V8,games!$H$2:$H$950,"Yes")</f>
        <v>0</v>
      </c>
      <c r="Y8">
        <f>COUNTIF('Map Calc'!$T$2:$T$1400,$V8)</f>
        <v>0</v>
      </c>
      <c r="AA8">
        <v>3</v>
      </c>
      <c r="AB8">
        <f>COUNTIF('Map Calc'!$V$2:$V$1400,$AA8)</f>
        <v>172</v>
      </c>
    </row>
    <row r="9" spans="1:28" x14ac:dyDescent="0.25">
      <c r="A9" s="15" t="s">
        <v>4322</v>
      </c>
      <c r="B9" s="20">
        <f>IF(B5=0,0,2*B8/B5)</f>
        <v>3.2985884907709013</v>
      </c>
      <c r="C9" s="17" t="s">
        <v>4323</v>
      </c>
      <c r="E9" t="s">
        <v>4324</v>
      </c>
      <c r="F9">
        <f>COUNTIF('Map Calc'!$D$2:$D$950,4)</f>
        <v>59</v>
      </c>
      <c r="G9">
        <f>COUNTIFS('Map Calc'!$D$2:$D$950,4,'Map Calc'!$P$2:$P$950,"Yes")</f>
        <v>36</v>
      </c>
      <c r="I9" s="21" t="s">
        <v>39</v>
      </c>
      <c r="J9" s="21">
        <f>SUM(J5:J8)</f>
        <v>921</v>
      </c>
      <c r="K9" s="21">
        <f>SUM(K5:K8)</f>
        <v>580</v>
      </c>
      <c r="L9" s="22">
        <f>IF($J9=0,0,$K9/$J9)</f>
        <v>0.62975027144408247</v>
      </c>
      <c r="N9">
        <v>5</v>
      </c>
      <c r="O9" t="str">
        <f>IFERROR(INDEX('Map Calc'!$A$2:$A$950,MATCH(LARGE('Map Calc'!$O$2:$O$950,5),'Map Calc'!$O$2:$O$950,0)),"")</f>
        <v>Balatro</v>
      </c>
      <c r="P9">
        <f>IFERROR(INDEX('Map Calc'!$D$2:$D$950,MATCH(LARGE('Map Calc'!$O$2:$O$950,5),'Map Calc'!$O$2:$O$950,0)),"")</f>
        <v>62</v>
      </c>
      <c r="R9">
        <v>5</v>
      </c>
      <c r="S9" t="str">
        <f>IFERROR(INDEX('Map Calc'!$A$2:$A$950,MATCH(LARGE('Map Calc'!$Q$2:$Q$950,5),'Map Calc'!$Q$2:$Q$950,0)),"")</f>
        <v>Balatro</v>
      </c>
      <c r="T9">
        <f>IFERROR(INDEX('Map Calc'!$D$2:$D$950,MATCH(LARGE('Map Calc'!$Q$2:$Q$950,5),'Map Calc'!$Q$2:$Q$950,0)),"")</f>
        <v>62</v>
      </c>
      <c r="V9">
        <v>1982</v>
      </c>
      <c r="W9">
        <f>COUNTIF(games!$B$2:$B$950,$V9)</f>
        <v>1</v>
      </c>
      <c r="X9">
        <f>COUNTIFS(games!$B$2:$B$950,$V9,games!$H$2:$H$950,"Yes")</f>
        <v>0</v>
      </c>
      <c r="Y9">
        <f>COUNTIF('Map Calc'!$T$2:$T$1400,$V9)</f>
        <v>1</v>
      </c>
      <c r="AA9">
        <v>4</v>
      </c>
      <c r="AB9">
        <f>COUNTIF('Map Calc'!$V$2:$V$1400,$AA9)</f>
        <v>161</v>
      </c>
    </row>
    <row r="10" spans="1:28" x14ac:dyDescent="0.25">
      <c r="A10" s="15" t="s">
        <v>4325</v>
      </c>
      <c r="B10" s="20">
        <f>IFERROR(SUMIFS('Map Calc'!$D$2:$D$950,games!$H$2:$H$950,"Yes")/B6,0)</f>
        <v>4.0862068965517242</v>
      </c>
      <c r="C10" s="17" t="s">
        <v>4326</v>
      </c>
      <c r="E10" t="s">
        <v>4327</v>
      </c>
      <c r="F10">
        <f>COUNTIF('Map Calc'!$D$2:$D$950,5)</f>
        <v>35</v>
      </c>
      <c r="G10">
        <f>COUNTIFS('Map Calc'!$D$2:$D$950,5,'Map Calc'!$P$2:$P$950,"Yes")</f>
        <v>20</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4</v>
      </c>
      <c r="AA10">
        <v>5</v>
      </c>
      <c r="AB10">
        <f>COUNTIF('Map Calc'!$V$2:$V$1400,$AA10)</f>
        <v>136</v>
      </c>
    </row>
    <row r="11" spans="1:28" x14ac:dyDescent="0.25">
      <c r="A11" s="15" t="s">
        <v>4328</v>
      </c>
      <c r="B11" s="16">
        <f>MEDIAN('Map Calc'!$D$2:$D$950)</f>
        <v>2</v>
      </c>
      <c r="C11" s="17" t="s">
        <v>4329</v>
      </c>
      <c r="E11" t="s">
        <v>4330</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106</v>
      </c>
    </row>
    <row r="12" spans="1:28" x14ac:dyDescent="0.25">
      <c r="A12" s="15" t="s">
        <v>4331</v>
      </c>
      <c r="B12" s="16">
        <f>MAX('Map Calc'!$D$2:$D$950)</f>
        <v>161</v>
      </c>
      <c r="C12" s="17" t="s">
        <v>4332</v>
      </c>
      <c r="E12" t="s">
        <v>4333</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4334</v>
      </c>
      <c r="B13" s="16">
        <f>COUNTIF('Map Calc'!$D$2:$D$950,1)</f>
        <v>333</v>
      </c>
      <c r="C13" s="17" t="s">
        <v>4335</v>
      </c>
      <c r="E13" t="s">
        <v>4336</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75</v>
      </c>
    </row>
    <row r="14" spans="1:28" x14ac:dyDescent="0.25">
      <c r="A14" s="15" t="s">
        <v>4337</v>
      </c>
      <c r="B14" s="16">
        <f>COUNTIF('Map Calc'!$D$2:$D$950,0)</f>
        <v>71</v>
      </c>
      <c r="C14" s="17" t="s">
        <v>4338</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4339</v>
      </c>
      <c r="B15" s="16">
        <f>B13+B14</f>
        <v>404</v>
      </c>
      <c r="C15" s="17" t="s">
        <v>4340</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4341</v>
      </c>
      <c r="B16" s="16">
        <f>COUNTIFS(games!$H$2:$H$950,"Yes",'Map Calc'!$D$2:$D$950,"&gt;1")</f>
        <v>339</v>
      </c>
      <c r="C16" s="17" t="s">
        <v>4342</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4343</v>
      </c>
      <c r="AB16">
        <f>COUNTIFS('Map Calc'!$V$2:$V$1400,"&gt;=11",'Map Calc'!$V$2:$V$1400,"&lt;=20")</f>
        <v>154</v>
      </c>
    </row>
    <row r="17" spans="1:28" x14ac:dyDescent="0.25">
      <c r="A17" s="15" t="s">
        <v>4344</v>
      </c>
      <c r="B17" s="16">
        <f>COUNTIFS(games!$H$2:$H$950,"Yes",'Map Calc'!$D$2:$D$950,"&lt;=1")</f>
        <v>241</v>
      </c>
      <c r="C17" s="17" t="s">
        <v>4345</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4346</v>
      </c>
      <c r="AB17">
        <f>COUNTIF('Map Calc'!$V$2:$V$1400,"&gt;=21")</f>
        <v>104</v>
      </c>
    </row>
    <row r="18" spans="1:28" x14ac:dyDescent="0.25">
      <c r="A18" s="15" t="s">
        <v>4347</v>
      </c>
      <c r="B18" s="23" t="e">
        <f>SUMPRODUCT(('Map Calc'!$V$2:$V$1400&lt;&gt;"")*('Map Calc'!$V$2:$V$1400&lt;0))</f>
        <v>#REF!</v>
      </c>
      <c r="C18" s="17" t="s">
        <v>4348</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4349</v>
      </c>
      <c r="B19" s="16" t="e">
        <f>SUMPRODUCT(('Map Calc'!$V$2:$V$1400&lt;&gt;"")*('Map Calc'!$V$2:$V$1400=0))</f>
        <v>#REF!</v>
      </c>
      <c r="C19" s="17" t="s">
        <v>4350</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4351</v>
      </c>
      <c r="B20" s="24" t="e">
        <f>MEDIAN('Map Calc'!$V$2:$V$1400)</f>
        <v>#REF!</v>
      </c>
      <c r="C20" s="17" t="s">
        <v>4352</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4353</v>
      </c>
      <c r="B21" s="25">
        <f>COUNTIF(connections!$D$2:$D$1520,"Yes")</f>
        <v>153</v>
      </c>
      <c r="C21" s="17" t="s">
        <v>4354</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4355</v>
      </c>
      <c r="B22" s="25">
        <f>COUNTA(connections!$E$2:$E$1520)</f>
        <v>1368</v>
      </c>
      <c r="C22" s="17" t="s">
        <v>4356</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4357</v>
      </c>
      <c r="B23" s="16">
        <f>COUNTIFS(games!$H$2:$H$950,"Yes",games!$J$2:$J$950,"")</f>
        <v>90</v>
      </c>
      <c r="C23" s="17" t="s">
        <v>4358</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160</v>
      </c>
      <c r="X52">
        <f>COUNTIFS(games!$B$2:$B$950,$V52,games!$H$2:$H$950,"Yes")</f>
        <v>83</v>
      </c>
      <c r="Y52">
        <f>COUNTIF('Map Calc'!$T$2:$T$1400,$V52)</f>
        <v>13</v>
      </c>
    </row>
    <row r="53" spans="22:25" x14ac:dyDescent="0.25">
      <c r="V53">
        <v>2026</v>
      </c>
      <c r="W53">
        <f>COUNTIF(games!$B$2:$B$950,$V53)</f>
        <v>118</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4267</v>
      </c>
      <c r="F1" t="s">
        <v>3493</v>
      </c>
      <c r="G1" t="s">
        <v>4268</v>
      </c>
      <c r="H1" t="s">
        <v>7</v>
      </c>
    </row>
    <row r="2" spans="1:8" x14ac:dyDescent="0.25">
      <c r="B2" t="s">
        <v>4269</v>
      </c>
      <c r="C2" t="s">
        <v>3739</v>
      </c>
      <c r="D2" t="s">
        <v>41</v>
      </c>
      <c r="E2" t="s">
        <v>4270</v>
      </c>
      <c r="F2" t="s">
        <v>3455</v>
      </c>
      <c r="G2" t="s">
        <v>4271</v>
      </c>
    </row>
    <row r="3" spans="1:8" x14ac:dyDescent="0.25">
      <c r="B3" t="s">
        <v>4269</v>
      </c>
      <c r="C3" t="s">
        <v>3773</v>
      </c>
      <c r="D3" t="s">
        <v>41</v>
      </c>
      <c r="E3" t="s">
        <v>4272</v>
      </c>
      <c r="G3" t="s">
        <v>4273</v>
      </c>
    </row>
    <row r="4" spans="1:8" x14ac:dyDescent="0.25">
      <c r="B4" t="s">
        <v>4269</v>
      </c>
      <c r="C4" t="s">
        <v>3787</v>
      </c>
      <c r="D4" t="s">
        <v>41</v>
      </c>
      <c r="E4" t="s">
        <v>4274</v>
      </c>
      <c r="G4" t="s">
        <v>4275</v>
      </c>
    </row>
    <row r="5" spans="1:8" x14ac:dyDescent="0.25">
      <c r="B5" t="s">
        <v>4276</v>
      </c>
      <c r="C5" t="s">
        <v>3739</v>
      </c>
      <c r="D5" t="s">
        <v>41</v>
      </c>
      <c r="E5" t="s">
        <v>4277</v>
      </c>
      <c r="F5" t="s">
        <v>3455</v>
      </c>
      <c r="G5" t="s">
        <v>4278</v>
      </c>
    </row>
    <row r="6" spans="1:8" x14ac:dyDescent="0.25">
      <c r="B6" t="s">
        <v>4276</v>
      </c>
      <c r="C6" t="s">
        <v>3773</v>
      </c>
      <c r="D6" t="s">
        <v>41</v>
      </c>
      <c r="E6" t="s">
        <v>4279</v>
      </c>
      <c r="G6" t="s">
        <v>4280</v>
      </c>
    </row>
    <row r="7" spans="1:8" x14ac:dyDescent="0.25">
      <c r="B7" t="s">
        <v>4276</v>
      </c>
      <c r="C7" t="s">
        <v>3787</v>
      </c>
      <c r="D7" t="s">
        <v>41</v>
      </c>
      <c r="E7" t="s">
        <v>4281</v>
      </c>
      <c r="G7" t="s">
        <v>4282</v>
      </c>
    </row>
    <row r="8" spans="1:8" x14ac:dyDescent="0.25">
      <c r="B8" t="s">
        <v>4283</v>
      </c>
      <c r="C8" t="s">
        <v>3739</v>
      </c>
      <c r="D8" t="s">
        <v>41</v>
      </c>
      <c r="E8" t="s">
        <v>4284</v>
      </c>
      <c r="F8" t="s">
        <v>3455</v>
      </c>
    </row>
    <row r="9" spans="1:8" x14ac:dyDescent="0.25">
      <c r="B9" t="s">
        <v>4283</v>
      </c>
      <c r="C9" t="s">
        <v>3773</v>
      </c>
      <c r="D9" t="s">
        <v>41</v>
      </c>
      <c r="E9" t="s">
        <v>4285</v>
      </c>
    </row>
    <row r="10" spans="1:8" x14ac:dyDescent="0.25">
      <c r="B10" t="s">
        <v>4283</v>
      </c>
      <c r="C10" t="s">
        <v>3787</v>
      </c>
      <c r="D10" t="s">
        <v>41</v>
      </c>
      <c r="E10" t="s">
        <v>4286</v>
      </c>
    </row>
    <row r="11" spans="1:8" x14ac:dyDescent="0.25">
      <c r="B11" t="s">
        <v>4283</v>
      </c>
      <c r="C11" t="s">
        <v>3907</v>
      </c>
      <c r="D11" t="s">
        <v>41</v>
      </c>
      <c r="E11" t="s">
        <v>4287</v>
      </c>
      <c r="G11" t="s">
        <v>4288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3731</v>
      </c>
      <c r="D1" t="s">
        <v>3734</v>
      </c>
      <c r="E1" t="s">
        <v>3735</v>
      </c>
      <c r="F1" t="s">
        <v>4289</v>
      </c>
      <c r="G1" t="s">
        <v>4228</v>
      </c>
      <c r="H1" t="s">
        <v>4290</v>
      </c>
      <c r="I1" t="s">
        <v>4291</v>
      </c>
    </row>
    <row r="2" spans="1:9" x14ac:dyDescent="0.25">
      <c r="A2" t="s">
        <v>4292</v>
      </c>
      <c r="B2" t="s">
        <v>2619</v>
      </c>
      <c r="C2" t="s">
        <v>3739</v>
      </c>
      <c r="D2" t="s">
        <v>3748</v>
      </c>
      <c r="E2" t="s">
        <v>4293</v>
      </c>
      <c r="F2" t="s">
        <v>3462</v>
      </c>
      <c r="G2" t="s">
        <v>4294</v>
      </c>
      <c r="H2" t="s">
        <v>4295</v>
      </c>
      <c r="I2" t="s">
        <v>3672</v>
      </c>
    </row>
    <row r="3" spans="1:9" x14ac:dyDescent="0.25">
      <c r="A3" t="s">
        <v>4296</v>
      </c>
      <c r="B3" t="s">
        <v>2619</v>
      </c>
      <c r="C3" t="s">
        <v>3739</v>
      </c>
      <c r="D3" t="s">
        <v>3741</v>
      </c>
      <c r="E3" t="s">
        <v>4297</v>
      </c>
      <c r="F3" t="s">
        <v>3462</v>
      </c>
      <c r="G3" t="s">
        <v>4294</v>
      </c>
      <c r="I3" t="s">
        <v>4298</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7549</v>
      </c>
      <c r="B1" t="s">
        <v>7550</v>
      </c>
      <c r="C1" t="s">
        <v>7568</v>
      </c>
      <c r="D1" t="s">
        <v>7482</v>
      </c>
      <c r="E1" t="s">
        <v>7483</v>
      </c>
      <c r="F1" t="s">
        <v>7536</v>
      </c>
      <c r="G1" t="s">
        <v>7576</v>
      </c>
      <c r="H1" t="s">
        <v>7484</v>
      </c>
      <c r="I1" t="s">
        <v>7485</v>
      </c>
      <c r="J1" t="s">
        <v>7537</v>
      </c>
      <c r="K1" t="s">
        <v>7577</v>
      </c>
      <c r="L1" t="s">
        <v>7486</v>
      </c>
      <c r="M1" t="s">
        <v>7487</v>
      </c>
      <c r="N1" t="s">
        <v>7539</v>
      </c>
      <c r="O1" t="s">
        <v>7578</v>
      </c>
      <c r="P1" t="s">
        <v>7730</v>
      </c>
      <c r="Q1" t="s">
        <v>7731</v>
      </c>
      <c r="R1" t="s">
        <v>7732</v>
      </c>
      <c r="S1" t="s">
        <v>7733</v>
      </c>
      <c r="U1" t="s">
        <v>7558</v>
      </c>
      <c r="V1" t="s">
        <v>7734</v>
      </c>
      <c r="W1" t="s">
        <v>7579</v>
      </c>
    </row>
    <row r="2" spans="1:23" x14ac:dyDescent="0.25">
      <c r="A2" t="s">
        <v>7522</v>
      </c>
      <c r="B2" t="s">
        <v>7594</v>
      </c>
      <c r="C2" t="s">
        <v>4939</v>
      </c>
      <c r="D2" t="s">
        <v>7582</v>
      </c>
      <c r="E2" t="s">
        <v>7708</v>
      </c>
      <c r="F2" t="s">
        <v>7707</v>
      </c>
      <c r="G2" t="s">
        <v>7560</v>
      </c>
      <c r="U2" t="s">
        <v>3440</v>
      </c>
      <c r="V2" t="s">
        <v>7560</v>
      </c>
    </row>
    <row r="3" spans="1:23" x14ac:dyDescent="0.25">
      <c r="A3" t="s">
        <v>7501</v>
      </c>
      <c r="B3" t="s">
        <v>7594</v>
      </c>
      <c r="C3" t="s">
        <v>4939</v>
      </c>
      <c r="D3" t="s">
        <v>3677</v>
      </c>
      <c r="E3" t="s">
        <v>7753</v>
      </c>
      <c r="F3" t="s">
        <v>7707</v>
      </c>
      <c r="G3" t="s">
        <v>7560</v>
      </c>
      <c r="U3" t="s">
        <v>7544</v>
      </c>
      <c r="V3" t="s">
        <v>7560</v>
      </c>
      <c r="W3" t="s">
        <v>7590</v>
      </c>
    </row>
    <row r="4" spans="1:23" x14ac:dyDescent="0.25">
      <c r="A4" t="s">
        <v>7506</v>
      </c>
      <c r="B4" t="s">
        <v>7594</v>
      </c>
      <c r="C4" t="s">
        <v>4939</v>
      </c>
      <c r="D4" t="s">
        <v>3445</v>
      </c>
      <c r="E4" t="s">
        <v>7544</v>
      </c>
      <c r="F4" t="s">
        <v>7707</v>
      </c>
      <c r="G4" t="s">
        <v>7560</v>
      </c>
      <c r="U4" t="s">
        <v>7559</v>
      </c>
      <c r="V4" t="s">
        <v>7560</v>
      </c>
      <c r="W4" t="s">
        <v>3517</v>
      </c>
    </row>
    <row r="5" spans="1:23" x14ac:dyDescent="0.25">
      <c r="A5" t="s">
        <v>7508</v>
      </c>
      <c r="B5" t="s">
        <v>7594</v>
      </c>
      <c r="C5" t="s">
        <v>4939</v>
      </c>
      <c r="D5" t="s">
        <v>3574</v>
      </c>
      <c r="E5" t="s">
        <v>3439</v>
      </c>
      <c r="F5" t="s">
        <v>7707</v>
      </c>
      <c r="G5" t="s">
        <v>7560</v>
      </c>
      <c r="U5" t="s">
        <v>7721</v>
      </c>
      <c r="V5" t="s">
        <v>7560</v>
      </c>
      <c r="W5" t="s">
        <v>3438</v>
      </c>
    </row>
    <row r="6" spans="1:23" x14ac:dyDescent="0.25">
      <c r="A6" t="s">
        <v>7512</v>
      </c>
      <c r="B6" t="s">
        <v>7594</v>
      </c>
      <c r="C6" t="s">
        <v>4939</v>
      </c>
      <c r="D6" t="s">
        <v>3438</v>
      </c>
      <c r="E6" t="s">
        <v>7543</v>
      </c>
      <c r="F6" t="s">
        <v>7707</v>
      </c>
      <c r="G6" t="s">
        <v>7560</v>
      </c>
      <c r="U6" t="s">
        <v>7720</v>
      </c>
      <c r="V6" t="s">
        <v>7561</v>
      </c>
      <c r="W6" t="s">
        <v>3445</v>
      </c>
    </row>
    <row r="7" spans="1:23" x14ac:dyDescent="0.25">
      <c r="A7" t="s">
        <v>7518</v>
      </c>
      <c r="B7" t="s">
        <v>7594</v>
      </c>
      <c r="C7" t="s">
        <v>4939</v>
      </c>
      <c r="D7" t="s">
        <v>5421</v>
      </c>
      <c r="E7" t="s">
        <v>7709</v>
      </c>
      <c r="F7" t="s">
        <v>7707</v>
      </c>
      <c r="G7" t="s">
        <v>7560</v>
      </c>
      <c r="U7" t="s">
        <v>7709</v>
      </c>
      <c r="V7" t="s">
        <v>7560</v>
      </c>
      <c r="W7" t="s">
        <v>7581</v>
      </c>
    </row>
    <row r="8" spans="1:23" x14ac:dyDescent="0.25">
      <c r="A8" t="s">
        <v>3518</v>
      </c>
      <c r="B8" t="s">
        <v>7594</v>
      </c>
      <c r="C8" t="s">
        <v>4939</v>
      </c>
      <c r="D8" t="s">
        <v>7591</v>
      </c>
      <c r="E8" t="s">
        <v>7711</v>
      </c>
      <c r="F8" t="s">
        <v>7545</v>
      </c>
      <c r="G8" t="s">
        <v>7560</v>
      </c>
      <c r="U8" t="s">
        <v>7622</v>
      </c>
      <c r="V8" t="s">
        <v>7560</v>
      </c>
      <c r="W8" t="s">
        <v>7591</v>
      </c>
    </row>
    <row r="9" spans="1:23" x14ac:dyDescent="0.25">
      <c r="A9" t="s">
        <v>7704</v>
      </c>
      <c r="B9" t="s">
        <v>7594</v>
      </c>
      <c r="C9" t="s">
        <v>4939</v>
      </c>
      <c r="D9" t="s">
        <v>3585</v>
      </c>
      <c r="E9" t="s">
        <v>7580</v>
      </c>
      <c r="F9" t="s">
        <v>7707</v>
      </c>
      <c r="G9" t="s">
        <v>7560</v>
      </c>
      <c r="U9" t="s">
        <v>4242</v>
      </c>
      <c r="V9" t="s">
        <v>7561</v>
      </c>
      <c r="W9" t="s">
        <v>3439</v>
      </c>
    </row>
    <row r="10" spans="1:23" x14ac:dyDescent="0.25">
      <c r="A10" t="s">
        <v>7496</v>
      </c>
      <c r="B10" t="s">
        <v>7594</v>
      </c>
      <c r="C10" t="s">
        <v>4939</v>
      </c>
      <c r="D10" t="s">
        <v>3677</v>
      </c>
      <c r="E10" t="s">
        <v>7712</v>
      </c>
      <c r="F10" t="s">
        <v>7707</v>
      </c>
      <c r="G10" t="s">
        <v>7560</v>
      </c>
      <c r="U10" t="s">
        <v>3441</v>
      </c>
      <c r="V10" t="s">
        <v>7560</v>
      </c>
    </row>
    <row r="11" spans="1:23" x14ac:dyDescent="0.25">
      <c r="A11" t="s">
        <v>7515</v>
      </c>
      <c r="B11" t="s">
        <v>7594</v>
      </c>
      <c r="C11" t="s">
        <v>4939</v>
      </c>
      <c r="D11" t="s">
        <v>3438</v>
      </c>
      <c r="E11" t="s">
        <v>7543</v>
      </c>
      <c r="F11" t="s">
        <v>7707</v>
      </c>
      <c r="G11" t="s">
        <v>7560</v>
      </c>
      <c r="U11" t="s">
        <v>7742</v>
      </c>
      <c r="V11" t="s">
        <v>7561</v>
      </c>
      <c r="W11" t="s">
        <v>7581</v>
      </c>
    </row>
    <row r="12" spans="1:23" x14ac:dyDescent="0.25">
      <c r="A12" t="s">
        <v>3674</v>
      </c>
      <c r="B12" t="s">
        <v>7594</v>
      </c>
      <c r="C12" t="s">
        <v>4939</v>
      </c>
      <c r="D12" t="s">
        <v>3677</v>
      </c>
      <c r="E12" t="s">
        <v>7713</v>
      </c>
      <c r="F12" t="s">
        <v>7707</v>
      </c>
      <c r="G12" t="s">
        <v>7560</v>
      </c>
      <c r="U12" t="s">
        <v>7623</v>
      </c>
      <c r="V12" t="s">
        <v>7560</v>
      </c>
      <c r="W12" t="s">
        <v>7582</v>
      </c>
    </row>
    <row r="13" spans="1:23" x14ac:dyDescent="0.25">
      <c r="A13" t="s">
        <v>7493</v>
      </c>
      <c r="B13" t="s">
        <v>7594</v>
      </c>
      <c r="C13" t="s">
        <v>4939</v>
      </c>
      <c r="D13" t="s">
        <v>7591</v>
      </c>
      <c r="E13" t="s">
        <v>7711</v>
      </c>
      <c r="F13" t="s">
        <v>7707</v>
      </c>
      <c r="G13" t="s">
        <v>7560</v>
      </c>
      <c r="U13" t="s">
        <v>7623</v>
      </c>
      <c r="V13" t="s">
        <v>7560</v>
      </c>
      <c r="W13" t="s">
        <v>3585</v>
      </c>
    </row>
    <row r="14" spans="1:23" x14ac:dyDescent="0.25">
      <c r="A14" t="s">
        <v>7494</v>
      </c>
      <c r="B14" t="s">
        <v>7594</v>
      </c>
      <c r="C14" t="s">
        <v>4939</v>
      </c>
      <c r="D14" t="s">
        <v>3438</v>
      </c>
      <c r="E14" t="s">
        <v>7543</v>
      </c>
      <c r="F14" t="s">
        <v>7707</v>
      </c>
      <c r="G14" t="s">
        <v>7560</v>
      </c>
      <c r="U14" t="s">
        <v>7716</v>
      </c>
      <c r="V14" t="s">
        <v>7561</v>
      </c>
    </row>
    <row r="15" spans="1:23" x14ac:dyDescent="0.25">
      <c r="A15" t="s">
        <v>7498</v>
      </c>
      <c r="B15" t="s">
        <v>7594</v>
      </c>
      <c r="C15" t="s">
        <v>4939</v>
      </c>
      <c r="D15" t="s">
        <v>7592</v>
      </c>
      <c r="E15" t="s">
        <v>7587</v>
      </c>
      <c r="F15" t="s">
        <v>7707</v>
      </c>
      <c r="G15" t="s">
        <v>7560</v>
      </c>
      <c r="U15" t="s">
        <v>7743</v>
      </c>
      <c r="V15" t="s">
        <v>7561</v>
      </c>
      <c r="W15" t="s">
        <v>3585</v>
      </c>
    </row>
    <row r="16" spans="1:23" x14ac:dyDescent="0.25">
      <c r="A16" t="s">
        <v>7439</v>
      </c>
      <c r="B16" t="s">
        <v>7538</v>
      </c>
      <c r="C16" t="s">
        <v>7744</v>
      </c>
      <c r="D16" t="s">
        <v>7722</v>
      </c>
      <c r="E16" t="s">
        <v>7572</v>
      </c>
      <c r="F16" t="s">
        <v>7555</v>
      </c>
      <c r="G16" t="s">
        <v>7560</v>
      </c>
      <c r="U16" t="s">
        <v>7571</v>
      </c>
      <c r="V16" t="s">
        <v>7561</v>
      </c>
      <c r="W16" t="s">
        <v>7546</v>
      </c>
    </row>
    <row r="17" spans="1:23" x14ac:dyDescent="0.25">
      <c r="A17" t="s">
        <v>7468</v>
      </c>
      <c r="B17" t="s">
        <v>7538</v>
      </c>
      <c r="C17" t="s">
        <v>7744</v>
      </c>
      <c r="D17" t="s">
        <v>7593</v>
      </c>
      <c r="E17" t="s">
        <v>7745</v>
      </c>
      <c r="F17" t="s">
        <v>7575</v>
      </c>
      <c r="G17" t="s">
        <v>7561</v>
      </c>
      <c r="U17" t="s">
        <v>7745</v>
      </c>
      <c r="V17" t="s">
        <v>7560</v>
      </c>
      <c r="W17" t="s">
        <v>4005</v>
      </c>
    </row>
    <row r="18" spans="1:23" x14ac:dyDescent="0.25">
      <c r="A18" t="s">
        <v>7429</v>
      </c>
      <c r="B18" t="s">
        <v>7538</v>
      </c>
      <c r="C18" t="s">
        <v>7744</v>
      </c>
      <c r="D18" t="s">
        <v>5520</v>
      </c>
      <c r="E18" t="s">
        <v>7748</v>
      </c>
      <c r="F18" t="s">
        <v>7754</v>
      </c>
      <c r="G18" t="s">
        <v>7560</v>
      </c>
      <c r="U18" t="s">
        <v>7563</v>
      </c>
      <c r="V18" t="s">
        <v>7560</v>
      </c>
      <c r="W18" t="s">
        <v>7548</v>
      </c>
    </row>
    <row r="19" spans="1:23" x14ac:dyDescent="0.25">
      <c r="A19" t="s">
        <v>7399</v>
      </c>
      <c r="B19" t="s">
        <v>7538</v>
      </c>
      <c r="C19" t="s">
        <v>7744</v>
      </c>
      <c r="D19" t="s">
        <v>5520</v>
      </c>
      <c r="E19" t="s">
        <v>7742</v>
      </c>
      <c r="F19" t="s">
        <v>7749</v>
      </c>
      <c r="G19" t="s">
        <v>7560</v>
      </c>
      <c r="U19" t="s">
        <v>7572</v>
      </c>
      <c r="V19" t="s">
        <v>7560</v>
      </c>
      <c r="W19" t="s">
        <v>5421</v>
      </c>
    </row>
    <row r="20" spans="1:23" x14ac:dyDescent="0.25">
      <c r="A20" t="s">
        <v>7394</v>
      </c>
      <c r="B20" t="s">
        <v>7538</v>
      </c>
      <c r="C20" t="s">
        <v>7744</v>
      </c>
      <c r="D20" t="s">
        <v>3585</v>
      </c>
      <c r="E20" t="s">
        <v>7583</v>
      </c>
      <c r="F20" t="s">
        <v>7755</v>
      </c>
      <c r="G20" t="s">
        <v>7561</v>
      </c>
      <c r="U20" t="s">
        <v>7574</v>
      </c>
      <c r="V20" t="s">
        <v>7560</v>
      </c>
      <c r="W20" t="s">
        <v>7625</v>
      </c>
    </row>
    <row r="21" spans="1:23" x14ac:dyDescent="0.25">
      <c r="A21" t="s">
        <v>7445</v>
      </c>
      <c r="B21" t="s">
        <v>7538</v>
      </c>
      <c r="C21" t="s">
        <v>7744</v>
      </c>
      <c r="D21" t="s">
        <v>7756</v>
      </c>
      <c r="E21" t="s">
        <v>7757</v>
      </c>
      <c r="F21" t="s">
        <v>7755</v>
      </c>
      <c r="G21" t="s">
        <v>7560</v>
      </c>
      <c r="U21" t="s">
        <v>3439</v>
      </c>
      <c r="V21" t="s">
        <v>7560</v>
      </c>
    </row>
    <row r="22" spans="1:23" x14ac:dyDescent="0.25">
      <c r="A22" t="s">
        <v>7686</v>
      </c>
      <c r="B22" t="s">
        <v>7538</v>
      </c>
      <c r="C22" t="s">
        <v>7744</v>
      </c>
      <c r="D22" t="s">
        <v>3438</v>
      </c>
      <c r="E22" t="s">
        <v>7489</v>
      </c>
      <c r="F22" t="s">
        <v>7755</v>
      </c>
      <c r="G22" t="s">
        <v>7561</v>
      </c>
      <c r="U22" t="s">
        <v>7627</v>
      </c>
      <c r="V22" t="s">
        <v>7560</v>
      </c>
    </row>
    <row r="23" spans="1:23" x14ac:dyDescent="0.25">
      <c r="A23" t="s">
        <v>7689</v>
      </c>
      <c r="B23" t="s">
        <v>7538</v>
      </c>
      <c r="C23" t="s">
        <v>7744</v>
      </c>
      <c r="D23" t="s">
        <v>7593</v>
      </c>
      <c r="E23" t="s">
        <v>7716</v>
      </c>
      <c r="F23" t="s">
        <v>7749</v>
      </c>
      <c r="G23" t="s">
        <v>7560</v>
      </c>
      <c r="H23" t="s">
        <v>3585</v>
      </c>
      <c r="I23" t="s">
        <v>7583</v>
      </c>
      <c r="J23" t="s">
        <v>7555</v>
      </c>
      <c r="K23" t="s">
        <v>7560</v>
      </c>
      <c r="L23" t="s">
        <v>3574</v>
      </c>
      <c r="M23" t="s">
        <v>3439</v>
      </c>
      <c r="N23" t="s">
        <v>7555</v>
      </c>
      <c r="O23" t="s">
        <v>7560</v>
      </c>
      <c r="P23" t="s">
        <v>7584</v>
      </c>
      <c r="Q23" t="s">
        <v>7758</v>
      </c>
      <c r="R23" t="s">
        <v>7749</v>
      </c>
      <c r="S23" t="s">
        <v>7560</v>
      </c>
      <c r="U23" t="s">
        <v>7597</v>
      </c>
      <c r="V23" t="s">
        <v>7561</v>
      </c>
    </row>
    <row r="24" spans="1:23" x14ac:dyDescent="0.25">
      <c r="A24" t="s">
        <v>5199</v>
      </c>
      <c r="B24" t="s">
        <v>7538</v>
      </c>
      <c r="C24" t="s">
        <v>7744</v>
      </c>
      <c r="D24" t="s">
        <v>7593</v>
      </c>
      <c r="E24" t="s">
        <v>7743</v>
      </c>
      <c r="F24" t="s">
        <v>7749</v>
      </c>
      <c r="G24" t="s">
        <v>7561</v>
      </c>
      <c r="U24" t="s">
        <v>7598</v>
      </c>
      <c r="V24" t="s">
        <v>7560</v>
      </c>
    </row>
    <row r="25" spans="1:23" x14ac:dyDescent="0.25">
      <c r="A25" t="s">
        <v>7385</v>
      </c>
      <c r="B25" t="s">
        <v>7538</v>
      </c>
      <c r="C25" t="s">
        <v>7744</v>
      </c>
      <c r="D25" t="s">
        <v>5520</v>
      </c>
      <c r="E25" t="s">
        <v>7721</v>
      </c>
      <c r="F25" t="s">
        <v>7754</v>
      </c>
      <c r="G25" t="s">
        <v>7561</v>
      </c>
      <c r="U25" t="s">
        <v>7543</v>
      </c>
      <c r="V25" t="s">
        <v>7560</v>
      </c>
    </row>
    <row r="26" spans="1:23" x14ac:dyDescent="0.25">
      <c r="A26" t="s">
        <v>1322</v>
      </c>
      <c r="B26" t="s">
        <v>7538</v>
      </c>
      <c r="C26" t="s">
        <v>7744</v>
      </c>
      <c r="D26" t="s">
        <v>5520</v>
      </c>
      <c r="E26" t="s">
        <v>7742</v>
      </c>
      <c r="F26" t="s">
        <v>7538</v>
      </c>
      <c r="G26" t="s">
        <v>7560</v>
      </c>
      <c r="I26" t="s">
        <v>7741</v>
      </c>
      <c r="U26" t="s">
        <v>7553</v>
      </c>
      <c r="V26" t="s">
        <v>7560</v>
      </c>
    </row>
    <row r="27" spans="1:23" x14ac:dyDescent="0.25">
      <c r="A27" t="s">
        <v>7407</v>
      </c>
      <c r="B27" t="s">
        <v>7538</v>
      </c>
      <c r="C27" t="s">
        <v>7744</v>
      </c>
      <c r="D27" t="s">
        <v>7584</v>
      </c>
      <c r="E27" t="s">
        <v>4242</v>
      </c>
      <c r="F27" t="s">
        <v>7755</v>
      </c>
      <c r="G27" t="s">
        <v>7560</v>
      </c>
      <c r="U27" t="s">
        <v>7708</v>
      </c>
      <c r="V27" t="s">
        <v>7560</v>
      </c>
    </row>
    <row r="28" spans="1:23" x14ac:dyDescent="0.25">
      <c r="A28" t="s">
        <v>7422</v>
      </c>
      <c r="B28" t="s">
        <v>7538</v>
      </c>
      <c r="C28" t="s">
        <v>7744</v>
      </c>
      <c r="D28" t="s">
        <v>3455</v>
      </c>
      <c r="U28" t="s">
        <v>3448</v>
      </c>
      <c r="V28" t="s">
        <v>7560</v>
      </c>
    </row>
    <row r="29" spans="1:23" x14ac:dyDescent="0.25">
      <c r="A29" t="s">
        <v>7420</v>
      </c>
      <c r="B29" t="s">
        <v>7538</v>
      </c>
      <c r="C29" t="s">
        <v>7744</v>
      </c>
      <c r="D29" t="s">
        <v>7593</v>
      </c>
      <c r="E29" t="s">
        <v>7716</v>
      </c>
      <c r="F29" t="s">
        <v>7749</v>
      </c>
      <c r="G29" t="s">
        <v>7560</v>
      </c>
      <c r="H29" t="s">
        <v>3585</v>
      </c>
      <c r="I29" t="s">
        <v>7583</v>
      </c>
      <c r="J29" t="s">
        <v>7555</v>
      </c>
      <c r="K29" t="s">
        <v>7560</v>
      </c>
      <c r="L29" t="s">
        <v>3574</v>
      </c>
      <c r="M29" t="s">
        <v>3439</v>
      </c>
      <c r="N29" t="s">
        <v>7555</v>
      </c>
      <c r="O29" t="s">
        <v>7560</v>
      </c>
      <c r="P29" t="s">
        <v>7584</v>
      </c>
      <c r="Q29" t="s">
        <v>7758</v>
      </c>
      <c r="R29" t="s">
        <v>7749</v>
      </c>
      <c r="S29" t="s">
        <v>7560</v>
      </c>
      <c r="U29" t="s">
        <v>7583</v>
      </c>
      <c r="V29" t="s">
        <v>7560</v>
      </c>
    </row>
    <row r="30" spans="1:23" x14ac:dyDescent="0.25">
      <c r="A30" t="s">
        <v>7403</v>
      </c>
      <c r="B30" t="s">
        <v>7538</v>
      </c>
      <c r="C30" t="s">
        <v>7744</v>
      </c>
      <c r="D30" t="s">
        <v>7593</v>
      </c>
      <c r="E30" t="s">
        <v>7745</v>
      </c>
      <c r="F30" t="s">
        <v>7754</v>
      </c>
      <c r="G30" t="s">
        <v>7560</v>
      </c>
      <c r="U30" t="s">
        <v>7580</v>
      </c>
      <c r="V30" t="s">
        <v>7560</v>
      </c>
    </row>
    <row r="31" spans="1:23" x14ac:dyDescent="0.25">
      <c r="A31" t="s">
        <v>7449</v>
      </c>
      <c r="B31" t="s">
        <v>7538</v>
      </c>
      <c r="C31" t="s">
        <v>7744</v>
      </c>
      <c r="D31" t="s">
        <v>5520</v>
      </c>
      <c r="E31" t="s">
        <v>7750</v>
      </c>
      <c r="F31" t="s">
        <v>7755</v>
      </c>
      <c r="G31" t="s">
        <v>7560</v>
      </c>
      <c r="U31" t="s">
        <v>5675</v>
      </c>
      <c r="V31" t="s">
        <v>7560</v>
      </c>
    </row>
    <row r="32" spans="1:23" x14ac:dyDescent="0.25">
      <c r="A32" t="s">
        <v>7395</v>
      </c>
      <c r="B32" t="s">
        <v>7538</v>
      </c>
      <c r="C32" t="s">
        <v>7744</v>
      </c>
      <c r="D32" t="s">
        <v>7593</v>
      </c>
      <c r="E32" t="s">
        <v>7751</v>
      </c>
      <c r="F32" t="s">
        <v>7538</v>
      </c>
      <c r="G32" t="s">
        <v>7561</v>
      </c>
      <c r="U32" t="s">
        <v>7489</v>
      </c>
      <c r="V32" t="s">
        <v>7560</v>
      </c>
    </row>
    <row r="33" spans="1:22" x14ac:dyDescent="0.25">
      <c r="A33" t="s">
        <v>7409</v>
      </c>
      <c r="B33" t="s">
        <v>7538</v>
      </c>
      <c r="C33" t="s">
        <v>7744</v>
      </c>
      <c r="D33" t="s">
        <v>7584</v>
      </c>
      <c r="E33" t="s">
        <v>4242</v>
      </c>
      <c r="F33" t="s">
        <v>7755</v>
      </c>
      <c r="G33" t="s">
        <v>7560</v>
      </c>
      <c r="U33" t="s">
        <v>7587</v>
      </c>
      <c r="V33" t="s">
        <v>7560</v>
      </c>
    </row>
    <row r="34" spans="1:22" x14ac:dyDescent="0.25">
      <c r="A34" t="s">
        <v>7391</v>
      </c>
      <c r="B34" t="s">
        <v>7538</v>
      </c>
      <c r="C34" t="s">
        <v>7744</v>
      </c>
      <c r="D34" t="s">
        <v>5520</v>
      </c>
      <c r="E34" t="s">
        <v>7748</v>
      </c>
      <c r="F34" t="s">
        <v>7749</v>
      </c>
      <c r="G34" t="s">
        <v>7560</v>
      </c>
      <c r="U34" t="s">
        <v>7547</v>
      </c>
      <c r="V34" t="s">
        <v>7560</v>
      </c>
    </row>
    <row r="35" spans="1:22" x14ac:dyDescent="0.25">
      <c r="A35" t="s">
        <v>7384</v>
      </c>
      <c r="B35" t="s">
        <v>7538</v>
      </c>
      <c r="C35" t="s">
        <v>7744</v>
      </c>
      <c r="D35" t="s">
        <v>7593</v>
      </c>
      <c r="E35" t="s">
        <v>7716</v>
      </c>
      <c r="F35" t="s">
        <v>7749</v>
      </c>
      <c r="G35" t="s">
        <v>7560</v>
      </c>
      <c r="H35" t="s">
        <v>3585</v>
      </c>
      <c r="I35" t="s">
        <v>7583</v>
      </c>
      <c r="J35" t="s">
        <v>7555</v>
      </c>
      <c r="K35" t="s">
        <v>7560</v>
      </c>
      <c r="L35" t="s">
        <v>3574</v>
      </c>
      <c r="M35" t="s">
        <v>3439</v>
      </c>
      <c r="N35" t="s">
        <v>7555</v>
      </c>
      <c r="O35" t="s">
        <v>7560</v>
      </c>
      <c r="P35" t="s">
        <v>7584</v>
      </c>
      <c r="Q35" t="s">
        <v>7758</v>
      </c>
      <c r="R35" t="s">
        <v>7749</v>
      </c>
      <c r="S35" t="s">
        <v>7560</v>
      </c>
      <c r="U35" t="s">
        <v>7554</v>
      </c>
      <c r="V35" t="s">
        <v>7560</v>
      </c>
    </row>
    <row r="36" spans="1:22" x14ac:dyDescent="0.25">
      <c r="A36" t="s">
        <v>7382</v>
      </c>
      <c r="B36" t="s">
        <v>7538</v>
      </c>
      <c r="C36" t="s">
        <v>7744</v>
      </c>
      <c r="D36" t="s">
        <v>7593</v>
      </c>
      <c r="E36" t="s">
        <v>7716</v>
      </c>
      <c r="F36" t="s">
        <v>7749</v>
      </c>
      <c r="G36" t="s">
        <v>7560</v>
      </c>
      <c r="H36" t="s">
        <v>3585</v>
      </c>
      <c r="I36" t="s">
        <v>7583</v>
      </c>
      <c r="J36" t="s">
        <v>7555</v>
      </c>
      <c r="K36" t="s">
        <v>7560</v>
      </c>
      <c r="L36" t="s">
        <v>3574</v>
      </c>
      <c r="M36" t="s">
        <v>3439</v>
      </c>
      <c r="N36" t="s">
        <v>7555</v>
      </c>
      <c r="O36" t="s">
        <v>7560</v>
      </c>
      <c r="P36" t="s">
        <v>7584</v>
      </c>
      <c r="Q36" t="s">
        <v>7758</v>
      </c>
      <c r="R36" t="s">
        <v>7749</v>
      </c>
      <c r="S36" t="s">
        <v>7560</v>
      </c>
      <c r="U36" t="s">
        <v>7607</v>
      </c>
      <c r="V36" t="s">
        <v>7560</v>
      </c>
    </row>
    <row r="37" spans="1:22" x14ac:dyDescent="0.25">
      <c r="A37" t="s">
        <v>7398</v>
      </c>
      <c r="B37" t="s">
        <v>7538</v>
      </c>
      <c r="C37" t="s">
        <v>7744</v>
      </c>
      <c r="D37" t="s">
        <v>7593</v>
      </c>
      <c r="E37" t="s">
        <v>7749</v>
      </c>
      <c r="F37" t="s">
        <v>7759</v>
      </c>
      <c r="G37" t="s">
        <v>7560</v>
      </c>
      <c r="U37" t="s">
        <v>7606</v>
      </c>
      <c r="V37" t="s">
        <v>7560</v>
      </c>
    </row>
    <row r="38" spans="1:22" x14ac:dyDescent="0.25">
      <c r="A38" t="s">
        <v>5446</v>
      </c>
      <c r="B38" t="s">
        <v>7538</v>
      </c>
      <c r="C38" t="s">
        <v>7744</v>
      </c>
      <c r="D38" t="s">
        <v>7593</v>
      </c>
      <c r="E38" t="s">
        <v>7752</v>
      </c>
      <c r="F38" t="s">
        <v>7754</v>
      </c>
      <c r="G38" t="s">
        <v>7560</v>
      </c>
      <c r="U38" t="s">
        <v>7723</v>
      </c>
      <c r="V38" t="s">
        <v>7560</v>
      </c>
    </row>
    <row r="39" spans="1:22" x14ac:dyDescent="0.25">
      <c r="A39" t="s">
        <v>5259</v>
      </c>
      <c r="B39" t="s">
        <v>7538</v>
      </c>
      <c r="C39" t="s">
        <v>7744</v>
      </c>
      <c r="D39" t="s">
        <v>5520</v>
      </c>
      <c r="E39" t="s">
        <v>7600</v>
      </c>
      <c r="F39" t="s">
        <v>7749</v>
      </c>
      <c r="G39" t="s">
        <v>7560</v>
      </c>
      <c r="U39" t="s">
        <v>3444</v>
      </c>
      <c r="V39" t="s">
        <v>7560</v>
      </c>
    </row>
    <row r="40" spans="1:22" x14ac:dyDescent="0.25">
      <c r="A40" t="s">
        <v>7447</v>
      </c>
      <c r="B40" t="s">
        <v>7538</v>
      </c>
      <c r="C40" t="s">
        <v>7744</v>
      </c>
      <c r="D40" t="s">
        <v>7593</v>
      </c>
      <c r="E40" t="s">
        <v>7743</v>
      </c>
      <c r="F40" t="s">
        <v>7749</v>
      </c>
      <c r="G40" t="s">
        <v>7561</v>
      </c>
      <c r="U40" t="s">
        <v>7711</v>
      </c>
      <c r="V40" t="s">
        <v>7560</v>
      </c>
    </row>
    <row r="41" spans="1:22" x14ac:dyDescent="0.25">
      <c r="A41" t="s">
        <v>5273</v>
      </c>
      <c r="B41" t="s">
        <v>7538</v>
      </c>
      <c r="C41" t="s">
        <v>7744</v>
      </c>
      <c r="D41" t="s">
        <v>7593</v>
      </c>
      <c r="E41" t="s">
        <v>7716</v>
      </c>
      <c r="F41" t="s">
        <v>7555</v>
      </c>
      <c r="G41" t="s">
        <v>7560</v>
      </c>
      <c r="H41" t="s">
        <v>3585</v>
      </c>
      <c r="I41" t="s">
        <v>7583</v>
      </c>
      <c r="J41" t="s">
        <v>7555</v>
      </c>
      <c r="K41" t="s">
        <v>7560</v>
      </c>
      <c r="L41" t="s">
        <v>3574</v>
      </c>
      <c r="M41" t="s">
        <v>3439</v>
      </c>
      <c r="N41" t="s">
        <v>7555</v>
      </c>
      <c r="O41" t="s">
        <v>7560</v>
      </c>
      <c r="P41" t="s">
        <v>7584</v>
      </c>
      <c r="Q41" t="s">
        <v>7758</v>
      </c>
      <c r="R41" t="s">
        <v>7555</v>
      </c>
      <c r="S41" t="s">
        <v>7560</v>
      </c>
      <c r="U41" t="s">
        <v>7740</v>
      </c>
      <c r="V41" t="s">
        <v>7561</v>
      </c>
    </row>
    <row r="42" spans="1:22" x14ac:dyDescent="0.25">
      <c r="A42" t="s">
        <v>7389</v>
      </c>
      <c r="B42" t="s">
        <v>7538</v>
      </c>
      <c r="C42" t="s">
        <v>7744</v>
      </c>
      <c r="D42" t="s">
        <v>7593</v>
      </c>
      <c r="E42" t="s">
        <v>7743</v>
      </c>
      <c r="F42" t="s">
        <v>7538</v>
      </c>
      <c r="G42" t="s">
        <v>7560</v>
      </c>
      <c r="U42" t="s">
        <v>7741</v>
      </c>
      <c r="V42" t="s">
        <v>7561</v>
      </c>
    </row>
    <row r="43" spans="1:22" x14ac:dyDescent="0.25">
      <c r="A43" t="s">
        <v>7397</v>
      </c>
      <c r="B43" t="s">
        <v>7538</v>
      </c>
      <c r="C43" t="s">
        <v>7744</v>
      </c>
      <c r="D43" t="s">
        <v>7582</v>
      </c>
      <c r="E43" t="s">
        <v>7553</v>
      </c>
      <c r="F43" t="s">
        <v>7755</v>
      </c>
      <c r="G43" t="s">
        <v>7561</v>
      </c>
      <c r="H43" t="s">
        <v>3585</v>
      </c>
      <c r="I43" t="s">
        <v>7583</v>
      </c>
      <c r="J43" t="s">
        <v>7755</v>
      </c>
      <c r="K43" t="s">
        <v>7561</v>
      </c>
      <c r="L43" t="s">
        <v>3574</v>
      </c>
      <c r="M43" t="s">
        <v>3439</v>
      </c>
      <c r="N43" t="s">
        <v>7755</v>
      </c>
      <c r="O43" t="s">
        <v>7561</v>
      </c>
      <c r="U43" t="s">
        <v>7621</v>
      </c>
      <c r="V43" t="s">
        <v>7560</v>
      </c>
    </row>
    <row r="44" spans="1:22" x14ac:dyDescent="0.25">
      <c r="A44" t="s">
        <v>7377</v>
      </c>
      <c r="B44" t="s">
        <v>7538</v>
      </c>
      <c r="C44" t="s">
        <v>7744</v>
      </c>
      <c r="D44" t="s">
        <v>7593</v>
      </c>
      <c r="E44" t="s">
        <v>7745</v>
      </c>
      <c r="F44" t="s">
        <v>7749</v>
      </c>
      <c r="G44" t="s">
        <v>7560</v>
      </c>
      <c r="U44" t="s">
        <v>7600</v>
      </c>
      <c r="V44" t="s">
        <v>7561</v>
      </c>
    </row>
    <row r="45" spans="1:22" x14ac:dyDescent="0.25">
      <c r="A45" t="s">
        <v>7427</v>
      </c>
      <c r="B45" t="s">
        <v>7538</v>
      </c>
      <c r="C45" t="s">
        <v>7744</v>
      </c>
      <c r="D45" t="s">
        <v>7593</v>
      </c>
      <c r="E45" t="s">
        <v>7716</v>
      </c>
      <c r="F45" t="s">
        <v>7555</v>
      </c>
      <c r="G45" t="s">
        <v>7560</v>
      </c>
      <c r="U45" t="s">
        <v>7599</v>
      </c>
      <c r="V45" t="s">
        <v>7560</v>
      </c>
    </row>
    <row r="46" spans="1:22" x14ac:dyDescent="0.25">
      <c r="A46" t="s">
        <v>159</v>
      </c>
      <c r="B46" t="s">
        <v>7586</v>
      </c>
      <c r="C46" t="s">
        <v>0</v>
      </c>
      <c r="D46" t="s">
        <v>7592</v>
      </c>
      <c r="E46" t="s">
        <v>7587</v>
      </c>
      <c r="F46" t="s">
        <v>7588</v>
      </c>
      <c r="G46" t="s">
        <v>7560</v>
      </c>
      <c r="U46" t="s">
        <v>7717</v>
      </c>
      <c r="V46" t="s">
        <v>7560</v>
      </c>
    </row>
    <row r="47" spans="1:22" x14ac:dyDescent="0.25">
      <c r="A47" t="s">
        <v>3498</v>
      </c>
      <c r="B47" t="s">
        <v>7551</v>
      </c>
      <c r="C47" t="s">
        <v>7488</v>
      </c>
      <c r="D47" t="s">
        <v>3438</v>
      </c>
      <c r="E47" t="s">
        <v>7489</v>
      </c>
      <c r="F47" t="s">
        <v>7719</v>
      </c>
      <c r="G47" t="s">
        <v>7560</v>
      </c>
      <c r="H47" t="s">
        <v>3438</v>
      </c>
      <c r="I47" t="s">
        <v>7543</v>
      </c>
      <c r="J47" t="s">
        <v>7719</v>
      </c>
      <c r="K47" t="s">
        <v>7560</v>
      </c>
      <c r="L47" t="s">
        <v>7593</v>
      </c>
      <c r="M47" t="s">
        <v>7571</v>
      </c>
      <c r="N47" t="s">
        <v>7538</v>
      </c>
      <c r="O47" t="s">
        <v>7560</v>
      </c>
      <c r="U47" t="s">
        <v>7712</v>
      </c>
      <c r="V47" t="s">
        <v>7560</v>
      </c>
    </row>
    <row r="48" spans="1:22" x14ac:dyDescent="0.25">
      <c r="A48" t="s">
        <v>3505</v>
      </c>
      <c r="B48" t="s">
        <v>7551</v>
      </c>
      <c r="C48" t="s">
        <v>7488</v>
      </c>
      <c r="D48" t="s">
        <v>7591</v>
      </c>
      <c r="E48" t="s">
        <v>7710</v>
      </c>
      <c r="F48" t="s">
        <v>7540</v>
      </c>
      <c r="G48" t="s">
        <v>7560</v>
      </c>
      <c r="U48" t="s">
        <v>7718</v>
      </c>
      <c r="V48" t="s">
        <v>7560</v>
      </c>
    </row>
    <row r="49" spans="1:22" x14ac:dyDescent="0.25">
      <c r="A49" t="s">
        <v>3510</v>
      </c>
      <c r="B49" t="s">
        <v>7551</v>
      </c>
      <c r="C49" t="s">
        <v>7488</v>
      </c>
      <c r="D49" t="s">
        <v>3517</v>
      </c>
      <c r="E49" t="s">
        <v>3440</v>
      </c>
      <c r="F49" t="s">
        <v>7719</v>
      </c>
      <c r="G49" t="s">
        <v>7560</v>
      </c>
      <c r="U49" t="s">
        <v>7713</v>
      </c>
      <c r="V49" t="s">
        <v>7560</v>
      </c>
    </row>
    <row r="50" spans="1:22" x14ac:dyDescent="0.25">
      <c r="A50" t="s">
        <v>3519</v>
      </c>
      <c r="B50" t="s">
        <v>7551</v>
      </c>
      <c r="C50" t="s">
        <v>7488</v>
      </c>
      <c r="D50" t="s">
        <v>5520</v>
      </c>
      <c r="E50" t="s">
        <v>7621</v>
      </c>
      <c r="F50" t="s">
        <v>3520</v>
      </c>
      <c r="G50" t="s">
        <v>7560</v>
      </c>
      <c r="H50" t="s">
        <v>7582</v>
      </c>
      <c r="I50" t="s">
        <v>7553</v>
      </c>
      <c r="J50" t="s">
        <v>7541</v>
      </c>
      <c r="K50" t="s">
        <v>7561</v>
      </c>
      <c r="U50" t="s">
        <v>7753</v>
      </c>
      <c r="V50" t="s">
        <v>7561</v>
      </c>
    </row>
    <row r="51" spans="1:22" x14ac:dyDescent="0.25">
      <c r="A51" t="s">
        <v>3525</v>
      </c>
      <c r="B51" t="s">
        <v>7566</v>
      </c>
      <c r="C51" t="s">
        <v>7488</v>
      </c>
      <c r="D51" t="s">
        <v>3438</v>
      </c>
      <c r="E51" t="s">
        <v>7489</v>
      </c>
      <c r="F51" t="s">
        <v>7719</v>
      </c>
      <c r="G51" t="s">
        <v>7560</v>
      </c>
      <c r="H51" t="s">
        <v>3438</v>
      </c>
      <c r="I51" t="s">
        <v>7543</v>
      </c>
      <c r="J51" t="s">
        <v>7719</v>
      </c>
      <c r="K51" t="s">
        <v>7560</v>
      </c>
      <c r="U51" t="s">
        <v>7710</v>
      </c>
      <c r="V51" t="s">
        <v>7560</v>
      </c>
    </row>
    <row r="52" spans="1:22" x14ac:dyDescent="0.25">
      <c r="A52" t="s">
        <v>3530</v>
      </c>
      <c r="B52" t="s">
        <v>7551</v>
      </c>
      <c r="C52" t="s">
        <v>7488</v>
      </c>
      <c r="D52" t="s">
        <v>3445</v>
      </c>
      <c r="E52" t="s">
        <v>7544</v>
      </c>
      <c r="F52" t="s">
        <v>7719</v>
      </c>
      <c r="G52" t="s">
        <v>7560</v>
      </c>
      <c r="H52" t="s">
        <v>3438</v>
      </c>
      <c r="I52" t="s">
        <v>7543</v>
      </c>
      <c r="J52" t="s">
        <v>7542</v>
      </c>
      <c r="K52" t="s">
        <v>7560</v>
      </c>
      <c r="U52" t="s">
        <v>3443</v>
      </c>
      <c r="V52" t="s">
        <v>7560</v>
      </c>
    </row>
    <row r="53" spans="1:22" x14ac:dyDescent="0.25">
      <c r="A53" t="s">
        <v>3536</v>
      </c>
      <c r="B53" t="s">
        <v>7551</v>
      </c>
      <c r="C53" t="s">
        <v>7488</v>
      </c>
      <c r="D53" t="s">
        <v>3445</v>
      </c>
      <c r="E53" t="s">
        <v>7544</v>
      </c>
      <c r="F53" t="s">
        <v>7719</v>
      </c>
      <c r="G53" t="s">
        <v>7560</v>
      </c>
      <c r="H53" t="s">
        <v>3445</v>
      </c>
      <c r="I53" t="s">
        <v>7559</v>
      </c>
      <c r="J53" t="s">
        <v>3520</v>
      </c>
      <c r="K53" t="s">
        <v>7560</v>
      </c>
      <c r="U53" t="s">
        <v>7619</v>
      </c>
      <c r="V53" t="s">
        <v>7560</v>
      </c>
    </row>
    <row r="54" spans="1:22" x14ac:dyDescent="0.25">
      <c r="A54" t="s">
        <v>3464</v>
      </c>
      <c r="B54" t="s">
        <v>3543</v>
      </c>
      <c r="C54" t="s">
        <v>7488</v>
      </c>
      <c r="D54" t="s">
        <v>3438</v>
      </c>
      <c r="E54" t="s">
        <v>7543</v>
      </c>
      <c r="F54" t="s">
        <v>7545</v>
      </c>
      <c r="G54" t="s">
        <v>7560</v>
      </c>
      <c r="U54" t="s">
        <v>7715</v>
      </c>
      <c r="V54" t="s">
        <v>7560</v>
      </c>
    </row>
    <row r="55" spans="1:22" x14ac:dyDescent="0.25">
      <c r="A55" t="s">
        <v>3547</v>
      </c>
      <c r="B55" t="s">
        <v>7551</v>
      </c>
      <c r="C55" t="s">
        <v>7488</v>
      </c>
      <c r="D55" t="s">
        <v>5520</v>
      </c>
      <c r="E55" t="s">
        <v>7621</v>
      </c>
      <c r="F55" t="s">
        <v>3520</v>
      </c>
      <c r="G55" t="s">
        <v>7560</v>
      </c>
      <c r="H55" t="s">
        <v>7546</v>
      </c>
      <c r="I55" t="s">
        <v>7547</v>
      </c>
      <c r="J55" t="s">
        <v>7719</v>
      </c>
      <c r="K55" t="s">
        <v>7560</v>
      </c>
      <c r="U55" t="s">
        <v>7744</v>
      </c>
      <c r="V55" t="s">
        <v>7561</v>
      </c>
    </row>
    <row r="56" spans="1:22" x14ac:dyDescent="0.25">
      <c r="A56" t="s">
        <v>3554</v>
      </c>
      <c r="B56" t="s">
        <v>7552</v>
      </c>
      <c r="C56" t="s">
        <v>7488</v>
      </c>
      <c r="D56" t="s">
        <v>7584</v>
      </c>
      <c r="E56" t="s">
        <v>4242</v>
      </c>
      <c r="F56" t="s">
        <v>7719</v>
      </c>
      <c r="G56" t="s">
        <v>7560</v>
      </c>
      <c r="H56" t="s">
        <v>7582</v>
      </c>
      <c r="I56" t="s">
        <v>7553</v>
      </c>
      <c r="J56" t="s">
        <v>7719</v>
      </c>
      <c r="K56" t="s">
        <v>7560</v>
      </c>
      <c r="U56" t="s">
        <v>7596</v>
      </c>
      <c r="V56" t="s">
        <v>7560</v>
      </c>
    </row>
    <row r="57" spans="1:22" x14ac:dyDescent="0.25">
      <c r="A57" t="s">
        <v>7358</v>
      </c>
      <c r="B57" t="s">
        <v>7551</v>
      </c>
      <c r="C57" t="s">
        <v>7488</v>
      </c>
      <c r="D57" t="s">
        <v>7548</v>
      </c>
      <c r="E57" t="s">
        <v>7554</v>
      </c>
      <c r="F57" t="s">
        <v>7719</v>
      </c>
      <c r="G57" t="s">
        <v>7560</v>
      </c>
      <c r="U57" t="s">
        <v>7748</v>
      </c>
      <c r="V57" t="s">
        <v>7561</v>
      </c>
    </row>
    <row r="58" spans="1:22" x14ac:dyDescent="0.25">
      <c r="A58" t="s">
        <v>3560</v>
      </c>
      <c r="B58" t="s">
        <v>7551</v>
      </c>
      <c r="C58" t="s">
        <v>7488</v>
      </c>
      <c r="D58" t="s">
        <v>3438</v>
      </c>
      <c r="E58" t="s">
        <v>7543</v>
      </c>
      <c r="F58" t="s">
        <v>7555</v>
      </c>
      <c r="G58" t="s">
        <v>7560</v>
      </c>
      <c r="U58" t="s">
        <v>7750</v>
      </c>
      <c r="V58" t="s">
        <v>7561</v>
      </c>
    </row>
    <row r="59" spans="1:22" x14ac:dyDescent="0.25">
      <c r="A59" t="s">
        <v>3566</v>
      </c>
      <c r="B59" t="s">
        <v>7551</v>
      </c>
      <c r="C59" t="s">
        <v>7488</v>
      </c>
      <c r="D59" t="s">
        <v>3517</v>
      </c>
      <c r="E59" t="s">
        <v>5675</v>
      </c>
      <c r="F59" t="s">
        <v>3520</v>
      </c>
      <c r="G59" t="s">
        <v>7560</v>
      </c>
      <c r="U59" t="s">
        <v>7751</v>
      </c>
      <c r="V59" t="s">
        <v>7560</v>
      </c>
    </row>
    <row r="60" spans="1:22" x14ac:dyDescent="0.25">
      <c r="A60" t="s">
        <v>3570</v>
      </c>
      <c r="B60" t="s">
        <v>7551</v>
      </c>
      <c r="C60" t="s">
        <v>7488</v>
      </c>
      <c r="D60" t="s">
        <v>7584</v>
      </c>
      <c r="E60" t="s">
        <v>3448</v>
      </c>
      <c r="F60" t="s">
        <v>7557</v>
      </c>
      <c r="G60" t="s">
        <v>7560</v>
      </c>
      <c r="U60" t="s">
        <v>7749</v>
      </c>
      <c r="V60" t="s">
        <v>7561</v>
      </c>
    </row>
    <row r="61" spans="1:22" x14ac:dyDescent="0.25">
      <c r="A61" t="s">
        <v>3575</v>
      </c>
      <c r="B61" t="s">
        <v>7551</v>
      </c>
      <c r="C61" t="s">
        <v>7488</v>
      </c>
      <c r="D61" t="s">
        <v>7593</v>
      </c>
      <c r="E61" t="s">
        <v>7563</v>
      </c>
      <c r="F61" t="s">
        <v>7562</v>
      </c>
      <c r="G61" t="s">
        <v>7560</v>
      </c>
      <c r="U61" t="s">
        <v>7752</v>
      </c>
      <c r="V61" t="s">
        <v>7561</v>
      </c>
    </row>
    <row r="62" spans="1:22" x14ac:dyDescent="0.25">
      <c r="A62" t="s">
        <v>3468</v>
      </c>
      <c r="B62" t="s">
        <v>7556</v>
      </c>
      <c r="C62" t="s">
        <v>7488</v>
      </c>
      <c r="D62" t="s">
        <v>3517</v>
      </c>
      <c r="E62" t="s">
        <v>3444</v>
      </c>
      <c r="F62" t="s">
        <v>7562</v>
      </c>
      <c r="G62" t="s">
        <v>7560</v>
      </c>
      <c r="U62" t="s">
        <v>7757</v>
      </c>
      <c r="V62" t="s">
        <v>7561</v>
      </c>
    </row>
    <row r="63" spans="1:22" x14ac:dyDescent="0.25">
      <c r="A63" t="s">
        <v>3581</v>
      </c>
      <c r="B63" t="s">
        <v>7551</v>
      </c>
      <c r="C63" t="s">
        <v>7488</v>
      </c>
      <c r="D63" t="s">
        <v>3585</v>
      </c>
      <c r="E63" t="s">
        <v>7580</v>
      </c>
      <c r="F63" t="s">
        <v>7564</v>
      </c>
      <c r="G63" t="s">
        <v>7560</v>
      </c>
      <c r="U63" t="s">
        <v>7758</v>
      </c>
      <c r="V63" t="s">
        <v>7561</v>
      </c>
    </row>
    <row r="64" spans="1:22" x14ac:dyDescent="0.25">
      <c r="A64" t="s">
        <v>3586</v>
      </c>
      <c r="B64" t="s">
        <v>7551</v>
      </c>
      <c r="C64" t="s">
        <v>7488</v>
      </c>
      <c r="D64" t="s">
        <v>3517</v>
      </c>
      <c r="E64" t="s">
        <v>5675</v>
      </c>
      <c r="F64" t="s">
        <v>3520</v>
      </c>
      <c r="G64" t="s">
        <v>7560</v>
      </c>
      <c r="H64" t="s">
        <v>7582</v>
      </c>
      <c r="I64" t="s">
        <v>7553</v>
      </c>
      <c r="J64" t="s">
        <v>7541</v>
      </c>
      <c r="K64" t="s">
        <v>7561</v>
      </c>
    </row>
    <row r="65" spans="1:11" x14ac:dyDescent="0.25">
      <c r="A65" t="s">
        <v>131</v>
      </c>
      <c r="B65" t="s">
        <v>7565</v>
      </c>
      <c r="C65" t="s">
        <v>7488</v>
      </c>
      <c r="D65" t="s">
        <v>3574</v>
      </c>
      <c r="E65" t="s">
        <v>3439</v>
      </c>
      <c r="F65" t="s">
        <v>7555</v>
      </c>
      <c r="G65" t="s">
        <v>7560</v>
      </c>
    </row>
    <row r="66" spans="1:11" x14ac:dyDescent="0.25">
      <c r="A66" t="s">
        <v>3594</v>
      </c>
      <c r="B66" t="s">
        <v>7551</v>
      </c>
      <c r="C66" t="s">
        <v>7488</v>
      </c>
      <c r="D66" t="s">
        <v>3438</v>
      </c>
      <c r="E66" t="s">
        <v>7489</v>
      </c>
      <c r="F66" t="s">
        <v>7719</v>
      </c>
      <c r="G66" t="s">
        <v>7560</v>
      </c>
    </row>
    <row r="67" spans="1:11" x14ac:dyDescent="0.25">
      <c r="A67" t="s">
        <v>3598</v>
      </c>
      <c r="B67" t="s">
        <v>7551</v>
      </c>
      <c r="C67" t="s">
        <v>7488</v>
      </c>
      <c r="D67" t="s">
        <v>3445</v>
      </c>
      <c r="E67" t="s">
        <v>7544</v>
      </c>
      <c r="F67" t="s">
        <v>7719</v>
      </c>
      <c r="G67" t="s">
        <v>7560</v>
      </c>
      <c r="H67" t="s">
        <v>7722</v>
      </c>
      <c r="I67" t="s">
        <v>7572</v>
      </c>
      <c r="J67" t="s">
        <v>7542</v>
      </c>
      <c r="K67" t="s">
        <v>7560</v>
      </c>
    </row>
    <row r="68" spans="1:11" x14ac:dyDescent="0.25">
      <c r="A68" t="s">
        <v>3602</v>
      </c>
      <c r="B68" t="s">
        <v>7566</v>
      </c>
      <c r="C68" t="s">
        <v>7488</v>
      </c>
      <c r="D68" t="s">
        <v>3438</v>
      </c>
      <c r="E68" t="s">
        <v>7543</v>
      </c>
      <c r="F68" t="s">
        <v>7719</v>
      </c>
      <c r="G68" t="s">
        <v>7561</v>
      </c>
      <c r="H68" t="s">
        <v>3574</v>
      </c>
      <c r="I68" t="s">
        <v>3439</v>
      </c>
      <c r="J68" t="s">
        <v>7562</v>
      </c>
      <c r="K68" t="s">
        <v>7560</v>
      </c>
    </row>
    <row r="69" spans="1:11" x14ac:dyDescent="0.25">
      <c r="A69" t="s">
        <v>3607</v>
      </c>
      <c r="B69" t="s">
        <v>7551</v>
      </c>
      <c r="C69" t="s">
        <v>7488</v>
      </c>
      <c r="D69" t="s">
        <v>3579</v>
      </c>
      <c r="E69" t="s">
        <v>7574</v>
      </c>
      <c r="F69" t="s">
        <v>7545</v>
      </c>
      <c r="G69" t="s">
        <v>7560</v>
      </c>
    </row>
    <row r="70" spans="1:11" x14ac:dyDescent="0.25">
      <c r="A70" t="s">
        <v>3610</v>
      </c>
      <c r="B70" t="s">
        <v>7552</v>
      </c>
      <c r="C70" t="s">
        <v>7488</v>
      </c>
      <c r="D70" t="s">
        <v>7582</v>
      </c>
      <c r="E70" t="s">
        <v>7553</v>
      </c>
      <c r="F70" t="s">
        <v>7595</v>
      </c>
      <c r="G70" t="s">
        <v>7560</v>
      </c>
    </row>
    <row r="71" spans="1:11" x14ac:dyDescent="0.25">
      <c r="A71" t="s">
        <v>3615</v>
      </c>
      <c r="B71" t="s">
        <v>7551</v>
      </c>
      <c r="C71" t="s">
        <v>7488</v>
      </c>
      <c r="D71" t="s">
        <v>3517</v>
      </c>
      <c r="E71" t="s">
        <v>5675</v>
      </c>
      <c r="F71" t="s">
        <v>3520</v>
      </c>
      <c r="G71" t="s">
        <v>7560</v>
      </c>
      <c r="H71" t="s">
        <v>7546</v>
      </c>
      <c r="I71" t="s">
        <v>7596</v>
      </c>
      <c r="J71" t="s">
        <v>3520</v>
      </c>
      <c r="K71" t="s">
        <v>7560</v>
      </c>
    </row>
    <row r="72" spans="1:11" x14ac:dyDescent="0.25">
      <c r="A72" t="s">
        <v>3620</v>
      </c>
      <c r="B72" t="s">
        <v>7551</v>
      </c>
      <c r="C72" t="s">
        <v>7488</v>
      </c>
      <c r="D72" t="s">
        <v>3517</v>
      </c>
      <c r="E72" t="s">
        <v>5675</v>
      </c>
      <c r="F72" t="s">
        <v>3520</v>
      </c>
      <c r="G72" t="s">
        <v>7560</v>
      </c>
      <c r="H72" t="s">
        <v>7582</v>
      </c>
      <c r="I72" t="s">
        <v>7553</v>
      </c>
      <c r="J72" t="s">
        <v>7541</v>
      </c>
      <c r="K72" t="s">
        <v>7561</v>
      </c>
    </row>
    <row r="73" spans="1:11" x14ac:dyDescent="0.25">
      <c r="A73" t="s">
        <v>3625</v>
      </c>
      <c r="B73" t="s">
        <v>7551</v>
      </c>
      <c r="C73" t="s">
        <v>7488</v>
      </c>
      <c r="D73" t="s">
        <v>3438</v>
      </c>
      <c r="E73" t="s">
        <v>7489</v>
      </c>
      <c r="F73" t="s">
        <v>7719</v>
      </c>
      <c r="G73" t="s">
        <v>7560</v>
      </c>
      <c r="H73" t="s">
        <v>3438</v>
      </c>
      <c r="I73" t="s">
        <v>7543</v>
      </c>
      <c r="J73" t="s">
        <v>7719</v>
      </c>
      <c r="K73" t="s">
        <v>7560</v>
      </c>
    </row>
    <row r="74" spans="1:11" x14ac:dyDescent="0.25">
      <c r="A74" t="s">
        <v>3628</v>
      </c>
      <c r="B74" t="s">
        <v>7551</v>
      </c>
      <c r="C74" t="s">
        <v>7488</v>
      </c>
      <c r="D74" t="s">
        <v>3438</v>
      </c>
      <c r="E74" t="s">
        <v>7489</v>
      </c>
      <c r="F74" t="s">
        <v>7719</v>
      </c>
      <c r="G74" t="s">
        <v>7560</v>
      </c>
      <c r="H74" t="s">
        <v>3438</v>
      </c>
      <c r="I74" t="s">
        <v>7543</v>
      </c>
      <c r="J74" t="s">
        <v>7719</v>
      </c>
      <c r="K74" t="s">
        <v>7560</v>
      </c>
    </row>
    <row r="75" spans="1:11" x14ac:dyDescent="0.25">
      <c r="A75" t="s">
        <v>3632</v>
      </c>
      <c r="B75" t="s">
        <v>7551</v>
      </c>
      <c r="C75" t="s">
        <v>7488</v>
      </c>
      <c r="D75" t="s">
        <v>3438</v>
      </c>
      <c r="E75" t="s">
        <v>7543</v>
      </c>
      <c r="F75" t="s">
        <v>7545</v>
      </c>
      <c r="G75" t="s">
        <v>7560</v>
      </c>
    </row>
    <row r="76" spans="1:11" x14ac:dyDescent="0.25">
      <c r="A76" t="s">
        <v>3637</v>
      </c>
      <c r="B76" t="s">
        <v>7551</v>
      </c>
      <c r="C76" t="s">
        <v>7488</v>
      </c>
      <c r="D76" t="s">
        <v>3579</v>
      </c>
      <c r="E76" t="s">
        <v>7597</v>
      </c>
      <c r="F76" t="s">
        <v>7719</v>
      </c>
      <c r="G76" t="s">
        <v>7560</v>
      </c>
      <c r="H76" t="s">
        <v>3579</v>
      </c>
      <c r="I76" t="s">
        <v>7598</v>
      </c>
      <c r="J76" t="s">
        <v>7719</v>
      </c>
      <c r="K76" t="s">
        <v>7560</v>
      </c>
    </row>
    <row r="77" spans="1:11" x14ac:dyDescent="0.25">
      <c r="A77" t="s">
        <v>3642</v>
      </c>
      <c r="B77" t="s">
        <v>7551</v>
      </c>
      <c r="C77" t="s">
        <v>7488</v>
      </c>
      <c r="D77" t="s">
        <v>7546</v>
      </c>
      <c r="E77" t="s">
        <v>7547</v>
      </c>
      <c r="F77" t="s">
        <v>7562</v>
      </c>
      <c r="G77" t="s">
        <v>7560</v>
      </c>
    </row>
    <row r="78" spans="1:11" x14ac:dyDescent="0.25">
      <c r="A78" t="s">
        <v>3647</v>
      </c>
      <c r="B78" t="s">
        <v>7551</v>
      </c>
      <c r="C78" t="s">
        <v>7488</v>
      </c>
      <c r="D78" t="s">
        <v>7546</v>
      </c>
      <c r="E78" t="s">
        <v>7547</v>
      </c>
      <c r="F78" t="s">
        <v>7719</v>
      </c>
      <c r="G78" t="s">
        <v>7560</v>
      </c>
    </row>
    <row r="79" spans="1:11" x14ac:dyDescent="0.25">
      <c r="A79" t="s">
        <v>3652</v>
      </c>
      <c r="B79" t="s">
        <v>7551</v>
      </c>
      <c r="C79" t="s">
        <v>7488</v>
      </c>
      <c r="D79" t="s">
        <v>5520</v>
      </c>
      <c r="E79" t="s">
        <v>7623</v>
      </c>
      <c r="F79" t="s">
        <v>3520</v>
      </c>
      <c r="G79" t="s">
        <v>7560</v>
      </c>
    </row>
    <row r="80" spans="1:11" x14ac:dyDescent="0.25">
      <c r="A80" t="s">
        <v>4742</v>
      </c>
      <c r="B80" t="s">
        <v>7551</v>
      </c>
      <c r="C80" t="s">
        <v>7488</v>
      </c>
      <c r="D80" t="s">
        <v>3574</v>
      </c>
      <c r="E80" t="s">
        <v>3439</v>
      </c>
      <c r="F80" t="s">
        <v>7719</v>
      </c>
      <c r="G80" t="s">
        <v>7560</v>
      </c>
    </row>
    <row r="81" spans="1:15" x14ac:dyDescent="0.25">
      <c r="A81" t="s">
        <v>3658</v>
      </c>
      <c r="B81" t="s">
        <v>7552</v>
      </c>
      <c r="C81" t="s">
        <v>7488</v>
      </c>
      <c r="D81" t="s">
        <v>5520</v>
      </c>
      <c r="E81" t="s">
        <v>7600</v>
      </c>
      <c r="F81" t="s">
        <v>3520</v>
      </c>
      <c r="G81" t="s">
        <v>7560</v>
      </c>
      <c r="H81" t="s">
        <v>3579</v>
      </c>
      <c r="I81" t="s">
        <v>7598</v>
      </c>
      <c r="J81" t="s">
        <v>7719</v>
      </c>
      <c r="K81" t="s">
        <v>7560</v>
      </c>
    </row>
    <row r="82" spans="1:15" x14ac:dyDescent="0.25">
      <c r="A82" t="s">
        <v>3662</v>
      </c>
      <c r="B82" t="s">
        <v>7551</v>
      </c>
      <c r="C82" t="s">
        <v>7488</v>
      </c>
      <c r="D82" t="s">
        <v>3574</v>
      </c>
      <c r="E82" t="s">
        <v>3439</v>
      </c>
      <c r="F82" t="s">
        <v>7601</v>
      </c>
      <c r="G82" t="s">
        <v>7560</v>
      </c>
    </row>
    <row r="83" spans="1:15" x14ac:dyDescent="0.25">
      <c r="A83" t="s">
        <v>3478</v>
      </c>
      <c r="B83" t="s">
        <v>7602</v>
      </c>
      <c r="C83" t="s">
        <v>7488</v>
      </c>
      <c r="D83" t="s">
        <v>3438</v>
      </c>
      <c r="E83" t="s">
        <v>7543</v>
      </c>
      <c r="F83" t="s">
        <v>7545</v>
      </c>
      <c r="G83" t="s">
        <v>7560</v>
      </c>
    </row>
    <row r="84" spans="1:15" x14ac:dyDescent="0.25">
      <c r="A84" t="s">
        <v>3668</v>
      </c>
      <c r="B84" t="s">
        <v>7551</v>
      </c>
      <c r="C84" t="s">
        <v>7488</v>
      </c>
      <c r="D84" t="s">
        <v>7722</v>
      </c>
      <c r="E84" t="s">
        <v>7572</v>
      </c>
      <c r="F84" t="s">
        <v>7562</v>
      </c>
      <c r="G84" t="s">
        <v>7560</v>
      </c>
    </row>
    <row r="85" spans="1:15" x14ac:dyDescent="0.25">
      <c r="A85" t="s">
        <v>7360</v>
      </c>
      <c r="B85" t="s">
        <v>7551</v>
      </c>
      <c r="C85" t="s">
        <v>7488</v>
      </c>
      <c r="D85" t="s">
        <v>5520</v>
      </c>
      <c r="E85" t="s">
        <v>7599</v>
      </c>
      <c r="F85" t="s">
        <v>7603</v>
      </c>
      <c r="G85" t="s">
        <v>7560</v>
      </c>
    </row>
    <row r="86" spans="1:15" x14ac:dyDescent="0.25">
      <c r="A86" t="s">
        <v>7369</v>
      </c>
      <c r="B86" t="s">
        <v>7551</v>
      </c>
      <c r="C86" t="s">
        <v>7488</v>
      </c>
      <c r="D86" t="s">
        <v>7591</v>
      </c>
      <c r="E86" t="s">
        <v>7710</v>
      </c>
      <c r="F86" t="s">
        <v>7604</v>
      </c>
      <c r="G86" t="s">
        <v>7560</v>
      </c>
    </row>
    <row r="87" spans="1:15" x14ac:dyDescent="0.25">
      <c r="A87" t="s">
        <v>3678</v>
      </c>
      <c r="B87" t="s">
        <v>7552</v>
      </c>
      <c r="C87" t="s">
        <v>7488</v>
      </c>
      <c r="D87" t="s">
        <v>7605</v>
      </c>
      <c r="E87" t="s">
        <v>7606</v>
      </c>
      <c r="F87" t="s">
        <v>3520</v>
      </c>
      <c r="G87" t="s">
        <v>7561</v>
      </c>
      <c r="H87" t="s">
        <v>3579</v>
      </c>
      <c r="I87" t="s">
        <v>7598</v>
      </c>
      <c r="J87" t="s">
        <v>7719</v>
      </c>
      <c r="K87" t="s">
        <v>7560</v>
      </c>
    </row>
    <row r="88" spans="1:15" x14ac:dyDescent="0.25">
      <c r="A88" t="s">
        <v>3682</v>
      </c>
      <c r="B88" t="s">
        <v>7552</v>
      </c>
      <c r="C88" t="s">
        <v>7488</v>
      </c>
      <c r="D88" t="s">
        <v>7548</v>
      </c>
      <c r="E88" t="s">
        <v>7607</v>
      </c>
      <c r="F88" t="s">
        <v>3520</v>
      </c>
      <c r="G88" t="s">
        <v>7560</v>
      </c>
    </row>
    <row r="89" spans="1:15" x14ac:dyDescent="0.25">
      <c r="A89" t="s">
        <v>3687</v>
      </c>
      <c r="B89" t="s">
        <v>7551</v>
      </c>
      <c r="C89" t="s">
        <v>7488</v>
      </c>
      <c r="D89" t="s">
        <v>3517</v>
      </c>
      <c r="E89" t="s">
        <v>3443</v>
      </c>
      <c r="F89" t="s">
        <v>7608</v>
      </c>
      <c r="G89" t="s">
        <v>7560</v>
      </c>
    </row>
    <row r="90" spans="1:15" x14ac:dyDescent="0.25">
      <c r="A90" t="s">
        <v>3691</v>
      </c>
      <c r="B90" t="s">
        <v>7551</v>
      </c>
      <c r="C90" t="s">
        <v>7488</v>
      </c>
      <c r="D90" t="s">
        <v>7722</v>
      </c>
      <c r="E90" t="s">
        <v>7572</v>
      </c>
      <c r="F90" t="s">
        <v>7562</v>
      </c>
      <c r="G90" t="s">
        <v>7560</v>
      </c>
    </row>
    <row r="91" spans="1:15" x14ac:dyDescent="0.25">
      <c r="A91" t="s">
        <v>3696</v>
      </c>
      <c r="B91" t="s">
        <v>7551</v>
      </c>
      <c r="C91" t="s">
        <v>7488</v>
      </c>
      <c r="D91" t="s">
        <v>3445</v>
      </c>
      <c r="E91" t="s">
        <v>7544</v>
      </c>
      <c r="F91" t="s">
        <v>7719</v>
      </c>
      <c r="G91" t="s">
        <v>7560</v>
      </c>
      <c r="H91" t="s">
        <v>7722</v>
      </c>
      <c r="I91" t="s">
        <v>7619</v>
      </c>
      <c r="J91" t="s">
        <v>7542</v>
      </c>
      <c r="K91" t="s">
        <v>7560</v>
      </c>
    </row>
    <row r="92" spans="1:15" x14ac:dyDescent="0.25">
      <c r="A92" t="s">
        <v>3699</v>
      </c>
      <c r="B92" t="s">
        <v>7551</v>
      </c>
      <c r="C92" t="s">
        <v>7488</v>
      </c>
      <c r="D92" t="s">
        <v>3438</v>
      </c>
      <c r="E92" t="s">
        <v>7489</v>
      </c>
      <c r="F92" t="s">
        <v>7719</v>
      </c>
      <c r="G92" t="s">
        <v>7560</v>
      </c>
      <c r="H92" t="s">
        <v>3438</v>
      </c>
      <c r="I92" t="s">
        <v>7543</v>
      </c>
      <c r="J92" t="s">
        <v>7719</v>
      </c>
      <c r="K92" t="s">
        <v>7560</v>
      </c>
      <c r="L92" t="s">
        <v>3517</v>
      </c>
      <c r="M92" t="s">
        <v>3440</v>
      </c>
      <c r="N92" t="s">
        <v>7719</v>
      </c>
      <c r="O92" t="s">
        <v>7560</v>
      </c>
    </row>
    <row r="93" spans="1:15" x14ac:dyDescent="0.25">
      <c r="A93" t="s">
        <v>3704</v>
      </c>
      <c r="B93" t="s">
        <v>7551</v>
      </c>
      <c r="C93" t="s">
        <v>7488</v>
      </c>
      <c r="D93" t="s">
        <v>3517</v>
      </c>
      <c r="E93" t="s">
        <v>3440</v>
      </c>
      <c r="F93" t="s">
        <v>7719</v>
      </c>
      <c r="G93" t="s">
        <v>7560</v>
      </c>
      <c r="H93" t="s">
        <v>5520</v>
      </c>
      <c r="I93" t="s">
        <v>7621</v>
      </c>
      <c r="J93" t="s">
        <v>3520</v>
      </c>
      <c r="K93" t="s">
        <v>7560</v>
      </c>
    </row>
    <row r="94" spans="1:15" x14ac:dyDescent="0.25">
      <c r="A94" t="s">
        <v>3709</v>
      </c>
      <c r="B94" t="s">
        <v>7551</v>
      </c>
      <c r="C94" t="s">
        <v>7488</v>
      </c>
      <c r="D94" t="s">
        <v>7551</v>
      </c>
      <c r="E94" t="s">
        <v>7622</v>
      </c>
      <c r="F94" t="s">
        <v>3520</v>
      </c>
      <c r="G94" t="s">
        <v>7560</v>
      </c>
    </row>
    <row r="95" spans="1:15" x14ac:dyDescent="0.25">
      <c r="A95" t="s">
        <v>3713</v>
      </c>
      <c r="B95" t="s">
        <v>7551</v>
      </c>
      <c r="C95" t="s">
        <v>7488</v>
      </c>
      <c r="D95" t="s">
        <v>7582</v>
      </c>
      <c r="E95" t="s">
        <v>7553</v>
      </c>
      <c r="F95" t="s">
        <v>7586</v>
      </c>
      <c r="G95" t="s">
        <v>7560</v>
      </c>
    </row>
    <row r="96" spans="1:15" x14ac:dyDescent="0.25">
      <c r="A96" t="s">
        <v>3718</v>
      </c>
      <c r="B96" t="s">
        <v>7551</v>
      </c>
      <c r="C96" t="s">
        <v>7488</v>
      </c>
      <c r="D96" t="s">
        <v>5520</v>
      </c>
      <c r="E96" t="s">
        <v>7599</v>
      </c>
      <c r="F96" t="s">
        <v>3520</v>
      </c>
      <c r="G96" t="s">
        <v>7560</v>
      </c>
    </row>
    <row r="97" spans="1:15" x14ac:dyDescent="0.25">
      <c r="A97" t="s">
        <v>7363</v>
      </c>
      <c r="B97" t="s">
        <v>7551</v>
      </c>
      <c r="C97" t="s">
        <v>7488</v>
      </c>
      <c r="D97" t="s">
        <v>7548</v>
      </c>
      <c r="E97" t="s">
        <v>7554</v>
      </c>
      <c r="F97" t="s">
        <v>7586</v>
      </c>
      <c r="G97" t="s">
        <v>7560</v>
      </c>
    </row>
    <row r="98" spans="1:15" x14ac:dyDescent="0.25">
      <c r="A98" t="s">
        <v>3726</v>
      </c>
      <c r="B98" t="s">
        <v>7551</v>
      </c>
      <c r="C98" t="s">
        <v>7488</v>
      </c>
      <c r="D98" t="s">
        <v>3574</v>
      </c>
      <c r="E98" t="s">
        <v>3439</v>
      </c>
      <c r="F98" t="s">
        <v>7562</v>
      </c>
      <c r="G98" t="s">
        <v>7560</v>
      </c>
    </row>
    <row r="99" spans="1:15" x14ac:dyDescent="0.25">
      <c r="A99" t="s">
        <v>4230</v>
      </c>
      <c r="B99" t="s">
        <v>7747</v>
      </c>
      <c r="C99" t="s">
        <v>7570</v>
      </c>
      <c r="D99" t="s">
        <v>3574</v>
      </c>
      <c r="E99" t="s">
        <v>3439</v>
      </c>
      <c r="F99" t="s">
        <v>7589</v>
      </c>
      <c r="G99" t="s">
        <v>7560</v>
      </c>
      <c r="H99" t="s">
        <v>3438</v>
      </c>
      <c r="I99" t="s">
        <v>7543</v>
      </c>
      <c r="J99" t="s">
        <v>7585</v>
      </c>
      <c r="K99" t="s">
        <v>7561</v>
      </c>
      <c r="L99" t="s">
        <v>3438</v>
      </c>
      <c r="M99" t="s">
        <v>7543</v>
      </c>
      <c r="N99" t="s">
        <v>7542</v>
      </c>
      <c r="O99" t="s">
        <v>7560</v>
      </c>
    </row>
    <row r="100" spans="1:15" x14ac:dyDescent="0.25">
      <c r="A100" t="s">
        <v>4237</v>
      </c>
      <c r="B100" t="s">
        <v>7746</v>
      </c>
      <c r="C100" t="s">
        <v>7570</v>
      </c>
      <c r="D100" t="s">
        <v>3574</v>
      </c>
      <c r="E100" t="s">
        <v>3439</v>
      </c>
      <c r="F100" t="s">
        <v>7585</v>
      </c>
      <c r="G100" t="s">
        <v>7561</v>
      </c>
      <c r="H100" t="s">
        <v>3574</v>
      </c>
      <c r="I100" t="s">
        <v>3439</v>
      </c>
      <c r="J100" t="s">
        <v>7542</v>
      </c>
      <c r="K100" t="s">
        <v>7560</v>
      </c>
    </row>
    <row r="101" spans="1:15" x14ac:dyDescent="0.25">
      <c r="A101" t="s">
        <v>4127</v>
      </c>
      <c r="B101" t="s">
        <v>7594</v>
      </c>
      <c r="C101" t="s">
        <v>7535</v>
      </c>
      <c r="D101" t="s">
        <v>7624</v>
      </c>
      <c r="E101" t="s">
        <v>7723</v>
      </c>
      <c r="F101" t="s">
        <v>7724</v>
      </c>
      <c r="G101" t="s">
        <v>7560</v>
      </c>
    </row>
    <row r="102" spans="1:15" x14ac:dyDescent="0.25">
      <c r="A102" t="s">
        <v>4019</v>
      </c>
      <c r="B102" t="s">
        <v>7594</v>
      </c>
      <c r="C102" t="s">
        <v>7535</v>
      </c>
      <c r="D102" t="s">
        <v>7584</v>
      </c>
      <c r="E102" t="s">
        <v>4242</v>
      </c>
      <c r="F102" t="s">
        <v>7724</v>
      </c>
      <c r="G102" t="s">
        <v>7560</v>
      </c>
      <c r="H102" t="s">
        <v>3585</v>
      </c>
      <c r="I102" t="s">
        <v>7715</v>
      </c>
      <c r="J102" t="s">
        <v>7724</v>
      </c>
      <c r="K102" t="s">
        <v>7561</v>
      </c>
    </row>
    <row r="103" spans="1:15" x14ac:dyDescent="0.25">
      <c r="A103" t="s">
        <v>4138</v>
      </c>
      <c r="B103" t="s">
        <v>7594</v>
      </c>
      <c r="C103" t="s">
        <v>7535</v>
      </c>
      <c r="D103" t="s">
        <v>3438</v>
      </c>
      <c r="E103" t="s">
        <v>7543</v>
      </c>
      <c r="F103" t="s">
        <v>7724</v>
      </c>
      <c r="G103" t="s">
        <v>7561</v>
      </c>
    </row>
    <row r="104" spans="1:15" x14ac:dyDescent="0.25">
      <c r="A104" t="s">
        <v>4149</v>
      </c>
      <c r="B104" t="s">
        <v>7594</v>
      </c>
      <c r="C104" t="s">
        <v>7535</v>
      </c>
      <c r="D104" t="s">
        <v>7591</v>
      </c>
      <c r="E104" t="s">
        <v>7711</v>
      </c>
      <c r="F104" t="s">
        <v>7724</v>
      </c>
      <c r="G104" t="s">
        <v>7560</v>
      </c>
    </row>
    <row r="105" spans="1:15" x14ac:dyDescent="0.25">
      <c r="A105" t="s">
        <v>4144</v>
      </c>
      <c r="B105" t="s">
        <v>7594</v>
      </c>
      <c r="C105" t="s">
        <v>7535</v>
      </c>
      <c r="D105" t="s">
        <v>3438</v>
      </c>
      <c r="E105" t="s">
        <v>7543</v>
      </c>
      <c r="F105" t="s">
        <v>7724</v>
      </c>
      <c r="G105" t="s">
        <v>7560</v>
      </c>
    </row>
    <row r="106" spans="1:15" x14ac:dyDescent="0.25">
      <c r="A106" t="s">
        <v>4133</v>
      </c>
      <c r="B106" t="s">
        <v>7594</v>
      </c>
      <c r="C106" t="s">
        <v>7535</v>
      </c>
      <c r="D106" t="s">
        <v>3438</v>
      </c>
      <c r="E106" t="s">
        <v>7489</v>
      </c>
      <c r="F106" t="s">
        <v>7724</v>
      </c>
      <c r="G106" t="s">
        <v>7561</v>
      </c>
    </row>
    <row r="107" spans="1:15" x14ac:dyDescent="0.25">
      <c r="A107" t="s">
        <v>4130</v>
      </c>
      <c r="B107" t="s">
        <v>7594</v>
      </c>
      <c r="C107" t="s">
        <v>7535</v>
      </c>
      <c r="D107" t="s">
        <v>3438</v>
      </c>
      <c r="E107" t="s">
        <v>7489</v>
      </c>
      <c r="F107" t="s">
        <v>7724</v>
      </c>
      <c r="G107" t="s">
        <v>7560</v>
      </c>
    </row>
    <row r="108" spans="1:15" x14ac:dyDescent="0.25">
      <c r="A108" t="s">
        <v>4119</v>
      </c>
      <c r="B108" t="s">
        <v>7594</v>
      </c>
      <c r="C108" t="s">
        <v>7535</v>
      </c>
      <c r="D108" t="s">
        <v>3517</v>
      </c>
      <c r="E108" t="s">
        <v>5675</v>
      </c>
      <c r="F108" t="s">
        <v>7724</v>
      </c>
      <c r="G108" t="s">
        <v>7561</v>
      </c>
    </row>
    <row r="109" spans="1:15" x14ac:dyDescent="0.25">
      <c r="A109" t="s">
        <v>4115</v>
      </c>
      <c r="B109" t="s">
        <v>7594</v>
      </c>
      <c r="C109" t="s">
        <v>7535</v>
      </c>
      <c r="D109" t="s">
        <v>3517</v>
      </c>
      <c r="E109" t="s">
        <v>5675</v>
      </c>
      <c r="F109" t="s">
        <v>7724</v>
      </c>
      <c r="G109" t="s">
        <v>7560</v>
      </c>
    </row>
    <row r="110" spans="1:15" x14ac:dyDescent="0.25">
      <c r="A110" t="s">
        <v>4124</v>
      </c>
      <c r="B110" t="s">
        <v>7594</v>
      </c>
      <c r="C110" t="s">
        <v>7535</v>
      </c>
      <c r="D110" t="s">
        <v>3677</v>
      </c>
      <c r="E110" t="s">
        <v>7718</v>
      </c>
      <c r="F110" t="s">
        <v>7724</v>
      </c>
      <c r="G110" t="s">
        <v>7560</v>
      </c>
    </row>
    <row r="111" spans="1:15" x14ac:dyDescent="0.25">
      <c r="A111" t="s">
        <v>4160</v>
      </c>
      <c r="B111" t="s">
        <v>7594</v>
      </c>
      <c r="C111" t="s">
        <v>7728</v>
      </c>
      <c r="D111" t="s">
        <v>7591</v>
      </c>
      <c r="E111" t="s">
        <v>7711</v>
      </c>
      <c r="F111" t="s">
        <v>7603</v>
      </c>
      <c r="G111" t="s">
        <v>7560</v>
      </c>
      <c r="H111" t="s">
        <v>7593</v>
      </c>
      <c r="I111" t="s">
        <v>7740</v>
      </c>
      <c r="J111" t="s">
        <v>7739</v>
      </c>
      <c r="K111" t="s">
        <v>7560</v>
      </c>
    </row>
    <row r="112" spans="1:15" x14ac:dyDescent="0.25">
      <c r="A112" t="s">
        <v>4180</v>
      </c>
      <c r="B112" t="s">
        <v>7594</v>
      </c>
      <c r="C112" t="s">
        <v>7728</v>
      </c>
      <c r="D112" t="s">
        <v>5520</v>
      </c>
      <c r="E112" t="s">
        <v>7623</v>
      </c>
      <c r="F112" t="s">
        <v>7603</v>
      </c>
      <c r="G112" t="s">
        <v>7560</v>
      </c>
      <c r="H112" t="s">
        <v>5520</v>
      </c>
      <c r="I112" t="s">
        <v>7742</v>
      </c>
      <c r="J112" t="s">
        <v>7739</v>
      </c>
      <c r="K112" t="s">
        <v>7560</v>
      </c>
    </row>
    <row r="113" spans="1:19" x14ac:dyDescent="0.25">
      <c r="A113" t="s">
        <v>4192</v>
      </c>
      <c r="B113" t="s">
        <v>7594</v>
      </c>
      <c r="C113" t="s">
        <v>7728</v>
      </c>
      <c r="D113" t="s">
        <v>3438</v>
      </c>
      <c r="E113" t="s">
        <v>7543</v>
      </c>
      <c r="F113" t="s">
        <v>7603</v>
      </c>
      <c r="G113" t="s">
        <v>7561</v>
      </c>
      <c r="H113" t="s">
        <v>7593</v>
      </c>
      <c r="I113" t="s">
        <v>7743</v>
      </c>
      <c r="J113" t="s">
        <v>7739</v>
      </c>
      <c r="K113" t="s">
        <v>7561</v>
      </c>
    </row>
    <row r="114" spans="1:19" x14ac:dyDescent="0.25">
      <c r="A114" t="s">
        <v>4158</v>
      </c>
      <c r="B114" t="s">
        <v>7594</v>
      </c>
      <c r="C114" t="s">
        <v>7728</v>
      </c>
      <c r="D114" t="s">
        <v>5520</v>
      </c>
      <c r="E114" t="s">
        <v>7720</v>
      </c>
      <c r="F114" t="s">
        <v>7603</v>
      </c>
      <c r="G114" t="s">
        <v>7560</v>
      </c>
      <c r="H114" t="s">
        <v>5520</v>
      </c>
      <c r="I114" t="s">
        <v>7721</v>
      </c>
      <c r="J114" t="s">
        <v>7739</v>
      </c>
      <c r="K114" t="s">
        <v>7560</v>
      </c>
      <c r="L114" t="s">
        <v>7722</v>
      </c>
      <c r="M114" t="s">
        <v>7572</v>
      </c>
      <c r="N114" t="s">
        <v>7739</v>
      </c>
      <c r="O114" t="s">
        <v>7560</v>
      </c>
    </row>
    <row r="115" spans="1:19" x14ac:dyDescent="0.25">
      <c r="A115" t="s">
        <v>4170</v>
      </c>
      <c r="B115" t="s">
        <v>7594</v>
      </c>
      <c r="C115" t="s">
        <v>7728</v>
      </c>
      <c r="D115" t="s">
        <v>5520</v>
      </c>
      <c r="E115" t="s">
        <v>7599</v>
      </c>
      <c r="F115" t="s">
        <v>7603</v>
      </c>
      <c r="G115" t="s">
        <v>7560</v>
      </c>
      <c r="H115" t="s">
        <v>5520</v>
      </c>
      <c r="I115" t="s">
        <v>7600</v>
      </c>
      <c r="J115" t="s">
        <v>7739</v>
      </c>
      <c r="K115" t="s">
        <v>7560</v>
      </c>
    </row>
    <row r="116" spans="1:19" x14ac:dyDescent="0.25">
      <c r="A116" t="s">
        <v>4176</v>
      </c>
      <c r="B116" t="s">
        <v>7594</v>
      </c>
      <c r="C116" t="s">
        <v>7728</v>
      </c>
      <c r="D116" t="s">
        <v>3438</v>
      </c>
      <c r="E116" t="s">
        <v>7489</v>
      </c>
      <c r="F116" t="s">
        <v>7603</v>
      </c>
      <c r="G116" t="s">
        <v>7560</v>
      </c>
      <c r="H116" t="s">
        <v>7593</v>
      </c>
      <c r="I116" t="s">
        <v>7571</v>
      </c>
      <c r="J116" t="s">
        <v>7739</v>
      </c>
      <c r="K116" t="s">
        <v>7560</v>
      </c>
    </row>
    <row r="117" spans="1:19" x14ac:dyDescent="0.25">
      <c r="A117" t="s">
        <v>4198</v>
      </c>
      <c r="B117" t="s">
        <v>7594</v>
      </c>
      <c r="C117" t="s">
        <v>7728</v>
      </c>
      <c r="D117" t="s">
        <v>5520</v>
      </c>
      <c r="E117" t="s">
        <v>7599</v>
      </c>
      <c r="F117" t="s">
        <v>7603</v>
      </c>
      <c r="G117" t="s">
        <v>7560</v>
      </c>
      <c r="H117" t="s">
        <v>5520</v>
      </c>
      <c r="I117" t="s">
        <v>7623</v>
      </c>
      <c r="J117" t="s">
        <v>7603</v>
      </c>
      <c r="K117" t="s">
        <v>7560</v>
      </c>
      <c r="L117" t="s">
        <v>5520</v>
      </c>
      <c r="M117" t="s">
        <v>7600</v>
      </c>
      <c r="N117" t="s">
        <v>7739</v>
      </c>
      <c r="O117" t="s">
        <v>7560</v>
      </c>
      <c r="P117" t="s">
        <v>5520</v>
      </c>
      <c r="Q117" t="s">
        <v>7742</v>
      </c>
      <c r="R117" t="s">
        <v>7739</v>
      </c>
      <c r="S117" t="s">
        <v>7560</v>
      </c>
    </row>
    <row r="118" spans="1:19" x14ac:dyDescent="0.25">
      <c r="A118" t="s">
        <v>4213</v>
      </c>
      <c r="B118" t="s">
        <v>7594</v>
      </c>
      <c r="C118" t="s">
        <v>7728</v>
      </c>
      <c r="D118" t="s">
        <v>3438</v>
      </c>
      <c r="E118" t="s">
        <v>7543</v>
      </c>
      <c r="F118" t="s">
        <v>7603</v>
      </c>
      <c r="G118" t="s">
        <v>7560</v>
      </c>
      <c r="H118" t="s">
        <v>7593</v>
      </c>
      <c r="I118" t="s">
        <v>7743</v>
      </c>
      <c r="J118" t="s">
        <v>7739</v>
      </c>
      <c r="K118" t="s">
        <v>7560</v>
      </c>
    </row>
    <row r="119" spans="1:19" x14ac:dyDescent="0.25">
      <c r="A119" t="s">
        <v>4218</v>
      </c>
      <c r="B119" t="s">
        <v>7594</v>
      </c>
      <c r="C119" t="s">
        <v>7728</v>
      </c>
      <c r="D119" t="s">
        <v>5520</v>
      </c>
      <c r="E119" t="s">
        <v>7621</v>
      </c>
      <c r="F119" t="s">
        <v>7603</v>
      </c>
      <c r="G119" t="s">
        <v>7560</v>
      </c>
      <c r="H119" t="s">
        <v>5520</v>
      </c>
      <c r="I119" t="s">
        <v>7741</v>
      </c>
      <c r="J119" t="s">
        <v>7739</v>
      </c>
      <c r="K119" t="s">
        <v>7560</v>
      </c>
    </row>
    <row r="120" spans="1:19" x14ac:dyDescent="0.25">
      <c r="A120" t="s">
        <v>4204</v>
      </c>
      <c r="B120" t="s">
        <v>7594</v>
      </c>
      <c r="C120" t="s">
        <v>7728</v>
      </c>
      <c r="D120" t="s">
        <v>3438</v>
      </c>
      <c r="E120" t="s">
        <v>7543</v>
      </c>
      <c r="F120" t="s">
        <v>7603</v>
      </c>
      <c r="G120" t="s">
        <v>7560</v>
      </c>
      <c r="H120" t="s">
        <v>7593</v>
      </c>
      <c r="I120" t="s">
        <v>7743</v>
      </c>
      <c r="J120" t="s">
        <v>7739</v>
      </c>
      <c r="K120" t="s">
        <v>7560</v>
      </c>
    </row>
    <row r="121" spans="1:19" x14ac:dyDescent="0.25">
      <c r="A121" t="s">
        <v>4209</v>
      </c>
      <c r="B121" t="s">
        <v>7594</v>
      </c>
      <c r="C121" t="s">
        <v>7728</v>
      </c>
      <c r="D121" t="s">
        <v>7584</v>
      </c>
      <c r="E121" t="s">
        <v>3448</v>
      </c>
      <c r="F121" t="s">
        <v>7603</v>
      </c>
      <c r="G121" t="s">
        <v>7560</v>
      </c>
    </row>
    <row r="122" spans="1:19" x14ac:dyDescent="0.25">
      <c r="A122" t="s">
        <v>4223</v>
      </c>
      <c r="B122" t="s">
        <v>7594</v>
      </c>
      <c r="C122" t="s">
        <v>7728</v>
      </c>
      <c r="D122" t="s">
        <v>3438</v>
      </c>
      <c r="E122" t="s">
        <v>7543</v>
      </c>
      <c r="F122" t="s">
        <v>7603</v>
      </c>
      <c r="G122" t="s">
        <v>7561</v>
      </c>
      <c r="H122" t="s">
        <v>7593</v>
      </c>
      <c r="I122" t="s">
        <v>7743</v>
      </c>
      <c r="J122" t="s">
        <v>7739</v>
      </c>
      <c r="K122" t="s">
        <v>7561</v>
      </c>
    </row>
    <row r="123" spans="1:19" x14ac:dyDescent="0.25">
      <c r="A123" t="s">
        <v>4226</v>
      </c>
      <c r="B123" t="s">
        <v>7594</v>
      </c>
      <c r="C123" t="s">
        <v>7728</v>
      </c>
      <c r="D123" t="s">
        <v>3455</v>
      </c>
    </row>
    <row r="124" spans="1:19" x14ac:dyDescent="0.25">
      <c r="A124" t="s">
        <v>4164</v>
      </c>
      <c r="B124" t="s">
        <v>7594</v>
      </c>
      <c r="C124" t="s">
        <v>7728</v>
      </c>
      <c r="D124" t="s">
        <v>5520</v>
      </c>
      <c r="E124" t="s">
        <v>7623</v>
      </c>
      <c r="F124" t="s">
        <v>7603</v>
      </c>
      <c r="G124" t="s">
        <v>7560</v>
      </c>
      <c r="H124" t="s">
        <v>5520</v>
      </c>
      <c r="I124" t="s">
        <v>7742</v>
      </c>
      <c r="J124" t="s">
        <v>7739</v>
      </c>
      <c r="K124" t="s">
        <v>7560</v>
      </c>
    </row>
    <row r="125" spans="1:19" x14ac:dyDescent="0.25">
      <c r="A125" t="s">
        <v>4186</v>
      </c>
      <c r="B125" t="s">
        <v>7594</v>
      </c>
      <c r="C125" t="s">
        <v>7728</v>
      </c>
      <c r="D125" t="s">
        <v>5520</v>
      </c>
      <c r="E125" t="s">
        <v>7599</v>
      </c>
      <c r="F125" t="s">
        <v>7603</v>
      </c>
      <c r="G125" t="s">
        <v>7560</v>
      </c>
      <c r="H125" t="s">
        <v>5520</v>
      </c>
      <c r="I125" t="s">
        <v>7600</v>
      </c>
      <c r="J125" t="s">
        <v>7739</v>
      </c>
      <c r="K125" t="s">
        <v>7560</v>
      </c>
    </row>
    <row r="126" spans="1:19" x14ac:dyDescent="0.25">
      <c r="A126" t="s">
        <v>3445</v>
      </c>
      <c r="B126" t="s">
        <v>7620</v>
      </c>
      <c r="C126" t="s">
        <v>7590</v>
      </c>
      <c r="D126" t="s">
        <v>7593</v>
      </c>
      <c r="E126" t="s">
        <v>7743</v>
      </c>
      <c r="F126" t="s">
        <v>7542</v>
      </c>
      <c r="G126" t="s">
        <v>7561</v>
      </c>
    </row>
    <row r="127" spans="1:19" x14ac:dyDescent="0.25">
      <c r="A127" t="s">
        <v>4010</v>
      </c>
      <c r="B127" t="s">
        <v>7594</v>
      </c>
      <c r="C127" t="s">
        <v>7727</v>
      </c>
      <c r="D127" t="s">
        <v>5520</v>
      </c>
      <c r="E127" t="s">
        <v>7600</v>
      </c>
      <c r="F127" t="s">
        <v>7714</v>
      </c>
      <c r="G127" t="s">
        <v>7560</v>
      </c>
    </row>
    <row r="128" spans="1:19" x14ac:dyDescent="0.25">
      <c r="A128" t="s">
        <v>4016</v>
      </c>
      <c r="B128" t="s">
        <v>7594</v>
      </c>
      <c r="C128" t="s">
        <v>7727</v>
      </c>
      <c r="D128" t="s">
        <v>3585</v>
      </c>
      <c r="E128" t="s">
        <v>7715</v>
      </c>
      <c r="F128" t="s">
        <v>7714</v>
      </c>
      <c r="G128" t="s">
        <v>7561</v>
      </c>
    </row>
    <row r="129" spans="1:15" x14ac:dyDescent="0.25">
      <c r="A129" t="s">
        <v>4022</v>
      </c>
      <c r="B129" t="s">
        <v>7594</v>
      </c>
      <c r="C129" t="s">
        <v>7727</v>
      </c>
      <c r="D129" t="s">
        <v>7593</v>
      </c>
      <c r="E129" t="s">
        <v>7716</v>
      </c>
      <c r="F129" t="s">
        <v>7714</v>
      </c>
      <c r="G129" t="s">
        <v>7560</v>
      </c>
    </row>
    <row r="130" spans="1:15" x14ac:dyDescent="0.25">
      <c r="A130" t="s">
        <v>4045</v>
      </c>
      <c r="B130" t="s">
        <v>7594</v>
      </c>
      <c r="C130" t="s">
        <v>7727</v>
      </c>
      <c r="D130" t="s">
        <v>5520</v>
      </c>
      <c r="E130" t="s">
        <v>7720</v>
      </c>
      <c r="F130" t="s">
        <v>7714</v>
      </c>
      <c r="G130" t="s">
        <v>7560</v>
      </c>
      <c r="H130" t="s">
        <v>5520</v>
      </c>
      <c r="I130" t="s">
        <v>7721</v>
      </c>
      <c r="J130" t="s">
        <v>7714</v>
      </c>
      <c r="K130" t="s">
        <v>7560</v>
      </c>
      <c r="L130" t="s">
        <v>7722</v>
      </c>
      <c r="M130" t="s">
        <v>7572</v>
      </c>
      <c r="N130" t="s">
        <v>7714</v>
      </c>
      <c r="O130" t="s">
        <v>7560</v>
      </c>
    </row>
    <row r="131" spans="1:15" x14ac:dyDescent="0.25">
      <c r="A131" t="s">
        <v>4027</v>
      </c>
      <c r="B131" t="s">
        <v>7594</v>
      </c>
      <c r="C131" t="s">
        <v>7727</v>
      </c>
      <c r="D131" t="s">
        <v>3585</v>
      </c>
      <c r="E131" t="s">
        <v>7715</v>
      </c>
      <c r="F131" t="s">
        <v>7714</v>
      </c>
      <c r="G131" t="s">
        <v>7560</v>
      </c>
    </row>
    <row r="132" spans="1:15" x14ac:dyDescent="0.25">
      <c r="A132" t="s">
        <v>4050</v>
      </c>
      <c r="B132" t="s">
        <v>7594</v>
      </c>
      <c r="C132" t="s">
        <v>7727</v>
      </c>
      <c r="D132" t="s">
        <v>7584</v>
      </c>
      <c r="E132" t="s">
        <v>4242</v>
      </c>
      <c r="F132" t="s">
        <v>7714</v>
      </c>
      <c r="G132" t="s">
        <v>7561</v>
      </c>
    </row>
    <row r="133" spans="1:15" x14ac:dyDescent="0.25">
      <c r="A133" t="s">
        <v>4034</v>
      </c>
      <c r="B133" t="s">
        <v>7594</v>
      </c>
      <c r="C133" t="s">
        <v>7727</v>
      </c>
      <c r="D133" t="s">
        <v>5520</v>
      </c>
      <c r="E133" t="s">
        <v>7717</v>
      </c>
      <c r="F133" t="s">
        <v>7714</v>
      </c>
      <c r="G133" t="s">
        <v>7560</v>
      </c>
    </row>
    <row r="134" spans="1:15" x14ac:dyDescent="0.25">
      <c r="A134" t="s">
        <v>4038</v>
      </c>
      <c r="B134" t="s">
        <v>7594</v>
      </c>
      <c r="C134" t="s">
        <v>7727</v>
      </c>
      <c r="D134" t="s">
        <v>3677</v>
      </c>
      <c r="E134" t="s">
        <v>7718</v>
      </c>
      <c r="F134" t="s">
        <v>7714</v>
      </c>
      <c r="G134" t="s">
        <v>7560</v>
      </c>
    </row>
    <row r="135" spans="1:15" x14ac:dyDescent="0.25">
      <c r="A135" t="s">
        <v>4262</v>
      </c>
      <c r="B135" t="s">
        <v>7569</v>
      </c>
      <c r="C135" t="s">
        <v>7573</v>
      </c>
      <c r="D135" t="s">
        <v>7593</v>
      </c>
      <c r="E135" t="s">
        <v>7743</v>
      </c>
      <c r="F135" t="s">
        <v>7575</v>
      </c>
      <c r="G135" t="s">
        <v>7561</v>
      </c>
    </row>
    <row r="136" spans="1:15" x14ac:dyDescent="0.25">
      <c r="A136" t="s">
        <v>7654</v>
      </c>
      <c r="B136" t="s">
        <v>7594</v>
      </c>
      <c r="C136" t="s">
        <v>7729</v>
      </c>
      <c r="D136" t="s">
        <v>7593</v>
      </c>
      <c r="E136" t="s">
        <v>7744</v>
      </c>
      <c r="F136" t="s">
        <v>7626</v>
      </c>
      <c r="G136" t="s">
        <v>7561</v>
      </c>
    </row>
    <row r="137" spans="1:15" x14ac:dyDescent="0.25">
      <c r="A137" t="s">
        <v>7633</v>
      </c>
      <c r="B137" t="s">
        <v>7594</v>
      </c>
      <c r="C137" t="s">
        <v>7729</v>
      </c>
      <c r="D137" t="s">
        <v>7593</v>
      </c>
      <c r="E137" t="s">
        <v>7716</v>
      </c>
      <c r="F137" t="s">
        <v>7626</v>
      </c>
      <c r="G137" t="s">
        <v>7560</v>
      </c>
    </row>
    <row r="138" spans="1:15" x14ac:dyDescent="0.25">
      <c r="A138" t="s">
        <v>7656</v>
      </c>
      <c r="B138" t="s">
        <v>7594</v>
      </c>
      <c r="C138" t="s">
        <v>7729</v>
      </c>
      <c r="D138" t="s">
        <v>7593</v>
      </c>
      <c r="E138" t="s">
        <v>7743</v>
      </c>
      <c r="F138" t="s">
        <v>7626</v>
      </c>
      <c r="G138" t="s">
        <v>7561</v>
      </c>
    </row>
    <row r="139" spans="1:15" x14ac:dyDescent="0.25">
      <c r="A139" t="s">
        <v>7631</v>
      </c>
      <c r="B139" t="s">
        <v>7594</v>
      </c>
      <c r="C139" t="s">
        <v>7729</v>
      </c>
      <c r="D139" t="s">
        <v>5520</v>
      </c>
      <c r="E139" t="s">
        <v>7721</v>
      </c>
      <c r="F139" t="s">
        <v>7626</v>
      </c>
      <c r="G139" t="s">
        <v>7560</v>
      </c>
      <c r="H139" t="s">
        <v>7722</v>
      </c>
      <c r="I139" t="s">
        <v>7572</v>
      </c>
      <c r="J139" t="s">
        <v>7626</v>
      </c>
      <c r="K139" t="s">
        <v>7560</v>
      </c>
    </row>
    <row r="140" spans="1:15" x14ac:dyDescent="0.25">
      <c r="A140" t="s">
        <v>7652</v>
      </c>
      <c r="B140" t="s">
        <v>7594</v>
      </c>
      <c r="C140" t="s">
        <v>7729</v>
      </c>
      <c r="D140" t="s">
        <v>5520</v>
      </c>
      <c r="E140" t="s">
        <v>7741</v>
      </c>
      <c r="F140" t="s">
        <v>7626</v>
      </c>
      <c r="G140" t="s">
        <v>7560</v>
      </c>
    </row>
    <row r="141" spans="1:15" x14ac:dyDescent="0.25">
      <c r="A141" t="s">
        <v>7651</v>
      </c>
      <c r="B141" t="s">
        <v>7594</v>
      </c>
      <c r="C141" t="s">
        <v>7729</v>
      </c>
      <c r="D141" t="s">
        <v>7593</v>
      </c>
      <c r="E141" t="s">
        <v>7751</v>
      </c>
      <c r="F141" t="s">
        <v>7626</v>
      </c>
      <c r="G141" t="s">
        <v>7561</v>
      </c>
    </row>
    <row r="142" spans="1:15" x14ac:dyDescent="0.25">
      <c r="A142" t="s">
        <v>7653</v>
      </c>
      <c r="B142" t="s">
        <v>7594</v>
      </c>
      <c r="C142" t="s">
        <v>7729</v>
      </c>
      <c r="D142" t="s">
        <v>7593</v>
      </c>
      <c r="E142" t="s">
        <v>7743</v>
      </c>
      <c r="F142" t="s">
        <v>7626</v>
      </c>
      <c r="G142" t="s">
        <v>7561</v>
      </c>
    </row>
    <row r="143" spans="1:15" x14ac:dyDescent="0.25">
      <c r="A143" t="s">
        <v>7628</v>
      </c>
      <c r="B143" t="s">
        <v>7594</v>
      </c>
      <c r="C143" t="s">
        <v>7729</v>
      </c>
      <c r="D143" t="s">
        <v>3455</v>
      </c>
    </row>
    <row r="144" spans="1:15" x14ac:dyDescent="0.25">
      <c r="A144" t="s">
        <v>7666</v>
      </c>
      <c r="B144" t="s">
        <v>7594</v>
      </c>
      <c r="C144" t="s">
        <v>7729</v>
      </c>
      <c r="D144" t="s">
        <v>7593</v>
      </c>
      <c r="E144" t="s">
        <v>7716</v>
      </c>
      <c r="F144" t="s">
        <v>7626</v>
      </c>
      <c r="G144" t="s">
        <v>7560</v>
      </c>
    </row>
    <row r="145" spans="1:11" x14ac:dyDescent="0.25">
      <c r="A145" t="s">
        <v>7655</v>
      </c>
      <c r="B145" t="s">
        <v>7594</v>
      </c>
      <c r="C145" t="s">
        <v>7729</v>
      </c>
      <c r="D145" t="s">
        <v>7593</v>
      </c>
      <c r="E145" t="s">
        <v>7563</v>
      </c>
      <c r="F145" t="s">
        <v>7626</v>
      </c>
      <c r="G145" t="s">
        <v>7560</v>
      </c>
    </row>
    <row r="146" spans="1:11" x14ac:dyDescent="0.25">
      <c r="A146" t="s">
        <v>7657</v>
      </c>
      <c r="B146" t="s">
        <v>7594</v>
      </c>
      <c r="C146" t="s">
        <v>7729</v>
      </c>
      <c r="D146" t="s">
        <v>7593</v>
      </c>
      <c r="E146" t="s">
        <v>7745</v>
      </c>
      <c r="F146" t="s">
        <v>7626</v>
      </c>
      <c r="G146" t="s">
        <v>7560</v>
      </c>
    </row>
    <row r="147" spans="1:11" x14ac:dyDescent="0.25">
      <c r="A147" t="s">
        <v>3721</v>
      </c>
      <c r="B147" t="s">
        <v>7594</v>
      </c>
      <c r="C147" t="s">
        <v>7729</v>
      </c>
      <c r="D147" t="s">
        <v>7582</v>
      </c>
      <c r="E147" t="s">
        <v>7627</v>
      </c>
      <c r="F147" t="s">
        <v>7626</v>
      </c>
      <c r="G147" t="s">
        <v>7560</v>
      </c>
    </row>
    <row r="148" spans="1:11" x14ac:dyDescent="0.25">
      <c r="A148" t="s">
        <v>7760</v>
      </c>
      <c r="B148" t="s">
        <v>7538</v>
      </c>
      <c r="C148" t="s">
        <v>7590</v>
      </c>
      <c r="D148" t="s">
        <v>3438</v>
      </c>
      <c r="E148" t="s">
        <v>7543</v>
      </c>
      <c r="F148" t="s">
        <v>7755</v>
      </c>
      <c r="G148" t="s">
        <v>7561</v>
      </c>
      <c r="H148" t="s">
        <v>7591</v>
      </c>
      <c r="I148" t="s">
        <v>7711</v>
      </c>
      <c r="J148" t="s">
        <v>7755</v>
      </c>
      <c r="K148" t="s">
        <v>7561</v>
      </c>
    </row>
    <row r="149" spans="1:11" x14ac:dyDescent="0.25">
      <c r="A149" t="s">
        <v>7761</v>
      </c>
      <c r="B149" t="s">
        <v>7762</v>
      </c>
      <c r="C149" t="s">
        <v>7590</v>
      </c>
      <c r="D149" t="s">
        <v>3438</v>
      </c>
      <c r="E149" t="s">
        <v>7543</v>
      </c>
      <c r="F149" t="s">
        <v>7763</v>
      </c>
      <c r="G149" t="s">
        <v>7560</v>
      </c>
    </row>
    <row r="150" spans="1:11" x14ac:dyDescent="0.25">
      <c r="A150" t="s">
        <v>7764</v>
      </c>
      <c r="B150" t="s">
        <v>7604</v>
      </c>
      <c r="C150" t="s">
        <v>7590</v>
      </c>
      <c r="D150" t="s">
        <v>7593</v>
      </c>
      <c r="E150" t="s">
        <v>7749</v>
      </c>
      <c r="F150" t="s">
        <v>7604</v>
      </c>
      <c r="G150" t="s">
        <v>7560</v>
      </c>
    </row>
    <row r="151" spans="1:11" x14ac:dyDescent="0.25">
      <c r="A151" t="s">
        <v>4258</v>
      </c>
      <c r="B151" t="s">
        <v>7765</v>
      </c>
      <c r="C151" t="s">
        <v>7567</v>
      </c>
      <c r="D151" t="s">
        <v>5520</v>
      </c>
      <c r="E151" t="s">
        <v>7721</v>
      </c>
      <c r="F151" t="s">
        <v>7766</v>
      </c>
      <c r="G151" t="s">
        <v>7560</v>
      </c>
    </row>
    <row r="152" spans="1:11" x14ac:dyDescent="0.25">
      <c r="A152" t="s">
        <v>7609</v>
      </c>
      <c r="B152" t="s">
        <v>7767</v>
      </c>
      <c r="C152" t="s">
        <v>7567</v>
      </c>
      <c r="D152" t="s">
        <v>5520</v>
      </c>
      <c r="E152" t="s">
        <v>7717</v>
      </c>
      <c r="F152" t="s">
        <v>7766</v>
      </c>
      <c r="G152" t="s">
        <v>7560</v>
      </c>
    </row>
    <row r="153" spans="1:11" x14ac:dyDescent="0.25">
      <c r="A153" t="s">
        <v>7768</v>
      </c>
      <c r="B153" t="s">
        <v>7538</v>
      </c>
      <c r="C153" t="s">
        <v>7590</v>
      </c>
      <c r="D153" t="s">
        <v>7584</v>
      </c>
      <c r="E153" t="s">
        <v>7758</v>
      </c>
      <c r="F153" t="s">
        <v>7538</v>
      </c>
      <c r="G153" t="s">
        <v>7560</v>
      </c>
      <c r="H153" t="s">
        <v>7593</v>
      </c>
      <c r="I153" t="s">
        <v>7743</v>
      </c>
      <c r="J153" t="s">
        <v>7586</v>
      </c>
      <c r="K153" t="s">
        <v>7561</v>
      </c>
    </row>
    <row r="154" spans="1:11" x14ac:dyDescent="0.25">
      <c r="A154" t="s">
        <v>7816</v>
      </c>
    </row>
    <row r="155" spans="1:11" x14ac:dyDescent="0.25">
      <c r="A155" t="s">
        <v>7818</v>
      </c>
    </row>
    <row r="156" spans="1:11" x14ac:dyDescent="0.25">
      <c r="A156" t="s">
        <v>7830</v>
      </c>
    </row>
    <row r="157" spans="1:11" x14ac:dyDescent="0.25">
      <c r="A157" t="s">
        <v>7832</v>
      </c>
    </row>
    <row r="158" spans="1:11" x14ac:dyDescent="0.25">
      <c r="A158" t="s">
        <v>7835</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3731</v>
      </c>
      <c r="C1" t="s">
        <v>1</v>
      </c>
      <c r="D1" t="s">
        <v>167</v>
      </c>
      <c r="E1" t="s">
        <v>3493</v>
      </c>
    </row>
    <row r="2" spans="1:5" ht="15" customHeight="1" x14ac:dyDescent="0.25">
      <c r="A2" t="s">
        <v>4359</v>
      </c>
      <c r="B2" t="s">
        <v>4360</v>
      </c>
      <c r="C2" t="s">
        <v>1046</v>
      </c>
      <c r="D2" t="s">
        <v>4361</v>
      </c>
      <c r="E2" t="s">
        <v>4362</v>
      </c>
    </row>
    <row r="3" spans="1:5" ht="15" customHeight="1" x14ac:dyDescent="0.25">
      <c r="A3" t="s">
        <v>4363</v>
      </c>
      <c r="B3" t="s">
        <v>4364</v>
      </c>
      <c r="C3" t="s">
        <v>1046</v>
      </c>
      <c r="D3" t="s">
        <v>4365</v>
      </c>
      <c r="E3" t="s">
        <v>4362</v>
      </c>
    </row>
    <row r="4" spans="1:5" ht="15" customHeight="1" x14ac:dyDescent="0.25">
      <c r="A4" t="s">
        <v>4366</v>
      </c>
      <c r="B4" t="s">
        <v>4364</v>
      </c>
      <c r="C4" t="s">
        <v>1046</v>
      </c>
      <c r="D4" t="s">
        <v>4367</v>
      </c>
      <c r="E4" t="s">
        <v>4362</v>
      </c>
    </row>
    <row r="5" spans="1:5" ht="15" customHeight="1" x14ac:dyDescent="0.25">
      <c r="A5" t="s">
        <v>4368</v>
      </c>
      <c r="B5" t="s">
        <v>4369</v>
      </c>
      <c r="C5" t="s">
        <v>1046</v>
      </c>
      <c r="D5" t="s">
        <v>4370</v>
      </c>
      <c r="E5" t="s">
        <v>4362</v>
      </c>
    </row>
    <row r="6" spans="1:5" ht="15" customHeight="1" x14ac:dyDescent="0.25">
      <c r="A6" t="s">
        <v>4371</v>
      </c>
      <c r="B6" t="s">
        <v>4369</v>
      </c>
      <c r="C6" t="s">
        <v>1046</v>
      </c>
      <c r="D6" t="s">
        <v>4372</v>
      </c>
      <c r="E6" t="s">
        <v>4362</v>
      </c>
    </row>
    <row r="7" spans="1:5" ht="15" customHeight="1" x14ac:dyDescent="0.25">
      <c r="A7" t="s">
        <v>4373</v>
      </c>
      <c r="B7" t="s">
        <v>4360</v>
      </c>
      <c r="C7" t="s">
        <v>160</v>
      </c>
      <c r="D7" t="s">
        <v>4361</v>
      </c>
      <c r="E7" t="s">
        <v>4374</v>
      </c>
    </row>
    <row r="8" spans="1:5" ht="15" customHeight="1" x14ac:dyDescent="0.25">
      <c r="A8" t="s">
        <v>4292</v>
      </c>
      <c r="B8" t="s">
        <v>4360</v>
      </c>
      <c r="C8" t="s">
        <v>160</v>
      </c>
      <c r="D8" t="s">
        <v>4375</v>
      </c>
      <c r="E8" t="s">
        <v>4374</v>
      </c>
    </row>
    <row r="9" spans="1:5" ht="15" customHeight="1" x14ac:dyDescent="0.25">
      <c r="A9" t="s">
        <v>4296</v>
      </c>
      <c r="B9" t="s">
        <v>4360</v>
      </c>
      <c r="C9" t="s">
        <v>160</v>
      </c>
      <c r="D9" t="s">
        <v>4376</v>
      </c>
      <c r="E9" t="s">
        <v>4374</v>
      </c>
    </row>
    <row r="10" spans="1:5" ht="15" customHeight="1" x14ac:dyDescent="0.25">
      <c r="A10" t="s">
        <v>4377</v>
      </c>
      <c r="B10" t="s">
        <v>4364</v>
      </c>
      <c r="C10" t="s">
        <v>160</v>
      </c>
      <c r="D10" t="s">
        <v>4365</v>
      </c>
      <c r="E10" t="s">
        <v>4374</v>
      </c>
    </row>
    <row r="11" spans="1:5" ht="15" customHeight="1" x14ac:dyDescent="0.25">
      <c r="A11" t="s">
        <v>4378</v>
      </c>
      <c r="B11" t="s">
        <v>4364</v>
      </c>
      <c r="C11" t="s">
        <v>160</v>
      </c>
      <c r="D11" t="s">
        <v>4379</v>
      </c>
      <c r="E11" t="s">
        <v>4374</v>
      </c>
    </row>
    <row r="12" spans="1:5" ht="15" customHeight="1" x14ac:dyDescent="0.25">
      <c r="A12" t="s">
        <v>4380</v>
      </c>
      <c r="B12" t="s">
        <v>4364</v>
      </c>
      <c r="C12" t="s">
        <v>160</v>
      </c>
      <c r="D12" t="s">
        <v>4372</v>
      </c>
      <c r="E12" t="s">
        <v>4374</v>
      </c>
    </row>
    <row r="13" spans="1:5" ht="15" customHeight="1" x14ac:dyDescent="0.25">
      <c r="A13" t="s">
        <v>4381</v>
      </c>
      <c r="B13" t="s">
        <v>4369</v>
      </c>
      <c r="C13" t="s">
        <v>160</v>
      </c>
      <c r="D13" t="s">
        <v>4382</v>
      </c>
      <c r="E13" t="s">
        <v>4374</v>
      </c>
    </row>
    <row r="14" spans="1:5" ht="15" customHeight="1" x14ac:dyDescent="0.25">
      <c r="A14" t="s">
        <v>4383</v>
      </c>
      <c r="B14" t="s">
        <v>4369</v>
      </c>
      <c r="C14" t="s">
        <v>160</v>
      </c>
      <c r="D14" t="s">
        <v>4384</v>
      </c>
      <c r="E14" t="s">
        <v>4374</v>
      </c>
    </row>
    <row r="15" spans="1:5" ht="15" customHeight="1" x14ac:dyDescent="0.25">
      <c r="A15" t="s">
        <v>4385</v>
      </c>
      <c r="B15" t="s">
        <v>4369</v>
      </c>
      <c r="C15" t="s">
        <v>160</v>
      </c>
      <c r="D15" t="s">
        <v>4386</v>
      </c>
      <c r="E15" t="s">
        <v>4374</v>
      </c>
    </row>
    <row r="16" spans="1:5" ht="15" customHeight="1" x14ac:dyDescent="0.25">
      <c r="A16" t="s">
        <v>4387</v>
      </c>
      <c r="B16" t="s">
        <v>4360</v>
      </c>
      <c r="C16" t="s">
        <v>1294</v>
      </c>
      <c r="D16" t="s">
        <v>4372</v>
      </c>
      <c r="E16" t="s">
        <v>4388</v>
      </c>
    </row>
    <row r="17" spans="1:5" ht="15" customHeight="1" x14ac:dyDescent="0.25">
      <c r="A17" t="s">
        <v>4389</v>
      </c>
      <c r="B17" t="s">
        <v>4360</v>
      </c>
      <c r="C17" t="s">
        <v>1294</v>
      </c>
      <c r="D17" t="s">
        <v>4375</v>
      </c>
      <c r="E17" t="s">
        <v>4388</v>
      </c>
    </row>
    <row r="18" spans="1:5" ht="15" customHeight="1" x14ac:dyDescent="0.25">
      <c r="A18" t="s">
        <v>4390</v>
      </c>
      <c r="B18" t="s">
        <v>4364</v>
      </c>
      <c r="C18" t="s">
        <v>1294</v>
      </c>
      <c r="D18" t="s">
        <v>4379</v>
      </c>
      <c r="E18" t="s">
        <v>4388</v>
      </c>
    </row>
    <row r="19" spans="1:5" ht="15" customHeight="1" x14ac:dyDescent="0.25">
      <c r="A19" t="s">
        <v>4386</v>
      </c>
      <c r="B19" t="s">
        <v>4364</v>
      </c>
      <c r="C19" t="s">
        <v>1294</v>
      </c>
      <c r="D19" t="s">
        <v>4386</v>
      </c>
      <c r="E19" t="s">
        <v>4388</v>
      </c>
    </row>
    <row r="20" spans="1:5" ht="15" customHeight="1" x14ac:dyDescent="0.25">
      <c r="A20" t="s">
        <v>4391</v>
      </c>
      <c r="B20" t="s">
        <v>4369</v>
      </c>
      <c r="C20" t="s">
        <v>1294</v>
      </c>
      <c r="D20" t="s">
        <v>4361</v>
      </c>
      <c r="E20" t="s">
        <v>4388</v>
      </c>
    </row>
    <row r="21" spans="1:5" ht="15" customHeight="1" x14ac:dyDescent="0.25">
      <c r="A21" t="s">
        <v>4392</v>
      </c>
      <c r="B21" t="s">
        <v>4360</v>
      </c>
      <c r="C21" t="s">
        <v>2136</v>
      </c>
      <c r="D21" t="s">
        <v>4393</v>
      </c>
      <c r="E21" t="s">
        <v>4394</v>
      </c>
    </row>
    <row r="22" spans="1:5" ht="15" customHeight="1" x14ac:dyDescent="0.25">
      <c r="A22" t="s">
        <v>4395</v>
      </c>
      <c r="B22" t="s">
        <v>4360</v>
      </c>
      <c r="C22" t="s">
        <v>2136</v>
      </c>
      <c r="D22" t="s">
        <v>4396</v>
      </c>
      <c r="E22" t="s">
        <v>4394</v>
      </c>
    </row>
    <row r="23" spans="1:5" ht="15" customHeight="1" x14ac:dyDescent="0.25">
      <c r="A23" t="s">
        <v>4397</v>
      </c>
      <c r="B23" t="s">
        <v>4360</v>
      </c>
      <c r="C23" t="s">
        <v>2136</v>
      </c>
      <c r="D23" t="s">
        <v>4367</v>
      </c>
      <c r="E23" t="s">
        <v>4394</v>
      </c>
    </row>
    <row r="24" spans="1:5" ht="15" customHeight="1" x14ac:dyDescent="0.25">
      <c r="A24" t="s">
        <v>4398</v>
      </c>
      <c r="B24" t="s">
        <v>4360</v>
      </c>
      <c r="C24" t="s">
        <v>2136</v>
      </c>
      <c r="D24" t="s">
        <v>4399</v>
      </c>
      <c r="E24" t="s">
        <v>4394</v>
      </c>
    </row>
    <row r="25" spans="1:5" ht="15" customHeight="1" x14ac:dyDescent="0.25">
      <c r="A25" t="s">
        <v>4400</v>
      </c>
      <c r="B25" t="s">
        <v>4364</v>
      </c>
      <c r="C25" t="s">
        <v>2136</v>
      </c>
      <c r="D25" t="s">
        <v>4367</v>
      </c>
      <c r="E25" t="s">
        <v>4394</v>
      </c>
    </row>
    <row r="26" spans="1:5" ht="15" customHeight="1" x14ac:dyDescent="0.25">
      <c r="A26" t="s">
        <v>4401</v>
      </c>
      <c r="B26" t="s">
        <v>4364</v>
      </c>
      <c r="C26" t="s">
        <v>2136</v>
      </c>
      <c r="D26" t="s">
        <v>4375</v>
      </c>
      <c r="E26" t="s">
        <v>4394</v>
      </c>
    </row>
    <row r="27" spans="1:5" ht="15" customHeight="1" x14ac:dyDescent="0.25">
      <c r="A27" t="s">
        <v>4402</v>
      </c>
      <c r="B27" t="s">
        <v>4364</v>
      </c>
      <c r="C27" t="s">
        <v>2136</v>
      </c>
      <c r="D27" t="s">
        <v>4393</v>
      </c>
      <c r="E27" t="s">
        <v>4394</v>
      </c>
    </row>
    <row r="28" spans="1:5" ht="15" customHeight="1" x14ac:dyDescent="0.25">
      <c r="A28" t="s">
        <v>4403</v>
      </c>
      <c r="B28" t="s">
        <v>4364</v>
      </c>
      <c r="C28" t="s">
        <v>2136</v>
      </c>
      <c r="D28" t="s">
        <v>4404</v>
      </c>
      <c r="E28" t="s">
        <v>4394</v>
      </c>
    </row>
    <row r="29" spans="1:5" ht="15" customHeight="1" x14ac:dyDescent="0.25">
      <c r="A29" t="s">
        <v>4405</v>
      </c>
      <c r="B29" t="s">
        <v>4369</v>
      </c>
      <c r="C29" t="s">
        <v>2136</v>
      </c>
      <c r="D29" t="s">
        <v>4406</v>
      </c>
      <c r="E29" t="s">
        <v>4394</v>
      </c>
    </row>
    <row r="30" spans="1:5" ht="15" customHeight="1" x14ac:dyDescent="0.25">
      <c r="A30" t="s">
        <v>4407</v>
      </c>
      <c r="B30" t="s">
        <v>4369</v>
      </c>
      <c r="C30" t="s">
        <v>2136</v>
      </c>
      <c r="D30" t="s">
        <v>4408</v>
      </c>
      <c r="E30" t="s">
        <v>4394</v>
      </c>
    </row>
    <row r="31" spans="1:5" ht="15" customHeight="1" x14ac:dyDescent="0.25">
      <c r="A31" t="s">
        <v>4409</v>
      </c>
      <c r="B31" t="s">
        <v>4360</v>
      </c>
      <c r="C31" t="s">
        <v>553</v>
      </c>
      <c r="D31" t="s">
        <v>4399</v>
      </c>
      <c r="E31" t="s">
        <v>4410</v>
      </c>
    </row>
    <row r="32" spans="1:5" ht="15" customHeight="1" x14ac:dyDescent="0.25">
      <c r="A32" t="s">
        <v>4411</v>
      </c>
      <c r="B32" t="s">
        <v>4369</v>
      </c>
      <c r="C32" t="s">
        <v>553</v>
      </c>
      <c r="D32" t="s">
        <v>4399</v>
      </c>
      <c r="E32" t="s">
        <v>4410</v>
      </c>
    </row>
    <row r="33" spans="1:5" ht="15" customHeight="1" x14ac:dyDescent="0.25">
      <c r="A33" t="s">
        <v>4412</v>
      </c>
      <c r="B33" t="s">
        <v>4364</v>
      </c>
      <c r="C33" t="s">
        <v>553</v>
      </c>
      <c r="D33" t="s">
        <v>4365</v>
      </c>
      <c r="E33" t="s">
        <v>4410</v>
      </c>
    </row>
    <row r="34" spans="1:5" ht="15" customHeight="1" x14ac:dyDescent="0.25">
      <c r="A34" t="s">
        <v>4413</v>
      </c>
      <c r="B34" t="s">
        <v>4369</v>
      </c>
      <c r="C34" t="s">
        <v>553</v>
      </c>
      <c r="D34" t="s">
        <v>4408</v>
      </c>
      <c r="E34" t="s">
        <v>4410</v>
      </c>
    </row>
    <row r="35" spans="1:5" ht="15" customHeight="1" x14ac:dyDescent="0.25">
      <c r="A35" t="s">
        <v>4414</v>
      </c>
      <c r="B35" t="s">
        <v>4364</v>
      </c>
      <c r="C35" t="s">
        <v>553</v>
      </c>
      <c r="D35" t="s">
        <v>4393</v>
      </c>
      <c r="E35" t="s">
        <v>4410</v>
      </c>
    </row>
    <row r="36" spans="1:5" ht="15" customHeight="1" x14ac:dyDescent="0.25">
      <c r="A36" t="s">
        <v>4415</v>
      </c>
      <c r="B36" t="s">
        <v>4360</v>
      </c>
      <c r="C36" t="s">
        <v>553</v>
      </c>
      <c r="D36" t="s">
        <v>4365</v>
      </c>
      <c r="E36" t="s">
        <v>4410</v>
      </c>
    </row>
    <row r="37" spans="1:5" ht="15" customHeight="1" x14ac:dyDescent="0.25">
      <c r="A37" t="s">
        <v>4416</v>
      </c>
      <c r="B37" t="s">
        <v>4360</v>
      </c>
      <c r="C37" t="s">
        <v>501</v>
      </c>
      <c r="D37" t="s">
        <v>4396</v>
      </c>
      <c r="E37" t="s">
        <v>4417</v>
      </c>
    </row>
    <row r="38" spans="1:5" ht="15" customHeight="1" x14ac:dyDescent="0.25">
      <c r="A38" t="s">
        <v>4418</v>
      </c>
      <c r="B38" t="s">
        <v>4364</v>
      </c>
      <c r="C38" t="s">
        <v>501</v>
      </c>
      <c r="D38" t="s">
        <v>4379</v>
      </c>
      <c r="E38" t="s">
        <v>4417</v>
      </c>
    </row>
    <row r="39" spans="1:5" ht="15" customHeight="1" x14ac:dyDescent="0.25">
      <c r="A39" t="s">
        <v>4419</v>
      </c>
      <c r="B39" t="s">
        <v>4369</v>
      </c>
      <c r="C39" t="s">
        <v>501</v>
      </c>
      <c r="D39" t="s">
        <v>4386</v>
      </c>
      <c r="E39" t="s">
        <v>4417</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4420</v>
      </c>
      <c r="E2" t="s">
        <v>4421</v>
      </c>
      <c r="F2" t="s">
        <v>497</v>
      </c>
      <c r="G2" t="s">
        <v>3503</v>
      </c>
      <c r="H2" t="s">
        <v>3504</v>
      </c>
      <c r="I2" t="s">
        <v>3455</v>
      </c>
      <c r="J2" t="s">
        <v>3438</v>
      </c>
    </row>
    <row r="3" spans="1:10" ht="15" customHeight="1" x14ac:dyDescent="0.25">
      <c r="A3" t="s">
        <v>3505</v>
      </c>
      <c r="B3" t="s">
        <v>41</v>
      </c>
      <c r="C3" t="s">
        <v>3506</v>
      </c>
      <c r="D3" t="s">
        <v>4422</v>
      </c>
      <c r="E3" t="s">
        <v>4423</v>
      </c>
      <c r="F3" t="s">
        <v>90</v>
      </c>
      <c r="G3" t="s">
        <v>3508</v>
      </c>
      <c r="H3" t="s">
        <v>3505</v>
      </c>
      <c r="I3" t="s">
        <v>3455</v>
      </c>
      <c r="J3" t="s">
        <v>3509</v>
      </c>
    </row>
    <row r="4" spans="1:10" ht="15" customHeight="1" x14ac:dyDescent="0.25">
      <c r="A4" t="s">
        <v>4424</v>
      </c>
      <c r="B4" t="s">
        <v>3511</v>
      </c>
      <c r="C4" t="s">
        <v>4425</v>
      </c>
      <c r="D4" t="s">
        <v>4426</v>
      </c>
      <c r="E4" t="s">
        <v>4427</v>
      </c>
      <c r="F4" t="s">
        <v>1649</v>
      </c>
      <c r="G4" t="s">
        <v>4428</v>
      </c>
      <c r="H4" t="s">
        <v>4429</v>
      </c>
      <c r="I4" t="s">
        <v>3455</v>
      </c>
      <c r="J4" t="s">
        <v>3509</v>
      </c>
    </row>
    <row r="5" spans="1:10" ht="15" customHeight="1" x14ac:dyDescent="0.25">
      <c r="A5" t="s">
        <v>4430</v>
      </c>
      <c r="B5" t="s">
        <v>41</v>
      </c>
      <c r="C5" t="s">
        <v>3520</v>
      </c>
      <c r="D5" t="s">
        <v>4431</v>
      </c>
      <c r="E5" t="s">
        <v>4432</v>
      </c>
      <c r="F5" t="s">
        <v>1046</v>
      </c>
      <c r="G5" t="s">
        <v>4433</v>
      </c>
      <c r="H5" t="s">
        <v>4434</v>
      </c>
      <c r="I5" t="s">
        <v>3455</v>
      </c>
      <c r="J5" t="s">
        <v>3517</v>
      </c>
    </row>
    <row r="6" spans="1:10" ht="15" customHeight="1" x14ac:dyDescent="0.25">
      <c r="A6" t="s">
        <v>4435</v>
      </c>
      <c r="B6" t="s">
        <v>3511</v>
      </c>
      <c r="C6" t="s">
        <v>4425</v>
      </c>
      <c r="D6" t="s">
        <v>4436</v>
      </c>
      <c r="E6" t="s">
        <v>4437</v>
      </c>
      <c r="F6" t="s">
        <v>1046</v>
      </c>
      <c r="G6" t="s">
        <v>4438</v>
      </c>
      <c r="H6" t="s">
        <v>4435</v>
      </c>
      <c r="I6" t="s">
        <v>3455</v>
      </c>
      <c r="J6" t="s">
        <v>4439</v>
      </c>
    </row>
    <row r="7" spans="1:10" ht="15" customHeight="1" x14ac:dyDescent="0.25">
      <c r="A7" t="s">
        <v>4440</v>
      </c>
      <c r="B7" t="s">
        <v>3511</v>
      </c>
      <c r="C7" t="s">
        <v>3506</v>
      </c>
      <c r="D7" t="s">
        <v>4441</v>
      </c>
      <c r="E7" t="s">
        <v>4442</v>
      </c>
      <c r="F7" t="s">
        <v>1649</v>
      </c>
      <c r="G7" t="s">
        <v>4443</v>
      </c>
      <c r="H7" t="s">
        <v>4444</v>
      </c>
      <c r="I7" t="s">
        <v>3455</v>
      </c>
      <c r="J7" t="s">
        <v>3509</v>
      </c>
    </row>
    <row r="8" spans="1:10" ht="15" customHeight="1" x14ac:dyDescent="0.25">
      <c r="A8" t="s">
        <v>4445</v>
      </c>
      <c r="B8" t="s">
        <v>3499</v>
      </c>
      <c r="C8" t="s">
        <v>4446</v>
      </c>
      <c r="D8" t="s">
        <v>4447</v>
      </c>
      <c r="E8" t="s">
        <v>4448</v>
      </c>
      <c r="F8" t="s">
        <v>1621</v>
      </c>
      <c r="G8" t="s">
        <v>4449</v>
      </c>
      <c r="H8" t="s">
        <v>4450</v>
      </c>
      <c r="I8" t="s">
        <v>3455</v>
      </c>
      <c r="J8" t="s">
        <v>3517</v>
      </c>
    </row>
    <row r="9" spans="1:10" ht="15" customHeight="1" x14ac:dyDescent="0.25">
      <c r="A9" t="s">
        <v>4451</v>
      </c>
      <c r="B9" t="s">
        <v>3499</v>
      </c>
      <c r="C9" t="s">
        <v>3506</v>
      </c>
      <c r="D9" t="s">
        <v>4452</v>
      </c>
      <c r="E9" t="s">
        <v>4453</v>
      </c>
      <c r="F9" t="s">
        <v>1649</v>
      </c>
      <c r="G9" t="s">
        <v>4454</v>
      </c>
      <c r="H9" t="s">
        <v>4455</v>
      </c>
      <c r="I9" t="s">
        <v>3455</v>
      </c>
      <c r="J9" t="s">
        <v>4456</v>
      </c>
    </row>
    <row r="10" spans="1:10" ht="15" customHeight="1" x14ac:dyDescent="0.25">
      <c r="A10" t="s">
        <v>4457</v>
      </c>
      <c r="B10" t="s">
        <v>3499</v>
      </c>
      <c r="C10" t="s">
        <v>3506</v>
      </c>
      <c r="D10" t="s">
        <v>4458</v>
      </c>
      <c r="E10" t="s">
        <v>4459</v>
      </c>
      <c r="F10" t="s">
        <v>90</v>
      </c>
      <c r="G10" t="s">
        <v>4460</v>
      </c>
      <c r="H10" t="s">
        <v>4461</v>
      </c>
      <c r="I10" t="s">
        <v>3455</v>
      </c>
      <c r="J10" t="s">
        <v>3438</v>
      </c>
    </row>
    <row r="11" spans="1:10" ht="15" customHeight="1" x14ac:dyDescent="0.25">
      <c r="A11" t="s">
        <v>4462</v>
      </c>
      <c r="B11" t="s">
        <v>41</v>
      </c>
      <c r="C11" t="s">
        <v>4425</v>
      </c>
      <c r="D11" t="s">
        <v>4463</v>
      </c>
      <c r="E11" t="s">
        <v>4464</v>
      </c>
      <c r="F11" t="s">
        <v>1104</v>
      </c>
      <c r="G11" t="s">
        <v>3879</v>
      </c>
      <c r="H11" t="s">
        <v>4465</v>
      </c>
      <c r="I11" t="s">
        <v>3455</v>
      </c>
      <c r="J11" t="s">
        <v>4439</v>
      </c>
    </row>
    <row r="12" spans="1:10" ht="15" customHeight="1" x14ac:dyDescent="0.25">
      <c r="A12" t="s">
        <v>4466</v>
      </c>
      <c r="B12" t="s">
        <v>3499</v>
      </c>
      <c r="C12" t="s">
        <v>4425</v>
      </c>
      <c r="D12" t="s">
        <v>4467</v>
      </c>
      <c r="E12" t="s">
        <v>4468</v>
      </c>
      <c r="F12" t="s">
        <v>1621</v>
      </c>
      <c r="H12" t="s">
        <v>4469</v>
      </c>
      <c r="I12" t="s">
        <v>3455</v>
      </c>
      <c r="J12" t="s">
        <v>4470</v>
      </c>
    </row>
    <row r="13" spans="1:10" ht="15" customHeight="1" x14ac:dyDescent="0.25">
      <c r="A13" t="s">
        <v>4471</v>
      </c>
      <c r="B13" t="s">
        <v>41</v>
      </c>
      <c r="C13" t="s">
        <v>3506</v>
      </c>
      <c r="D13" t="s">
        <v>4472</v>
      </c>
      <c r="E13" t="s">
        <v>4473</v>
      </c>
      <c r="F13" t="s">
        <v>90</v>
      </c>
      <c r="G13" t="s">
        <v>3528</v>
      </c>
      <c r="H13" t="s">
        <v>4474</v>
      </c>
      <c r="I13" t="s">
        <v>3455</v>
      </c>
      <c r="J13" t="s">
        <v>3438</v>
      </c>
    </row>
    <row r="14" spans="1:10" ht="15" customHeight="1" x14ac:dyDescent="0.25">
      <c r="A14" t="s">
        <v>4475</v>
      </c>
      <c r="B14" t="s">
        <v>41</v>
      </c>
      <c r="C14" t="s">
        <v>3537</v>
      </c>
      <c r="D14" t="s">
        <v>4476</v>
      </c>
      <c r="E14" t="s">
        <v>4477</v>
      </c>
      <c r="F14" t="s">
        <v>497</v>
      </c>
      <c r="G14" t="s">
        <v>4478</v>
      </c>
      <c r="H14" t="s">
        <v>4479</v>
      </c>
      <c r="I14" t="s">
        <v>3455</v>
      </c>
      <c r="J14" t="s">
        <v>3517</v>
      </c>
    </row>
    <row r="15" spans="1:10" ht="15" customHeight="1" x14ac:dyDescent="0.25">
      <c r="A15" t="s">
        <v>4480</v>
      </c>
      <c r="B15" t="s">
        <v>3455</v>
      </c>
      <c r="C15" t="s">
        <v>4481</v>
      </c>
      <c r="D15" t="s">
        <v>4482</v>
      </c>
      <c r="F15" t="s">
        <v>1294</v>
      </c>
      <c r="H15" t="s">
        <v>4483</v>
      </c>
      <c r="I15" t="s">
        <v>3455</v>
      </c>
      <c r="J15" t="s">
        <v>4481</v>
      </c>
    </row>
    <row r="16" spans="1:10" ht="15" customHeight="1" x14ac:dyDescent="0.25">
      <c r="A16" t="s">
        <v>4484</v>
      </c>
      <c r="B16" t="s">
        <v>3455</v>
      </c>
      <c r="C16" t="s">
        <v>4481</v>
      </c>
      <c r="D16" t="s">
        <v>4485</v>
      </c>
      <c r="F16" t="s">
        <v>1294</v>
      </c>
      <c r="H16" t="s">
        <v>4486</v>
      </c>
      <c r="I16" t="s">
        <v>3455</v>
      </c>
      <c r="J16" t="s">
        <v>4481</v>
      </c>
    </row>
    <row r="17" spans="1:10" ht="15" customHeight="1" x14ac:dyDescent="0.25">
      <c r="A17" t="s">
        <v>4487</v>
      </c>
      <c r="B17" t="s">
        <v>3455</v>
      </c>
      <c r="C17" t="s">
        <v>4481</v>
      </c>
      <c r="D17" t="s">
        <v>4488</v>
      </c>
      <c r="F17" t="s">
        <v>1294</v>
      </c>
      <c r="H17" t="s">
        <v>4489</v>
      </c>
      <c r="I17" t="s">
        <v>3455</v>
      </c>
      <c r="J17" t="s">
        <v>4481</v>
      </c>
    </row>
    <row r="18" spans="1:10" ht="15" customHeight="1" x14ac:dyDescent="0.25">
      <c r="A18" t="s">
        <v>4490</v>
      </c>
      <c r="B18" t="s">
        <v>3455</v>
      </c>
      <c r="C18" t="s">
        <v>4481</v>
      </c>
      <c r="D18" t="s">
        <v>4491</v>
      </c>
      <c r="F18" t="s">
        <v>1294</v>
      </c>
      <c r="H18" t="s">
        <v>4492</v>
      </c>
      <c r="I18" t="s">
        <v>3455</v>
      </c>
      <c r="J18" t="s">
        <v>4481</v>
      </c>
    </row>
    <row r="19" spans="1:10" ht="15" customHeight="1" x14ac:dyDescent="0.25">
      <c r="A19" t="s">
        <v>4493</v>
      </c>
      <c r="B19" t="s">
        <v>3455</v>
      </c>
      <c r="C19" t="s">
        <v>4481</v>
      </c>
      <c r="D19" t="s">
        <v>4494</v>
      </c>
      <c r="F19" t="s">
        <v>1294</v>
      </c>
      <c r="H19" t="s">
        <v>4495</v>
      </c>
      <c r="I19" t="s">
        <v>3455</v>
      </c>
      <c r="J19" t="s">
        <v>4481</v>
      </c>
    </row>
    <row r="20" spans="1:10" ht="15" customHeight="1" x14ac:dyDescent="0.25">
      <c r="A20" t="s">
        <v>4496</v>
      </c>
      <c r="B20" t="s">
        <v>3455</v>
      </c>
      <c r="C20" t="s">
        <v>4481</v>
      </c>
      <c r="D20" t="s">
        <v>4497</v>
      </c>
      <c r="F20" t="s">
        <v>1294</v>
      </c>
      <c r="H20" t="s">
        <v>4498</v>
      </c>
      <c r="I20" t="s">
        <v>3455</v>
      </c>
      <c r="J20" t="s">
        <v>4481</v>
      </c>
    </row>
    <row r="21" spans="1:10" ht="15" customHeight="1" x14ac:dyDescent="0.25">
      <c r="A21" t="s">
        <v>4499</v>
      </c>
      <c r="B21" t="s">
        <v>3511</v>
      </c>
      <c r="C21" t="s">
        <v>3520</v>
      </c>
      <c r="D21" t="s">
        <v>4500</v>
      </c>
      <c r="E21" t="s">
        <v>4501</v>
      </c>
      <c r="F21" t="s">
        <v>497</v>
      </c>
      <c r="G21" t="s">
        <v>3623</v>
      </c>
      <c r="H21" t="s">
        <v>4502</v>
      </c>
      <c r="I21" t="s">
        <v>3455</v>
      </c>
      <c r="J21" t="s">
        <v>4503</v>
      </c>
    </row>
    <row r="22" spans="1:10" ht="15" customHeight="1" x14ac:dyDescent="0.25">
      <c r="A22" t="s">
        <v>4504</v>
      </c>
      <c r="B22" t="s">
        <v>41</v>
      </c>
      <c r="C22" t="s">
        <v>4505</v>
      </c>
      <c r="D22" t="s">
        <v>4506</v>
      </c>
      <c r="E22" t="s">
        <v>4507</v>
      </c>
      <c r="F22" t="s">
        <v>1649</v>
      </c>
      <c r="G22" t="s">
        <v>4508</v>
      </c>
      <c r="H22" t="s">
        <v>4509</v>
      </c>
      <c r="I22" t="s">
        <v>3455</v>
      </c>
      <c r="J22" t="s">
        <v>3517</v>
      </c>
    </row>
    <row r="23" spans="1:10" ht="15" customHeight="1" x14ac:dyDescent="0.25">
      <c r="A23" t="s">
        <v>4510</v>
      </c>
      <c r="B23" t="s">
        <v>3499</v>
      </c>
      <c r="C23" t="s">
        <v>3506</v>
      </c>
      <c r="D23" t="s">
        <v>4511</v>
      </c>
      <c r="E23" t="s">
        <v>4512</v>
      </c>
      <c r="F23" t="s">
        <v>1649</v>
      </c>
      <c r="H23" t="s">
        <v>4513</v>
      </c>
      <c r="I23" t="s">
        <v>3455</v>
      </c>
      <c r="J23" t="s">
        <v>4456</v>
      </c>
    </row>
    <row r="24" spans="1:10" ht="15" customHeight="1" x14ac:dyDescent="0.25">
      <c r="A24" t="s">
        <v>4514</v>
      </c>
      <c r="B24" t="s">
        <v>3499</v>
      </c>
      <c r="C24" t="s">
        <v>3506</v>
      </c>
      <c r="D24" t="s">
        <v>4515</v>
      </c>
      <c r="E24" t="s">
        <v>4516</v>
      </c>
      <c r="F24" t="s">
        <v>1649</v>
      </c>
      <c r="G24" t="s">
        <v>4517</v>
      </c>
      <c r="H24" t="s">
        <v>4518</v>
      </c>
      <c r="I24" t="s">
        <v>3455</v>
      </c>
      <c r="J24" t="s">
        <v>3509</v>
      </c>
    </row>
    <row r="25" spans="1:10" ht="15" customHeight="1" x14ac:dyDescent="0.25">
      <c r="A25" t="s">
        <v>4519</v>
      </c>
      <c r="B25" t="s">
        <v>3511</v>
      </c>
      <c r="C25" t="s">
        <v>3506</v>
      </c>
      <c r="D25" t="s">
        <v>4520</v>
      </c>
      <c r="E25" t="s">
        <v>4521</v>
      </c>
      <c r="F25" t="s">
        <v>90</v>
      </c>
      <c r="G25" t="s">
        <v>4522</v>
      </c>
      <c r="H25" t="s">
        <v>4523</v>
      </c>
      <c r="I25" t="s">
        <v>3455</v>
      </c>
      <c r="J25" t="s">
        <v>4456</v>
      </c>
    </row>
    <row r="26" spans="1:10" ht="15" customHeight="1" x14ac:dyDescent="0.25">
      <c r="A26" t="s">
        <v>3464</v>
      </c>
      <c r="B26" t="s">
        <v>3543</v>
      </c>
      <c r="C26" t="s">
        <v>3506</v>
      </c>
      <c r="D26" t="s">
        <v>4524</v>
      </c>
      <c r="E26" t="s">
        <v>4525</v>
      </c>
      <c r="F26" t="s">
        <v>90</v>
      </c>
      <c r="H26" t="s">
        <v>3546</v>
      </c>
      <c r="I26" t="s">
        <v>3455</v>
      </c>
      <c r="J26" t="s">
        <v>3438</v>
      </c>
    </row>
    <row r="27" spans="1:10" ht="15" customHeight="1" x14ac:dyDescent="0.25">
      <c r="A27" t="s">
        <v>4526</v>
      </c>
      <c r="B27" t="s">
        <v>3499</v>
      </c>
      <c r="C27" t="s">
        <v>3520</v>
      </c>
      <c r="D27" t="s">
        <v>4527</v>
      </c>
      <c r="E27" t="s">
        <v>4528</v>
      </c>
      <c r="F27" t="s">
        <v>90</v>
      </c>
      <c r="G27" t="s">
        <v>3573</v>
      </c>
      <c r="H27" t="s">
        <v>4529</v>
      </c>
      <c r="I27" t="s">
        <v>3455</v>
      </c>
      <c r="J27" t="s">
        <v>4530</v>
      </c>
    </row>
    <row r="28" spans="1:10" ht="15" customHeight="1" x14ac:dyDescent="0.25">
      <c r="A28" t="s">
        <v>4531</v>
      </c>
      <c r="B28" t="s">
        <v>3511</v>
      </c>
      <c r="C28" t="s">
        <v>3520</v>
      </c>
      <c r="D28" t="s">
        <v>4532</v>
      </c>
      <c r="E28" t="s">
        <v>4533</v>
      </c>
      <c r="F28" t="s">
        <v>497</v>
      </c>
      <c r="H28" t="s">
        <v>4531</v>
      </c>
      <c r="I28" t="s">
        <v>3455</v>
      </c>
      <c r="J28" t="s">
        <v>3517</v>
      </c>
    </row>
    <row r="29" spans="1:10" ht="15" customHeight="1" x14ac:dyDescent="0.25">
      <c r="A29" t="s">
        <v>4534</v>
      </c>
      <c r="B29" t="s">
        <v>3499</v>
      </c>
      <c r="C29" t="s">
        <v>3506</v>
      </c>
      <c r="D29" t="s">
        <v>4535</v>
      </c>
      <c r="E29" t="s">
        <v>4536</v>
      </c>
      <c r="F29" t="s">
        <v>90</v>
      </c>
      <c r="G29" t="s">
        <v>3508</v>
      </c>
      <c r="H29" t="s">
        <v>4537</v>
      </c>
      <c r="I29" t="s">
        <v>3455</v>
      </c>
      <c r="J29" t="s">
        <v>3509</v>
      </c>
    </row>
    <row r="30" spans="1:10" ht="15" customHeight="1" x14ac:dyDescent="0.25">
      <c r="A30" t="s">
        <v>3560</v>
      </c>
      <c r="B30" t="s">
        <v>3511</v>
      </c>
      <c r="C30" t="s">
        <v>3506</v>
      </c>
      <c r="D30" t="s">
        <v>4538</v>
      </c>
      <c r="E30" t="s">
        <v>4539</v>
      </c>
      <c r="F30" t="s">
        <v>160</v>
      </c>
      <c r="H30" t="s">
        <v>3565</v>
      </c>
      <c r="I30" t="s">
        <v>3455</v>
      </c>
      <c r="J30" t="s">
        <v>3438</v>
      </c>
    </row>
    <row r="31" spans="1:10" ht="15" customHeight="1" x14ac:dyDescent="0.25">
      <c r="A31" t="s">
        <v>3566</v>
      </c>
      <c r="B31" t="s">
        <v>41</v>
      </c>
      <c r="C31" t="s">
        <v>4505</v>
      </c>
      <c r="D31" t="s">
        <v>4540</v>
      </c>
      <c r="E31" t="s">
        <v>4541</v>
      </c>
      <c r="F31" t="s">
        <v>1649</v>
      </c>
      <c r="G31" t="s">
        <v>4508</v>
      </c>
      <c r="H31" t="s">
        <v>3566</v>
      </c>
      <c r="I31" t="s">
        <v>3455</v>
      </c>
      <c r="J31" t="s">
        <v>3517</v>
      </c>
    </row>
    <row r="32" spans="1:10" ht="15" customHeight="1" x14ac:dyDescent="0.25">
      <c r="A32" t="s">
        <v>4542</v>
      </c>
      <c r="B32" t="s">
        <v>3511</v>
      </c>
      <c r="C32" t="s">
        <v>3506</v>
      </c>
      <c r="D32" t="s">
        <v>4543</v>
      </c>
      <c r="E32" t="s">
        <v>4544</v>
      </c>
      <c r="F32" t="s">
        <v>1322</v>
      </c>
      <c r="G32" t="s">
        <v>4545</v>
      </c>
      <c r="H32" t="s">
        <v>4546</v>
      </c>
      <c r="I32" t="s">
        <v>3455</v>
      </c>
      <c r="J32" t="s">
        <v>4547</v>
      </c>
    </row>
    <row r="33" spans="1:10" ht="15" customHeight="1" x14ac:dyDescent="0.25">
      <c r="A33" t="s">
        <v>4548</v>
      </c>
      <c r="B33" t="s">
        <v>3499</v>
      </c>
      <c r="C33" t="s">
        <v>3520</v>
      </c>
      <c r="D33" t="s">
        <v>4549</v>
      </c>
      <c r="E33" t="s">
        <v>4550</v>
      </c>
      <c r="F33" t="s">
        <v>160</v>
      </c>
      <c r="G33" t="s">
        <v>4551</v>
      </c>
      <c r="H33" t="s">
        <v>4552</v>
      </c>
      <c r="I33" t="s">
        <v>3455</v>
      </c>
      <c r="J33" t="s">
        <v>3517</v>
      </c>
    </row>
    <row r="34" spans="1:10" ht="15" customHeight="1" x14ac:dyDescent="0.25">
      <c r="A34" t="s">
        <v>3570</v>
      </c>
      <c r="B34" t="s">
        <v>3511</v>
      </c>
      <c r="C34" t="s">
        <v>3506</v>
      </c>
      <c r="D34" t="s">
        <v>3571</v>
      </c>
      <c r="E34" t="s">
        <v>4553</v>
      </c>
      <c r="F34" t="s">
        <v>2804</v>
      </c>
      <c r="G34" t="s">
        <v>3573</v>
      </c>
      <c r="H34" t="s">
        <v>3570</v>
      </c>
      <c r="I34" t="s">
        <v>3455</v>
      </c>
      <c r="J34" t="s">
        <v>3574</v>
      </c>
    </row>
    <row r="35" spans="1:10" ht="15" customHeight="1" x14ac:dyDescent="0.25">
      <c r="A35" t="s">
        <v>3468</v>
      </c>
      <c r="B35" t="s">
        <v>3511</v>
      </c>
      <c r="C35" t="s">
        <v>4554</v>
      </c>
      <c r="D35" t="s">
        <v>4555</v>
      </c>
      <c r="E35" t="s">
        <v>4556</v>
      </c>
      <c r="F35" t="s">
        <v>160</v>
      </c>
      <c r="G35" t="s">
        <v>315</v>
      </c>
      <c r="H35" t="s">
        <v>3468</v>
      </c>
      <c r="I35" t="s">
        <v>3455</v>
      </c>
      <c r="J35" t="s">
        <v>3517</v>
      </c>
    </row>
    <row r="36" spans="1:10" ht="15" customHeight="1" x14ac:dyDescent="0.25">
      <c r="A36" t="s">
        <v>4557</v>
      </c>
      <c r="B36" t="s">
        <v>3511</v>
      </c>
      <c r="C36" t="s">
        <v>3506</v>
      </c>
      <c r="D36" t="s">
        <v>4558</v>
      </c>
      <c r="E36" t="s">
        <v>4559</v>
      </c>
      <c r="F36" t="s">
        <v>90</v>
      </c>
      <c r="G36" t="s">
        <v>4560</v>
      </c>
      <c r="H36" t="s">
        <v>4561</v>
      </c>
      <c r="I36" t="s">
        <v>3455</v>
      </c>
      <c r="J36" t="s">
        <v>4562</v>
      </c>
    </row>
    <row r="37" spans="1:10" ht="15" customHeight="1" x14ac:dyDescent="0.25">
      <c r="A37" t="s">
        <v>4563</v>
      </c>
      <c r="B37" t="s">
        <v>3499</v>
      </c>
      <c r="C37" t="s">
        <v>4564</v>
      </c>
      <c r="D37" t="s">
        <v>4565</v>
      </c>
      <c r="E37" t="s">
        <v>4566</v>
      </c>
      <c r="F37" t="s">
        <v>160</v>
      </c>
      <c r="G37" t="s">
        <v>4567</v>
      </c>
      <c r="H37" t="s">
        <v>4568</v>
      </c>
      <c r="I37" t="s">
        <v>3455</v>
      </c>
      <c r="J37" t="s">
        <v>4456</v>
      </c>
    </row>
    <row r="38" spans="1:10" ht="15" customHeight="1" x14ac:dyDescent="0.25">
      <c r="A38" t="s">
        <v>4569</v>
      </c>
      <c r="B38" t="s">
        <v>3511</v>
      </c>
      <c r="C38" t="s">
        <v>3576</v>
      </c>
      <c r="D38" t="s">
        <v>4570</v>
      </c>
      <c r="F38" t="s">
        <v>160</v>
      </c>
      <c r="G38" t="s">
        <v>4571</v>
      </c>
      <c r="H38" t="s">
        <v>4572</v>
      </c>
      <c r="I38" t="s">
        <v>3455</v>
      </c>
      <c r="J38" t="s">
        <v>3447</v>
      </c>
    </row>
    <row r="39" spans="1:10" ht="15" customHeight="1" x14ac:dyDescent="0.25">
      <c r="A39" t="s">
        <v>4573</v>
      </c>
      <c r="B39" t="s">
        <v>3511</v>
      </c>
      <c r="C39" t="s">
        <v>3506</v>
      </c>
      <c r="D39" t="s">
        <v>4574</v>
      </c>
      <c r="E39" t="s">
        <v>4575</v>
      </c>
      <c r="F39" t="s">
        <v>1129</v>
      </c>
      <c r="G39" t="s">
        <v>4576</v>
      </c>
      <c r="H39" t="s">
        <v>4577</v>
      </c>
      <c r="I39" t="s">
        <v>3455</v>
      </c>
      <c r="J39" t="s">
        <v>4578</v>
      </c>
    </row>
    <row r="40" spans="1:10" ht="15" customHeight="1" x14ac:dyDescent="0.25">
      <c r="A40" t="s">
        <v>4579</v>
      </c>
      <c r="B40" t="s">
        <v>3511</v>
      </c>
      <c r="C40" t="s">
        <v>4425</v>
      </c>
      <c r="D40" t="s">
        <v>4580</v>
      </c>
      <c r="E40" t="s">
        <v>4581</v>
      </c>
      <c r="F40" t="s">
        <v>1621</v>
      </c>
      <c r="H40" t="s">
        <v>4579</v>
      </c>
      <c r="I40" t="s">
        <v>3455</v>
      </c>
      <c r="J40" t="s">
        <v>4456</v>
      </c>
    </row>
    <row r="41" spans="1:10" ht="15" customHeight="1" x14ac:dyDescent="0.25">
      <c r="A41" t="s">
        <v>4582</v>
      </c>
      <c r="B41" t="s">
        <v>41</v>
      </c>
      <c r="C41" t="s">
        <v>4505</v>
      </c>
      <c r="D41" t="s">
        <v>4583</v>
      </c>
      <c r="E41" t="s">
        <v>4584</v>
      </c>
      <c r="F41" t="s">
        <v>1649</v>
      </c>
      <c r="G41" t="s">
        <v>4508</v>
      </c>
      <c r="H41" t="s">
        <v>4585</v>
      </c>
      <c r="I41" t="s">
        <v>3455</v>
      </c>
      <c r="J41" t="s">
        <v>3517</v>
      </c>
    </row>
    <row r="42" spans="1:10" ht="15" customHeight="1" x14ac:dyDescent="0.25">
      <c r="A42" t="s">
        <v>4586</v>
      </c>
      <c r="B42" t="s">
        <v>3499</v>
      </c>
      <c r="C42" t="s">
        <v>3506</v>
      </c>
      <c r="D42" t="s">
        <v>4587</v>
      </c>
      <c r="E42" t="s">
        <v>4588</v>
      </c>
      <c r="F42" t="s">
        <v>2804</v>
      </c>
      <c r="G42" t="s">
        <v>4449</v>
      </c>
      <c r="H42" t="s">
        <v>4586</v>
      </c>
      <c r="I42" t="s">
        <v>3455</v>
      </c>
      <c r="J42" t="s">
        <v>4456</v>
      </c>
    </row>
    <row r="43" spans="1:10" ht="15" customHeight="1" x14ac:dyDescent="0.25">
      <c r="A43" t="s">
        <v>4589</v>
      </c>
      <c r="B43" t="s">
        <v>3499</v>
      </c>
      <c r="C43" t="s">
        <v>3506</v>
      </c>
      <c r="D43" t="s">
        <v>4590</v>
      </c>
      <c r="E43" t="s">
        <v>4591</v>
      </c>
      <c r="F43" t="s">
        <v>90</v>
      </c>
      <c r="G43" t="s">
        <v>4592</v>
      </c>
      <c r="H43" t="s">
        <v>4593</v>
      </c>
      <c r="I43" t="s">
        <v>3455</v>
      </c>
      <c r="J43" t="s">
        <v>4594</v>
      </c>
    </row>
    <row r="44" spans="1:10" ht="15" customHeight="1" x14ac:dyDescent="0.25">
      <c r="A44" t="s">
        <v>4595</v>
      </c>
      <c r="B44" t="s">
        <v>3499</v>
      </c>
      <c r="C44" t="s">
        <v>3506</v>
      </c>
      <c r="D44" t="s">
        <v>4596</v>
      </c>
      <c r="E44" t="s">
        <v>4597</v>
      </c>
      <c r="F44" t="s">
        <v>1649</v>
      </c>
      <c r="G44" t="s">
        <v>4598</v>
      </c>
      <c r="H44" t="s">
        <v>4599</v>
      </c>
      <c r="I44" t="s">
        <v>3455</v>
      </c>
      <c r="J44" t="s">
        <v>4456</v>
      </c>
    </row>
    <row r="45" spans="1:10" ht="15" customHeight="1" x14ac:dyDescent="0.25">
      <c r="A45" t="s">
        <v>4600</v>
      </c>
      <c r="B45" t="s">
        <v>3511</v>
      </c>
      <c r="C45" t="s">
        <v>3506</v>
      </c>
      <c r="D45" t="s">
        <v>4601</v>
      </c>
      <c r="E45" t="s">
        <v>4602</v>
      </c>
      <c r="F45" t="s">
        <v>2804</v>
      </c>
      <c r="G45" t="s">
        <v>4603</v>
      </c>
      <c r="H45" t="s">
        <v>4604</v>
      </c>
      <c r="I45" t="s">
        <v>3455</v>
      </c>
      <c r="J45" t="s">
        <v>3517</v>
      </c>
    </row>
    <row r="46" spans="1:10" ht="15" customHeight="1" x14ac:dyDescent="0.25">
      <c r="A46" t="s">
        <v>4605</v>
      </c>
      <c r="B46" t="s">
        <v>41</v>
      </c>
      <c r="C46" t="s">
        <v>3520</v>
      </c>
      <c r="D46" t="s">
        <v>4606</v>
      </c>
      <c r="E46" t="s">
        <v>4607</v>
      </c>
      <c r="F46" t="s">
        <v>2136</v>
      </c>
      <c r="G46" t="s">
        <v>4608</v>
      </c>
      <c r="H46" t="s">
        <v>4609</v>
      </c>
      <c r="I46" t="s">
        <v>3455</v>
      </c>
      <c r="J46" t="s">
        <v>3517</v>
      </c>
    </row>
    <row r="47" spans="1:10" ht="15" customHeight="1" x14ac:dyDescent="0.25">
      <c r="A47" t="s">
        <v>4610</v>
      </c>
      <c r="B47" t="s">
        <v>3511</v>
      </c>
      <c r="C47" t="s">
        <v>3506</v>
      </c>
      <c r="D47" t="s">
        <v>4611</v>
      </c>
      <c r="E47" t="s">
        <v>4612</v>
      </c>
      <c r="F47" t="s">
        <v>90</v>
      </c>
      <c r="G47" t="s">
        <v>4613</v>
      </c>
      <c r="H47" t="s">
        <v>4614</v>
      </c>
      <c r="I47" t="s">
        <v>3455</v>
      </c>
      <c r="J47" t="s">
        <v>3574</v>
      </c>
    </row>
    <row r="48" spans="1:10" ht="15" customHeight="1" x14ac:dyDescent="0.25">
      <c r="A48" t="s">
        <v>4615</v>
      </c>
      <c r="B48" t="s">
        <v>3511</v>
      </c>
      <c r="C48" t="s">
        <v>3506</v>
      </c>
      <c r="D48" t="s">
        <v>4616</v>
      </c>
      <c r="E48" t="s">
        <v>4617</v>
      </c>
      <c r="F48" t="s">
        <v>2506</v>
      </c>
      <c r="G48" t="s">
        <v>4618</v>
      </c>
      <c r="H48" t="s">
        <v>4615</v>
      </c>
      <c r="I48" t="s">
        <v>3455</v>
      </c>
      <c r="J48" t="s">
        <v>3509</v>
      </c>
    </row>
    <row r="49" spans="1:10" ht="15" customHeight="1" x14ac:dyDescent="0.25">
      <c r="A49" t="s">
        <v>4619</v>
      </c>
      <c r="B49" t="s">
        <v>3499</v>
      </c>
      <c r="C49" t="s">
        <v>3506</v>
      </c>
      <c r="D49" t="s">
        <v>4620</v>
      </c>
      <c r="E49" t="s">
        <v>4621</v>
      </c>
      <c r="F49" t="s">
        <v>90</v>
      </c>
      <c r="G49" t="s">
        <v>264</v>
      </c>
      <c r="H49" t="s">
        <v>4619</v>
      </c>
      <c r="I49" t="s">
        <v>3455</v>
      </c>
      <c r="J49" t="s">
        <v>3509</v>
      </c>
    </row>
    <row r="50" spans="1:10" ht="15" customHeight="1" x14ac:dyDescent="0.25">
      <c r="A50" t="s">
        <v>4622</v>
      </c>
      <c r="B50" t="s">
        <v>41</v>
      </c>
      <c r="C50" t="s">
        <v>3520</v>
      </c>
      <c r="D50" t="s">
        <v>4623</v>
      </c>
      <c r="E50" t="s">
        <v>4624</v>
      </c>
      <c r="F50" t="s">
        <v>160</v>
      </c>
      <c r="G50" t="s">
        <v>4625</v>
      </c>
      <c r="H50" t="s">
        <v>4626</v>
      </c>
      <c r="I50" t="s">
        <v>3455</v>
      </c>
      <c r="J50" t="s">
        <v>3517</v>
      </c>
    </row>
    <row r="51" spans="1:10" ht="15" customHeight="1" x14ac:dyDescent="0.25">
      <c r="A51" t="s">
        <v>4627</v>
      </c>
      <c r="B51" t="s">
        <v>3499</v>
      </c>
      <c r="C51" t="s">
        <v>3506</v>
      </c>
      <c r="D51" t="s">
        <v>4628</v>
      </c>
      <c r="E51" t="s">
        <v>4629</v>
      </c>
      <c r="F51" t="s">
        <v>1129</v>
      </c>
      <c r="G51" t="s">
        <v>4630</v>
      </c>
      <c r="H51" t="s">
        <v>4631</v>
      </c>
      <c r="I51" t="s">
        <v>3455</v>
      </c>
      <c r="J51" t="s">
        <v>4632</v>
      </c>
    </row>
    <row r="52" spans="1:10" ht="15" customHeight="1" x14ac:dyDescent="0.25">
      <c r="A52" t="s">
        <v>4633</v>
      </c>
      <c r="B52" t="s">
        <v>3511</v>
      </c>
      <c r="C52" t="s">
        <v>3506</v>
      </c>
      <c r="D52" t="s">
        <v>4634</v>
      </c>
      <c r="E52" t="s">
        <v>4635</v>
      </c>
      <c r="F52" t="s">
        <v>90</v>
      </c>
      <c r="H52" t="s">
        <v>4636</v>
      </c>
      <c r="I52" t="s">
        <v>3455</v>
      </c>
      <c r="J52" t="s">
        <v>4637</v>
      </c>
    </row>
    <row r="53" spans="1:10" ht="15" customHeight="1" x14ac:dyDescent="0.25">
      <c r="A53" t="s">
        <v>4638</v>
      </c>
      <c r="B53" t="s">
        <v>3499</v>
      </c>
      <c r="C53" t="s">
        <v>3520</v>
      </c>
      <c r="D53" t="s">
        <v>4639</v>
      </c>
      <c r="E53" t="s">
        <v>4640</v>
      </c>
      <c r="F53" t="s">
        <v>497</v>
      </c>
      <c r="G53" t="s">
        <v>4641</v>
      </c>
      <c r="H53" t="s">
        <v>4638</v>
      </c>
      <c r="I53" t="s">
        <v>3455</v>
      </c>
      <c r="J53" t="s">
        <v>3517</v>
      </c>
    </row>
    <row r="54" spans="1:10" ht="15" customHeight="1" x14ac:dyDescent="0.25">
      <c r="A54" t="s">
        <v>4642</v>
      </c>
      <c r="B54" t="s">
        <v>41</v>
      </c>
      <c r="C54" t="s">
        <v>4564</v>
      </c>
      <c r="D54" t="s">
        <v>4643</v>
      </c>
      <c r="E54" t="s">
        <v>4644</v>
      </c>
      <c r="F54" t="s">
        <v>90</v>
      </c>
      <c r="G54" t="s">
        <v>4645</v>
      </c>
      <c r="H54" t="s">
        <v>4646</v>
      </c>
      <c r="I54" t="s">
        <v>3455</v>
      </c>
      <c r="J54" t="s">
        <v>4530</v>
      </c>
    </row>
    <row r="55" spans="1:10" ht="15" customHeight="1" x14ac:dyDescent="0.25">
      <c r="A55" t="s">
        <v>4647</v>
      </c>
      <c r="B55" t="s">
        <v>3511</v>
      </c>
      <c r="C55" t="s">
        <v>3506</v>
      </c>
      <c r="D55" t="s">
        <v>4648</v>
      </c>
      <c r="E55" t="s">
        <v>4649</v>
      </c>
      <c r="F55" t="s">
        <v>160</v>
      </c>
      <c r="G55" t="s">
        <v>4650</v>
      </c>
      <c r="H55" t="s">
        <v>4651</v>
      </c>
      <c r="I55" t="s">
        <v>3455</v>
      </c>
      <c r="J55" t="s">
        <v>3574</v>
      </c>
    </row>
    <row r="56" spans="1:10" ht="15" customHeight="1" x14ac:dyDescent="0.25">
      <c r="A56" t="s">
        <v>3594</v>
      </c>
      <c r="B56" t="s">
        <v>41</v>
      </c>
      <c r="C56" t="s">
        <v>3512</v>
      </c>
      <c r="D56" t="s">
        <v>4652</v>
      </c>
      <c r="E56" t="s">
        <v>4653</v>
      </c>
      <c r="F56" t="s">
        <v>2804</v>
      </c>
      <c r="G56" t="s">
        <v>3596</v>
      </c>
      <c r="H56" t="s">
        <v>3597</v>
      </c>
      <c r="I56" t="s">
        <v>3455</v>
      </c>
      <c r="J56" t="s">
        <v>3438</v>
      </c>
    </row>
    <row r="57" spans="1:10" ht="15" customHeight="1" x14ac:dyDescent="0.25">
      <c r="A57" t="s">
        <v>4654</v>
      </c>
      <c r="B57" t="s">
        <v>3722</v>
      </c>
      <c r="C57" t="s">
        <v>3506</v>
      </c>
      <c r="D57" t="s">
        <v>4655</v>
      </c>
      <c r="E57" t="s">
        <v>4656</v>
      </c>
      <c r="F57" t="s">
        <v>160</v>
      </c>
      <c r="G57" t="s">
        <v>4657</v>
      </c>
      <c r="H57" t="s">
        <v>4658</v>
      </c>
      <c r="I57" t="s">
        <v>3455</v>
      </c>
      <c r="J57" t="s">
        <v>3509</v>
      </c>
    </row>
    <row r="58" spans="1:10" ht="15" customHeight="1" x14ac:dyDescent="0.25">
      <c r="A58" t="s">
        <v>4659</v>
      </c>
      <c r="B58" t="s">
        <v>3511</v>
      </c>
      <c r="C58" t="s">
        <v>3506</v>
      </c>
      <c r="D58" t="s">
        <v>4660</v>
      </c>
      <c r="E58" t="s">
        <v>4661</v>
      </c>
      <c r="F58" t="s">
        <v>90</v>
      </c>
      <c r="G58" t="s">
        <v>3508</v>
      </c>
      <c r="H58" t="s">
        <v>4662</v>
      </c>
      <c r="I58" t="s">
        <v>3455</v>
      </c>
      <c r="J58" t="s">
        <v>3509</v>
      </c>
    </row>
    <row r="59" spans="1:10" ht="15" customHeight="1" x14ac:dyDescent="0.25">
      <c r="A59" t="s">
        <v>4663</v>
      </c>
      <c r="B59" t="s">
        <v>3499</v>
      </c>
      <c r="C59" t="s">
        <v>3506</v>
      </c>
      <c r="D59" t="s">
        <v>4664</v>
      </c>
      <c r="E59" t="s">
        <v>4665</v>
      </c>
      <c r="F59" t="s">
        <v>90</v>
      </c>
      <c r="G59" t="s">
        <v>264</v>
      </c>
      <c r="H59" t="s">
        <v>4666</v>
      </c>
      <c r="I59" t="s">
        <v>3455</v>
      </c>
      <c r="J59" t="s">
        <v>4530</v>
      </c>
    </row>
    <row r="60" spans="1:10" ht="15" customHeight="1" x14ac:dyDescent="0.25">
      <c r="A60" t="s">
        <v>4667</v>
      </c>
      <c r="B60" t="s">
        <v>3499</v>
      </c>
      <c r="C60" t="s">
        <v>3506</v>
      </c>
      <c r="D60" t="s">
        <v>4668</v>
      </c>
      <c r="E60" t="s">
        <v>4669</v>
      </c>
      <c r="F60" t="s">
        <v>1649</v>
      </c>
      <c r="G60" t="s">
        <v>4670</v>
      </c>
      <c r="H60" t="s">
        <v>4671</v>
      </c>
      <c r="I60" t="s">
        <v>3455</v>
      </c>
      <c r="J60" t="s">
        <v>4470</v>
      </c>
    </row>
    <row r="61" spans="1:10" ht="15" customHeight="1" x14ac:dyDescent="0.25">
      <c r="A61" t="s">
        <v>4672</v>
      </c>
      <c r="B61" t="s">
        <v>41</v>
      </c>
      <c r="C61" t="s">
        <v>4446</v>
      </c>
      <c r="D61" t="s">
        <v>4673</v>
      </c>
      <c r="E61" t="s">
        <v>4674</v>
      </c>
      <c r="F61" t="s">
        <v>497</v>
      </c>
      <c r="G61" t="s">
        <v>264</v>
      </c>
      <c r="H61" t="s">
        <v>4672</v>
      </c>
      <c r="I61" t="s">
        <v>3455</v>
      </c>
      <c r="J61" t="s">
        <v>3438</v>
      </c>
    </row>
    <row r="62" spans="1:10" ht="15" customHeight="1" x14ac:dyDescent="0.25">
      <c r="A62" t="s">
        <v>4675</v>
      </c>
      <c r="B62" t="s">
        <v>3499</v>
      </c>
      <c r="C62" t="s">
        <v>3506</v>
      </c>
      <c r="D62" t="s">
        <v>4676</v>
      </c>
      <c r="E62" t="s">
        <v>4677</v>
      </c>
      <c r="F62" t="s">
        <v>160</v>
      </c>
      <c r="H62" t="s">
        <v>4678</v>
      </c>
      <c r="I62" t="s">
        <v>3455</v>
      </c>
      <c r="J62" t="s">
        <v>4679</v>
      </c>
    </row>
    <row r="63" spans="1:10" ht="15" customHeight="1" x14ac:dyDescent="0.25">
      <c r="A63" t="s">
        <v>4680</v>
      </c>
      <c r="B63" t="s">
        <v>3499</v>
      </c>
      <c r="C63" t="s">
        <v>3506</v>
      </c>
      <c r="D63" t="s">
        <v>4681</v>
      </c>
      <c r="E63" t="s">
        <v>4682</v>
      </c>
      <c r="F63" t="s">
        <v>1649</v>
      </c>
      <c r="G63" t="s">
        <v>4683</v>
      </c>
      <c r="H63" t="s">
        <v>4684</v>
      </c>
      <c r="I63" t="s">
        <v>3455</v>
      </c>
      <c r="J63" t="s">
        <v>4470</v>
      </c>
    </row>
    <row r="64" spans="1:10" ht="15" customHeight="1" x14ac:dyDescent="0.25">
      <c r="A64" t="s">
        <v>4685</v>
      </c>
      <c r="B64" t="s">
        <v>3511</v>
      </c>
      <c r="C64" t="s">
        <v>3520</v>
      </c>
      <c r="D64" t="s">
        <v>4686</v>
      </c>
      <c r="E64" t="s">
        <v>4687</v>
      </c>
      <c r="F64" t="s">
        <v>2136</v>
      </c>
      <c r="G64" t="s">
        <v>4688</v>
      </c>
      <c r="H64" t="s">
        <v>4689</v>
      </c>
      <c r="I64" t="s">
        <v>3455</v>
      </c>
      <c r="J64" t="s">
        <v>3438</v>
      </c>
    </row>
    <row r="65" spans="1:10" ht="15" customHeight="1" x14ac:dyDescent="0.25">
      <c r="A65" t="s">
        <v>4690</v>
      </c>
      <c r="B65" t="s">
        <v>41</v>
      </c>
      <c r="C65" t="s">
        <v>4425</v>
      </c>
      <c r="D65" t="s">
        <v>4691</v>
      </c>
      <c r="E65" t="s">
        <v>4692</v>
      </c>
      <c r="F65" t="s">
        <v>1046</v>
      </c>
      <c r="G65" t="s">
        <v>3879</v>
      </c>
      <c r="H65" t="s">
        <v>4693</v>
      </c>
      <c r="I65" t="s">
        <v>3455</v>
      </c>
      <c r="J65" t="s">
        <v>4456</v>
      </c>
    </row>
    <row r="66" spans="1:10" ht="15" customHeight="1" x14ac:dyDescent="0.25">
      <c r="A66" t="s">
        <v>4694</v>
      </c>
      <c r="B66" t="s">
        <v>3511</v>
      </c>
      <c r="C66" t="s">
        <v>4446</v>
      </c>
      <c r="D66" t="s">
        <v>4695</v>
      </c>
      <c r="E66" t="s">
        <v>4696</v>
      </c>
      <c r="F66" t="s">
        <v>501</v>
      </c>
      <c r="G66" t="s">
        <v>4697</v>
      </c>
      <c r="H66" t="s">
        <v>4698</v>
      </c>
      <c r="I66" t="s">
        <v>3455</v>
      </c>
      <c r="J66" t="s">
        <v>4456</v>
      </c>
    </row>
    <row r="67" spans="1:10" ht="15" customHeight="1" x14ac:dyDescent="0.25">
      <c r="A67" t="s">
        <v>4699</v>
      </c>
      <c r="B67" t="s">
        <v>41</v>
      </c>
      <c r="C67" t="s">
        <v>4425</v>
      </c>
      <c r="D67" t="s">
        <v>4700</v>
      </c>
      <c r="E67" t="s">
        <v>4701</v>
      </c>
      <c r="F67" t="s">
        <v>1046</v>
      </c>
      <c r="G67" t="s">
        <v>3879</v>
      </c>
      <c r="H67" t="s">
        <v>4702</v>
      </c>
      <c r="I67" t="s">
        <v>3455</v>
      </c>
      <c r="J67" t="s">
        <v>4456</v>
      </c>
    </row>
    <row r="68" spans="1:10" ht="15" customHeight="1" x14ac:dyDescent="0.25">
      <c r="A68" t="s">
        <v>4703</v>
      </c>
      <c r="B68" t="s">
        <v>41</v>
      </c>
      <c r="C68" t="s">
        <v>3520</v>
      </c>
      <c r="D68" t="s">
        <v>4117</v>
      </c>
      <c r="E68" t="s">
        <v>4704</v>
      </c>
      <c r="F68" t="s">
        <v>160</v>
      </c>
      <c r="H68" t="s">
        <v>4705</v>
      </c>
      <c r="I68" t="s">
        <v>3455</v>
      </c>
      <c r="J68" t="s">
        <v>3517</v>
      </c>
    </row>
    <row r="69" spans="1:10" ht="15" customHeight="1" x14ac:dyDescent="0.25">
      <c r="A69" t="s">
        <v>3625</v>
      </c>
      <c r="B69" t="s">
        <v>41</v>
      </c>
      <c r="C69" t="s">
        <v>3512</v>
      </c>
      <c r="D69" t="s">
        <v>4706</v>
      </c>
      <c r="E69" t="s">
        <v>4707</v>
      </c>
      <c r="F69" t="s">
        <v>160</v>
      </c>
      <c r="G69" t="s">
        <v>264</v>
      </c>
      <c r="H69" t="s">
        <v>3625</v>
      </c>
      <c r="I69" t="s">
        <v>3455</v>
      </c>
      <c r="J69" t="s">
        <v>3438</v>
      </c>
    </row>
    <row r="70" spans="1:10" ht="15" customHeight="1" x14ac:dyDescent="0.25">
      <c r="A70" t="s">
        <v>3628</v>
      </c>
      <c r="B70" t="s">
        <v>3499</v>
      </c>
      <c r="C70" t="s">
        <v>3512</v>
      </c>
      <c r="D70" t="s">
        <v>4708</v>
      </c>
      <c r="E70" t="s">
        <v>4709</v>
      </c>
      <c r="F70" t="s">
        <v>90</v>
      </c>
      <c r="G70" t="s">
        <v>3631</v>
      </c>
      <c r="H70" t="s">
        <v>3628</v>
      </c>
      <c r="I70" t="s">
        <v>3455</v>
      </c>
      <c r="J70" t="s">
        <v>3438</v>
      </c>
    </row>
    <row r="71" spans="1:10" ht="15" customHeight="1" x14ac:dyDescent="0.25">
      <c r="A71" t="s">
        <v>3632</v>
      </c>
      <c r="B71" t="s">
        <v>3511</v>
      </c>
      <c r="C71" t="s">
        <v>3506</v>
      </c>
      <c r="D71" t="s">
        <v>4710</v>
      </c>
      <c r="E71" t="s">
        <v>4711</v>
      </c>
      <c r="F71" t="s">
        <v>90</v>
      </c>
      <c r="G71" t="s">
        <v>3635</v>
      </c>
      <c r="H71" t="s">
        <v>3636</v>
      </c>
      <c r="I71" t="s">
        <v>3455</v>
      </c>
      <c r="J71" t="s">
        <v>3438</v>
      </c>
    </row>
    <row r="72" spans="1:10" ht="15" customHeight="1" x14ac:dyDescent="0.25">
      <c r="A72" t="s">
        <v>4712</v>
      </c>
      <c r="B72" t="s">
        <v>3511</v>
      </c>
      <c r="C72" t="s">
        <v>3506</v>
      </c>
      <c r="D72" t="s">
        <v>4713</v>
      </c>
      <c r="E72" t="s">
        <v>4714</v>
      </c>
      <c r="F72" t="s">
        <v>90</v>
      </c>
      <c r="H72" t="s">
        <v>4715</v>
      </c>
      <c r="I72" t="s">
        <v>3455</v>
      </c>
      <c r="J72" t="s">
        <v>4456</v>
      </c>
    </row>
    <row r="73" spans="1:10" ht="15" customHeight="1" x14ac:dyDescent="0.25">
      <c r="A73" t="s">
        <v>4716</v>
      </c>
      <c r="B73" t="s">
        <v>3511</v>
      </c>
      <c r="C73" t="s">
        <v>3506</v>
      </c>
      <c r="D73" t="s">
        <v>4717</v>
      </c>
      <c r="E73" t="s">
        <v>4718</v>
      </c>
      <c r="F73" t="s">
        <v>1649</v>
      </c>
      <c r="G73" t="s">
        <v>4719</v>
      </c>
      <c r="H73" t="s">
        <v>4720</v>
      </c>
      <c r="I73" t="s">
        <v>3455</v>
      </c>
      <c r="J73" t="s">
        <v>3509</v>
      </c>
    </row>
    <row r="74" spans="1:10" ht="15" customHeight="1" x14ac:dyDescent="0.25">
      <c r="A74" t="s">
        <v>4721</v>
      </c>
      <c r="B74" t="s">
        <v>3511</v>
      </c>
      <c r="C74" t="s">
        <v>3506</v>
      </c>
      <c r="D74" t="s">
        <v>4722</v>
      </c>
      <c r="E74" t="s">
        <v>4723</v>
      </c>
      <c r="F74" t="s">
        <v>90</v>
      </c>
      <c r="G74" t="s">
        <v>4613</v>
      </c>
      <c r="H74" t="s">
        <v>4724</v>
      </c>
      <c r="I74" t="s">
        <v>3455</v>
      </c>
      <c r="J74" t="s">
        <v>3574</v>
      </c>
    </row>
    <row r="75" spans="1:10" ht="15" customHeight="1" x14ac:dyDescent="0.25">
      <c r="A75" t="s">
        <v>4725</v>
      </c>
      <c r="B75" t="s">
        <v>3511</v>
      </c>
      <c r="C75" t="s">
        <v>3520</v>
      </c>
      <c r="D75" t="s">
        <v>4726</v>
      </c>
      <c r="E75" t="s">
        <v>4727</v>
      </c>
      <c r="F75" t="s">
        <v>160</v>
      </c>
      <c r="H75" t="s">
        <v>4728</v>
      </c>
      <c r="I75" t="s">
        <v>3455</v>
      </c>
      <c r="J75" t="s">
        <v>3517</v>
      </c>
    </row>
    <row r="76" spans="1:10" ht="15" customHeight="1" x14ac:dyDescent="0.25">
      <c r="A76" t="s">
        <v>4729</v>
      </c>
      <c r="B76" t="s">
        <v>3499</v>
      </c>
      <c r="C76" t="s">
        <v>3506</v>
      </c>
      <c r="D76" t="s">
        <v>4730</v>
      </c>
      <c r="E76" t="s">
        <v>4731</v>
      </c>
      <c r="F76" t="s">
        <v>90</v>
      </c>
      <c r="G76" t="s">
        <v>4732</v>
      </c>
      <c r="H76" t="s">
        <v>4733</v>
      </c>
      <c r="I76" t="s">
        <v>3455</v>
      </c>
      <c r="J76" t="s">
        <v>4734</v>
      </c>
    </row>
    <row r="77" spans="1:10" ht="15" customHeight="1" x14ac:dyDescent="0.25">
      <c r="A77" t="s">
        <v>4735</v>
      </c>
      <c r="B77" t="s">
        <v>41</v>
      </c>
      <c r="C77" t="s">
        <v>4564</v>
      </c>
      <c r="D77" t="s">
        <v>4736</v>
      </c>
      <c r="E77" t="s">
        <v>4737</v>
      </c>
      <c r="F77" t="s">
        <v>90</v>
      </c>
      <c r="G77" t="s">
        <v>4738</v>
      </c>
      <c r="H77" t="s">
        <v>4735</v>
      </c>
      <c r="I77" t="s">
        <v>3455</v>
      </c>
      <c r="J77" t="s">
        <v>4739</v>
      </c>
    </row>
    <row r="78" spans="1:10" ht="15" customHeight="1" x14ac:dyDescent="0.25">
      <c r="A78" t="s">
        <v>3652</v>
      </c>
      <c r="B78" t="s">
        <v>41</v>
      </c>
      <c r="C78" t="s">
        <v>3520</v>
      </c>
      <c r="D78" t="s">
        <v>4740</v>
      </c>
      <c r="E78" t="s">
        <v>4741</v>
      </c>
      <c r="F78" t="s">
        <v>90</v>
      </c>
      <c r="G78" t="s">
        <v>3656</v>
      </c>
      <c r="H78" t="s">
        <v>3657</v>
      </c>
      <c r="I78" t="s">
        <v>3455</v>
      </c>
      <c r="J78" t="s">
        <v>3517</v>
      </c>
    </row>
    <row r="79" spans="1:10" ht="15" customHeight="1" x14ac:dyDescent="0.25">
      <c r="A79" t="s">
        <v>4742</v>
      </c>
      <c r="B79" t="s">
        <v>3499</v>
      </c>
      <c r="C79" t="s">
        <v>3512</v>
      </c>
      <c r="D79" t="s">
        <v>4743</v>
      </c>
      <c r="E79" t="s">
        <v>4744</v>
      </c>
      <c r="F79" t="s">
        <v>90</v>
      </c>
      <c r="G79" t="s">
        <v>4650</v>
      </c>
      <c r="H79" t="s">
        <v>4745</v>
      </c>
      <c r="I79" t="s">
        <v>3455</v>
      </c>
      <c r="J79" t="s">
        <v>3574</v>
      </c>
    </row>
    <row r="80" spans="1:10" ht="15" customHeight="1" x14ac:dyDescent="0.25">
      <c r="A80" t="s">
        <v>4746</v>
      </c>
      <c r="B80" t="s">
        <v>3511</v>
      </c>
      <c r="C80" t="s">
        <v>4564</v>
      </c>
      <c r="D80" t="s">
        <v>4747</v>
      </c>
      <c r="E80" t="s">
        <v>4748</v>
      </c>
      <c r="F80" t="s">
        <v>90</v>
      </c>
      <c r="G80" t="s">
        <v>4749</v>
      </c>
      <c r="H80" t="s">
        <v>4750</v>
      </c>
      <c r="I80" t="s">
        <v>3455</v>
      </c>
      <c r="J80" t="s">
        <v>3509</v>
      </c>
    </row>
    <row r="81" spans="1:10" ht="15" customHeight="1" x14ac:dyDescent="0.25">
      <c r="A81" t="s">
        <v>4751</v>
      </c>
      <c r="B81" t="s">
        <v>3499</v>
      </c>
      <c r="C81" t="s">
        <v>3537</v>
      </c>
      <c r="D81" t="s">
        <v>4752</v>
      </c>
      <c r="E81" t="s">
        <v>4753</v>
      </c>
      <c r="F81" t="s">
        <v>497</v>
      </c>
      <c r="H81" t="s">
        <v>4751</v>
      </c>
      <c r="I81" t="s">
        <v>3455</v>
      </c>
      <c r="J81" t="s">
        <v>3703</v>
      </c>
    </row>
    <row r="82" spans="1:10" ht="15" customHeight="1" x14ac:dyDescent="0.25">
      <c r="A82" t="s">
        <v>4754</v>
      </c>
      <c r="B82" t="s">
        <v>3499</v>
      </c>
      <c r="C82" t="s">
        <v>4446</v>
      </c>
      <c r="D82" t="s">
        <v>4755</v>
      </c>
      <c r="E82" t="s">
        <v>4756</v>
      </c>
      <c r="F82" t="s">
        <v>1649</v>
      </c>
      <c r="G82" t="s">
        <v>4757</v>
      </c>
      <c r="H82" t="s">
        <v>4758</v>
      </c>
      <c r="I82" t="s">
        <v>3455</v>
      </c>
      <c r="J82" t="s">
        <v>3517</v>
      </c>
    </row>
    <row r="83" spans="1:10" ht="15" customHeight="1" x14ac:dyDescent="0.25">
      <c r="A83" t="s">
        <v>4759</v>
      </c>
      <c r="B83" t="s">
        <v>41</v>
      </c>
      <c r="C83" t="s">
        <v>4564</v>
      </c>
      <c r="D83" t="s">
        <v>4760</v>
      </c>
      <c r="E83" t="s">
        <v>4761</v>
      </c>
      <c r="F83" t="s">
        <v>90</v>
      </c>
      <c r="H83" t="s">
        <v>4762</v>
      </c>
      <c r="I83" t="s">
        <v>3455</v>
      </c>
      <c r="J83" t="s">
        <v>4456</v>
      </c>
    </row>
    <row r="84" spans="1:10" ht="15" customHeight="1" x14ac:dyDescent="0.25">
      <c r="A84" t="s">
        <v>4763</v>
      </c>
      <c r="B84" t="s">
        <v>41</v>
      </c>
      <c r="C84" t="s">
        <v>4505</v>
      </c>
      <c r="D84" t="s">
        <v>4764</v>
      </c>
      <c r="E84" t="s">
        <v>4765</v>
      </c>
      <c r="F84" t="s">
        <v>1649</v>
      </c>
      <c r="G84" t="s">
        <v>4508</v>
      </c>
      <c r="H84" t="s">
        <v>4763</v>
      </c>
      <c r="I84" t="s">
        <v>3455</v>
      </c>
      <c r="J84" t="s">
        <v>3509</v>
      </c>
    </row>
    <row r="85" spans="1:10" ht="15" customHeight="1" x14ac:dyDescent="0.25">
      <c r="A85" t="s">
        <v>4766</v>
      </c>
      <c r="B85" t="s">
        <v>41</v>
      </c>
      <c r="C85" t="s">
        <v>3506</v>
      </c>
      <c r="D85" t="s">
        <v>4767</v>
      </c>
      <c r="E85" t="s">
        <v>4768</v>
      </c>
      <c r="F85" t="s">
        <v>1322</v>
      </c>
      <c r="H85" t="s">
        <v>4769</v>
      </c>
      <c r="I85" t="s">
        <v>3455</v>
      </c>
      <c r="J85" t="s">
        <v>4770</v>
      </c>
    </row>
    <row r="86" spans="1:10" ht="15" customHeight="1" x14ac:dyDescent="0.25">
      <c r="A86" t="s">
        <v>4771</v>
      </c>
      <c r="B86" t="s">
        <v>3499</v>
      </c>
      <c r="C86" t="s">
        <v>3520</v>
      </c>
      <c r="D86" t="s">
        <v>4772</v>
      </c>
      <c r="E86" t="s">
        <v>4773</v>
      </c>
      <c r="F86" t="s">
        <v>90</v>
      </c>
      <c r="G86" t="s">
        <v>3656</v>
      </c>
      <c r="H86" t="s">
        <v>3661</v>
      </c>
      <c r="I86" t="s">
        <v>3455</v>
      </c>
      <c r="J86" t="s">
        <v>4530</v>
      </c>
    </row>
    <row r="87" spans="1:10" ht="15" customHeight="1" x14ac:dyDescent="0.25">
      <c r="A87" t="s">
        <v>4774</v>
      </c>
      <c r="B87" t="s">
        <v>3499</v>
      </c>
      <c r="C87" t="s">
        <v>3506</v>
      </c>
      <c r="D87" t="s">
        <v>4775</v>
      </c>
      <c r="E87" t="s">
        <v>4776</v>
      </c>
      <c r="F87" t="s">
        <v>1649</v>
      </c>
      <c r="G87" t="s">
        <v>4777</v>
      </c>
      <c r="H87" t="s">
        <v>4778</v>
      </c>
      <c r="I87" t="s">
        <v>3455</v>
      </c>
      <c r="J87" t="s">
        <v>3509</v>
      </c>
    </row>
    <row r="88" spans="1:10" ht="15" customHeight="1" x14ac:dyDescent="0.25">
      <c r="A88" t="s">
        <v>4779</v>
      </c>
      <c r="B88" t="s">
        <v>3499</v>
      </c>
      <c r="C88" t="s">
        <v>3506</v>
      </c>
      <c r="D88" s="3" t="s">
        <v>4780</v>
      </c>
      <c r="E88" s="3" t="s">
        <v>4781</v>
      </c>
      <c r="F88" t="s">
        <v>1649</v>
      </c>
      <c r="G88" t="s">
        <v>4782</v>
      </c>
      <c r="H88" t="s">
        <v>4783</v>
      </c>
      <c r="I88" t="s">
        <v>3455</v>
      </c>
      <c r="J88" t="s">
        <v>3509</v>
      </c>
    </row>
    <row r="89" spans="1:10" ht="15" customHeight="1" x14ac:dyDescent="0.25">
      <c r="A89" t="s">
        <v>4784</v>
      </c>
      <c r="B89" t="s">
        <v>41</v>
      </c>
      <c r="C89" t="s">
        <v>3520</v>
      </c>
      <c r="D89" t="s">
        <v>4785</v>
      </c>
      <c r="E89" t="s">
        <v>4786</v>
      </c>
      <c r="F89" t="s">
        <v>497</v>
      </c>
      <c r="G89" t="s">
        <v>3623</v>
      </c>
      <c r="H89" t="s">
        <v>4787</v>
      </c>
      <c r="I89" t="s">
        <v>3455</v>
      </c>
      <c r="J89" t="s">
        <v>3517</v>
      </c>
    </row>
    <row r="90" spans="1:10" ht="15" customHeight="1" x14ac:dyDescent="0.25">
      <c r="A90" t="s">
        <v>3478</v>
      </c>
      <c r="B90" t="s">
        <v>41</v>
      </c>
      <c r="C90" t="s">
        <v>3506</v>
      </c>
      <c r="D90" t="s">
        <v>4788</v>
      </c>
      <c r="E90" t="s">
        <v>4789</v>
      </c>
      <c r="F90" t="s">
        <v>2804</v>
      </c>
      <c r="G90" t="s">
        <v>3596</v>
      </c>
      <c r="H90" t="s">
        <v>3478</v>
      </c>
      <c r="I90" t="s">
        <v>3455</v>
      </c>
      <c r="J90" t="s">
        <v>3438</v>
      </c>
    </row>
    <row r="91" spans="1:10" ht="15" customHeight="1" x14ac:dyDescent="0.25">
      <c r="A91" t="s">
        <v>4790</v>
      </c>
      <c r="B91" t="s">
        <v>3499</v>
      </c>
      <c r="C91" t="s">
        <v>3506</v>
      </c>
      <c r="D91" t="s">
        <v>4791</v>
      </c>
      <c r="E91" t="s">
        <v>4792</v>
      </c>
      <c r="F91" t="s">
        <v>1649</v>
      </c>
      <c r="G91" t="s">
        <v>4460</v>
      </c>
      <c r="H91" t="s">
        <v>4793</v>
      </c>
      <c r="I91" t="s">
        <v>3455</v>
      </c>
      <c r="J91" t="s">
        <v>4456</v>
      </c>
    </row>
    <row r="92" spans="1:10" ht="15" customHeight="1" x14ac:dyDescent="0.25">
      <c r="A92" t="s">
        <v>4794</v>
      </c>
      <c r="B92" t="s">
        <v>3499</v>
      </c>
      <c r="C92" t="s">
        <v>3506</v>
      </c>
      <c r="D92" t="s">
        <v>4795</v>
      </c>
      <c r="E92" t="s">
        <v>4796</v>
      </c>
      <c r="F92" t="s">
        <v>553</v>
      </c>
      <c r="G92" t="s">
        <v>3523</v>
      </c>
      <c r="H92" t="s">
        <v>4797</v>
      </c>
      <c r="I92" t="s">
        <v>3455</v>
      </c>
      <c r="J92" t="s">
        <v>3438</v>
      </c>
    </row>
    <row r="93" spans="1:10" ht="15" customHeight="1" x14ac:dyDescent="0.25">
      <c r="A93" t="s">
        <v>3674</v>
      </c>
      <c r="B93" t="s">
        <v>3511</v>
      </c>
      <c r="C93" t="s">
        <v>4505</v>
      </c>
      <c r="D93" t="s">
        <v>4798</v>
      </c>
      <c r="F93" t="s">
        <v>353</v>
      </c>
      <c r="H93" t="s">
        <v>3676</v>
      </c>
      <c r="I93" t="s">
        <v>3455</v>
      </c>
      <c r="J93" t="s">
        <v>3677</v>
      </c>
    </row>
    <row r="94" spans="1:10" ht="15" customHeight="1" x14ac:dyDescent="0.25">
      <c r="A94" t="s">
        <v>4799</v>
      </c>
      <c r="B94" t="s">
        <v>3543</v>
      </c>
      <c r="C94" t="s">
        <v>3506</v>
      </c>
      <c r="D94" t="s">
        <v>4800</v>
      </c>
      <c r="E94" t="s">
        <v>4801</v>
      </c>
      <c r="F94" t="s">
        <v>90</v>
      </c>
      <c r="G94" t="s">
        <v>4802</v>
      </c>
      <c r="H94" t="s">
        <v>4803</v>
      </c>
      <c r="I94" t="s">
        <v>3455</v>
      </c>
      <c r="J94" t="s">
        <v>4804</v>
      </c>
    </row>
    <row r="95" spans="1:10" ht="15" customHeight="1" x14ac:dyDescent="0.25">
      <c r="A95" t="s">
        <v>4805</v>
      </c>
      <c r="B95" t="s">
        <v>3499</v>
      </c>
      <c r="C95" t="s">
        <v>4446</v>
      </c>
      <c r="D95" t="s">
        <v>4806</v>
      </c>
      <c r="E95" t="s">
        <v>4807</v>
      </c>
      <c r="F95" t="s">
        <v>160</v>
      </c>
      <c r="G95" t="s">
        <v>3656</v>
      </c>
      <c r="H95" t="s">
        <v>4808</v>
      </c>
      <c r="I95" t="s">
        <v>3455</v>
      </c>
      <c r="J95" t="s">
        <v>3517</v>
      </c>
    </row>
    <row r="96" spans="1:10" ht="15" customHeight="1" x14ac:dyDescent="0.25">
      <c r="A96" t="s">
        <v>4809</v>
      </c>
      <c r="B96" t="s">
        <v>41</v>
      </c>
      <c r="C96" t="s">
        <v>4505</v>
      </c>
      <c r="D96" t="s">
        <v>4810</v>
      </c>
      <c r="E96" t="s">
        <v>4811</v>
      </c>
      <c r="F96" t="s">
        <v>1649</v>
      </c>
      <c r="G96" t="s">
        <v>4508</v>
      </c>
      <c r="H96" t="s">
        <v>4812</v>
      </c>
      <c r="I96" t="s">
        <v>3455</v>
      </c>
      <c r="J96" t="s">
        <v>3517</v>
      </c>
    </row>
    <row r="97" spans="1:10" ht="15" customHeight="1" x14ac:dyDescent="0.25">
      <c r="A97" t="s">
        <v>4813</v>
      </c>
      <c r="B97" t="s">
        <v>3511</v>
      </c>
      <c r="C97" t="s">
        <v>4425</v>
      </c>
      <c r="D97" t="s">
        <v>4814</v>
      </c>
      <c r="E97" t="s">
        <v>4815</v>
      </c>
      <c r="F97" t="s">
        <v>1649</v>
      </c>
      <c r="H97" t="s">
        <v>4816</v>
      </c>
      <c r="I97" t="s">
        <v>3455</v>
      </c>
      <c r="J97" t="s">
        <v>4456</v>
      </c>
    </row>
    <row r="98" spans="1:10" ht="15" customHeight="1" x14ac:dyDescent="0.25">
      <c r="A98" t="s">
        <v>4817</v>
      </c>
      <c r="B98" t="s">
        <v>3722</v>
      </c>
      <c r="C98" t="s">
        <v>3506</v>
      </c>
      <c r="D98" t="s">
        <v>4818</v>
      </c>
      <c r="E98" t="s">
        <v>4819</v>
      </c>
      <c r="F98" t="s">
        <v>160</v>
      </c>
      <c r="G98" t="s">
        <v>4657</v>
      </c>
      <c r="H98" t="s">
        <v>4820</v>
      </c>
      <c r="I98" t="s">
        <v>3455</v>
      </c>
      <c r="J98" t="s">
        <v>3574</v>
      </c>
    </row>
    <row r="99" spans="1:10" ht="15" customHeight="1" x14ac:dyDescent="0.25">
      <c r="A99" t="s">
        <v>4821</v>
      </c>
      <c r="B99" t="s">
        <v>3499</v>
      </c>
      <c r="C99" t="s">
        <v>3506</v>
      </c>
      <c r="D99" t="s">
        <v>4822</v>
      </c>
      <c r="E99" t="s">
        <v>4823</v>
      </c>
      <c r="F99" t="s">
        <v>1322</v>
      </c>
      <c r="G99" t="s">
        <v>4603</v>
      </c>
      <c r="H99" t="s">
        <v>4824</v>
      </c>
      <c r="I99" t="s">
        <v>3455</v>
      </c>
      <c r="J99" t="s">
        <v>4825</v>
      </c>
    </row>
    <row r="100" spans="1:10" ht="15" customHeight="1" x14ac:dyDescent="0.25">
      <c r="A100" t="s">
        <v>4826</v>
      </c>
      <c r="B100" t="s">
        <v>3511</v>
      </c>
      <c r="C100" t="s">
        <v>4564</v>
      </c>
      <c r="D100" t="s">
        <v>4827</v>
      </c>
      <c r="E100" t="s">
        <v>4828</v>
      </c>
      <c r="F100" t="s">
        <v>90</v>
      </c>
      <c r="G100" t="s">
        <v>4738</v>
      </c>
      <c r="H100" t="s">
        <v>4826</v>
      </c>
      <c r="I100" t="s">
        <v>3455</v>
      </c>
      <c r="J100" t="s">
        <v>4456</v>
      </c>
    </row>
    <row r="101" spans="1:10" ht="15" customHeight="1" x14ac:dyDescent="0.25">
      <c r="A101" t="s">
        <v>3687</v>
      </c>
      <c r="B101" t="s">
        <v>3511</v>
      </c>
      <c r="C101" t="s">
        <v>3506</v>
      </c>
      <c r="D101" t="s">
        <v>4829</v>
      </c>
      <c r="E101" t="s">
        <v>4830</v>
      </c>
      <c r="F101" t="s">
        <v>497</v>
      </c>
      <c r="G101" t="s">
        <v>3690</v>
      </c>
      <c r="H101" t="s">
        <v>3687</v>
      </c>
      <c r="I101" t="s">
        <v>3455</v>
      </c>
      <c r="J101" t="s">
        <v>3517</v>
      </c>
    </row>
    <row r="102" spans="1:10" ht="15" customHeight="1" x14ac:dyDescent="0.25">
      <c r="A102" t="s">
        <v>4831</v>
      </c>
      <c r="B102" t="s">
        <v>41</v>
      </c>
      <c r="C102" t="s">
        <v>4505</v>
      </c>
      <c r="D102" t="s">
        <v>4832</v>
      </c>
      <c r="E102" t="s">
        <v>4833</v>
      </c>
      <c r="F102" t="s">
        <v>1649</v>
      </c>
      <c r="G102" t="s">
        <v>4508</v>
      </c>
      <c r="H102" t="s">
        <v>4831</v>
      </c>
      <c r="I102" t="s">
        <v>3455</v>
      </c>
      <c r="J102" t="s">
        <v>3517</v>
      </c>
    </row>
    <row r="103" spans="1:10" ht="15" customHeight="1" x14ac:dyDescent="0.25">
      <c r="A103" t="s">
        <v>4834</v>
      </c>
      <c r="B103" t="s">
        <v>3499</v>
      </c>
      <c r="C103" t="s">
        <v>3520</v>
      </c>
      <c r="D103" t="s">
        <v>4835</v>
      </c>
      <c r="E103" t="s">
        <v>4836</v>
      </c>
      <c r="F103" t="s">
        <v>553</v>
      </c>
      <c r="G103" t="s">
        <v>3523</v>
      </c>
      <c r="H103" t="s">
        <v>4837</v>
      </c>
      <c r="I103" t="s">
        <v>3455</v>
      </c>
      <c r="J103" t="s">
        <v>3517</v>
      </c>
    </row>
    <row r="104" spans="1:10" ht="15" customHeight="1" x14ac:dyDescent="0.25">
      <c r="A104" t="s">
        <v>4838</v>
      </c>
      <c r="B104" t="s">
        <v>41</v>
      </c>
      <c r="C104" t="s">
        <v>3506</v>
      </c>
      <c r="D104" t="s">
        <v>4839</v>
      </c>
      <c r="E104" t="s">
        <v>4840</v>
      </c>
      <c r="F104" t="s">
        <v>1322</v>
      </c>
      <c r="H104" t="s">
        <v>4841</v>
      </c>
      <c r="I104" t="s">
        <v>3455</v>
      </c>
      <c r="J104" t="s">
        <v>4842</v>
      </c>
    </row>
    <row r="105" spans="1:10" ht="15" customHeight="1" x14ac:dyDescent="0.25">
      <c r="A105" t="s">
        <v>4843</v>
      </c>
      <c r="B105" t="s">
        <v>3511</v>
      </c>
      <c r="C105" t="s">
        <v>4505</v>
      </c>
      <c r="D105" t="s">
        <v>4844</v>
      </c>
      <c r="F105" t="s">
        <v>1649</v>
      </c>
      <c r="G105" t="s">
        <v>4845</v>
      </c>
      <c r="H105" t="s">
        <v>4846</v>
      </c>
      <c r="I105" t="s">
        <v>3455</v>
      </c>
      <c r="J105" t="s">
        <v>3438</v>
      </c>
    </row>
    <row r="106" spans="1:10" ht="15" customHeight="1" x14ac:dyDescent="0.25">
      <c r="A106" t="s">
        <v>4847</v>
      </c>
      <c r="B106" t="s">
        <v>3499</v>
      </c>
      <c r="C106" t="s">
        <v>3506</v>
      </c>
      <c r="D106" t="s">
        <v>4848</v>
      </c>
      <c r="E106" t="s">
        <v>4849</v>
      </c>
      <c r="F106" t="s">
        <v>90</v>
      </c>
      <c r="G106" t="s">
        <v>3656</v>
      </c>
      <c r="H106" t="s">
        <v>4850</v>
      </c>
      <c r="I106" t="s">
        <v>3455</v>
      </c>
      <c r="J106" t="s">
        <v>3509</v>
      </c>
    </row>
    <row r="107" spans="1:10" ht="15" customHeight="1" x14ac:dyDescent="0.25">
      <c r="A107" t="s">
        <v>4851</v>
      </c>
      <c r="B107" t="s">
        <v>41</v>
      </c>
      <c r="C107" t="s">
        <v>3506</v>
      </c>
      <c r="D107" t="s">
        <v>4852</v>
      </c>
      <c r="E107" t="s">
        <v>4853</v>
      </c>
      <c r="F107" t="s">
        <v>90</v>
      </c>
      <c r="G107" t="s">
        <v>3685</v>
      </c>
      <c r="H107" t="s">
        <v>4854</v>
      </c>
      <c r="I107" t="s">
        <v>3455</v>
      </c>
      <c r="J107" t="s">
        <v>4456</v>
      </c>
    </row>
    <row r="108" spans="1:10" ht="15" customHeight="1" x14ac:dyDescent="0.25">
      <c r="A108" t="s">
        <v>4855</v>
      </c>
      <c r="B108" t="s">
        <v>3511</v>
      </c>
      <c r="C108" t="s">
        <v>3506</v>
      </c>
      <c r="D108" t="s">
        <v>4856</v>
      </c>
      <c r="E108" t="s">
        <v>4857</v>
      </c>
      <c r="F108" t="s">
        <v>501</v>
      </c>
      <c r="G108" t="s">
        <v>4641</v>
      </c>
      <c r="H108" t="s">
        <v>4858</v>
      </c>
      <c r="I108" t="s">
        <v>3455</v>
      </c>
      <c r="J108" t="s">
        <v>3509</v>
      </c>
    </row>
    <row r="109" spans="1:10" ht="15" customHeight="1" x14ac:dyDescent="0.25">
      <c r="A109" t="s">
        <v>4859</v>
      </c>
      <c r="B109" t="s">
        <v>41</v>
      </c>
      <c r="C109" t="s">
        <v>3520</v>
      </c>
      <c r="D109" t="s">
        <v>4860</v>
      </c>
      <c r="E109" t="s">
        <v>4861</v>
      </c>
      <c r="F109" t="s">
        <v>1046</v>
      </c>
      <c r="G109" t="s">
        <v>4862</v>
      </c>
      <c r="H109" t="s">
        <v>4859</v>
      </c>
      <c r="I109" t="s">
        <v>3455</v>
      </c>
      <c r="J109" t="s">
        <v>3517</v>
      </c>
    </row>
    <row r="110" spans="1:10" ht="15" customHeight="1" x14ac:dyDescent="0.25">
      <c r="A110" t="s">
        <v>4863</v>
      </c>
      <c r="B110" t="s">
        <v>3511</v>
      </c>
      <c r="C110" t="s">
        <v>4554</v>
      </c>
      <c r="D110" t="s">
        <v>4864</v>
      </c>
      <c r="F110" t="s">
        <v>160</v>
      </c>
      <c r="G110" t="s">
        <v>4865</v>
      </c>
      <c r="H110" t="s">
        <v>4866</v>
      </c>
      <c r="I110" t="s">
        <v>3455</v>
      </c>
      <c r="J110" t="s">
        <v>4456</v>
      </c>
    </row>
    <row r="111" spans="1:10" ht="15" customHeight="1" x14ac:dyDescent="0.25">
      <c r="A111" t="s">
        <v>4867</v>
      </c>
      <c r="B111" t="s">
        <v>41</v>
      </c>
      <c r="C111" t="s">
        <v>3669</v>
      </c>
      <c r="D111" t="s">
        <v>4868</v>
      </c>
      <c r="F111" t="s">
        <v>160</v>
      </c>
      <c r="G111" t="s">
        <v>4869</v>
      </c>
      <c r="H111" t="s">
        <v>4870</v>
      </c>
      <c r="I111" t="s">
        <v>3455</v>
      </c>
      <c r="J111" t="s">
        <v>3677</v>
      </c>
    </row>
    <row r="112" spans="1:10" ht="15" customHeight="1" x14ac:dyDescent="0.25">
      <c r="A112" t="s">
        <v>4871</v>
      </c>
      <c r="B112" t="s">
        <v>3499</v>
      </c>
      <c r="C112" t="s">
        <v>3506</v>
      </c>
      <c r="D112" t="s">
        <v>4872</v>
      </c>
      <c r="E112" t="s">
        <v>4873</v>
      </c>
      <c r="F112" t="s">
        <v>90</v>
      </c>
      <c r="H112" t="s">
        <v>4874</v>
      </c>
      <c r="I112" t="s">
        <v>3455</v>
      </c>
      <c r="J112" t="s">
        <v>3509</v>
      </c>
    </row>
    <row r="113" spans="1:10" ht="15" customHeight="1" x14ac:dyDescent="0.25">
      <c r="A113" t="s">
        <v>4875</v>
      </c>
      <c r="B113" t="s">
        <v>3511</v>
      </c>
      <c r="C113" t="s">
        <v>3506</v>
      </c>
      <c r="D113" t="s">
        <v>4876</v>
      </c>
      <c r="E113" t="s">
        <v>4877</v>
      </c>
      <c r="F113" t="s">
        <v>90</v>
      </c>
      <c r="G113" t="s">
        <v>4613</v>
      </c>
      <c r="H113" t="s">
        <v>4878</v>
      </c>
      <c r="I113" t="s">
        <v>3455</v>
      </c>
      <c r="J113" t="s">
        <v>3574</v>
      </c>
    </row>
    <row r="114" spans="1:10" ht="15" customHeight="1" x14ac:dyDescent="0.25">
      <c r="A114" t="s">
        <v>4879</v>
      </c>
      <c r="B114" t="s">
        <v>41</v>
      </c>
      <c r="C114" t="s">
        <v>3506</v>
      </c>
      <c r="D114" t="s">
        <v>4880</v>
      </c>
      <c r="E114" t="s">
        <v>4881</v>
      </c>
      <c r="F114" t="s">
        <v>90</v>
      </c>
      <c r="G114" t="s">
        <v>4882</v>
      </c>
      <c r="H114" t="s">
        <v>4883</v>
      </c>
      <c r="I114" t="s">
        <v>3455</v>
      </c>
      <c r="J114" t="s">
        <v>3438</v>
      </c>
    </row>
    <row r="115" spans="1:10" ht="15" customHeight="1" x14ac:dyDescent="0.25">
      <c r="A115" t="s">
        <v>4884</v>
      </c>
      <c r="B115" t="s">
        <v>3499</v>
      </c>
      <c r="C115" t="s">
        <v>3506</v>
      </c>
      <c r="D115" t="s">
        <v>4885</v>
      </c>
      <c r="E115" t="s">
        <v>4886</v>
      </c>
      <c r="F115" t="s">
        <v>90</v>
      </c>
      <c r="G115" t="s">
        <v>4618</v>
      </c>
      <c r="H115" t="s">
        <v>4884</v>
      </c>
      <c r="I115" t="s">
        <v>3455</v>
      </c>
      <c r="J115" t="s">
        <v>3509</v>
      </c>
    </row>
    <row r="116" spans="1:10" ht="15" customHeight="1" x14ac:dyDescent="0.25">
      <c r="A116" t="s">
        <v>3713</v>
      </c>
      <c r="B116" t="s">
        <v>3511</v>
      </c>
      <c r="C116" t="s">
        <v>3506</v>
      </c>
      <c r="D116" t="s">
        <v>3714</v>
      </c>
      <c r="F116" t="s">
        <v>553</v>
      </c>
      <c r="G116" t="s">
        <v>3716</v>
      </c>
      <c r="H116" t="s">
        <v>3717</v>
      </c>
      <c r="I116" t="s">
        <v>3455</v>
      </c>
      <c r="J116" t="s">
        <v>3574</v>
      </c>
    </row>
    <row r="117" spans="1:10" ht="15" customHeight="1" x14ac:dyDescent="0.25">
      <c r="A117" t="s">
        <v>4887</v>
      </c>
      <c r="B117" t="s">
        <v>41</v>
      </c>
      <c r="C117" t="s">
        <v>4505</v>
      </c>
      <c r="D117" t="s">
        <v>4888</v>
      </c>
      <c r="E117" t="s">
        <v>4889</v>
      </c>
      <c r="F117" t="s">
        <v>1649</v>
      </c>
      <c r="G117" t="s">
        <v>4508</v>
      </c>
      <c r="H117" t="s">
        <v>4887</v>
      </c>
      <c r="I117" t="s">
        <v>3455</v>
      </c>
      <c r="J117" t="s">
        <v>3517</v>
      </c>
    </row>
    <row r="118" spans="1:10" ht="15" customHeight="1" x14ac:dyDescent="0.25">
      <c r="A118" t="s">
        <v>3718</v>
      </c>
      <c r="B118" t="s">
        <v>41</v>
      </c>
      <c r="C118" t="s">
        <v>3520</v>
      </c>
      <c r="D118" t="s">
        <v>4890</v>
      </c>
      <c r="E118" t="s">
        <v>4891</v>
      </c>
      <c r="F118" t="s">
        <v>90</v>
      </c>
      <c r="H118" t="s">
        <v>3718</v>
      </c>
      <c r="I118" t="s">
        <v>3455</v>
      </c>
      <c r="J118" t="s">
        <v>3517</v>
      </c>
    </row>
    <row r="119" spans="1:10" ht="15" customHeight="1" x14ac:dyDescent="0.25">
      <c r="A119" t="s">
        <v>4892</v>
      </c>
      <c r="B119" t="s">
        <v>3499</v>
      </c>
      <c r="C119" t="s">
        <v>3576</v>
      </c>
      <c r="D119" t="s">
        <v>4893</v>
      </c>
      <c r="F119" t="s">
        <v>160</v>
      </c>
      <c r="H119" t="s">
        <v>4894</v>
      </c>
      <c r="I119" t="s">
        <v>3455</v>
      </c>
      <c r="J119" t="s">
        <v>3677</v>
      </c>
    </row>
    <row r="120" spans="1:10" ht="15" customHeight="1" x14ac:dyDescent="0.25">
      <c r="A120" t="s">
        <v>4895</v>
      </c>
      <c r="B120" t="s">
        <v>3499</v>
      </c>
      <c r="C120" t="s">
        <v>3506</v>
      </c>
      <c r="D120" t="s">
        <v>4896</v>
      </c>
      <c r="E120" t="s">
        <v>4897</v>
      </c>
      <c r="F120" t="s">
        <v>1129</v>
      </c>
      <c r="G120" t="s">
        <v>4898</v>
      </c>
      <c r="H120" t="s">
        <v>4899</v>
      </c>
      <c r="I120" t="s">
        <v>3455</v>
      </c>
      <c r="J120" t="s">
        <v>4562</v>
      </c>
    </row>
    <row r="121" spans="1:10" ht="15" customHeight="1" x14ac:dyDescent="0.25">
      <c r="A121" t="s">
        <v>3721</v>
      </c>
      <c r="B121" t="s">
        <v>3722</v>
      </c>
      <c r="C121" t="s">
        <v>4900</v>
      </c>
      <c r="D121" t="s">
        <v>4901</v>
      </c>
      <c r="F121" t="s">
        <v>1795</v>
      </c>
      <c r="G121" t="s">
        <v>3724</v>
      </c>
      <c r="H121" t="s">
        <v>3725</v>
      </c>
      <c r="I121" t="s">
        <v>3455</v>
      </c>
      <c r="J121" t="s">
        <v>3574</v>
      </c>
    </row>
    <row r="122" spans="1:10" ht="15" customHeight="1" x14ac:dyDescent="0.25">
      <c r="A122" t="s">
        <v>4902</v>
      </c>
      <c r="B122" t="s">
        <v>41</v>
      </c>
      <c r="C122" t="s">
        <v>3512</v>
      </c>
      <c r="D122" t="s">
        <v>4903</v>
      </c>
      <c r="E122" t="s">
        <v>4904</v>
      </c>
      <c r="F122" t="s">
        <v>90</v>
      </c>
      <c r="H122" t="s">
        <v>4905</v>
      </c>
      <c r="I122" t="s">
        <v>3455</v>
      </c>
      <c r="J122" t="s">
        <v>3509</v>
      </c>
    </row>
    <row r="123" spans="1:10" ht="15" customHeight="1" x14ac:dyDescent="0.25">
      <c r="A123" t="s">
        <v>4906</v>
      </c>
      <c r="B123" t="s">
        <v>3511</v>
      </c>
      <c r="C123" t="s">
        <v>3520</v>
      </c>
      <c r="D123" t="s">
        <v>4907</v>
      </c>
      <c r="E123" t="s">
        <v>4908</v>
      </c>
      <c r="F123" t="s">
        <v>497</v>
      </c>
      <c r="G123" t="s">
        <v>264</v>
      </c>
      <c r="H123" t="s">
        <v>4906</v>
      </c>
      <c r="I123" t="s">
        <v>3455</v>
      </c>
      <c r="J123" t="s">
        <v>3517</v>
      </c>
    </row>
    <row r="124" spans="1:10" ht="15" customHeight="1" x14ac:dyDescent="0.25">
      <c r="A124" t="s">
        <v>4909</v>
      </c>
      <c r="B124" t="s">
        <v>41</v>
      </c>
      <c r="C124" t="s">
        <v>3512</v>
      </c>
      <c r="D124" t="s">
        <v>4910</v>
      </c>
      <c r="E124" t="s">
        <v>4911</v>
      </c>
      <c r="F124" t="s">
        <v>90</v>
      </c>
      <c r="G124" t="s">
        <v>3656</v>
      </c>
      <c r="H124" t="s">
        <v>4909</v>
      </c>
      <c r="I124" t="s">
        <v>3455</v>
      </c>
      <c r="J124" t="s">
        <v>4456</v>
      </c>
    </row>
    <row r="125" spans="1:10" ht="15" customHeight="1" x14ac:dyDescent="0.25">
      <c r="A125" t="s">
        <v>4912</v>
      </c>
      <c r="B125" t="s">
        <v>3499</v>
      </c>
      <c r="C125" t="s">
        <v>4913</v>
      </c>
      <c r="D125" t="s">
        <v>4914</v>
      </c>
      <c r="E125" t="s">
        <v>4915</v>
      </c>
      <c r="F125" t="s">
        <v>90</v>
      </c>
      <c r="G125" t="s">
        <v>4433</v>
      </c>
      <c r="H125" t="s">
        <v>4916</v>
      </c>
      <c r="I125" t="s">
        <v>3455</v>
      </c>
      <c r="J125" t="s">
        <v>3677</v>
      </c>
    </row>
    <row r="126" spans="1:10" ht="15" customHeight="1" x14ac:dyDescent="0.25">
      <c r="A126" t="s">
        <v>4917</v>
      </c>
      <c r="B126" t="s">
        <v>3511</v>
      </c>
      <c r="C126" t="s">
        <v>3520</v>
      </c>
      <c r="D126" t="s">
        <v>4918</v>
      </c>
      <c r="E126" t="s">
        <v>4919</v>
      </c>
      <c r="F126" t="s">
        <v>497</v>
      </c>
      <c r="G126" t="s">
        <v>3716</v>
      </c>
      <c r="H126" t="s">
        <v>4917</v>
      </c>
      <c r="I126" t="s">
        <v>3455</v>
      </c>
      <c r="J126" t="s">
        <v>3517</v>
      </c>
    </row>
    <row r="127" spans="1:10" ht="15" customHeight="1" x14ac:dyDescent="0.25">
      <c r="A127" t="s">
        <v>3726</v>
      </c>
      <c r="B127" t="s">
        <v>41</v>
      </c>
      <c r="C127" t="s">
        <v>3669</v>
      </c>
      <c r="D127" t="s">
        <v>4920</v>
      </c>
      <c r="E127" t="s">
        <v>4921</v>
      </c>
      <c r="F127" t="s">
        <v>160</v>
      </c>
      <c r="G127" t="s">
        <v>4922</v>
      </c>
      <c r="H127" t="s">
        <v>3730</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4923</v>
      </c>
      <c r="B1" t="s">
        <v>1</v>
      </c>
      <c r="C1" t="s">
        <v>167</v>
      </c>
      <c r="D1" t="s">
        <v>3731</v>
      </c>
      <c r="E1" t="s">
        <v>4924</v>
      </c>
      <c r="F1" t="s">
        <v>6</v>
      </c>
      <c r="G1" t="s">
        <v>4925</v>
      </c>
      <c r="H1" t="s">
        <v>4926</v>
      </c>
      <c r="I1" t="s">
        <v>4927</v>
      </c>
      <c r="J1" t="s">
        <v>4257</v>
      </c>
      <c r="K1" t="s">
        <v>4928</v>
      </c>
      <c r="L1" t="s">
        <v>4</v>
      </c>
      <c r="M1" t="s">
        <v>170</v>
      </c>
    </row>
    <row r="2" spans="1:13" ht="15" customHeight="1" x14ac:dyDescent="0.25">
      <c r="A2" t="s">
        <v>4929</v>
      </c>
      <c r="B2" t="s">
        <v>1649</v>
      </c>
      <c r="C2" t="s">
        <v>222</v>
      </c>
      <c r="D2" t="s">
        <v>39</v>
      </c>
      <c r="E2">
        <v>0</v>
      </c>
      <c r="F2" t="s">
        <v>41</v>
      </c>
      <c r="G2" t="s">
        <v>4930</v>
      </c>
      <c r="H2" t="s">
        <v>4931</v>
      </c>
      <c r="I2" t="s">
        <v>3994</v>
      </c>
      <c r="J2" t="s">
        <v>4932</v>
      </c>
      <c r="K2" t="s">
        <v>3455</v>
      </c>
      <c r="L2" t="s">
        <v>4294</v>
      </c>
      <c r="M2" t="s">
        <v>4933</v>
      </c>
    </row>
    <row r="3" spans="1:13" ht="15" customHeight="1" x14ac:dyDescent="0.25">
      <c r="A3" t="s">
        <v>4934</v>
      </c>
      <c r="B3" t="s">
        <v>1649</v>
      </c>
      <c r="C3" t="s">
        <v>222</v>
      </c>
      <c r="D3" t="s">
        <v>39</v>
      </c>
      <c r="E3">
        <v>0</v>
      </c>
      <c r="F3" t="s">
        <v>41</v>
      </c>
      <c r="G3" t="s">
        <v>4935</v>
      </c>
      <c r="H3" t="s">
        <v>4936</v>
      </c>
      <c r="I3" t="s">
        <v>3994</v>
      </c>
      <c r="J3" t="s">
        <v>4937</v>
      </c>
      <c r="K3" t="s">
        <v>3455</v>
      </c>
      <c r="L3" t="s">
        <v>4294</v>
      </c>
      <c r="M3" t="s">
        <v>264</v>
      </c>
    </row>
    <row r="4" spans="1:13" ht="15" customHeight="1" x14ac:dyDescent="0.25">
      <c r="A4" t="s">
        <v>4938</v>
      </c>
      <c r="B4" t="s">
        <v>90</v>
      </c>
      <c r="C4" t="s">
        <v>182</v>
      </c>
      <c r="D4" t="s">
        <v>39</v>
      </c>
      <c r="E4">
        <v>0</v>
      </c>
      <c r="F4" t="s">
        <v>3511</v>
      </c>
      <c r="G4" t="s">
        <v>4939</v>
      </c>
      <c r="H4" t="s">
        <v>4939</v>
      </c>
      <c r="I4" t="s">
        <v>3994</v>
      </c>
      <c r="J4" t="s">
        <v>4940</v>
      </c>
      <c r="K4">
        <v>1</v>
      </c>
      <c r="L4" t="s">
        <v>4294</v>
      </c>
    </row>
    <row r="5" spans="1:13" ht="15" customHeight="1" x14ac:dyDescent="0.25">
      <c r="A5" t="s">
        <v>4941</v>
      </c>
      <c r="B5" t="s">
        <v>90</v>
      </c>
      <c r="C5" t="s">
        <v>182</v>
      </c>
      <c r="D5" t="s">
        <v>4942</v>
      </c>
      <c r="E5">
        <v>0</v>
      </c>
      <c r="F5" t="s">
        <v>41</v>
      </c>
      <c r="G5" t="s">
        <v>3455</v>
      </c>
      <c r="H5" t="s">
        <v>4943</v>
      </c>
      <c r="I5" t="s">
        <v>3994</v>
      </c>
      <c r="J5" t="s">
        <v>4944</v>
      </c>
      <c r="K5" t="s">
        <v>3455</v>
      </c>
      <c r="L5" t="s">
        <v>4294</v>
      </c>
      <c r="M5" t="s">
        <v>4945</v>
      </c>
    </row>
    <row r="9" spans="1:13" ht="15" customHeight="1" x14ac:dyDescent="0.25">
      <c r="A9" t="s">
        <v>4946</v>
      </c>
      <c r="B9" t="s">
        <v>4947</v>
      </c>
      <c r="C9" t="s">
        <v>4948</v>
      </c>
      <c r="F9" t="s">
        <v>4949</v>
      </c>
      <c r="G9" t="s">
        <v>4950</v>
      </c>
      <c r="J9" t="s">
        <v>3455</v>
      </c>
    </row>
    <row r="10" spans="1:13" ht="15" customHeight="1" x14ac:dyDescent="0.25">
      <c r="A10" t="s">
        <v>4951</v>
      </c>
      <c r="B10" t="s">
        <v>4952</v>
      </c>
      <c r="C10" t="s">
        <v>4953</v>
      </c>
      <c r="F10" t="s">
        <v>4954</v>
      </c>
      <c r="G10" t="s">
        <v>4955</v>
      </c>
      <c r="J10" t="s">
        <v>4956</v>
      </c>
    </row>
    <row r="11" spans="1:13" ht="15" customHeight="1" x14ac:dyDescent="0.25">
      <c r="A11" t="s">
        <v>4957</v>
      </c>
      <c r="B11" t="s">
        <v>4958</v>
      </c>
      <c r="C11" t="s">
        <v>4959</v>
      </c>
      <c r="F11" t="s">
        <v>4960</v>
      </c>
      <c r="J11" t="s">
        <v>3455</v>
      </c>
    </row>
    <row r="12" spans="1:13" ht="15" customHeight="1" x14ac:dyDescent="0.25">
      <c r="A12" t="s">
        <v>4961</v>
      </c>
      <c r="B12" t="s">
        <v>4962</v>
      </c>
      <c r="C12" t="s">
        <v>4963</v>
      </c>
      <c r="F12" t="s">
        <v>4964</v>
      </c>
    </row>
    <row r="13" spans="1:13" ht="15" customHeight="1" x14ac:dyDescent="0.25">
      <c r="A13" t="s">
        <v>4965</v>
      </c>
      <c r="B13" t="s">
        <v>4966</v>
      </c>
      <c r="C13" t="s">
        <v>4967</v>
      </c>
      <c r="F13" t="s">
        <v>4968</v>
      </c>
      <c r="G13" t="s">
        <v>4969</v>
      </c>
      <c r="I13" t="s">
        <v>4227</v>
      </c>
    </row>
    <row r="14" spans="1:13" ht="15" customHeight="1" x14ac:dyDescent="0.25">
      <c r="A14" t="s">
        <v>4970</v>
      </c>
      <c r="B14" t="s">
        <v>4971</v>
      </c>
      <c r="C14" t="s">
        <v>4972</v>
      </c>
      <c r="F14" t="s">
        <v>4973</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4974</v>
      </c>
      <c r="G1" t="s">
        <v>3494</v>
      </c>
      <c r="H1" t="s">
        <v>4975</v>
      </c>
      <c r="I1" t="s">
        <v>4976</v>
      </c>
      <c r="J1" t="s">
        <v>4257</v>
      </c>
      <c r="K1" t="s">
        <v>170</v>
      </c>
    </row>
    <row r="2" spans="1:11" ht="15" customHeight="1" x14ac:dyDescent="0.25">
      <c r="A2" t="s">
        <v>4965</v>
      </c>
      <c r="B2" t="s">
        <v>4977</v>
      </c>
      <c r="C2" t="s">
        <v>3511</v>
      </c>
      <c r="D2" t="s">
        <v>4978</v>
      </c>
      <c r="E2" t="s">
        <v>4979</v>
      </c>
      <c r="F2" t="s">
        <v>4980</v>
      </c>
      <c r="G2" t="s">
        <v>160</v>
      </c>
      <c r="H2" t="s">
        <v>4981</v>
      </c>
      <c r="I2" t="s">
        <v>4982</v>
      </c>
      <c r="J2" t="s">
        <v>4983</v>
      </c>
    </row>
    <row r="3" spans="1:11" ht="15" customHeight="1" x14ac:dyDescent="0.25">
      <c r="A3" t="s">
        <v>4984</v>
      </c>
      <c r="B3" t="s">
        <v>4985</v>
      </c>
      <c r="C3" t="s">
        <v>41</v>
      </c>
      <c r="D3" t="s">
        <v>4986</v>
      </c>
      <c r="E3" t="s">
        <v>4987</v>
      </c>
      <c r="F3" t="s">
        <v>4988</v>
      </c>
      <c r="G3" t="s">
        <v>1649</v>
      </c>
      <c r="J3" t="s">
        <v>4989</v>
      </c>
    </row>
    <row r="4" spans="1:11" ht="15" customHeight="1" x14ac:dyDescent="0.25">
      <c r="A4" t="s">
        <v>4990</v>
      </c>
      <c r="B4" t="s">
        <v>4985</v>
      </c>
      <c r="C4" t="s">
        <v>41</v>
      </c>
      <c r="D4" t="s">
        <v>4991</v>
      </c>
      <c r="E4" t="s">
        <v>4992</v>
      </c>
      <c r="F4" t="s">
        <v>4993</v>
      </c>
      <c r="G4" t="s">
        <v>1046</v>
      </c>
      <c r="J4" t="s">
        <v>4994</v>
      </c>
    </row>
    <row r="5" spans="1:11" ht="15" customHeight="1" x14ac:dyDescent="0.25">
      <c r="A5" t="s">
        <v>4995</v>
      </c>
      <c r="B5" t="s">
        <v>3677</v>
      </c>
      <c r="C5" t="s">
        <v>41</v>
      </c>
      <c r="D5" t="s">
        <v>4996</v>
      </c>
      <c r="E5" t="s">
        <v>4997</v>
      </c>
      <c r="F5" t="s">
        <v>3455</v>
      </c>
      <c r="G5" t="s">
        <v>2132</v>
      </c>
      <c r="J5" t="s">
        <v>4998</v>
      </c>
    </row>
    <row r="6" spans="1:11" ht="15" customHeight="1" x14ac:dyDescent="0.25">
      <c r="A6" t="s">
        <v>4999</v>
      </c>
      <c r="B6" t="s">
        <v>3677</v>
      </c>
      <c r="C6" t="s">
        <v>3499</v>
      </c>
      <c r="D6" t="s">
        <v>5000</v>
      </c>
      <c r="E6" t="s">
        <v>5001</v>
      </c>
      <c r="F6" t="s">
        <v>3455</v>
      </c>
      <c r="G6" t="s">
        <v>2132</v>
      </c>
      <c r="J6" t="s">
        <v>5002</v>
      </c>
    </row>
    <row r="7" spans="1:11" ht="15" customHeight="1" x14ac:dyDescent="0.25">
      <c r="A7" t="s">
        <v>5003</v>
      </c>
      <c r="B7" t="s">
        <v>5004</v>
      </c>
      <c r="C7" t="s">
        <v>41</v>
      </c>
      <c r="D7" t="s">
        <v>5005</v>
      </c>
      <c r="E7" t="s">
        <v>5006</v>
      </c>
      <c r="F7" t="s">
        <v>3455</v>
      </c>
      <c r="G7" t="s">
        <v>759</v>
      </c>
      <c r="J7" t="s">
        <v>5007</v>
      </c>
    </row>
    <row r="8" spans="1:11" ht="15" customHeight="1" x14ac:dyDescent="0.25">
      <c r="A8" t="s">
        <v>5008</v>
      </c>
      <c r="B8" t="s">
        <v>4977</v>
      </c>
      <c r="C8" t="s">
        <v>3499</v>
      </c>
      <c r="D8" t="s">
        <v>5009</v>
      </c>
      <c r="E8" t="s">
        <v>5010</v>
      </c>
      <c r="F8" t="s">
        <v>3455</v>
      </c>
      <c r="G8" t="s">
        <v>160</v>
      </c>
      <c r="H8" t="s">
        <v>5011</v>
      </c>
      <c r="I8" t="s">
        <v>5012</v>
      </c>
      <c r="J8" t="s">
        <v>5013</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3731</v>
      </c>
      <c r="D1" t="s">
        <v>5014</v>
      </c>
      <c r="E1" t="s">
        <v>5015</v>
      </c>
      <c r="F1" t="s">
        <v>5016</v>
      </c>
      <c r="G1" t="s">
        <v>3736</v>
      </c>
      <c r="H1" t="s">
        <v>1</v>
      </c>
      <c r="I1" t="s">
        <v>5017</v>
      </c>
      <c r="J1" t="s">
        <v>5018</v>
      </c>
      <c r="K1" t="s">
        <v>171</v>
      </c>
      <c r="L1" t="s">
        <v>5019</v>
      </c>
      <c r="M1" t="s">
        <v>3737</v>
      </c>
    </row>
    <row r="2" spans="1:13" ht="27.75" customHeight="1" x14ac:dyDescent="0.25">
      <c r="A2" t="s">
        <v>3799</v>
      </c>
      <c r="B2" t="s">
        <v>5020</v>
      </c>
      <c r="C2" t="s">
        <v>4360</v>
      </c>
      <c r="D2">
        <v>2</v>
      </c>
      <c r="E2">
        <v>48</v>
      </c>
      <c r="F2">
        <v>54</v>
      </c>
      <c r="G2" t="s">
        <v>3455</v>
      </c>
      <c r="H2" t="s">
        <v>90</v>
      </c>
      <c r="I2" t="s">
        <v>4393</v>
      </c>
      <c r="J2" s="3" t="s">
        <v>5021</v>
      </c>
      <c r="K2" t="s">
        <v>3799</v>
      </c>
      <c r="L2" t="s">
        <v>3455</v>
      </c>
    </row>
    <row r="3" spans="1:13" ht="41.25" customHeight="1" x14ac:dyDescent="0.25">
      <c r="A3" t="s">
        <v>3828</v>
      </c>
      <c r="B3" t="s">
        <v>5020</v>
      </c>
      <c r="C3" t="s">
        <v>4364</v>
      </c>
      <c r="D3">
        <v>6</v>
      </c>
      <c r="E3">
        <v>114</v>
      </c>
      <c r="F3">
        <v>120</v>
      </c>
      <c r="G3" t="s">
        <v>3455</v>
      </c>
      <c r="H3" t="s">
        <v>90</v>
      </c>
      <c r="I3" t="s">
        <v>4393</v>
      </c>
      <c r="J3" s="3" t="s">
        <v>5022</v>
      </c>
      <c r="K3" t="s">
        <v>3828</v>
      </c>
      <c r="L3" t="s">
        <v>3455</v>
      </c>
    </row>
    <row r="4" spans="1:13" ht="15" customHeight="1" x14ac:dyDescent="0.25">
      <c r="A4" t="s">
        <v>3834</v>
      </c>
      <c r="B4" t="s">
        <v>5020</v>
      </c>
      <c r="C4" t="s">
        <v>5023</v>
      </c>
      <c r="D4">
        <v>9</v>
      </c>
      <c r="E4">
        <v>999</v>
      </c>
      <c r="F4">
        <v>999</v>
      </c>
      <c r="G4" t="s">
        <v>5024</v>
      </c>
      <c r="H4" t="s">
        <v>90</v>
      </c>
      <c r="I4" t="s">
        <v>4393</v>
      </c>
      <c r="J4" t="s">
        <v>5025</v>
      </c>
      <c r="K4" t="s">
        <v>3834</v>
      </c>
      <c r="L4" t="s">
        <v>3455</v>
      </c>
    </row>
    <row r="5" spans="1:13" ht="54.75" customHeight="1" x14ac:dyDescent="0.25">
      <c r="A5" t="s">
        <v>5026</v>
      </c>
      <c r="B5" t="s">
        <v>5020</v>
      </c>
      <c r="C5" t="s">
        <v>4360</v>
      </c>
      <c r="D5">
        <v>3</v>
      </c>
      <c r="E5">
        <v>40</v>
      </c>
      <c r="F5">
        <v>44</v>
      </c>
      <c r="G5" t="s">
        <v>3455</v>
      </c>
      <c r="H5" t="s">
        <v>90</v>
      </c>
      <c r="I5" t="s">
        <v>4393</v>
      </c>
      <c r="J5" s="3" t="s">
        <v>5027</v>
      </c>
      <c r="K5" t="s">
        <v>5028</v>
      </c>
      <c r="L5" t="s">
        <v>3455</v>
      </c>
    </row>
    <row r="6" spans="1:13" ht="27.75" customHeight="1" x14ac:dyDescent="0.25">
      <c r="A6" t="s">
        <v>5029</v>
      </c>
      <c r="B6" t="s">
        <v>5020</v>
      </c>
      <c r="C6" t="s">
        <v>4360</v>
      </c>
      <c r="D6">
        <v>1</v>
      </c>
      <c r="E6">
        <v>10</v>
      </c>
      <c r="F6">
        <v>15</v>
      </c>
      <c r="G6" t="s">
        <v>5030</v>
      </c>
      <c r="H6" t="s">
        <v>90</v>
      </c>
      <c r="I6" t="s">
        <v>4393</v>
      </c>
      <c r="J6" s="3" t="s">
        <v>5031</v>
      </c>
      <c r="K6" t="s">
        <v>5032</v>
      </c>
      <c r="L6" t="s">
        <v>3455</v>
      </c>
      <c r="M6" t="s">
        <v>4630</v>
      </c>
    </row>
    <row r="7" spans="1:13" ht="27.75" customHeight="1" x14ac:dyDescent="0.25">
      <c r="A7" t="s">
        <v>5033</v>
      </c>
      <c r="B7" t="s">
        <v>5020</v>
      </c>
      <c r="C7" t="s">
        <v>4360</v>
      </c>
      <c r="D7">
        <v>1</v>
      </c>
      <c r="E7">
        <v>11</v>
      </c>
      <c r="F7">
        <v>17</v>
      </c>
      <c r="G7" t="s">
        <v>5030</v>
      </c>
      <c r="H7" t="s">
        <v>90</v>
      </c>
      <c r="I7" t="s">
        <v>4393</v>
      </c>
      <c r="J7" s="3" t="s">
        <v>5034</v>
      </c>
      <c r="K7" t="s">
        <v>5035</v>
      </c>
      <c r="L7" t="s">
        <v>3455</v>
      </c>
      <c r="M7" t="s">
        <v>4630</v>
      </c>
    </row>
    <row r="8" spans="1:13" ht="41.25" customHeight="1" x14ac:dyDescent="0.25">
      <c r="A8" t="s">
        <v>5036</v>
      </c>
      <c r="B8" t="s">
        <v>5020</v>
      </c>
      <c r="C8" t="s">
        <v>4360</v>
      </c>
      <c r="D8">
        <v>4</v>
      </c>
      <c r="E8">
        <v>65</v>
      </c>
      <c r="F8">
        <v>69</v>
      </c>
      <c r="G8" t="s">
        <v>5037</v>
      </c>
      <c r="H8" t="s">
        <v>90</v>
      </c>
      <c r="I8" t="s">
        <v>4393</v>
      </c>
      <c r="J8" s="3" t="s">
        <v>5038</v>
      </c>
      <c r="K8" t="s">
        <v>5039</v>
      </c>
      <c r="L8" t="s">
        <v>3455</v>
      </c>
      <c r="M8" t="s">
        <v>3824</v>
      </c>
    </row>
    <row r="9" spans="1:13" ht="41.25" customHeight="1" x14ac:dyDescent="0.25">
      <c r="A9" t="s">
        <v>5040</v>
      </c>
      <c r="B9" t="s">
        <v>5020</v>
      </c>
      <c r="C9" t="s">
        <v>4360</v>
      </c>
      <c r="D9">
        <v>2</v>
      </c>
      <c r="E9">
        <v>28</v>
      </c>
      <c r="F9">
        <v>32</v>
      </c>
      <c r="G9" t="s">
        <v>3455</v>
      </c>
      <c r="H9" t="s">
        <v>90</v>
      </c>
      <c r="I9" t="s">
        <v>4393</v>
      </c>
      <c r="J9" s="3" t="s">
        <v>5041</v>
      </c>
      <c r="K9" t="s">
        <v>5042</v>
      </c>
      <c r="L9" t="s">
        <v>3455</v>
      </c>
      <c r="M9" t="s">
        <v>3824</v>
      </c>
    </row>
    <row r="10" spans="1:13" ht="27.75" customHeight="1" x14ac:dyDescent="0.25">
      <c r="A10" t="s">
        <v>5043</v>
      </c>
      <c r="B10" t="s">
        <v>5020</v>
      </c>
      <c r="C10" t="s">
        <v>4360</v>
      </c>
      <c r="D10">
        <v>1</v>
      </c>
      <c r="E10">
        <v>8</v>
      </c>
      <c r="F10">
        <v>12</v>
      </c>
      <c r="G10" t="s">
        <v>3455</v>
      </c>
      <c r="H10" t="s">
        <v>90</v>
      </c>
      <c r="I10" t="s">
        <v>4393</v>
      </c>
      <c r="J10" s="3" t="s">
        <v>5044</v>
      </c>
      <c r="K10" t="s">
        <v>5045</v>
      </c>
      <c r="L10" t="s">
        <v>3455</v>
      </c>
      <c r="M10" t="s">
        <v>3824</v>
      </c>
    </row>
    <row r="11" spans="1:13" ht="27.75" customHeight="1" x14ac:dyDescent="0.25">
      <c r="A11" t="s">
        <v>3821</v>
      </c>
      <c r="B11" t="s">
        <v>5020</v>
      </c>
      <c r="C11" t="s">
        <v>4360</v>
      </c>
      <c r="D11">
        <v>4</v>
      </c>
      <c r="E11">
        <v>64</v>
      </c>
      <c r="F11">
        <v>70</v>
      </c>
      <c r="G11" t="s">
        <v>5046</v>
      </c>
      <c r="H11" t="s">
        <v>90</v>
      </c>
      <c r="I11" t="s">
        <v>4393</v>
      </c>
      <c r="J11" s="3" t="s">
        <v>5047</v>
      </c>
      <c r="K11" t="s">
        <v>3823</v>
      </c>
      <c r="L11" t="s">
        <v>3455</v>
      </c>
      <c r="M11" t="s">
        <v>3824</v>
      </c>
    </row>
    <row r="12" spans="1:13" ht="27.75" customHeight="1" x14ac:dyDescent="0.25">
      <c r="A12" t="s">
        <v>5048</v>
      </c>
      <c r="B12" t="s">
        <v>5020</v>
      </c>
      <c r="C12" t="s">
        <v>4360</v>
      </c>
      <c r="D12">
        <v>2</v>
      </c>
      <c r="E12">
        <v>28</v>
      </c>
      <c r="F12">
        <v>32</v>
      </c>
      <c r="G12" t="s">
        <v>3455</v>
      </c>
      <c r="H12" t="s">
        <v>90</v>
      </c>
      <c r="I12" t="s">
        <v>4393</v>
      </c>
      <c r="J12" s="3" t="s">
        <v>5049</v>
      </c>
      <c r="K12" t="s">
        <v>5050</v>
      </c>
      <c r="L12" t="s">
        <v>3455</v>
      </c>
      <c r="M12" t="s">
        <v>3824</v>
      </c>
    </row>
    <row r="13" spans="1:13" ht="15" customHeight="1" x14ac:dyDescent="0.25">
      <c r="A13" t="s">
        <v>5051</v>
      </c>
      <c r="B13" t="s">
        <v>5020</v>
      </c>
      <c r="C13" t="s">
        <v>4360</v>
      </c>
      <c r="D13">
        <v>1</v>
      </c>
      <c r="E13">
        <v>10</v>
      </c>
      <c r="F13">
        <v>14</v>
      </c>
      <c r="G13" t="s">
        <v>3455</v>
      </c>
      <c r="H13" t="s">
        <v>90</v>
      </c>
      <c r="I13" t="s">
        <v>4393</v>
      </c>
      <c r="J13" t="s">
        <v>5052</v>
      </c>
      <c r="K13" t="s">
        <v>5053</v>
      </c>
      <c r="L13" t="s">
        <v>3455</v>
      </c>
      <c r="M13" t="s">
        <v>3824</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5054</v>
      </c>
      <c r="C1" t="s">
        <v>3731</v>
      </c>
      <c r="D1" t="s">
        <v>5014</v>
      </c>
      <c r="E1" t="s">
        <v>1</v>
      </c>
      <c r="F1" t="s">
        <v>5015</v>
      </c>
      <c r="G1" t="s">
        <v>5016</v>
      </c>
      <c r="H1" t="s">
        <v>3984</v>
      </c>
      <c r="I1" t="s">
        <v>3732</v>
      </c>
      <c r="J1" t="s">
        <v>5055</v>
      </c>
      <c r="K1" t="s">
        <v>5056</v>
      </c>
      <c r="L1" t="s">
        <v>5057</v>
      </c>
      <c r="M1" t="s">
        <v>5058</v>
      </c>
      <c r="N1" t="s">
        <v>5059</v>
      </c>
      <c r="O1" t="s">
        <v>5060</v>
      </c>
      <c r="P1" t="s">
        <v>5061</v>
      </c>
      <c r="Q1" t="s">
        <v>5062</v>
      </c>
      <c r="R1" t="s">
        <v>5063</v>
      </c>
      <c r="S1" t="s">
        <v>3736</v>
      </c>
      <c r="T1" t="s">
        <v>3737</v>
      </c>
    </row>
    <row r="2" spans="1:20" ht="15" customHeight="1" x14ac:dyDescent="0.25">
      <c r="A2" t="s">
        <v>3744</v>
      </c>
      <c r="B2" t="s">
        <v>5064</v>
      </c>
      <c r="C2" t="s">
        <v>4360</v>
      </c>
      <c r="D2">
        <v>1</v>
      </c>
      <c r="E2" t="s">
        <v>497</v>
      </c>
      <c r="F2">
        <v>10</v>
      </c>
      <c r="G2">
        <v>15</v>
      </c>
      <c r="H2">
        <v>80</v>
      </c>
      <c r="I2">
        <v>1</v>
      </c>
      <c r="J2" t="s">
        <v>5065</v>
      </c>
      <c r="K2">
        <v>0</v>
      </c>
      <c r="L2" t="s">
        <v>5066</v>
      </c>
      <c r="M2" t="s">
        <v>5067</v>
      </c>
      <c r="N2" t="s">
        <v>3994</v>
      </c>
      <c r="O2" t="s">
        <v>5068</v>
      </c>
      <c r="R2" t="s">
        <v>5069</v>
      </c>
      <c r="T2" t="s">
        <v>3503</v>
      </c>
    </row>
    <row r="3" spans="1:20" ht="15" customHeight="1" x14ac:dyDescent="0.25">
      <c r="A3" t="s">
        <v>5070</v>
      </c>
      <c r="B3" t="s">
        <v>5071</v>
      </c>
      <c r="C3" t="s">
        <v>4360</v>
      </c>
      <c r="D3">
        <v>2</v>
      </c>
      <c r="E3" t="s">
        <v>160</v>
      </c>
      <c r="F3">
        <v>16</v>
      </c>
      <c r="G3">
        <v>20</v>
      </c>
      <c r="H3">
        <v>90</v>
      </c>
      <c r="I3">
        <v>1</v>
      </c>
      <c r="J3" t="s">
        <v>5065</v>
      </c>
      <c r="K3">
        <v>0</v>
      </c>
      <c r="L3" t="s">
        <v>5072</v>
      </c>
      <c r="M3" t="s">
        <v>5073</v>
      </c>
      <c r="N3" t="s">
        <v>3994</v>
      </c>
      <c r="Q3" t="s">
        <v>5074</v>
      </c>
      <c r="R3" t="s">
        <v>5075</v>
      </c>
      <c r="S3" t="s">
        <v>5076</v>
      </c>
    </row>
    <row r="4" spans="1:20" ht="15" customHeight="1" x14ac:dyDescent="0.25">
      <c r="A4" t="s">
        <v>5077</v>
      </c>
      <c r="B4" t="s">
        <v>5078</v>
      </c>
      <c r="C4" t="s">
        <v>4360</v>
      </c>
      <c r="D4">
        <v>0</v>
      </c>
      <c r="E4" t="s">
        <v>160</v>
      </c>
      <c r="F4">
        <v>16</v>
      </c>
      <c r="G4">
        <v>20</v>
      </c>
      <c r="H4">
        <v>60</v>
      </c>
      <c r="I4">
        <v>1</v>
      </c>
      <c r="J4" t="s">
        <v>5079</v>
      </c>
      <c r="K4">
        <v>0</v>
      </c>
      <c r="L4" t="s">
        <v>5080</v>
      </c>
      <c r="M4" t="s">
        <v>5081</v>
      </c>
      <c r="N4" t="s">
        <v>3994</v>
      </c>
      <c r="Q4" t="s">
        <v>5082</v>
      </c>
      <c r="R4" t="s">
        <v>5083</v>
      </c>
    </row>
    <row r="5" spans="1:20" ht="15" customHeight="1" x14ac:dyDescent="0.25">
      <c r="A5" t="s">
        <v>5084</v>
      </c>
      <c r="B5" t="s">
        <v>5085</v>
      </c>
      <c r="C5" t="s">
        <v>4360</v>
      </c>
      <c r="D5">
        <v>2</v>
      </c>
      <c r="E5" t="s">
        <v>160</v>
      </c>
      <c r="F5">
        <v>16</v>
      </c>
      <c r="G5">
        <v>20</v>
      </c>
      <c r="H5">
        <v>0</v>
      </c>
      <c r="I5">
        <v>1</v>
      </c>
      <c r="J5" t="s">
        <v>5086</v>
      </c>
      <c r="K5">
        <v>0</v>
      </c>
      <c r="L5" t="s">
        <v>5087</v>
      </c>
      <c r="M5" t="s">
        <v>5088</v>
      </c>
      <c r="N5" t="s">
        <v>3994</v>
      </c>
      <c r="R5" t="s">
        <v>5089</v>
      </c>
    </row>
    <row r="6" spans="1:20" ht="15" customHeight="1" x14ac:dyDescent="0.25">
      <c r="A6" t="s">
        <v>5079</v>
      </c>
      <c r="B6" t="s">
        <v>5090</v>
      </c>
      <c r="C6" t="s">
        <v>4360</v>
      </c>
      <c r="D6">
        <v>0</v>
      </c>
      <c r="E6" t="s">
        <v>160</v>
      </c>
      <c r="F6">
        <v>16</v>
      </c>
      <c r="G6">
        <v>20</v>
      </c>
      <c r="H6">
        <v>70</v>
      </c>
      <c r="I6">
        <v>1</v>
      </c>
      <c r="J6" t="s">
        <v>5079</v>
      </c>
      <c r="K6">
        <v>0</v>
      </c>
      <c r="L6" t="s">
        <v>5072</v>
      </c>
      <c r="M6" t="s">
        <v>5091</v>
      </c>
      <c r="N6" t="s">
        <v>3994</v>
      </c>
      <c r="Q6" t="s">
        <v>5092</v>
      </c>
      <c r="R6" t="s">
        <v>5093</v>
      </c>
    </row>
    <row r="7" spans="1:20" ht="15" customHeight="1" x14ac:dyDescent="0.25">
      <c r="A7" t="s">
        <v>5094</v>
      </c>
      <c r="B7" t="s">
        <v>5095</v>
      </c>
      <c r="C7" t="s">
        <v>4360</v>
      </c>
      <c r="D7">
        <v>2</v>
      </c>
      <c r="E7" t="s">
        <v>497</v>
      </c>
      <c r="F7">
        <v>12</v>
      </c>
      <c r="G7">
        <v>16</v>
      </c>
      <c r="H7">
        <v>70</v>
      </c>
      <c r="I7">
        <v>1</v>
      </c>
      <c r="J7" t="s">
        <v>5096</v>
      </c>
      <c r="K7">
        <v>6</v>
      </c>
      <c r="L7" t="s">
        <v>5097</v>
      </c>
      <c r="M7" t="s">
        <v>5098</v>
      </c>
      <c r="N7" t="s">
        <v>3994</v>
      </c>
      <c r="O7" t="s">
        <v>5068</v>
      </c>
      <c r="P7" t="s">
        <v>5099</v>
      </c>
      <c r="R7" t="s">
        <v>5069</v>
      </c>
      <c r="T7" t="s">
        <v>3503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5004</v>
      </c>
      <c r="D1" t="s">
        <v>5100</v>
      </c>
      <c r="E1" t="s">
        <v>3493</v>
      </c>
    </row>
    <row r="2" spans="1:5" ht="15" customHeight="1" x14ac:dyDescent="0.25">
      <c r="A2" t="s">
        <v>5101</v>
      </c>
      <c r="B2" t="s">
        <v>3829</v>
      </c>
      <c r="C2" t="s">
        <v>5102</v>
      </c>
      <c r="D2" t="s">
        <v>3447</v>
      </c>
    </row>
    <row r="3" spans="1:5" ht="15" customHeight="1" x14ac:dyDescent="0.25">
      <c r="A3" t="s">
        <v>5103</v>
      </c>
      <c r="B3" t="s">
        <v>3829</v>
      </c>
      <c r="C3" t="s">
        <v>5104</v>
      </c>
      <c r="D3" t="s">
        <v>3447</v>
      </c>
    </row>
    <row r="4" spans="1:5" ht="15" customHeight="1" x14ac:dyDescent="0.25">
      <c r="A4" t="s">
        <v>5105</v>
      </c>
      <c r="B4" t="s">
        <v>3829</v>
      </c>
      <c r="C4" t="s">
        <v>3926</v>
      </c>
      <c r="D4" t="s">
        <v>5106</v>
      </c>
    </row>
    <row r="5" spans="1:5" ht="15" customHeight="1" x14ac:dyDescent="0.25">
      <c r="A5" t="s">
        <v>5107</v>
      </c>
      <c r="B5" t="s">
        <v>3829</v>
      </c>
      <c r="C5" t="s">
        <v>5108</v>
      </c>
      <c r="D5" t="s">
        <v>3447</v>
      </c>
    </row>
    <row r="6" spans="1:5" ht="15" customHeight="1" x14ac:dyDescent="0.25">
      <c r="A6" t="s">
        <v>5109</v>
      </c>
      <c r="B6" t="s">
        <v>3829</v>
      </c>
      <c r="C6" t="s">
        <v>5110</v>
      </c>
      <c r="D6" t="s">
        <v>3447</v>
      </c>
    </row>
    <row r="7" spans="1:5" ht="15" customHeight="1" x14ac:dyDescent="0.25">
      <c r="A7" t="s">
        <v>5111</v>
      </c>
      <c r="B7" t="s">
        <v>3829</v>
      </c>
      <c r="C7" t="s">
        <v>5112</v>
      </c>
      <c r="D7" t="s">
        <v>5113</v>
      </c>
    </row>
    <row r="8" spans="1:5" ht="15" customHeight="1" x14ac:dyDescent="0.25">
      <c r="A8" t="s">
        <v>5114</v>
      </c>
      <c r="B8" t="s">
        <v>3829</v>
      </c>
      <c r="C8" t="s">
        <v>5115</v>
      </c>
      <c r="D8" t="s">
        <v>5116</v>
      </c>
    </row>
    <row r="9" spans="1:5" ht="15" customHeight="1" x14ac:dyDescent="0.25">
      <c r="A9" t="s">
        <v>5117</v>
      </c>
      <c r="B9" t="s">
        <v>5118</v>
      </c>
      <c r="C9" t="s">
        <v>5119</v>
      </c>
      <c r="D9" t="s">
        <v>3455</v>
      </c>
      <c r="E9" t="s">
        <v>5120</v>
      </c>
    </row>
    <row r="10" spans="1:5" ht="15" customHeight="1" x14ac:dyDescent="0.25">
      <c r="A10" t="s">
        <v>5121</v>
      </c>
      <c r="B10" t="s">
        <v>5118</v>
      </c>
      <c r="C10" t="s">
        <v>5122</v>
      </c>
      <c r="D10" t="s">
        <v>3455</v>
      </c>
      <c r="E10" t="s">
        <v>5123</v>
      </c>
    </row>
    <row r="11" spans="1:5" ht="15" customHeight="1" x14ac:dyDescent="0.25">
      <c r="A11" t="s">
        <v>5124</v>
      </c>
      <c r="B11" t="s">
        <v>5118</v>
      </c>
      <c r="C11" t="s">
        <v>5125</v>
      </c>
      <c r="D11" t="s">
        <v>3455</v>
      </c>
      <c r="E11" t="s">
        <v>5126</v>
      </c>
    </row>
    <row r="12" spans="1:5" ht="15" customHeight="1" x14ac:dyDescent="0.25">
      <c r="A12" t="s">
        <v>5127</v>
      </c>
      <c r="B12" t="s">
        <v>3829</v>
      </c>
      <c r="C12" t="s">
        <v>5128</v>
      </c>
      <c r="D12" t="s">
        <v>5129</v>
      </c>
    </row>
    <row r="13" spans="1:5" ht="15" customHeight="1" x14ac:dyDescent="0.25">
      <c r="A13" t="s">
        <v>5130</v>
      </c>
      <c r="B13" t="s">
        <v>3829</v>
      </c>
      <c r="C13" t="s">
        <v>5131</v>
      </c>
      <c r="D13" t="s">
        <v>3447</v>
      </c>
    </row>
    <row r="14" spans="1:5" ht="15" customHeight="1" x14ac:dyDescent="0.25">
      <c r="A14" t="s">
        <v>5132</v>
      </c>
      <c r="B14" t="s">
        <v>3829</v>
      </c>
      <c r="C14" t="s">
        <v>5133</v>
      </c>
      <c r="D14" t="s">
        <v>4250</v>
      </c>
    </row>
    <row r="15" spans="1:5" ht="15" customHeight="1" x14ac:dyDescent="0.25">
      <c r="A15" t="s">
        <v>5134</v>
      </c>
      <c r="B15" t="s">
        <v>3829</v>
      </c>
      <c r="C15" t="s">
        <v>5135</v>
      </c>
      <c r="D15" t="s">
        <v>3447</v>
      </c>
    </row>
    <row r="16" spans="1:5" ht="15" customHeight="1" x14ac:dyDescent="0.25">
      <c r="A16" t="s">
        <v>5136</v>
      </c>
      <c r="B16" t="s">
        <v>5118</v>
      </c>
      <c r="C16" t="s">
        <v>5137</v>
      </c>
      <c r="D16" t="s">
        <v>3455</v>
      </c>
      <c r="E16" t="s">
        <v>5138</v>
      </c>
    </row>
    <row r="17" spans="1:4" ht="15" customHeight="1" x14ac:dyDescent="0.25">
      <c r="A17" t="s">
        <v>5139</v>
      </c>
      <c r="B17" t="s">
        <v>3829</v>
      </c>
      <c r="C17" t="s">
        <v>5140</v>
      </c>
      <c r="D17" t="s">
        <v>5141</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3978</v>
      </c>
      <c r="E1" t="s">
        <v>5142</v>
      </c>
      <c r="F1" t="s">
        <v>4256</v>
      </c>
      <c r="G1" t="s">
        <v>5143</v>
      </c>
      <c r="H1" t="s">
        <v>4006</v>
      </c>
      <c r="I1" t="s">
        <v>171</v>
      </c>
      <c r="J1" t="s">
        <v>6</v>
      </c>
      <c r="K1" t="s">
        <v>5144</v>
      </c>
    </row>
    <row r="2" spans="1:11" ht="15" customHeight="1" x14ac:dyDescent="0.25">
      <c r="A2" t="s">
        <v>5145</v>
      </c>
      <c r="B2" t="s">
        <v>5146</v>
      </c>
      <c r="C2" t="s">
        <v>3980</v>
      </c>
      <c r="D2" t="s">
        <v>187</v>
      </c>
      <c r="E2" t="s">
        <v>3455</v>
      </c>
      <c r="F2" t="s">
        <v>4294</v>
      </c>
      <c r="G2" t="s">
        <v>39</v>
      </c>
      <c r="H2" t="s">
        <v>4028</v>
      </c>
      <c r="I2" t="s">
        <v>5145</v>
      </c>
      <c r="J2" t="s">
        <v>3511</v>
      </c>
      <c r="K2" t="s">
        <v>3455</v>
      </c>
    </row>
    <row r="3" spans="1:11" ht="15" customHeight="1" x14ac:dyDescent="0.25">
      <c r="A3" t="s">
        <v>3518</v>
      </c>
      <c r="B3" t="s">
        <v>5147</v>
      </c>
      <c r="C3" t="s">
        <v>3736</v>
      </c>
      <c r="D3" t="s">
        <v>3994</v>
      </c>
      <c r="E3" t="s">
        <v>3455</v>
      </c>
      <c r="F3" t="s">
        <v>4294</v>
      </c>
      <c r="G3" t="s">
        <v>39</v>
      </c>
      <c r="H3" t="s">
        <v>4028</v>
      </c>
      <c r="I3" t="s">
        <v>3518</v>
      </c>
      <c r="J3" t="s">
        <v>3499</v>
      </c>
      <c r="K3" t="s">
        <v>3455</v>
      </c>
    </row>
    <row r="4" spans="1:11" ht="15" customHeight="1" x14ac:dyDescent="0.25">
      <c r="A4" t="s">
        <v>5148</v>
      </c>
      <c r="B4" t="s">
        <v>5149</v>
      </c>
      <c r="C4" t="s">
        <v>3989</v>
      </c>
      <c r="D4" t="s">
        <v>187</v>
      </c>
      <c r="E4" t="s">
        <v>3455</v>
      </c>
      <c r="F4" t="s">
        <v>5150</v>
      </c>
      <c r="G4" t="s">
        <v>39</v>
      </c>
      <c r="H4" t="s">
        <v>4011</v>
      </c>
      <c r="I4" t="s">
        <v>5148</v>
      </c>
      <c r="J4" t="s">
        <v>3511</v>
      </c>
      <c r="K4" t="s">
        <v>3455</v>
      </c>
    </row>
    <row r="5" spans="1:11" ht="15" customHeight="1" x14ac:dyDescent="0.25">
      <c r="A5" t="s">
        <v>5151</v>
      </c>
      <c r="B5" t="s">
        <v>5152</v>
      </c>
      <c r="C5" t="s">
        <v>3980</v>
      </c>
      <c r="D5" t="s">
        <v>187</v>
      </c>
      <c r="E5" t="s">
        <v>3455</v>
      </c>
      <c r="F5" t="s">
        <v>4294</v>
      </c>
      <c r="G5" t="s">
        <v>39</v>
      </c>
      <c r="H5" t="s">
        <v>4028</v>
      </c>
      <c r="I5" t="s">
        <v>5153</v>
      </c>
      <c r="J5" t="s">
        <v>3499</v>
      </c>
      <c r="K5" t="s">
        <v>3455</v>
      </c>
    </row>
    <row r="6" spans="1:11" ht="15" customHeight="1" x14ac:dyDescent="0.25">
      <c r="A6" t="s">
        <v>5154</v>
      </c>
      <c r="B6" t="s">
        <v>5155</v>
      </c>
      <c r="C6" t="s">
        <v>3989</v>
      </c>
      <c r="D6" t="s">
        <v>187</v>
      </c>
      <c r="E6" t="s">
        <v>3455</v>
      </c>
      <c r="F6" t="s">
        <v>5156</v>
      </c>
      <c r="G6" t="s">
        <v>39</v>
      </c>
      <c r="H6" t="s">
        <v>4011</v>
      </c>
      <c r="I6" t="s">
        <v>5154</v>
      </c>
      <c r="J6" t="s">
        <v>41</v>
      </c>
      <c r="K6" t="s">
        <v>3455</v>
      </c>
    </row>
    <row r="7" spans="1:11" ht="15" customHeight="1" x14ac:dyDescent="0.25">
      <c r="A7" t="s">
        <v>5157</v>
      </c>
      <c r="B7" t="s">
        <v>5158</v>
      </c>
      <c r="C7" t="s">
        <v>3980</v>
      </c>
      <c r="D7" t="s">
        <v>187</v>
      </c>
      <c r="E7" t="s">
        <v>3455</v>
      </c>
      <c r="F7" t="s">
        <v>5156</v>
      </c>
      <c r="G7" t="s">
        <v>39</v>
      </c>
      <c r="H7" t="s">
        <v>4028</v>
      </c>
      <c r="I7" t="s">
        <v>5157</v>
      </c>
      <c r="J7" t="s">
        <v>3499</v>
      </c>
      <c r="K7" t="s">
        <v>3455</v>
      </c>
    </row>
    <row r="8" spans="1:11" ht="15" customHeight="1" x14ac:dyDescent="0.25">
      <c r="A8" t="s">
        <v>5159</v>
      </c>
      <c r="B8" t="s">
        <v>5160</v>
      </c>
      <c r="C8" t="s">
        <v>3980</v>
      </c>
      <c r="D8" t="s">
        <v>187</v>
      </c>
      <c r="E8" t="s">
        <v>3455</v>
      </c>
      <c r="F8" t="s">
        <v>4294</v>
      </c>
      <c r="G8" t="s">
        <v>39</v>
      </c>
      <c r="H8" t="s">
        <v>4028</v>
      </c>
      <c r="I8" t="s">
        <v>5159</v>
      </c>
      <c r="J8" t="s">
        <v>41</v>
      </c>
      <c r="K8" t="s">
        <v>3455</v>
      </c>
    </row>
    <row r="9" spans="1:11" ht="15" customHeight="1" x14ac:dyDescent="0.25">
      <c r="A9" t="s">
        <v>5161</v>
      </c>
      <c r="B9" t="s">
        <v>5162</v>
      </c>
      <c r="C9" t="s">
        <v>3989</v>
      </c>
      <c r="D9" t="s">
        <v>187</v>
      </c>
      <c r="E9" t="s">
        <v>3455</v>
      </c>
      <c r="F9" t="s">
        <v>4294</v>
      </c>
      <c r="G9" t="s">
        <v>39</v>
      </c>
      <c r="H9" t="s">
        <v>4011</v>
      </c>
      <c r="I9" t="s">
        <v>5161</v>
      </c>
      <c r="J9" t="s">
        <v>41</v>
      </c>
      <c r="K9" t="s">
        <v>3455</v>
      </c>
    </row>
    <row r="10" spans="1:11" ht="15" customHeight="1" x14ac:dyDescent="0.25">
      <c r="A10" t="s">
        <v>5163</v>
      </c>
      <c r="B10" t="s">
        <v>5164</v>
      </c>
      <c r="C10" t="s">
        <v>3980</v>
      </c>
      <c r="D10" t="s">
        <v>187</v>
      </c>
      <c r="E10" t="s">
        <v>3455</v>
      </c>
      <c r="F10" t="s">
        <v>5165</v>
      </c>
      <c r="G10" t="s">
        <v>39</v>
      </c>
      <c r="H10" t="s">
        <v>4028</v>
      </c>
      <c r="I10" t="s">
        <v>5163</v>
      </c>
      <c r="J10" t="s">
        <v>3499</v>
      </c>
      <c r="K10" t="s">
        <v>3455</v>
      </c>
    </row>
    <row r="11" spans="1:11" ht="15" customHeight="1" x14ac:dyDescent="0.25">
      <c r="A11" t="s">
        <v>3999</v>
      </c>
      <c r="B11" t="s">
        <v>5166</v>
      </c>
      <c r="C11" t="s">
        <v>3989</v>
      </c>
      <c r="D11" t="s">
        <v>187</v>
      </c>
      <c r="E11" t="s">
        <v>3455</v>
      </c>
      <c r="F11" t="s">
        <v>5156</v>
      </c>
      <c r="G11" t="s">
        <v>39</v>
      </c>
      <c r="H11" t="s">
        <v>4011</v>
      </c>
      <c r="I11" t="s">
        <v>3999</v>
      </c>
      <c r="J11" t="s">
        <v>41</v>
      </c>
      <c r="K11" t="s">
        <v>3455</v>
      </c>
    </row>
    <row r="12" spans="1:11" ht="15" customHeight="1" x14ac:dyDescent="0.25">
      <c r="A12" t="s">
        <v>5167</v>
      </c>
      <c r="B12" t="s">
        <v>5168</v>
      </c>
      <c r="C12" t="s">
        <v>3980</v>
      </c>
      <c r="D12" t="s">
        <v>187</v>
      </c>
      <c r="E12" t="s">
        <v>3455</v>
      </c>
      <c r="F12" t="s">
        <v>5169</v>
      </c>
      <c r="G12" t="s">
        <v>5170</v>
      </c>
      <c r="H12" t="s">
        <v>4028</v>
      </c>
      <c r="I12" t="s">
        <v>5167</v>
      </c>
      <c r="J12" t="s">
        <v>3499</v>
      </c>
      <c r="K12" t="s">
        <v>3455</v>
      </c>
    </row>
    <row r="13" spans="1:11" ht="15" customHeight="1" x14ac:dyDescent="0.25">
      <c r="A13" t="s">
        <v>5171</v>
      </c>
      <c r="B13" t="s">
        <v>5172</v>
      </c>
      <c r="C13" t="s">
        <v>3989</v>
      </c>
      <c r="D13" t="s">
        <v>187</v>
      </c>
      <c r="E13" t="s">
        <v>3455</v>
      </c>
      <c r="F13" t="s">
        <v>5169</v>
      </c>
      <c r="G13" t="s">
        <v>5173</v>
      </c>
      <c r="H13" t="s">
        <v>4011</v>
      </c>
      <c r="I13" t="s">
        <v>5171</v>
      </c>
      <c r="J13" t="s">
        <v>3455</v>
      </c>
      <c r="K13" t="s">
        <v>3455</v>
      </c>
    </row>
    <row r="14" spans="1:11" ht="15" customHeight="1" x14ac:dyDescent="0.25">
      <c r="A14" t="s">
        <v>5174</v>
      </c>
      <c r="B14" t="s">
        <v>5175</v>
      </c>
      <c r="C14" t="s">
        <v>3989</v>
      </c>
      <c r="D14" t="s">
        <v>187</v>
      </c>
      <c r="E14" t="s">
        <v>3455</v>
      </c>
      <c r="F14" t="s">
        <v>5156</v>
      </c>
      <c r="G14" t="s">
        <v>5170</v>
      </c>
      <c r="H14" t="s">
        <v>4011</v>
      </c>
      <c r="I14" t="s">
        <v>5174</v>
      </c>
      <c r="J14" t="s">
        <v>3455</v>
      </c>
      <c r="K14" t="s">
        <v>3455</v>
      </c>
    </row>
    <row r="15" spans="1:11" ht="15" customHeight="1" x14ac:dyDescent="0.25">
      <c r="A15" t="s">
        <v>5176</v>
      </c>
      <c r="B15" t="s">
        <v>5177</v>
      </c>
      <c r="C15" t="s">
        <v>3989</v>
      </c>
      <c r="D15" t="s">
        <v>187</v>
      </c>
      <c r="E15" t="s">
        <v>3455</v>
      </c>
      <c r="F15" t="s">
        <v>4294</v>
      </c>
      <c r="G15" t="s">
        <v>5173</v>
      </c>
      <c r="H15" t="s">
        <v>4011</v>
      </c>
      <c r="I15" t="s">
        <v>5178</v>
      </c>
      <c r="J15" t="s">
        <v>3455</v>
      </c>
      <c r="K15" t="s">
        <v>3455</v>
      </c>
    </row>
    <row r="16" spans="1:11" ht="15" customHeight="1" x14ac:dyDescent="0.25">
      <c r="A16" t="s">
        <v>5179</v>
      </c>
      <c r="B16" t="s">
        <v>5180</v>
      </c>
      <c r="C16" t="s">
        <v>3736</v>
      </c>
      <c r="D16" t="s">
        <v>3994</v>
      </c>
      <c r="E16" t="s">
        <v>3455</v>
      </c>
      <c r="F16" t="s">
        <v>4294</v>
      </c>
      <c r="G16" t="s">
        <v>39</v>
      </c>
      <c r="H16" t="s">
        <v>4028</v>
      </c>
      <c r="I16" t="s">
        <v>5181</v>
      </c>
      <c r="J16" t="s">
        <v>3455</v>
      </c>
      <c r="K16" t="s">
        <v>3455</v>
      </c>
    </row>
    <row r="17" spans="1:11" ht="15" customHeight="1" x14ac:dyDescent="0.25">
      <c r="A17" t="s">
        <v>3509</v>
      </c>
      <c r="B17" t="s">
        <v>5182</v>
      </c>
      <c r="C17" t="s">
        <v>3980</v>
      </c>
      <c r="D17" t="s">
        <v>187</v>
      </c>
      <c r="E17" t="s">
        <v>3455</v>
      </c>
      <c r="F17" t="s">
        <v>4294</v>
      </c>
      <c r="G17" t="s">
        <v>39</v>
      </c>
      <c r="H17" t="s">
        <v>4028</v>
      </c>
      <c r="I17" t="s">
        <v>3509</v>
      </c>
      <c r="J17" t="s">
        <v>3511</v>
      </c>
      <c r="K17" t="s">
        <v>3455</v>
      </c>
    </row>
    <row r="18" spans="1:11" ht="15" customHeight="1" x14ac:dyDescent="0.25">
      <c r="A18" t="s">
        <v>5183</v>
      </c>
      <c r="B18" t="s">
        <v>5184</v>
      </c>
      <c r="C18" t="s">
        <v>3980</v>
      </c>
      <c r="D18" t="s">
        <v>187</v>
      </c>
      <c r="E18" t="s">
        <v>3455</v>
      </c>
      <c r="F18" t="s">
        <v>5185</v>
      </c>
      <c r="G18" t="s">
        <v>39</v>
      </c>
      <c r="H18" t="s">
        <v>4028</v>
      </c>
      <c r="I18" t="s">
        <v>5183</v>
      </c>
      <c r="J18" t="s">
        <v>3499</v>
      </c>
      <c r="K18" t="s">
        <v>3455</v>
      </c>
    </row>
    <row r="19" spans="1:11" ht="15" customHeight="1" x14ac:dyDescent="0.25">
      <c r="A19" t="s">
        <v>5186</v>
      </c>
      <c r="B19" t="s">
        <v>5187</v>
      </c>
      <c r="C19" t="s">
        <v>3989</v>
      </c>
      <c r="D19" t="s">
        <v>187</v>
      </c>
      <c r="E19" t="s">
        <v>3455</v>
      </c>
      <c r="F19" t="s">
        <v>4294</v>
      </c>
      <c r="G19" t="s">
        <v>39</v>
      </c>
      <c r="H19" t="s">
        <v>4011</v>
      </c>
      <c r="I19" t="s">
        <v>5186</v>
      </c>
      <c r="J19" t="s">
        <v>3511</v>
      </c>
      <c r="K19" t="s">
        <v>3455</v>
      </c>
    </row>
    <row r="20" spans="1:11" ht="15" customHeight="1" x14ac:dyDescent="0.25">
      <c r="A20" t="s">
        <v>5188</v>
      </c>
      <c r="B20" t="s">
        <v>5189</v>
      </c>
      <c r="C20" t="s">
        <v>3980</v>
      </c>
      <c r="D20" t="s">
        <v>187</v>
      </c>
      <c r="E20" t="s">
        <v>3455</v>
      </c>
      <c r="F20" t="s">
        <v>5156</v>
      </c>
      <c r="G20" t="s">
        <v>5170</v>
      </c>
      <c r="H20" t="s">
        <v>4028</v>
      </c>
      <c r="I20" t="s">
        <v>5190</v>
      </c>
      <c r="J20" t="s">
        <v>3499</v>
      </c>
      <c r="K20" t="s">
        <v>3455</v>
      </c>
    </row>
    <row r="21" spans="1:11" ht="15" customHeight="1" x14ac:dyDescent="0.25">
      <c r="A21" t="s">
        <v>5191</v>
      </c>
      <c r="B21" t="s">
        <v>5192</v>
      </c>
      <c r="C21" t="s">
        <v>3989</v>
      </c>
      <c r="D21" t="s">
        <v>187</v>
      </c>
      <c r="E21" t="s">
        <v>3455</v>
      </c>
      <c r="F21" t="s">
        <v>5156</v>
      </c>
      <c r="G21" t="s">
        <v>39</v>
      </c>
      <c r="H21" t="s">
        <v>4011</v>
      </c>
      <c r="I21" t="s">
        <v>5191</v>
      </c>
      <c r="J21" t="s">
        <v>3499</v>
      </c>
      <c r="K21" t="s">
        <v>3455</v>
      </c>
    </row>
    <row r="22" spans="1:11" ht="15" customHeight="1" x14ac:dyDescent="0.25">
      <c r="A22" t="s">
        <v>5193</v>
      </c>
      <c r="B22" t="s">
        <v>5194</v>
      </c>
      <c r="C22" t="s">
        <v>3736</v>
      </c>
      <c r="D22" t="s">
        <v>187</v>
      </c>
      <c r="E22" t="s">
        <v>3455</v>
      </c>
      <c r="F22" t="s">
        <v>4294</v>
      </c>
      <c r="G22" t="s">
        <v>5170</v>
      </c>
      <c r="H22" t="s">
        <v>4028</v>
      </c>
      <c r="I22" t="s">
        <v>5193</v>
      </c>
      <c r="J22" t="s">
        <v>3455</v>
      </c>
      <c r="K22" t="s">
        <v>3455</v>
      </c>
    </row>
    <row r="23" spans="1:11" ht="15" customHeight="1" x14ac:dyDescent="0.25">
      <c r="A23" t="s">
        <v>5195</v>
      </c>
      <c r="B23" t="s">
        <v>5196</v>
      </c>
      <c r="C23" t="s">
        <v>3736</v>
      </c>
      <c r="D23" t="s">
        <v>187</v>
      </c>
      <c r="E23" t="s">
        <v>3455</v>
      </c>
      <c r="F23" t="s">
        <v>4294</v>
      </c>
      <c r="G23" t="s">
        <v>5170</v>
      </c>
      <c r="H23" t="s">
        <v>4028</v>
      </c>
      <c r="I23" t="s">
        <v>5195</v>
      </c>
      <c r="J23" t="s">
        <v>3455</v>
      </c>
      <c r="K23" t="s">
        <v>3455</v>
      </c>
    </row>
    <row r="24" spans="1:11" ht="15" customHeight="1" x14ac:dyDescent="0.25">
      <c r="A24" t="s">
        <v>5197</v>
      </c>
      <c r="B24" t="s">
        <v>5198</v>
      </c>
      <c r="C24" t="s">
        <v>3989</v>
      </c>
      <c r="D24" t="s">
        <v>187</v>
      </c>
      <c r="E24" t="s">
        <v>3455</v>
      </c>
      <c r="F24" t="s">
        <v>5156</v>
      </c>
      <c r="G24" t="s">
        <v>39</v>
      </c>
      <c r="H24" t="s">
        <v>4011</v>
      </c>
      <c r="I24" t="s">
        <v>5199</v>
      </c>
      <c r="J24" t="s">
        <v>3455</v>
      </c>
      <c r="K24" t="s">
        <v>3455</v>
      </c>
    </row>
    <row r="25" spans="1:11" ht="15" customHeight="1" x14ac:dyDescent="0.25">
      <c r="A25" t="s">
        <v>5200</v>
      </c>
      <c r="B25" t="s">
        <v>5201</v>
      </c>
      <c r="C25" t="s">
        <v>3989</v>
      </c>
      <c r="D25" t="s">
        <v>187</v>
      </c>
      <c r="E25" t="s">
        <v>3455</v>
      </c>
      <c r="F25" t="s">
        <v>5202</v>
      </c>
      <c r="G25" t="s">
        <v>5170</v>
      </c>
      <c r="H25" t="s">
        <v>4011</v>
      </c>
      <c r="I25" t="s">
        <v>5200</v>
      </c>
      <c r="J25" t="s">
        <v>3511</v>
      </c>
      <c r="K25" t="s">
        <v>3455</v>
      </c>
    </row>
    <row r="26" spans="1:11" ht="15" customHeight="1" x14ac:dyDescent="0.25">
      <c r="A26" t="s">
        <v>5203</v>
      </c>
      <c r="B26" t="s">
        <v>5204</v>
      </c>
      <c r="C26" t="s">
        <v>3736</v>
      </c>
      <c r="D26" t="s">
        <v>187</v>
      </c>
      <c r="E26" t="s">
        <v>3455</v>
      </c>
      <c r="F26" t="s">
        <v>4294</v>
      </c>
      <c r="G26" t="s">
        <v>5170</v>
      </c>
      <c r="H26" t="s">
        <v>4028</v>
      </c>
      <c r="I26" t="s">
        <v>5205</v>
      </c>
      <c r="J26" t="s">
        <v>3455</v>
      </c>
      <c r="K26" t="s">
        <v>3455</v>
      </c>
    </row>
    <row r="27" spans="1:11" ht="15" customHeight="1" x14ac:dyDescent="0.25">
      <c r="A27" t="s">
        <v>5206</v>
      </c>
      <c r="B27" t="s">
        <v>5207</v>
      </c>
      <c r="C27" t="s">
        <v>3736</v>
      </c>
      <c r="D27" t="s">
        <v>187</v>
      </c>
      <c r="E27" t="s">
        <v>3455</v>
      </c>
      <c r="F27" t="s">
        <v>4294</v>
      </c>
      <c r="G27" t="s">
        <v>5170</v>
      </c>
      <c r="H27" t="s">
        <v>4028</v>
      </c>
      <c r="I27" t="s">
        <v>5208</v>
      </c>
      <c r="J27" t="s">
        <v>3455</v>
      </c>
      <c r="K27" t="s">
        <v>3455</v>
      </c>
    </row>
    <row r="28" spans="1:11" ht="15" customHeight="1" x14ac:dyDescent="0.25">
      <c r="A28" t="s">
        <v>5209</v>
      </c>
      <c r="B28" t="s">
        <v>5210</v>
      </c>
      <c r="C28" t="s">
        <v>3980</v>
      </c>
      <c r="D28" t="s">
        <v>187</v>
      </c>
      <c r="E28" t="s">
        <v>3455</v>
      </c>
      <c r="F28" t="s">
        <v>5169</v>
      </c>
      <c r="G28" t="s">
        <v>39</v>
      </c>
      <c r="H28" t="s">
        <v>4028</v>
      </c>
      <c r="I28" t="s">
        <v>5211</v>
      </c>
      <c r="J28" t="s">
        <v>3511</v>
      </c>
      <c r="K28" t="s">
        <v>3455</v>
      </c>
    </row>
    <row r="29" spans="1:11" ht="15" customHeight="1" x14ac:dyDescent="0.25">
      <c r="A29" t="s">
        <v>5212</v>
      </c>
      <c r="B29" t="s">
        <v>5213</v>
      </c>
      <c r="C29" t="s">
        <v>3736</v>
      </c>
      <c r="D29" t="s">
        <v>3994</v>
      </c>
      <c r="E29" t="s">
        <v>3455</v>
      </c>
      <c r="F29" t="s">
        <v>5214</v>
      </c>
      <c r="G29" t="s">
        <v>5173</v>
      </c>
      <c r="H29" t="s">
        <v>4011</v>
      </c>
      <c r="I29" t="s">
        <v>5212</v>
      </c>
      <c r="J29" t="s">
        <v>3455</v>
      </c>
      <c r="K29" t="s">
        <v>3455</v>
      </c>
    </row>
    <row r="30" spans="1:11" ht="15" customHeight="1" x14ac:dyDescent="0.25">
      <c r="A30" t="s">
        <v>5215</v>
      </c>
      <c r="B30" t="s">
        <v>5216</v>
      </c>
      <c r="C30" t="s">
        <v>3736</v>
      </c>
      <c r="D30" t="s">
        <v>3994</v>
      </c>
      <c r="E30" t="s">
        <v>3455</v>
      </c>
      <c r="F30" t="s">
        <v>4294</v>
      </c>
      <c r="G30" t="s">
        <v>5173</v>
      </c>
      <c r="H30" t="s">
        <v>4039</v>
      </c>
      <c r="I30" t="s">
        <v>5215</v>
      </c>
      <c r="J30" t="s">
        <v>3455</v>
      </c>
      <c r="K30" t="s">
        <v>3455</v>
      </c>
    </row>
    <row r="31" spans="1:11" ht="15" customHeight="1" x14ac:dyDescent="0.25">
      <c r="A31" t="s">
        <v>5217</v>
      </c>
      <c r="B31" t="s">
        <v>5218</v>
      </c>
      <c r="C31" t="s">
        <v>3989</v>
      </c>
      <c r="D31" t="s">
        <v>187</v>
      </c>
      <c r="E31" t="s">
        <v>3455</v>
      </c>
      <c r="F31" t="s">
        <v>5156</v>
      </c>
      <c r="G31" t="s">
        <v>5170</v>
      </c>
      <c r="H31" t="s">
        <v>4011</v>
      </c>
      <c r="I31" t="s">
        <v>5217</v>
      </c>
      <c r="J31" t="s">
        <v>41</v>
      </c>
      <c r="K31" t="s">
        <v>3455</v>
      </c>
    </row>
    <row r="32" spans="1:11" ht="15" customHeight="1" x14ac:dyDescent="0.25">
      <c r="A32" t="s">
        <v>5219</v>
      </c>
      <c r="B32" t="s">
        <v>5220</v>
      </c>
      <c r="C32" t="s">
        <v>3980</v>
      </c>
      <c r="D32" t="s">
        <v>187</v>
      </c>
      <c r="E32" t="s">
        <v>3455</v>
      </c>
      <c r="F32" t="s">
        <v>5156</v>
      </c>
      <c r="G32" t="s">
        <v>39</v>
      </c>
      <c r="H32" t="s">
        <v>4028</v>
      </c>
      <c r="I32" t="s">
        <v>5219</v>
      </c>
      <c r="J32" t="s">
        <v>3499</v>
      </c>
      <c r="K32" t="s">
        <v>3455</v>
      </c>
    </row>
    <row r="33" spans="1:11" ht="15" customHeight="1" x14ac:dyDescent="0.25">
      <c r="A33" t="s">
        <v>5221</v>
      </c>
      <c r="B33" t="s">
        <v>5222</v>
      </c>
      <c r="C33" t="s">
        <v>3989</v>
      </c>
      <c r="D33" t="s">
        <v>187</v>
      </c>
      <c r="E33" t="s">
        <v>3455</v>
      </c>
      <c r="F33" t="s">
        <v>4294</v>
      </c>
      <c r="G33" t="s">
        <v>39</v>
      </c>
      <c r="H33" t="s">
        <v>4011</v>
      </c>
      <c r="I33" t="s">
        <v>5221</v>
      </c>
      <c r="J33" t="s">
        <v>3511</v>
      </c>
      <c r="K33" t="s">
        <v>3455</v>
      </c>
    </row>
    <row r="34" spans="1:11" ht="15" customHeight="1" x14ac:dyDescent="0.25">
      <c r="A34" t="s">
        <v>5223</v>
      </c>
      <c r="B34" t="s">
        <v>5224</v>
      </c>
      <c r="C34" t="s">
        <v>3736</v>
      </c>
      <c r="D34" t="s">
        <v>3994</v>
      </c>
      <c r="E34" t="s">
        <v>3455</v>
      </c>
      <c r="F34" t="s">
        <v>4294</v>
      </c>
      <c r="G34" t="s">
        <v>5173</v>
      </c>
      <c r="H34" t="s">
        <v>4028</v>
      </c>
      <c r="I34" t="s">
        <v>5225</v>
      </c>
      <c r="J34" t="s">
        <v>3455</v>
      </c>
      <c r="K34" t="s">
        <v>3455</v>
      </c>
    </row>
    <row r="35" spans="1:11" ht="15" customHeight="1" x14ac:dyDescent="0.25">
      <c r="A35" t="s">
        <v>5226</v>
      </c>
      <c r="B35" t="s">
        <v>5227</v>
      </c>
      <c r="C35" t="s">
        <v>3980</v>
      </c>
      <c r="D35" t="s">
        <v>5228</v>
      </c>
      <c r="E35" t="s">
        <v>3455</v>
      </c>
      <c r="F35" t="s">
        <v>5229</v>
      </c>
      <c r="G35" t="s">
        <v>5170</v>
      </c>
      <c r="H35" t="s">
        <v>4028</v>
      </c>
      <c r="I35" t="s">
        <v>5230</v>
      </c>
      <c r="J35" t="s">
        <v>41</v>
      </c>
      <c r="K35" t="s">
        <v>3455</v>
      </c>
    </row>
    <row r="36" spans="1:11" ht="15" customHeight="1" x14ac:dyDescent="0.25">
      <c r="A36" t="s">
        <v>5231</v>
      </c>
      <c r="B36" t="s">
        <v>5232</v>
      </c>
      <c r="C36" t="s">
        <v>3980</v>
      </c>
      <c r="D36" t="s">
        <v>5228</v>
      </c>
      <c r="E36" t="s">
        <v>3455</v>
      </c>
      <c r="F36" t="s">
        <v>5229</v>
      </c>
      <c r="G36" t="s">
        <v>5170</v>
      </c>
      <c r="H36" t="s">
        <v>4028</v>
      </c>
      <c r="I36" t="s">
        <v>5233</v>
      </c>
      <c r="J36" t="s">
        <v>3499</v>
      </c>
      <c r="K36" t="s">
        <v>3455</v>
      </c>
    </row>
    <row r="37" spans="1:11" ht="15" customHeight="1" x14ac:dyDescent="0.25">
      <c r="A37" t="s">
        <v>5234</v>
      </c>
      <c r="B37" t="s">
        <v>5235</v>
      </c>
      <c r="C37" t="s">
        <v>3980</v>
      </c>
      <c r="D37" t="s">
        <v>5228</v>
      </c>
      <c r="E37" t="s">
        <v>3455</v>
      </c>
      <c r="F37" t="s">
        <v>5229</v>
      </c>
      <c r="G37" t="s">
        <v>5170</v>
      </c>
      <c r="H37" t="s">
        <v>4028</v>
      </c>
      <c r="I37" t="s">
        <v>5236</v>
      </c>
      <c r="J37" t="s">
        <v>3499</v>
      </c>
      <c r="K37" t="s">
        <v>3455</v>
      </c>
    </row>
    <row r="38" spans="1:11" ht="15" customHeight="1" x14ac:dyDescent="0.25">
      <c r="A38" t="s">
        <v>5237</v>
      </c>
      <c r="B38" t="s">
        <v>5238</v>
      </c>
      <c r="C38" t="s">
        <v>3989</v>
      </c>
      <c r="D38" t="s">
        <v>3994</v>
      </c>
      <c r="E38" t="s">
        <v>3455</v>
      </c>
      <c r="F38" t="s">
        <v>5156</v>
      </c>
      <c r="G38" t="s">
        <v>5170</v>
      </c>
      <c r="H38" t="s">
        <v>4011</v>
      </c>
      <c r="I38" t="s">
        <v>5239</v>
      </c>
      <c r="J38" t="s">
        <v>3455</v>
      </c>
      <c r="K38" t="s">
        <v>3455</v>
      </c>
    </row>
    <row r="39" spans="1:11" ht="15" customHeight="1" x14ac:dyDescent="0.25">
      <c r="A39" t="s">
        <v>5240</v>
      </c>
      <c r="B39" t="s">
        <v>5241</v>
      </c>
      <c r="C39" t="s">
        <v>3989</v>
      </c>
      <c r="D39" t="s">
        <v>187</v>
      </c>
      <c r="E39" t="s">
        <v>3455</v>
      </c>
      <c r="F39" t="s">
        <v>5156</v>
      </c>
      <c r="G39" t="s">
        <v>39</v>
      </c>
      <c r="H39" t="s">
        <v>4011</v>
      </c>
      <c r="I39" t="s">
        <v>5240</v>
      </c>
      <c r="J39" t="s">
        <v>3455</v>
      </c>
      <c r="K39" t="s">
        <v>3455</v>
      </c>
    </row>
    <row r="40" spans="1:11" ht="15" customHeight="1" x14ac:dyDescent="0.25">
      <c r="A40" t="s">
        <v>5242</v>
      </c>
      <c r="B40" t="s">
        <v>5243</v>
      </c>
      <c r="C40" t="s">
        <v>3980</v>
      </c>
      <c r="D40" t="s">
        <v>187</v>
      </c>
      <c r="E40" t="s">
        <v>3455</v>
      </c>
      <c r="F40" t="s">
        <v>4294</v>
      </c>
      <c r="G40" t="s">
        <v>39</v>
      </c>
      <c r="H40" t="s">
        <v>4028</v>
      </c>
      <c r="I40" t="s">
        <v>5242</v>
      </c>
      <c r="J40" t="s">
        <v>3499</v>
      </c>
      <c r="K40" t="s">
        <v>3455</v>
      </c>
    </row>
    <row r="41" spans="1:11" ht="15" customHeight="1" x14ac:dyDescent="0.25">
      <c r="A41" t="s">
        <v>5244</v>
      </c>
      <c r="B41" t="s">
        <v>5245</v>
      </c>
      <c r="C41" t="s">
        <v>3736</v>
      </c>
      <c r="D41" t="s">
        <v>3994</v>
      </c>
      <c r="E41" t="s">
        <v>3455</v>
      </c>
      <c r="F41" t="s">
        <v>4294</v>
      </c>
      <c r="G41" t="s">
        <v>5173</v>
      </c>
      <c r="H41" t="s">
        <v>4039</v>
      </c>
      <c r="I41" t="s">
        <v>5246</v>
      </c>
      <c r="J41" t="s">
        <v>3455</v>
      </c>
      <c r="K41" t="s">
        <v>3455</v>
      </c>
    </row>
    <row r="42" spans="1:11" ht="15" customHeight="1" x14ac:dyDescent="0.25">
      <c r="A42" t="s">
        <v>5247</v>
      </c>
      <c r="B42" t="s">
        <v>5248</v>
      </c>
      <c r="C42" t="s">
        <v>3980</v>
      </c>
      <c r="D42" t="s">
        <v>187</v>
      </c>
      <c r="E42" t="s">
        <v>3455</v>
      </c>
      <c r="F42" t="s">
        <v>5249</v>
      </c>
      <c r="G42" t="s">
        <v>39</v>
      </c>
      <c r="H42" t="s">
        <v>4028</v>
      </c>
      <c r="I42" t="s">
        <v>5250</v>
      </c>
      <c r="J42" t="s">
        <v>3511</v>
      </c>
      <c r="K42" t="s">
        <v>3455</v>
      </c>
    </row>
    <row r="43" spans="1:11" ht="15" customHeight="1" x14ac:dyDescent="0.25">
      <c r="A43" t="s">
        <v>5251</v>
      </c>
      <c r="B43" t="s">
        <v>5252</v>
      </c>
      <c r="C43" t="s">
        <v>3989</v>
      </c>
      <c r="D43" t="s">
        <v>187</v>
      </c>
      <c r="E43" t="s">
        <v>3455</v>
      </c>
      <c r="F43" t="s">
        <v>5253</v>
      </c>
      <c r="G43" t="s">
        <v>39</v>
      </c>
      <c r="H43" t="s">
        <v>4011</v>
      </c>
      <c r="I43" t="s">
        <v>5251</v>
      </c>
      <c r="J43" t="s">
        <v>41</v>
      </c>
      <c r="K43" t="s">
        <v>3455</v>
      </c>
    </row>
    <row r="44" spans="1:11" ht="15" customHeight="1" x14ac:dyDescent="0.25">
      <c r="A44" t="s">
        <v>4594</v>
      </c>
      <c r="B44" t="s">
        <v>5254</v>
      </c>
      <c r="C44" t="s">
        <v>3980</v>
      </c>
      <c r="D44" t="s">
        <v>187</v>
      </c>
      <c r="E44" t="s">
        <v>3455</v>
      </c>
      <c r="F44" t="s">
        <v>4294</v>
      </c>
      <c r="G44" t="s">
        <v>39</v>
      </c>
      <c r="H44" t="s">
        <v>4028</v>
      </c>
      <c r="I44" t="s">
        <v>4594</v>
      </c>
      <c r="J44" t="s">
        <v>3511</v>
      </c>
      <c r="K44" t="s">
        <v>3455</v>
      </c>
    </row>
    <row r="45" spans="1:11" ht="15" customHeight="1" x14ac:dyDescent="0.25">
      <c r="A45" t="s">
        <v>5255</v>
      </c>
      <c r="B45" t="s">
        <v>5256</v>
      </c>
      <c r="C45" t="s">
        <v>3980</v>
      </c>
      <c r="D45" t="s">
        <v>187</v>
      </c>
      <c r="E45" t="s">
        <v>3455</v>
      </c>
      <c r="F45" t="s">
        <v>5156</v>
      </c>
      <c r="G45" t="s">
        <v>39</v>
      </c>
      <c r="H45" t="s">
        <v>4028</v>
      </c>
      <c r="I45" t="s">
        <v>5255</v>
      </c>
      <c r="J45" t="s">
        <v>3511</v>
      </c>
      <c r="K45" t="s">
        <v>3455</v>
      </c>
    </row>
    <row r="46" spans="1:11" ht="15" customHeight="1" x14ac:dyDescent="0.25">
      <c r="A46" t="s">
        <v>5257</v>
      </c>
      <c r="B46" t="s">
        <v>5258</v>
      </c>
      <c r="C46" t="s">
        <v>3736</v>
      </c>
      <c r="D46" t="s">
        <v>3994</v>
      </c>
      <c r="E46" t="s">
        <v>3455</v>
      </c>
      <c r="F46" t="s">
        <v>4294</v>
      </c>
      <c r="G46" t="s">
        <v>5173</v>
      </c>
      <c r="H46" t="s">
        <v>4039</v>
      </c>
      <c r="I46" t="s">
        <v>5257</v>
      </c>
      <c r="J46" t="s">
        <v>3455</v>
      </c>
      <c r="K46" t="s">
        <v>3455</v>
      </c>
    </row>
    <row r="47" spans="1:11" ht="15" customHeight="1" x14ac:dyDescent="0.25">
      <c r="A47" t="s">
        <v>5259</v>
      </c>
      <c r="B47" t="s">
        <v>5260</v>
      </c>
      <c r="C47" t="s">
        <v>3980</v>
      </c>
      <c r="D47" t="s">
        <v>187</v>
      </c>
      <c r="E47" t="s">
        <v>3455</v>
      </c>
      <c r="F47" t="s">
        <v>4294</v>
      </c>
      <c r="G47" t="s">
        <v>39</v>
      </c>
      <c r="H47" t="s">
        <v>4028</v>
      </c>
      <c r="I47" t="s">
        <v>5259</v>
      </c>
      <c r="J47" t="s">
        <v>3499</v>
      </c>
      <c r="K47" t="s">
        <v>3455</v>
      </c>
    </row>
    <row r="48" spans="1:11" ht="15" customHeight="1" x14ac:dyDescent="0.25">
      <c r="A48" t="s">
        <v>5261</v>
      </c>
      <c r="B48" t="s">
        <v>5262</v>
      </c>
      <c r="C48" t="s">
        <v>3989</v>
      </c>
      <c r="D48" t="s">
        <v>187</v>
      </c>
      <c r="E48" t="s">
        <v>3455</v>
      </c>
      <c r="F48" t="s">
        <v>5263</v>
      </c>
      <c r="G48" t="s">
        <v>39</v>
      </c>
      <c r="H48" t="s">
        <v>4011</v>
      </c>
      <c r="I48" t="s">
        <v>5261</v>
      </c>
      <c r="J48" t="s">
        <v>3455</v>
      </c>
      <c r="K48" t="s">
        <v>3455</v>
      </c>
    </row>
    <row r="49" spans="1:11" ht="15" customHeight="1" x14ac:dyDescent="0.25">
      <c r="A49" t="s">
        <v>5264</v>
      </c>
      <c r="B49" t="s">
        <v>5265</v>
      </c>
      <c r="C49" t="s">
        <v>3736</v>
      </c>
      <c r="D49" t="s">
        <v>3994</v>
      </c>
      <c r="E49" t="s">
        <v>3455</v>
      </c>
      <c r="F49" t="s">
        <v>4294</v>
      </c>
      <c r="G49" t="s">
        <v>5173</v>
      </c>
      <c r="H49" t="s">
        <v>4039</v>
      </c>
      <c r="I49" t="s">
        <v>5264</v>
      </c>
      <c r="J49" t="s">
        <v>3455</v>
      </c>
      <c r="K49" t="s">
        <v>3455</v>
      </c>
    </row>
    <row r="50" spans="1:11" ht="15" customHeight="1" x14ac:dyDescent="0.25">
      <c r="A50" t="s">
        <v>5266</v>
      </c>
      <c r="B50" t="s">
        <v>5267</v>
      </c>
      <c r="C50" t="s">
        <v>3980</v>
      </c>
      <c r="D50" t="s">
        <v>187</v>
      </c>
      <c r="E50" t="s">
        <v>3455</v>
      </c>
      <c r="F50" t="s">
        <v>5229</v>
      </c>
      <c r="G50" t="s">
        <v>39</v>
      </c>
      <c r="H50" t="s">
        <v>4028</v>
      </c>
      <c r="I50" t="s">
        <v>5266</v>
      </c>
      <c r="J50" t="s">
        <v>3455</v>
      </c>
      <c r="K50" t="s">
        <v>3455</v>
      </c>
    </row>
    <row r="51" spans="1:11" ht="15" customHeight="1" x14ac:dyDescent="0.25">
      <c r="A51" t="s">
        <v>5268</v>
      </c>
      <c r="B51" t="s">
        <v>5269</v>
      </c>
      <c r="C51" t="s">
        <v>3989</v>
      </c>
      <c r="D51" t="s">
        <v>3994</v>
      </c>
      <c r="E51" t="s">
        <v>3455</v>
      </c>
      <c r="F51" t="s">
        <v>4294</v>
      </c>
      <c r="G51" t="s">
        <v>39</v>
      </c>
      <c r="H51" t="s">
        <v>4011</v>
      </c>
      <c r="I51" t="s">
        <v>5268</v>
      </c>
      <c r="J51" t="s">
        <v>3455</v>
      </c>
      <c r="K51" t="s">
        <v>3455</v>
      </c>
    </row>
    <row r="52" spans="1:11" ht="15" customHeight="1" x14ac:dyDescent="0.25">
      <c r="A52" t="s">
        <v>5270</v>
      </c>
      <c r="B52" t="s">
        <v>5271</v>
      </c>
      <c r="C52" t="s">
        <v>3989</v>
      </c>
      <c r="D52" t="s">
        <v>3994</v>
      </c>
      <c r="E52" t="s">
        <v>3455</v>
      </c>
      <c r="F52" t="s">
        <v>4294</v>
      </c>
      <c r="G52" t="s">
        <v>39</v>
      </c>
      <c r="H52" t="s">
        <v>4011</v>
      </c>
      <c r="I52" t="s">
        <v>5272</v>
      </c>
      <c r="J52" t="s">
        <v>3499</v>
      </c>
      <c r="K52" t="s">
        <v>3455</v>
      </c>
    </row>
    <row r="53" spans="1:11" ht="15" customHeight="1" x14ac:dyDescent="0.25">
      <c r="A53" t="s">
        <v>5273</v>
      </c>
      <c r="B53" t="s">
        <v>5274</v>
      </c>
      <c r="C53" t="s">
        <v>3736</v>
      </c>
      <c r="D53" t="s">
        <v>3994</v>
      </c>
      <c r="E53" t="s">
        <v>3455</v>
      </c>
      <c r="F53" t="s">
        <v>4294</v>
      </c>
      <c r="G53" t="s">
        <v>5173</v>
      </c>
      <c r="H53" t="s">
        <v>4028</v>
      </c>
      <c r="I53" t="s">
        <v>5273</v>
      </c>
      <c r="J53" t="s">
        <v>3455</v>
      </c>
      <c r="K53" t="s">
        <v>3455</v>
      </c>
    </row>
    <row r="54" spans="1:11" ht="15" customHeight="1" x14ac:dyDescent="0.25">
      <c r="A54" t="s">
        <v>5275</v>
      </c>
      <c r="B54" t="s">
        <v>5276</v>
      </c>
      <c r="C54" t="s">
        <v>3736</v>
      </c>
      <c r="D54" t="s">
        <v>3994</v>
      </c>
      <c r="E54" t="s">
        <v>3455</v>
      </c>
      <c r="F54" t="s">
        <v>4294</v>
      </c>
      <c r="G54" t="s">
        <v>5173</v>
      </c>
      <c r="H54" t="s">
        <v>4011</v>
      </c>
      <c r="I54" t="s">
        <v>5277</v>
      </c>
      <c r="J54" t="s">
        <v>3455</v>
      </c>
      <c r="K54" t="s">
        <v>3455</v>
      </c>
    </row>
    <row r="55" spans="1:11" ht="15" customHeight="1" x14ac:dyDescent="0.25">
      <c r="A55" t="s">
        <v>5277</v>
      </c>
      <c r="B55" t="s">
        <v>5278</v>
      </c>
      <c r="C55" t="s">
        <v>3989</v>
      </c>
      <c r="D55" t="s">
        <v>3994</v>
      </c>
      <c r="E55">
        <v>1</v>
      </c>
      <c r="F55" t="s">
        <v>5156</v>
      </c>
      <c r="G55" t="s">
        <v>5173</v>
      </c>
      <c r="H55" t="s">
        <v>4011</v>
      </c>
      <c r="I55" t="s">
        <v>5277</v>
      </c>
      <c r="J55" t="s">
        <v>3455</v>
      </c>
      <c r="K55" t="s">
        <v>3455</v>
      </c>
    </row>
    <row r="56" spans="1:11" ht="15" customHeight="1" x14ac:dyDescent="0.25">
      <c r="A56" t="s">
        <v>5279</v>
      </c>
      <c r="B56" t="s">
        <v>5280</v>
      </c>
      <c r="C56" t="s">
        <v>3980</v>
      </c>
      <c r="D56" t="s">
        <v>187</v>
      </c>
      <c r="E56" t="s">
        <v>3455</v>
      </c>
      <c r="F56" t="s">
        <v>4294</v>
      </c>
      <c r="G56" t="s">
        <v>39</v>
      </c>
      <c r="H56" t="s">
        <v>4028</v>
      </c>
      <c r="I56" t="s">
        <v>5279</v>
      </c>
      <c r="J56" t="s">
        <v>3511</v>
      </c>
      <c r="K56" t="s">
        <v>3455</v>
      </c>
    </row>
    <row r="57" spans="1:11" ht="15" customHeight="1" x14ac:dyDescent="0.25">
      <c r="A57" t="s">
        <v>5281</v>
      </c>
      <c r="B57" t="s">
        <v>5282</v>
      </c>
      <c r="C57" t="s">
        <v>5283</v>
      </c>
      <c r="D57" t="s">
        <v>3994</v>
      </c>
      <c r="E57" t="s">
        <v>3455</v>
      </c>
      <c r="F57" t="s">
        <v>4294</v>
      </c>
      <c r="G57" t="s">
        <v>5173</v>
      </c>
      <c r="H57" t="s">
        <v>4039</v>
      </c>
      <c r="I57" t="s">
        <v>5281</v>
      </c>
      <c r="J57" t="s">
        <v>3455</v>
      </c>
      <c r="K57" t="s">
        <v>3455</v>
      </c>
    </row>
    <row r="58" spans="1:11" ht="15" customHeight="1" x14ac:dyDescent="0.25">
      <c r="A58" t="s">
        <v>5284</v>
      </c>
      <c r="B58" t="s">
        <v>5285</v>
      </c>
      <c r="C58" t="s">
        <v>3989</v>
      </c>
      <c r="D58" t="s">
        <v>187</v>
      </c>
      <c r="E58" t="s">
        <v>3455</v>
      </c>
      <c r="F58" t="s">
        <v>5156</v>
      </c>
      <c r="G58" t="s">
        <v>39</v>
      </c>
      <c r="H58" t="s">
        <v>4011</v>
      </c>
      <c r="I58" t="s">
        <v>5284</v>
      </c>
      <c r="J58" t="s">
        <v>41</v>
      </c>
      <c r="K58" t="s">
        <v>3455</v>
      </c>
    </row>
    <row r="59" spans="1:11" ht="15" customHeight="1" x14ac:dyDescent="0.25">
      <c r="A59" t="s">
        <v>5286</v>
      </c>
      <c r="B59" t="s">
        <v>5287</v>
      </c>
      <c r="C59" t="s">
        <v>3989</v>
      </c>
      <c r="D59" t="s">
        <v>187</v>
      </c>
      <c r="E59" t="s">
        <v>3455</v>
      </c>
      <c r="F59" t="s">
        <v>5156</v>
      </c>
      <c r="G59" t="s">
        <v>39</v>
      </c>
      <c r="H59" t="s">
        <v>4011</v>
      </c>
      <c r="I59" t="s">
        <v>5286</v>
      </c>
      <c r="J59" t="s">
        <v>41</v>
      </c>
      <c r="K59" t="s">
        <v>3455</v>
      </c>
    </row>
    <row r="60" spans="1:11" ht="15" customHeight="1" x14ac:dyDescent="0.25">
      <c r="A60" t="s">
        <v>5288</v>
      </c>
      <c r="B60" t="s">
        <v>5289</v>
      </c>
      <c r="C60" t="s">
        <v>3736</v>
      </c>
      <c r="D60" t="s">
        <v>187</v>
      </c>
      <c r="E60" t="s">
        <v>3455</v>
      </c>
      <c r="F60" t="s">
        <v>5169</v>
      </c>
      <c r="G60" t="s">
        <v>5170</v>
      </c>
      <c r="H60" t="s">
        <v>4028</v>
      </c>
      <c r="I60" t="s">
        <v>5290</v>
      </c>
      <c r="J60" t="s">
        <v>3455</v>
      </c>
      <c r="K60" t="s">
        <v>3455</v>
      </c>
    </row>
    <row r="61" spans="1:11" ht="15" customHeight="1" x14ac:dyDescent="0.25">
      <c r="A61" t="s">
        <v>5291</v>
      </c>
      <c r="B61" t="s">
        <v>5292</v>
      </c>
      <c r="C61" t="s">
        <v>3736</v>
      </c>
      <c r="D61" t="s">
        <v>187</v>
      </c>
      <c r="E61" t="s">
        <v>3455</v>
      </c>
      <c r="F61" t="s">
        <v>5156</v>
      </c>
      <c r="G61" t="s">
        <v>39</v>
      </c>
      <c r="H61" t="s">
        <v>4039</v>
      </c>
      <c r="I61" t="s">
        <v>5291</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3978</v>
      </c>
      <c r="F1" t="s">
        <v>5142</v>
      </c>
      <c r="G1" t="s">
        <v>4256</v>
      </c>
      <c r="H1" t="s">
        <v>5143</v>
      </c>
      <c r="I1" t="s">
        <v>4006</v>
      </c>
      <c r="J1" t="s">
        <v>5293</v>
      </c>
      <c r="K1" t="s">
        <v>6</v>
      </c>
      <c r="L1" t="s">
        <v>5294</v>
      </c>
      <c r="M1" t="s">
        <v>5295</v>
      </c>
    </row>
    <row r="2" spans="1:13" ht="15" customHeight="1" x14ac:dyDescent="0.25">
      <c r="A2" t="s">
        <v>5145</v>
      </c>
      <c r="B2" t="s">
        <v>5146</v>
      </c>
      <c r="C2" t="s">
        <v>5296</v>
      </c>
      <c r="D2" t="s">
        <v>3980</v>
      </c>
      <c r="E2" t="s">
        <v>187</v>
      </c>
      <c r="F2" t="s">
        <v>3455</v>
      </c>
      <c r="G2" t="s">
        <v>4294</v>
      </c>
      <c r="H2" t="s">
        <v>39</v>
      </c>
      <c r="I2" t="s">
        <v>4028</v>
      </c>
      <c r="J2" t="s">
        <v>5145</v>
      </c>
      <c r="K2" t="s">
        <v>3511</v>
      </c>
      <c r="L2" t="s">
        <v>187</v>
      </c>
      <c r="M2" t="s">
        <v>3455</v>
      </c>
    </row>
    <row r="3" spans="1:13" ht="15" customHeight="1" x14ac:dyDescent="0.25">
      <c r="A3" t="s">
        <v>5148</v>
      </c>
      <c r="B3" t="s">
        <v>5297</v>
      </c>
      <c r="C3" t="s">
        <v>5298</v>
      </c>
      <c r="D3" t="s">
        <v>3989</v>
      </c>
      <c r="E3" t="s">
        <v>187</v>
      </c>
      <c r="F3" t="s">
        <v>3455</v>
      </c>
      <c r="G3" t="s">
        <v>5299</v>
      </c>
      <c r="H3" t="s">
        <v>39</v>
      </c>
      <c r="I3" t="s">
        <v>4011</v>
      </c>
      <c r="J3" t="s">
        <v>5148</v>
      </c>
      <c r="K3" t="s">
        <v>3511</v>
      </c>
      <c r="L3" t="s">
        <v>3994</v>
      </c>
      <c r="M3" t="s">
        <v>5300</v>
      </c>
    </row>
    <row r="4" spans="1:13" ht="15" customHeight="1" x14ac:dyDescent="0.25">
      <c r="A4" t="s">
        <v>5151</v>
      </c>
      <c r="B4" t="s">
        <v>5301</v>
      </c>
      <c r="C4" t="s">
        <v>5302</v>
      </c>
      <c r="D4" t="s">
        <v>3980</v>
      </c>
      <c r="E4" t="s">
        <v>187</v>
      </c>
      <c r="F4" t="s">
        <v>3455</v>
      </c>
      <c r="G4" t="s">
        <v>4294</v>
      </c>
      <c r="H4" t="s">
        <v>39</v>
      </c>
      <c r="I4" t="s">
        <v>4028</v>
      </c>
      <c r="J4" t="s">
        <v>5153</v>
      </c>
      <c r="K4" t="s">
        <v>3499</v>
      </c>
      <c r="L4" t="s">
        <v>187</v>
      </c>
      <c r="M4" t="s">
        <v>3455</v>
      </c>
    </row>
    <row r="5" spans="1:13" ht="15" customHeight="1" x14ac:dyDescent="0.25">
      <c r="A5" s="4" t="s">
        <v>5154</v>
      </c>
      <c r="B5" s="4" t="s">
        <v>5303</v>
      </c>
      <c r="C5" s="4" t="s">
        <v>5304</v>
      </c>
      <c r="D5" s="4" t="s">
        <v>3989</v>
      </c>
      <c r="E5" s="4" t="s">
        <v>187</v>
      </c>
      <c r="F5" s="4" t="s">
        <v>3455</v>
      </c>
      <c r="G5" s="4" t="s">
        <v>5156</v>
      </c>
      <c r="H5" s="4" t="s">
        <v>39</v>
      </c>
      <c r="I5" s="4" t="s">
        <v>4011</v>
      </c>
      <c r="J5" s="4" t="s">
        <v>5154</v>
      </c>
      <c r="K5" s="4" t="s">
        <v>41</v>
      </c>
      <c r="L5" t="s">
        <v>187</v>
      </c>
      <c r="M5" t="s">
        <v>3455</v>
      </c>
    </row>
    <row r="6" spans="1:13" ht="15" customHeight="1" x14ac:dyDescent="0.25">
      <c r="A6" t="s">
        <v>5161</v>
      </c>
      <c r="B6" t="s">
        <v>5305</v>
      </c>
      <c r="C6" t="s">
        <v>5306</v>
      </c>
      <c r="D6" t="s">
        <v>3989</v>
      </c>
      <c r="E6" t="s">
        <v>187</v>
      </c>
      <c r="F6" t="s">
        <v>3455</v>
      </c>
      <c r="G6" t="s">
        <v>4294</v>
      </c>
      <c r="H6" t="s">
        <v>39</v>
      </c>
      <c r="I6" t="s">
        <v>4011</v>
      </c>
      <c r="J6" t="s">
        <v>5161</v>
      </c>
      <c r="K6" t="s">
        <v>41</v>
      </c>
      <c r="L6" t="s">
        <v>187</v>
      </c>
      <c r="M6" t="s">
        <v>3455</v>
      </c>
    </row>
    <row r="7" spans="1:13" ht="15" customHeight="1" x14ac:dyDescent="0.25">
      <c r="A7" s="5" t="s">
        <v>5163</v>
      </c>
      <c r="B7" s="6" t="s">
        <v>5164</v>
      </c>
      <c r="C7" s="6" t="s">
        <v>5307</v>
      </c>
      <c r="D7" s="6" t="s">
        <v>3980</v>
      </c>
      <c r="E7" s="6" t="s">
        <v>187</v>
      </c>
      <c r="F7" s="6" t="s">
        <v>3455</v>
      </c>
      <c r="G7" s="7" t="s">
        <v>5185</v>
      </c>
      <c r="H7" s="6" t="s">
        <v>39</v>
      </c>
      <c r="I7" s="6" t="s">
        <v>4028</v>
      </c>
      <c r="J7" s="6" t="s">
        <v>5163</v>
      </c>
      <c r="K7" s="6" t="s">
        <v>3499</v>
      </c>
      <c r="L7" t="s">
        <v>187</v>
      </c>
      <c r="M7" t="s">
        <v>3455</v>
      </c>
    </row>
    <row r="8" spans="1:13" ht="15" customHeight="1" x14ac:dyDescent="0.25">
      <c r="A8" t="s">
        <v>3999</v>
      </c>
      <c r="B8" t="s">
        <v>5166</v>
      </c>
      <c r="C8" t="s">
        <v>5308</v>
      </c>
      <c r="D8" t="s">
        <v>3989</v>
      </c>
      <c r="E8" t="s">
        <v>187</v>
      </c>
      <c r="F8" t="s">
        <v>3455</v>
      </c>
      <c r="G8" t="s">
        <v>5156</v>
      </c>
      <c r="H8" t="s">
        <v>39</v>
      </c>
      <c r="I8" t="s">
        <v>4011</v>
      </c>
      <c r="J8" t="s">
        <v>3999</v>
      </c>
      <c r="K8" t="s">
        <v>41</v>
      </c>
      <c r="L8" t="s">
        <v>187</v>
      </c>
      <c r="M8" t="s">
        <v>3455</v>
      </c>
    </row>
    <row r="9" spans="1:13" ht="15" customHeight="1" x14ac:dyDescent="0.25">
      <c r="A9" t="s">
        <v>5174</v>
      </c>
      <c r="B9" s="8" t="s">
        <v>5309</v>
      </c>
      <c r="C9" s="8" t="s">
        <v>5310</v>
      </c>
      <c r="D9" t="s">
        <v>3989</v>
      </c>
      <c r="E9" t="s">
        <v>187</v>
      </c>
      <c r="F9" t="s">
        <v>3455</v>
      </c>
      <c r="G9" t="s">
        <v>5156</v>
      </c>
      <c r="H9" t="s">
        <v>5170</v>
      </c>
      <c r="I9" t="s">
        <v>4011</v>
      </c>
      <c r="J9" t="s">
        <v>5174</v>
      </c>
      <c r="K9" t="s">
        <v>3455</v>
      </c>
      <c r="L9" t="s">
        <v>187</v>
      </c>
      <c r="M9" t="s">
        <v>3455</v>
      </c>
    </row>
    <row r="10" spans="1:13" ht="15" customHeight="1" x14ac:dyDescent="0.25">
      <c r="A10" t="s">
        <v>5311</v>
      </c>
      <c r="B10" t="s">
        <v>5312</v>
      </c>
      <c r="C10" t="s">
        <v>5313</v>
      </c>
      <c r="D10" t="s">
        <v>3980</v>
      </c>
      <c r="E10" t="s">
        <v>187</v>
      </c>
      <c r="F10" t="s">
        <v>3455</v>
      </c>
      <c r="G10" t="s">
        <v>4294</v>
      </c>
      <c r="H10" t="s">
        <v>39</v>
      </c>
      <c r="I10" t="s">
        <v>4028</v>
      </c>
      <c r="J10" t="s">
        <v>5314</v>
      </c>
      <c r="K10" t="s">
        <v>41</v>
      </c>
      <c r="L10" t="s">
        <v>187</v>
      </c>
      <c r="M10" t="s">
        <v>3455</v>
      </c>
    </row>
    <row r="11" spans="1:13" ht="15" customHeight="1" x14ac:dyDescent="0.25">
      <c r="A11" t="s">
        <v>5179</v>
      </c>
      <c r="B11" s="8" t="s">
        <v>5315</v>
      </c>
      <c r="C11" s="8" t="s">
        <v>5316</v>
      </c>
      <c r="D11" t="s">
        <v>3736</v>
      </c>
      <c r="E11" t="s">
        <v>3994</v>
      </c>
      <c r="F11" t="s">
        <v>3455</v>
      </c>
      <c r="G11" t="s">
        <v>4294</v>
      </c>
      <c r="H11" t="s">
        <v>39</v>
      </c>
      <c r="I11" t="s">
        <v>4028</v>
      </c>
      <c r="J11" t="s">
        <v>5181</v>
      </c>
      <c r="K11" t="s">
        <v>3455</v>
      </c>
      <c r="L11" t="s">
        <v>187</v>
      </c>
      <c r="M11" t="s">
        <v>3455</v>
      </c>
    </row>
    <row r="12" spans="1:13" ht="15" customHeight="1" x14ac:dyDescent="0.25">
      <c r="A12" t="s">
        <v>3509</v>
      </c>
      <c r="B12" t="s">
        <v>5182</v>
      </c>
      <c r="C12" t="s">
        <v>5317</v>
      </c>
      <c r="D12" t="s">
        <v>3980</v>
      </c>
      <c r="E12" t="s">
        <v>187</v>
      </c>
      <c r="F12" t="s">
        <v>3455</v>
      </c>
      <c r="G12" t="s">
        <v>4294</v>
      </c>
      <c r="H12" t="s">
        <v>39</v>
      </c>
      <c r="I12" t="s">
        <v>4028</v>
      </c>
      <c r="J12" t="s">
        <v>3509</v>
      </c>
      <c r="K12" t="s">
        <v>3511</v>
      </c>
      <c r="L12" t="s">
        <v>187</v>
      </c>
      <c r="M12" t="s">
        <v>3455</v>
      </c>
    </row>
    <row r="13" spans="1:13" ht="15" customHeight="1" x14ac:dyDescent="0.25">
      <c r="A13" t="s">
        <v>5183</v>
      </c>
      <c r="B13" t="s">
        <v>5184</v>
      </c>
      <c r="C13" t="s">
        <v>5307</v>
      </c>
      <c r="D13" t="s">
        <v>3980</v>
      </c>
      <c r="E13" t="s">
        <v>187</v>
      </c>
      <c r="F13" t="s">
        <v>3455</v>
      </c>
      <c r="G13" t="s">
        <v>5165</v>
      </c>
      <c r="H13" t="s">
        <v>39</v>
      </c>
      <c r="I13" t="s">
        <v>4028</v>
      </c>
      <c r="J13" t="s">
        <v>5183</v>
      </c>
      <c r="K13" t="s">
        <v>3499</v>
      </c>
      <c r="L13" t="s">
        <v>187</v>
      </c>
      <c r="M13" t="s">
        <v>3455</v>
      </c>
    </row>
    <row r="14" spans="1:13" ht="15" customHeight="1" x14ac:dyDescent="0.25">
      <c r="A14" t="s">
        <v>5199</v>
      </c>
      <c r="B14" s="8" t="s">
        <v>5198</v>
      </c>
      <c r="C14" s="8" t="s">
        <v>5318</v>
      </c>
      <c r="D14" t="s">
        <v>3989</v>
      </c>
      <c r="E14" t="s">
        <v>187</v>
      </c>
      <c r="F14" t="s">
        <v>3455</v>
      </c>
      <c r="G14" t="s">
        <v>5156</v>
      </c>
      <c r="H14" t="s">
        <v>39</v>
      </c>
      <c r="I14" t="s">
        <v>4011</v>
      </c>
      <c r="J14" t="s">
        <v>5199</v>
      </c>
      <c r="K14" t="s">
        <v>3455</v>
      </c>
      <c r="L14" t="s">
        <v>187</v>
      </c>
      <c r="M14" t="s">
        <v>3455</v>
      </c>
    </row>
    <row r="15" spans="1:13" ht="15" customHeight="1" x14ac:dyDescent="0.25">
      <c r="A15" t="s">
        <v>5200</v>
      </c>
      <c r="B15" t="s">
        <v>5201</v>
      </c>
      <c r="C15" t="s">
        <v>3455</v>
      </c>
      <c r="D15" t="s">
        <v>3989</v>
      </c>
      <c r="E15" t="s">
        <v>187</v>
      </c>
      <c r="F15" t="s">
        <v>3455</v>
      </c>
      <c r="G15" t="s">
        <v>5202</v>
      </c>
      <c r="H15" t="s">
        <v>5170</v>
      </c>
      <c r="I15" t="s">
        <v>4011</v>
      </c>
      <c r="J15" t="s">
        <v>5200</v>
      </c>
      <c r="K15" t="s">
        <v>3511</v>
      </c>
      <c r="L15" t="s">
        <v>3994</v>
      </c>
      <c r="M15" t="s">
        <v>5319</v>
      </c>
    </row>
    <row r="16" spans="1:13" ht="15" customHeight="1" x14ac:dyDescent="0.25">
      <c r="A16" t="s">
        <v>5217</v>
      </c>
      <c r="B16" t="s">
        <v>5218</v>
      </c>
      <c r="C16" t="s">
        <v>5320</v>
      </c>
      <c r="D16" t="s">
        <v>3989</v>
      </c>
      <c r="E16" t="s">
        <v>187</v>
      </c>
      <c r="F16" t="s">
        <v>3455</v>
      </c>
      <c r="G16" t="s">
        <v>5156</v>
      </c>
      <c r="H16" t="s">
        <v>39</v>
      </c>
      <c r="I16" t="s">
        <v>4011</v>
      </c>
      <c r="J16" t="s">
        <v>5217</v>
      </c>
      <c r="K16" t="s">
        <v>41</v>
      </c>
      <c r="L16" t="s">
        <v>187</v>
      </c>
      <c r="M16" t="s">
        <v>3455</v>
      </c>
    </row>
    <row r="17" spans="1:13" ht="15" customHeight="1" x14ac:dyDescent="0.25">
      <c r="A17" t="s">
        <v>5242</v>
      </c>
      <c r="B17" t="s">
        <v>5243</v>
      </c>
      <c r="C17" t="s">
        <v>5321</v>
      </c>
      <c r="D17" t="s">
        <v>3980</v>
      </c>
      <c r="E17" t="s">
        <v>187</v>
      </c>
      <c r="F17" t="s">
        <v>3455</v>
      </c>
      <c r="G17" t="s">
        <v>4294</v>
      </c>
      <c r="H17" t="s">
        <v>39</v>
      </c>
      <c r="I17" t="s">
        <v>4028</v>
      </c>
      <c r="J17" t="s">
        <v>5242</v>
      </c>
      <c r="K17" t="s">
        <v>3499</v>
      </c>
      <c r="L17" t="s">
        <v>187</v>
      </c>
      <c r="M17" t="s">
        <v>3455</v>
      </c>
    </row>
    <row r="18" spans="1:13" ht="15" customHeight="1" x14ac:dyDescent="0.25">
      <c r="A18" t="s">
        <v>5247</v>
      </c>
      <c r="B18" t="s">
        <v>5248</v>
      </c>
      <c r="C18" t="s">
        <v>5322</v>
      </c>
      <c r="D18" t="s">
        <v>3980</v>
      </c>
      <c r="E18" t="s">
        <v>187</v>
      </c>
      <c r="F18" t="s">
        <v>3455</v>
      </c>
      <c r="G18" s="2" t="s">
        <v>5249</v>
      </c>
      <c r="H18" t="s">
        <v>39</v>
      </c>
      <c r="I18" t="s">
        <v>4028</v>
      </c>
      <c r="J18" t="s">
        <v>5250</v>
      </c>
      <c r="K18" t="s">
        <v>3511</v>
      </c>
      <c r="L18" t="s">
        <v>3455</v>
      </c>
      <c r="M18" t="s">
        <v>3455</v>
      </c>
    </row>
    <row r="19" spans="1:13" ht="15" customHeight="1" x14ac:dyDescent="0.25">
      <c r="A19" t="s">
        <v>5251</v>
      </c>
      <c r="B19" t="s">
        <v>5252</v>
      </c>
      <c r="C19" t="s">
        <v>5323</v>
      </c>
      <c r="D19" t="s">
        <v>3989</v>
      </c>
      <c r="E19" t="s">
        <v>187</v>
      </c>
      <c r="F19" t="s">
        <v>3455</v>
      </c>
      <c r="G19" t="s">
        <v>5253</v>
      </c>
      <c r="H19" t="s">
        <v>39</v>
      </c>
      <c r="I19" t="s">
        <v>4011</v>
      </c>
      <c r="J19" t="s">
        <v>5251</v>
      </c>
      <c r="K19" t="s">
        <v>41</v>
      </c>
      <c r="L19" t="s">
        <v>187</v>
      </c>
      <c r="M19" t="s">
        <v>3455</v>
      </c>
    </row>
    <row r="20" spans="1:13" ht="15" customHeight="1" x14ac:dyDescent="0.25">
      <c r="A20" t="s">
        <v>4594</v>
      </c>
      <c r="B20" t="s">
        <v>5254</v>
      </c>
      <c r="C20" t="s">
        <v>5324</v>
      </c>
      <c r="D20" t="s">
        <v>3980</v>
      </c>
      <c r="E20" t="s">
        <v>187</v>
      </c>
      <c r="F20" t="s">
        <v>3455</v>
      </c>
      <c r="G20" t="s">
        <v>4294</v>
      </c>
      <c r="H20" t="s">
        <v>39</v>
      </c>
      <c r="I20" t="s">
        <v>4028</v>
      </c>
      <c r="J20" t="s">
        <v>4594</v>
      </c>
      <c r="K20" t="s">
        <v>3511</v>
      </c>
      <c r="L20" t="s">
        <v>187</v>
      </c>
      <c r="M20" t="s">
        <v>3455</v>
      </c>
    </row>
    <row r="21" spans="1:13" ht="15" customHeight="1" x14ac:dyDescent="0.25">
      <c r="A21" t="s">
        <v>5255</v>
      </c>
      <c r="B21" t="s">
        <v>5256</v>
      </c>
      <c r="C21" t="s">
        <v>5325</v>
      </c>
      <c r="D21" t="s">
        <v>3980</v>
      </c>
      <c r="E21" t="s">
        <v>187</v>
      </c>
      <c r="F21" t="s">
        <v>3455</v>
      </c>
      <c r="G21" t="s">
        <v>5156</v>
      </c>
      <c r="H21" t="s">
        <v>39</v>
      </c>
      <c r="I21" t="s">
        <v>4028</v>
      </c>
      <c r="J21" t="s">
        <v>5255</v>
      </c>
      <c r="K21" t="s">
        <v>3511</v>
      </c>
      <c r="L21" t="s">
        <v>187</v>
      </c>
      <c r="M21" t="s">
        <v>3455</v>
      </c>
    </row>
    <row r="22" spans="1:13" ht="15" customHeight="1" x14ac:dyDescent="0.25">
      <c r="A22" t="s">
        <v>5259</v>
      </c>
      <c r="B22" s="8" t="s">
        <v>5260</v>
      </c>
      <c r="C22" s="8" t="s">
        <v>5326</v>
      </c>
      <c r="D22" t="s">
        <v>3980</v>
      </c>
      <c r="E22" t="s">
        <v>187</v>
      </c>
      <c r="F22" t="s">
        <v>3455</v>
      </c>
      <c r="G22" t="s">
        <v>4294</v>
      </c>
      <c r="H22" t="s">
        <v>39</v>
      </c>
      <c r="I22" t="s">
        <v>4028</v>
      </c>
      <c r="J22" t="s">
        <v>5259</v>
      </c>
      <c r="K22" t="s">
        <v>3499</v>
      </c>
      <c r="L22" t="s">
        <v>187</v>
      </c>
      <c r="M22" t="s">
        <v>3455</v>
      </c>
    </row>
    <row r="23" spans="1:13" ht="15" customHeight="1" x14ac:dyDescent="0.25">
      <c r="A23" t="s">
        <v>5266</v>
      </c>
      <c r="B23" s="8" t="s">
        <v>5327</v>
      </c>
      <c r="C23" s="8" t="s">
        <v>5328</v>
      </c>
      <c r="D23" t="s">
        <v>3980</v>
      </c>
      <c r="E23" t="s">
        <v>187</v>
      </c>
      <c r="F23" t="s">
        <v>3455</v>
      </c>
      <c r="G23" t="s">
        <v>5229</v>
      </c>
      <c r="H23" t="s">
        <v>39</v>
      </c>
      <c r="I23" t="s">
        <v>4028</v>
      </c>
      <c r="J23" t="s">
        <v>5266</v>
      </c>
      <c r="K23" t="s">
        <v>3455</v>
      </c>
      <c r="L23" t="s">
        <v>187</v>
      </c>
      <c r="M23" t="s">
        <v>3455</v>
      </c>
    </row>
    <row r="24" spans="1:13" ht="15" customHeight="1" x14ac:dyDescent="0.25">
      <c r="A24" t="s">
        <v>5268</v>
      </c>
      <c r="B24" s="8" t="s">
        <v>5329</v>
      </c>
      <c r="C24" s="8" t="s">
        <v>5330</v>
      </c>
      <c r="D24" t="s">
        <v>3989</v>
      </c>
      <c r="E24" t="s">
        <v>3994</v>
      </c>
      <c r="F24" t="s">
        <v>3455</v>
      </c>
      <c r="G24" t="s">
        <v>4294</v>
      </c>
      <c r="H24" t="s">
        <v>39</v>
      </c>
      <c r="I24" t="s">
        <v>4011</v>
      </c>
      <c r="J24" t="s">
        <v>5268</v>
      </c>
      <c r="K24" t="s">
        <v>3455</v>
      </c>
      <c r="L24" t="s">
        <v>187</v>
      </c>
      <c r="M24" t="s">
        <v>3455</v>
      </c>
    </row>
    <row r="25" spans="1:13" ht="15" customHeight="1" x14ac:dyDescent="0.25">
      <c r="A25" t="s">
        <v>5270</v>
      </c>
      <c r="B25" t="s">
        <v>5271</v>
      </c>
      <c r="C25" t="s">
        <v>5331</v>
      </c>
      <c r="D25" t="s">
        <v>3989</v>
      </c>
      <c r="E25" t="s">
        <v>3994</v>
      </c>
      <c r="F25" t="s">
        <v>3455</v>
      </c>
      <c r="G25" t="s">
        <v>4294</v>
      </c>
      <c r="H25" t="s">
        <v>39</v>
      </c>
      <c r="I25" t="s">
        <v>4011</v>
      </c>
      <c r="J25" t="s">
        <v>5272</v>
      </c>
      <c r="K25" t="s">
        <v>3499</v>
      </c>
      <c r="L25" t="s">
        <v>187</v>
      </c>
      <c r="M25" t="s">
        <v>3455</v>
      </c>
    </row>
    <row r="26" spans="1:13" ht="15" customHeight="1" x14ac:dyDescent="0.25">
      <c r="A26" t="s">
        <v>5273</v>
      </c>
      <c r="B26" s="8" t="s">
        <v>5332</v>
      </c>
      <c r="C26" s="8" t="s">
        <v>5333</v>
      </c>
      <c r="D26" t="s">
        <v>3736</v>
      </c>
      <c r="E26" t="s">
        <v>3994</v>
      </c>
      <c r="F26" t="s">
        <v>3455</v>
      </c>
      <c r="G26" t="s">
        <v>4294</v>
      </c>
      <c r="H26" t="s">
        <v>5173</v>
      </c>
      <c r="I26" t="s">
        <v>4028</v>
      </c>
      <c r="J26" t="s">
        <v>5273</v>
      </c>
      <c r="K26" t="s">
        <v>3455</v>
      </c>
      <c r="L26" t="s">
        <v>187</v>
      </c>
      <c r="M26" t="s">
        <v>3455</v>
      </c>
    </row>
    <row r="27" spans="1:13" ht="15" customHeight="1" x14ac:dyDescent="0.25">
      <c r="A27" t="s">
        <v>5279</v>
      </c>
      <c r="B27" t="s">
        <v>5334</v>
      </c>
      <c r="C27" t="s">
        <v>5335</v>
      </c>
      <c r="D27" t="s">
        <v>3980</v>
      </c>
      <c r="E27" t="s">
        <v>187</v>
      </c>
      <c r="F27" t="s">
        <v>3455</v>
      </c>
      <c r="G27" t="s">
        <v>4294</v>
      </c>
      <c r="H27" t="s">
        <v>39</v>
      </c>
      <c r="I27" t="s">
        <v>4028</v>
      </c>
      <c r="J27" t="s">
        <v>5279</v>
      </c>
      <c r="K27" t="s">
        <v>3511</v>
      </c>
      <c r="L27" t="s">
        <v>187</v>
      </c>
      <c r="M27" t="s">
        <v>3455</v>
      </c>
    </row>
    <row r="28" spans="1:13" ht="15" customHeight="1" x14ac:dyDescent="0.25">
      <c r="A28" t="s">
        <v>5284</v>
      </c>
      <c r="B28" t="s">
        <v>5285</v>
      </c>
      <c r="C28" t="s">
        <v>5336</v>
      </c>
      <c r="D28" t="s">
        <v>3989</v>
      </c>
      <c r="E28" t="s">
        <v>187</v>
      </c>
      <c r="F28" t="s">
        <v>3455</v>
      </c>
      <c r="G28" t="s">
        <v>5156</v>
      </c>
      <c r="H28" t="s">
        <v>39</v>
      </c>
      <c r="I28" t="s">
        <v>4011</v>
      </c>
      <c r="J28" t="s">
        <v>5284</v>
      </c>
      <c r="K28" t="s">
        <v>41</v>
      </c>
      <c r="L28" t="s">
        <v>187</v>
      </c>
      <c r="M28" t="s">
        <v>3455</v>
      </c>
    </row>
    <row r="29" spans="1:13" ht="15" customHeight="1" x14ac:dyDescent="0.25">
      <c r="A29" t="s">
        <v>5286</v>
      </c>
      <c r="B29" t="s">
        <v>5287</v>
      </c>
      <c r="C29" t="s">
        <v>5337</v>
      </c>
      <c r="D29" t="s">
        <v>3989</v>
      </c>
      <c r="E29" t="s">
        <v>187</v>
      </c>
      <c r="F29" t="s">
        <v>3455</v>
      </c>
      <c r="G29" t="s">
        <v>5156</v>
      </c>
      <c r="H29" t="s">
        <v>39</v>
      </c>
      <c r="I29" t="s">
        <v>4011</v>
      </c>
      <c r="J29" t="s">
        <v>5286</v>
      </c>
      <c r="K29" t="s">
        <v>41</v>
      </c>
      <c r="L29" t="s">
        <v>187</v>
      </c>
      <c r="M29" t="s">
        <v>3455</v>
      </c>
    </row>
    <row r="30" spans="1:13" ht="15" customHeight="1" x14ac:dyDescent="0.25">
      <c r="A30" t="s">
        <v>5277</v>
      </c>
      <c r="B30" t="s">
        <v>5278</v>
      </c>
      <c r="C30" t="s">
        <v>5338</v>
      </c>
      <c r="D30" t="s">
        <v>3989</v>
      </c>
      <c r="E30" t="s">
        <v>3994</v>
      </c>
      <c r="F30">
        <v>1</v>
      </c>
      <c r="G30" t="s">
        <v>5156</v>
      </c>
      <c r="H30" t="s">
        <v>39</v>
      </c>
      <c r="I30" t="s">
        <v>4011</v>
      </c>
      <c r="J30" t="s">
        <v>5277</v>
      </c>
      <c r="K30" t="s">
        <v>3455</v>
      </c>
      <c r="L30" t="s">
        <v>187</v>
      </c>
      <c r="M30" t="s">
        <v>5339</v>
      </c>
    </row>
    <row r="31" spans="1:13" ht="60" customHeight="1" x14ac:dyDescent="0.25">
      <c r="A31" t="s">
        <v>5234</v>
      </c>
      <c r="B31" s="8" t="s">
        <v>5340</v>
      </c>
      <c r="C31" s="8" t="s">
        <v>5341</v>
      </c>
      <c r="D31" t="s">
        <v>3980</v>
      </c>
      <c r="E31" t="s">
        <v>187</v>
      </c>
      <c r="F31" t="s">
        <v>3455</v>
      </c>
      <c r="G31" t="s">
        <v>5229</v>
      </c>
      <c r="H31" t="s">
        <v>5170</v>
      </c>
      <c r="I31" t="s">
        <v>4028</v>
      </c>
      <c r="J31" t="s">
        <v>5236</v>
      </c>
      <c r="K31" t="s">
        <v>3511</v>
      </c>
      <c r="L31" t="s">
        <v>3994</v>
      </c>
      <c r="M31" s="8" t="s">
        <v>5342</v>
      </c>
    </row>
    <row r="32" spans="1:13" ht="45" customHeight="1" x14ac:dyDescent="0.25">
      <c r="A32" t="s">
        <v>5231</v>
      </c>
      <c r="B32" s="8" t="s">
        <v>5343</v>
      </c>
      <c r="C32" s="8" t="s">
        <v>5344</v>
      </c>
      <c r="D32" t="s">
        <v>3980</v>
      </c>
      <c r="E32" t="s">
        <v>187</v>
      </c>
      <c r="F32" t="s">
        <v>3455</v>
      </c>
      <c r="G32" t="s">
        <v>5229</v>
      </c>
      <c r="H32" t="s">
        <v>5170</v>
      </c>
      <c r="I32" t="s">
        <v>4028</v>
      </c>
      <c r="J32" t="s">
        <v>5233</v>
      </c>
      <c r="K32" t="s">
        <v>3511</v>
      </c>
      <c r="L32" t="s">
        <v>3994</v>
      </c>
      <c r="M32" s="8" t="s">
        <v>5345</v>
      </c>
    </row>
    <row r="33" spans="1:13" ht="60" customHeight="1" x14ac:dyDescent="0.25">
      <c r="A33" t="s">
        <v>5237</v>
      </c>
      <c r="B33" s="8" t="s">
        <v>5346</v>
      </c>
      <c r="C33" s="8" t="s">
        <v>5347</v>
      </c>
      <c r="D33" t="s">
        <v>3989</v>
      </c>
      <c r="E33" t="s">
        <v>187</v>
      </c>
      <c r="F33" t="s">
        <v>3455</v>
      </c>
      <c r="G33" t="s">
        <v>5156</v>
      </c>
      <c r="H33" t="s">
        <v>5170</v>
      </c>
      <c r="I33" t="s">
        <v>4011</v>
      </c>
      <c r="J33" t="s">
        <v>5239</v>
      </c>
      <c r="K33" t="s">
        <v>3455</v>
      </c>
      <c r="L33" t="s">
        <v>3994</v>
      </c>
      <c r="M33" s="8" t="s">
        <v>5348</v>
      </c>
    </row>
    <row r="34" spans="1:13" ht="45" customHeight="1" x14ac:dyDescent="0.25">
      <c r="A34" t="s">
        <v>5219</v>
      </c>
      <c r="B34" s="8" t="s">
        <v>5220</v>
      </c>
      <c r="C34" s="8" t="s">
        <v>5349</v>
      </c>
      <c r="D34" t="s">
        <v>3980</v>
      </c>
      <c r="E34" t="s">
        <v>187</v>
      </c>
      <c r="F34" t="s">
        <v>3455</v>
      </c>
      <c r="G34" t="s">
        <v>5156</v>
      </c>
      <c r="H34" t="s">
        <v>39</v>
      </c>
      <c r="I34" t="s">
        <v>4028</v>
      </c>
      <c r="J34" t="s">
        <v>5219</v>
      </c>
      <c r="K34" t="s">
        <v>3499</v>
      </c>
      <c r="L34" t="s">
        <v>187</v>
      </c>
      <c r="M34" s="8" t="s">
        <v>5350</v>
      </c>
    </row>
    <row r="35" spans="1:13" ht="45" customHeight="1" x14ac:dyDescent="0.25">
      <c r="A35" t="s">
        <v>5171</v>
      </c>
      <c r="B35" s="8" t="s">
        <v>5351</v>
      </c>
      <c r="C35" s="8" t="s">
        <v>5352</v>
      </c>
      <c r="D35" t="s">
        <v>3989</v>
      </c>
      <c r="E35" t="s">
        <v>187</v>
      </c>
      <c r="F35" t="s">
        <v>3455</v>
      </c>
      <c r="G35" t="s">
        <v>5353</v>
      </c>
      <c r="H35" t="s">
        <v>5173</v>
      </c>
      <c r="I35" t="s">
        <v>4011</v>
      </c>
      <c r="J35" t="s">
        <v>5171</v>
      </c>
      <c r="K35" t="s">
        <v>3455</v>
      </c>
      <c r="L35" t="s">
        <v>187</v>
      </c>
      <c r="M35" s="8" t="s">
        <v>5354</v>
      </c>
    </row>
    <row r="36" spans="1:13" x14ac:dyDescent="0.25">
      <c r="A36" t="s">
        <v>5209</v>
      </c>
      <c r="B36" s="8" t="s">
        <v>5355</v>
      </c>
      <c r="C36" s="8" t="s">
        <v>5356</v>
      </c>
      <c r="D36" t="s">
        <v>5357</v>
      </c>
      <c r="E36" t="s">
        <v>187</v>
      </c>
      <c r="F36" t="s">
        <v>3455</v>
      </c>
      <c r="G36" t="s">
        <v>5358</v>
      </c>
      <c r="H36" t="s">
        <v>5170</v>
      </c>
      <c r="I36" t="s">
        <v>4028</v>
      </c>
      <c r="J36" t="s">
        <v>5211</v>
      </c>
      <c r="K36" t="s">
        <v>3511</v>
      </c>
      <c r="L36" t="s">
        <v>3994</v>
      </c>
      <c r="M36" t="s">
        <v>3455</v>
      </c>
    </row>
    <row r="37" spans="1:13" x14ac:dyDescent="0.25">
      <c r="A37" t="s">
        <v>5359</v>
      </c>
      <c r="B37" s="8" t="s">
        <v>5360</v>
      </c>
      <c r="C37" s="8" t="s">
        <v>5356</v>
      </c>
      <c r="D37" t="s">
        <v>5357</v>
      </c>
      <c r="E37" t="s">
        <v>187</v>
      </c>
      <c r="F37" t="s">
        <v>3455</v>
      </c>
      <c r="G37" t="s">
        <v>5358</v>
      </c>
      <c r="H37" t="s">
        <v>5170</v>
      </c>
      <c r="I37" t="s">
        <v>4028</v>
      </c>
      <c r="J37" t="s">
        <v>5359</v>
      </c>
      <c r="K37" t="s">
        <v>3511</v>
      </c>
      <c r="L37" t="s">
        <v>3994</v>
      </c>
      <c r="M37" t="s">
        <v>3455</v>
      </c>
    </row>
    <row r="38" spans="1:13" x14ac:dyDescent="0.25">
      <c r="A38" t="s">
        <v>5361</v>
      </c>
      <c r="B38" s="8" t="s">
        <v>5362</v>
      </c>
      <c r="C38" s="8" t="s">
        <v>5356</v>
      </c>
      <c r="D38" t="s">
        <v>5357</v>
      </c>
      <c r="E38" t="s">
        <v>187</v>
      </c>
      <c r="F38" t="s">
        <v>3455</v>
      </c>
      <c r="G38" t="s">
        <v>5358</v>
      </c>
      <c r="H38" t="s">
        <v>5170</v>
      </c>
      <c r="I38" t="s">
        <v>4028</v>
      </c>
      <c r="J38" t="s">
        <v>5363</v>
      </c>
      <c r="K38" t="s">
        <v>3499</v>
      </c>
      <c r="L38" t="s">
        <v>3994</v>
      </c>
      <c r="M38" t="s">
        <v>3455</v>
      </c>
    </row>
    <row r="39" spans="1:13" x14ac:dyDescent="0.25">
      <c r="A39" t="s">
        <v>5157</v>
      </c>
      <c r="B39" s="8" t="s">
        <v>5364</v>
      </c>
      <c r="C39" s="8" t="s">
        <v>5365</v>
      </c>
      <c r="D39" t="s">
        <v>3980</v>
      </c>
      <c r="E39" t="s">
        <v>187</v>
      </c>
      <c r="F39" t="s">
        <v>3455</v>
      </c>
      <c r="G39" t="s">
        <v>5366</v>
      </c>
      <c r="H39" t="s">
        <v>5170</v>
      </c>
      <c r="I39" t="s">
        <v>4028</v>
      </c>
      <c r="J39" t="s">
        <v>5157</v>
      </c>
      <c r="K39" t="s">
        <v>3511</v>
      </c>
      <c r="L39" t="s">
        <v>3994</v>
      </c>
      <c r="M39" t="s">
        <v>5367</v>
      </c>
    </row>
    <row r="40" spans="1:13" x14ac:dyDescent="0.25">
      <c r="A40" t="s">
        <v>5167</v>
      </c>
      <c r="B40" s="8" t="s">
        <v>5368</v>
      </c>
      <c r="C40" s="8" t="s">
        <v>5356</v>
      </c>
      <c r="D40" t="s">
        <v>5357</v>
      </c>
      <c r="E40" t="s">
        <v>187</v>
      </c>
      <c r="F40" t="s">
        <v>3455</v>
      </c>
      <c r="G40" t="s">
        <v>5358</v>
      </c>
      <c r="H40" t="s">
        <v>5170</v>
      </c>
      <c r="I40" t="s">
        <v>4028</v>
      </c>
      <c r="J40" t="s">
        <v>5167</v>
      </c>
      <c r="K40" t="s">
        <v>3499</v>
      </c>
      <c r="L40" t="s">
        <v>3994</v>
      </c>
      <c r="M40" t="s">
        <v>3455</v>
      </c>
    </row>
    <row r="41" spans="1:13" x14ac:dyDescent="0.25">
      <c r="A41" t="s">
        <v>5226</v>
      </c>
      <c r="B41" s="8" t="s">
        <v>5369</v>
      </c>
      <c r="C41" s="8" t="s">
        <v>5370</v>
      </c>
      <c r="D41" t="s">
        <v>3980</v>
      </c>
      <c r="E41" t="s">
        <v>187</v>
      </c>
      <c r="F41" t="s">
        <v>3455</v>
      </c>
      <c r="G41" t="s">
        <v>5229</v>
      </c>
      <c r="H41" t="s">
        <v>5170</v>
      </c>
      <c r="I41" t="s">
        <v>4028</v>
      </c>
      <c r="J41" t="s">
        <v>5230</v>
      </c>
      <c r="K41" t="s">
        <v>3511</v>
      </c>
      <c r="L41" t="s">
        <v>3994</v>
      </c>
      <c r="M41" t="s">
        <v>5371</v>
      </c>
    </row>
    <row r="42" spans="1:13" x14ac:dyDescent="0.25">
      <c r="A42" t="s">
        <v>5188</v>
      </c>
      <c r="B42" s="8" t="s">
        <v>5372</v>
      </c>
      <c r="C42" s="8" t="s">
        <v>5373</v>
      </c>
      <c r="D42" t="s">
        <v>3980</v>
      </c>
      <c r="E42" t="s">
        <v>187</v>
      </c>
      <c r="F42" t="s">
        <v>3455</v>
      </c>
      <c r="G42" t="s">
        <v>5156</v>
      </c>
      <c r="H42" t="s">
        <v>39</v>
      </c>
      <c r="I42" t="s">
        <v>4028</v>
      </c>
      <c r="J42" t="s">
        <v>5190</v>
      </c>
      <c r="K42" t="s">
        <v>3499</v>
      </c>
      <c r="L42" t="s">
        <v>187</v>
      </c>
      <c r="M42" t="s">
        <v>3455</v>
      </c>
    </row>
    <row r="43" spans="1:13" x14ac:dyDescent="0.25">
      <c r="A43" t="s">
        <v>5176</v>
      </c>
      <c r="B43" s="8" t="s">
        <v>5374</v>
      </c>
      <c r="C43" s="8" t="s">
        <v>5375</v>
      </c>
      <c r="D43" t="s">
        <v>3989</v>
      </c>
      <c r="E43" t="s">
        <v>3994</v>
      </c>
      <c r="F43" t="s">
        <v>3455</v>
      </c>
      <c r="G43" t="s">
        <v>4294</v>
      </c>
      <c r="H43" t="s">
        <v>5173</v>
      </c>
      <c r="I43" t="s">
        <v>4011</v>
      </c>
      <c r="J43" t="s">
        <v>5178</v>
      </c>
      <c r="K43" t="s">
        <v>3499</v>
      </c>
      <c r="L43" t="s">
        <v>3994</v>
      </c>
      <c r="M43" t="s">
        <v>5376</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5377</v>
      </c>
      <c r="C1" t="s">
        <v>5378</v>
      </c>
      <c r="D1" t="s">
        <v>5379</v>
      </c>
      <c r="E1" t="s">
        <v>5058</v>
      </c>
    </row>
    <row r="2" spans="1:5" ht="15" customHeight="1" x14ac:dyDescent="0.25">
      <c r="A2" t="s">
        <v>5380</v>
      </c>
      <c r="B2" t="s">
        <v>5381</v>
      </c>
      <c r="E2" t="s">
        <v>5382</v>
      </c>
    </row>
    <row r="3" spans="1:5" ht="15" customHeight="1" x14ac:dyDescent="0.25">
      <c r="A3" t="s">
        <v>5383</v>
      </c>
      <c r="B3" t="s">
        <v>5384</v>
      </c>
      <c r="E3" t="s">
        <v>5385</v>
      </c>
    </row>
    <row r="4" spans="1:5" ht="15" customHeight="1" x14ac:dyDescent="0.25">
      <c r="A4" t="s">
        <v>5386</v>
      </c>
      <c r="B4" t="s">
        <v>3455</v>
      </c>
      <c r="E4" t="s">
        <v>5387</v>
      </c>
    </row>
    <row r="5" spans="1:5" ht="15" customHeight="1" x14ac:dyDescent="0.25">
      <c r="A5" t="s">
        <v>5388</v>
      </c>
      <c r="B5" t="s">
        <v>5389</v>
      </c>
      <c r="E5" t="s">
        <v>5390</v>
      </c>
    </row>
    <row r="6" spans="1:5" ht="15" customHeight="1" x14ac:dyDescent="0.25">
      <c r="A6" t="s">
        <v>4258</v>
      </c>
      <c r="B6" t="s">
        <v>5391</v>
      </c>
      <c r="E6" t="s">
        <v>5392</v>
      </c>
    </row>
    <row r="7" spans="1:5" ht="15" customHeight="1" x14ac:dyDescent="0.25">
      <c r="A7" t="s">
        <v>5251</v>
      </c>
      <c r="B7" t="s">
        <v>5393</v>
      </c>
      <c r="E7" t="s">
        <v>5394</v>
      </c>
    </row>
    <row r="8" spans="1:5" ht="15" customHeight="1" x14ac:dyDescent="0.25">
      <c r="A8" t="s">
        <v>5395</v>
      </c>
      <c r="B8" t="s">
        <v>5396</v>
      </c>
      <c r="C8" t="s">
        <v>5397</v>
      </c>
      <c r="D8" t="s">
        <v>5398</v>
      </c>
      <c r="E8" t="s">
        <v>5399</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5400</v>
      </c>
      <c r="D1" t="s">
        <v>5401</v>
      </c>
    </row>
    <row r="2" spans="1:4" ht="15" customHeight="1" x14ac:dyDescent="0.25">
      <c r="A2" t="s">
        <v>5402</v>
      </c>
      <c r="B2" t="s">
        <v>5403</v>
      </c>
      <c r="C2" t="s">
        <v>39</v>
      </c>
      <c r="D2" t="s">
        <v>3455</v>
      </c>
    </row>
    <row r="3" spans="1:4" ht="15" customHeight="1" x14ac:dyDescent="0.25">
      <c r="A3" t="s">
        <v>5404</v>
      </c>
      <c r="B3" t="s">
        <v>5405</v>
      </c>
      <c r="C3" t="s">
        <v>5406</v>
      </c>
      <c r="D3" t="s">
        <v>3455</v>
      </c>
    </row>
    <row r="4" spans="1:4" ht="15" customHeight="1" x14ac:dyDescent="0.25">
      <c r="A4" t="s">
        <v>5407</v>
      </c>
      <c r="B4" t="s">
        <v>5408</v>
      </c>
      <c r="C4" t="s">
        <v>39</v>
      </c>
      <c r="D4" t="s">
        <v>3455</v>
      </c>
    </row>
    <row r="5" spans="1:4" ht="15" customHeight="1" x14ac:dyDescent="0.25">
      <c r="A5" t="s">
        <v>5409</v>
      </c>
      <c r="B5" t="s">
        <v>5410</v>
      </c>
      <c r="C5" t="s">
        <v>5406</v>
      </c>
      <c r="D5" t="s">
        <v>3455</v>
      </c>
    </row>
    <row r="6" spans="1:4" ht="15" customHeight="1" x14ac:dyDescent="0.25">
      <c r="A6" t="s">
        <v>5411</v>
      </c>
      <c r="B6" t="s">
        <v>5412</v>
      </c>
      <c r="C6" t="s">
        <v>5406</v>
      </c>
      <c r="D6" t="s">
        <v>3455</v>
      </c>
    </row>
    <row r="7" spans="1:4" ht="15" customHeight="1" x14ac:dyDescent="0.25">
      <c r="A7" t="s">
        <v>5413</v>
      </c>
      <c r="B7" t="s">
        <v>5414</v>
      </c>
      <c r="C7" t="s">
        <v>39</v>
      </c>
      <c r="D7" t="s">
        <v>3455</v>
      </c>
    </row>
    <row r="8" spans="1:4" ht="15" customHeight="1" x14ac:dyDescent="0.25">
      <c r="A8" t="s">
        <v>5415</v>
      </c>
      <c r="B8" t="s">
        <v>5416</v>
      </c>
      <c r="C8" t="s">
        <v>39</v>
      </c>
      <c r="D8" t="s">
        <v>3455</v>
      </c>
    </row>
    <row r="9" spans="1:4" ht="15" customHeight="1" x14ac:dyDescent="0.25">
      <c r="A9" t="s">
        <v>5417</v>
      </c>
      <c r="B9" t="s">
        <v>5418</v>
      </c>
      <c r="C9" t="s">
        <v>39</v>
      </c>
      <c r="D9" t="s">
        <v>3455</v>
      </c>
    </row>
    <row r="10" spans="1:4" ht="15" customHeight="1" x14ac:dyDescent="0.25">
      <c r="A10" t="s">
        <v>5419</v>
      </c>
      <c r="B10" t="s">
        <v>5420</v>
      </c>
      <c r="C10" t="s">
        <v>5421</v>
      </c>
      <c r="D10" t="s">
        <v>3455</v>
      </c>
    </row>
    <row r="11" spans="1:4" ht="15" customHeight="1" x14ac:dyDescent="0.25">
      <c r="A11" t="s">
        <v>5422</v>
      </c>
      <c r="B11" t="s">
        <v>5423</v>
      </c>
      <c r="C11" t="s">
        <v>4425</v>
      </c>
      <c r="D11" t="s">
        <v>3455</v>
      </c>
    </row>
    <row r="12" spans="1:4" ht="15" customHeight="1" x14ac:dyDescent="0.25">
      <c r="A12" t="s">
        <v>5424</v>
      </c>
      <c r="B12" t="s">
        <v>5425</v>
      </c>
      <c r="C12" t="s">
        <v>4425</v>
      </c>
      <c r="D12" t="s">
        <v>3455</v>
      </c>
    </row>
    <row r="13" spans="1:4" ht="15" customHeight="1" x14ac:dyDescent="0.25">
      <c r="A13" t="s">
        <v>5426</v>
      </c>
      <c r="B13" t="s">
        <v>5427</v>
      </c>
      <c r="C13" t="s">
        <v>5406</v>
      </c>
      <c r="D13" t="s">
        <v>3455</v>
      </c>
    </row>
    <row r="14" spans="1:4" ht="15" customHeight="1" x14ac:dyDescent="0.25">
      <c r="A14" t="s">
        <v>5428</v>
      </c>
      <c r="B14" t="s">
        <v>5429</v>
      </c>
      <c r="C14" t="s">
        <v>39</v>
      </c>
      <c r="D14" t="s">
        <v>3455</v>
      </c>
    </row>
    <row r="15" spans="1:4" ht="15" customHeight="1" x14ac:dyDescent="0.25">
      <c r="A15" t="s">
        <v>5430</v>
      </c>
      <c r="B15" t="s">
        <v>5431</v>
      </c>
      <c r="C15" t="s">
        <v>39</v>
      </c>
      <c r="D15" t="s">
        <v>3455</v>
      </c>
    </row>
    <row r="16" spans="1:4" ht="15" customHeight="1" x14ac:dyDescent="0.25">
      <c r="A16" t="s">
        <v>5432</v>
      </c>
      <c r="B16" t="s">
        <v>5433</v>
      </c>
      <c r="C16" t="s">
        <v>5421</v>
      </c>
      <c r="D16" t="s">
        <v>3455</v>
      </c>
    </row>
    <row r="17" spans="1:4" ht="15" customHeight="1" x14ac:dyDescent="0.25">
      <c r="A17" t="s">
        <v>5434</v>
      </c>
      <c r="B17" t="s">
        <v>5435</v>
      </c>
      <c r="C17" t="s">
        <v>39</v>
      </c>
      <c r="D17" t="s">
        <v>3455</v>
      </c>
    </row>
    <row r="18" spans="1:4" ht="15" customHeight="1" x14ac:dyDescent="0.25">
      <c r="A18" t="s">
        <v>5436</v>
      </c>
      <c r="B18" t="s">
        <v>5437</v>
      </c>
      <c r="C18" t="s">
        <v>5438</v>
      </c>
      <c r="D18" t="s">
        <v>3455</v>
      </c>
    </row>
    <row r="19" spans="1:4" ht="15" customHeight="1" x14ac:dyDescent="0.25">
      <c r="A19" t="s">
        <v>5439</v>
      </c>
      <c r="B19" t="s">
        <v>5440</v>
      </c>
      <c r="C19" t="s">
        <v>39</v>
      </c>
      <c r="D19" t="s">
        <v>3455</v>
      </c>
    </row>
    <row r="20" spans="1:4" ht="15" customHeight="1" x14ac:dyDescent="0.25">
      <c r="A20" t="s">
        <v>5441</v>
      </c>
      <c r="B20" t="s">
        <v>5442</v>
      </c>
      <c r="C20" t="s">
        <v>39</v>
      </c>
      <c r="D20" t="s">
        <v>3455</v>
      </c>
    </row>
    <row r="21" spans="1:4" ht="15" customHeight="1" x14ac:dyDescent="0.25">
      <c r="A21" t="s">
        <v>5443</v>
      </c>
      <c r="B21" t="s">
        <v>5444</v>
      </c>
      <c r="C21" t="s">
        <v>39</v>
      </c>
      <c r="D21" t="s">
        <v>5445</v>
      </c>
    </row>
    <row r="22" spans="1:4" ht="15" customHeight="1" x14ac:dyDescent="0.25">
      <c r="A22" t="s">
        <v>5446</v>
      </c>
      <c r="B22" t="s">
        <v>5447</v>
      </c>
      <c r="C22" t="s">
        <v>5448</v>
      </c>
      <c r="D22" t="s">
        <v>3455</v>
      </c>
    </row>
    <row r="23" spans="1:4" ht="15" customHeight="1" x14ac:dyDescent="0.25">
      <c r="A23" t="s">
        <v>5449</v>
      </c>
      <c r="B23" t="s">
        <v>5450</v>
      </c>
      <c r="C23" t="s">
        <v>5421</v>
      </c>
      <c r="D23" t="s">
        <v>3455</v>
      </c>
    </row>
    <row r="24" spans="1:4" ht="15" customHeight="1" x14ac:dyDescent="0.25">
      <c r="A24" t="s">
        <v>5451</v>
      </c>
      <c r="B24" t="s">
        <v>5452</v>
      </c>
      <c r="C24" t="s">
        <v>5421</v>
      </c>
      <c r="D24" t="s">
        <v>5453</v>
      </c>
    </row>
    <row r="25" spans="1:4" ht="15" customHeight="1" x14ac:dyDescent="0.25">
      <c r="A25" t="s">
        <v>5454</v>
      </c>
      <c r="B25" t="s">
        <v>5455</v>
      </c>
      <c r="C25" t="s">
        <v>5438</v>
      </c>
      <c r="D25" t="s">
        <v>3455</v>
      </c>
    </row>
    <row r="26" spans="1:4" ht="15" customHeight="1" x14ac:dyDescent="0.25">
      <c r="A26" t="s">
        <v>5456</v>
      </c>
      <c r="B26" t="s">
        <v>5457</v>
      </c>
      <c r="C26" t="s">
        <v>5406</v>
      </c>
      <c r="D26" t="s">
        <v>3455</v>
      </c>
    </row>
    <row r="27" spans="1:4" ht="15" customHeight="1" x14ac:dyDescent="0.25">
      <c r="A27" t="s">
        <v>5458</v>
      </c>
      <c r="B27" t="s">
        <v>5459</v>
      </c>
      <c r="C27" t="s">
        <v>5421</v>
      </c>
      <c r="D27" t="s">
        <v>3455</v>
      </c>
    </row>
    <row r="28" spans="1:4" ht="15" customHeight="1" x14ac:dyDescent="0.25">
      <c r="A28" t="s">
        <v>5460</v>
      </c>
      <c r="B28" t="s">
        <v>5461</v>
      </c>
      <c r="C28" t="s">
        <v>5421</v>
      </c>
      <c r="D28" t="s">
        <v>3455</v>
      </c>
    </row>
    <row r="29" spans="1:4" ht="15" customHeight="1" x14ac:dyDescent="0.25">
      <c r="A29" t="s">
        <v>5462</v>
      </c>
      <c r="B29" t="s">
        <v>5463</v>
      </c>
      <c r="C29" t="s">
        <v>5464</v>
      </c>
      <c r="D29" t="s">
        <v>3455</v>
      </c>
    </row>
    <row r="30" spans="1:4" ht="15" customHeight="1" x14ac:dyDescent="0.25">
      <c r="A30" t="s">
        <v>5465</v>
      </c>
      <c r="B30" t="s">
        <v>5466</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5467</v>
      </c>
      <c r="F1" t="s">
        <v>5468</v>
      </c>
      <c r="G1" t="s">
        <v>5401</v>
      </c>
      <c r="H1" t="s">
        <v>5469</v>
      </c>
      <c r="I1" t="s">
        <v>5470</v>
      </c>
      <c r="J1" t="s">
        <v>5471</v>
      </c>
      <c r="K1" t="s">
        <v>5472</v>
      </c>
      <c r="L1" t="s">
        <v>5473</v>
      </c>
      <c r="M1" t="s">
        <v>5474</v>
      </c>
    </row>
    <row r="2" spans="1:13" ht="15" customHeight="1" x14ac:dyDescent="0.25">
      <c r="A2" t="s">
        <v>5407</v>
      </c>
      <c r="B2" t="s">
        <v>5408</v>
      </c>
      <c r="C2" t="s">
        <v>5475</v>
      </c>
      <c r="D2" t="s">
        <v>5476</v>
      </c>
      <c r="E2" t="s">
        <v>3994</v>
      </c>
      <c r="F2" t="s">
        <v>39</v>
      </c>
      <c r="G2" t="s">
        <v>3455</v>
      </c>
      <c r="H2" t="s">
        <v>5477</v>
      </c>
      <c r="I2" t="s">
        <v>5478</v>
      </c>
      <c r="J2" t="s">
        <v>5479</v>
      </c>
    </row>
    <row r="3" spans="1:13" ht="15" customHeight="1" x14ac:dyDescent="0.25">
      <c r="A3" t="s">
        <v>5413</v>
      </c>
      <c r="B3" t="s">
        <v>5414</v>
      </c>
      <c r="C3" t="s">
        <v>5414</v>
      </c>
      <c r="D3" t="s">
        <v>5414</v>
      </c>
      <c r="E3" t="s">
        <v>3994</v>
      </c>
      <c r="F3" t="s">
        <v>39</v>
      </c>
      <c r="G3" t="s">
        <v>3455</v>
      </c>
      <c r="H3" t="s">
        <v>5480</v>
      </c>
      <c r="I3" t="s">
        <v>5481</v>
      </c>
    </row>
    <row r="4" spans="1:13" ht="15" customHeight="1" x14ac:dyDescent="0.25">
      <c r="A4" t="s">
        <v>5482</v>
      </c>
      <c r="B4" s="8" t="s">
        <v>5483</v>
      </c>
      <c r="C4" s="8" t="s">
        <v>5483</v>
      </c>
      <c r="D4" s="8" t="s">
        <v>5483</v>
      </c>
      <c r="E4" t="s">
        <v>187</v>
      </c>
      <c r="F4" t="s">
        <v>39</v>
      </c>
      <c r="G4" t="s">
        <v>3455</v>
      </c>
      <c r="H4" t="s">
        <v>5484</v>
      </c>
      <c r="I4" t="s">
        <v>5485</v>
      </c>
    </row>
    <row r="5" spans="1:13" ht="15" customHeight="1" x14ac:dyDescent="0.25">
      <c r="A5" t="s">
        <v>5486</v>
      </c>
      <c r="B5" t="s">
        <v>5487</v>
      </c>
      <c r="C5" t="s">
        <v>5487</v>
      </c>
      <c r="D5" t="s">
        <v>5487</v>
      </c>
      <c r="E5" t="s">
        <v>3994</v>
      </c>
      <c r="F5" t="s">
        <v>5421</v>
      </c>
      <c r="G5" t="s">
        <v>3455</v>
      </c>
      <c r="H5" t="s">
        <v>5488</v>
      </c>
      <c r="I5" t="s">
        <v>5481</v>
      </c>
    </row>
    <row r="6" spans="1:13" ht="15" customHeight="1" x14ac:dyDescent="0.25">
      <c r="A6" t="s">
        <v>5419</v>
      </c>
      <c r="B6" t="s">
        <v>5420</v>
      </c>
      <c r="C6" t="s">
        <v>5489</v>
      </c>
      <c r="D6" t="s">
        <v>5420</v>
      </c>
      <c r="E6" t="s">
        <v>3994</v>
      </c>
      <c r="F6" t="s">
        <v>5421</v>
      </c>
      <c r="G6" t="s">
        <v>3455</v>
      </c>
      <c r="H6" t="s">
        <v>5490</v>
      </c>
      <c r="I6" t="s">
        <v>5481</v>
      </c>
      <c r="K6" t="s">
        <v>5491</v>
      </c>
      <c r="L6" t="s">
        <v>5492</v>
      </c>
    </row>
    <row r="7" spans="1:13" ht="15" customHeight="1" x14ac:dyDescent="0.25">
      <c r="A7" t="s">
        <v>5493</v>
      </c>
      <c r="B7" t="s">
        <v>5494</v>
      </c>
      <c r="C7" t="s">
        <v>5495</v>
      </c>
      <c r="D7" t="s">
        <v>5494</v>
      </c>
      <c r="E7" t="s">
        <v>3994</v>
      </c>
      <c r="F7" t="s">
        <v>5421</v>
      </c>
      <c r="G7" t="s">
        <v>3455</v>
      </c>
      <c r="H7" t="s">
        <v>5496</v>
      </c>
      <c r="I7" t="s">
        <v>5481</v>
      </c>
      <c r="K7" t="s">
        <v>5497</v>
      </c>
      <c r="L7" t="s">
        <v>5498</v>
      </c>
    </row>
    <row r="8" spans="1:13" ht="15" customHeight="1" x14ac:dyDescent="0.25">
      <c r="A8" t="s">
        <v>5422</v>
      </c>
      <c r="B8" t="s">
        <v>5499</v>
      </c>
      <c r="C8" t="s">
        <v>5500</v>
      </c>
      <c r="D8" t="s">
        <v>5500</v>
      </c>
      <c r="E8" t="s">
        <v>3994</v>
      </c>
      <c r="F8" t="s">
        <v>4425</v>
      </c>
      <c r="G8" t="s">
        <v>3455</v>
      </c>
      <c r="H8" t="s">
        <v>5501</v>
      </c>
      <c r="I8" t="s">
        <v>5502</v>
      </c>
      <c r="J8" t="s">
        <v>5501</v>
      </c>
    </row>
    <row r="9" spans="1:13" ht="15" customHeight="1" x14ac:dyDescent="0.25">
      <c r="A9" t="s">
        <v>5424</v>
      </c>
      <c r="B9" t="s">
        <v>5425</v>
      </c>
      <c r="C9" t="s">
        <v>5425</v>
      </c>
      <c r="D9" t="s">
        <v>5425</v>
      </c>
      <c r="E9" t="s">
        <v>3994</v>
      </c>
      <c r="F9" t="s">
        <v>39</v>
      </c>
      <c r="G9" t="s">
        <v>3455</v>
      </c>
      <c r="H9" t="s">
        <v>5503</v>
      </c>
      <c r="I9" t="s">
        <v>5504</v>
      </c>
      <c r="J9" t="s">
        <v>3843</v>
      </c>
    </row>
    <row r="10" spans="1:13" ht="15" customHeight="1" x14ac:dyDescent="0.25">
      <c r="A10" t="s">
        <v>5428</v>
      </c>
      <c r="B10" t="s">
        <v>5429</v>
      </c>
      <c r="C10" t="s">
        <v>5505</v>
      </c>
      <c r="D10" t="s">
        <v>5505</v>
      </c>
      <c r="E10" t="s">
        <v>3994</v>
      </c>
      <c r="F10" t="s">
        <v>39</v>
      </c>
      <c r="G10" t="s">
        <v>3455</v>
      </c>
      <c r="H10" t="s">
        <v>5506</v>
      </c>
      <c r="I10" t="s">
        <v>5502</v>
      </c>
      <c r="J10" t="s">
        <v>5506</v>
      </c>
    </row>
    <row r="11" spans="1:13" ht="15" customHeight="1" x14ac:dyDescent="0.25">
      <c r="A11" t="s">
        <v>5507</v>
      </c>
      <c r="B11" t="s">
        <v>5431</v>
      </c>
      <c r="C11" t="s">
        <v>5508</v>
      </c>
      <c r="D11" t="s">
        <v>5431</v>
      </c>
      <c r="E11" t="s">
        <v>187</v>
      </c>
      <c r="F11" t="s">
        <v>39</v>
      </c>
      <c r="G11" t="s">
        <v>3455</v>
      </c>
      <c r="H11" t="s">
        <v>5509</v>
      </c>
      <c r="I11" t="s">
        <v>5485</v>
      </c>
    </row>
    <row r="12" spans="1:13" ht="15" customHeight="1" x14ac:dyDescent="0.25">
      <c r="A12" t="s">
        <v>5432</v>
      </c>
      <c r="B12" t="s">
        <v>5433</v>
      </c>
      <c r="C12" t="s">
        <v>5510</v>
      </c>
      <c r="D12" t="s">
        <v>5433</v>
      </c>
      <c r="E12" t="s">
        <v>3994</v>
      </c>
      <c r="F12" t="s">
        <v>5421</v>
      </c>
      <c r="G12" t="s">
        <v>3455</v>
      </c>
      <c r="H12" t="s">
        <v>5511</v>
      </c>
      <c r="I12" t="s">
        <v>5481</v>
      </c>
      <c r="K12" t="s">
        <v>5512</v>
      </c>
      <c r="L12" t="s">
        <v>5513</v>
      </c>
    </row>
    <row r="13" spans="1:13" ht="15" customHeight="1" x14ac:dyDescent="0.25">
      <c r="A13" t="s">
        <v>5434</v>
      </c>
      <c r="B13" t="s">
        <v>5435</v>
      </c>
      <c r="C13" t="s">
        <v>5435</v>
      </c>
      <c r="D13" t="s">
        <v>5435</v>
      </c>
      <c r="E13" t="s">
        <v>3994</v>
      </c>
      <c r="F13" t="s">
        <v>39</v>
      </c>
      <c r="G13" t="s">
        <v>3455</v>
      </c>
      <c r="H13" t="s">
        <v>5514</v>
      </c>
      <c r="I13" t="s">
        <v>5502</v>
      </c>
      <c r="J13" t="s">
        <v>5514</v>
      </c>
    </row>
    <row r="14" spans="1:13" ht="15" customHeight="1" x14ac:dyDescent="0.25">
      <c r="A14" t="s">
        <v>5439</v>
      </c>
      <c r="B14" t="s">
        <v>5515</v>
      </c>
      <c r="C14" t="s">
        <v>5516</v>
      </c>
      <c r="D14" t="s">
        <v>5516</v>
      </c>
      <c r="E14" t="s">
        <v>3994</v>
      </c>
      <c r="F14" t="s">
        <v>39</v>
      </c>
      <c r="G14" t="s">
        <v>3455</v>
      </c>
      <c r="H14" t="s">
        <v>5517</v>
      </c>
      <c r="I14" t="s">
        <v>5481</v>
      </c>
    </row>
    <row r="15" spans="1:13" ht="15" customHeight="1" x14ac:dyDescent="0.25">
      <c r="A15" t="s">
        <v>5518</v>
      </c>
      <c r="B15" t="s">
        <v>5519</v>
      </c>
      <c r="C15" t="s">
        <v>5519</v>
      </c>
      <c r="D15" t="s">
        <v>5519</v>
      </c>
      <c r="E15" t="s">
        <v>3994</v>
      </c>
      <c r="F15" t="s">
        <v>5520</v>
      </c>
      <c r="G15" t="s">
        <v>3455</v>
      </c>
      <c r="H15" t="s">
        <v>5521</v>
      </c>
      <c r="I15" t="s">
        <v>5521</v>
      </c>
    </row>
    <row r="16" spans="1:13" ht="15" customHeight="1" x14ac:dyDescent="0.25">
      <c r="A16" t="s">
        <v>5522</v>
      </c>
      <c r="B16" t="s">
        <v>5523</v>
      </c>
      <c r="C16" t="s">
        <v>5523</v>
      </c>
      <c r="D16" t="s">
        <v>5523</v>
      </c>
      <c r="E16" t="s">
        <v>187</v>
      </c>
      <c r="F16" t="s">
        <v>5520</v>
      </c>
      <c r="G16" t="s">
        <v>3455</v>
      </c>
      <c r="H16" t="s">
        <v>5524</v>
      </c>
      <c r="I16" t="s">
        <v>5524</v>
      </c>
    </row>
    <row r="17" spans="1:12" ht="15" customHeight="1" x14ac:dyDescent="0.25">
      <c r="A17" t="s">
        <v>5446</v>
      </c>
      <c r="B17" t="s">
        <v>5447</v>
      </c>
      <c r="C17" t="s">
        <v>5525</v>
      </c>
      <c r="D17" t="s">
        <v>5525</v>
      </c>
      <c r="E17" t="s">
        <v>3994</v>
      </c>
      <c r="F17" t="s">
        <v>39</v>
      </c>
      <c r="G17" t="s">
        <v>3455</v>
      </c>
      <c r="H17" t="s">
        <v>5526</v>
      </c>
      <c r="I17" t="s">
        <v>5481</v>
      </c>
    </row>
    <row r="18" spans="1:12" ht="15" customHeight="1" x14ac:dyDescent="0.25">
      <c r="A18" t="s">
        <v>5527</v>
      </c>
      <c r="B18" t="s">
        <v>5528</v>
      </c>
      <c r="C18" t="s">
        <v>5528</v>
      </c>
      <c r="D18" t="s">
        <v>5529</v>
      </c>
      <c r="E18" t="s">
        <v>187</v>
      </c>
      <c r="F18" t="s">
        <v>5421</v>
      </c>
      <c r="G18" t="s">
        <v>3455</v>
      </c>
      <c r="H18" t="s">
        <v>5530</v>
      </c>
      <c r="I18" t="s">
        <v>5531</v>
      </c>
    </row>
    <row r="19" spans="1:12" ht="15" customHeight="1" x14ac:dyDescent="0.25">
      <c r="A19" t="s">
        <v>5449</v>
      </c>
      <c r="B19" t="s">
        <v>5450</v>
      </c>
      <c r="C19" t="s">
        <v>5532</v>
      </c>
      <c r="D19" t="s">
        <v>5450</v>
      </c>
      <c r="E19" t="s">
        <v>3994</v>
      </c>
      <c r="F19" t="s">
        <v>5421</v>
      </c>
      <c r="G19" t="s">
        <v>3455</v>
      </c>
      <c r="H19" t="s">
        <v>5533</v>
      </c>
      <c r="I19" t="s">
        <v>5481</v>
      </c>
    </row>
    <row r="20" spans="1:12" ht="15" customHeight="1" x14ac:dyDescent="0.25">
      <c r="A20" t="s">
        <v>5458</v>
      </c>
      <c r="B20" t="s">
        <v>5534</v>
      </c>
      <c r="C20" t="s">
        <v>5535</v>
      </c>
      <c r="D20" t="s">
        <v>5534</v>
      </c>
      <c r="E20" t="s">
        <v>3994</v>
      </c>
      <c r="F20" t="s">
        <v>5421</v>
      </c>
      <c r="G20" t="s">
        <v>3455</v>
      </c>
      <c r="H20" t="s">
        <v>5536</v>
      </c>
      <c r="I20" t="s">
        <v>5481</v>
      </c>
    </row>
    <row r="21" spans="1:12" ht="15" customHeight="1" x14ac:dyDescent="0.25">
      <c r="A21" t="s">
        <v>5460</v>
      </c>
      <c r="B21" t="s">
        <v>5537</v>
      </c>
      <c r="C21" t="s">
        <v>5489</v>
      </c>
      <c r="D21" t="s">
        <v>5537</v>
      </c>
      <c r="E21" t="s">
        <v>3994</v>
      </c>
      <c r="F21" t="s">
        <v>5421</v>
      </c>
      <c r="G21" t="s">
        <v>3455</v>
      </c>
      <c r="H21" t="s">
        <v>5538</v>
      </c>
      <c r="I21" t="s">
        <v>5481</v>
      </c>
      <c r="K21" t="s">
        <v>5539</v>
      </c>
      <c r="L21" t="s">
        <v>5492</v>
      </c>
    </row>
    <row r="22" spans="1:12" ht="15" customHeight="1" x14ac:dyDescent="0.25">
      <c r="A22" t="s">
        <v>5462</v>
      </c>
      <c r="B22" t="s">
        <v>5540</v>
      </c>
      <c r="C22" t="s">
        <v>5540</v>
      </c>
      <c r="D22" t="s">
        <v>5540</v>
      </c>
      <c r="E22" t="s">
        <v>3994</v>
      </c>
      <c r="F22" t="s">
        <v>4425</v>
      </c>
      <c r="G22" t="s">
        <v>3455</v>
      </c>
      <c r="H22" t="s">
        <v>5541</v>
      </c>
      <c r="I22" t="s">
        <v>5542</v>
      </c>
    </row>
    <row r="23" spans="1:12" ht="15" customHeight="1" x14ac:dyDescent="0.25">
      <c r="A23" t="s">
        <v>5465</v>
      </c>
      <c r="B23" t="s">
        <v>5466</v>
      </c>
      <c r="C23" t="s">
        <v>5466</v>
      </c>
      <c r="D23" t="s">
        <v>5466</v>
      </c>
      <c r="E23" t="s">
        <v>3994</v>
      </c>
      <c r="F23" t="s">
        <v>39</v>
      </c>
      <c r="G23" t="s">
        <v>3455</v>
      </c>
      <c r="H23" t="s">
        <v>5543</v>
      </c>
      <c r="I23" t="s">
        <v>5504</v>
      </c>
      <c r="J23" t="s">
        <v>5544</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5545</v>
      </c>
      <c r="D1" t="s">
        <v>5546</v>
      </c>
      <c r="E1" t="s">
        <v>5547</v>
      </c>
      <c r="F1" t="s">
        <v>5548</v>
      </c>
      <c r="G1" t="s">
        <v>5549</v>
      </c>
      <c r="H1" t="s">
        <v>5550</v>
      </c>
      <c r="I1" t="s">
        <v>5551</v>
      </c>
      <c r="J1" t="s">
        <v>5552</v>
      </c>
      <c r="K1" t="s">
        <v>3494</v>
      </c>
      <c r="L1" t="s">
        <v>4006</v>
      </c>
      <c r="M1" t="s">
        <v>171</v>
      </c>
    </row>
    <row r="2" spans="1:13" ht="15" customHeight="1" x14ac:dyDescent="0.25">
      <c r="A2" t="s">
        <v>5553</v>
      </c>
      <c r="B2" t="s">
        <v>3511</v>
      </c>
      <c r="C2" t="s">
        <v>5554</v>
      </c>
      <c r="D2" t="s">
        <v>101</v>
      </c>
      <c r="E2" t="s">
        <v>5554</v>
      </c>
      <c r="F2" t="s">
        <v>101</v>
      </c>
      <c r="G2" t="s">
        <v>5554</v>
      </c>
      <c r="H2" t="s">
        <v>101</v>
      </c>
      <c r="I2" t="s">
        <v>5554</v>
      </c>
      <c r="J2" t="s">
        <v>101</v>
      </c>
      <c r="K2" t="s">
        <v>2154</v>
      </c>
      <c r="L2" t="s">
        <v>4039</v>
      </c>
    </row>
    <row r="3" spans="1:13" ht="15" customHeight="1" x14ac:dyDescent="0.25">
      <c r="A3" t="s">
        <v>4010</v>
      </c>
      <c r="B3" t="s">
        <v>3511</v>
      </c>
      <c r="C3" t="s">
        <v>5555</v>
      </c>
      <c r="D3" t="s">
        <v>5556</v>
      </c>
      <c r="E3" t="s">
        <v>5557</v>
      </c>
      <c r="F3" t="s">
        <v>5558</v>
      </c>
      <c r="G3" t="s">
        <v>5559</v>
      </c>
      <c r="H3" t="s">
        <v>5560</v>
      </c>
      <c r="I3" t="s">
        <v>5561</v>
      </c>
      <c r="J3" t="s">
        <v>5562</v>
      </c>
      <c r="K3" t="s">
        <v>2154</v>
      </c>
      <c r="L3" t="s">
        <v>4011</v>
      </c>
    </row>
    <row r="4" spans="1:13" ht="15" customHeight="1" x14ac:dyDescent="0.25">
      <c r="A4" t="s">
        <v>4016</v>
      </c>
      <c r="B4" t="s">
        <v>3511</v>
      </c>
      <c r="C4" t="s">
        <v>5563</v>
      </c>
      <c r="D4" t="s">
        <v>5564</v>
      </c>
      <c r="E4" t="s">
        <v>5565</v>
      </c>
      <c r="F4" t="s">
        <v>5566</v>
      </c>
      <c r="G4" t="s">
        <v>5567</v>
      </c>
      <c r="H4" t="s">
        <v>5568</v>
      </c>
      <c r="I4" t="s">
        <v>5569</v>
      </c>
      <c r="J4" t="s">
        <v>5570</v>
      </c>
      <c r="K4" t="s">
        <v>1284</v>
      </c>
      <c r="L4" t="s">
        <v>4011</v>
      </c>
      <c r="M4" t="s">
        <v>4019</v>
      </c>
    </row>
    <row r="5" spans="1:13" ht="15" customHeight="1" x14ac:dyDescent="0.25">
      <c r="A5" t="s">
        <v>5571</v>
      </c>
      <c r="B5" t="s">
        <v>3511</v>
      </c>
      <c r="C5" t="s">
        <v>5572</v>
      </c>
      <c r="D5" t="s">
        <v>5573</v>
      </c>
      <c r="E5" t="s">
        <v>5574</v>
      </c>
      <c r="F5" t="s">
        <v>5575</v>
      </c>
      <c r="G5" t="s">
        <v>5576</v>
      </c>
      <c r="H5" t="s">
        <v>5577</v>
      </c>
      <c r="I5" t="s">
        <v>5578</v>
      </c>
      <c r="J5" t="s">
        <v>5579</v>
      </c>
      <c r="K5" t="s">
        <v>1725</v>
      </c>
      <c r="L5" t="s">
        <v>4028</v>
      </c>
    </row>
    <row r="6" spans="1:13" ht="15" customHeight="1" x14ac:dyDescent="0.25">
      <c r="A6" t="s">
        <v>4022</v>
      </c>
      <c r="B6" t="s">
        <v>41</v>
      </c>
      <c r="C6" t="s">
        <v>5580</v>
      </c>
      <c r="D6" t="s">
        <v>5581</v>
      </c>
      <c r="E6" t="s">
        <v>5582</v>
      </c>
      <c r="F6" t="s">
        <v>5583</v>
      </c>
      <c r="G6" t="s">
        <v>5584</v>
      </c>
      <c r="H6" t="s">
        <v>5585</v>
      </c>
      <c r="I6" t="s">
        <v>5586</v>
      </c>
      <c r="J6" t="s">
        <v>5587</v>
      </c>
      <c r="K6" t="s">
        <v>2154</v>
      </c>
      <c r="L6" t="s">
        <v>4011</v>
      </c>
    </row>
    <row r="7" spans="1:13" ht="15" customHeight="1" x14ac:dyDescent="0.25">
      <c r="A7" t="s">
        <v>5588</v>
      </c>
      <c r="B7" t="s">
        <v>41</v>
      </c>
      <c r="C7" t="s">
        <v>5589</v>
      </c>
      <c r="D7" t="s">
        <v>5590</v>
      </c>
      <c r="E7" t="s">
        <v>5591</v>
      </c>
      <c r="F7" t="s">
        <v>5592</v>
      </c>
      <c r="G7" t="s">
        <v>5593</v>
      </c>
      <c r="H7" t="s">
        <v>5594</v>
      </c>
      <c r="I7" t="s">
        <v>5595</v>
      </c>
      <c r="J7" t="s">
        <v>5596</v>
      </c>
      <c r="K7" t="s">
        <v>2154</v>
      </c>
      <c r="L7" t="s">
        <v>4028</v>
      </c>
      <c r="M7" t="s">
        <v>5597</v>
      </c>
    </row>
    <row r="8" spans="1:13" ht="15" customHeight="1" x14ac:dyDescent="0.25">
      <c r="A8" t="s">
        <v>4045</v>
      </c>
      <c r="B8" t="s">
        <v>3511</v>
      </c>
      <c r="C8" t="s">
        <v>5598</v>
      </c>
      <c r="D8" t="s">
        <v>5599</v>
      </c>
      <c r="E8" t="s">
        <v>5600</v>
      </c>
      <c r="F8" t="s">
        <v>5601</v>
      </c>
      <c r="G8" t="s">
        <v>5602</v>
      </c>
      <c r="H8" t="s">
        <v>5603</v>
      </c>
      <c r="I8" t="s">
        <v>5604</v>
      </c>
      <c r="J8" t="s">
        <v>5605</v>
      </c>
      <c r="K8" t="s">
        <v>1284</v>
      </c>
      <c r="L8" t="s">
        <v>4011</v>
      </c>
    </row>
    <row r="9" spans="1:13" ht="15" customHeight="1" x14ac:dyDescent="0.25">
      <c r="A9" t="s">
        <v>4027</v>
      </c>
      <c r="B9" t="s">
        <v>41</v>
      </c>
      <c r="C9" t="s">
        <v>5606</v>
      </c>
      <c r="D9" t="s">
        <v>5607</v>
      </c>
      <c r="E9" t="s">
        <v>5608</v>
      </c>
      <c r="F9" t="s">
        <v>5609</v>
      </c>
      <c r="G9" t="s">
        <v>5610</v>
      </c>
      <c r="H9" t="s">
        <v>5611</v>
      </c>
      <c r="I9" t="s">
        <v>5612</v>
      </c>
      <c r="J9" t="s">
        <v>5613</v>
      </c>
      <c r="K9" t="s">
        <v>2154</v>
      </c>
      <c r="L9" t="s">
        <v>4028</v>
      </c>
      <c r="M9" t="s">
        <v>4031</v>
      </c>
    </row>
    <row r="10" spans="1:13" ht="15" customHeight="1" x14ac:dyDescent="0.25">
      <c r="A10" t="s">
        <v>4034</v>
      </c>
      <c r="B10" t="s">
        <v>3511</v>
      </c>
      <c r="C10" t="s">
        <v>5614</v>
      </c>
      <c r="D10" t="s">
        <v>5615</v>
      </c>
      <c r="E10" t="s">
        <v>5616</v>
      </c>
      <c r="F10" t="s">
        <v>5617</v>
      </c>
      <c r="G10" t="s">
        <v>5618</v>
      </c>
      <c r="H10" t="s">
        <v>4035</v>
      </c>
      <c r="I10" t="s">
        <v>5619</v>
      </c>
      <c r="J10" t="s">
        <v>5620</v>
      </c>
      <c r="K10" t="s">
        <v>2154</v>
      </c>
      <c r="L10" t="s">
        <v>4028</v>
      </c>
    </row>
    <row r="11" spans="1:13" ht="15" customHeight="1" x14ac:dyDescent="0.25">
      <c r="A11" t="s">
        <v>5621</v>
      </c>
      <c r="B11" t="s">
        <v>3511</v>
      </c>
      <c r="C11" t="s">
        <v>5622</v>
      </c>
      <c r="D11" t="s">
        <v>5623</v>
      </c>
      <c r="E11" t="s">
        <v>5624</v>
      </c>
      <c r="F11" t="s">
        <v>5625</v>
      </c>
      <c r="G11" t="s">
        <v>5626</v>
      </c>
      <c r="H11" t="s">
        <v>5627</v>
      </c>
      <c r="I11" t="s">
        <v>5628</v>
      </c>
      <c r="J11" t="s">
        <v>5629</v>
      </c>
      <c r="K11" t="s">
        <v>2154</v>
      </c>
      <c r="L11" t="s">
        <v>4011</v>
      </c>
    </row>
    <row r="12" spans="1:13" ht="15" customHeight="1" x14ac:dyDescent="0.25">
      <c r="A12" t="s">
        <v>5630</v>
      </c>
      <c r="B12" t="s">
        <v>41</v>
      </c>
      <c r="C12" t="s">
        <v>5631</v>
      </c>
      <c r="D12" t="s">
        <v>5632</v>
      </c>
      <c r="E12" t="s">
        <v>5633</v>
      </c>
      <c r="F12" t="s">
        <v>5634</v>
      </c>
      <c r="G12" t="s">
        <v>5635</v>
      </c>
      <c r="H12" t="s">
        <v>5636</v>
      </c>
      <c r="I12" t="s">
        <v>5637</v>
      </c>
      <c r="J12" t="s">
        <v>5638</v>
      </c>
      <c r="K12" t="s">
        <v>2154</v>
      </c>
      <c r="L12" t="s">
        <v>4039</v>
      </c>
      <c r="M12" t="s">
        <v>4042</v>
      </c>
    </row>
    <row r="13" spans="1:13" ht="15" customHeight="1" x14ac:dyDescent="0.25">
      <c r="A13" t="s">
        <v>5639</v>
      </c>
      <c r="B13" t="s">
        <v>3499</v>
      </c>
      <c r="C13" t="s">
        <v>5640</v>
      </c>
      <c r="D13" t="s">
        <v>5641</v>
      </c>
      <c r="E13" t="s">
        <v>5642</v>
      </c>
      <c r="F13" t="s">
        <v>5643</v>
      </c>
      <c r="G13" t="s">
        <v>5644</v>
      </c>
      <c r="H13" t="s">
        <v>5645</v>
      </c>
      <c r="I13" t="s">
        <v>5646</v>
      </c>
      <c r="J13" t="s">
        <v>5647</v>
      </c>
      <c r="K13" t="s">
        <v>2154</v>
      </c>
      <c r="L13" t="s">
        <v>4028</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4158</v>
      </c>
      <c r="B2" t="s">
        <v>41</v>
      </c>
      <c r="C2" t="s">
        <v>5648</v>
      </c>
      <c r="D2" t="s">
        <v>90</v>
      </c>
      <c r="E2" t="s">
        <v>4159</v>
      </c>
    </row>
    <row r="3" spans="1:5" ht="15" customHeight="1" x14ac:dyDescent="0.25">
      <c r="A3" t="s">
        <v>4160</v>
      </c>
      <c r="B3" t="s">
        <v>41</v>
      </c>
      <c r="C3" t="s">
        <v>5649</v>
      </c>
      <c r="D3" t="s">
        <v>90</v>
      </c>
      <c r="E3" t="s">
        <v>4163</v>
      </c>
    </row>
    <row r="4" spans="1:5" ht="15" customHeight="1" x14ac:dyDescent="0.25">
      <c r="A4" t="s">
        <v>5650</v>
      </c>
      <c r="B4" t="s">
        <v>41</v>
      </c>
      <c r="C4" t="s">
        <v>5651</v>
      </c>
      <c r="D4" t="s">
        <v>90</v>
      </c>
      <c r="E4" t="s">
        <v>5652</v>
      </c>
    </row>
    <row r="5" spans="1:5" ht="15" customHeight="1" x14ac:dyDescent="0.25">
      <c r="A5" t="s">
        <v>5653</v>
      </c>
      <c r="B5" t="s">
        <v>41</v>
      </c>
      <c r="C5" t="s">
        <v>5654</v>
      </c>
      <c r="D5" t="s">
        <v>90</v>
      </c>
      <c r="E5" t="s">
        <v>5655</v>
      </c>
    </row>
    <row r="6" spans="1:5" ht="15" customHeight="1" x14ac:dyDescent="0.25">
      <c r="A6" t="s">
        <v>5656</v>
      </c>
      <c r="B6" t="s">
        <v>41</v>
      </c>
      <c r="C6" t="s">
        <v>5657</v>
      </c>
      <c r="D6" t="s">
        <v>90</v>
      </c>
      <c r="E6" t="s">
        <v>5658</v>
      </c>
    </row>
    <row r="7" spans="1:5" ht="15" customHeight="1" x14ac:dyDescent="0.25">
      <c r="A7" t="s">
        <v>4164</v>
      </c>
      <c r="B7" t="s">
        <v>41</v>
      </c>
      <c r="C7" t="s">
        <v>5659</v>
      </c>
      <c r="D7" t="s">
        <v>90</v>
      </c>
      <c r="E7" t="s">
        <v>4169</v>
      </c>
    </row>
    <row r="8" spans="1:5" ht="15" customHeight="1" x14ac:dyDescent="0.25">
      <c r="A8" t="s">
        <v>4170</v>
      </c>
      <c r="B8" t="s">
        <v>41</v>
      </c>
      <c r="C8" t="s">
        <v>5660</v>
      </c>
      <c r="D8" t="s">
        <v>90</v>
      </c>
      <c r="E8" t="s">
        <v>4175</v>
      </c>
    </row>
    <row r="9" spans="1:5" ht="15" customHeight="1" x14ac:dyDescent="0.25">
      <c r="A9" t="s">
        <v>4176</v>
      </c>
      <c r="B9" t="s">
        <v>3499</v>
      </c>
      <c r="C9" t="s">
        <v>5661</v>
      </c>
      <c r="D9" t="s">
        <v>90</v>
      </c>
      <c r="E9" t="s">
        <v>4179</v>
      </c>
    </row>
    <row r="10" spans="1:5" ht="15" customHeight="1" x14ac:dyDescent="0.25">
      <c r="A10" t="s">
        <v>4180</v>
      </c>
      <c r="B10" t="s">
        <v>41</v>
      </c>
      <c r="C10" t="s">
        <v>5662</v>
      </c>
      <c r="D10" t="s">
        <v>90</v>
      </c>
      <c r="E10" t="s">
        <v>4185</v>
      </c>
    </row>
    <row r="11" spans="1:5" ht="15" customHeight="1" x14ac:dyDescent="0.25">
      <c r="A11" t="s">
        <v>4186</v>
      </c>
      <c r="B11" t="s">
        <v>41</v>
      </c>
      <c r="C11" t="s">
        <v>5663</v>
      </c>
      <c r="D11" t="s">
        <v>90</v>
      </c>
      <c r="E11" t="s">
        <v>4191</v>
      </c>
    </row>
    <row r="12" spans="1:5" ht="15" customHeight="1" x14ac:dyDescent="0.25">
      <c r="A12" t="s">
        <v>4192</v>
      </c>
      <c r="B12" t="s">
        <v>41</v>
      </c>
      <c r="C12" t="s">
        <v>5664</v>
      </c>
      <c r="D12" t="s">
        <v>90</v>
      </c>
      <c r="E12" t="s">
        <v>4197</v>
      </c>
    </row>
    <row r="13" spans="1:5" ht="15" customHeight="1" x14ac:dyDescent="0.25">
      <c r="A13" t="s">
        <v>5665</v>
      </c>
      <c r="B13" t="s">
        <v>3511</v>
      </c>
      <c r="C13" t="s">
        <v>5666</v>
      </c>
      <c r="D13" t="s">
        <v>90</v>
      </c>
      <c r="E13" t="s">
        <v>5667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4530</v>
      </c>
      <c r="E1" t="s">
        <v>5668</v>
      </c>
      <c r="F1" t="s">
        <v>5669</v>
      </c>
      <c r="G1" t="s">
        <v>5670</v>
      </c>
      <c r="H1" t="s">
        <v>5671</v>
      </c>
      <c r="I1" t="s">
        <v>3447</v>
      </c>
      <c r="J1" t="s">
        <v>5672</v>
      </c>
      <c r="K1" t="s">
        <v>3441</v>
      </c>
      <c r="L1" t="s">
        <v>5673</v>
      </c>
      <c r="M1" t="s">
        <v>3835</v>
      </c>
      <c r="N1" t="s">
        <v>5674</v>
      </c>
      <c r="O1" t="s">
        <v>5675</v>
      </c>
      <c r="P1" t="s">
        <v>3448</v>
      </c>
      <c r="Q1" t="s">
        <v>3449</v>
      </c>
      <c r="R1" t="s">
        <v>3450</v>
      </c>
      <c r="S1" t="s">
        <v>5676</v>
      </c>
      <c r="T1" t="s">
        <v>5677</v>
      </c>
      <c r="U1" t="s">
        <v>5678</v>
      </c>
      <c r="V1" t="s">
        <v>5679</v>
      </c>
      <c r="W1" t="s">
        <v>5680</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5681</v>
      </c>
      <c r="R2" t="s">
        <v>3484</v>
      </c>
      <c r="S2" t="s">
        <v>5421</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5682</v>
      </c>
      <c r="Q3" t="s">
        <v>5683</v>
      </c>
      <c r="R3" t="s">
        <v>3467</v>
      </c>
      <c r="S3" t="s">
        <v>5438</v>
      </c>
      <c r="T3">
        <v>5</v>
      </c>
      <c r="U3">
        <v>4</v>
      </c>
      <c r="V3" t="s">
        <v>5684</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5685</v>
      </c>
      <c r="R4" t="s">
        <v>3491</v>
      </c>
      <c r="S4" t="s">
        <v>4547</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5686</v>
      </c>
      <c r="R5" t="s">
        <v>3475</v>
      </c>
      <c r="S5" t="s">
        <v>5687</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5688</v>
      </c>
      <c r="Q6" t="s">
        <v>5689</v>
      </c>
      <c r="R6" t="s">
        <v>3463</v>
      </c>
      <c r="S6" t="s">
        <v>5421</v>
      </c>
      <c r="T6">
        <v>5</v>
      </c>
      <c r="U6">
        <v>4</v>
      </c>
      <c r="V6" t="s">
        <v>3440</v>
      </c>
      <c r="X6" t="s">
        <v>3464</v>
      </c>
    </row>
    <row r="7" spans="1:24" ht="15" customHeight="1" x14ac:dyDescent="0.25">
      <c r="A7" t="s">
        <v>5690</v>
      </c>
      <c r="B7" t="s">
        <v>90</v>
      </c>
      <c r="C7">
        <v>70</v>
      </c>
      <c r="D7">
        <v>3</v>
      </c>
      <c r="E7">
        <v>0</v>
      </c>
      <c r="F7">
        <v>2</v>
      </c>
      <c r="G7">
        <v>0</v>
      </c>
      <c r="H7">
        <v>0</v>
      </c>
      <c r="I7">
        <v>0</v>
      </c>
      <c r="J7">
        <v>0</v>
      </c>
      <c r="K7">
        <v>0</v>
      </c>
      <c r="L7">
        <v>0</v>
      </c>
      <c r="M7">
        <v>0</v>
      </c>
      <c r="N7">
        <v>0</v>
      </c>
      <c r="O7">
        <v>0</v>
      </c>
      <c r="P7" t="s">
        <v>5688</v>
      </c>
      <c r="Q7" t="s">
        <v>5691</v>
      </c>
      <c r="R7" t="s">
        <v>5692</v>
      </c>
      <c r="S7" t="s">
        <v>5421</v>
      </c>
      <c r="T7">
        <v>5</v>
      </c>
      <c r="U7">
        <v>5</v>
      </c>
      <c r="V7" t="s">
        <v>5693</v>
      </c>
      <c r="W7" t="s">
        <v>5694</v>
      </c>
      <c r="X7" t="s">
        <v>4799</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5695</v>
      </c>
      <c r="E1" t="s">
        <v>3450</v>
      </c>
      <c r="F1" t="s">
        <v>5696</v>
      </c>
      <c r="G1" t="s">
        <v>5697</v>
      </c>
      <c r="H1" t="s">
        <v>4257</v>
      </c>
      <c r="I1" t="s">
        <v>1</v>
      </c>
      <c r="J1" t="s">
        <v>170</v>
      </c>
    </row>
    <row r="2" spans="1:10" ht="15" customHeight="1" x14ac:dyDescent="0.25">
      <c r="A2" t="s">
        <v>5698</v>
      </c>
      <c r="B2" t="s">
        <v>3511</v>
      </c>
      <c r="C2" t="s">
        <v>4594</v>
      </c>
      <c r="D2">
        <v>1</v>
      </c>
      <c r="E2" t="s">
        <v>5699</v>
      </c>
      <c r="F2" t="s">
        <v>5700</v>
      </c>
      <c r="G2">
        <v>1</v>
      </c>
      <c r="H2" t="s">
        <v>5698</v>
      </c>
      <c r="I2" t="s">
        <v>90</v>
      </c>
      <c r="J2" t="s">
        <v>5701</v>
      </c>
    </row>
    <row r="3" spans="1:10" ht="15" customHeight="1" x14ac:dyDescent="0.25">
      <c r="A3" t="s">
        <v>5702</v>
      </c>
      <c r="B3" t="s">
        <v>41</v>
      </c>
      <c r="C3" t="s">
        <v>5357</v>
      </c>
      <c r="D3">
        <v>1</v>
      </c>
      <c r="E3" t="s">
        <v>5703</v>
      </c>
      <c r="F3" t="s">
        <v>5704</v>
      </c>
      <c r="G3">
        <v>1</v>
      </c>
      <c r="H3" t="s">
        <v>5702</v>
      </c>
      <c r="I3" t="s">
        <v>90</v>
      </c>
      <c r="J3" t="s">
        <v>5705</v>
      </c>
    </row>
    <row r="4" spans="1:10" ht="15" customHeight="1" x14ac:dyDescent="0.25">
      <c r="A4" t="s">
        <v>5706</v>
      </c>
      <c r="B4" t="s">
        <v>3499</v>
      </c>
      <c r="C4" t="s">
        <v>5357</v>
      </c>
      <c r="D4">
        <v>0</v>
      </c>
      <c r="E4" t="s">
        <v>5707</v>
      </c>
      <c r="F4" t="s">
        <v>5708</v>
      </c>
      <c r="G4">
        <v>0</v>
      </c>
      <c r="H4" t="s">
        <v>5706</v>
      </c>
      <c r="I4" t="s">
        <v>90</v>
      </c>
      <c r="J4" t="s">
        <v>5709</v>
      </c>
    </row>
    <row r="5" spans="1:10" ht="15" customHeight="1" x14ac:dyDescent="0.25">
      <c r="A5" t="s">
        <v>5710</v>
      </c>
      <c r="B5" t="s">
        <v>3499</v>
      </c>
      <c r="C5" t="s">
        <v>4594</v>
      </c>
      <c r="D5">
        <v>1</v>
      </c>
      <c r="E5" t="s">
        <v>5711</v>
      </c>
      <c r="F5" t="s">
        <v>5712</v>
      </c>
      <c r="G5">
        <v>1</v>
      </c>
      <c r="H5" t="s">
        <v>5713</v>
      </c>
      <c r="I5" t="s">
        <v>90</v>
      </c>
      <c r="J5" t="s">
        <v>5714</v>
      </c>
    </row>
    <row r="6" spans="1:10" ht="15" customHeight="1" x14ac:dyDescent="0.25">
      <c r="A6" t="s">
        <v>5715</v>
      </c>
      <c r="B6" t="s">
        <v>3499</v>
      </c>
      <c r="C6" t="s">
        <v>5357</v>
      </c>
      <c r="D6">
        <v>1</v>
      </c>
      <c r="E6" t="s">
        <v>5716</v>
      </c>
      <c r="F6" t="s">
        <v>5716</v>
      </c>
      <c r="G6">
        <v>0</v>
      </c>
      <c r="H6" t="s">
        <v>5715</v>
      </c>
      <c r="I6" t="s">
        <v>90</v>
      </c>
      <c r="J6" t="s">
        <v>5717</v>
      </c>
    </row>
    <row r="7" spans="1:10" ht="15" customHeight="1" x14ac:dyDescent="0.25">
      <c r="A7" t="s">
        <v>5718</v>
      </c>
      <c r="B7" t="s">
        <v>3499</v>
      </c>
      <c r="C7" t="s">
        <v>5719</v>
      </c>
      <c r="D7">
        <v>2</v>
      </c>
      <c r="E7" t="s">
        <v>5720</v>
      </c>
      <c r="F7" t="s">
        <v>5721</v>
      </c>
      <c r="G7">
        <v>2</v>
      </c>
      <c r="H7" t="s">
        <v>5722</v>
      </c>
      <c r="I7" t="s">
        <v>90</v>
      </c>
      <c r="J7" t="s">
        <v>5723</v>
      </c>
    </row>
    <row r="8" spans="1:10" ht="15" customHeight="1" x14ac:dyDescent="0.25">
      <c r="A8" t="s">
        <v>5724</v>
      </c>
      <c r="B8" t="s">
        <v>3511</v>
      </c>
      <c r="C8" t="s">
        <v>5719</v>
      </c>
      <c r="D8">
        <v>1</v>
      </c>
      <c r="E8" t="s">
        <v>5725</v>
      </c>
      <c r="F8" t="s">
        <v>5726</v>
      </c>
      <c r="G8">
        <v>1</v>
      </c>
      <c r="H8" t="s">
        <v>5727</v>
      </c>
      <c r="I8" t="s">
        <v>90</v>
      </c>
      <c r="J8" t="s">
        <v>5728</v>
      </c>
    </row>
    <row r="9" spans="1:10" ht="15" customHeight="1" x14ac:dyDescent="0.25">
      <c r="A9" t="s">
        <v>5729</v>
      </c>
      <c r="B9" t="s">
        <v>41</v>
      </c>
      <c r="C9" t="s">
        <v>5719</v>
      </c>
      <c r="D9">
        <v>0</v>
      </c>
      <c r="E9" t="s">
        <v>5730</v>
      </c>
      <c r="F9" t="s">
        <v>5731</v>
      </c>
      <c r="G9">
        <v>0</v>
      </c>
      <c r="H9" t="s">
        <v>5729</v>
      </c>
      <c r="I9" t="s">
        <v>90</v>
      </c>
      <c r="J9" t="s">
        <v>5732</v>
      </c>
    </row>
    <row r="10" spans="1:10" ht="15" customHeight="1" x14ac:dyDescent="0.25">
      <c r="A10" t="s">
        <v>5733</v>
      </c>
      <c r="B10" t="s">
        <v>41</v>
      </c>
      <c r="C10" t="s">
        <v>5357</v>
      </c>
      <c r="D10">
        <v>1</v>
      </c>
      <c r="E10" t="s">
        <v>5734</v>
      </c>
      <c r="F10" t="s">
        <v>5735</v>
      </c>
      <c r="G10">
        <v>1</v>
      </c>
      <c r="H10" t="s">
        <v>5733</v>
      </c>
      <c r="I10" t="s">
        <v>90</v>
      </c>
      <c r="J10" t="s">
        <v>5736</v>
      </c>
    </row>
    <row r="11" spans="1:10" ht="15" customHeight="1" x14ac:dyDescent="0.25">
      <c r="A11" t="s">
        <v>5737</v>
      </c>
      <c r="B11" t="s">
        <v>41</v>
      </c>
      <c r="C11" t="s">
        <v>5357</v>
      </c>
      <c r="D11">
        <v>1</v>
      </c>
      <c r="E11" t="s">
        <v>5738</v>
      </c>
      <c r="F11" t="s">
        <v>5739</v>
      </c>
      <c r="G11">
        <v>1</v>
      </c>
      <c r="H11" t="s">
        <v>5737</v>
      </c>
      <c r="I11" t="s">
        <v>90</v>
      </c>
      <c r="J11" t="s">
        <v>5740</v>
      </c>
    </row>
    <row r="12" spans="1:10" ht="15" customHeight="1" x14ac:dyDescent="0.25">
      <c r="A12" t="s">
        <v>5741</v>
      </c>
      <c r="B12" t="s">
        <v>3511</v>
      </c>
      <c r="C12" t="s">
        <v>5719</v>
      </c>
      <c r="D12">
        <v>0</v>
      </c>
      <c r="E12" t="s">
        <v>5742</v>
      </c>
      <c r="F12" t="s">
        <v>5743</v>
      </c>
      <c r="G12">
        <v>0</v>
      </c>
      <c r="H12" t="s">
        <v>5741</v>
      </c>
      <c r="I12" t="s">
        <v>90</v>
      </c>
      <c r="J12" t="s">
        <v>5744</v>
      </c>
    </row>
    <row r="13" spans="1:10" ht="15" customHeight="1" x14ac:dyDescent="0.25">
      <c r="A13" t="s">
        <v>4424</v>
      </c>
      <c r="B13" t="s">
        <v>3511</v>
      </c>
      <c r="C13" t="s">
        <v>5357</v>
      </c>
      <c r="D13">
        <v>1</v>
      </c>
      <c r="E13" t="s">
        <v>5745</v>
      </c>
      <c r="F13" t="s">
        <v>5745</v>
      </c>
      <c r="G13">
        <v>1</v>
      </c>
      <c r="H13" t="s">
        <v>4429</v>
      </c>
      <c r="I13" t="s">
        <v>1649</v>
      </c>
      <c r="J13" t="s">
        <v>5746</v>
      </c>
    </row>
    <row r="14" spans="1:10" ht="15" customHeight="1" x14ac:dyDescent="0.25">
      <c r="A14" t="s">
        <v>5747</v>
      </c>
      <c r="B14" t="s">
        <v>41</v>
      </c>
      <c r="C14" t="s">
        <v>5719</v>
      </c>
      <c r="D14">
        <v>1</v>
      </c>
      <c r="E14" t="s">
        <v>5748</v>
      </c>
      <c r="F14" t="s">
        <v>5749</v>
      </c>
      <c r="G14">
        <v>1</v>
      </c>
      <c r="H14" t="s">
        <v>5747</v>
      </c>
      <c r="I14" t="s">
        <v>90</v>
      </c>
      <c r="J14" t="s">
        <v>5750</v>
      </c>
    </row>
    <row r="15" spans="1:10" ht="15" customHeight="1" x14ac:dyDescent="0.25">
      <c r="A15" t="s">
        <v>4435</v>
      </c>
      <c r="B15" t="s">
        <v>3511</v>
      </c>
      <c r="C15" t="s">
        <v>5719</v>
      </c>
      <c r="D15">
        <v>1</v>
      </c>
      <c r="E15" t="s">
        <v>5751</v>
      </c>
      <c r="F15" t="s">
        <v>5751</v>
      </c>
      <c r="G15">
        <v>1</v>
      </c>
      <c r="H15" t="s">
        <v>4435</v>
      </c>
      <c r="I15" t="s">
        <v>1046</v>
      </c>
      <c r="J15" t="s">
        <v>5752</v>
      </c>
    </row>
    <row r="16" spans="1:10" ht="15" customHeight="1" x14ac:dyDescent="0.25">
      <c r="A16" t="s">
        <v>3518</v>
      </c>
      <c r="B16" t="s">
        <v>3499</v>
      </c>
      <c r="C16" t="s">
        <v>4594</v>
      </c>
      <c r="D16">
        <v>3</v>
      </c>
      <c r="E16" t="s">
        <v>5753</v>
      </c>
      <c r="F16" t="s">
        <v>5753</v>
      </c>
      <c r="G16">
        <v>2</v>
      </c>
      <c r="H16" t="s">
        <v>3518</v>
      </c>
      <c r="I16" t="s">
        <v>90</v>
      </c>
      <c r="J16" t="s">
        <v>5736</v>
      </c>
    </row>
    <row r="17" spans="1:10" ht="15" customHeight="1" x14ac:dyDescent="0.25">
      <c r="A17" t="s">
        <v>3440</v>
      </c>
      <c r="B17" t="s">
        <v>3543</v>
      </c>
      <c r="C17" t="s">
        <v>5719</v>
      </c>
      <c r="D17">
        <v>2</v>
      </c>
      <c r="E17" t="s">
        <v>5754</v>
      </c>
      <c r="F17" t="s">
        <v>5755</v>
      </c>
      <c r="G17">
        <v>2</v>
      </c>
      <c r="H17" t="s">
        <v>3440</v>
      </c>
      <c r="I17" t="s">
        <v>90</v>
      </c>
      <c r="J17" t="s">
        <v>5732</v>
      </c>
    </row>
    <row r="18" spans="1:10" ht="15" customHeight="1" x14ac:dyDescent="0.25">
      <c r="A18" t="s">
        <v>5756</v>
      </c>
      <c r="B18" t="s">
        <v>3511</v>
      </c>
      <c r="C18" t="s">
        <v>5357</v>
      </c>
      <c r="D18">
        <v>0</v>
      </c>
      <c r="E18" t="s">
        <v>5757</v>
      </c>
      <c r="F18" t="s">
        <v>5758</v>
      </c>
      <c r="G18">
        <v>0</v>
      </c>
      <c r="H18" t="s">
        <v>5759</v>
      </c>
      <c r="I18" t="s">
        <v>90</v>
      </c>
      <c r="J18" t="s">
        <v>5760</v>
      </c>
    </row>
    <row r="19" spans="1:10" ht="15" customHeight="1" x14ac:dyDescent="0.25">
      <c r="A19" t="s">
        <v>5761</v>
      </c>
      <c r="B19" t="s">
        <v>41</v>
      </c>
      <c r="C19" t="s">
        <v>5719</v>
      </c>
      <c r="D19">
        <v>0</v>
      </c>
      <c r="E19" t="s">
        <v>5762</v>
      </c>
      <c r="F19" t="s">
        <v>5763</v>
      </c>
      <c r="G19">
        <v>0</v>
      </c>
      <c r="H19" t="s">
        <v>5764</v>
      </c>
      <c r="I19" t="s">
        <v>90</v>
      </c>
      <c r="J19" t="s">
        <v>5765</v>
      </c>
    </row>
    <row r="20" spans="1:10" ht="15" customHeight="1" x14ac:dyDescent="0.25">
      <c r="A20" t="s">
        <v>5766</v>
      </c>
      <c r="B20" t="s">
        <v>3499</v>
      </c>
      <c r="C20" t="s">
        <v>4594</v>
      </c>
      <c r="D20">
        <v>0</v>
      </c>
      <c r="E20" t="s">
        <v>5767</v>
      </c>
      <c r="F20" t="s">
        <v>5768</v>
      </c>
      <c r="G20">
        <v>0</v>
      </c>
      <c r="H20" t="s">
        <v>5766</v>
      </c>
      <c r="I20" t="s">
        <v>90</v>
      </c>
      <c r="J20" t="s">
        <v>5769</v>
      </c>
    </row>
    <row r="21" spans="1:10" ht="15" customHeight="1" x14ac:dyDescent="0.25">
      <c r="A21" t="s">
        <v>5770</v>
      </c>
      <c r="B21" t="s">
        <v>41</v>
      </c>
      <c r="C21" t="s">
        <v>5357</v>
      </c>
      <c r="D21">
        <v>1</v>
      </c>
      <c r="E21" t="s">
        <v>5771</v>
      </c>
      <c r="F21" t="s">
        <v>5772</v>
      </c>
      <c r="G21">
        <v>1</v>
      </c>
      <c r="H21" t="s">
        <v>5773</v>
      </c>
      <c r="I21" t="s">
        <v>90</v>
      </c>
      <c r="J21" t="s">
        <v>5774</v>
      </c>
    </row>
    <row r="22" spans="1:10" ht="15" customHeight="1" x14ac:dyDescent="0.25">
      <c r="A22" t="s">
        <v>4462</v>
      </c>
      <c r="B22" t="s">
        <v>41</v>
      </c>
      <c r="C22" t="s">
        <v>5719</v>
      </c>
      <c r="D22">
        <v>1</v>
      </c>
      <c r="E22" t="s">
        <v>5775</v>
      </c>
      <c r="F22" t="s">
        <v>5775</v>
      </c>
      <c r="G22">
        <v>1</v>
      </c>
      <c r="H22" t="s">
        <v>4465</v>
      </c>
      <c r="I22" t="s">
        <v>1104</v>
      </c>
      <c r="J22" t="s">
        <v>5752</v>
      </c>
    </row>
    <row r="23" spans="1:10" ht="15" customHeight="1" x14ac:dyDescent="0.25">
      <c r="A23" t="s">
        <v>5776</v>
      </c>
      <c r="B23" t="s">
        <v>3511</v>
      </c>
      <c r="C23" t="s">
        <v>5719</v>
      </c>
      <c r="D23">
        <v>4</v>
      </c>
      <c r="E23" t="s">
        <v>5777</v>
      </c>
      <c r="F23" t="s">
        <v>5778</v>
      </c>
      <c r="G23">
        <v>3</v>
      </c>
      <c r="H23" t="s">
        <v>5779</v>
      </c>
      <c r="I23" t="s">
        <v>90</v>
      </c>
      <c r="J23" t="s">
        <v>5760</v>
      </c>
    </row>
    <row r="24" spans="1:10" ht="15" customHeight="1" x14ac:dyDescent="0.25">
      <c r="A24" t="s">
        <v>4466</v>
      </c>
      <c r="B24" t="s">
        <v>3499</v>
      </c>
      <c r="C24" t="s">
        <v>5719</v>
      </c>
      <c r="D24">
        <v>1</v>
      </c>
      <c r="E24" t="s">
        <v>5780</v>
      </c>
      <c r="F24" t="s">
        <v>5780</v>
      </c>
      <c r="G24">
        <v>1</v>
      </c>
      <c r="H24" t="s">
        <v>4469</v>
      </c>
      <c r="I24" t="s">
        <v>1621</v>
      </c>
      <c r="J24" t="s">
        <v>5752</v>
      </c>
    </row>
    <row r="25" spans="1:10" ht="15" customHeight="1" x14ac:dyDescent="0.25">
      <c r="A25" t="s">
        <v>5781</v>
      </c>
      <c r="B25" t="s">
        <v>3511</v>
      </c>
      <c r="C25" t="s">
        <v>5357</v>
      </c>
      <c r="D25">
        <v>0</v>
      </c>
      <c r="E25" t="s">
        <v>5782</v>
      </c>
      <c r="F25" t="s">
        <v>5783</v>
      </c>
      <c r="G25">
        <v>0</v>
      </c>
      <c r="H25" t="s">
        <v>5781</v>
      </c>
      <c r="I25" t="s">
        <v>90</v>
      </c>
      <c r="J25" t="s">
        <v>5769</v>
      </c>
    </row>
    <row r="26" spans="1:10" ht="15" customHeight="1" x14ac:dyDescent="0.25">
      <c r="A26" t="s">
        <v>5784</v>
      </c>
      <c r="B26" t="s">
        <v>3499</v>
      </c>
      <c r="C26" t="s">
        <v>5719</v>
      </c>
      <c r="D26">
        <v>3</v>
      </c>
      <c r="E26" t="s">
        <v>5785</v>
      </c>
      <c r="F26" t="s">
        <v>5786</v>
      </c>
      <c r="G26">
        <v>3</v>
      </c>
      <c r="H26" t="s">
        <v>5784</v>
      </c>
      <c r="I26" t="s">
        <v>90</v>
      </c>
      <c r="J26" t="s">
        <v>5732</v>
      </c>
    </row>
    <row r="27" spans="1:10" ht="15" customHeight="1" x14ac:dyDescent="0.25">
      <c r="A27" t="s">
        <v>5787</v>
      </c>
      <c r="B27" t="s">
        <v>4294</v>
      </c>
      <c r="C27" t="s">
        <v>3653</v>
      </c>
      <c r="D27">
        <v>1</v>
      </c>
      <c r="E27" t="s">
        <v>5788</v>
      </c>
      <c r="F27" t="s">
        <v>3455</v>
      </c>
      <c r="G27" t="s">
        <v>3455</v>
      </c>
      <c r="H27" t="s">
        <v>5789</v>
      </c>
      <c r="I27" t="s">
        <v>501</v>
      </c>
      <c r="J27" t="s">
        <v>5790</v>
      </c>
    </row>
    <row r="28" spans="1:10" ht="15" customHeight="1" x14ac:dyDescent="0.25">
      <c r="A28" t="s">
        <v>5157</v>
      </c>
      <c r="B28" t="s">
        <v>3511</v>
      </c>
      <c r="C28" t="s">
        <v>5357</v>
      </c>
      <c r="D28">
        <v>1</v>
      </c>
      <c r="E28" t="s">
        <v>5791</v>
      </c>
      <c r="F28" t="s">
        <v>5792</v>
      </c>
      <c r="G28">
        <v>1</v>
      </c>
      <c r="H28" t="s">
        <v>5157</v>
      </c>
      <c r="I28" t="s">
        <v>90</v>
      </c>
      <c r="J28" t="s">
        <v>5714</v>
      </c>
    </row>
    <row r="29" spans="1:10" ht="15" customHeight="1" x14ac:dyDescent="0.25">
      <c r="A29" t="s">
        <v>5793</v>
      </c>
      <c r="B29" t="s">
        <v>41</v>
      </c>
      <c r="C29" t="s">
        <v>5719</v>
      </c>
      <c r="D29">
        <v>1</v>
      </c>
      <c r="E29" t="s">
        <v>5794</v>
      </c>
      <c r="F29" t="s">
        <v>5794</v>
      </c>
      <c r="G29">
        <v>0</v>
      </c>
      <c r="H29" t="s">
        <v>5795</v>
      </c>
      <c r="I29" t="s">
        <v>90</v>
      </c>
      <c r="J29" t="s">
        <v>5732</v>
      </c>
    </row>
    <row r="30" spans="1:10" ht="15" customHeight="1" x14ac:dyDescent="0.25">
      <c r="A30" t="s">
        <v>5796</v>
      </c>
      <c r="B30" t="s">
        <v>3511</v>
      </c>
      <c r="C30" t="s">
        <v>5357</v>
      </c>
      <c r="D30">
        <v>0</v>
      </c>
      <c r="E30" t="s">
        <v>5797</v>
      </c>
      <c r="F30" t="s">
        <v>5798</v>
      </c>
      <c r="G30">
        <v>0</v>
      </c>
      <c r="H30" t="s">
        <v>5799</v>
      </c>
      <c r="I30" t="s">
        <v>90</v>
      </c>
      <c r="J30" t="s">
        <v>5800</v>
      </c>
    </row>
    <row r="31" spans="1:10" ht="15" customHeight="1" x14ac:dyDescent="0.25">
      <c r="A31" t="s">
        <v>5801</v>
      </c>
      <c r="B31" t="s">
        <v>3511</v>
      </c>
      <c r="C31" t="s">
        <v>5802</v>
      </c>
      <c r="D31">
        <v>3</v>
      </c>
      <c r="E31" t="s">
        <v>5803</v>
      </c>
      <c r="F31" t="s">
        <v>5804</v>
      </c>
      <c r="G31">
        <v>3</v>
      </c>
      <c r="H31" t="s">
        <v>5805</v>
      </c>
      <c r="I31" t="s">
        <v>1672</v>
      </c>
    </row>
    <row r="32" spans="1:10" ht="15" customHeight="1" x14ac:dyDescent="0.25">
      <c r="A32" t="s">
        <v>5806</v>
      </c>
      <c r="B32" t="s">
        <v>3511</v>
      </c>
      <c r="C32" t="s">
        <v>5357</v>
      </c>
      <c r="D32">
        <v>2</v>
      </c>
      <c r="E32" t="s">
        <v>5807</v>
      </c>
      <c r="F32" t="s">
        <v>5808</v>
      </c>
      <c r="G32">
        <v>2</v>
      </c>
      <c r="H32" t="s">
        <v>5809</v>
      </c>
      <c r="I32" t="s">
        <v>90</v>
      </c>
      <c r="J32" t="s">
        <v>5810</v>
      </c>
    </row>
    <row r="33" spans="1:10" ht="15" customHeight="1" x14ac:dyDescent="0.25">
      <c r="A33" t="s">
        <v>5811</v>
      </c>
      <c r="B33" t="s">
        <v>3499</v>
      </c>
      <c r="C33" t="s">
        <v>4594</v>
      </c>
      <c r="D33">
        <v>0</v>
      </c>
      <c r="E33" t="s">
        <v>5812</v>
      </c>
      <c r="F33" t="s">
        <v>5813</v>
      </c>
      <c r="G33">
        <v>0</v>
      </c>
      <c r="H33" t="s">
        <v>5811</v>
      </c>
      <c r="I33" t="s">
        <v>90</v>
      </c>
      <c r="J33" t="s">
        <v>5760</v>
      </c>
    </row>
    <row r="34" spans="1:10" ht="15" customHeight="1" x14ac:dyDescent="0.25">
      <c r="A34" t="s">
        <v>5163</v>
      </c>
      <c r="B34" t="s">
        <v>3499</v>
      </c>
      <c r="C34" t="s">
        <v>4594</v>
      </c>
      <c r="D34">
        <v>2</v>
      </c>
      <c r="E34" t="s">
        <v>5814</v>
      </c>
      <c r="F34" t="s">
        <v>5815</v>
      </c>
      <c r="G34">
        <v>2</v>
      </c>
      <c r="H34" t="s">
        <v>5163</v>
      </c>
      <c r="I34" t="s">
        <v>90</v>
      </c>
      <c r="J34" t="s">
        <v>5816</v>
      </c>
    </row>
    <row r="35" spans="1:10" ht="15" customHeight="1" x14ac:dyDescent="0.25">
      <c r="A35" t="s">
        <v>5817</v>
      </c>
      <c r="B35" t="s">
        <v>3499</v>
      </c>
      <c r="C35" t="s">
        <v>5357</v>
      </c>
      <c r="D35">
        <v>3</v>
      </c>
      <c r="E35" t="s">
        <v>5818</v>
      </c>
      <c r="F35" t="s">
        <v>5818</v>
      </c>
      <c r="G35">
        <v>2</v>
      </c>
      <c r="H35" t="s">
        <v>5819</v>
      </c>
      <c r="I35" t="s">
        <v>90</v>
      </c>
      <c r="J35" t="s">
        <v>5820</v>
      </c>
    </row>
    <row r="36" spans="1:10" ht="15" customHeight="1" x14ac:dyDescent="0.25">
      <c r="A36" t="s">
        <v>3999</v>
      </c>
      <c r="B36" t="s">
        <v>4294</v>
      </c>
      <c r="C36" t="s">
        <v>3653</v>
      </c>
      <c r="D36" t="s">
        <v>3994</v>
      </c>
      <c r="E36" t="s">
        <v>5821</v>
      </c>
      <c r="F36" t="s">
        <v>5822</v>
      </c>
      <c r="G36" t="s">
        <v>3994</v>
      </c>
      <c r="H36" t="s">
        <v>3999</v>
      </c>
      <c r="I36" t="s">
        <v>90</v>
      </c>
    </row>
    <row r="37" spans="1:10" ht="15" customHeight="1" x14ac:dyDescent="0.25">
      <c r="A37" t="s">
        <v>5823</v>
      </c>
      <c r="B37" t="s">
        <v>3511</v>
      </c>
      <c r="C37" t="s">
        <v>5357</v>
      </c>
      <c r="D37">
        <v>1</v>
      </c>
      <c r="E37" t="s">
        <v>5824</v>
      </c>
      <c r="F37" t="s">
        <v>5825</v>
      </c>
      <c r="G37">
        <v>1</v>
      </c>
      <c r="H37" t="s">
        <v>5826</v>
      </c>
      <c r="I37" t="s">
        <v>90</v>
      </c>
      <c r="J37" t="s">
        <v>5827</v>
      </c>
    </row>
    <row r="38" spans="1:10" ht="15" customHeight="1" x14ac:dyDescent="0.25">
      <c r="A38" t="s">
        <v>5167</v>
      </c>
      <c r="B38" t="s">
        <v>3499</v>
      </c>
      <c r="C38" t="s">
        <v>5357</v>
      </c>
      <c r="D38">
        <v>1</v>
      </c>
      <c r="E38" t="s">
        <v>5828</v>
      </c>
      <c r="F38" t="s">
        <v>5829</v>
      </c>
      <c r="G38">
        <v>1</v>
      </c>
      <c r="H38" t="s">
        <v>5167</v>
      </c>
      <c r="I38" t="s">
        <v>90</v>
      </c>
      <c r="J38" t="s">
        <v>5820</v>
      </c>
    </row>
    <row r="39" spans="1:10" ht="15" customHeight="1" x14ac:dyDescent="0.25">
      <c r="A39" t="s">
        <v>5830</v>
      </c>
      <c r="B39" t="s">
        <v>3511</v>
      </c>
      <c r="C39" t="s">
        <v>5357</v>
      </c>
      <c r="D39">
        <v>0</v>
      </c>
      <c r="E39" t="s">
        <v>5831</v>
      </c>
      <c r="F39" t="s">
        <v>5832</v>
      </c>
      <c r="G39">
        <v>0</v>
      </c>
      <c r="H39" t="s">
        <v>5833</v>
      </c>
      <c r="I39" t="s">
        <v>90</v>
      </c>
      <c r="J39" t="s">
        <v>5834</v>
      </c>
    </row>
    <row r="40" spans="1:10" ht="15" customHeight="1" x14ac:dyDescent="0.25">
      <c r="A40" t="s">
        <v>5835</v>
      </c>
      <c r="B40" t="s">
        <v>3511</v>
      </c>
      <c r="C40" t="s">
        <v>4594</v>
      </c>
      <c r="D40">
        <v>1</v>
      </c>
      <c r="E40" t="s">
        <v>5666</v>
      </c>
      <c r="F40" t="s">
        <v>5836</v>
      </c>
      <c r="G40">
        <v>1</v>
      </c>
      <c r="H40" t="s">
        <v>5835</v>
      </c>
      <c r="I40" t="s">
        <v>90</v>
      </c>
      <c r="J40" t="s">
        <v>5714</v>
      </c>
    </row>
    <row r="41" spans="1:10" ht="15" customHeight="1" x14ac:dyDescent="0.25">
      <c r="A41" t="s">
        <v>5837</v>
      </c>
      <c r="B41" t="s">
        <v>3511</v>
      </c>
      <c r="C41" t="s">
        <v>5719</v>
      </c>
      <c r="D41">
        <v>2</v>
      </c>
      <c r="E41" t="s">
        <v>5838</v>
      </c>
      <c r="F41" t="s">
        <v>5839</v>
      </c>
      <c r="G41">
        <v>2</v>
      </c>
      <c r="H41" t="s">
        <v>5837</v>
      </c>
      <c r="I41" t="s">
        <v>90</v>
      </c>
      <c r="J41" t="s">
        <v>5732</v>
      </c>
    </row>
    <row r="42" spans="1:10" ht="15" customHeight="1" x14ac:dyDescent="0.25">
      <c r="A42" t="s">
        <v>5840</v>
      </c>
      <c r="B42" t="s">
        <v>3511</v>
      </c>
      <c r="C42" t="s">
        <v>5357</v>
      </c>
      <c r="D42">
        <v>1</v>
      </c>
      <c r="E42" t="s">
        <v>5841</v>
      </c>
      <c r="F42" t="s">
        <v>5842</v>
      </c>
      <c r="G42">
        <v>1</v>
      </c>
      <c r="H42" t="s">
        <v>5840</v>
      </c>
      <c r="I42" t="s">
        <v>90</v>
      </c>
      <c r="J42" t="s">
        <v>5810</v>
      </c>
    </row>
    <row r="43" spans="1:10" ht="15" customHeight="1" x14ac:dyDescent="0.25">
      <c r="A43" t="s">
        <v>5843</v>
      </c>
      <c r="B43" t="s">
        <v>3511</v>
      </c>
      <c r="C43" t="s">
        <v>5719</v>
      </c>
      <c r="D43">
        <v>2</v>
      </c>
      <c r="E43" t="s">
        <v>5844</v>
      </c>
      <c r="F43" t="s">
        <v>5845</v>
      </c>
      <c r="G43">
        <v>2</v>
      </c>
      <c r="H43" t="s">
        <v>5843</v>
      </c>
      <c r="I43" t="s">
        <v>90</v>
      </c>
      <c r="J43" t="s">
        <v>5846</v>
      </c>
    </row>
    <row r="44" spans="1:10" ht="15" customHeight="1" x14ac:dyDescent="0.25">
      <c r="A44" t="s">
        <v>5847</v>
      </c>
      <c r="B44" t="s">
        <v>41</v>
      </c>
      <c r="C44" t="s">
        <v>5719</v>
      </c>
      <c r="D44">
        <v>0</v>
      </c>
      <c r="E44" t="s">
        <v>5848</v>
      </c>
      <c r="F44" t="s">
        <v>5849</v>
      </c>
      <c r="G44">
        <v>0</v>
      </c>
      <c r="H44" t="s">
        <v>5847</v>
      </c>
      <c r="I44" t="s">
        <v>90</v>
      </c>
      <c r="J44" t="s">
        <v>5732</v>
      </c>
    </row>
    <row r="45" spans="1:10" ht="15" customHeight="1" x14ac:dyDescent="0.25">
      <c r="A45" t="s">
        <v>5850</v>
      </c>
      <c r="B45" t="s">
        <v>41</v>
      </c>
      <c r="C45" t="s">
        <v>5719</v>
      </c>
      <c r="D45">
        <v>0</v>
      </c>
      <c r="E45" t="s">
        <v>5851</v>
      </c>
      <c r="F45" t="s">
        <v>5852</v>
      </c>
      <c r="G45">
        <v>0</v>
      </c>
      <c r="H45" t="s">
        <v>5850</v>
      </c>
      <c r="I45" t="s">
        <v>90</v>
      </c>
      <c r="J45" t="s">
        <v>5853</v>
      </c>
    </row>
    <row r="46" spans="1:10" ht="15" customHeight="1" x14ac:dyDescent="0.25">
      <c r="A46" t="s">
        <v>5407</v>
      </c>
      <c r="B46" t="s">
        <v>41</v>
      </c>
      <c r="C46" t="s">
        <v>5719</v>
      </c>
      <c r="D46">
        <v>1</v>
      </c>
      <c r="E46" t="s">
        <v>5854</v>
      </c>
      <c r="F46" t="s">
        <v>5855</v>
      </c>
      <c r="G46">
        <v>1</v>
      </c>
      <c r="H46" t="s">
        <v>5407</v>
      </c>
      <c r="I46" t="s">
        <v>90</v>
      </c>
      <c r="J46" t="s">
        <v>5856</v>
      </c>
    </row>
    <row r="47" spans="1:10" ht="15" customHeight="1" x14ac:dyDescent="0.25">
      <c r="A47" t="s">
        <v>5857</v>
      </c>
      <c r="B47" t="s">
        <v>41</v>
      </c>
      <c r="C47" t="s">
        <v>5357</v>
      </c>
      <c r="D47">
        <v>1</v>
      </c>
      <c r="E47" t="s">
        <v>5858</v>
      </c>
      <c r="F47" t="s">
        <v>5859</v>
      </c>
      <c r="G47">
        <v>1</v>
      </c>
      <c r="H47" t="s">
        <v>5860</v>
      </c>
      <c r="I47" t="s">
        <v>90</v>
      </c>
      <c r="J47" t="s">
        <v>5714</v>
      </c>
    </row>
    <row r="48" spans="1:10" ht="15" customHeight="1" x14ac:dyDescent="0.25">
      <c r="A48" t="s">
        <v>5861</v>
      </c>
      <c r="B48" t="s">
        <v>41</v>
      </c>
      <c r="C48" t="s">
        <v>5719</v>
      </c>
      <c r="D48">
        <v>2</v>
      </c>
      <c r="E48" t="s">
        <v>5862</v>
      </c>
      <c r="F48" t="s">
        <v>5863</v>
      </c>
      <c r="G48">
        <v>2</v>
      </c>
      <c r="H48" t="s">
        <v>5861</v>
      </c>
      <c r="I48" t="s">
        <v>90</v>
      </c>
      <c r="J48" t="s">
        <v>5864</v>
      </c>
    </row>
    <row r="49" spans="1:10" ht="15" customHeight="1" x14ac:dyDescent="0.25">
      <c r="A49" t="s">
        <v>5865</v>
      </c>
      <c r="B49" t="s">
        <v>4294</v>
      </c>
      <c r="C49" t="s">
        <v>4242</v>
      </c>
      <c r="D49" t="s">
        <v>3994</v>
      </c>
      <c r="E49" t="s">
        <v>5866</v>
      </c>
      <c r="F49" t="s">
        <v>3455</v>
      </c>
      <c r="G49" t="s">
        <v>3455</v>
      </c>
      <c r="H49" t="s">
        <v>5865</v>
      </c>
      <c r="I49" t="s">
        <v>90</v>
      </c>
      <c r="J49" t="s">
        <v>5867</v>
      </c>
    </row>
    <row r="50" spans="1:10" ht="15" customHeight="1" x14ac:dyDescent="0.25">
      <c r="A50" t="s">
        <v>5865</v>
      </c>
      <c r="B50" t="s">
        <v>41</v>
      </c>
      <c r="C50" t="s">
        <v>5438</v>
      </c>
      <c r="D50">
        <v>1</v>
      </c>
      <c r="E50" t="s">
        <v>5868</v>
      </c>
      <c r="F50" t="s">
        <v>5869</v>
      </c>
      <c r="G50">
        <v>1</v>
      </c>
      <c r="H50" t="s">
        <v>5865</v>
      </c>
      <c r="I50" t="s">
        <v>5870</v>
      </c>
      <c r="J50" t="s">
        <v>5871</v>
      </c>
    </row>
    <row r="51" spans="1:10" ht="15" customHeight="1" x14ac:dyDescent="0.25">
      <c r="A51" t="s">
        <v>5872</v>
      </c>
      <c r="B51" t="s">
        <v>3511</v>
      </c>
      <c r="C51" t="s">
        <v>4594</v>
      </c>
      <c r="D51">
        <v>1</v>
      </c>
      <c r="E51" t="s">
        <v>5873</v>
      </c>
      <c r="F51" t="s">
        <v>5874</v>
      </c>
      <c r="G51">
        <v>1</v>
      </c>
      <c r="H51" t="s">
        <v>5872</v>
      </c>
      <c r="I51" t="s">
        <v>90</v>
      </c>
      <c r="J51" t="s">
        <v>5732</v>
      </c>
    </row>
    <row r="52" spans="1:10" ht="15" customHeight="1" x14ac:dyDescent="0.25">
      <c r="A52" t="s">
        <v>5875</v>
      </c>
      <c r="B52" t="s">
        <v>3511</v>
      </c>
      <c r="C52" t="s">
        <v>5357</v>
      </c>
      <c r="D52">
        <v>0</v>
      </c>
      <c r="E52" t="s">
        <v>5876</v>
      </c>
      <c r="F52" t="s">
        <v>5877</v>
      </c>
      <c r="G52">
        <v>0</v>
      </c>
      <c r="H52" t="s">
        <v>5875</v>
      </c>
      <c r="I52" t="s">
        <v>90</v>
      </c>
      <c r="J52" t="s">
        <v>5878</v>
      </c>
    </row>
    <row r="53" spans="1:10" ht="15" customHeight="1" x14ac:dyDescent="0.25">
      <c r="A53" t="s">
        <v>5176</v>
      </c>
      <c r="B53" t="s">
        <v>3499</v>
      </c>
      <c r="C53" t="s">
        <v>5357</v>
      </c>
      <c r="D53">
        <v>2</v>
      </c>
      <c r="E53" t="s">
        <v>5879</v>
      </c>
      <c r="F53" t="s">
        <v>5880</v>
      </c>
      <c r="G53">
        <v>2</v>
      </c>
      <c r="H53" t="s">
        <v>5178</v>
      </c>
      <c r="I53" t="s">
        <v>90</v>
      </c>
      <c r="J53" t="s">
        <v>5881</v>
      </c>
    </row>
    <row r="54" spans="1:10" ht="15" customHeight="1" x14ac:dyDescent="0.25">
      <c r="A54" t="s">
        <v>5882</v>
      </c>
      <c r="B54" t="s">
        <v>3499</v>
      </c>
      <c r="C54" t="s">
        <v>4594</v>
      </c>
      <c r="D54">
        <v>3</v>
      </c>
      <c r="E54" t="s">
        <v>5883</v>
      </c>
      <c r="F54" t="s">
        <v>5883</v>
      </c>
      <c r="G54">
        <v>2</v>
      </c>
      <c r="H54" t="s">
        <v>5882</v>
      </c>
      <c r="I54" t="s">
        <v>90</v>
      </c>
      <c r="J54" t="s">
        <v>5769</v>
      </c>
    </row>
    <row r="55" spans="1:10" ht="15" customHeight="1" x14ac:dyDescent="0.25">
      <c r="A55" t="s">
        <v>5884</v>
      </c>
      <c r="B55" t="s">
        <v>3511</v>
      </c>
      <c r="C55" t="s">
        <v>5357</v>
      </c>
      <c r="D55">
        <v>2</v>
      </c>
      <c r="E55" t="s">
        <v>5885</v>
      </c>
      <c r="F55" t="s">
        <v>5886</v>
      </c>
      <c r="G55">
        <v>2</v>
      </c>
      <c r="H55" t="s">
        <v>5887</v>
      </c>
      <c r="I55" t="s">
        <v>90</v>
      </c>
      <c r="J55" t="s">
        <v>5881</v>
      </c>
    </row>
    <row r="56" spans="1:10" ht="15" customHeight="1" x14ac:dyDescent="0.25">
      <c r="A56" t="s">
        <v>5888</v>
      </c>
      <c r="B56" t="s">
        <v>3499</v>
      </c>
      <c r="C56" t="s">
        <v>5438</v>
      </c>
      <c r="D56">
        <v>1</v>
      </c>
      <c r="E56" t="s">
        <v>5868</v>
      </c>
      <c r="F56" t="s">
        <v>5869</v>
      </c>
      <c r="G56">
        <v>1</v>
      </c>
      <c r="H56" t="s">
        <v>5888</v>
      </c>
      <c r="I56" t="s">
        <v>5870</v>
      </c>
      <c r="J56" t="s">
        <v>5871</v>
      </c>
    </row>
    <row r="57" spans="1:10" ht="15" customHeight="1" x14ac:dyDescent="0.25">
      <c r="A57" t="s">
        <v>5889</v>
      </c>
      <c r="B57" t="s">
        <v>41</v>
      </c>
      <c r="C57" t="s">
        <v>5719</v>
      </c>
      <c r="D57">
        <v>1</v>
      </c>
      <c r="E57" t="s">
        <v>5890</v>
      </c>
      <c r="F57" t="s">
        <v>5891</v>
      </c>
      <c r="G57">
        <v>1</v>
      </c>
      <c r="H57" t="s">
        <v>5892</v>
      </c>
      <c r="I57" t="s">
        <v>90</v>
      </c>
      <c r="J57" t="s">
        <v>5893</v>
      </c>
    </row>
    <row r="58" spans="1:10" ht="15" customHeight="1" x14ac:dyDescent="0.25">
      <c r="A58" t="s">
        <v>5894</v>
      </c>
      <c r="B58" t="s">
        <v>41</v>
      </c>
      <c r="C58" t="s">
        <v>5719</v>
      </c>
      <c r="D58">
        <v>1</v>
      </c>
      <c r="E58" t="s">
        <v>5895</v>
      </c>
      <c r="F58" t="s">
        <v>5896</v>
      </c>
      <c r="G58">
        <v>1</v>
      </c>
      <c r="H58" t="s">
        <v>5897</v>
      </c>
      <c r="I58" t="s">
        <v>90</v>
      </c>
      <c r="J58" t="s">
        <v>5898</v>
      </c>
    </row>
    <row r="59" spans="1:10" ht="15" customHeight="1" x14ac:dyDescent="0.25">
      <c r="A59" t="s">
        <v>5899</v>
      </c>
      <c r="B59" t="s">
        <v>3511</v>
      </c>
      <c r="C59" t="s">
        <v>4594</v>
      </c>
      <c r="D59">
        <v>2</v>
      </c>
      <c r="E59" t="s">
        <v>5900</v>
      </c>
      <c r="F59" t="s">
        <v>5900</v>
      </c>
      <c r="G59">
        <v>1</v>
      </c>
      <c r="H59" t="s">
        <v>5901</v>
      </c>
      <c r="I59" t="s">
        <v>90</v>
      </c>
      <c r="J59" t="s">
        <v>5827</v>
      </c>
    </row>
    <row r="60" spans="1:10" ht="15" customHeight="1" x14ac:dyDescent="0.25">
      <c r="A60" t="s">
        <v>3441</v>
      </c>
      <c r="B60" t="s">
        <v>3511</v>
      </c>
      <c r="C60" t="s">
        <v>5719</v>
      </c>
      <c r="D60">
        <v>2</v>
      </c>
      <c r="E60" t="s">
        <v>5902</v>
      </c>
      <c r="F60" t="s">
        <v>5903</v>
      </c>
      <c r="G60">
        <v>2</v>
      </c>
      <c r="H60" t="s">
        <v>3441</v>
      </c>
      <c r="I60" t="s">
        <v>90</v>
      </c>
      <c r="J60" t="s">
        <v>5904</v>
      </c>
    </row>
    <row r="61" spans="1:10" ht="15" customHeight="1" x14ac:dyDescent="0.25">
      <c r="A61" t="s">
        <v>5905</v>
      </c>
      <c r="B61" t="s">
        <v>4294</v>
      </c>
      <c r="C61" t="s">
        <v>3653</v>
      </c>
      <c r="D61" t="s">
        <v>3994</v>
      </c>
      <c r="E61" t="s">
        <v>5906</v>
      </c>
      <c r="F61" t="s">
        <v>3455</v>
      </c>
      <c r="G61" t="s">
        <v>3994</v>
      </c>
      <c r="H61" t="s">
        <v>5905</v>
      </c>
      <c r="I61" t="s">
        <v>90</v>
      </c>
    </row>
    <row r="62" spans="1:10" ht="15" customHeight="1" x14ac:dyDescent="0.25">
      <c r="A62" t="s">
        <v>5907</v>
      </c>
      <c r="B62" t="s">
        <v>41</v>
      </c>
      <c r="C62" t="s">
        <v>5357</v>
      </c>
      <c r="D62">
        <v>1</v>
      </c>
      <c r="E62" t="s">
        <v>5908</v>
      </c>
      <c r="F62" t="s">
        <v>5909</v>
      </c>
      <c r="G62">
        <v>1</v>
      </c>
      <c r="H62" t="s">
        <v>5910</v>
      </c>
      <c r="I62" t="s">
        <v>90</v>
      </c>
      <c r="J62" t="s">
        <v>5810</v>
      </c>
    </row>
    <row r="63" spans="1:10" ht="15" customHeight="1" x14ac:dyDescent="0.25">
      <c r="A63" t="s">
        <v>4256</v>
      </c>
      <c r="B63" t="s">
        <v>4294</v>
      </c>
      <c r="C63" t="s">
        <v>4242</v>
      </c>
      <c r="D63" t="s">
        <v>3994</v>
      </c>
      <c r="E63" t="s">
        <v>5911</v>
      </c>
      <c r="F63" t="s">
        <v>3455</v>
      </c>
      <c r="G63" t="s">
        <v>3455</v>
      </c>
      <c r="H63" t="s">
        <v>4256</v>
      </c>
      <c r="I63" t="s">
        <v>90</v>
      </c>
      <c r="J63" t="s">
        <v>5867</v>
      </c>
    </row>
    <row r="64" spans="1:10" ht="15" customHeight="1" x14ac:dyDescent="0.25">
      <c r="A64" t="s">
        <v>5912</v>
      </c>
      <c r="B64" t="s">
        <v>3543</v>
      </c>
      <c r="C64" t="s">
        <v>5357</v>
      </c>
      <c r="D64">
        <v>1</v>
      </c>
      <c r="E64" t="s">
        <v>5913</v>
      </c>
      <c r="F64" t="s">
        <v>5914</v>
      </c>
      <c r="G64">
        <v>1</v>
      </c>
      <c r="H64" t="s">
        <v>3455</v>
      </c>
      <c r="I64" t="s">
        <v>3455</v>
      </c>
    </row>
    <row r="65" spans="1:10" ht="15" customHeight="1" x14ac:dyDescent="0.25">
      <c r="A65" t="s">
        <v>5915</v>
      </c>
      <c r="B65" t="s">
        <v>41</v>
      </c>
      <c r="C65" t="s">
        <v>5438</v>
      </c>
      <c r="D65">
        <v>1</v>
      </c>
      <c r="E65" t="s">
        <v>5868</v>
      </c>
      <c r="F65" t="s">
        <v>5869</v>
      </c>
      <c r="G65">
        <v>1</v>
      </c>
      <c r="H65" t="s">
        <v>5915</v>
      </c>
      <c r="I65" t="s">
        <v>5870</v>
      </c>
      <c r="J65" t="s">
        <v>5916</v>
      </c>
    </row>
    <row r="66" spans="1:10" ht="15" customHeight="1" x14ac:dyDescent="0.25">
      <c r="A66" t="s">
        <v>5917</v>
      </c>
      <c r="B66" t="s">
        <v>41</v>
      </c>
      <c r="C66" t="s">
        <v>5357</v>
      </c>
      <c r="D66">
        <v>0</v>
      </c>
      <c r="E66" t="s">
        <v>5918</v>
      </c>
      <c r="F66" t="s">
        <v>5919</v>
      </c>
      <c r="G66">
        <v>0</v>
      </c>
      <c r="H66" t="s">
        <v>5917</v>
      </c>
      <c r="I66" t="s">
        <v>90</v>
      </c>
      <c r="J66" t="s">
        <v>5714</v>
      </c>
    </row>
    <row r="67" spans="1:10" ht="15" customHeight="1" x14ac:dyDescent="0.25">
      <c r="A67" t="s">
        <v>5920</v>
      </c>
      <c r="B67" t="s">
        <v>3499</v>
      </c>
      <c r="C67" t="s">
        <v>4594</v>
      </c>
      <c r="D67">
        <v>3</v>
      </c>
      <c r="E67" t="s">
        <v>5921</v>
      </c>
      <c r="F67" t="s">
        <v>5922</v>
      </c>
      <c r="G67">
        <v>3</v>
      </c>
      <c r="H67" t="s">
        <v>5923</v>
      </c>
      <c r="I67" t="s">
        <v>90</v>
      </c>
      <c r="J67" t="s">
        <v>5924</v>
      </c>
    </row>
    <row r="68" spans="1:10" ht="15" customHeight="1" x14ac:dyDescent="0.25">
      <c r="A68" t="s">
        <v>4579</v>
      </c>
      <c r="B68" t="s">
        <v>3511</v>
      </c>
      <c r="C68" t="s">
        <v>5719</v>
      </c>
      <c r="D68">
        <v>0</v>
      </c>
      <c r="E68" t="s">
        <v>5925</v>
      </c>
      <c r="F68" t="s">
        <v>5925</v>
      </c>
      <c r="G68">
        <v>1</v>
      </c>
      <c r="H68" t="s">
        <v>4579</v>
      </c>
      <c r="I68" t="s">
        <v>1621</v>
      </c>
      <c r="J68" t="s">
        <v>5752</v>
      </c>
    </row>
    <row r="69" spans="1:10" ht="15" customHeight="1" x14ac:dyDescent="0.25">
      <c r="A69" t="s">
        <v>5926</v>
      </c>
      <c r="B69" t="s">
        <v>3499</v>
      </c>
      <c r="C69" t="s">
        <v>5719</v>
      </c>
      <c r="D69">
        <v>1</v>
      </c>
      <c r="E69" t="s">
        <v>5927</v>
      </c>
      <c r="F69" t="s">
        <v>5928</v>
      </c>
      <c r="G69">
        <v>1</v>
      </c>
      <c r="H69" t="s">
        <v>5929</v>
      </c>
      <c r="I69" t="s">
        <v>90</v>
      </c>
      <c r="J69" t="s">
        <v>5930</v>
      </c>
    </row>
    <row r="70" spans="1:10" ht="15" customHeight="1" x14ac:dyDescent="0.25">
      <c r="A70" t="s">
        <v>5931</v>
      </c>
      <c r="B70" t="s">
        <v>3511</v>
      </c>
      <c r="C70" t="s">
        <v>5357</v>
      </c>
      <c r="D70">
        <v>1</v>
      </c>
      <c r="E70" t="s">
        <v>5932</v>
      </c>
      <c r="F70" t="s">
        <v>5933</v>
      </c>
      <c r="G70">
        <v>1</v>
      </c>
      <c r="H70" t="s">
        <v>5931</v>
      </c>
      <c r="I70" t="s">
        <v>90</v>
      </c>
      <c r="J70" t="s">
        <v>5934</v>
      </c>
    </row>
    <row r="71" spans="1:10" ht="15" customHeight="1" x14ac:dyDescent="0.25">
      <c r="A71" t="s">
        <v>5935</v>
      </c>
      <c r="B71" t="s">
        <v>3511</v>
      </c>
      <c r="C71" t="s">
        <v>5357</v>
      </c>
      <c r="D71">
        <v>1</v>
      </c>
      <c r="E71" t="s">
        <v>5936</v>
      </c>
      <c r="F71" t="s">
        <v>5936</v>
      </c>
      <c r="G71">
        <v>0</v>
      </c>
      <c r="H71" t="s">
        <v>5935</v>
      </c>
      <c r="I71" t="s">
        <v>90</v>
      </c>
      <c r="J71" t="s">
        <v>5937</v>
      </c>
    </row>
    <row r="72" spans="1:10" ht="15" customHeight="1" x14ac:dyDescent="0.25">
      <c r="A72" t="s">
        <v>5938</v>
      </c>
      <c r="B72" t="s">
        <v>41</v>
      </c>
      <c r="C72" t="s">
        <v>5357</v>
      </c>
      <c r="D72">
        <v>1</v>
      </c>
      <c r="E72" t="s">
        <v>5939</v>
      </c>
      <c r="F72" t="s">
        <v>5940</v>
      </c>
      <c r="G72">
        <v>1</v>
      </c>
      <c r="H72" t="s">
        <v>5941</v>
      </c>
      <c r="I72" t="s">
        <v>90</v>
      </c>
      <c r="J72" t="s">
        <v>5714</v>
      </c>
    </row>
    <row r="73" spans="1:10" ht="15" customHeight="1" x14ac:dyDescent="0.25">
      <c r="A73" t="s">
        <v>5942</v>
      </c>
      <c r="B73" t="s">
        <v>3499</v>
      </c>
      <c r="C73" t="s">
        <v>5357</v>
      </c>
      <c r="D73" t="s">
        <v>5943</v>
      </c>
      <c r="E73" t="s">
        <v>5944</v>
      </c>
      <c r="F73" t="s">
        <v>5945</v>
      </c>
      <c r="G73" t="s">
        <v>5943</v>
      </c>
      <c r="H73" t="s">
        <v>5942</v>
      </c>
      <c r="I73" t="s">
        <v>90</v>
      </c>
      <c r="J73" t="s">
        <v>5946</v>
      </c>
    </row>
    <row r="74" spans="1:10" ht="15" customHeight="1" x14ac:dyDescent="0.25">
      <c r="A74" t="s">
        <v>5361</v>
      </c>
      <c r="B74" t="s">
        <v>3499</v>
      </c>
      <c r="C74" t="s">
        <v>5357</v>
      </c>
      <c r="D74">
        <v>1</v>
      </c>
      <c r="E74" t="s">
        <v>5947</v>
      </c>
      <c r="F74" t="s">
        <v>5948</v>
      </c>
      <c r="G74">
        <v>1</v>
      </c>
      <c r="H74" t="s">
        <v>5363</v>
      </c>
      <c r="I74" t="s">
        <v>90</v>
      </c>
      <c r="J74" t="s">
        <v>5949</v>
      </c>
    </row>
    <row r="75" spans="1:10" ht="15" customHeight="1" x14ac:dyDescent="0.25">
      <c r="A75" t="s">
        <v>5950</v>
      </c>
      <c r="B75" t="s">
        <v>4294</v>
      </c>
      <c r="C75" t="s">
        <v>4242</v>
      </c>
      <c r="D75" t="s">
        <v>3994</v>
      </c>
      <c r="E75" t="s">
        <v>5951</v>
      </c>
      <c r="F75" t="s">
        <v>3455</v>
      </c>
      <c r="G75" t="s">
        <v>3455</v>
      </c>
      <c r="H75" t="s">
        <v>5950</v>
      </c>
      <c r="I75" t="s">
        <v>90</v>
      </c>
      <c r="J75" t="s">
        <v>5867</v>
      </c>
    </row>
    <row r="76" spans="1:10" ht="15" customHeight="1" x14ac:dyDescent="0.25">
      <c r="A76" t="s">
        <v>5952</v>
      </c>
      <c r="B76" t="s">
        <v>3511</v>
      </c>
      <c r="C76" t="s">
        <v>5719</v>
      </c>
      <c r="D76">
        <v>1</v>
      </c>
      <c r="E76" t="s">
        <v>5953</v>
      </c>
      <c r="F76" t="s">
        <v>5954</v>
      </c>
      <c r="G76">
        <v>1</v>
      </c>
      <c r="H76" t="s">
        <v>5952</v>
      </c>
      <c r="I76" t="s">
        <v>90</v>
      </c>
      <c r="J76" t="s">
        <v>5955</v>
      </c>
    </row>
    <row r="77" spans="1:10" ht="15" customHeight="1" x14ac:dyDescent="0.25">
      <c r="A77" t="s">
        <v>5956</v>
      </c>
      <c r="B77" t="s">
        <v>3511</v>
      </c>
      <c r="C77" t="s">
        <v>5438</v>
      </c>
      <c r="D77">
        <v>1</v>
      </c>
      <c r="E77" t="s">
        <v>5957</v>
      </c>
      <c r="F77" t="s">
        <v>5958</v>
      </c>
      <c r="G77">
        <v>1</v>
      </c>
      <c r="H77" t="s">
        <v>5956</v>
      </c>
      <c r="I77" t="s">
        <v>5870</v>
      </c>
      <c r="J77" t="s">
        <v>5959</v>
      </c>
    </row>
    <row r="78" spans="1:10" ht="15" customHeight="1" x14ac:dyDescent="0.25">
      <c r="A78" t="s">
        <v>5960</v>
      </c>
      <c r="B78" t="s">
        <v>3511</v>
      </c>
      <c r="C78" t="s">
        <v>5357</v>
      </c>
      <c r="D78">
        <v>1</v>
      </c>
      <c r="E78" t="s">
        <v>5961</v>
      </c>
      <c r="F78" t="s">
        <v>5962</v>
      </c>
      <c r="G78">
        <v>1</v>
      </c>
      <c r="H78" t="s">
        <v>5963</v>
      </c>
      <c r="I78" t="s">
        <v>90</v>
      </c>
      <c r="J78" t="s">
        <v>5760</v>
      </c>
    </row>
    <row r="79" spans="1:10" ht="15" customHeight="1" x14ac:dyDescent="0.25">
      <c r="A79" t="s">
        <v>5964</v>
      </c>
      <c r="B79" t="s">
        <v>3511</v>
      </c>
      <c r="C79" t="s">
        <v>5719</v>
      </c>
      <c r="D79">
        <v>0</v>
      </c>
      <c r="E79" t="s">
        <v>5965</v>
      </c>
      <c r="F79" t="s">
        <v>5966</v>
      </c>
      <c r="G79">
        <v>0</v>
      </c>
      <c r="H79" t="s">
        <v>5967</v>
      </c>
      <c r="I79" t="s">
        <v>90</v>
      </c>
      <c r="J79" t="s">
        <v>5774</v>
      </c>
    </row>
    <row r="80" spans="1:10" ht="15" customHeight="1" x14ac:dyDescent="0.25">
      <c r="A80" t="s">
        <v>5968</v>
      </c>
      <c r="B80" t="s">
        <v>3511</v>
      </c>
      <c r="C80" t="s">
        <v>5357</v>
      </c>
      <c r="D80">
        <v>2</v>
      </c>
      <c r="E80" t="s">
        <v>5969</v>
      </c>
      <c r="F80" t="s">
        <v>5969</v>
      </c>
      <c r="G80">
        <v>1</v>
      </c>
      <c r="H80" t="s">
        <v>5968</v>
      </c>
      <c r="I80" t="s">
        <v>90</v>
      </c>
      <c r="J80" t="s">
        <v>5736</v>
      </c>
    </row>
    <row r="81" spans="1:10" ht="15" customHeight="1" x14ac:dyDescent="0.25">
      <c r="A81" t="s">
        <v>5193</v>
      </c>
      <c r="B81" t="s">
        <v>3499</v>
      </c>
      <c r="C81" t="s">
        <v>4594</v>
      </c>
      <c r="D81">
        <v>2</v>
      </c>
      <c r="E81" t="s">
        <v>5970</v>
      </c>
      <c r="F81" t="s">
        <v>5970</v>
      </c>
      <c r="G81">
        <v>1</v>
      </c>
      <c r="H81" t="s">
        <v>5193</v>
      </c>
      <c r="I81" t="s">
        <v>90</v>
      </c>
      <c r="J81" t="s">
        <v>5846</v>
      </c>
    </row>
    <row r="82" spans="1:10" ht="15" customHeight="1" x14ac:dyDescent="0.25">
      <c r="A82" t="s">
        <v>5971</v>
      </c>
      <c r="B82" t="s">
        <v>3511</v>
      </c>
      <c r="C82" t="s">
        <v>5357</v>
      </c>
      <c r="D82">
        <v>0</v>
      </c>
      <c r="E82" t="s">
        <v>5972</v>
      </c>
      <c r="F82" t="s">
        <v>5973</v>
      </c>
      <c r="G82">
        <v>0</v>
      </c>
      <c r="H82" t="s">
        <v>5974</v>
      </c>
      <c r="I82" t="s">
        <v>90</v>
      </c>
      <c r="J82" t="s">
        <v>5975</v>
      </c>
    </row>
    <row r="83" spans="1:10" ht="15" customHeight="1" x14ac:dyDescent="0.25">
      <c r="A83" t="s">
        <v>5976</v>
      </c>
      <c r="B83" t="s">
        <v>3511</v>
      </c>
      <c r="C83" t="s">
        <v>5719</v>
      </c>
      <c r="D83">
        <v>3</v>
      </c>
      <c r="E83" t="s">
        <v>5977</v>
      </c>
      <c r="F83" t="s">
        <v>5978</v>
      </c>
      <c r="G83">
        <v>3</v>
      </c>
      <c r="H83" t="s">
        <v>5976</v>
      </c>
      <c r="I83" t="s">
        <v>90</v>
      </c>
      <c r="J83" t="s">
        <v>5979</v>
      </c>
    </row>
    <row r="84" spans="1:10" ht="15" customHeight="1" x14ac:dyDescent="0.25">
      <c r="A84" t="s">
        <v>5195</v>
      </c>
      <c r="B84" t="s">
        <v>3511</v>
      </c>
      <c r="C84" t="s">
        <v>4594</v>
      </c>
      <c r="D84">
        <v>1</v>
      </c>
      <c r="E84" t="s">
        <v>5980</v>
      </c>
      <c r="F84" t="s">
        <v>5981</v>
      </c>
      <c r="G84">
        <v>1</v>
      </c>
      <c r="H84" t="s">
        <v>5195</v>
      </c>
      <c r="I84" t="s">
        <v>90</v>
      </c>
      <c r="J84" t="s">
        <v>5982</v>
      </c>
    </row>
    <row r="85" spans="1:10" ht="15" customHeight="1" x14ac:dyDescent="0.25">
      <c r="A85" t="s">
        <v>5983</v>
      </c>
      <c r="B85" t="s">
        <v>3499</v>
      </c>
      <c r="C85" t="s">
        <v>5357</v>
      </c>
      <c r="D85">
        <v>1</v>
      </c>
      <c r="E85" t="s">
        <v>5984</v>
      </c>
      <c r="F85" t="s">
        <v>5984</v>
      </c>
      <c r="G85">
        <v>0</v>
      </c>
      <c r="H85" t="s">
        <v>5983</v>
      </c>
      <c r="I85" t="s">
        <v>90</v>
      </c>
      <c r="J85" t="s">
        <v>5985</v>
      </c>
    </row>
    <row r="86" spans="1:10" ht="15" customHeight="1" x14ac:dyDescent="0.25">
      <c r="A86" t="s">
        <v>5986</v>
      </c>
      <c r="B86" t="s">
        <v>3511</v>
      </c>
      <c r="C86" t="s">
        <v>5357</v>
      </c>
      <c r="D86">
        <v>1</v>
      </c>
      <c r="E86" t="s">
        <v>5987</v>
      </c>
      <c r="F86" t="s">
        <v>5988</v>
      </c>
      <c r="G86">
        <v>1</v>
      </c>
      <c r="H86" t="s">
        <v>5986</v>
      </c>
      <c r="I86" t="s">
        <v>90</v>
      </c>
      <c r="J86" t="s">
        <v>5989</v>
      </c>
    </row>
    <row r="87" spans="1:10" ht="15" customHeight="1" x14ac:dyDescent="0.25">
      <c r="A87" t="s">
        <v>5990</v>
      </c>
      <c r="B87" t="s">
        <v>3499</v>
      </c>
      <c r="C87" t="s">
        <v>5719</v>
      </c>
      <c r="D87">
        <v>1</v>
      </c>
      <c r="E87" t="s">
        <v>5991</v>
      </c>
      <c r="F87" t="s">
        <v>5992</v>
      </c>
      <c r="G87">
        <v>1</v>
      </c>
      <c r="H87" t="s">
        <v>5990</v>
      </c>
      <c r="I87" t="s">
        <v>90</v>
      </c>
      <c r="J87" t="s">
        <v>5993</v>
      </c>
    </row>
    <row r="88" spans="1:10" ht="15" customHeight="1" x14ac:dyDescent="0.25">
      <c r="A88" t="s">
        <v>5203</v>
      </c>
      <c r="B88" t="s">
        <v>3511</v>
      </c>
      <c r="C88" t="s">
        <v>4594</v>
      </c>
      <c r="D88">
        <v>1</v>
      </c>
      <c r="E88" t="s">
        <v>5994</v>
      </c>
      <c r="F88" t="s">
        <v>5995</v>
      </c>
      <c r="G88">
        <v>1</v>
      </c>
      <c r="H88" t="s">
        <v>5205</v>
      </c>
      <c r="I88" t="s">
        <v>90</v>
      </c>
      <c r="J88" t="s">
        <v>5996</v>
      </c>
    </row>
    <row r="89" spans="1:10" ht="15" customHeight="1" x14ac:dyDescent="0.25">
      <c r="A89" t="s">
        <v>5997</v>
      </c>
      <c r="B89" t="s">
        <v>3499</v>
      </c>
      <c r="C89" t="s">
        <v>5719</v>
      </c>
      <c r="D89">
        <v>2</v>
      </c>
      <c r="E89" t="s">
        <v>5998</v>
      </c>
      <c r="F89" t="s">
        <v>5999</v>
      </c>
      <c r="G89">
        <v>2</v>
      </c>
      <c r="H89" t="s">
        <v>6000</v>
      </c>
      <c r="I89" t="s">
        <v>90</v>
      </c>
      <c r="J89" t="s">
        <v>6001</v>
      </c>
    </row>
    <row r="90" spans="1:10" ht="15" customHeight="1" x14ac:dyDescent="0.25">
      <c r="A90" t="s">
        <v>6002</v>
      </c>
      <c r="B90" t="s">
        <v>41</v>
      </c>
      <c r="C90" t="s">
        <v>5438</v>
      </c>
      <c r="D90">
        <v>1</v>
      </c>
      <c r="E90" t="s">
        <v>5868</v>
      </c>
      <c r="F90" t="s">
        <v>5869</v>
      </c>
      <c r="G90">
        <v>1</v>
      </c>
      <c r="H90" t="s">
        <v>6002</v>
      </c>
      <c r="I90" t="s">
        <v>2361</v>
      </c>
      <c r="J90" t="s">
        <v>6003</v>
      </c>
    </row>
    <row r="91" spans="1:10" ht="15" customHeight="1" x14ac:dyDescent="0.25">
      <c r="A91" t="s">
        <v>6004</v>
      </c>
      <c r="B91" t="s">
        <v>3511</v>
      </c>
      <c r="C91" t="s">
        <v>5719</v>
      </c>
      <c r="D91">
        <v>1</v>
      </c>
      <c r="E91" t="s">
        <v>6005</v>
      </c>
      <c r="F91" t="s">
        <v>6006</v>
      </c>
      <c r="G91">
        <v>1</v>
      </c>
      <c r="H91" t="s">
        <v>6004</v>
      </c>
      <c r="I91" t="s">
        <v>90</v>
      </c>
      <c r="J91" t="s">
        <v>5774</v>
      </c>
    </row>
    <row r="92" spans="1:10" ht="15" customHeight="1" x14ac:dyDescent="0.25">
      <c r="A92" t="s">
        <v>5206</v>
      </c>
      <c r="B92" t="s">
        <v>3511</v>
      </c>
      <c r="C92" t="s">
        <v>4594</v>
      </c>
      <c r="D92">
        <v>1</v>
      </c>
      <c r="E92" t="s">
        <v>6007</v>
      </c>
      <c r="F92" t="s">
        <v>6008</v>
      </c>
      <c r="G92">
        <v>1</v>
      </c>
      <c r="H92" t="s">
        <v>5208</v>
      </c>
      <c r="I92" t="s">
        <v>90</v>
      </c>
      <c r="J92" t="s">
        <v>6009</v>
      </c>
    </row>
    <row r="93" spans="1:10" ht="15" customHeight="1" x14ac:dyDescent="0.25">
      <c r="A93" t="s">
        <v>5209</v>
      </c>
      <c r="B93" t="s">
        <v>3511</v>
      </c>
      <c r="C93" t="s">
        <v>5357</v>
      </c>
      <c r="D93">
        <v>2</v>
      </c>
      <c r="E93" t="s">
        <v>6010</v>
      </c>
      <c r="F93" t="s">
        <v>6011</v>
      </c>
      <c r="G93">
        <v>2</v>
      </c>
      <c r="H93" t="s">
        <v>5211</v>
      </c>
      <c r="I93" t="s">
        <v>90</v>
      </c>
      <c r="J93" t="s">
        <v>5736</v>
      </c>
    </row>
    <row r="94" spans="1:10" ht="15" customHeight="1" x14ac:dyDescent="0.25">
      <c r="A94" t="s">
        <v>6012</v>
      </c>
      <c r="B94" t="s">
        <v>3511</v>
      </c>
      <c r="C94" t="s">
        <v>5719</v>
      </c>
      <c r="D94">
        <v>1</v>
      </c>
      <c r="E94" t="s">
        <v>6013</v>
      </c>
      <c r="F94" t="s">
        <v>6014</v>
      </c>
      <c r="G94">
        <v>1</v>
      </c>
      <c r="H94" t="s">
        <v>6012</v>
      </c>
      <c r="I94" t="s">
        <v>90</v>
      </c>
      <c r="J94" t="s">
        <v>5774</v>
      </c>
    </row>
    <row r="95" spans="1:10" ht="15" customHeight="1" x14ac:dyDescent="0.25">
      <c r="A95" t="s">
        <v>6015</v>
      </c>
      <c r="B95" t="s">
        <v>41</v>
      </c>
      <c r="C95" t="s">
        <v>5357</v>
      </c>
      <c r="D95">
        <v>0</v>
      </c>
      <c r="E95" t="s">
        <v>6016</v>
      </c>
      <c r="F95" t="s">
        <v>6017</v>
      </c>
      <c r="G95">
        <v>0</v>
      </c>
      <c r="H95" t="s">
        <v>6015</v>
      </c>
      <c r="I95" t="s">
        <v>90</v>
      </c>
      <c r="J95" t="s">
        <v>5732</v>
      </c>
    </row>
    <row r="96" spans="1:10" ht="15" customHeight="1" x14ac:dyDescent="0.25">
      <c r="A96" t="s">
        <v>6018</v>
      </c>
      <c r="B96" t="s">
        <v>41</v>
      </c>
      <c r="C96" t="s">
        <v>5719</v>
      </c>
      <c r="D96">
        <v>1</v>
      </c>
      <c r="E96" t="s">
        <v>6019</v>
      </c>
      <c r="F96" t="s">
        <v>6020</v>
      </c>
      <c r="G96">
        <v>1</v>
      </c>
      <c r="H96" t="s">
        <v>6021</v>
      </c>
      <c r="I96" t="s">
        <v>90</v>
      </c>
      <c r="J96" t="s">
        <v>6022</v>
      </c>
    </row>
    <row r="97" spans="1:10" ht="15" customHeight="1" x14ac:dyDescent="0.25">
      <c r="A97" t="s">
        <v>6023</v>
      </c>
      <c r="B97" t="s">
        <v>3511</v>
      </c>
      <c r="C97" t="s">
        <v>4594</v>
      </c>
      <c r="D97">
        <v>1</v>
      </c>
      <c r="E97" t="s">
        <v>5662</v>
      </c>
      <c r="F97" t="s">
        <v>6024</v>
      </c>
      <c r="G97">
        <v>1</v>
      </c>
      <c r="H97" t="s">
        <v>6023</v>
      </c>
      <c r="I97" t="s">
        <v>90</v>
      </c>
      <c r="J97" t="s">
        <v>5714</v>
      </c>
    </row>
    <row r="98" spans="1:10" ht="15" customHeight="1" x14ac:dyDescent="0.25">
      <c r="A98" t="s">
        <v>6025</v>
      </c>
      <c r="B98" t="s">
        <v>3511</v>
      </c>
      <c r="C98" t="s">
        <v>5438</v>
      </c>
      <c r="D98">
        <v>1</v>
      </c>
      <c r="E98" t="s">
        <v>5868</v>
      </c>
      <c r="F98" t="s">
        <v>5869</v>
      </c>
      <c r="G98">
        <v>1</v>
      </c>
      <c r="H98" t="s">
        <v>6025</v>
      </c>
      <c r="I98" t="s">
        <v>2361</v>
      </c>
      <c r="J98" t="s">
        <v>5871</v>
      </c>
    </row>
    <row r="99" spans="1:10" ht="15" customHeight="1" x14ac:dyDescent="0.25">
      <c r="A99" t="s">
        <v>6026</v>
      </c>
      <c r="B99" t="s">
        <v>3511</v>
      </c>
      <c r="C99" t="s">
        <v>5357</v>
      </c>
      <c r="D99">
        <v>1</v>
      </c>
      <c r="E99" t="s">
        <v>6027</v>
      </c>
      <c r="F99" t="s">
        <v>6028</v>
      </c>
      <c r="G99">
        <v>1</v>
      </c>
      <c r="H99" t="s">
        <v>6029</v>
      </c>
      <c r="I99" t="s">
        <v>90</v>
      </c>
      <c r="J99" t="s">
        <v>5736</v>
      </c>
    </row>
    <row r="100" spans="1:10" ht="15" customHeight="1" x14ac:dyDescent="0.25">
      <c r="A100" t="s">
        <v>6030</v>
      </c>
      <c r="B100" t="s">
        <v>3511</v>
      </c>
      <c r="C100" t="s">
        <v>5438</v>
      </c>
      <c r="D100">
        <v>1</v>
      </c>
      <c r="E100" t="s">
        <v>5868</v>
      </c>
      <c r="F100" t="s">
        <v>5869</v>
      </c>
      <c r="G100">
        <v>1</v>
      </c>
      <c r="H100" t="s">
        <v>6030</v>
      </c>
      <c r="I100" t="s">
        <v>2361</v>
      </c>
      <c r="J100" t="s">
        <v>6003</v>
      </c>
    </row>
    <row r="101" spans="1:10" ht="15" customHeight="1" x14ac:dyDescent="0.25">
      <c r="A101" t="s">
        <v>6031</v>
      </c>
      <c r="B101" t="s">
        <v>3499</v>
      </c>
      <c r="C101" t="s">
        <v>5719</v>
      </c>
      <c r="D101">
        <v>1</v>
      </c>
      <c r="E101" t="s">
        <v>6032</v>
      </c>
      <c r="F101" t="s">
        <v>6033</v>
      </c>
      <c r="G101">
        <v>1</v>
      </c>
      <c r="H101" t="s">
        <v>6034</v>
      </c>
      <c r="I101" t="s">
        <v>90</v>
      </c>
      <c r="J101" t="s">
        <v>5774</v>
      </c>
    </row>
    <row r="102" spans="1:10" ht="15" customHeight="1" x14ac:dyDescent="0.25">
      <c r="A102" t="s">
        <v>6035</v>
      </c>
      <c r="B102" t="s">
        <v>41</v>
      </c>
      <c r="C102" t="s">
        <v>5719</v>
      </c>
      <c r="D102">
        <v>0</v>
      </c>
      <c r="E102" t="s">
        <v>6036</v>
      </c>
      <c r="F102" t="s">
        <v>6037</v>
      </c>
      <c r="G102">
        <v>0</v>
      </c>
      <c r="H102" t="s">
        <v>6038</v>
      </c>
      <c r="I102" t="s">
        <v>90</v>
      </c>
      <c r="J102" t="s">
        <v>5765</v>
      </c>
    </row>
    <row r="103" spans="1:10" ht="15" customHeight="1" x14ac:dyDescent="0.25">
      <c r="A103" t="s">
        <v>6039</v>
      </c>
      <c r="B103" t="s">
        <v>3499</v>
      </c>
      <c r="C103" t="s">
        <v>5719</v>
      </c>
      <c r="D103">
        <v>0</v>
      </c>
      <c r="E103" t="s">
        <v>6040</v>
      </c>
      <c r="F103" t="s">
        <v>6041</v>
      </c>
      <c r="G103">
        <v>0</v>
      </c>
      <c r="H103" t="s">
        <v>6042</v>
      </c>
      <c r="I103" t="s">
        <v>90</v>
      </c>
      <c r="J103" t="s">
        <v>5774</v>
      </c>
    </row>
    <row r="104" spans="1:10" ht="15" customHeight="1" x14ac:dyDescent="0.25">
      <c r="A104" t="s">
        <v>5129</v>
      </c>
      <c r="B104" t="s">
        <v>4294</v>
      </c>
      <c r="C104" t="s">
        <v>4242</v>
      </c>
      <c r="D104" t="s">
        <v>3994</v>
      </c>
      <c r="E104" t="s">
        <v>6043</v>
      </c>
      <c r="F104" t="s">
        <v>3455</v>
      </c>
      <c r="G104" t="s">
        <v>3455</v>
      </c>
      <c r="H104" t="s">
        <v>5129</v>
      </c>
      <c r="I104" t="s">
        <v>38</v>
      </c>
      <c r="J104" t="s">
        <v>5867</v>
      </c>
    </row>
    <row r="105" spans="1:10" ht="15" customHeight="1" x14ac:dyDescent="0.25">
      <c r="A105" t="s">
        <v>6044</v>
      </c>
      <c r="B105" t="s">
        <v>41</v>
      </c>
      <c r="C105" t="s">
        <v>5357</v>
      </c>
      <c r="D105">
        <v>1</v>
      </c>
      <c r="E105" t="s">
        <v>6045</v>
      </c>
      <c r="F105" t="s">
        <v>6045</v>
      </c>
      <c r="G105">
        <v>0</v>
      </c>
      <c r="H105" t="s">
        <v>6044</v>
      </c>
      <c r="I105" t="s">
        <v>90</v>
      </c>
      <c r="J105" t="s">
        <v>6001</v>
      </c>
    </row>
    <row r="106" spans="1:10" ht="15" customHeight="1" x14ac:dyDescent="0.25">
      <c r="A106" t="s">
        <v>6046</v>
      </c>
      <c r="B106" t="s">
        <v>41</v>
      </c>
      <c r="C106" t="s">
        <v>5719</v>
      </c>
      <c r="D106">
        <v>1</v>
      </c>
      <c r="E106" t="s">
        <v>6047</v>
      </c>
      <c r="F106" t="s">
        <v>6048</v>
      </c>
      <c r="G106">
        <v>1</v>
      </c>
      <c r="H106" t="s">
        <v>6046</v>
      </c>
      <c r="I106" t="s">
        <v>90</v>
      </c>
      <c r="J106" t="s">
        <v>5732</v>
      </c>
    </row>
    <row r="107" spans="1:10" ht="15" customHeight="1" x14ac:dyDescent="0.25">
      <c r="A107" t="s">
        <v>6049</v>
      </c>
      <c r="B107" t="s">
        <v>41</v>
      </c>
      <c r="C107" t="s">
        <v>5438</v>
      </c>
      <c r="D107">
        <v>1</v>
      </c>
      <c r="E107" t="s">
        <v>6050</v>
      </c>
      <c r="F107" t="s">
        <v>6051</v>
      </c>
      <c r="G107">
        <v>1</v>
      </c>
      <c r="H107" t="s">
        <v>6049</v>
      </c>
      <c r="I107" t="s">
        <v>2361</v>
      </c>
      <c r="J107" t="s">
        <v>5959</v>
      </c>
    </row>
    <row r="108" spans="1:10" ht="15" customHeight="1" x14ac:dyDescent="0.25">
      <c r="A108" t="s">
        <v>6052</v>
      </c>
      <c r="B108" t="s">
        <v>41</v>
      </c>
      <c r="C108" t="s">
        <v>5719</v>
      </c>
      <c r="D108">
        <v>2</v>
      </c>
      <c r="E108" t="s">
        <v>6053</v>
      </c>
      <c r="F108" t="s">
        <v>6054</v>
      </c>
      <c r="G108">
        <v>2</v>
      </c>
      <c r="H108" t="s">
        <v>6055</v>
      </c>
      <c r="I108" t="s">
        <v>90</v>
      </c>
      <c r="J108" t="s">
        <v>6056</v>
      </c>
    </row>
    <row r="109" spans="1:10" ht="15" customHeight="1" x14ac:dyDescent="0.25">
      <c r="A109" t="s">
        <v>6057</v>
      </c>
      <c r="B109" t="s">
        <v>3511</v>
      </c>
      <c r="C109" t="s">
        <v>5719</v>
      </c>
      <c r="D109">
        <v>1</v>
      </c>
      <c r="E109" t="s">
        <v>6058</v>
      </c>
      <c r="F109" t="s">
        <v>6059</v>
      </c>
      <c r="G109">
        <v>1</v>
      </c>
      <c r="H109" t="s">
        <v>6060</v>
      </c>
      <c r="I109" t="s">
        <v>90</v>
      </c>
      <c r="J109" t="s">
        <v>5846</v>
      </c>
    </row>
    <row r="110" spans="1:10" ht="15" customHeight="1" x14ac:dyDescent="0.25">
      <c r="A110" t="s">
        <v>6061</v>
      </c>
      <c r="B110" t="s">
        <v>3511</v>
      </c>
      <c r="C110" t="s">
        <v>5719</v>
      </c>
      <c r="D110">
        <v>1</v>
      </c>
      <c r="E110" t="s">
        <v>6062</v>
      </c>
      <c r="F110" t="s">
        <v>6063</v>
      </c>
      <c r="G110">
        <v>1</v>
      </c>
      <c r="H110" t="s">
        <v>6061</v>
      </c>
      <c r="I110" t="s">
        <v>90</v>
      </c>
      <c r="J110" t="s">
        <v>5732</v>
      </c>
    </row>
    <row r="111" spans="1:10" ht="15" customHeight="1" x14ac:dyDescent="0.25">
      <c r="A111" t="s">
        <v>6064</v>
      </c>
      <c r="B111" t="s">
        <v>41</v>
      </c>
      <c r="C111" t="s">
        <v>5357</v>
      </c>
      <c r="D111">
        <v>1</v>
      </c>
      <c r="E111" t="s">
        <v>6065</v>
      </c>
      <c r="F111" t="s">
        <v>6066</v>
      </c>
      <c r="G111">
        <v>1</v>
      </c>
      <c r="H111" t="s">
        <v>6064</v>
      </c>
      <c r="I111" t="s">
        <v>90</v>
      </c>
      <c r="J111" t="s">
        <v>6067</v>
      </c>
    </row>
    <row r="112" spans="1:10" ht="15" customHeight="1" x14ac:dyDescent="0.25">
      <c r="A112" t="s">
        <v>6068</v>
      </c>
      <c r="B112" t="s">
        <v>3499</v>
      </c>
      <c r="C112" t="s">
        <v>5719</v>
      </c>
      <c r="D112">
        <v>2</v>
      </c>
      <c r="E112" t="s">
        <v>6069</v>
      </c>
      <c r="F112" t="s">
        <v>6070</v>
      </c>
      <c r="G112">
        <v>2</v>
      </c>
      <c r="H112" t="s">
        <v>6068</v>
      </c>
      <c r="I112" t="s">
        <v>90</v>
      </c>
      <c r="J112" t="s">
        <v>5732</v>
      </c>
    </row>
    <row r="113" spans="1:10" ht="15" customHeight="1" x14ac:dyDescent="0.25">
      <c r="A113" t="s">
        <v>6071</v>
      </c>
      <c r="B113" t="s">
        <v>3499</v>
      </c>
      <c r="C113" t="s">
        <v>5357</v>
      </c>
      <c r="D113">
        <v>2</v>
      </c>
      <c r="E113" t="s">
        <v>6072</v>
      </c>
      <c r="F113" t="s">
        <v>6073</v>
      </c>
      <c r="G113">
        <v>2</v>
      </c>
      <c r="H113" t="s">
        <v>6071</v>
      </c>
      <c r="I113" t="s">
        <v>90</v>
      </c>
      <c r="J113" t="s">
        <v>5996</v>
      </c>
    </row>
    <row r="114" spans="1:10" ht="15" customHeight="1" x14ac:dyDescent="0.25">
      <c r="A114" t="s">
        <v>6074</v>
      </c>
      <c r="B114" t="s">
        <v>3511</v>
      </c>
      <c r="C114" t="s">
        <v>5357</v>
      </c>
      <c r="D114">
        <v>1</v>
      </c>
      <c r="E114" t="s">
        <v>6075</v>
      </c>
      <c r="F114" t="s">
        <v>6075</v>
      </c>
      <c r="G114">
        <v>0</v>
      </c>
      <c r="H114" t="s">
        <v>6076</v>
      </c>
      <c r="I114" t="s">
        <v>90</v>
      </c>
      <c r="J114" t="s">
        <v>6077</v>
      </c>
    </row>
    <row r="115" spans="1:10" ht="15" customHeight="1" x14ac:dyDescent="0.25">
      <c r="A115" t="s">
        <v>6078</v>
      </c>
      <c r="B115" t="s">
        <v>3511</v>
      </c>
      <c r="C115" t="s">
        <v>4594</v>
      </c>
      <c r="D115">
        <v>1</v>
      </c>
      <c r="E115" t="s">
        <v>6079</v>
      </c>
      <c r="F115" t="s">
        <v>6080</v>
      </c>
      <c r="G115">
        <v>1</v>
      </c>
      <c r="H115" t="s">
        <v>6081</v>
      </c>
      <c r="I115" t="s">
        <v>90</v>
      </c>
      <c r="J115" t="s">
        <v>5774</v>
      </c>
    </row>
    <row r="116" spans="1:10" ht="15" customHeight="1" x14ac:dyDescent="0.25">
      <c r="A116" t="s">
        <v>6082</v>
      </c>
      <c r="B116" t="s">
        <v>3511</v>
      </c>
      <c r="C116" t="s">
        <v>4594</v>
      </c>
      <c r="D116">
        <v>1</v>
      </c>
      <c r="E116" t="s">
        <v>6083</v>
      </c>
      <c r="F116" t="s">
        <v>6084</v>
      </c>
      <c r="G116">
        <v>1</v>
      </c>
      <c r="H116" t="s">
        <v>6082</v>
      </c>
      <c r="I116" t="s">
        <v>90</v>
      </c>
      <c r="J116" t="s">
        <v>5924</v>
      </c>
    </row>
    <row r="117" spans="1:10" ht="15" customHeight="1" x14ac:dyDescent="0.25">
      <c r="A117" t="s">
        <v>4250</v>
      </c>
      <c r="B117" t="s">
        <v>4294</v>
      </c>
      <c r="C117" t="s">
        <v>4242</v>
      </c>
      <c r="D117" t="s">
        <v>3994</v>
      </c>
      <c r="E117" t="s">
        <v>6085</v>
      </c>
      <c r="F117" t="s">
        <v>3455</v>
      </c>
      <c r="G117" t="s">
        <v>3455</v>
      </c>
      <c r="H117" t="s">
        <v>4250</v>
      </c>
      <c r="I117" t="s">
        <v>90</v>
      </c>
      <c r="J117" t="s">
        <v>5867</v>
      </c>
    </row>
    <row r="118" spans="1:10" ht="15" customHeight="1" x14ac:dyDescent="0.25">
      <c r="A118" t="s">
        <v>6086</v>
      </c>
      <c r="B118" t="s">
        <v>3511</v>
      </c>
      <c r="C118" t="s">
        <v>5357</v>
      </c>
      <c r="D118">
        <v>0</v>
      </c>
      <c r="E118" t="s">
        <v>6087</v>
      </c>
      <c r="F118" t="s">
        <v>6088</v>
      </c>
      <c r="G118">
        <v>0</v>
      </c>
      <c r="H118" t="s">
        <v>6086</v>
      </c>
      <c r="I118" t="s">
        <v>90</v>
      </c>
      <c r="J118" t="s">
        <v>5934</v>
      </c>
    </row>
    <row r="119" spans="1:10" ht="15" customHeight="1" x14ac:dyDescent="0.25">
      <c r="A119" t="s">
        <v>6089</v>
      </c>
      <c r="B119" t="s">
        <v>41</v>
      </c>
      <c r="C119" t="s">
        <v>5719</v>
      </c>
      <c r="D119">
        <v>1</v>
      </c>
      <c r="E119" t="s">
        <v>6090</v>
      </c>
      <c r="F119" t="s">
        <v>6091</v>
      </c>
      <c r="G119">
        <v>1</v>
      </c>
      <c r="H119" t="s">
        <v>6092</v>
      </c>
      <c r="I119" t="s">
        <v>90</v>
      </c>
      <c r="J119" t="s">
        <v>6093</v>
      </c>
    </row>
    <row r="120" spans="1:10" ht="15" customHeight="1" x14ac:dyDescent="0.25">
      <c r="A120" t="s">
        <v>5684</v>
      </c>
      <c r="B120" t="s">
        <v>3543</v>
      </c>
      <c r="C120" t="s">
        <v>5438</v>
      </c>
      <c r="D120">
        <v>1</v>
      </c>
      <c r="E120" s="3" t="s">
        <v>6094</v>
      </c>
      <c r="F120" s="3" t="s">
        <v>6094</v>
      </c>
      <c r="G120" s="3">
        <v>0</v>
      </c>
      <c r="H120" t="s">
        <v>3455</v>
      </c>
      <c r="I120" t="s">
        <v>160</v>
      </c>
    </row>
    <row r="121" spans="1:10" ht="15" customHeight="1" x14ac:dyDescent="0.25">
      <c r="A121" t="s">
        <v>6095</v>
      </c>
      <c r="B121" t="s">
        <v>3511</v>
      </c>
      <c r="C121" t="s">
        <v>5438</v>
      </c>
      <c r="D121">
        <v>1</v>
      </c>
      <c r="E121" t="s">
        <v>6096</v>
      </c>
      <c r="F121" t="s">
        <v>6097</v>
      </c>
      <c r="G121">
        <v>1</v>
      </c>
      <c r="H121" t="s">
        <v>6095</v>
      </c>
      <c r="I121" t="s">
        <v>2361</v>
      </c>
      <c r="J121" t="s">
        <v>6098</v>
      </c>
    </row>
    <row r="122" spans="1:10" ht="15" customHeight="1" x14ac:dyDescent="0.25">
      <c r="A122" t="s">
        <v>6099</v>
      </c>
      <c r="B122" t="s">
        <v>3499</v>
      </c>
      <c r="C122" t="s">
        <v>4594</v>
      </c>
      <c r="D122">
        <v>2</v>
      </c>
      <c r="E122" t="s">
        <v>6100</v>
      </c>
      <c r="F122" t="s">
        <v>6101</v>
      </c>
      <c r="G122">
        <v>2</v>
      </c>
      <c r="H122" t="s">
        <v>6099</v>
      </c>
      <c r="I122" t="s">
        <v>90</v>
      </c>
      <c r="J122" t="s">
        <v>6093</v>
      </c>
    </row>
    <row r="123" spans="1:10" ht="15" customHeight="1" x14ac:dyDescent="0.25">
      <c r="A123" t="s">
        <v>6102</v>
      </c>
      <c r="B123" t="s">
        <v>3511</v>
      </c>
      <c r="C123" t="s">
        <v>5438</v>
      </c>
      <c r="D123">
        <v>1</v>
      </c>
      <c r="E123" t="s">
        <v>5868</v>
      </c>
      <c r="F123" t="s">
        <v>5869</v>
      </c>
      <c r="G123">
        <v>1</v>
      </c>
      <c r="H123" t="s">
        <v>6102</v>
      </c>
      <c r="I123" t="s">
        <v>2361</v>
      </c>
      <c r="J123" t="s">
        <v>5871</v>
      </c>
    </row>
    <row r="124" spans="1:10" ht="15" customHeight="1" x14ac:dyDescent="0.25">
      <c r="A124" t="s">
        <v>6103</v>
      </c>
      <c r="B124" t="s">
        <v>41</v>
      </c>
      <c r="C124" t="s">
        <v>5438</v>
      </c>
      <c r="D124">
        <v>1</v>
      </c>
      <c r="E124" t="s">
        <v>5868</v>
      </c>
      <c r="F124" t="s">
        <v>5869</v>
      </c>
      <c r="G124">
        <v>1</v>
      </c>
      <c r="H124" t="s">
        <v>6103</v>
      </c>
      <c r="I124" t="s">
        <v>2361</v>
      </c>
      <c r="J124" t="s">
        <v>6003</v>
      </c>
    </row>
    <row r="125" spans="1:10" ht="15" customHeight="1" x14ac:dyDescent="0.25">
      <c r="A125" t="s">
        <v>6104</v>
      </c>
      <c r="B125" t="s">
        <v>41</v>
      </c>
      <c r="C125" t="s">
        <v>5357</v>
      </c>
      <c r="D125">
        <v>1</v>
      </c>
      <c r="E125" t="s">
        <v>6105</v>
      </c>
      <c r="F125" t="s">
        <v>6106</v>
      </c>
      <c r="G125">
        <v>1</v>
      </c>
      <c r="H125" t="s">
        <v>6104</v>
      </c>
      <c r="I125" t="s">
        <v>90</v>
      </c>
      <c r="J125" t="s">
        <v>5816</v>
      </c>
    </row>
    <row r="126" spans="1:10" ht="15" customHeight="1" x14ac:dyDescent="0.25">
      <c r="A126" t="s">
        <v>6107</v>
      </c>
      <c r="B126" t="s">
        <v>3511</v>
      </c>
      <c r="C126" t="s">
        <v>5357</v>
      </c>
      <c r="D126">
        <v>2</v>
      </c>
      <c r="E126" t="s">
        <v>6108</v>
      </c>
      <c r="F126" t="s">
        <v>6109</v>
      </c>
      <c r="G126">
        <v>2</v>
      </c>
      <c r="H126" t="s">
        <v>6110</v>
      </c>
      <c r="I126" t="s">
        <v>90</v>
      </c>
      <c r="J126" t="s">
        <v>6111</v>
      </c>
    </row>
    <row r="127" spans="1:10" ht="15" customHeight="1" x14ac:dyDescent="0.25">
      <c r="A127" t="s">
        <v>4690</v>
      </c>
      <c r="B127" t="s">
        <v>41</v>
      </c>
      <c r="C127" t="s">
        <v>5719</v>
      </c>
      <c r="D127">
        <v>1</v>
      </c>
      <c r="E127" t="s">
        <v>6112</v>
      </c>
      <c r="F127" t="s">
        <v>6112</v>
      </c>
      <c r="G127">
        <v>1</v>
      </c>
      <c r="H127" t="s">
        <v>4693</v>
      </c>
      <c r="I127" t="s">
        <v>1046</v>
      </c>
      <c r="J127" t="s">
        <v>5752</v>
      </c>
    </row>
    <row r="128" spans="1:10" ht="15" customHeight="1" x14ac:dyDescent="0.25">
      <c r="A128" t="s">
        <v>6113</v>
      </c>
      <c r="B128" t="s">
        <v>3499</v>
      </c>
      <c r="C128" t="s">
        <v>5357</v>
      </c>
      <c r="D128">
        <v>1</v>
      </c>
      <c r="E128" t="s">
        <v>6114</v>
      </c>
      <c r="F128" t="s">
        <v>6115</v>
      </c>
      <c r="G128">
        <v>1</v>
      </c>
      <c r="H128" t="s">
        <v>6116</v>
      </c>
      <c r="I128" t="s">
        <v>90</v>
      </c>
      <c r="J128" t="s">
        <v>5924</v>
      </c>
    </row>
    <row r="129" spans="1:10" ht="15" customHeight="1" x14ac:dyDescent="0.25">
      <c r="A129" t="s">
        <v>6117</v>
      </c>
      <c r="B129" t="s">
        <v>3499</v>
      </c>
      <c r="C129" t="s">
        <v>4594</v>
      </c>
      <c r="D129">
        <v>1</v>
      </c>
      <c r="E129" t="s">
        <v>6118</v>
      </c>
      <c r="F129" t="s">
        <v>6119</v>
      </c>
      <c r="G129">
        <v>1</v>
      </c>
      <c r="H129" t="s">
        <v>6120</v>
      </c>
      <c r="I129" t="s">
        <v>90</v>
      </c>
      <c r="J129" t="s">
        <v>6121</v>
      </c>
    </row>
    <row r="130" spans="1:10" ht="15" customHeight="1" x14ac:dyDescent="0.25">
      <c r="A130" t="s">
        <v>6122</v>
      </c>
      <c r="B130" t="s">
        <v>41</v>
      </c>
      <c r="C130" t="s">
        <v>5438</v>
      </c>
      <c r="D130">
        <v>1</v>
      </c>
      <c r="E130" t="s">
        <v>6123</v>
      </c>
      <c r="F130" t="s">
        <v>6124</v>
      </c>
      <c r="G130">
        <v>1</v>
      </c>
      <c r="H130" t="s">
        <v>6122</v>
      </c>
      <c r="I130" t="s">
        <v>2361</v>
      </c>
      <c r="J130" t="s">
        <v>6098</v>
      </c>
    </row>
    <row r="131" spans="1:10" ht="15" customHeight="1" x14ac:dyDescent="0.25">
      <c r="A131" t="s">
        <v>6125</v>
      </c>
      <c r="B131" t="s">
        <v>3499</v>
      </c>
      <c r="C131" t="s">
        <v>5357</v>
      </c>
      <c r="D131" t="s">
        <v>5943</v>
      </c>
      <c r="E131" t="s">
        <v>6126</v>
      </c>
      <c r="F131" t="s">
        <v>6127</v>
      </c>
      <c r="G131" t="s">
        <v>5943</v>
      </c>
      <c r="H131" t="s">
        <v>6125</v>
      </c>
      <c r="I131" t="s">
        <v>90</v>
      </c>
      <c r="J131" t="s">
        <v>6128</v>
      </c>
    </row>
    <row r="132" spans="1:10" ht="15" customHeight="1" x14ac:dyDescent="0.25">
      <c r="A132" t="s">
        <v>6129</v>
      </c>
      <c r="B132" t="s">
        <v>3511</v>
      </c>
      <c r="C132" t="s">
        <v>5719</v>
      </c>
      <c r="D132">
        <v>0</v>
      </c>
      <c r="E132" t="s">
        <v>6130</v>
      </c>
      <c r="F132" t="s">
        <v>6131</v>
      </c>
      <c r="G132">
        <v>0</v>
      </c>
      <c r="H132" t="s">
        <v>6132</v>
      </c>
      <c r="I132" t="s">
        <v>90</v>
      </c>
      <c r="J132" t="s">
        <v>5774</v>
      </c>
    </row>
    <row r="133" spans="1:10" ht="15" customHeight="1" x14ac:dyDescent="0.25">
      <c r="A133" t="s">
        <v>6133</v>
      </c>
      <c r="B133" t="s">
        <v>3511</v>
      </c>
      <c r="C133" t="s">
        <v>4594</v>
      </c>
      <c r="D133">
        <v>1</v>
      </c>
      <c r="E133" t="s">
        <v>6134</v>
      </c>
      <c r="F133" t="s">
        <v>6135</v>
      </c>
      <c r="G133">
        <v>1</v>
      </c>
      <c r="H133" t="s">
        <v>6133</v>
      </c>
      <c r="I133" t="s">
        <v>90</v>
      </c>
      <c r="J133" t="s">
        <v>5736</v>
      </c>
    </row>
    <row r="134" spans="1:10" ht="15" customHeight="1" x14ac:dyDescent="0.25">
      <c r="A134" t="s">
        <v>6136</v>
      </c>
      <c r="B134" t="s">
        <v>3499</v>
      </c>
      <c r="C134" t="s">
        <v>5802</v>
      </c>
      <c r="D134">
        <v>5</v>
      </c>
      <c r="E134" t="s">
        <v>6137</v>
      </c>
      <c r="F134" t="s">
        <v>6137</v>
      </c>
      <c r="G134">
        <v>4</v>
      </c>
      <c r="H134" t="s">
        <v>6138</v>
      </c>
      <c r="I134" t="s">
        <v>1672</v>
      </c>
    </row>
    <row r="135" spans="1:10" ht="15" customHeight="1" x14ac:dyDescent="0.25">
      <c r="A135" t="s">
        <v>6139</v>
      </c>
      <c r="B135" t="s">
        <v>41</v>
      </c>
      <c r="C135" t="s">
        <v>5438</v>
      </c>
      <c r="D135">
        <v>1</v>
      </c>
      <c r="E135" t="s">
        <v>6140</v>
      </c>
      <c r="F135" t="s">
        <v>6141</v>
      </c>
      <c r="G135">
        <v>1</v>
      </c>
      <c r="H135" t="s">
        <v>6139</v>
      </c>
      <c r="I135" t="s">
        <v>2361</v>
      </c>
      <c r="J135" t="s">
        <v>5959</v>
      </c>
    </row>
    <row r="136" spans="1:10" ht="15" customHeight="1" x14ac:dyDescent="0.25">
      <c r="A136" t="s">
        <v>5694</v>
      </c>
      <c r="B136" t="s">
        <v>3543</v>
      </c>
      <c r="C136" t="s">
        <v>5719</v>
      </c>
      <c r="D136">
        <v>0</v>
      </c>
      <c r="E136" t="s">
        <v>6142</v>
      </c>
      <c r="F136" t="s">
        <v>6143</v>
      </c>
      <c r="G136">
        <v>0</v>
      </c>
      <c r="H136" t="s">
        <v>5694</v>
      </c>
      <c r="I136" t="s">
        <v>90</v>
      </c>
      <c r="J136" t="s">
        <v>5750</v>
      </c>
    </row>
    <row r="137" spans="1:10" ht="15" customHeight="1" x14ac:dyDescent="0.25">
      <c r="A137" t="s">
        <v>6144</v>
      </c>
      <c r="B137" t="s">
        <v>3499</v>
      </c>
      <c r="C137" t="s">
        <v>5357</v>
      </c>
      <c r="D137">
        <v>3</v>
      </c>
      <c r="E137" t="s">
        <v>6145</v>
      </c>
      <c r="F137" t="s">
        <v>6145</v>
      </c>
      <c r="G137">
        <v>2</v>
      </c>
      <c r="H137" t="s">
        <v>6144</v>
      </c>
      <c r="I137" t="s">
        <v>90</v>
      </c>
      <c r="J137" t="s">
        <v>5989</v>
      </c>
    </row>
    <row r="138" spans="1:10" ht="15" customHeight="1" x14ac:dyDescent="0.25">
      <c r="A138" t="s">
        <v>6146</v>
      </c>
      <c r="B138" t="s">
        <v>3511</v>
      </c>
      <c r="C138" t="s">
        <v>4594</v>
      </c>
      <c r="D138">
        <v>1</v>
      </c>
      <c r="E138" t="s">
        <v>6147</v>
      </c>
      <c r="F138" t="s">
        <v>6148</v>
      </c>
      <c r="G138">
        <v>1</v>
      </c>
      <c r="H138" t="s">
        <v>6149</v>
      </c>
      <c r="I138" t="s">
        <v>90</v>
      </c>
      <c r="J138" t="s">
        <v>5881</v>
      </c>
    </row>
    <row r="139" spans="1:10" ht="15" customHeight="1" x14ac:dyDescent="0.25">
      <c r="A139" t="s">
        <v>6150</v>
      </c>
      <c r="B139" t="s">
        <v>3499</v>
      </c>
      <c r="C139" t="s">
        <v>5357</v>
      </c>
      <c r="D139">
        <v>0</v>
      </c>
      <c r="E139" t="s">
        <v>6151</v>
      </c>
      <c r="F139" t="s">
        <v>6152</v>
      </c>
      <c r="G139">
        <v>0</v>
      </c>
      <c r="H139" t="s">
        <v>6150</v>
      </c>
      <c r="I139" t="s">
        <v>90</v>
      </c>
      <c r="J139" t="s">
        <v>6153</v>
      </c>
    </row>
    <row r="140" spans="1:10" ht="15" customHeight="1" x14ac:dyDescent="0.25">
      <c r="A140" t="s">
        <v>6154</v>
      </c>
      <c r="B140" t="s">
        <v>41</v>
      </c>
      <c r="C140" t="s">
        <v>5357</v>
      </c>
      <c r="D140">
        <v>1</v>
      </c>
      <c r="E140" t="s">
        <v>6155</v>
      </c>
      <c r="F140" t="s">
        <v>6156</v>
      </c>
      <c r="G140">
        <v>1</v>
      </c>
      <c r="H140" t="s">
        <v>6154</v>
      </c>
      <c r="I140" t="s">
        <v>90</v>
      </c>
      <c r="J140" t="s">
        <v>5820</v>
      </c>
    </row>
    <row r="141" spans="1:10" ht="15" customHeight="1" x14ac:dyDescent="0.25">
      <c r="A141" t="s">
        <v>6157</v>
      </c>
      <c r="B141" t="s">
        <v>4294</v>
      </c>
      <c r="C141" t="s">
        <v>4242</v>
      </c>
      <c r="D141" t="s">
        <v>3994</v>
      </c>
      <c r="E141" t="s">
        <v>6158</v>
      </c>
      <c r="F141" t="s">
        <v>3455</v>
      </c>
      <c r="G141" t="s">
        <v>3455</v>
      </c>
      <c r="H141" t="s">
        <v>6157</v>
      </c>
      <c r="I141" t="s">
        <v>90</v>
      </c>
      <c r="J141" t="s">
        <v>5867</v>
      </c>
    </row>
    <row r="142" spans="1:10" ht="15" customHeight="1" x14ac:dyDescent="0.25">
      <c r="A142" t="s">
        <v>6159</v>
      </c>
      <c r="B142" t="s">
        <v>41</v>
      </c>
      <c r="C142" t="s">
        <v>5719</v>
      </c>
      <c r="D142">
        <v>2</v>
      </c>
      <c r="E142" t="s">
        <v>6160</v>
      </c>
      <c r="F142" t="s">
        <v>6161</v>
      </c>
      <c r="G142">
        <v>2</v>
      </c>
      <c r="H142" t="s">
        <v>6162</v>
      </c>
      <c r="I142" t="s">
        <v>90</v>
      </c>
      <c r="J142" t="s">
        <v>5732</v>
      </c>
    </row>
    <row r="143" spans="1:10" ht="15" customHeight="1" x14ac:dyDescent="0.25">
      <c r="A143" t="s">
        <v>6163</v>
      </c>
      <c r="B143" t="s">
        <v>3499</v>
      </c>
      <c r="C143" t="s">
        <v>5357</v>
      </c>
      <c r="D143">
        <v>1</v>
      </c>
      <c r="E143" t="s">
        <v>6164</v>
      </c>
      <c r="F143" t="s">
        <v>6164</v>
      </c>
      <c r="G143">
        <v>0</v>
      </c>
      <c r="H143" t="s">
        <v>6165</v>
      </c>
      <c r="I143" t="s">
        <v>90</v>
      </c>
      <c r="J143" t="s">
        <v>5774</v>
      </c>
    </row>
    <row r="144" spans="1:10" ht="15" customHeight="1" x14ac:dyDescent="0.25">
      <c r="A144" t="s">
        <v>6166</v>
      </c>
      <c r="B144" t="s">
        <v>41</v>
      </c>
      <c r="C144" t="s">
        <v>5357</v>
      </c>
      <c r="D144">
        <v>1</v>
      </c>
      <c r="E144" t="s">
        <v>6167</v>
      </c>
      <c r="F144" t="s">
        <v>6168</v>
      </c>
      <c r="G144">
        <v>1</v>
      </c>
      <c r="H144" t="s">
        <v>6169</v>
      </c>
      <c r="I144" t="s">
        <v>90</v>
      </c>
      <c r="J144" t="s">
        <v>6128</v>
      </c>
    </row>
    <row r="145" spans="1:10" ht="15" customHeight="1" x14ac:dyDescent="0.25">
      <c r="A145" t="s">
        <v>6170</v>
      </c>
      <c r="B145" t="s">
        <v>41</v>
      </c>
      <c r="C145" t="s">
        <v>5719</v>
      </c>
      <c r="D145">
        <v>1</v>
      </c>
      <c r="E145" t="s">
        <v>6171</v>
      </c>
      <c r="F145" t="s">
        <v>6172</v>
      </c>
      <c r="G145">
        <v>1</v>
      </c>
      <c r="H145" t="s">
        <v>6173</v>
      </c>
      <c r="I145" t="s">
        <v>90</v>
      </c>
      <c r="J145" t="s">
        <v>5750</v>
      </c>
    </row>
    <row r="146" spans="1:10" ht="15" customHeight="1" x14ac:dyDescent="0.25">
      <c r="A146" t="s">
        <v>6174</v>
      </c>
      <c r="B146" t="s">
        <v>41</v>
      </c>
      <c r="C146" t="s">
        <v>5719</v>
      </c>
      <c r="D146">
        <v>1</v>
      </c>
      <c r="E146" t="s">
        <v>6175</v>
      </c>
      <c r="F146" t="s">
        <v>6176</v>
      </c>
      <c r="G146">
        <v>1</v>
      </c>
      <c r="H146" t="s">
        <v>6177</v>
      </c>
      <c r="I146" t="s">
        <v>90</v>
      </c>
      <c r="J146" t="s">
        <v>6178</v>
      </c>
    </row>
    <row r="147" spans="1:10" ht="15" customHeight="1" x14ac:dyDescent="0.25">
      <c r="A147" t="s">
        <v>6179</v>
      </c>
      <c r="B147" t="s">
        <v>3511</v>
      </c>
      <c r="C147" t="s">
        <v>5357</v>
      </c>
      <c r="D147">
        <v>1</v>
      </c>
      <c r="E147" t="s">
        <v>6180</v>
      </c>
      <c r="F147" t="s">
        <v>6181</v>
      </c>
      <c r="G147">
        <v>1</v>
      </c>
      <c r="H147" t="s">
        <v>6182</v>
      </c>
      <c r="I147" t="s">
        <v>90</v>
      </c>
      <c r="J147" t="s">
        <v>6183</v>
      </c>
    </row>
    <row r="148" spans="1:10" ht="15" customHeight="1" x14ac:dyDescent="0.25">
      <c r="A148" t="s">
        <v>6184</v>
      </c>
      <c r="B148" t="s">
        <v>3511</v>
      </c>
      <c r="C148" t="s">
        <v>5719</v>
      </c>
      <c r="D148">
        <v>2</v>
      </c>
      <c r="E148" t="s">
        <v>6185</v>
      </c>
      <c r="F148" t="s">
        <v>6186</v>
      </c>
      <c r="G148">
        <v>2</v>
      </c>
      <c r="H148" t="s">
        <v>6184</v>
      </c>
      <c r="I148" t="s">
        <v>90</v>
      </c>
      <c r="J148" t="s">
        <v>6022</v>
      </c>
    </row>
    <row r="149" spans="1:10" ht="15" customHeight="1" x14ac:dyDescent="0.25">
      <c r="A149" t="s">
        <v>6187</v>
      </c>
      <c r="B149" t="s">
        <v>41</v>
      </c>
      <c r="C149" t="s">
        <v>5357</v>
      </c>
      <c r="D149">
        <v>0</v>
      </c>
      <c r="E149" t="s">
        <v>6188</v>
      </c>
      <c r="F149" t="s">
        <v>6189</v>
      </c>
      <c r="G149">
        <v>0</v>
      </c>
      <c r="H149" t="s">
        <v>6187</v>
      </c>
      <c r="I149" t="s">
        <v>90</v>
      </c>
      <c r="J149" t="s">
        <v>5705</v>
      </c>
    </row>
    <row r="150" spans="1:10" ht="15" customHeight="1" x14ac:dyDescent="0.25">
      <c r="A150" t="s">
        <v>6190</v>
      </c>
      <c r="B150" t="s">
        <v>3511</v>
      </c>
      <c r="C150" t="s">
        <v>5719</v>
      </c>
      <c r="D150">
        <v>1</v>
      </c>
      <c r="E150" t="s">
        <v>6191</v>
      </c>
      <c r="F150" t="s">
        <v>6192</v>
      </c>
      <c r="G150">
        <v>1</v>
      </c>
      <c r="H150" t="s">
        <v>6190</v>
      </c>
      <c r="I150" t="s">
        <v>90</v>
      </c>
      <c r="J150" t="s">
        <v>6001</v>
      </c>
    </row>
    <row r="151" spans="1:10" ht="15" customHeight="1" x14ac:dyDescent="0.25">
      <c r="A151" t="s">
        <v>5141</v>
      </c>
      <c r="B151" t="s">
        <v>4294</v>
      </c>
      <c r="C151" t="s">
        <v>4242</v>
      </c>
      <c r="D151" t="s">
        <v>3994</v>
      </c>
      <c r="E151" t="s">
        <v>6193</v>
      </c>
      <c r="F151" t="s">
        <v>3455</v>
      </c>
      <c r="G151" t="s">
        <v>3994</v>
      </c>
      <c r="H151" t="s">
        <v>6194</v>
      </c>
      <c r="I151" t="s">
        <v>1649</v>
      </c>
    </row>
    <row r="152" spans="1:10" ht="15" customHeight="1" x14ac:dyDescent="0.25">
      <c r="A152" t="s">
        <v>6195</v>
      </c>
      <c r="B152" t="s">
        <v>4294</v>
      </c>
      <c r="C152" t="s">
        <v>3653</v>
      </c>
      <c r="D152">
        <v>1</v>
      </c>
      <c r="E152" t="s">
        <v>6196</v>
      </c>
      <c r="F152" t="s">
        <v>3455</v>
      </c>
      <c r="G152" t="s">
        <v>3455</v>
      </c>
      <c r="H152" t="s">
        <v>6197</v>
      </c>
      <c r="I152" t="s">
        <v>501</v>
      </c>
      <c r="J152" t="s">
        <v>5790</v>
      </c>
    </row>
    <row r="153" spans="1:10" ht="15" customHeight="1" x14ac:dyDescent="0.25">
      <c r="A153" t="s">
        <v>6198</v>
      </c>
      <c r="B153" t="s">
        <v>41</v>
      </c>
      <c r="C153" t="s">
        <v>5719</v>
      </c>
      <c r="D153">
        <v>1</v>
      </c>
      <c r="E153" t="s">
        <v>6199</v>
      </c>
      <c r="F153" t="s">
        <v>6200</v>
      </c>
      <c r="G153">
        <v>1</v>
      </c>
      <c r="H153" t="s">
        <v>6201</v>
      </c>
      <c r="I153" t="s">
        <v>90</v>
      </c>
      <c r="J153" t="s">
        <v>6202</v>
      </c>
    </row>
    <row r="154" spans="1:10" ht="15" customHeight="1" x14ac:dyDescent="0.25">
      <c r="A154" t="s">
        <v>5359</v>
      </c>
      <c r="B154" t="s">
        <v>3511</v>
      </c>
      <c r="C154" t="s">
        <v>5357</v>
      </c>
      <c r="D154">
        <v>0</v>
      </c>
      <c r="E154" t="s">
        <v>6203</v>
      </c>
      <c r="F154" t="s">
        <v>6204</v>
      </c>
      <c r="G154">
        <v>0</v>
      </c>
      <c r="H154" t="s">
        <v>5359</v>
      </c>
      <c r="I154" t="s">
        <v>90</v>
      </c>
      <c r="J154" t="s">
        <v>5736</v>
      </c>
    </row>
    <row r="155" spans="1:10" ht="15" customHeight="1" x14ac:dyDescent="0.25">
      <c r="A155" t="s">
        <v>6205</v>
      </c>
      <c r="B155" t="s">
        <v>3511</v>
      </c>
      <c r="C155" t="s">
        <v>5719</v>
      </c>
      <c r="D155">
        <v>1</v>
      </c>
      <c r="E155" t="s">
        <v>6206</v>
      </c>
      <c r="F155" t="s">
        <v>6207</v>
      </c>
      <c r="G155">
        <v>1</v>
      </c>
      <c r="H155" t="s">
        <v>6205</v>
      </c>
      <c r="I155" t="s">
        <v>90</v>
      </c>
      <c r="J155" t="s">
        <v>6056</v>
      </c>
    </row>
    <row r="156" spans="1:10" ht="15" customHeight="1" x14ac:dyDescent="0.25">
      <c r="A156" t="s">
        <v>6208</v>
      </c>
      <c r="B156" t="s">
        <v>3511</v>
      </c>
      <c r="C156" t="s">
        <v>5438</v>
      </c>
      <c r="D156">
        <v>1</v>
      </c>
      <c r="E156" t="s">
        <v>5868</v>
      </c>
      <c r="F156" t="s">
        <v>5869</v>
      </c>
      <c r="G156">
        <v>1</v>
      </c>
      <c r="H156" t="s">
        <v>6208</v>
      </c>
      <c r="I156" t="s">
        <v>2361</v>
      </c>
      <c r="J156" t="s">
        <v>5871</v>
      </c>
    </row>
    <row r="157" spans="1:10" ht="15" customHeight="1" x14ac:dyDescent="0.25">
      <c r="A157" t="s">
        <v>6209</v>
      </c>
      <c r="B157" t="s">
        <v>3499</v>
      </c>
      <c r="C157" t="s">
        <v>5719</v>
      </c>
      <c r="D157">
        <v>2</v>
      </c>
      <c r="E157" t="s">
        <v>6210</v>
      </c>
      <c r="F157" t="s">
        <v>6211</v>
      </c>
      <c r="G157">
        <v>2</v>
      </c>
      <c r="H157" t="s">
        <v>6209</v>
      </c>
      <c r="I157" t="s">
        <v>90</v>
      </c>
      <c r="J157" t="s">
        <v>5993</v>
      </c>
    </row>
    <row r="158" spans="1:10" ht="15" customHeight="1" x14ac:dyDescent="0.25">
      <c r="A158" t="s">
        <v>6212</v>
      </c>
      <c r="B158" t="s">
        <v>3511</v>
      </c>
      <c r="C158" t="s">
        <v>5719</v>
      </c>
      <c r="D158">
        <v>0</v>
      </c>
      <c r="E158" t="s">
        <v>6213</v>
      </c>
      <c r="F158" t="s">
        <v>6214</v>
      </c>
      <c r="G158">
        <v>0</v>
      </c>
      <c r="H158" t="s">
        <v>6215</v>
      </c>
      <c r="I158" t="s">
        <v>90</v>
      </c>
      <c r="J158" t="s">
        <v>6216</v>
      </c>
    </row>
    <row r="159" spans="1:10" ht="15" customHeight="1" x14ac:dyDescent="0.25">
      <c r="A159" t="s">
        <v>6217</v>
      </c>
      <c r="B159" t="s">
        <v>4294</v>
      </c>
      <c r="C159" t="s">
        <v>3653</v>
      </c>
      <c r="D159">
        <v>1</v>
      </c>
      <c r="E159" t="s">
        <v>6218</v>
      </c>
      <c r="F159" t="s">
        <v>3455</v>
      </c>
      <c r="G159" t="s">
        <v>3455</v>
      </c>
      <c r="H159" t="s">
        <v>6219</v>
      </c>
      <c r="I159" t="s">
        <v>501</v>
      </c>
      <c r="J159" t="s">
        <v>5790</v>
      </c>
    </row>
    <row r="160" spans="1:10" ht="15" customHeight="1" x14ac:dyDescent="0.25">
      <c r="A160" t="s">
        <v>6220</v>
      </c>
      <c r="B160" t="s">
        <v>3511</v>
      </c>
      <c r="C160" t="s">
        <v>5357</v>
      </c>
      <c r="D160" t="s">
        <v>3994</v>
      </c>
      <c r="E160" t="s">
        <v>6221</v>
      </c>
      <c r="F160" t="s">
        <v>6222</v>
      </c>
      <c r="G160" t="s">
        <v>3994</v>
      </c>
      <c r="H160" t="s">
        <v>6220</v>
      </c>
      <c r="I160" t="s">
        <v>90</v>
      </c>
      <c r="J160" t="s">
        <v>5834</v>
      </c>
    </row>
    <row r="161" spans="1:10" ht="15" customHeight="1" x14ac:dyDescent="0.25">
      <c r="A161" t="s">
        <v>5106</v>
      </c>
      <c r="B161" t="s">
        <v>4294</v>
      </c>
      <c r="C161" t="s">
        <v>4242</v>
      </c>
      <c r="D161" t="s">
        <v>3994</v>
      </c>
      <c r="E161" t="s">
        <v>6223</v>
      </c>
      <c r="F161" t="s">
        <v>3455</v>
      </c>
      <c r="G161" t="s">
        <v>3455</v>
      </c>
      <c r="H161" t="s">
        <v>5106</v>
      </c>
      <c r="I161" t="s">
        <v>90</v>
      </c>
      <c r="J161" t="s">
        <v>5867</v>
      </c>
    </row>
    <row r="162" spans="1:10" ht="15" customHeight="1" x14ac:dyDescent="0.25">
      <c r="A162" t="s">
        <v>6224</v>
      </c>
      <c r="B162" t="s">
        <v>3511</v>
      </c>
      <c r="C162" t="s">
        <v>5719</v>
      </c>
      <c r="D162">
        <v>2</v>
      </c>
      <c r="E162" t="s">
        <v>6225</v>
      </c>
      <c r="F162" t="s">
        <v>6226</v>
      </c>
      <c r="G162">
        <v>2</v>
      </c>
      <c r="H162" t="s">
        <v>6227</v>
      </c>
      <c r="I162" t="s">
        <v>90</v>
      </c>
      <c r="J162" t="s">
        <v>5774</v>
      </c>
    </row>
    <row r="163" spans="1:10" ht="15" customHeight="1" x14ac:dyDescent="0.25">
      <c r="A163" t="s">
        <v>6228</v>
      </c>
      <c r="B163" t="s">
        <v>3511</v>
      </c>
      <c r="C163" t="s">
        <v>5802</v>
      </c>
      <c r="D163">
        <v>2</v>
      </c>
      <c r="E163" t="s">
        <v>6229</v>
      </c>
      <c r="F163" t="s">
        <v>6230</v>
      </c>
      <c r="G163">
        <v>2</v>
      </c>
      <c r="H163" t="s">
        <v>6231</v>
      </c>
      <c r="I163" t="s">
        <v>1672</v>
      </c>
    </row>
    <row r="164" spans="1:10" ht="15" customHeight="1" x14ac:dyDescent="0.25">
      <c r="A164" t="s">
        <v>6232</v>
      </c>
      <c r="B164" t="s">
        <v>3511</v>
      </c>
      <c r="C164" t="s">
        <v>4594</v>
      </c>
      <c r="D164">
        <v>1</v>
      </c>
      <c r="E164" t="s">
        <v>6233</v>
      </c>
      <c r="F164" t="s">
        <v>6234</v>
      </c>
      <c r="G164">
        <v>1</v>
      </c>
      <c r="H164" t="s">
        <v>6232</v>
      </c>
      <c r="I164" t="s">
        <v>90</v>
      </c>
      <c r="J164" t="s">
        <v>5924</v>
      </c>
    </row>
    <row r="165" spans="1:10" ht="15" customHeight="1" x14ac:dyDescent="0.25">
      <c r="A165" t="s">
        <v>4813</v>
      </c>
      <c r="B165" t="s">
        <v>3511</v>
      </c>
      <c r="C165" t="s">
        <v>5357</v>
      </c>
      <c r="D165">
        <v>1</v>
      </c>
      <c r="E165" t="s">
        <v>6235</v>
      </c>
      <c r="F165" t="s">
        <v>6235</v>
      </c>
      <c r="G165">
        <v>1</v>
      </c>
      <c r="H165" t="s">
        <v>4816</v>
      </c>
      <c r="I165" t="s">
        <v>1649</v>
      </c>
      <c r="J165" t="s">
        <v>5752</v>
      </c>
    </row>
    <row r="166" spans="1:10" ht="15" customHeight="1" x14ac:dyDescent="0.25">
      <c r="A166" t="s">
        <v>6236</v>
      </c>
      <c r="B166" t="s">
        <v>3511</v>
      </c>
      <c r="C166" t="s">
        <v>5719</v>
      </c>
      <c r="D166">
        <v>2</v>
      </c>
      <c r="E166" t="s">
        <v>6237</v>
      </c>
      <c r="F166" t="s">
        <v>3455</v>
      </c>
      <c r="G166">
        <v>2</v>
      </c>
      <c r="H166" t="s">
        <v>6238</v>
      </c>
      <c r="I166" t="s">
        <v>90</v>
      </c>
      <c r="J166" t="s">
        <v>6056</v>
      </c>
    </row>
    <row r="167" spans="1:10" ht="15" customHeight="1" x14ac:dyDescent="0.25">
      <c r="A167" t="s">
        <v>6239</v>
      </c>
      <c r="B167" t="s">
        <v>3511</v>
      </c>
      <c r="C167" t="s">
        <v>5357</v>
      </c>
      <c r="D167">
        <v>1</v>
      </c>
      <c r="E167" t="s">
        <v>6240</v>
      </c>
      <c r="F167" t="s">
        <v>6241</v>
      </c>
      <c r="G167">
        <v>1</v>
      </c>
      <c r="H167" t="s">
        <v>6242</v>
      </c>
      <c r="I167" t="s">
        <v>90</v>
      </c>
      <c r="J167" t="s">
        <v>5996</v>
      </c>
    </row>
    <row r="168" spans="1:10" ht="15" customHeight="1" x14ac:dyDescent="0.25">
      <c r="A168" t="s">
        <v>6243</v>
      </c>
      <c r="B168" t="s">
        <v>3511</v>
      </c>
      <c r="C168" t="s">
        <v>5357</v>
      </c>
      <c r="D168">
        <v>1</v>
      </c>
      <c r="E168" t="s">
        <v>6244</v>
      </c>
      <c r="F168" t="s">
        <v>6244</v>
      </c>
      <c r="G168">
        <v>0</v>
      </c>
      <c r="H168" t="s">
        <v>6245</v>
      </c>
      <c r="I168" t="s">
        <v>90</v>
      </c>
      <c r="J168" t="s">
        <v>6246</v>
      </c>
    </row>
    <row r="169" spans="1:10" ht="15" customHeight="1" x14ac:dyDescent="0.25">
      <c r="A169" t="s">
        <v>6247</v>
      </c>
      <c r="B169" t="s">
        <v>3499</v>
      </c>
      <c r="C169" t="s">
        <v>5357</v>
      </c>
      <c r="D169">
        <v>0</v>
      </c>
      <c r="E169" t="s">
        <v>6248</v>
      </c>
      <c r="F169" t="s">
        <v>6249</v>
      </c>
      <c r="G169">
        <v>0</v>
      </c>
      <c r="H169" t="s">
        <v>6247</v>
      </c>
      <c r="I169" t="s">
        <v>90</v>
      </c>
      <c r="J169" t="s">
        <v>6250</v>
      </c>
    </row>
    <row r="170" spans="1:10" ht="15" customHeight="1" x14ac:dyDescent="0.25">
      <c r="A170" t="s">
        <v>6251</v>
      </c>
      <c r="B170" t="s">
        <v>3511</v>
      </c>
      <c r="C170" t="s">
        <v>5357</v>
      </c>
      <c r="D170">
        <v>1</v>
      </c>
      <c r="E170" t="s">
        <v>6252</v>
      </c>
      <c r="F170" t="s">
        <v>6253</v>
      </c>
      <c r="G170">
        <v>1</v>
      </c>
      <c r="H170" t="s">
        <v>6251</v>
      </c>
      <c r="I170" t="s">
        <v>90</v>
      </c>
      <c r="J170" t="s">
        <v>5996</v>
      </c>
    </row>
    <row r="171" spans="1:10" ht="15" customHeight="1" x14ac:dyDescent="0.25">
      <c r="A171" t="s">
        <v>6254</v>
      </c>
      <c r="B171" t="s">
        <v>3511</v>
      </c>
      <c r="C171" t="s">
        <v>5357</v>
      </c>
      <c r="D171">
        <v>1</v>
      </c>
      <c r="E171" t="s">
        <v>6255</v>
      </c>
      <c r="F171" t="s">
        <v>6255</v>
      </c>
      <c r="G171">
        <v>0</v>
      </c>
      <c r="H171" t="s">
        <v>6254</v>
      </c>
      <c r="I171" t="s">
        <v>90</v>
      </c>
      <c r="J171" t="s">
        <v>5820</v>
      </c>
    </row>
    <row r="172" spans="1:10" ht="15" customHeight="1" x14ac:dyDescent="0.25">
      <c r="A172" t="s">
        <v>6256</v>
      </c>
      <c r="B172" t="s">
        <v>3511</v>
      </c>
      <c r="C172" t="s">
        <v>5719</v>
      </c>
      <c r="D172">
        <v>2</v>
      </c>
      <c r="E172" t="s">
        <v>6257</v>
      </c>
      <c r="F172" t="s">
        <v>6258</v>
      </c>
      <c r="G172">
        <v>2</v>
      </c>
      <c r="H172" t="s">
        <v>6259</v>
      </c>
      <c r="I172" t="s">
        <v>90</v>
      </c>
      <c r="J172" t="s">
        <v>6001</v>
      </c>
    </row>
    <row r="173" spans="1:10" ht="15" customHeight="1" x14ac:dyDescent="0.25">
      <c r="A173" t="s">
        <v>6260</v>
      </c>
      <c r="B173" t="s">
        <v>4294</v>
      </c>
      <c r="C173" t="s">
        <v>4242</v>
      </c>
      <c r="D173" t="s">
        <v>3994</v>
      </c>
      <c r="E173" t="s">
        <v>6261</v>
      </c>
      <c r="F173" t="s">
        <v>3455</v>
      </c>
      <c r="G173" t="s">
        <v>3455</v>
      </c>
      <c r="H173" t="s">
        <v>6260</v>
      </c>
      <c r="I173" t="s">
        <v>90</v>
      </c>
      <c r="J173" t="s">
        <v>5867</v>
      </c>
    </row>
    <row r="174" spans="1:10" ht="15" customHeight="1" x14ac:dyDescent="0.25">
      <c r="A174" t="s">
        <v>6262</v>
      </c>
      <c r="B174" t="s">
        <v>4294</v>
      </c>
      <c r="C174" t="s">
        <v>5719</v>
      </c>
      <c r="D174">
        <v>0</v>
      </c>
      <c r="E174" t="s">
        <v>6263</v>
      </c>
      <c r="F174" t="s">
        <v>6264</v>
      </c>
      <c r="G174">
        <v>0</v>
      </c>
      <c r="H174" t="s">
        <v>6262</v>
      </c>
      <c r="I174" t="s">
        <v>90</v>
      </c>
    </row>
    <row r="175" spans="1:10" ht="15" customHeight="1" x14ac:dyDescent="0.25">
      <c r="A175" t="s">
        <v>6265</v>
      </c>
      <c r="B175" t="s">
        <v>3511</v>
      </c>
      <c r="C175" t="s">
        <v>5357</v>
      </c>
      <c r="D175">
        <v>2</v>
      </c>
      <c r="E175" t="s">
        <v>6266</v>
      </c>
      <c r="F175" t="s">
        <v>6267</v>
      </c>
      <c r="G175">
        <v>2</v>
      </c>
      <c r="H175" t="s">
        <v>6265</v>
      </c>
      <c r="I175" t="s">
        <v>90</v>
      </c>
      <c r="J175" t="s">
        <v>5934</v>
      </c>
    </row>
    <row r="176" spans="1:10" ht="15" customHeight="1" x14ac:dyDescent="0.25">
      <c r="A176" t="s">
        <v>6268</v>
      </c>
      <c r="B176" t="s">
        <v>41</v>
      </c>
      <c r="C176" t="s">
        <v>5357</v>
      </c>
      <c r="D176">
        <v>1</v>
      </c>
      <c r="E176" t="s">
        <v>6269</v>
      </c>
      <c r="F176" t="s">
        <v>6270</v>
      </c>
      <c r="G176">
        <v>1</v>
      </c>
      <c r="H176" t="s">
        <v>6271</v>
      </c>
      <c r="I176" t="s">
        <v>90</v>
      </c>
      <c r="J176" t="s">
        <v>6272</v>
      </c>
    </row>
    <row r="177" spans="1:10" ht="15" customHeight="1" x14ac:dyDescent="0.25">
      <c r="A177" t="s">
        <v>6273</v>
      </c>
      <c r="B177" t="s">
        <v>3511</v>
      </c>
      <c r="C177" t="s">
        <v>5719</v>
      </c>
      <c r="D177" t="s">
        <v>5943</v>
      </c>
      <c r="E177" t="s">
        <v>6274</v>
      </c>
      <c r="F177" t="s">
        <v>6275</v>
      </c>
      <c r="G177" t="s">
        <v>5943</v>
      </c>
      <c r="H177" t="s">
        <v>6273</v>
      </c>
      <c r="I177" t="s">
        <v>90</v>
      </c>
      <c r="J177" t="s">
        <v>5774</v>
      </c>
    </row>
    <row r="178" spans="1:10" ht="15" customHeight="1" x14ac:dyDescent="0.25">
      <c r="A178" t="s">
        <v>6276</v>
      </c>
      <c r="B178" t="s">
        <v>41</v>
      </c>
      <c r="C178" t="s">
        <v>5719</v>
      </c>
      <c r="D178">
        <v>0</v>
      </c>
      <c r="E178" t="s">
        <v>6277</v>
      </c>
      <c r="F178" t="s">
        <v>6278</v>
      </c>
      <c r="G178">
        <v>0</v>
      </c>
      <c r="H178" t="s">
        <v>6276</v>
      </c>
      <c r="I178" t="s">
        <v>90</v>
      </c>
      <c r="J178" t="s">
        <v>5774</v>
      </c>
    </row>
    <row r="179" spans="1:10" ht="15" customHeight="1" x14ac:dyDescent="0.25">
      <c r="A179" t="s">
        <v>6279</v>
      </c>
      <c r="B179" t="s">
        <v>4294</v>
      </c>
      <c r="C179" t="s">
        <v>3653</v>
      </c>
      <c r="D179">
        <v>1</v>
      </c>
      <c r="E179" t="s">
        <v>6280</v>
      </c>
      <c r="F179" t="s">
        <v>3455</v>
      </c>
      <c r="G179" t="s">
        <v>3455</v>
      </c>
      <c r="H179" t="s">
        <v>6279</v>
      </c>
      <c r="I179" t="s">
        <v>90</v>
      </c>
    </row>
    <row r="180" spans="1:10" ht="15" customHeight="1" x14ac:dyDescent="0.25">
      <c r="A180" t="s">
        <v>6281</v>
      </c>
      <c r="B180" t="s">
        <v>41</v>
      </c>
      <c r="C180" t="s">
        <v>5719</v>
      </c>
      <c r="D180">
        <v>2</v>
      </c>
      <c r="E180" t="s">
        <v>6282</v>
      </c>
      <c r="F180" t="s">
        <v>6283</v>
      </c>
      <c r="G180">
        <v>2</v>
      </c>
      <c r="H180" t="s">
        <v>6284</v>
      </c>
      <c r="I180" t="s">
        <v>90</v>
      </c>
      <c r="J180" t="s">
        <v>6022</v>
      </c>
    </row>
    <row r="181" spans="1:10" ht="15" customHeight="1" x14ac:dyDescent="0.25">
      <c r="A181" t="s">
        <v>6285</v>
      </c>
      <c r="B181" t="s">
        <v>3511</v>
      </c>
      <c r="C181" t="s">
        <v>5438</v>
      </c>
      <c r="D181">
        <v>1</v>
      </c>
      <c r="E181" t="s">
        <v>5868</v>
      </c>
      <c r="F181" t="s">
        <v>5869</v>
      </c>
      <c r="G181">
        <v>1</v>
      </c>
      <c r="H181" t="s">
        <v>6285</v>
      </c>
      <c r="I181" t="s">
        <v>2361</v>
      </c>
      <c r="J181" t="s">
        <v>6003</v>
      </c>
    </row>
    <row r="182" spans="1:10" ht="15" customHeight="1" x14ac:dyDescent="0.25">
      <c r="A182" t="s">
        <v>6286</v>
      </c>
      <c r="B182" t="s">
        <v>3511</v>
      </c>
      <c r="C182" t="s">
        <v>5357</v>
      </c>
      <c r="D182">
        <v>1</v>
      </c>
      <c r="E182" t="s">
        <v>6287</v>
      </c>
      <c r="F182" t="s">
        <v>6288</v>
      </c>
      <c r="G182">
        <v>1</v>
      </c>
      <c r="H182" t="s">
        <v>6289</v>
      </c>
      <c r="I182" t="s">
        <v>90</v>
      </c>
      <c r="J182" t="s">
        <v>5924</v>
      </c>
    </row>
    <row r="183" spans="1:10" ht="15" customHeight="1" x14ac:dyDescent="0.25">
      <c r="A183" t="s">
        <v>6290</v>
      </c>
      <c r="B183" t="s">
        <v>3499</v>
      </c>
      <c r="C183" t="s">
        <v>5357</v>
      </c>
      <c r="D183">
        <v>1</v>
      </c>
      <c r="E183" t="s">
        <v>6291</v>
      </c>
      <c r="F183" t="s">
        <v>6292</v>
      </c>
      <c r="G183">
        <v>1</v>
      </c>
      <c r="H183" t="s">
        <v>6293</v>
      </c>
      <c r="I183" t="s">
        <v>90</v>
      </c>
      <c r="J183" t="s">
        <v>6294</v>
      </c>
    </row>
    <row r="184" spans="1:10" ht="15" customHeight="1" x14ac:dyDescent="0.25">
      <c r="A184" t="s">
        <v>6295</v>
      </c>
      <c r="B184" t="s">
        <v>3543</v>
      </c>
      <c r="C184" t="s">
        <v>5719</v>
      </c>
      <c r="D184">
        <v>1</v>
      </c>
      <c r="E184" t="s">
        <v>6277</v>
      </c>
      <c r="F184" t="s">
        <v>6278</v>
      </c>
      <c r="G184">
        <v>1</v>
      </c>
      <c r="H184" t="s">
        <v>3455</v>
      </c>
      <c r="I184" t="s">
        <v>3455</v>
      </c>
    </row>
    <row r="185" spans="1:10" ht="15" customHeight="1" x14ac:dyDescent="0.25">
      <c r="A185" t="s">
        <v>6296</v>
      </c>
      <c r="B185" t="s">
        <v>41</v>
      </c>
      <c r="C185" t="s">
        <v>5719</v>
      </c>
      <c r="D185">
        <v>1</v>
      </c>
      <c r="E185" t="s">
        <v>6297</v>
      </c>
      <c r="F185" t="s">
        <v>6298</v>
      </c>
      <c r="G185">
        <v>1</v>
      </c>
      <c r="H185" t="s">
        <v>6299</v>
      </c>
      <c r="I185" t="s">
        <v>90</v>
      </c>
      <c r="J185" t="s">
        <v>5750</v>
      </c>
    </row>
    <row r="186" spans="1:10" ht="15" customHeight="1" x14ac:dyDescent="0.25">
      <c r="A186" t="s">
        <v>5693</v>
      </c>
      <c r="B186" t="s">
        <v>3543</v>
      </c>
      <c r="C186" t="s">
        <v>5357</v>
      </c>
      <c r="D186">
        <v>1</v>
      </c>
      <c r="E186" t="s">
        <v>6300</v>
      </c>
      <c r="F186" t="s">
        <v>6301</v>
      </c>
      <c r="G186">
        <v>1</v>
      </c>
      <c r="H186" t="s">
        <v>5693</v>
      </c>
      <c r="I186" t="s">
        <v>90</v>
      </c>
      <c r="J186" t="s">
        <v>6302</v>
      </c>
    </row>
    <row r="187" spans="1:10" ht="15" customHeight="1" x14ac:dyDescent="0.25">
      <c r="A187" t="s">
        <v>6303</v>
      </c>
      <c r="B187" t="s">
        <v>41</v>
      </c>
      <c r="C187" t="s">
        <v>5719</v>
      </c>
      <c r="D187">
        <v>1</v>
      </c>
      <c r="E187" t="s">
        <v>6304</v>
      </c>
      <c r="F187" t="s">
        <v>6305</v>
      </c>
      <c r="G187">
        <v>1</v>
      </c>
      <c r="H187" t="s">
        <v>6306</v>
      </c>
      <c r="I187" t="s">
        <v>90</v>
      </c>
      <c r="J187" t="s">
        <v>6307</v>
      </c>
    </row>
    <row r="188" spans="1:10" ht="15" customHeight="1" x14ac:dyDescent="0.25">
      <c r="A188" t="s">
        <v>6308</v>
      </c>
      <c r="B188" t="s">
        <v>41</v>
      </c>
      <c r="C188" t="s">
        <v>5719</v>
      </c>
      <c r="D188">
        <v>1</v>
      </c>
      <c r="E188" t="s">
        <v>6309</v>
      </c>
      <c r="F188" t="s">
        <v>6310</v>
      </c>
      <c r="G188">
        <v>1</v>
      </c>
      <c r="H188" t="s">
        <v>6311</v>
      </c>
      <c r="I188" t="s">
        <v>90</v>
      </c>
      <c r="J188" t="s">
        <v>5732</v>
      </c>
    </row>
    <row r="189" spans="1:10" ht="15" customHeight="1" x14ac:dyDescent="0.25">
      <c r="A189" t="s">
        <v>6312</v>
      </c>
      <c r="B189" t="s">
        <v>3511</v>
      </c>
      <c r="C189" t="s">
        <v>5357</v>
      </c>
      <c r="D189" t="s">
        <v>3994</v>
      </c>
      <c r="E189" t="s">
        <v>6313</v>
      </c>
      <c r="F189" t="s">
        <v>6314</v>
      </c>
      <c r="G189" t="s">
        <v>3994</v>
      </c>
      <c r="H189" t="s">
        <v>6312</v>
      </c>
      <c r="I189" t="s">
        <v>90</v>
      </c>
      <c r="J189" t="s">
        <v>6315</v>
      </c>
    </row>
    <row r="190" spans="1:10" ht="15" customHeight="1" x14ac:dyDescent="0.25">
      <c r="A190" t="s">
        <v>6316</v>
      </c>
      <c r="B190" t="s">
        <v>3511</v>
      </c>
      <c r="C190" t="s">
        <v>5802</v>
      </c>
      <c r="D190">
        <v>3</v>
      </c>
      <c r="E190" t="s">
        <v>6317</v>
      </c>
      <c r="F190" t="s">
        <v>6318</v>
      </c>
      <c r="G190">
        <v>3</v>
      </c>
      <c r="H190" t="s">
        <v>6319</v>
      </c>
      <c r="I190" t="s">
        <v>1672</v>
      </c>
    </row>
    <row r="191" spans="1:10" ht="15" customHeight="1" x14ac:dyDescent="0.25">
      <c r="A191" t="s">
        <v>6320</v>
      </c>
      <c r="B191" t="s">
        <v>3511</v>
      </c>
      <c r="C191" t="s">
        <v>5357</v>
      </c>
      <c r="D191">
        <v>1</v>
      </c>
      <c r="E191" t="s">
        <v>6321</v>
      </c>
      <c r="F191" t="s">
        <v>6321</v>
      </c>
      <c r="G191">
        <v>0</v>
      </c>
      <c r="H191" t="s">
        <v>6320</v>
      </c>
      <c r="I191" t="s">
        <v>90</v>
      </c>
      <c r="J191" t="s">
        <v>6128</v>
      </c>
    </row>
    <row r="192" spans="1:10" ht="15" customHeight="1" x14ac:dyDescent="0.25">
      <c r="A192" t="s">
        <v>6322</v>
      </c>
      <c r="B192" t="s">
        <v>41</v>
      </c>
      <c r="C192" t="s">
        <v>5719</v>
      </c>
      <c r="D192">
        <v>1</v>
      </c>
      <c r="E192" t="s">
        <v>6323</v>
      </c>
      <c r="F192" t="s">
        <v>6324</v>
      </c>
      <c r="G192">
        <v>1</v>
      </c>
      <c r="H192" t="s">
        <v>6322</v>
      </c>
      <c r="I192" t="s">
        <v>90</v>
      </c>
      <c r="J192" t="s">
        <v>5864</v>
      </c>
    </row>
    <row r="193" spans="1:10" ht="15" customHeight="1" x14ac:dyDescent="0.25">
      <c r="A193" t="s">
        <v>6325</v>
      </c>
      <c r="B193" t="s">
        <v>3499</v>
      </c>
      <c r="C193" t="s">
        <v>4594</v>
      </c>
      <c r="D193">
        <v>1</v>
      </c>
      <c r="E193" t="s">
        <v>6326</v>
      </c>
      <c r="F193" t="s">
        <v>6326</v>
      </c>
      <c r="G193">
        <v>0</v>
      </c>
      <c r="H193" t="s">
        <v>6327</v>
      </c>
      <c r="I193" t="s">
        <v>90</v>
      </c>
      <c r="J193" t="s">
        <v>5705</v>
      </c>
    </row>
    <row r="194" spans="1:10" ht="15" customHeight="1" x14ac:dyDescent="0.25">
      <c r="A194" t="s">
        <v>6328</v>
      </c>
      <c r="B194" t="s">
        <v>41</v>
      </c>
      <c r="C194" t="s">
        <v>5357</v>
      </c>
      <c r="D194">
        <v>1</v>
      </c>
      <c r="E194" t="s">
        <v>6329</v>
      </c>
      <c r="F194" t="s">
        <v>6330</v>
      </c>
      <c r="G194">
        <v>1</v>
      </c>
      <c r="H194" t="s">
        <v>6331</v>
      </c>
      <c r="I194" t="s">
        <v>90</v>
      </c>
      <c r="J194" t="s">
        <v>5996</v>
      </c>
    </row>
    <row r="195" spans="1:10" ht="15" customHeight="1" x14ac:dyDescent="0.25">
      <c r="A195" t="s">
        <v>6332</v>
      </c>
      <c r="B195" t="s">
        <v>41</v>
      </c>
      <c r="C195" t="s">
        <v>5719</v>
      </c>
      <c r="D195">
        <v>1</v>
      </c>
      <c r="E195" t="s">
        <v>6333</v>
      </c>
      <c r="F195" t="s">
        <v>6334</v>
      </c>
      <c r="G195">
        <v>1</v>
      </c>
      <c r="H195" t="s">
        <v>6335</v>
      </c>
      <c r="I195" t="s">
        <v>90</v>
      </c>
      <c r="J195" t="s">
        <v>5732</v>
      </c>
    </row>
    <row r="196" spans="1:10" ht="15" customHeight="1" x14ac:dyDescent="0.25">
      <c r="A196" t="s">
        <v>6336</v>
      </c>
      <c r="B196" t="s">
        <v>3499</v>
      </c>
      <c r="C196" t="s">
        <v>5719</v>
      </c>
      <c r="D196">
        <v>1</v>
      </c>
      <c r="E196" t="s">
        <v>6337</v>
      </c>
      <c r="F196" t="s">
        <v>6338</v>
      </c>
      <c r="G196">
        <v>1</v>
      </c>
      <c r="H196" t="s">
        <v>6336</v>
      </c>
      <c r="I196" t="s">
        <v>90</v>
      </c>
      <c r="J196" t="s">
        <v>5979</v>
      </c>
    </row>
    <row r="197" spans="1:10" ht="15" customHeight="1" x14ac:dyDescent="0.25">
      <c r="A197" t="s">
        <v>6339</v>
      </c>
      <c r="B197" t="s">
        <v>3511</v>
      </c>
      <c r="C197" t="s">
        <v>5719</v>
      </c>
      <c r="D197">
        <v>2</v>
      </c>
      <c r="E197" t="s">
        <v>6340</v>
      </c>
      <c r="F197" t="s">
        <v>6341</v>
      </c>
      <c r="G197">
        <v>2</v>
      </c>
      <c r="H197" t="s">
        <v>6339</v>
      </c>
      <c r="I197" t="s">
        <v>90</v>
      </c>
      <c r="J197" t="s">
        <v>5864</v>
      </c>
    </row>
    <row r="198" spans="1:10" ht="15" customHeight="1" x14ac:dyDescent="0.25">
      <c r="A198" t="s">
        <v>6342</v>
      </c>
      <c r="B198" t="s">
        <v>3499</v>
      </c>
      <c r="C198" t="s">
        <v>5438</v>
      </c>
      <c r="D198">
        <v>1</v>
      </c>
      <c r="E198" t="s">
        <v>5868</v>
      </c>
      <c r="F198" t="s">
        <v>5869</v>
      </c>
      <c r="G198">
        <v>1</v>
      </c>
      <c r="H198" t="s">
        <v>6342</v>
      </c>
      <c r="I198" t="s">
        <v>2361</v>
      </c>
      <c r="J198" t="s">
        <v>6003</v>
      </c>
    </row>
    <row r="199" spans="1:10" ht="15" customHeight="1" x14ac:dyDescent="0.25">
      <c r="A199" t="s">
        <v>6343</v>
      </c>
      <c r="B199" t="s">
        <v>41</v>
      </c>
      <c r="C199" t="s">
        <v>5357</v>
      </c>
      <c r="D199">
        <v>0</v>
      </c>
      <c r="E199" t="s">
        <v>6344</v>
      </c>
      <c r="F199" t="s">
        <v>6345</v>
      </c>
      <c r="G199">
        <v>0</v>
      </c>
      <c r="H199" t="s">
        <v>6343</v>
      </c>
      <c r="I199" t="s">
        <v>90</v>
      </c>
      <c r="J199" t="s">
        <v>5760</v>
      </c>
    </row>
    <row r="200" spans="1:10" ht="15" customHeight="1" x14ac:dyDescent="0.25">
      <c r="A200" t="s">
        <v>6346</v>
      </c>
      <c r="B200" t="s">
        <v>3511</v>
      </c>
      <c r="C200" t="s">
        <v>5438</v>
      </c>
      <c r="D200">
        <v>1</v>
      </c>
      <c r="E200" t="s">
        <v>5868</v>
      </c>
      <c r="F200" t="s">
        <v>5869</v>
      </c>
      <c r="G200">
        <v>1</v>
      </c>
      <c r="H200" t="s">
        <v>6346</v>
      </c>
      <c r="I200" t="s">
        <v>2361</v>
      </c>
      <c r="J200" t="s">
        <v>5916</v>
      </c>
    </row>
    <row r="201" spans="1:10" ht="15" customHeight="1" x14ac:dyDescent="0.25">
      <c r="A201" t="s">
        <v>5288</v>
      </c>
      <c r="B201" t="s">
        <v>3511</v>
      </c>
      <c r="C201" t="s">
        <v>4594</v>
      </c>
      <c r="D201">
        <v>1</v>
      </c>
      <c r="E201" t="s">
        <v>6347</v>
      </c>
      <c r="F201" t="s">
        <v>6348</v>
      </c>
      <c r="G201">
        <v>1</v>
      </c>
      <c r="H201" t="s">
        <v>5290</v>
      </c>
      <c r="I201" t="s">
        <v>90</v>
      </c>
      <c r="J201" t="s">
        <v>5989</v>
      </c>
    </row>
    <row r="202" spans="1:10" ht="15" customHeight="1" x14ac:dyDescent="0.25">
      <c r="A202" t="s">
        <v>6349</v>
      </c>
      <c r="B202" t="s">
        <v>3511</v>
      </c>
      <c r="C202" t="s">
        <v>5719</v>
      </c>
      <c r="D202" t="s">
        <v>5943</v>
      </c>
      <c r="E202" t="s">
        <v>6350</v>
      </c>
      <c r="F202" t="s">
        <v>6351</v>
      </c>
      <c r="G202" t="s">
        <v>5943</v>
      </c>
      <c r="H202" t="s">
        <v>6349</v>
      </c>
      <c r="I202" t="s">
        <v>90</v>
      </c>
      <c r="J202" t="s">
        <v>5732</v>
      </c>
    </row>
    <row r="203" spans="1:10" ht="15" customHeight="1" x14ac:dyDescent="0.25">
      <c r="A203" t="s">
        <v>6352</v>
      </c>
      <c r="B203" t="s">
        <v>3511</v>
      </c>
      <c r="C203" t="s">
        <v>5357</v>
      </c>
      <c r="D203">
        <v>1</v>
      </c>
      <c r="E203" t="s">
        <v>6353</v>
      </c>
      <c r="F203" t="s">
        <v>6353</v>
      </c>
      <c r="G203">
        <v>0</v>
      </c>
      <c r="H203" t="s">
        <v>6354</v>
      </c>
      <c r="I203" t="s">
        <v>90</v>
      </c>
      <c r="J203" t="s">
        <v>6355</v>
      </c>
    </row>
    <row r="204" spans="1:10" ht="15" customHeight="1" x14ac:dyDescent="0.25">
      <c r="A204" t="s">
        <v>6356</v>
      </c>
      <c r="B204" t="s">
        <v>41</v>
      </c>
      <c r="C204" t="s">
        <v>5719</v>
      </c>
      <c r="D204">
        <v>1</v>
      </c>
      <c r="E204" t="s">
        <v>6357</v>
      </c>
      <c r="F204" t="s">
        <v>6358</v>
      </c>
      <c r="G204">
        <v>1</v>
      </c>
      <c r="H204" t="s">
        <v>6359</v>
      </c>
      <c r="I204" t="s">
        <v>90</v>
      </c>
      <c r="J204" t="s">
        <v>5982</v>
      </c>
    </row>
    <row r="205" spans="1:10" ht="15" customHeight="1" x14ac:dyDescent="0.25">
      <c r="A205" t="s">
        <v>6360</v>
      </c>
      <c r="B205" t="s">
        <v>4294</v>
      </c>
      <c r="C205" t="s">
        <v>3653</v>
      </c>
      <c r="D205" t="s">
        <v>3994</v>
      </c>
      <c r="E205" t="s">
        <v>6085</v>
      </c>
      <c r="F205" t="s">
        <v>3455</v>
      </c>
      <c r="G205" t="s">
        <v>3994</v>
      </c>
      <c r="H205" t="s">
        <v>6360</v>
      </c>
      <c r="I205" t="s">
        <v>90</v>
      </c>
    </row>
    <row r="206" spans="1:10" ht="15" customHeight="1" x14ac:dyDescent="0.25">
      <c r="A206" t="s">
        <v>6361</v>
      </c>
      <c r="B206" t="s">
        <v>3499</v>
      </c>
      <c r="C206" t="s">
        <v>4594</v>
      </c>
      <c r="D206">
        <v>3</v>
      </c>
      <c r="E206" t="s">
        <v>6362</v>
      </c>
      <c r="F206" t="s">
        <v>6363</v>
      </c>
      <c r="G206">
        <v>3</v>
      </c>
      <c r="H206" t="s">
        <v>6364</v>
      </c>
      <c r="I206" t="s">
        <v>90</v>
      </c>
      <c r="J206" t="s">
        <v>5714</v>
      </c>
    </row>
    <row r="207" spans="1:10" ht="15" customHeight="1" x14ac:dyDescent="0.25">
      <c r="A207" t="s">
        <v>6365</v>
      </c>
      <c r="B207" t="s">
        <v>4294</v>
      </c>
      <c r="C207" t="s">
        <v>4242</v>
      </c>
      <c r="D207" t="s">
        <v>3994</v>
      </c>
      <c r="E207" t="s">
        <v>6366</v>
      </c>
      <c r="F207" t="s">
        <v>3455</v>
      </c>
      <c r="G207" t="s">
        <v>3455</v>
      </c>
      <c r="H207" t="s">
        <v>6365</v>
      </c>
      <c r="I207" t="s">
        <v>90</v>
      </c>
      <c r="J207" t="s">
        <v>5867</v>
      </c>
    </row>
    <row r="208" spans="1:10" ht="15" customHeight="1" x14ac:dyDescent="0.25">
      <c r="A208" t="s">
        <v>6367</v>
      </c>
      <c r="B208" t="s">
        <v>4294</v>
      </c>
      <c r="C208" t="s">
        <v>3653</v>
      </c>
      <c r="D208">
        <v>1</v>
      </c>
      <c r="E208" t="s">
        <v>6368</v>
      </c>
      <c r="F208" t="s">
        <v>3455</v>
      </c>
      <c r="G208" t="s">
        <v>3455</v>
      </c>
      <c r="H208" t="s">
        <v>6369</v>
      </c>
      <c r="I208" t="s">
        <v>501</v>
      </c>
      <c r="J208" t="s">
        <v>5790</v>
      </c>
    </row>
    <row r="209" spans="1:10" ht="15" customHeight="1" x14ac:dyDescent="0.25">
      <c r="A209" t="s">
        <v>4699</v>
      </c>
      <c r="B209" t="s">
        <v>41</v>
      </c>
      <c r="C209" t="s">
        <v>5719</v>
      </c>
      <c r="D209">
        <v>1</v>
      </c>
      <c r="E209" t="s">
        <v>6112</v>
      </c>
      <c r="F209" t="s">
        <v>6112</v>
      </c>
      <c r="G209">
        <v>1</v>
      </c>
      <c r="H209" t="s">
        <v>4702</v>
      </c>
      <c r="I209" t="s">
        <v>1046</v>
      </c>
      <c r="J209" t="s">
        <v>5752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5695</v>
      </c>
      <c r="E1" t="s">
        <v>3450</v>
      </c>
      <c r="F1" t="s">
        <v>6370</v>
      </c>
      <c r="G1" t="s">
        <v>6371</v>
      </c>
      <c r="H1" t="s">
        <v>6372</v>
      </c>
      <c r="I1" t="s">
        <v>6373</v>
      </c>
      <c r="J1" t="s">
        <v>5719</v>
      </c>
      <c r="K1" t="s">
        <v>4257</v>
      </c>
      <c r="L1" t="s">
        <v>1</v>
      </c>
      <c r="M1" t="s">
        <v>6374</v>
      </c>
      <c r="N1" t="s">
        <v>6375</v>
      </c>
      <c r="O1" t="s">
        <v>170</v>
      </c>
    </row>
    <row r="2" spans="1:15" ht="15" customHeight="1" x14ac:dyDescent="0.25">
      <c r="A2" t="s">
        <v>5698</v>
      </c>
      <c r="B2" t="s">
        <v>3511</v>
      </c>
      <c r="C2" t="s">
        <v>4594</v>
      </c>
      <c r="D2">
        <v>1</v>
      </c>
      <c r="E2" t="s">
        <v>5699</v>
      </c>
      <c r="F2" t="s">
        <v>6376</v>
      </c>
      <c r="G2" t="s">
        <v>5700</v>
      </c>
      <c r="H2" t="s">
        <v>6377</v>
      </c>
      <c r="I2">
        <v>1</v>
      </c>
      <c r="J2" t="s">
        <v>3455</v>
      </c>
      <c r="K2" t="s">
        <v>5698</v>
      </c>
      <c r="L2" t="s">
        <v>90</v>
      </c>
      <c r="M2" t="s">
        <v>3455</v>
      </c>
      <c r="N2" t="s">
        <v>3455</v>
      </c>
      <c r="O2" t="s">
        <v>5701</v>
      </c>
    </row>
    <row r="3" spans="1:15" ht="15" customHeight="1" x14ac:dyDescent="0.25">
      <c r="A3" t="s">
        <v>5702</v>
      </c>
      <c r="B3" t="s">
        <v>41</v>
      </c>
      <c r="C3" t="s">
        <v>5357</v>
      </c>
      <c r="D3">
        <v>1</v>
      </c>
      <c r="E3" t="s">
        <v>5703</v>
      </c>
      <c r="F3" t="s">
        <v>6378</v>
      </c>
      <c r="G3" t="s">
        <v>5704</v>
      </c>
      <c r="H3" t="s">
        <v>6379</v>
      </c>
      <c r="I3">
        <v>1</v>
      </c>
      <c r="J3" t="s">
        <v>3455</v>
      </c>
      <c r="K3" t="s">
        <v>5702</v>
      </c>
      <c r="L3" t="s">
        <v>90</v>
      </c>
      <c r="M3" t="s">
        <v>3455</v>
      </c>
      <c r="N3" t="s">
        <v>3455</v>
      </c>
      <c r="O3" t="s">
        <v>5705</v>
      </c>
    </row>
    <row r="4" spans="1:15" ht="15" customHeight="1" x14ac:dyDescent="0.25">
      <c r="A4" t="s">
        <v>5706</v>
      </c>
      <c r="B4" t="s">
        <v>3499</v>
      </c>
      <c r="C4" t="s">
        <v>5357</v>
      </c>
      <c r="D4">
        <v>0</v>
      </c>
      <c r="E4" t="s">
        <v>5707</v>
      </c>
      <c r="F4" t="s">
        <v>6380</v>
      </c>
      <c r="G4" t="s">
        <v>5708</v>
      </c>
      <c r="H4" t="s">
        <v>6381</v>
      </c>
      <c r="I4">
        <v>0</v>
      </c>
      <c r="J4" t="s">
        <v>3455</v>
      </c>
      <c r="K4" t="s">
        <v>5706</v>
      </c>
      <c r="L4" t="s">
        <v>90</v>
      </c>
      <c r="M4" t="s">
        <v>5493</v>
      </c>
      <c r="N4" t="s">
        <v>3455</v>
      </c>
      <c r="O4" t="s">
        <v>5709</v>
      </c>
    </row>
    <row r="5" spans="1:15" ht="15" customHeight="1" x14ac:dyDescent="0.25">
      <c r="A5" t="s">
        <v>5710</v>
      </c>
      <c r="B5" t="s">
        <v>3499</v>
      </c>
      <c r="C5" t="s">
        <v>4594</v>
      </c>
      <c r="D5">
        <v>1</v>
      </c>
      <c r="E5" t="s">
        <v>5711</v>
      </c>
      <c r="F5" t="s">
        <v>6382</v>
      </c>
      <c r="G5" t="s">
        <v>5712</v>
      </c>
      <c r="H5" t="s">
        <v>6382</v>
      </c>
      <c r="I5">
        <v>1</v>
      </c>
      <c r="J5" t="s">
        <v>3455</v>
      </c>
      <c r="K5" t="s">
        <v>5713</v>
      </c>
      <c r="L5" t="s">
        <v>90</v>
      </c>
      <c r="M5" t="s">
        <v>5432</v>
      </c>
      <c r="N5" t="s">
        <v>3455</v>
      </c>
      <c r="O5" t="s">
        <v>5714</v>
      </c>
    </row>
    <row r="6" spans="1:15" ht="15" customHeight="1" x14ac:dyDescent="0.25">
      <c r="A6" t="s">
        <v>5715</v>
      </c>
      <c r="B6" t="s">
        <v>3499</v>
      </c>
      <c r="C6" t="s">
        <v>5357</v>
      </c>
      <c r="D6">
        <v>1</v>
      </c>
      <c r="E6" t="s">
        <v>5716</v>
      </c>
      <c r="F6" t="s">
        <v>6383</v>
      </c>
      <c r="G6" t="s">
        <v>5716</v>
      </c>
      <c r="H6" t="s">
        <v>6383</v>
      </c>
      <c r="I6">
        <v>0</v>
      </c>
      <c r="J6" t="s">
        <v>3455</v>
      </c>
      <c r="K6" t="s">
        <v>5715</v>
      </c>
      <c r="L6" t="s">
        <v>90</v>
      </c>
      <c r="M6" t="s">
        <v>5493</v>
      </c>
      <c r="N6" t="s">
        <v>3455</v>
      </c>
      <c r="O6" t="s">
        <v>6384</v>
      </c>
    </row>
    <row r="7" spans="1:15" ht="15" customHeight="1" x14ac:dyDescent="0.25">
      <c r="A7" t="s">
        <v>5718</v>
      </c>
      <c r="B7" t="s">
        <v>3499</v>
      </c>
      <c r="C7" t="s">
        <v>5719</v>
      </c>
      <c r="D7">
        <v>2</v>
      </c>
      <c r="E7" t="s">
        <v>6385</v>
      </c>
      <c r="F7" t="s">
        <v>6386</v>
      </c>
      <c r="G7" t="s">
        <v>6387</v>
      </c>
      <c r="H7" t="s">
        <v>6388</v>
      </c>
      <c r="I7">
        <v>2</v>
      </c>
      <c r="J7" t="s">
        <v>6389</v>
      </c>
      <c r="K7" t="s">
        <v>5722</v>
      </c>
      <c r="L7" t="s">
        <v>90</v>
      </c>
      <c r="M7" t="s">
        <v>3455</v>
      </c>
      <c r="N7" t="s">
        <v>3455</v>
      </c>
      <c r="O7" t="s">
        <v>5723</v>
      </c>
    </row>
    <row r="8" spans="1:15" ht="15" customHeight="1" x14ac:dyDescent="0.25">
      <c r="A8" t="s">
        <v>5724</v>
      </c>
      <c r="B8" t="s">
        <v>3511</v>
      </c>
      <c r="C8" t="s">
        <v>5719</v>
      </c>
      <c r="D8">
        <v>1</v>
      </c>
      <c r="E8" t="s">
        <v>6390</v>
      </c>
      <c r="F8" t="s">
        <v>6391</v>
      </c>
      <c r="G8" t="s">
        <v>6392</v>
      </c>
      <c r="H8" t="s">
        <v>6393</v>
      </c>
      <c r="I8">
        <v>1</v>
      </c>
      <c r="J8" t="s">
        <v>6394</v>
      </c>
      <c r="K8" t="s">
        <v>5727</v>
      </c>
      <c r="L8" t="s">
        <v>90</v>
      </c>
      <c r="M8" t="s">
        <v>3455</v>
      </c>
      <c r="N8" t="s">
        <v>3455</v>
      </c>
      <c r="O8" t="s">
        <v>5728</v>
      </c>
    </row>
    <row r="9" spans="1:15" ht="15" customHeight="1" x14ac:dyDescent="0.25">
      <c r="A9" t="s">
        <v>5729</v>
      </c>
      <c r="B9" t="s">
        <v>41</v>
      </c>
      <c r="C9" t="s">
        <v>5719</v>
      </c>
      <c r="D9">
        <v>0</v>
      </c>
      <c r="E9" t="s">
        <v>5730</v>
      </c>
      <c r="F9" t="s">
        <v>6395</v>
      </c>
      <c r="G9" t="s">
        <v>5731</v>
      </c>
      <c r="H9" t="s">
        <v>6396</v>
      </c>
      <c r="I9">
        <v>0</v>
      </c>
      <c r="J9" t="s">
        <v>6397</v>
      </c>
      <c r="K9" t="s">
        <v>5729</v>
      </c>
      <c r="L9" t="s">
        <v>90</v>
      </c>
      <c r="M9" t="s">
        <v>3455</v>
      </c>
      <c r="N9" t="s">
        <v>3455</v>
      </c>
      <c r="O9" t="s">
        <v>5732</v>
      </c>
    </row>
    <row r="10" spans="1:15" ht="15" customHeight="1" x14ac:dyDescent="0.25">
      <c r="A10" t="s">
        <v>5733</v>
      </c>
      <c r="B10" t="s">
        <v>41</v>
      </c>
      <c r="C10" t="s">
        <v>5357</v>
      </c>
      <c r="D10">
        <v>1</v>
      </c>
      <c r="E10" t="s">
        <v>5734</v>
      </c>
      <c r="F10" t="s">
        <v>6398</v>
      </c>
      <c r="G10" t="s">
        <v>5735</v>
      </c>
      <c r="H10" t="s">
        <v>6399</v>
      </c>
      <c r="I10">
        <v>1</v>
      </c>
      <c r="J10" t="s">
        <v>3455</v>
      </c>
      <c r="K10" t="s">
        <v>5733</v>
      </c>
      <c r="L10" t="s">
        <v>90</v>
      </c>
      <c r="M10" t="s">
        <v>3455</v>
      </c>
      <c r="N10" t="s">
        <v>3455</v>
      </c>
      <c r="O10" t="s">
        <v>5736</v>
      </c>
    </row>
    <row r="11" spans="1:15" ht="15" customHeight="1" x14ac:dyDescent="0.25">
      <c r="A11" t="s">
        <v>5737</v>
      </c>
      <c r="B11" t="s">
        <v>41</v>
      </c>
      <c r="C11" t="s">
        <v>5357</v>
      </c>
      <c r="D11">
        <v>1</v>
      </c>
      <c r="E11" t="s">
        <v>5738</v>
      </c>
      <c r="F11" t="s">
        <v>6400</v>
      </c>
      <c r="G11" t="s">
        <v>5739</v>
      </c>
      <c r="H11" t="s">
        <v>6401</v>
      </c>
      <c r="I11">
        <v>1</v>
      </c>
      <c r="J11" t="s">
        <v>3455</v>
      </c>
      <c r="K11" t="s">
        <v>5737</v>
      </c>
      <c r="L11" t="s">
        <v>90</v>
      </c>
      <c r="M11" t="s">
        <v>3455</v>
      </c>
      <c r="N11" t="s">
        <v>3455</v>
      </c>
      <c r="O11" t="s">
        <v>5740</v>
      </c>
    </row>
    <row r="12" spans="1:15" ht="15" customHeight="1" x14ac:dyDescent="0.25">
      <c r="A12" t="s">
        <v>5741</v>
      </c>
      <c r="B12" t="s">
        <v>3511</v>
      </c>
      <c r="C12" t="s">
        <v>5719</v>
      </c>
      <c r="D12">
        <v>0</v>
      </c>
      <c r="E12" t="s">
        <v>5742</v>
      </c>
      <c r="F12" t="s">
        <v>6402</v>
      </c>
      <c r="G12" t="s">
        <v>5743</v>
      </c>
      <c r="H12" t="s">
        <v>6403</v>
      </c>
      <c r="I12">
        <v>0</v>
      </c>
      <c r="J12" t="s">
        <v>6389</v>
      </c>
      <c r="K12" t="s">
        <v>5741</v>
      </c>
      <c r="L12" t="s">
        <v>90</v>
      </c>
      <c r="M12" t="s">
        <v>6404</v>
      </c>
      <c r="N12" t="s">
        <v>3455</v>
      </c>
      <c r="O12" t="s">
        <v>5744</v>
      </c>
    </row>
    <row r="13" spans="1:15" ht="15" customHeight="1" x14ac:dyDescent="0.25">
      <c r="A13" t="s">
        <v>4424</v>
      </c>
      <c r="B13" t="s">
        <v>3511</v>
      </c>
      <c r="C13" t="s">
        <v>5357</v>
      </c>
      <c r="D13">
        <v>1</v>
      </c>
      <c r="E13" t="s">
        <v>5745</v>
      </c>
      <c r="F13" t="s">
        <v>6405</v>
      </c>
      <c r="G13" t="s">
        <v>5745</v>
      </c>
      <c r="H13" t="s">
        <v>6405</v>
      </c>
      <c r="I13">
        <v>1</v>
      </c>
      <c r="J13" t="s">
        <v>6406</v>
      </c>
      <c r="K13" t="s">
        <v>4429</v>
      </c>
      <c r="L13" t="s">
        <v>1649</v>
      </c>
      <c r="M13" t="s">
        <v>3455</v>
      </c>
      <c r="N13" t="s">
        <v>3455</v>
      </c>
      <c r="O13" t="s">
        <v>6407</v>
      </c>
    </row>
    <row r="14" spans="1:15" ht="15" customHeight="1" x14ac:dyDescent="0.25">
      <c r="A14" t="s">
        <v>5747</v>
      </c>
      <c r="B14" t="s">
        <v>41</v>
      </c>
      <c r="C14" t="s">
        <v>5719</v>
      </c>
      <c r="D14">
        <v>1</v>
      </c>
      <c r="E14" t="s">
        <v>6408</v>
      </c>
      <c r="F14" t="s">
        <v>6409</v>
      </c>
      <c r="G14" t="s">
        <v>6410</v>
      </c>
      <c r="H14" t="s">
        <v>6411</v>
      </c>
      <c r="I14">
        <v>1</v>
      </c>
      <c r="J14" t="s">
        <v>6406</v>
      </c>
      <c r="K14" t="s">
        <v>5747</v>
      </c>
      <c r="L14" t="s">
        <v>90</v>
      </c>
      <c r="M14" t="s">
        <v>3455</v>
      </c>
      <c r="N14" t="s">
        <v>3455</v>
      </c>
      <c r="O14" t="s">
        <v>6412</v>
      </c>
    </row>
    <row r="15" spans="1:15" ht="15" customHeight="1" x14ac:dyDescent="0.25">
      <c r="A15" t="s">
        <v>4435</v>
      </c>
      <c r="B15" t="s">
        <v>3511</v>
      </c>
      <c r="C15" t="s">
        <v>5719</v>
      </c>
      <c r="D15">
        <v>1</v>
      </c>
      <c r="E15" t="s">
        <v>5751</v>
      </c>
      <c r="F15" t="s">
        <v>6413</v>
      </c>
      <c r="G15" t="s">
        <v>5751</v>
      </c>
      <c r="H15" t="s">
        <v>6413</v>
      </c>
      <c r="I15">
        <v>1</v>
      </c>
      <c r="J15" t="s">
        <v>6414</v>
      </c>
      <c r="K15" t="s">
        <v>4435</v>
      </c>
      <c r="L15" t="s">
        <v>1046</v>
      </c>
      <c r="M15" t="s">
        <v>5424</v>
      </c>
      <c r="N15" t="s">
        <v>3455</v>
      </c>
      <c r="O15" t="s">
        <v>5752</v>
      </c>
    </row>
    <row r="16" spans="1:15" ht="15" customHeight="1" x14ac:dyDescent="0.25">
      <c r="A16" t="s">
        <v>3518</v>
      </c>
      <c r="B16" t="s">
        <v>3499</v>
      </c>
      <c r="C16" t="s">
        <v>4594</v>
      </c>
      <c r="D16">
        <v>3</v>
      </c>
      <c r="E16" s="8" t="s">
        <v>6415</v>
      </c>
      <c r="F16" t="s">
        <v>6416</v>
      </c>
      <c r="G16" s="8" t="s">
        <v>6415</v>
      </c>
      <c r="H16" t="s">
        <v>6416</v>
      </c>
      <c r="I16">
        <v>2</v>
      </c>
      <c r="J16" t="s">
        <v>3455</v>
      </c>
      <c r="K16" t="s">
        <v>3518</v>
      </c>
      <c r="L16" t="s">
        <v>90</v>
      </c>
      <c r="M16" t="s">
        <v>3455</v>
      </c>
      <c r="N16" t="s">
        <v>3455</v>
      </c>
      <c r="O16" t="s">
        <v>6417</v>
      </c>
    </row>
    <row r="17" spans="1:15" ht="15" customHeight="1" x14ac:dyDescent="0.25">
      <c r="A17" t="s">
        <v>3440</v>
      </c>
      <c r="B17" t="s">
        <v>3543</v>
      </c>
      <c r="C17" t="s">
        <v>5719</v>
      </c>
      <c r="D17">
        <v>2</v>
      </c>
      <c r="E17" t="s">
        <v>5754</v>
      </c>
      <c r="F17" t="s">
        <v>6418</v>
      </c>
      <c r="G17" t="s">
        <v>5755</v>
      </c>
      <c r="H17" t="s">
        <v>6419</v>
      </c>
      <c r="I17">
        <v>2</v>
      </c>
      <c r="J17" t="s">
        <v>6420</v>
      </c>
      <c r="K17" t="s">
        <v>3440</v>
      </c>
      <c r="L17" t="s">
        <v>90</v>
      </c>
      <c r="M17" t="s">
        <v>3455</v>
      </c>
      <c r="N17" t="s">
        <v>3455</v>
      </c>
      <c r="O17" t="s">
        <v>5732</v>
      </c>
    </row>
    <row r="18" spans="1:15" ht="15" customHeight="1" x14ac:dyDescent="0.25">
      <c r="A18" t="s">
        <v>5756</v>
      </c>
      <c r="B18" t="s">
        <v>3511</v>
      </c>
      <c r="C18" t="s">
        <v>5357</v>
      </c>
      <c r="D18">
        <v>0</v>
      </c>
      <c r="E18" s="8" t="s">
        <v>6421</v>
      </c>
      <c r="F18" t="s">
        <v>6422</v>
      </c>
      <c r="G18" s="8" t="s">
        <v>6423</v>
      </c>
      <c r="H18" t="s">
        <v>6424</v>
      </c>
      <c r="I18" t="s">
        <v>3455</v>
      </c>
      <c r="J18" t="s">
        <v>3455</v>
      </c>
      <c r="K18" t="s">
        <v>5759</v>
      </c>
      <c r="L18" t="s">
        <v>90</v>
      </c>
      <c r="M18" t="s">
        <v>3455</v>
      </c>
      <c r="N18" t="s">
        <v>3455</v>
      </c>
      <c r="O18" t="s">
        <v>5760</v>
      </c>
    </row>
    <row r="19" spans="1:15" ht="15" customHeight="1" x14ac:dyDescent="0.25">
      <c r="A19" t="s">
        <v>5761</v>
      </c>
      <c r="B19" t="s">
        <v>41</v>
      </c>
      <c r="C19" t="s">
        <v>5719</v>
      </c>
      <c r="D19">
        <v>0</v>
      </c>
      <c r="E19" t="s">
        <v>5762</v>
      </c>
      <c r="F19" t="s">
        <v>6425</v>
      </c>
      <c r="G19" t="s">
        <v>5763</v>
      </c>
      <c r="H19" t="s">
        <v>6426</v>
      </c>
      <c r="I19">
        <v>0</v>
      </c>
      <c r="J19" t="s">
        <v>6427</v>
      </c>
      <c r="K19" t="s">
        <v>5764</v>
      </c>
      <c r="L19" t="s">
        <v>90</v>
      </c>
      <c r="M19" t="s">
        <v>3455</v>
      </c>
      <c r="N19" t="s">
        <v>3455</v>
      </c>
      <c r="O19" t="s">
        <v>5765</v>
      </c>
    </row>
    <row r="20" spans="1:15" ht="15" customHeight="1" x14ac:dyDescent="0.25">
      <c r="A20" t="s">
        <v>5770</v>
      </c>
      <c r="B20" t="s">
        <v>41</v>
      </c>
      <c r="C20" t="s">
        <v>5357</v>
      </c>
      <c r="D20">
        <v>1</v>
      </c>
      <c r="E20" t="s">
        <v>5771</v>
      </c>
      <c r="F20" t="s">
        <v>6428</v>
      </c>
      <c r="G20" t="s">
        <v>5772</v>
      </c>
      <c r="H20" t="s">
        <v>6429</v>
      </c>
      <c r="I20">
        <v>1</v>
      </c>
      <c r="J20" t="s">
        <v>3455</v>
      </c>
      <c r="K20" t="s">
        <v>5773</v>
      </c>
      <c r="L20" t="s">
        <v>90</v>
      </c>
      <c r="M20" t="s">
        <v>3455</v>
      </c>
      <c r="N20" t="s">
        <v>3455</v>
      </c>
      <c r="O20" t="s">
        <v>5774</v>
      </c>
    </row>
    <row r="21" spans="1:15" ht="15" customHeight="1" x14ac:dyDescent="0.25">
      <c r="A21" t="s">
        <v>4462</v>
      </c>
      <c r="B21" t="s">
        <v>41</v>
      </c>
      <c r="C21" t="s">
        <v>5719</v>
      </c>
      <c r="D21">
        <v>1</v>
      </c>
      <c r="E21" t="s">
        <v>5775</v>
      </c>
      <c r="F21" t="s">
        <v>6430</v>
      </c>
      <c r="G21" t="s">
        <v>5775</v>
      </c>
      <c r="H21" t="s">
        <v>6430</v>
      </c>
      <c r="I21">
        <v>1</v>
      </c>
      <c r="J21" t="s">
        <v>6414</v>
      </c>
      <c r="K21" t="s">
        <v>4465</v>
      </c>
      <c r="L21" t="s">
        <v>1104</v>
      </c>
      <c r="M21" t="s">
        <v>5465</v>
      </c>
      <c r="N21" t="s">
        <v>3455</v>
      </c>
      <c r="O21" t="s">
        <v>5752</v>
      </c>
    </row>
    <row r="22" spans="1:15" ht="15" customHeight="1" x14ac:dyDescent="0.25">
      <c r="A22" t="s">
        <v>5776</v>
      </c>
      <c r="B22" t="s">
        <v>3511</v>
      </c>
      <c r="C22" t="s">
        <v>5719</v>
      </c>
      <c r="D22">
        <v>4</v>
      </c>
      <c r="E22" s="8" t="s">
        <v>5777</v>
      </c>
      <c r="F22" t="s">
        <v>6431</v>
      </c>
      <c r="G22" s="8" t="s">
        <v>5778</v>
      </c>
      <c r="H22" t="s">
        <v>6432</v>
      </c>
      <c r="I22">
        <v>3</v>
      </c>
      <c r="J22" t="s">
        <v>6397</v>
      </c>
      <c r="K22" t="s">
        <v>5779</v>
      </c>
      <c r="L22" t="s">
        <v>90</v>
      </c>
      <c r="M22" t="s">
        <v>3455</v>
      </c>
      <c r="N22" t="s">
        <v>3455</v>
      </c>
      <c r="O22" t="s">
        <v>5760</v>
      </c>
    </row>
    <row r="23" spans="1:15" ht="15" customHeight="1" x14ac:dyDescent="0.25">
      <c r="A23" t="s">
        <v>4466</v>
      </c>
      <c r="B23" t="s">
        <v>3499</v>
      </c>
      <c r="C23" t="s">
        <v>5719</v>
      </c>
      <c r="D23">
        <v>1</v>
      </c>
      <c r="E23" t="s">
        <v>6433</v>
      </c>
      <c r="F23" t="s">
        <v>6434</v>
      </c>
      <c r="G23" t="s">
        <v>6433</v>
      </c>
      <c r="H23" t="s">
        <v>6434</v>
      </c>
      <c r="I23">
        <v>1</v>
      </c>
      <c r="J23" t="s">
        <v>6435</v>
      </c>
      <c r="K23" t="s">
        <v>4469</v>
      </c>
      <c r="L23" t="s">
        <v>1621</v>
      </c>
      <c r="M23" t="s">
        <v>5428</v>
      </c>
      <c r="N23" t="s">
        <v>5380</v>
      </c>
      <c r="O23" t="s">
        <v>5752</v>
      </c>
    </row>
    <row r="24" spans="1:15" ht="15" customHeight="1" x14ac:dyDescent="0.25">
      <c r="A24" t="s">
        <v>5781</v>
      </c>
      <c r="B24" t="s">
        <v>41</v>
      </c>
      <c r="C24" t="s">
        <v>5357</v>
      </c>
      <c r="D24">
        <v>0</v>
      </c>
      <c r="E24" t="s">
        <v>5782</v>
      </c>
      <c r="F24" t="s">
        <v>6436</v>
      </c>
      <c r="G24" t="s">
        <v>5783</v>
      </c>
      <c r="H24" t="s">
        <v>6437</v>
      </c>
      <c r="I24">
        <v>0</v>
      </c>
      <c r="J24" t="s">
        <v>3455</v>
      </c>
      <c r="K24" t="s">
        <v>5781</v>
      </c>
      <c r="L24" t="s">
        <v>90</v>
      </c>
      <c r="M24" t="s">
        <v>3455</v>
      </c>
      <c r="N24" t="s">
        <v>3455</v>
      </c>
      <c r="O24" t="s">
        <v>5769</v>
      </c>
    </row>
    <row r="25" spans="1:15" ht="15" customHeight="1" x14ac:dyDescent="0.25">
      <c r="A25" t="s">
        <v>5784</v>
      </c>
      <c r="B25" t="s">
        <v>3499</v>
      </c>
      <c r="C25" t="s">
        <v>5719</v>
      </c>
      <c r="D25">
        <v>3</v>
      </c>
      <c r="E25" t="s">
        <v>5785</v>
      </c>
      <c r="F25" t="s">
        <v>6438</v>
      </c>
      <c r="G25" t="s">
        <v>5786</v>
      </c>
      <c r="H25" t="s">
        <v>6439</v>
      </c>
      <c r="I25">
        <v>3</v>
      </c>
      <c r="J25" t="s">
        <v>6440</v>
      </c>
      <c r="K25" t="s">
        <v>5784</v>
      </c>
      <c r="L25" t="s">
        <v>90</v>
      </c>
      <c r="M25" t="s">
        <v>3455</v>
      </c>
      <c r="N25" t="s">
        <v>3455</v>
      </c>
      <c r="O25" t="s">
        <v>5732</v>
      </c>
    </row>
    <row r="26" spans="1:15" ht="15" customHeight="1" x14ac:dyDescent="0.25">
      <c r="A26" t="s">
        <v>5157</v>
      </c>
      <c r="B26" t="s">
        <v>3511</v>
      </c>
      <c r="C26" t="s">
        <v>5357</v>
      </c>
      <c r="D26">
        <v>1</v>
      </c>
      <c r="E26" s="8" t="s">
        <v>6441</v>
      </c>
      <c r="F26" t="s">
        <v>6442</v>
      </c>
      <c r="G26" s="8" t="s">
        <v>6443</v>
      </c>
      <c r="H26" t="s">
        <v>6444</v>
      </c>
      <c r="I26">
        <v>1</v>
      </c>
      <c r="J26" t="s">
        <v>3455</v>
      </c>
      <c r="K26" t="s">
        <v>5157</v>
      </c>
      <c r="L26" t="s">
        <v>90</v>
      </c>
      <c r="M26" t="s">
        <v>3455</v>
      </c>
      <c r="N26" t="s">
        <v>3455</v>
      </c>
      <c r="O26" t="s">
        <v>5714</v>
      </c>
    </row>
    <row r="27" spans="1:15" ht="15" customHeight="1" x14ac:dyDescent="0.25">
      <c r="A27" t="s">
        <v>5793</v>
      </c>
      <c r="B27" t="s">
        <v>41</v>
      </c>
      <c r="C27" t="s">
        <v>5719</v>
      </c>
      <c r="D27">
        <v>1</v>
      </c>
      <c r="E27" t="s">
        <v>6445</v>
      </c>
      <c r="F27" t="s">
        <v>6446</v>
      </c>
      <c r="G27" t="s">
        <v>6445</v>
      </c>
      <c r="H27" t="s">
        <v>6446</v>
      </c>
      <c r="I27">
        <v>0</v>
      </c>
      <c r="J27" t="s">
        <v>6447</v>
      </c>
      <c r="K27" t="s">
        <v>5795</v>
      </c>
      <c r="L27" t="s">
        <v>90</v>
      </c>
      <c r="M27" t="s">
        <v>3455</v>
      </c>
      <c r="N27" t="s">
        <v>3455</v>
      </c>
      <c r="O27" t="s">
        <v>5732</v>
      </c>
    </row>
    <row r="28" spans="1:15" ht="15" customHeight="1" x14ac:dyDescent="0.25">
      <c r="A28" t="s">
        <v>5796</v>
      </c>
      <c r="B28" t="s">
        <v>3511</v>
      </c>
      <c r="C28" t="s">
        <v>5357</v>
      </c>
      <c r="D28">
        <v>0</v>
      </c>
      <c r="E28" t="s">
        <v>5797</v>
      </c>
      <c r="F28" t="s">
        <v>6448</v>
      </c>
      <c r="G28" t="s">
        <v>5798</v>
      </c>
      <c r="H28" t="s">
        <v>6449</v>
      </c>
      <c r="I28">
        <v>0</v>
      </c>
      <c r="J28" t="s">
        <v>3455</v>
      </c>
      <c r="K28" t="s">
        <v>5799</v>
      </c>
      <c r="L28" t="s">
        <v>90</v>
      </c>
      <c r="M28" t="s">
        <v>6404</v>
      </c>
      <c r="N28" t="s">
        <v>3455</v>
      </c>
      <c r="O28" t="s">
        <v>5800</v>
      </c>
    </row>
    <row r="29" spans="1:15" ht="15" customHeight="1" x14ac:dyDescent="0.25">
      <c r="A29" t="s">
        <v>5806</v>
      </c>
      <c r="B29" t="s">
        <v>3511</v>
      </c>
      <c r="C29" t="s">
        <v>5357</v>
      </c>
      <c r="D29">
        <v>2</v>
      </c>
      <c r="E29" t="s">
        <v>5807</v>
      </c>
      <c r="F29" t="s">
        <v>6450</v>
      </c>
      <c r="G29" t="s">
        <v>5808</v>
      </c>
      <c r="H29" t="s">
        <v>6451</v>
      </c>
      <c r="I29">
        <v>2</v>
      </c>
      <c r="J29" t="s">
        <v>6452</v>
      </c>
      <c r="K29" t="s">
        <v>5809</v>
      </c>
      <c r="L29" t="s">
        <v>90</v>
      </c>
      <c r="M29" t="s">
        <v>5428</v>
      </c>
      <c r="N29" t="s">
        <v>5251</v>
      </c>
      <c r="O29" t="s">
        <v>6453</v>
      </c>
    </row>
    <row r="30" spans="1:15" ht="15" customHeight="1" x14ac:dyDescent="0.25">
      <c r="A30" t="s">
        <v>5817</v>
      </c>
      <c r="B30" t="s">
        <v>3499</v>
      </c>
      <c r="C30" t="s">
        <v>5357</v>
      </c>
      <c r="D30">
        <v>3</v>
      </c>
      <c r="E30" s="8" t="s">
        <v>5818</v>
      </c>
      <c r="F30" t="s">
        <v>6454</v>
      </c>
      <c r="G30" s="8" t="s">
        <v>5818</v>
      </c>
      <c r="H30" t="s">
        <v>6454</v>
      </c>
      <c r="I30">
        <v>2</v>
      </c>
      <c r="J30" t="s">
        <v>3455</v>
      </c>
      <c r="K30" t="s">
        <v>5819</v>
      </c>
      <c r="L30" t="s">
        <v>90</v>
      </c>
      <c r="M30" t="s">
        <v>3455</v>
      </c>
      <c r="N30" t="s">
        <v>3455</v>
      </c>
      <c r="O30" t="s">
        <v>5820</v>
      </c>
    </row>
    <row r="31" spans="1:15" ht="15" customHeight="1" x14ac:dyDescent="0.25">
      <c r="A31" t="s">
        <v>3999</v>
      </c>
      <c r="B31" t="s">
        <v>4294</v>
      </c>
      <c r="C31" t="s">
        <v>3653</v>
      </c>
      <c r="D31" t="s">
        <v>3994</v>
      </c>
      <c r="E31" s="8" t="s">
        <v>5821</v>
      </c>
      <c r="F31" t="s">
        <v>6455</v>
      </c>
      <c r="G31" s="8" t="s">
        <v>3455</v>
      </c>
      <c r="H31" t="s">
        <v>3455</v>
      </c>
      <c r="I31" t="s">
        <v>3455</v>
      </c>
      <c r="J31" t="s">
        <v>3455</v>
      </c>
      <c r="K31" t="s">
        <v>3999</v>
      </c>
      <c r="L31" t="s">
        <v>90</v>
      </c>
      <c r="M31" t="s">
        <v>5460</v>
      </c>
      <c r="N31" t="s">
        <v>3455</v>
      </c>
      <c r="O31" t="s">
        <v>6456</v>
      </c>
    </row>
    <row r="32" spans="1:15" ht="15" customHeight="1" x14ac:dyDescent="0.25">
      <c r="A32" t="s">
        <v>5823</v>
      </c>
      <c r="B32" t="s">
        <v>3511</v>
      </c>
      <c r="C32" t="s">
        <v>5357</v>
      </c>
      <c r="D32">
        <v>1</v>
      </c>
      <c r="E32" t="s">
        <v>5824</v>
      </c>
      <c r="F32" t="s">
        <v>6457</v>
      </c>
      <c r="G32" t="s">
        <v>5825</v>
      </c>
      <c r="H32" t="s">
        <v>6458</v>
      </c>
      <c r="I32">
        <v>1</v>
      </c>
      <c r="J32" t="s">
        <v>3455</v>
      </c>
      <c r="K32" t="s">
        <v>5826</v>
      </c>
      <c r="L32" t="s">
        <v>90</v>
      </c>
      <c r="M32" t="s">
        <v>5493</v>
      </c>
      <c r="N32" t="s">
        <v>3455</v>
      </c>
      <c r="O32" t="s">
        <v>5827</v>
      </c>
    </row>
    <row r="33" spans="1:15" ht="15" customHeight="1" x14ac:dyDescent="0.25">
      <c r="A33" t="s">
        <v>5167</v>
      </c>
      <c r="B33" t="s">
        <v>3499</v>
      </c>
      <c r="C33" t="s">
        <v>5357</v>
      </c>
      <c r="D33">
        <v>1</v>
      </c>
      <c r="E33" s="8" t="s">
        <v>6459</v>
      </c>
      <c r="F33" t="s">
        <v>6460</v>
      </c>
      <c r="G33" s="8" t="s">
        <v>6461</v>
      </c>
      <c r="H33" t="s">
        <v>6462</v>
      </c>
      <c r="I33">
        <v>1</v>
      </c>
      <c r="J33" t="s">
        <v>3455</v>
      </c>
      <c r="K33" t="s">
        <v>5167</v>
      </c>
      <c r="L33" t="s">
        <v>90</v>
      </c>
      <c r="M33" t="s">
        <v>3455</v>
      </c>
      <c r="N33" t="s">
        <v>3455</v>
      </c>
      <c r="O33" t="s">
        <v>5820</v>
      </c>
    </row>
    <row r="34" spans="1:15" ht="15" customHeight="1" x14ac:dyDescent="0.25">
      <c r="A34" t="s">
        <v>5830</v>
      </c>
      <c r="B34" t="s">
        <v>3511</v>
      </c>
      <c r="C34" t="s">
        <v>5357</v>
      </c>
      <c r="D34">
        <v>0</v>
      </c>
      <c r="E34" s="8" t="s">
        <v>6463</v>
      </c>
      <c r="F34" t="s">
        <v>6464</v>
      </c>
      <c r="G34" s="8" t="s">
        <v>6465</v>
      </c>
      <c r="H34" t="s">
        <v>6466</v>
      </c>
      <c r="I34">
        <v>0</v>
      </c>
      <c r="J34" t="s">
        <v>3455</v>
      </c>
      <c r="K34" t="s">
        <v>5833</v>
      </c>
      <c r="L34" t="s">
        <v>90</v>
      </c>
      <c r="M34" t="s">
        <v>3455</v>
      </c>
      <c r="N34" t="s">
        <v>3455</v>
      </c>
      <c r="O34" t="s">
        <v>5834</v>
      </c>
    </row>
    <row r="35" spans="1:15" ht="15" customHeight="1" x14ac:dyDescent="0.25">
      <c r="A35" t="s">
        <v>5837</v>
      </c>
      <c r="B35" t="s">
        <v>3511</v>
      </c>
      <c r="C35" t="s">
        <v>5719</v>
      </c>
      <c r="D35">
        <v>2</v>
      </c>
      <c r="E35" t="s">
        <v>6467</v>
      </c>
      <c r="F35" t="s">
        <v>6468</v>
      </c>
      <c r="G35" t="s">
        <v>5839</v>
      </c>
      <c r="H35" t="s">
        <v>6469</v>
      </c>
      <c r="I35">
        <v>2</v>
      </c>
      <c r="J35" t="s">
        <v>6420</v>
      </c>
      <c r="K35" t="s">
        <v>5837</v>
      </c>
      <c r="L35" t="s">
        <v>90</v>
      </c>
      <c r="M35" t="s">
        <v>5419</v>
      </c>
      <c r="N35" t="s">
        <v>3455</v>
      </c>
      <c r="O35" t="s">
        <v>5732</v>
      </c>
    </row>
    <row r="36" spans="1:15" ht="15" customHeight="1" x14ac:dyDescent="0.25">
      <c r="A36" t="s">
        <v>5840</v>
      </c>
      <c r="B36" t="s">
        <v>3511</v>
      </c>
      <c r="C36" t="s">
        <v>5357</v>
      </c>
      <c r="D36">
        <v>1</v>
      </c>
      <c r="E36" s="8" t="s">
        <v>6470</v>
      </c>
      <c r="F36" t="s">
        <v>6471</v>
      </c>
      <c r="G36" s="8" t="s">
        <v>6472</v>
      </c>
      <c r="H36" t="s">
        <v>6473</v>
      </c>
      <c r="I36">
        <v>1</v>
      </c>
      <c r="J36" t="s">
        <v>3455</v>
      </c>
      <c r="K36" t="s">
        <v>5840</v>
      </c>
      <c r="L36" t="s">
        <v>90</v>
      </c>
      <c r="M36" t="s">
        <v>5493</v>
      </c>
      <c r="N36" t="s">
        <v>3455</v>
      </c>
      <c r="O36" t="s">
        <v>6474</v>
      </c>
    </row>
    <row r="37" spans="1:15" ht="15" customHeight="1" x14ac:dyDescent="0.25">
      <c r="A37" t="s">
        <v>5843</v>
      </c>
      <c r="B37" t="s">
        <v>3511</v>
      </c>
      <c r="C37" t="s">
        <v>5719</v>
      </c>
      <c r="D37">
        <v>2</v>
      </c>
      <c r="E37" s="8" t="s">
        <v>5844</v>
      </c>
      <c r="F37" t="s">
        <v>6475</v>
      </c>
      <c r="G37" s="8" t="s">
        <v>5845</v>
      </c>
      <c r="H37" t="s">
        <v>6476</v>
      </c>
      <c r="I37">
        <v>2</v>
      </c>
      <c r="J37" t="s">
        <v>6397</v>
      </c>
      <c r="K37" t="s">
        <v>5843</v>
      </c>
      <c r="L37" t="s">
        <v>90</v>
      </c>
      <c r="M37" t="s">
        <v>3455</v>
      </c>
      <c r="N37" t="s">
        <v>3455</v>
      </c>
      <c r="O37" t="s">
        <v>5846</v>
      </c>
    </row>
    <row r="38" spans="1:15" ht="15" customHeight="1" x14ac:dyDescent="0.25">
      <c r="A38" t="s">
        <v>5847</v>
      </c>
      <c r="B38" t="s">
        <v>41</v>
      </c>
      <c r="C38" t="s">
        <v>5719</v>
      </c>
      <c r="D38">
        <v>0</v>
      </c>
      <c r="E38" s="8" t="s">
        <v>6477</v>
      </c>
      <c r="F38" t="s">
        <v>6478</v>
      </c>
      <c r="G38" s="8" t="s">
        <v>6479</v>
      </c>
      <c r="H38" t="s">
        <v>6480</v>
      </c>
      <c r="I38">
        <v>0</v>
      </c>
      <c r="J38" t="s">
        <v>6481</v>
      </c>
      <c r="K38" t="s">
        <v>5847</v>
      </c>
      <c r="L38" t="s">
        <v>90</v>
      </c>
      <c r="M38" t="s">
        <v>3455</v>
      </c>
      <c r="N38" t="s">
        <v>3455</v>
      </c>
      <c r="O38" t="s">
        <v>5732</v>
      </c>
    </row>
    <row r="39" spans="1:15" ht="15" customHeight="1" x14ac:dyDescent="0.25">
      <c r="A39" t="s">
        <v>5850</v>
      </c>
      <c r="B39" t="s">
        <v>41</v>
      </c>
      <c r="C39" t="s">
        <v>5719</v>
      </c>
      <c r="D39">
        <v>0</v>
      </c>
      <c r="E39" t="s">
        <v>5851</v>
      </c>
      <c r="F39" t="s">
        <v>6482</v>
      </c>
      <c r="G39" t="s">
        <v>5852</v>
      </c>
      <c r="H39" t="s">
        <v>6483</v>
      </c>
      <c r="I39">
        <v>0</v>
      </c>
      <c r="J39" t="s">
        <v>6481</v>
      </c>
      <c r="K39" t="s">
        <v>5850</v>
      </c>
      <c r="L39" t="s">
        <v>90</v>
      </c>
      <c r="M39" t="s">
        <v>3455</v>
      </c>
      <c r="N39" t="s">
        <v>3455</v>
      </c>
      <c r="O39" t="s">
        <v>5853</v>
      </c>
    </row>
    <row r="40" spans="1:15" ht="15" customHeight="1" x14ac:dyDescent="0.25">
      <c r="A40" t="s">
        <v>5407</v>
      </c>
      <c r="B40" t="s">
        <v>41</v>
      </c>
      <c r="C40" t="s">
        <v>5719</v>
      </c>
      <c r="D40">
        <v>1</v>
      </c>
      <c r="E40" t="s">
        <v>5854</v>
      </c>
      <c r="F40" t="s">
        <v>6484</v>
      </c>
      <c r="G40" t="s">
        <v>5855</v>
      </c>
      <c r="H40" t="s">
        <v>6485</v>
      </c>
      <c r="I40">
        <v>1</v>
      </c>
      <c r="J40" t="s">
        <v>6486</v>
      </c>
      <c r="K40" t="s">
        <v>5407</v>
      </c>
      <c r="L40" t="s">
        <v>90</v>
      </c>
      <c r="M40" t="s">
        <v>3455</v>
      </c>
      <c r="N40" t="s">
        <v>3455</v>
      </c>
      <c r="O40" t="s">
        <v>6487</v>
      </c>
    </row>
    <row r="41" spans="1:15" ht="15" customHeight="1" x14ac:dyDescent="0.25">
      <c r="A41" t="s">
        <v>5857</v>
      </c>
      <c r="B41" t="s">
        <v>41</v>
      </c>
      <c r="C41" t="s">
        <v>5357</v>
      </c>
      <c r="D41">
        <v>1</v>
      </c>
      <c r="E41" t="s">
        <v>5858</v>
      </c>
      <c r="F41" t="s">
        <v>6488</v>
      </c>
      <c r="G41" t="s">
        <v>5859</v>
      </c>
      <c r="H41" t="s">
        <v>6489</v>
      </c>
      <c r="I41">
        <v>1</v>
      </c>
      <c r="J41" t="s">
        <v>3455</v>
      </c>
      <c r="K41" t="s">
        <v>5860</v>
      </c>
      <c r="L41" t="s">
        <v>90</v>
      </c>
      <c r="M41" t="s">
        <v>3455</v>
      </c>
      <c r="N41" t="s">
        <v>3455</v>
      </c>
      <c r="O41" t="s">
        <v>5714</v>
      </c>
    </row>
    <row r="42" spans="1:15" ht="15" customHeight="1" x14ac:dyDescent="0.25">
      <c r="A42" t="s">
        <v>5861</v>
      </c>
      <c r="B42" t="s">
        <v>41</v>
      </c>
      <c r="C42" t="s">
        <v>5719</v>
      </c>
      <c r="D42">
        <v>2</v>
      </c>
      <c r="E42" s="8" t="s">
        <v>6490</v>
      </c>
      <c r="F42" t="s">
        <v>6491</v>
      </c>
      <c r="G42" s="8" t="s">
        <v>6492</v>
      </c>
      <c r="H42" t="s">
        <v>6493</v>
      </c>
      <c r="I42" t="s">
        <v>3455</v>
      </c>
      <c r="J42" t="s">
        <v>6406</v>
      </c>
      <c r="K42" t="s">
        <v>5861</v>
      </c>
      <c r="L42" t="s">
        <v>90</v>
      </c>
      <c r="M42" t="s">
        <v>3455</v>
      </c>
      <c r="N42" t="s">
        <v>3455</v>
      </c>
      <c r="O42" t="s">
        <v>5864</v>
      </c>
    </row>
    <row r="43" spans="1:15" ht="15" customHeight="1" x14ac:dyDescent="0.25">
      <c r="A43" t="s">
        <v>5865</v>
      </c>
      <c r="B43" t="s">
        <v>4294</v>
      </c>
      <c r="C43" t="s">
        <v>4242</v>
      </c>
      <c r="D43" t="s">
        <v>3994</v>
      </c>
      <c r="E43" t="s">
        <v>5866</v>
      </c>
      <c r="F43" t="s">
        <v>4212</v>
      </c>
      <c r="G43" t="s">
        <v>3455</v>
      </c>
      <c r="H43" t="s">
        <v>3455</v>
      </c>
      <c r="I43" t="s">
        <v>3455</v>
      </c>
      <c r="J43" t="s">
        <v>3455</v>
      </c>
      <c r="K43" t="s">
        <v>5865</v>
      </c>
      <c r="L43" t="s">
        <v>90</v>
      </c>
      <c r="M43" t="s">
        <v>6494</v>
      </c>
      <c r="N43" t="s">
        <v>3455</v>
      </c>
      <c r="O43" t="s">
        <v>5867</v>
      </c>
    </row>
    <row r="44" spans="1:15" ht="15" customHeight="1" x14ac:dyDescent="0.25">
      <c r="A44" t="s">
        <v>5875</v>
      </c>
      <c r="B44" t="s">
        <v>3511</v>
      </c>
      <c r="C44" t="s">
        <v>5357</v>
      </c>
      <c r="D44">
        <v>0</v>
      </c>
      <c r="E44" s="8" t="s">
        <v>6495</v>
      </c>
      <c r="F44" t="s">
        <v>6496</v>
      </c>
      <c r="G44" s="8" t="s">
        <v>6497</v>
      </c>
      <c r="H44" t="s">
        <v>6498</v>
      </c>
      <c r="I44" t="s">
        <v>3455</v>
      </c>
      <c r="J44" t="s">
        <v>3455</v>
      </c>
      <c r="K44" t="s">
        <v>5875</v>
      </c>
      <c r="L44" t="s">
        <v>90</v>
      </c>
      <c r="M44" t="s">
        <v>3455</v>
      </c>
      <c r="N44" t="s">
        <v>3455</v>
      </c>
      <c r="O44" t="s">
        <v>6499</v>
      </c>
    </row>
    <row r="45" spans="1:15" ht="15" customHeight="1" x14ac:dyDescent="0.25">
      <c r="A45" t="s">
        <v>5176</v>
      </c>
      <c r="B45" t="s">
        <v>3499</v>
      </c>
      <c r="C45" t="s">
        <v>5357</v>
      </c>
      <c r="D45">
        <v>2</v>
      </c>
      <c r="E45" s="8" t="s">
        <v>5879</v>
      </c>
      <c r="F45" t="s">
        <v>6500</v>
      </c>
      <c r="G45" s="8" t="s">
        <v>5880</v>
      </c>
      <c r="H45" t="s">
        <v>6501</v>
      </c>
      <c r="I45">
        <v>2</v>
      </c>
      <c r="J45" t="s">
        <v>6502</v>
      </c>
      <c r="K45" t="s">
        <v>5178</v>
      </c>
      <c r="L45" t="s">
        <v>90</v>
      </c>
      <c r="M45" t="s">
        <v>3455</v>
      </c>
      <c r="N45" t="s">
        <v>3455</v>
      </c>
      <c r="O45" t="s">
        <v>6503</v>
      </c>
    </row>
    <row r="46" spans="1:15" ht="15" customHeight="1" x14ac:dyDescent="0.25">
      <c r="A46" t="s">
        <v>5884</v>
      </c>
      <c r="B46" t="s">
        <v>3511</v>
      </c>
      <c r="C46" t="s">
        <v>5357</v>
      </c>
      <c r="D46">
        <v>0</v>
      </c>
      <c r="E46" s="8" t="s">
        <v>6504</v>
      </c>
      <c r="F46" t="s">
        <v>6505</v>
      </c>
      <c r="G46" s="8" t="s">
        <v>6506</v>
      </c>
      <c r="H46" t="s">
        <v>6507</v>
      </c>
      <c r="I46" t="s">
        <v>3455</v>
      </c>
      <c r="J46" t="s">
        <v>6508</v>
      </c>
      <c r="K46" t="s">
        <v>5887</v>
      </c>
      <c r="L46" t="s">
        <v>90</v>
      </c>
      <c r="M46" t="s">
        <v>5493</v>
      </c>
      <c r="N46" t="s">
        <v>3455</v>
      </c>
      <c r="O46" t="s">
        <v>6509</v>
      </c>
    </row>
    <row r="47" spans="1:15" ht="15" customHeight="1" x14ac:dyDescent="0.25">
      <c r="A47" t="s">
        <v>5889</v>
      </c>
      <c r="B47" t="s">
        <v>41</v>
      </c>
      <c r="C47" t="s">
        <v>5719</v>
      </c>
      <c r="D47">
        <v>1</v>
      </c>
      <c r="E47" t="s">
        <v>5890</v>
      </c>
      <c r="F47" t="s">
        <v>6510</v>
      </c>
      <c r="G47" t="s">
        <v>5891</v>
      </c>
      <c r="H47" t="s">
        <v>6511</v>
      </c>
      <c r="I47">
        <v>1</v>
      </c>
      <c r="J47" t="s">
        <v>6512</v>
      </c>
      <c r="K47" t="s">
        <v>5892</v>
      </c>
      <c r="L47" t="s">
        <v>90</v>
      </c>
      <c r="M47" t="s">
        <v>3455</v>
      </c>
      <c r="N47" t="s">
        <v>3455</v>
      </c>
      <c r="O47" t="s">
        <v>5893</v>
      </c>
    </row>
    <row r="48" spans="1:15" ht="15" customHeight="1" x14ac:dyDescent="0.25">
      <c r="A48" t="s">
        <v>5894</v>
      </c>
      <c r="B48" t="s">
        <v>41</v>
      </c>
      <c r="C48" t="s">
        <v>5719</v>
      </c>
      <c r="D48">
        <v>1</v>
      </c>
      <c r="E48" t="s">
        <v>5895</v>
      </c>
      <c r="F48" t="s">
        <v>6513</v>
      </c>
      <c r="G48" t="s">
        <v>5896</v>
      </c>
      <c r="H48" t="s">
        <v>6514</v>
      </c>
      <c r="I48">
        <v>1</v>
      </c>
      <c r="J48" t="s">
        <v>6414</v>
      </c>
      <c r="K48" t="s">
        <v>5897</v>
      </c>
      <c r="L48" t="s">
        <v>90</v>
      </c>
      <c r="M48" t="s">
        <v>3455</v>
      </c>
      <c r="N48" t="s">
        <v>3455</v>
      </c>
      <c r="O48" t="s">
        <v>5898</v>
      </c>
    </row>
    <row r="49" spans="1:15" ht="15" customHeight="1" x14ac:dyDescent="0.25">
      <c r="A49" t="s">
        <v>3441</v>
      </c>
      <c r="B49" t="s">
        <v>3511</v>
      </c>
      <c r="C49" t="s">
        <v>5719</v>
      </c>
      <c r="D49">
        <v>2</v>
      </c>
      <c r="E49" s="8" t="s">
        <v>5902</v>
      </c>
      <c r="F49" t="s">
        <v>6515</v>
      </c>
      <c r="G49" s="8" t="s">
        <v>5903</v>
      </c>
      <c r="H49" t="s">
        <v>6516</v>
      </c>
      <c r="I49">
        <v>2</v>
      </c>
      <c r="J49" t="s">
        <v>6389</v>
      </c>
      <c r="K49" t="s">
        <v>3441</v>
      </c>
      <c r="L49" t="s">
        <v>90</v>
      </c>
      <c r="M49" t="s">
        <v>3455</v>
      </c>
      <c r="N49" t="s">
        <v>3455</v>
      </c>
      <c r="O49" t="s">
        <v>5904</v>
      </c>
    </row>
    <row r="50" spans="1:15" ht="15" customHeight="1" x14ac:dyDescent="0.25">
      <c r="A50" t="s">
        <v>5905</v>
      </c>
      <c r="B50" t="s">
        <v>4294</v>
      </c>
      <c r="C50" t="s">
        <v>3653</v>
      </c>
      <c r="D50" t="s">
        <v>3994</v>
      </c>
      <c r="E50" s="8" t="s">
        <v>6517</v>
      </c>
      <c r="F50" t="s">
        <v>4212</v>
      </c>
      <c r="G50" s="8" t="s">
        <v>3455</v>
      </c>
      <c r="H50" t="s">
        <v>3455</v>
      </c>
      <c r="I50" t="s">
        <v>3455</v>
      </c>
      <c r="J50" t="s">
        <v>3455</v>
      </c>
      <c r="K50" t="s">
        <v>5905</v>
      </c>
      <c r="L50" t="s">
        <v>90</v>
      </c>
      <c r="M50" t="s">
        <v>5419</v>
      </c>
      <c r="N50" t="s">
        <v>3455</v>
      </c>
      <c r="O50" t="s">
        <v>6456</v>
      </c>
    </row>
    <row r="51" spans="1:15" ht="15" customHeight="1" x14ac:dyDescent="0.25">
      <c r="A51" t="s">
        <v>5907</v>
      </c>
      <c r="B51" t="s">
        <v>41</v>
      </c>
      <c r="C51" t="s">
        <v>5357</v>
      </c>
      <c r="D51">
        <v>1</v>
      </c>
      <c r="E51" s="8" t="s">
        <v>5908</v>
      </c>
      <c r="F51" t="s">
        <v>6518</v>
      </c>
      <c r="G51" s="8" t="s">
        <v>5909</v>
      </c>
      <c r="H51" t="s">
        <v>6519</v>
      </c>
      <c r="I51">
        <v>1</v>
      </c>
      <c r="J51" t="s">
        <v>3455</v>
      </c>
      <c r="K51" t="s">
        <v>5910</v>
      </c>
      <c r="L51" t="s">
        <v>90</v>
      </c>
      <c r="M51" t="s">
        <v>3455</v>
      </c>
      <c r="N51" t="s">
        <v>3455</v>
      </c>
      <c r="O51" t="s">
        <v>6453</v>
      </c>
    </row>
    <row r="52" spans="1:15" ht="15" customHeight="1" x14ac:dyDescent="0.25">
      <c r="A52" t="s">
        <v>4256</v>
      </c>
      <c r="B52" t="s">
        <v>4294</v>
      </c>
      <c r="C52" t="s">
        <v>4242</v>
      </c>
      <c r="D52" t="s">
        <v>3994</v>
      </c>
      <c r="E52" t="s">
        <v>5911</v>
      </c>
      <c r="F52" t="s">
        <v>6455</v>
      </c>
      <c r="G52" t="s">
        <v>3455</v>
      </c>
      <c r="H52" t="s">
        <v>3455</v>
      </c>
      <c r="I52" t="s">
        <v>3455</v>
      </c>
      <c r="J52" t="s">
        <v>3455</v>
      </c>
      <c r="K52" t="s">
        <v>4256</v>
      </c>
      <c r="L52" t="s">
        <v>90</v>
      </c>
      <c r="M52" t="s">
        <v>5460</v>
      </c>
      <c r="N52" t="s">
        <v>3455</v>
      </c>
      <c r="O52" t="s">
        <v>5867</v>
      </c>
    </row>
    <row r="53" spans="1:15" ht="15" customHeight="1" x14ac:dyDescent="0.25">
      <c r="A53" t="s">
        <v>6520</v>
      </c>
      <c r="B53" t="s">
        <v>3543</v>
      </c>
      <c r="C53" t="s">
        <v>5357</v>
      </c>
      <c r="D53">
        <v>1</v>
      </c>
      <c r="E53" t="s">
        <v>5913</v>
      </c>
      <c r="F53" t="s">
        <v>6521</v>
      </c>
      <c r="G53" t="s">
        <v>5914</v>
      </c>
      <c r="H53" t="s">
        <v>6522</v>
      </c>
      <c r="I53">
        <v>1</v>
      </c>
      <c r="J53" t="s">
        <v>3455</v>
      </c>
      <c r="K53" t="s">
        <v>6523</v>
      </c>
      <c r="L53" t="s">
        <v>90</v>
      </c>
      <c r="M53" t="s">
        <v>3455</v>
      </c>
      <c r="N53" t="s">
        <v>3455</v>
      </c>
      <c r="O53" t="s">
        <v>6524</v>
      </c>
    </row>
    <row r="54" spans="1:15" ht="15" customHeight="1" x14ac:dyDescent="0.25">
      <c r="A54" t="s">
        <v>6525</v>
      </c>
      <c r="B54" t="s">
        <v>3543</v>
      </c>
      <c r="C54" t="s">
        <v>5357</v>
      </c>
      <c r="D54">
        <v>1</v>
      </c>
      <c r="E54" t="s">
        <v>5913</v>
      </c>
      <c r="F54" t="s">
        <v>6521</v>
      </c>
      <c r="G54" t="s">
        <v>5914</v>
      </c>
      <c r="H54" t="s">
        <v>6522</v>
      </c>
      <c r="I54">
        <v>1</v>
      </c>
      <c r="J54" t="s">
        <v>3455</v>
      </c>
      <c r="K54" t="s">
        <v>6526</v>
      </c>
      <c r="L54" t="s">
        <v>90</v>
      </c>
      <c r="M54" t="s">
        <v>3455</v>
      </c>
      <c r="N54" t="s">
        <v>3455</v>
      </c>
      <c r="O54" t="s">
        <v>6524</v>
      </c>
    </row>
    <row r="55" spans="1:15" ht="15" customHeight="1" x14ac:dyDescent="0.25">
      <c r="A55" t="s">
        <v>5917</v>
      </c>
      <c r="B55" t="s">
        <v>41</v>
      </c>
      <c r="C55" t="s">
        <v>5357</v>
      </c>
      <c r="D55">
        <v>0</v>
      </c>
      <c r="E55" s="8" t="s">
        <v>5918</v>
      </c>
      <c r="F55" t="s">
        <v>6527</v>
      </c>
      <c r="G55" s="8" t="s">
        <v>6528</v>
      </c>
      <c r="H55" t="s">
        <v>6529</v>
      </c>
      <c r="I55">
        <v>0</v>
      </c>
      <c r="J55" t="s">
        <v>3455</v>
      </c>
      <c r="K55" t="s">
        <v>5917</v>
      </c>
      <c r="L55" t="s">
        <v>90</v>
      </c>
      <c r="M55" t="s">
        <v>3455</v>
      </c>
      <c r="N55" t="s">
        <v>3455</v>
      </c>
      <c r="O55" t="s">
        <v>5714</v>
      </c>
    </row>
    <row r="56" spans="1:15" ht="15" customHeight="1" x14ac:dyDescent="0.25">
      <c r="A56" t="s">
        <v>4579</v>
      </c>
      <c r="B56" t="s">
        <v>3511</v>
      </c>
      <c r="C56" t="s">
        <v>5719</v>
      </c>
      <c r="D56">
        <v>1</v>
      </c>
      <c r="E56" t="s">
        <v>6530</v>
      </c>
      <c r="F56" t="s">
        <v>6531</v>
      </c>
      <c r="G56" t="s">
        <v>6530</v>
      </c>
      <c r="H56" t="s">
        <v>6531</v>
      </c>
      <c r="I56">
        <v>1</v>
      </c>
      <c r="J56" t="s">
        <v>6389</v>
      </c>
      <c r="K56" t="s">
        <v>4579</v>
      </c>
      <c r="L56" t="s">
        <v>1621</v>
      </c>
      <c r="M56" t="s">
        <v>5422</v>
      </c>
      <c r="N56" t="s">
        <v>3455</v>
      </c>
      <c r="O56" t="s">
        <v>5752</v>
      </c>
    </row>
    <row r="57" spans="1:15" ht="15" customHeight="1" x14ac:dyDescent="0.25">
      <c r="A57" t="s">
        <v>5926</v>
      </c>
      <c r="B57" t="s">
        <v>3499</v>
      </c>
      <c r="C57" t="s">
        <v>5719</v>
      </c>
      <c r="D57">
        <v>1</v>
      </c>
      <c r="E57" t="s">
        <v>5927</v>
      </c>
      <c r="F57" t="s">
        <v>6532</v>
      </c>
      <c r="G57" t="s">
        <v>5928</v>
      </c>
      <c r="H57" t="s">
        <v>6533</v>
      </c>
      <c r="I57">
        <v>1</v>
      </c>
      <c r="J57" t="s">
        <v>6534</v>
      </c>
      <c r="K57" t="s">
        <v>5929</v>
      </c>
      <c r="L57" t="s">
        <v>90</v>
      </c>
      <c r="M57" t="s">
        <v>5493</v>
      </c>
      <c r="N57" t="s">
        <v>3455</v>
      </c>
      <c r="O57" t="s">
        <v>5930</v>
      </c>
    </row>
    <row r="58" spans="1:15" ht="15" customHeight="1" x14ac:dyDescent="0.25">
      <c r="A58" t="s">
        <v>5931</v>
      </c>
      <c r="B58" t="s">
        <v>3511</v>
      </c>
      <c r="C58" t="s">
        <v>5357</v>
      </c>
      <c r="D58">
        <v>1</v>
      </c>
      <c r="E58" s="8" t="s">
        <v>5932</v>
      </c>
      <c r="F58" t="s">
        <v>6535</v>
      </c>
      <c r="G58" s="8" t="s">
        <v>5933</v>
      </c>
      <c r="H58" t="s">
        <v>6536</v>
      </c>
      <c r="I58">
        <v>1</v>
      </c>
      <c r="J58" t="s">
        <v>3455</v>
      </c>
      <c r="K58" t="s">
        <v>5931</v>
      </c>
      <c r="L58" t="s">
        <v>90</v>
      </c>
      <c r="M58" t="s">
        <v>5493</v>
      </c>
      <c r="N58" t="s">
        <v>3455</v>
      </c>
      <c r="O58" t="s">
        <v>5934</v>
      </c>
    </row>
    <row r="59" spans="1:15" ht="15" customHeight="1" x14ac:dyDescent="0.25">
      <c r="A59" t="s">
        <v>5935</v>
      </c>
      <c r="B59" t="s">
        <v>3511</v>
      </c>
      <c r="C59" t="s">
        <v>5357</v>
      </c>
      <c r="D59">
        <v>1</v>
      </c>
      <c r="E59" s="8" t="s">
        <v>5936</v>
      </c>
      <c r="F59" t="s">
        <v>6537</v>
      </c>
      <c r="G59" s="8" t="s">
        <v>5936</v>
      </c>
      <c r="H59" t="s">
        <v>6537</v>
      </c>
      <c r="I59">
        <v>0</v>
      </c>
      <c r="J59" t="s">
        <v>3455</v>
      </c>
      <c r="K59" t="s">
        <v>5935</v>
      </c>
      <c r="L59" t="s">
        <v>90</v>
      </c>
      <c r="M59" t="s">
        <v>5493</v>
      </c>
      <c r="N59" t="s">
        <v>3455</v>
      </c>
      <c r="O59" t="s">
        <v>5937</v>
      </c>
    </row>
    <row r="60" spans="1:15" ht="15" customHeight="1" x14ac:dyDescent="0.25">
      <c r="A60" t="s">
        <v>5938</v>
      </c>
      <c r="B60" t="s">
        <v>41</v>
      </c>
      <c r="C60" t="s">
        <v>5357</v>
      </c>
      <c r="D60">
        <v>1</v>
      </c>
      <c r="E60" s="8" t="s">
        <v>6538</v>
      </c>
      <c r="F60" t="s">
        <v>6539</v>
      </c>
      <c r="G60" s="8" t="s">
        <v>6540</v>
      </c>
      <c r="H60" t="s">
        <v>6541</v>
      </c>
      <c r="I60">
        <v>1</v>
      </c>
      <c r="J60" t="s">
        <v>3455</v>
      </c>
      <c r="K60" t="s">
        <v>5941</v>
      </c>
      <c r="L60" t="s">
        <v>90</v>
      </c>
      <c r="M60" t="s">
        <v>3455</v>
      </c>
      <c r="N60" t="s">
        <v>3455</v>
      </c>
      <c r="O60" t="s">
        <v>5714</v>
      </c>
    </row>
    <row r="61" spans="1:15" ht="15" customHeight="1" x14ac:dyDescent="0.25">
      <c r="A61" t="s">
        <v>5942</v>
      </c>
      <c r="B61" t="s">
        <v>3499</v>
      </c>
      <c r="C61" t="s">
        <v>5357</v>
      </c>
      <c r="D61" t="s">
        <v>5943</v>
      </c>
      <c r="E61" s="8" t="s">
        <v>6542</v>
      </c>
      <c r="F61" t="s">
        <v>6543</v>
      </c>
      <c r="G61" s="8" t="s">
        <v>6544</v>
      </c>
      <c r="H61" t="s">
        <v>6545</v>
      </c>
      <c r="I61" t="s">
        <v>3455</v>
      </c>
      <c r="J61" t="s">
        <v>3455</v>
      </c>
      <c r="K61" t="s">
        <v>5942</v>
      </c>
      <c r="L61" t="s">
        <v>90</v>
      </c>
      <c r="M61" t="s">
        <v>5493</v>
      </c>
      <c r="N61" t="s">
        <v>3455</v>
      </c>
      <c r="O61" t="s">
        <v>5946</v>
      </c>
    </row>
    <row r="62" spans="1:15" ht="15" customHeight="1" x14ac:dyDescent="0.25">
      <c r="A62" t="s">
        <v>5361</v>
      </c>
      <c r="B62" t="s">
        <v>3499</v>
      </c>
      <c r="C62" t="s">
        <v>5357</v>
      </c>
      <c r="D62">
        <v>1</v>
      </c>
      <c r="E62" s="8" t="s">
        <v>5947</v>
      </c>
      <c r="F62" t="s">
        <v>6546</v>
      </c>
      <c r="G62" s="8" t="s">
        <v>5948</v>
      </c>
      <c r="H62" t="s">
        <v>6547</v>
      </c>
      <c r="I62">
        <v>1</v>
      </c>
      <c r="J62" t="s">
        <v>3455</v>
      </c>
      <c r="K62" t="s">
        <v>5363</v>
      </c>
      <c r="L62" t="s">
        <v>90</v>
      </c>
      <c r="M62" t="s">
        <v>3455</v>
      </c>
      <c r="N62" t="s">
        <v>3455</v>
      </c>
      <c r="O62" t="s">
        <v>5732</v>
      </c>
    </row>
    <row r="63" spans="1:15" ht="15" customHeight="1" x14ac:dyDescent="0.25">
      <c r="A63" t="s">
        <v>5950</v>
      </c>
      <c r="B63" t="s">
        <v>4294</v>
      </c>
      <c r="C63" t="s">
        <v>4242</v>
      </c>
      <c r="D63" t="s">
        <v>3994</v>
      </c>
      <c r="E63" t="s">
        <v>5951</v>
      </c>
      <c r="F63" t="s">
        <v>6548</v>
      </c>
      <c r="G63" t="s">
        <v>3455</v>
      </c>
      <c r="H63" t="s">
        <v>3455</v>
      </c>
      <c r="I63" t="s">
        <v>3455</v>
      </c>
      <c r="J63" t="s">
        <v>3455</v>
      </c>
      <c r="K63" t="s">
        <v>5950</v>
      </c>
      <c r="L63" t="s">
        <v>90</v>
      </c>
      <c r="M63" t="s">
        <v>5460</v>
      </c>
      <c r="N63" t="s">
        <v>3455</v>
      </c>
      <c r="O63" t="s">
        <v>5867</v>
      </c>
    </row>
    <row r="64" spans="1:15" ht="15" customHeight="1" x14ac:dyDescent="0.25">
      <c r="A64" t="s">
        <v>5952</v>
      </c>
      <c r="B64" t="s">
        <v>3511</v>
      </c>
      <c r="C64" t="s">
        <v>5719</v>
      </c>
      <c r="D64">
        <v>1</v>
      </c>
      <c r="E64" s="8" t="s">
        <v>6549</v>
      </c>
      <c r="F64" t="s">
        <v>6550</v>
      </c>
      <c r="G64" s="8" t="s">
        <v>6551</v>
      </c>
      <c r="H64" t="s">
        <v>6552</v>
      </c>
      <c r="I64">
        <v>1</v>
      </c>
      <c r="J64" t="s">
        <v>6389</v>
      </c>
      <c r="K64" t="s">
        <v>5952</v>
      </c>
      <c r="L64" t="s">
        <v>90</v>
      </c>
      <c r="M64" t="s">
        <v>3455</v>
      </c>
      <c r="N64" t="s">
        <v>3455</v>
      </c>
      <c r="O64" t="s">
        <v>5955</v>
      </c>
    </row>
    <row r="65" spans="1:15" ht="15" customHeight="1" x14ac:dyDescent="0.25">
      <c r="A65" t="s">
        <v>5960</v>
      </c>
      <c r="B65" t="s">
        <v>3511</v>
      </c>
      <c r="C65" t="s">
        <v>5357</v>
      </c>
      <c r="D65">
        <v>1</v>
      </c>
      <c r="E65" s="8" t="s">
        <v>5961</v>
      </c>
      <c r="F65" t="s">
        <v>6553</v>
      </c>
      <c r="G65" s="8" t="s">
        <v>5962</v>
      </c>
      <c r="H65" t="s">
        <v>6554</v>
      </c>
      <c r="I65">
        <v>1</v>
      </c>
      <c r="J65" t="s">
        <v>3455</v>
      </c>
      <c r="K65" t="s">
        <v>5963</v>
      </c>
      <c r="L65" t="s">
        <v>90</v>
      </c>
      <c r="M65" t="s">
        <v>3455</v>
      </c>
      <c r="N65" t="s">
        <v>3455</v>
      </c>
      <c r="O65" t="s">
        <v>5760</v>
      </c>
    </row>
    <row r="66" spans="1:15" ht="15" customHeight="1" x14ac:dyDescent="0.25">
      <c r="A66" t="s">
        <v>5964</v>
      </c>
      <c r="B66" t="s">
        <v>3511</v>
      </c>
      <c r="C66" t="s">
        <v>5719</v>
      </c>
      <c r="D66">
        <v>0</v>
      </c>
      <c r="E66" s="8" t="s">
        <v>6555</v>
      </c>
      <c r="F66" t="s">
        <v>6556</v>
      </c>
      <c r="G66" s="8" t="s">
        <v>6557</v>
      </c>
      <c r="H66" t="s">
        <v>6558</v>
      </c>
      <c r="I66">
        <v>0</v>
      </c>
      <c r="J66" t="s">
        <v>6447</v>
      </c>
      <c r="K66" t="s">
        <v>5967</v>
      </c>
      <c r="L66" t="s">
        <v>90</v>
      </c>
      <c r="M66" t="s">
        <v>5493</v>
      </c>
      <c r="N66" t="s">
        <v>3455</v>
      </c>
      <c r="O66" t="s">
        <v>5774</v>
      </c>
    </row>
    <row r="67" spans="1:15" x14ac:dyDescent="0.25">
      <c r="A67" t="s">
        <v>5968</v>
      </c>
      <c r="B67" t="s">
        <v>3511</v>
      </c>
      <c r="C67" t="s">
        <v>5357</v>
      </c>
      <c r="D67">
        <v>2</v>
      </c>
      <c r="E67" s="8" t="s">
        <v>5969</v>
      </c>
      <c r="F67" t="s">
        <v>6559</v>
      </c>
      <c r="G67" s="8" t="s">
        <v>5969</v>
      </c>
      <c r="H67" t="s">
        <v>6559</v>
      </c>
      <c r="I67">
        <v>1</v>
      </c>
      <c r="J67" t="s">
        <v>3455</v>
      </c>
      <c r="K67" t="s">
        <v>5968</v>
      </c>
      <c r="L67" t="s">
        <v>90</v>
      </c>
      <c r="M67" t="s">
        <v>3455</v>
      </c>
      <c r="N67" t="s">
        <v>3455</v>
      </c>
      <c r="O67" t="s">
        <v>5736</v>
      </c>
    </row>
    <row r="68" spans="1:15" x14ac:dyDescent="0.25">
      <c r="A68" t="s">
        <v>5193</v>
      </c>
      <c r="B68" t="s">
        <v>3499</v>
      </c>
      <c r="C68" t="s">
        <v>4594</v>
      </c>
      <c r="D68">
        <v>2</v>
      </c>
      <c r="E68" s="8" t="s">
        <v>6560</v>
      </c>
      <c r="F68" t="s">
        <v>6561</v>
      </c>
      <c r="G68" s="8" t="s">
        <v>6560</v>
      </c>
      <c r="H68" t="s">
        <v>6561</v>
      </c>
      <c r="I68">
        <v>1</v>
      </c>
      <c r="J68" t="s">
        <v>3455</v>
      </c>
      <c r="K68" t="s">
        <v>5193</v>
      </c>
      <c r="L68" t="s">
        <v>90</v>
      </c>
      <c r="M68" t="s">
        <v>3455</v>
      </c>
      <c r="N68" t="s">
        <v>3455</v>
      </c>
      <c r="O68" t="s">
        <v>6562</v>
      </c>
    </row>
    <row r="69" spans="1:15" x14ac:dyDescent="0.25">
      <c r="A69" t="s">
        <v>5971</v>
      </c>
      <c r="B69" t="s">
        <v>3511</v>
      </c>
      <c r="C69" t="s">
        <v>5357</v>
      </c>
      <c r="D69">
        <v>0</v>
      </c>
      <c r="E69" s="8" t="s">
        <v>5972</v>
      </c>
      <c r="F69" t="s">
        <v>6563</v>
      </c>
      <c r="G69" s="8" t="s">
        <v>5973</v>
      </c>
      <c r="H69" t="s">
        <v>6564</v>
      </c>
      <c r="I69">
        <v>0</v>
      </c>
      <c r="J69" t="s">
        <v>3455</v>
      </c>
      <c r="K69" t="s">
        <v>5974</v>
      </c>
      <c r="L69" t="s">
        <v>90</v>
      </c>
      <c r="M69" t="s">
        <v>3455</v>
      </c>
      <c r="N69" t="s">
        <v>3455</v>
      </c>
      <c r="O69" t="s">
        <v>5975</v>
      </c>
    </row>
    <row r="70" spans="1:15" x14ac:dyDescent="0.25">
      <c r="A70" t="s">
        <v>5976</v>
      </c>
      <c r="B70" t="s">
        <v>3511</v>
      </c>
      <c r="C70" t="s">
        <v>5719</v>
      </c>
      <c r="D70">
        <v>3</v>
      </c>
      <c r="E70" s="8" t="s">
        <v>6565</v>
      </c>
      <c r="F70" t="s">
        <v>6566</v>
      </c>
      <c r="G70" s="8" t="s">
        <v>6567</v>
      </c>
      <c r="H70" t="s">
        <v>6568</v>
      </c>
      <c r="I70">
        <v>3</v>
      </c>
      <c r="J70" t="s">
        <v>6397</v>
      </c>
      <c r="K70" t="s">
        <v>5976</v>
      </c>
      <c r="L70" t="s">
        <v>90</v>
      </c>
      <c r="M70" t="s">
        <v>3455</v>
      </c>
      <c r="N70" t="s">
        <v>3455</v>
      </c>
      <c r="O70" t="s">
        <v>5979</v>
      </c>
    </row>
    <row r="71" spans="1:15" x14ac:dyDescent="0.25">
      <c r="A71" t="s">
        <v>5195</v>
      </c>
      <c r="B71" t="s">
        <v>3511</v>
      </c>
      <c r="C71" t="s">
        <v>4594</v>
      </c>
      <c r="D71">
        <v>1</v>
      </c>
      <c r="E71" s="8" t="s">
        <v>6569</v>
      </c>
      <c r="F71" t="s">
        <v>6570</v>
      </c>
      <c r="G71" s="8" t="s">
        <v>6571</v>
      </c>
      <c r="H71" t="s">
        <v>6572</v>
      </c>
      <c r="I71">
        <v>1</v>
      </c>
      <c r="J71" t="s">
        <v>3455</v>
      </c>
      <c r="K71" t="s">
        <v>5195</v>
      </c>
      <c r="L71" t="s">
        <v>90</v>
      </c>
      <c r="M71" t="s">
        <v>3455</v>
      </c>
      <c r="N71" t="s">
        <v>3455</v>
      </c>
      <c r="O71" t="s">
        <v>5982</v>
      </c>
    </row>
    <row r="72" spans="1:15" x14ac:dyDescent="0.25">
      <c r="A72" t="s">
        <v>5983</v>
      </c>
      <c r="B72" t="s">
        <v>3499</v>
      </c>
      <c r="C72" t="s">
        <v>5357</v>
      </c>
      <c r="D72">
        <v>1</v>
      </c>
      <c r="E72" s="8" t="s">
        <v>5984</v>
      </c>
      <c r="F72" t="s">
        <v>6573</v>
      </c>
      <c r="G72" s="8" t="s">
        <v>5984</v>
      </c>
      <c r="H72" t="s">
        <v>6573</v>
      </c>
      <c r="I72">
        <v>0</v>
      </c>
      <c r="J72" t="s">
        <v>3455</v>
      </c>
      <c r="K72" t="s">
        <v>5983</v>
      </c>
      <c r="L72" t="s">
        <v>90</v>
      </c>
      <c r="M72" t="s">
        <v>5493</v>
      </c>
      <c r="N72" t="s">
        <v>3455</v>
      </c>
      <c r="O72" t="s">
        <v>5985</v>
      </c>
    </row>
    <row r="73" spans="1:15" x14ac:dyDescent="0.25">
      <c r="A73" t="s">
        <v>5986</v>
      </c>
      <c r="B73" t="s">
        <v>3511</v>
      </c>
      <c r="C73" t="s">
        <v>5357</v>
      </c>
      <c r="D73">
        <v>1</v>
      </c>
      <c r="E73" s="8" t="s">
        <v>6574</v>
      </c>
      <c r="F73" t="s">
        <v>6575</v>
      </c>
      <c r="G73" s="8" t="s">
        <v>6576</v>
      </c>
      <c r="H73" t="s">
        <v>6577</v>
      </c>
      <c r="I73">
        <v>1</v>
      </c>
      <c r="J73" t="s">
        <v>3455</v>
      </c>
      <c r="K73" t="s">
        <v>5986</v>
      </c>
      <c r="L73" t="s">
        <v>90</v>
      </c>
      <c r="M73" t="s">
        <v>3455</v>
      </c>
      <c r="N73" t="s">
        <v>3455</v>
      </c>
      <c r="O73" t="s">
        <v>5989</v>
      </c>
    </row>
    <row r="74" spans="1:15" x14ac:dyDescent="0.25">
      <c r="A74" t="s">
        <v>5990</v>
      </c>
      <c r="B74" t="s">
        <v>3499</v>
      </c>
      <c r="C74" t="s">
        <v>5719</v>
      </c>
      <c r="D74">
        <v>1</v>
      </c>
      <c r="E74" s="8" t="s">
        <v>6578</v>
      </c>
      <c r="F74" t="s">
        <v>6579</v>
      </c>
      <c r="G74" s="8" t="s">
        <v>6580</v>
      </c>
      <c r="H74" t="s">
        <v>6581</v>
      </c>
      <c r="I74" t="s">
        <v>3455</v>
      </c>
      <c r="J74" t="s">
        <v>6397</v>
      </c>
      <c r="K74" t="s">
        <v>5990</v>
      </c>
      <c r="L74" t="s">
        <v>90</v>
      </c>
      <c r="M74" t="s">
        <v>5493</v>
      </c>
      <c r="N74" t="s">
        <v>3455</v>
      </c>
      <c r="O74" t="s">
        <v>5993</v>
      </c>
    </row>
    <row r="75" spans="1:15" x14ac:dyDescent="0.25">
      <c r="A75" t="s">
        <v>5203</v>
      </c>
      <c r="B75" t="s">
        <v>3511</v>
      </c>
      <c r="C75" t="s">
        <v>4594</v>
      </c>
      <c r="D75">
        <v>1</v>
      </c>
      <c r="E75" s="8" t="s">
        <v>6582</v>
      </c>
      <c r="F75" t="s">
        <v>6583</v>
      </c>
      <c r="G75" s="8" t="s">
        <v>6584</v>
      </c>
      <c r="H75" t="s">
        <v>6585</v>
      </c>
      <c r="I75">
        <v>1</v>
      </c>
      <c r="J75" t="s">
        <v>3455</v>
      </c>
      <c r="K75" t="s">
        <v>5205</v>
      </c>
      <c r="L75" t="s">
        <v>90</v>
      </c>
      <c r="M75" t="s">
        <v>3455</v>
      </c>
      <c r="N75" t="s">
        <v>3455</v>
      </c>
      <c r="O75" t="s">
        <v>5996</v>
      </c>
    </row>
    <row r="76" spans="1:15" x14ac:dyDescent="0.25">
      <c r="A76" t="s">
        <v>5997</v>
      </c>
      <c r="B76" t="s">
        <v>3499</v>
      </c>
      <c r="C76" t="s">
        <v>5719</v>
      </c>
      <c r="D76">
        <v>2</v>
      </c>
      <c r="E76" s="8" t="s">
        <v>6586</v>
      </c>
      <c r="F76" t="s">
        <v>6587</v>
      </c>
      <c r="G76" s="8" t="s">
        <v>6588</v>
      </c>
      <c r="H76" t="s">
        <v>6589</v>
      </c>
      <c r="I76">
        <v>2</v>
      </c>
      <c r="J76" t="s">
        <v>6414</v>
      </c>
      <c r="K76" t="s">
        <v>6000</v>
      </c>
      <c r="L76" t="s">
        <v>90</v>
      </c>
      <c r="M76" t="s">
        <v>5493</v>
      </c>
      <c r="N76" t="s">
        <v>4258</v>
      </c>
      <c r="O76" t="s">
        <v>6001</v>
      </c>
    </row>
    <row r="77" spans="1:15" x14ac:dyDescent="0.25">
      <c r="A77" t="s">
        <v>6004</v>
      </c>
      <c r="B77" t="s">
        <v>3511</v>
      </c>
      <c r="C77" t="s">
        <v>5719</v>
      </c>
      <c r="D77">
        <v>1</v>
      </c>
      <c r="E77" s="8" t="s">
        <v>6590</v>
      </c>
      <c r="F77" t="s">
        <v>6591</v>
      </c>
      <c r="G77" s="8" t="s">
        <v>6592</v>
      </c>
      <c r="H77" t="s">
        <v>6593</v>
      </c>
      <c r="I77" t="s">
        <v>3455</v>
      </c>
      <c r="J77" t="s">
        <v>6389</v>
      </c>
      <c r="K77" t="s">
        <v>6004</v>
      </c>
      <c r="L77" t="s">
        <v>90</v>
      </c>
      <c r="M77" t="s">
        <v>3455</v>
      </c>
      <c r="N77" t="s">
        <v>3455</v>
      </c>
      <c r="O77" t="s">
        <v>6594</v>
      </c>
    </row>
    <row r="78" spans="1:15" x14ac:dyDescent="0.25">
      <c r="A78" t="s">
        <v>5206</v>
      </c>
      <c r="B78" t="s">
        <v>3511</v>
      </c>
      <c r="C78" t="s">
        <v>4594</v>
      </c>
      <c r="D78">
        <v>1</v>
      </c>
      <c r="E78" s="8" t="s">
        <v>6595</v>
      </c>
      <c r="F78" t="s">
        <v>6596</v>
      </c>
      <c r="G78" s="8" t="s">
        <v>6597</v>
      </c>
      <c r="H78" t="s">
        <v>6598</v>
      </c>
      <c r="I78">
        <v>1</v>
      </c>
      <c r="J78" t="s">
        <v>3455</v>
      </c>
      <c r="K78" t="s">
        <v>5208</v>
      </c>
      <c r="L78" t="s">
        <v>90</v>
      </c>
      <c r="M78" t="s">
        <v>3455</v>
      </c>
      <c r="N78" t="s">
        <v>3455</v>
      </c>
      <c r="O78" t="s">
        <v>6009</v>
      </c>
    </row>
    <row r="79" spans="1:15" x14ac:dyDescent="0.25">
      <c r="A79" t="s">
        <v>5209</v>
      </c>
      <c r="B79" t="s">
        <v>3511</v>
      </c>
      <c r="C79" t="s">
        <v>5357</v>
      </c>
      <c r="D79">
        <v>2</v>
      </c>
      <c r="E79" s="8" t="s">
        <v>6599</v>
      </c>
      <c r="F79" t="s">
        <v>6600</v>
      </c>
      <c r="G79" s="8" t="s">
        <v>6601</v>
      </c>
      <c r="H79" t="s">
        <v>6602</v>
      </c>
      <c r="I79">
        <v>2</v>
      </c>
      <c r="J79" t="s">
        <v>3455</v>
      </c>
      <c r="K79" t="s">
        <v>5211</v>
      </c>
      <c r="L79" t="s">
        <v>90</v>
      </c>
      <c r="M79" t="s">
        <v>3455</v>
      </c>
      <c r="N79" t="s">
        <v>4258</v>
      </c>
      <c r="O79" t="s">
        <v>5736</v>
      </c>
    </row>
    <row r="80" spans="1:15" x14ac:dyDescent="0.25">
      <c r="A80" t="s">
        <v>6012</v>
      </c>
      <c r="B80" t="s">
        <v>3511</v>
      </c>
      <c r="C80" t="s">
        <v>5719</v>
      </c>
      <c r="D80">
        <v>1</v>
      </c>
      <c r="E80" s="8" t="s">
        <v>6603</v>
      </c>
      <c r="F80" t="s">
        <v>6604</v>
      </c>
      <c r="G80" s="8" t="s">
        <v>6605</v>
      </c>
      <c r="H80" t="s">
        <v>6606</v>
      </c>
      <c r="I80">
        <v>1</v>
      </c>
      <c r="J80" t="s">
        <v>6414</v>
      </c>
      <c r="K80" t="s">
        <v>6012</v>
      </c>
      <c r="L80" t="s">
        <v>90</v>
      </c>
      <c r="M80" t="s">
        <v>3455</v>
      </c>
      <c r="N80" t="s">
        <v>3455</v>
      </c>
      <c r="O80" t="s">
        <v>6594</v>
      </c>
    </row>
    <row r="81" spans="1:15" x14ac:dyDescent="0.25">
      <c r="A81" t="s">
        <v>6015</v>
      </c>
      <c r="B81" t="s">
        <v>41</v>
      </c>
      <c r="C81" t="s">
        <v>5357</v>
      </c>
      <c r="D81">
        <v>0</v>
      </c>
      <c r="E81" s="8" t="s">
        <v>6607</v>
      </c>
      <c r="F81" t="s">
        <v>6608</v>
      </c>
      <c r="G81" s="8" t="s">
        <v>6609</v>
      </c>
      <c r="H81" t="s">
        <v>6610</v>
      </c>
      <c r="I81" t="s">
        <v>3455</v>
      </c>
      <c r="J81" t="s">
        <v>3455</v>
      </c>
      <c r="K81" t="s">
        <v>6015</v>
      </c>
      <c r="L81" t="s">
        <v>90</v>
      </c>
      <c r="M81" t="s">
        <v>3455</v>
      </c>
      <c r="N81" t="s">
        <v>3455</v>
      </c>
      <c r="O81" t="s">
        <v>6056</v>
      </c>
    </row>
    <row r="82" spans="1:15" x14ac:dyDescent="0.25">
      <c r="A82" t="s">
        <v>6018</v>
      </c>
      <c r="B82" t="s">
        <v>41</v>
      </c>
      <c r="C82" t="s">
        <v>5719</v>
      </c>
      <c r="D82">
        <v>1</v>
      </c>
      <c r="E82" s="8" t="s">
        <v>6611</v>
      </c>
      <c r="F82" t="s">
        <v>6612</v>
      </c>
      <c r="G82" s="8" t="s">
        <v>6613</v>
      </c>
      <c r="H82" t="s">
        <v>6614</v>
      </c>
      <c r="I82" t="s">
        <v>3455</v>
      </c>
      <c r="J82" t="s">
        <v>6389</v>
      </c>
      <c r="K82" t="s">
        <v>6021</v>
      </c>
      <c r="L82" t="s">
        <v>90</v>
      </c>
      <c r="M82" t="s">
        <v>3455</v>
      </c>
      <c r="N82" t="s">
        <v>3455</v>
      </c>
      <c r="O82" t="s">
        <v>6022</v>
      </c>
    </row>
    <row r="83" spans="1:15" x14ac:dyDescent="0.25">
      <c r="A83" t="s">
        <v>6026</v>
      </c>
      <c r="B83" t="s">
        <v>3511</v>
      </c>
      <c r="C83" t="s">
        <v>5357</v>
      </c>
      <c r="D83">
        <v>1</v>
      </c>
      <c r="E83" s="8" t="s">
        <v>6615</v>
      </c>
      <c r="F83" t="s">
        <v>6448</v>
      </c>
      <c r="G83" s="8" t="s">
        <v>6616</v>
      </c>
      <c r="H83" t="s">
        <v>6449</v>
      </c>
      <c r="I83" t="s">
        <v>3455</v>
      </c>
      <c r="J83" t="s">
        <v>3455</v>
      </c>
      <c r="K83" t="s">
        <v>6029</v>
      </c>
      <c r="L83" t="s">
        <v>90</v>
      </c>
      <c r="M83" t="s">
        <v>5419</v>
      </c>
      <c r="N83" t="s">
        <v>3455</v>
      </c>
      <c r="O83" t="s">
        <v>5736</v>
      </c>
    </row>
    <row r="84" spans="1:15" x14ac:dyDescent="0.25">
      <c r="A84" t="s">
        <v>6031</v>
      </c>
      <c r="B84" t="s">
        <v>3499</v>
      </c>
      <c r="C84" t="s">
        <v>5719</v>
      </c>
      <c r="D84">
        <v>1</v>
      </c>
      <c r="E84" s="8" t="s">
        <v>6617</v>
      </c>
      <c r="F84" t="s">
        <v>6618</v>
      </c>
      <c r="G84" s="8" t="s">
        <v>6619</v>
      </c>
      <c r="H84" t="s">
        <v>6620</v>
      </c>
      <c r="I84" t="s">
        <v>3455</v>
      </c>
      <c r="J84" t="s">
        <v>6414</v>
      </c>
      <c r="K84" t="s">
        <v>6034</v>
      </c>
      <c r="L84" t="s">
        <v>90</v>
      </c>
      <c r="M84" t="s">
        <v>3455</v>
      </c>
      <c r="N84" t="s">
        <v>3455</v>
      </c>
      <c r="O84" t="s">
        <v>5774</v>
      </c>
    </row>
    <row r="85" spans="1:15" x14ac:dyDescent="0.25">
      <c r="A85" t="s">
        <v>6035</v>
      </c>
      <c r="B85" t="s">
        <v>41</v>
      </c>
      <c r="C85" t="s">
        <v>5719</v>
      </c>
      <c r="D85">
        <v>0</v>
      </c>
      <c r="E85" s="8" t="s">
        <v>6621</v>
      </c>
      <c r="F85" t="s">
        <v>6622</v>
      </c>
      <c r="G85" s="8" t="s">
        <v>6623</v>
      </c>
      <c r="H85" t="s">
        <v>6624</v>
      </c>
      <c r="I85">
        <v>0</v>
      </c>
      <c r="J85" t="s">
        <v>6481</v>
      </c>
      <c r="K85" t="s">
        <v>6038</v>
      </c>
      <c r="L85" t="s">
        <v>90</v>
      </c>
      <c r="M85" t="s">
        <v>3455</v>
      </c>
      <c r="N85" t="s">
        <v>3455</v>
      </c>
      <c r="O85" t="s">
        <v>5765</v>
      </c>
    </row>
    <row r="86" spans="1:15" x14ac:dyDescent="0.25">
      <c r="A86" t="s">
        <v>6039</v>
      </c>
      <c r="B86" t="s">
        <v>3499</v>
      </c>
      <c r="C86" t="s">
        <v>5719</v>
      </c>
      <c r="D86">
        <v>0</v>
      </c>
      <c r="E86" s="8" t="s">
        <v>6625</v>
      </c>
      <c r="F86" t="s">
        <v>6626</v>
      </c>
      <c r="G86" s="8" t="s">
        <v>6627</v>
      </c>
      <c r="H86" t="s">
        <v>6628</v>
      </c>
      <c r="I86">
        <v>0</v>
      </c>
      <c r="J86" t="s">
        <v>6629</v>
      </c>
      <c r="K86" t="s">
        <v>6042</v>
      </c>
      <c r="L86" t="s">
        <v>90</v>
      </c>
      <c r="M86" t="s">
        <v>3455</v>
      </c>
      <c r="N86" t="s">
        <v>3455</v>
      </c>
      <c r="O86" t="s">
        <v>5893</v>
      </c>
    </row>
    <row r="87" spans="1:15" x14ac:dyDescent="0.25">
      <c r="A87" t="s">
        <v>5113</v>
      </c>
      <c r="B87" t="s">
        <v>4294</v>
      </c>
      <c r="C87" t="s">
        <v>4242</v>
      </c>
      <c r="D87" t="s">
        <v>3994</v>
      </c>
      <c r="E87" t="s">
        <v>6630</v>
      </c>
      <c r="F87" t="s">
        <v>4212</v>
      </c>
      <c r="G87" t="s">
        <v>3455</v>
      </c>
      <c r="H87" t="s">
        <v>3455</v>
      </c>
      <c r="I87" t="s">
        <v>3455</v>
      </c>
      <c r="J87" t="s">
        <v>3455</v>
      </c>
      <c r="K87" t="s">
        <v>5113</v>
      </c>
      <c r="L87" t="s">
        <v>38</v>
      </c>
      <c r="M87" t="s">
        <v>6631</v>
      </c>
      <c r="N87" t="s">
        <v>3455</v>
      </c>
    </row>
    <row r="88" spans="1:15" x14ac:dyDescent="0.25">
      <c r="A88" t="s">
        <v>5129</v>
      </c>
      <c r="B88" t="s">
        <v>4294</v>
      </c>
      <c r="C88" t="s">
        <v>4242</v>
      </c>
      <c r="D88" t="s">
        <v>3994</v>
      </c>
      <c r="E88" t="s">
        <v>6632</v>
      </c>
      <c r="F88" t="s">
        <v>6633</v>
      </c>
      <c r="G88" t="s">
        <v>3455</v>
      </c>
      <c r="H88" t="s">
        <v>3455</v>
      </c>
      <c r="I88" t="s">
        <v>3455</v>
      </c>
      <c r="J88" t="s">
        <v>3455</v>
      </c>
      <c r="K88" t="s">
        <v>5129</v>
      </c>
      <c r="L88" t="s">
        <v>38</v>
      </c>
      <c r="M88" t="s">
        <v>5460</v>
      </c>
      <c r="N88" t="s">
        <v>3455</v>
      </c>
      <c r="O88" t="s">
        <v>5867</v>
      </c>
    </row>
    <row r="89" spans="1:15" x14ac:dyDescent="0.25">
      <c r="A89" t="s">
        <v>6044</v>
      </c>
      <c r="B89" t="s">
        <v>41</v>
      </c>
      <c r="C89" t="s">
        <v>5357</v>
      </c>
      <c r="D89">
        <v>1</v>
      </c>
      <c r="E89" s="8" t="s">
        <v>6045</v>
      </c>
      <c r="F89" t="s">
        <v>6634</v>
      </c>
      <c r="G89" s="8" t="s">
        <v>6045</v>
      </c>
      <c r="H89" t="s">
        <v>6634</v>
      </c>
      <c r="I89">
        <v>0</v>
      </c>
      <c r="J89" t="s">
        <v>3455</v>
      </c>
      <c r="K89" t="s">
        <v>6044</v>
      </c>
      <c r="L89" t="s">
        <v>90</v>
      </c>
      <c r="M89" t="s">
        <v>3455</v>
      </c>
      <c r="N89" t="s">
        <v>3455</v>
      </c>
      <c r="O89" t="s">
        <v>6001</v>
      </c>
    </row>
    <row r="90" spans="1:15" x14ac:dyDescent="0.25">
      <c r="A90" t="s">
        <v>6046</v>
      </c>
      <c r="B90" t="s">
        <v>41</v>
      </c>
      <c r="C90" t="s">
        <v>5719</v>
      </c>
      <c r="D90">
        <v>1</v>
      </c>
      <c r="E90" s="8" t="s">
        <v>6047</v>
      </c>
      <c r="F90" t="s">
        <v>6635</v>
      </c>
      <c r="G90" s="8" t="s">
        <v>6048</v>
      </c>
      <c r="H90" t="s">
        <v>6636</v>
      </c>
      <c r="I90">
        <v>1</v>
      </c>
      <c r="J90" t="s">
        <v>6397</v>
      </c>
      <c r="K90" t="s">
        <v>6046</v>
      </c>
      <c r="L90" t="s">
        <v>90</v>
      </c>
      <c r="M90" t="s">
        <v>3455</v>
      </c>
      <c r="N90" t="s">
        <v>3455</v>
      </c>
      <c r="O90" t="s">
        <v>5732</v>
      </c>
    </row>
    <row r="91" spans="1:15" x14ac:dyDescent="0.25">
      <c r="A91" t="s">
        <v>6052</v>
      </c>
      <c r="B91" t="s">
        <v>41</v>
      </c>
      <c r="C91" t="s">
        <v>5719</v>
      </c>
      <c r="D91">
        <v>2</v>
      </c>
      <c r="E91" t="s">
        <v>6053</v>
      </c>
      <c r="F91" t="s">
        <v>6637</v>
      </c>
      <c r="G91" t="s">
        <v>6054</v>
      </c>
      <c r="H91" t="s">
        <v>6638</v>
      </c>
      <c r="I91">
        <v>2</v>
      </c>
      <c r="J91" t="s">
        <v>6420</v>
      </c>
      <c r="K91" t="s">
        <v>6055</v>
      </c>
      <c r="L91" t="s">
        <v>90</v>
      </c>
      <c r="M91" t="s">
        <v>3455</v>
      </c>
      <c r="N91" t="s">
        <v>3455</v>
      </c>
      <c r="O91" t="s">
        <v>6056</v>
      </c>
    </row>
    <row r="92" spans="1:15" x14ac:dyDescent="0.25">
      <c r="A92" t="s">
        <v>6057</v>
      </c>
      <c r="B92" t="s">
        <v>3511</v>
      </c>
      <c r="C92" t="s">
        <v>5719</v>
      </c>
      <c r="D92">
        <v>1</v>
      </c>
      <c r="E92" s="8" t="s">
        <v>6639</v>
      </c>
      <c r="F92" t="s">
        <v>6640</v>
      </c>
      <c r="G92" s="8" t="s">
        <v>6641</v>
      </c>
      <c r="H92" t="s">
        <v>6642</v>
      </c>
      <c r="I92">
        <v>1</v>
      </c>
      <c r="J92" t="s">
        <v>6397</v>
      </c>
      <c r="K92" t="s">
        <v>6060</v>
      </c>
      <c r="L92" t="s">
        <v>90</v>
      </c>
      <c r="M92" t="s">
        <v>3455</v>
      </c>
      <c r="N92" t="s">
        <v>3455</v>
      </c>
      <c r="O92" t="s">
        <v>6643</v>
      </c>
    </row>
    <row r="93" spans="1:15" x14ac:dyDescent="0.25">
      <c r="A93" t="s">
        <v>6061</v>
      </c>
      <c r="B93" t="s">
        <v>3511</v>
      </c>
      <c r="C93" t="s">
        <v>5719</v>
      </c>
      <c r="D93">
        <v>1</v>
      </c>
      <c r="E93" s="8" t="s">
        <v>6062</v>
      </c>
      <c r="F93" t="s">
        <v>6644</v>
      </c>
      <c r="G93" s="8" t="s">
        <v>6063</v>
      </c>
      <c r="H93" t="s">
        <v>6645</v>
      </c>
      <c r="I93">
        <v>1</v>
      </c>
      <c r="J93" t="s">
        <v>6414</v>
      </c>
      <c r="K93" t="s">
        <v>6061</v>
      </c>
      <c r="L93" t="s">
        <v>90</v>
      </c>
      <c r="M93" t="s">
        <v>3455</v>
      </c>
      <c r="N93" t="s">
        <v>5380</v>
      </c>
      <c r="O93" t="s">
        <v>6646</v>
      </c>
    </row>
    <row r="94" spans="1:15" x14ac:dyDescent="0.25">
      <c r="A94" t="s">
        <v>6064</v>
      </c>
      <c r="B94" t="s">
        <v>41</v>
      </c>
      <c r="C94" t="s">
        <v>5357</v>
      </c>
      <c r="D94">
        <v>1</v>
      </c>
      <c r="E94" s="8" t="s">
        <v>6647</v>
      </c>
      <c r="F94" t="s">
        <v>6648</v>
      </c>
      <c r="G94" s="8" t="s">
        <v>6649</v>
      </c>
      <c r="H94" t="s">
        <v>6650</v>
      </c>
      <c r="I94">
        <v>1</v>
      </c>
      <c r="J94" t="s">
        <v>3455</v>
      </c>
      <c r="K94" t="s">
        <v>6064</v>
      </c>
      <c r="L94" t="s">
        <v>90</v>
      </c>
      <c r="M94" t="s">
        <v>3455</v>
      </c>
      <c r="N94" t="s">
        <v>3455</v>
      </c>
      <c r="O94" t="s">
        <v>6067</v>
      </c>
    </row>
    <row r="95" spans="1:15" x14ac:dyDescent="0.25">
      <c r="A95" t="s">
        <v>6068</v>
      </c>
      <c r="B95" t="s">
        <v>3499</v>
      </c>
      <c r="C95" t="s">
        <v>5719</v>
      </c>
      <c r="D95">
        <v>2</v>
      </c>
      <c r="E95" s="8" t="s">
        <v>6069</v>
      </c>
      <c r="F95" t="s">
        <v>6651</v>
      </c>
      <c r="G95" s="8" t="s">
        <v>6070</v>
      </c>
      <c r="H95" t="s">
        <v>6652</v>
      </c>
      <c r="I95">
        <v>2</v>
      </c>
      <c r="J95" t="s">
        <v>6653</v>
      </c>
      <c r="K95" t="s">
        <v>6068</v>
      </c>
      <c r="L95" t="s">
        <v>90</v>
      </c>
      <c r="M95" t="s">
        <v>3455</v>
      </c>
      <c r="N95" t="s">
        <v>4258</v>
      </c>
      <c r="O95" t="s">
        <v>5856</v>
      </c>
    </row>
    <row r="96" spans="1:15" x14ac:dyDescent="0.25">
      <c r="A96" t="s">
        <v>6071</v>
      </c>
      <c r="B96" t="s">
        <v>3499</v>
      </c>
      <c r="C96" t="s">
        <v>5357</v>
      </c>
      <c r="D96">
        <v>2</v>
      </c>
      <c r="E96" s="8" t="s">
        <v>6072</v>
      </c>
      <c r="F96" t="s">
        <v>6654</v>
      </c>
      <c r="G96" s="8" t="s">
        <v>6073</v>
      </c>
      <c r="H96" t="s">
        <v>6655</v>
      </c>
      <c r="I96">
        <v>2</v>
      </c>
      <c r="J96" t="s">
        <v>3455</v>
      </c>
      <c r="K96" t="s">
        <v>6071</v>
      </c>
      <c r="L96" t="s">
        <v>90</v>
      </c>
      <c r="M96" t="s">
        <v>5493</v>
      </c>
      <c r="N96" t="s">
        <v>3455</v>
      </c>
      <c r="O96" t="s">
        <v>5996</v>
      </c>
    </row>
    <row r="97" spans="1:15" x14ac:dyDescent="0.25">
      <c r="A97" t="s">
        <v>6074</v>
      </c>
      <c r="B97" t="s">
        <v>3511</v>
      </c>
      <c r="C97" t="s">
        <v>5357</v>
      </c>
      <c r="D97">
        <v>1</v>
      </c>
      <c r="E97" s="8" t="s">
        <v>6075</v>
      </c>
      <c r="F97" t="s">
        <v>6656</v>
      </c>
      <c r="G97" s="8" t="s">
        <v>6075</v>
      </c>
      <c r="H97" t="s">
        <v>6656</v>
      </c>
      <c r="I97">
        <v>0</v>
      </c>
      <c r="J97" t="s">
        <v>3455</v>
      </c>
      <c r="K97" t="s">
        <v>6076</v>
      </c>
      <c r="L97" t="s">
        <v>90</v>
      </c>
      <c r="M97" t="s">
        <v>5493</v>
      </c>
      <c r="N97" t="s">
        <v>3455</v>
      </c>
      <c r="O97" t="s">
        <v>6077</v>
      </c>
    </row>
    <row r="98" spans="1:15" x14ac:dyDescent="0.25">
      <c r="A98" t="s">
        <v>6082</v>
      </c>
      <c r="B98" t="s">
        <v>3511</v>
      </c>
      <c r="C98" t="s">
        <v>4594</v>
      </c>
      <c r="D98">
        <v>1</v>
      </c>
      <c r="E98" t="s">
        <v>6083</v>
      </c>
      <c r="F98" t="s">
        <v>6657</v>
      </c>
      <c r="G98" t="s">
        <v>6084</v>
      </c>
      <c r="H98" t="s">
        <v>6658</v>
      </c>
      <c r="I98">
        <v>1</v>
      </c>
      <c r="J98" t="s">
        <v>3455</v>
      </c>
      <c r="K98" t="s">
        <v>6082</v>
      </c>
      <c r="L98" t="s">
        <v>90</v>
      </c>
      <c r="M98" t="s">
        <v>3455</v>
      </c>
      <c r="N98" t="s">
        <v>3455</v>
      </c>
      <c r="O98" t="s">
        <v>5924</v>
      </c>
    </row>
    <row r="99" spans="1:15" x14ac:dyDescent="0.25">
      <c r="A99" t="s">
        <v>4250</v>
      </c>
      <c r="B99" t="s">
        <v>4294</v>
      </c>
      <c r="C99" t="s">
        <v>4242</v>
      </c>
      <c r="D99" t="s">
        <v>3994</v>
      </c>
      <c r="E99" t="s">
        <v>6085</v>
      </c>
      <c r="F99" t="s">
        <v>4212</v>
      </c>
      <c r="G99" t="s">
        <v>3455</v>
      </c>
      <c r="H99" t="s">
        <v>3455</v>
      </c>
      <c r="I99" t="s">
        <v>3455</v>
      </c>
      <c r="J99" t="s">
        <v>3455</v>
      </c>
      <c r="K99" t="s">
        <v>4250</v>
      </c>
      <c r="L99" t="s">
        <v>90</v>
      </c>
      <c r="M99" t="s">
        <v>5460</v>
      </c>
      <c r="N99" t="s">
        <v>3455</v>
      </c>
      <c r="O99" t="s">
        <v>5867</v>
      </c>
    </row>
    <row r="100" spans="1:15" x14ac:dyDescent="0.25">
      <c r="A100" t="s">
        <v>6086</v>
      </c>
      <c r="B100" t="s">
        <v>3511</v>
      </c>
      <c r="C100" t="s">
        <v>5357</v>
      </c>
      <c r="D100">
        <v>0</v>
      </c>
      <c r="E100" s="8" t="s">
        <v>6087</v>
      </c>
      <c r="F100" t="s">
        <v>6659</v>
      </c>
      <c r="G100" s="8" t="s">
        <v>6088</v>
      </c>
      <c r="H100" t="s">
        <v>6660</v>
      </c>
      <c r="I100">
        <v>0</v>
      </c>
      <c r="J100" t="s">
        <v>3455</v>
      </c>
      <c r="K100" t="s">
        <v>6086</v>
      </c>
      <c r="L100" t="s">
        <v>90</v>
      </c>
      <c r="M100" t="s">
        <v>5493</v>
      </c>
      <c r="N100" t="s">
        <v>3455</v>
      </c>
      <c r="O100" t="s">
        <v>5934</v>
      </c>
    </row>
    <row r="101" spans="1:15" x14ac:dyDescent="0.25">
      <c r="A101" t="s">
        <v>6089</v>
      </c>
      <c r="B101" t="s">
        <v>41</v>
      </c>
      <c r="C101" t="s">
        <v>5719</v>
      </c>
      <c r="D101">
        <v>1</v>
      </c>
      <c r="E101" t="s">
        <v>6090</v>
      </c>
      <c r="F101" t="s">
        <v>6661</v>
      </c>
      <c r="G101" t="s">
        <v>6091</v>
      </c>
      <c r="H101" t="s">
        <v>6662</v>
      </c>
      <c r="I101">
        <v>1</v>
      </c>
      <c r="J101" t="s">
        <v>6663</v>
      </c>
      <c r="K101" t="s">
        <v>6092</v>
      </c>
      <c r="L101" t="s">
        <v>90</v>
      </c>
      <c r="M101" t="s">
        <v>3455</v>
      </c>
      <c r="N101" t="s">
        <v>3455</v>
      </c>
      <c r="O101" t="s">
        <v>6093</v>
      </c>
    </row>
    <row r="102" spans="1:15" x14ac:dyDescent="0.25">
      <c r="A102" t="s">
        <v>6104</v>
      </c>
      <c r="B102" t="s">
        <v>41</v>
      </c>
      <c r="C102" t="s">
        <v>5357</v>
      </c>
      <c r="D102">
        <v>1</v>
      </c>
      <c r="E102" t="s">
        <v>6105</v>
      </c>
      <c r="F102" t="s">
        <v>6664</v>
      </c>
      <c r="G102" t="s">
        <v>6106</v>
      </c>
      <c r="H102" t="s">
        <v>6665</v>
      </c>
      <c r="I102">
        <v>1</v>
      </c>
      <c r="J102" t="s">
        <v>3455</v>
      </c>
      <c r="K102" t="s">
        <v>6104</v>
      </c>
      <c r="L102" t="s">
        <v>90</v>
      </c>
      <c r="M102" t="s">
        <v>3455</v>
      </c>
      <c r="N102" t="s">
        <v>3455</v>
      </c>
      <c r="O102" t="s">
        <v>5816</v>
      </c>
    </row>
    <row r="103" spans="1:15" x14ac:dyDescent="0.25">
      <c r="A103" t="s">
        <v>6107</v>
      </c>
      <c r="B103" t="s">
        <v>3511</v>
      </c>
      <c r="C103" t="s">
        <v>5357</v>
      </c>
      <c r="D103">
        <v>2</v>
      </c>
      <c r="E103" s="8" t="s">
        <v>6666</v>
      </c>
      <c r="F103" t="s">
        <v>6667</v>
      </c>
      <c r="G103" s="8" t="s">
        <v>6668</v>
      </c>
      <c r="H103" t="s">
        <v>6669</v>
      </c>
      <c r="I103">
        <v>2</v>
      </c>
      <c r="J103" t="s">
        <v>3455</v>
      </c>
      <c r="K103" t="s">
        <v>6110</v>
      </c>
      <c r="L103" t="s">
        <v>90</v>
      </c>
      <c r="M103" t="s">
        <v>3455</v>
      </c>
      <c r="N103" t="s">
        <v>3455</v>
      </c>
      <c r="O103" t="s">
        <v>6111</v>
      </c>
    </row>
    <row r="104" spans="1:15" x14ac:dyDescent="0.25">
      <c r="A104" t="s">
        <v>4690</v>
      </c>
      <c r="B104" t="s">
        <v>41</v>
      </c>
      <c r="C104" t="s">
        <v>5719</v>
      </c>
      <c r="D104">
        <v>2</v>
      </c>
      <c r="E104" t="s">
        <v>6670</v>
      </c>
      <c r="F104" t="s">
        <v>6671</v>
      </c>
      <c r="G104" t="s">
        <v>6670</v>
      </c>
      <c r="H104" t="s">
        <v>6671</v>
      </c>
      <c r="I104">
        <v>2</v>
      </c>
      <c r="J104" t="s">
        <v>6672</v>
      </c>
      <c r="K104" t="s">
        <v>4693</v>
      </c>
      <c r="L104" t="s">
        <v>1046</v>
      </c>
      <c r="M104" t="s">
        <v>3455</v>
      </c>
      <c r="N104" t="s">
        <v>4258</v>
      </c>
      <c r="O104" t="s">
        <v>5752</v>
      </c>
    </row>
    <row r="105" spans="1:15" x14ac:dyDescent="0.25">
      <c r="A105" t="s">
        <v>6113</v>
      </c>
      <c r="B105" t="s">
        <v>3499</v>
      </c>
      <c r="C105" t="s">
        <v>5357</v>
      </c>
      <c r="D105">
        <v>1</v>
      </c>
      <c r="E105" s="8" t="s">
        <v>6114</v>
      </c>
      <c r="F105" t="s">
        <v>6673</v>
      </c>
      <c r="G105" s="8" t="s">
        <v>6115</v>
      </c>
      <c r="H105" t="s">
        <v>6674</v>
      </c>
      <c r="I105">
        <v>1</v>
      </c>
      <c r="J105" t="s">
        <v>3455</v>
      </c>
      <c r="K105" t="s">
        <v>6116</v>
      </c>
      <c r="L105" t="s">
        <v>90</v>
      </c>
      <c r="M105" t="s">
        <v>3455</v>
      </c>
      <c r="N105" t="s">
        <v>3455</v>
      </c>
      <c r="O105" t="s">
        <v>5924</v>
      </c>
    </row>
    <row r="106" spans="1:15" x14ac:dyDescent="0.25">
      <c r="A106" t="s">
        <v>4699</v>
      </c>
      <c r="B106" t="s">
        <v>41</v>
      </c>
      <c r="C106" t="s">
        <v>5719</v>
      </c>
      <c r="D106">
        <v>1</v>
      </c>
      <c r="E106" s="8" t="s">
        <v>6675</v>
      </c>
      <c r="F106" t="s">
        <v>6676</v>
      </c>
      <c r="G106" s="8" t="s">
        <v>6675</v>
      </c>
      <c r="H106" t="s">
        <v>6676</v>
      </c>
      <c r="I106">
        <v>1</v>
      </c>
      <c r="J106" t="s">
        <v>6414</v>
      </c>
      <c r="K106" t="s">
        <v>4702</v>
      </c>
      <c r="L106" t="s">
        <v>1046</v>
      </c>
      <c r="M106" t="s">
        <v>3455</v>
      </c>
      <c r="N106" t="s">
        <v>3455</v>
      </c>
      <c r="O106" t="s">
        <v>5752</v>
      </c>
    </row>
    <row r="107" spans="1:15" x14ac:dyDescent="0.25">
      <c r="A107" t="s">
        <v>6125</v>
      </c>
      <c r="B107" t="s">
        <v>3499</v>
      </c>
      <c r="C107" t="s">
        <v>5357</v>
      </c>
      <c r="D107" t="s">
        <v>5943</v>
      </c>
      <c r="E107" s="8" t="s">
        <v>6677</v>
      </c>
      <c r="F107" t="s">
        <v>6678</v>
      </c>
      <c r="G107" s="8" t="s">
        <v>6679</v>
      </c>
      <c r="H107" t="s">
        <v>6680</v>
      </c>
      <c r="I107" t="s">
        <v>5943</v>
      </c>
      <c r="J107" t="s">
        <v>3455</v>
      </c>
      <c r="K107" t="s">
        <v>6125</v>
      </c>
      <c r="L107" t="s">
        <v>90</v>
      </c>
      <c r="M107" t="s">
        <v>5493</v>
      </c>
      <c r="N107" t="s">
        <v>3455</v>
      </c>
      <c r="O107" t="s">
        <v>6128</v>
      </c>
    </row>
    <row r="108" spans="1:15" x14ac:dyDescent="0.25">
      <c r="A108" t="s">
        <v>6129</v>
      </c>
      <c r="B108" t="s">
        <v>3511</v>
      </c>
      <c r="C108" t="s">
        <v>5719</v>
      </c>
      <c r="D108">
        <v>0</v>
      </c>
      <c r="E108" s="8" t="s">
        <v>6130</v>
      </c>
      <c r="F108" t="s">
        <v>6681</v>
      </c>
      <c r="G108" s="8" t="s">
        <v>6131</v>
      </c>
      <c r="H108" t="s">
        <v>6682</v>
      </c>
      <c r="I108">
        <v>0</v>
      </c>
      <c r="J108" t="s">
        <v>6389</v>
      </c>
      <c r="K108" t="s">
        <v>6132</v>
      </c>
      <c r="L108" t="s">
        <v>90</v>
      </c>
      <c r="M108" t="s">
        <v>3455</v>
      </c>
      <c r="N108" t="s">
        <v>3455</v>
      </c>
      <c r="O108" t="s">
        <v>5774</v>
      </c>
    </row>
    <row r="109" spans="1:15" x14ac:dyDescent="0.25">
      <c r="A109" t="s">
        <v>5694</v>
      </c>
      <c r="B109" t="s">
        <v>3543</v>
      </c>
      <c r="C109" t="s">
        <v>5719</v>
      </c>
      <c r="D109">
        <v>0</v>
      </c>
      <c r="E109" t="s">
        <v>6142</v>
      </c>
      <c r="F109" t="s">
        <v>6683</v>
      </c>
      <c r="G109" t="s">
        <v>6143</v>
      </c>
      <c r="H109" t="s">
        <v>6684</v>
      </c>
      <c r="I109">
        <v>0</v>
      </c>
      <c r="J109" t="s">
        <v>6397</v>
      </c>
      <c r="K109" t="s">
        <v>5694</v>
      </c>
      <c r="L109" t="s">
        <v>90</v>
      </c>
      <c r="M109" t="s">
        <v>3455</v>
      </c>
      <c r="N109" t="s">
        <v>3455</v>
      </c>
      <c r="O109" t="s">
        <v>5750</v>
      </c>
    </row>
    <row r="110" spans="1:15" x14ac:dyDescent="0.25">
      <c r="A110" t="s">
        <v>6144</v>
      </c>
      <c r="B110" t="s">
        <v>3499</v>
      </c>
      <c r="C110" t="s">
        <v>5357</v>
      </c>
      <c r="D110">
        <v>3</v>
      </c>
      <c r="E110" s="8" t="s">
        <v>6685</v>
      </c>
      <c r="F110" t="s">
        <v>6686</v>
      </c>
      <c r="G110" s="8" t="s">
        <v>6685</v>
      </c>
      <c r="H110" t="s">
        <v>6686</v>
      </c>
      <c r="I110">
        <v>2</v>
      </c>
      <c r="J110" t="s">
        <v>3455</v>
      </c>
      <c r="K110" t="s">
        <v>6144</v>
      </c>
      <c r="L110" t="s">
        <v>90</v>
      </c>
      <c r="M110" t="s">
        <v>3455</v>
      </c>
      <c r="N110" t="s">
        <v>3455</v>
      </c>
      <c r="O110" t="s">
        <v>5989</v>
      </c>
    </row>
    <row r="111" spans="1:15" x14ac:dyDescent="0.25">
      <c r="A111" t="s">
        <v>6150</v>
      </c>
      <c r="B111" t="s">
        <v>3499</v>
      </c>
      <c r="C111" t="s">
        <v>5357</v>
      </c>
      <c r="D111">
        <v>0</v>
      </c>
      <c r="E111" s="8" t="s">
        <v>6151</v>
      </c>
      <c r="F111" t="s">
        <v>6687</v>
      </c>
      <c r="G111" s="8" t="s">
        <v>6152</v>
      </c>
      <c r="H111" t="s">
        <v>6688</v>
      </c>
      <c r="I111">
        <v>0</v>
      </c>
      <c r="J111" t="s">
        <v>3455</v>
      </c>
      <c r="K111" t="s">
        <v>6150</v>
      </c>
      <c r="L111" t="s">
        <v>90</v>
      </c>
      <c r="M111" t="s">
        <v>5493</v>
      </c>
      <c r="N111" t="s">
        <v>3455</v>
      </c>
      <c r="O111" t="s">
        <v>6153</v>
      </c>
    </row>
    <row r="112" spans="1:15" x14ac:dyDescent="0.25">
      <c r="A112" t="s">
        <v>6154</v>
      </c>
      <c r="B112" t="s">
        <v>41</v>
      </c>
      <c r="C112" t="s">
        <v>5357</v>
      </c>
      <c r="D112">
        <v>1</v>
      </c>
      <c r="E112" s="8" t="s">
        <v>6155</v>
      </c>
      <c r="F112" t="s">
        <v>6689</v>
      </c>
      <c r="G112" s="8" t="s">
        <v>6156</v>
      </c>
      <c r="H112" t="s">
        <v>6690</v>
      </c>
      <c r="I112">
        <v>1</v>
      </c>
      <c r="J112" t="s">
        <v>3455</v>
      </c>
      <c r="K112" t="s">
        <v>6154</v>
      </c>
      <c r="L112" t="s">
        <v>90</v>
      </c>
      <c r="M112" t="s">
        <v>3455</v>
      </c>
      <c r="N112" t="s">
        <v>3455</v>
      </c>
      <c r="O112" t="s">
        <v>5820</v>
      </c>
    </row>
    <row r="113" spans="1:15" x14ac:dyDescent="0.25">
      <c r="A113" t="s">
        <v>6157</v>
      </c>
      <c r="B113" t="s">
        <v>4294</v>
      </c>
      <c r="C113" t="s">
        <v>4242</v>
      </c>
      <c r="D113" t="s">
        <v>3994</v>
      </c>
      <c r="E113" t="s">
        <v>6158</v>
      </c>
      <c r="F113" t="s">
        <v>6691</v>
      </c>
      <c r="G113" t="s">
        <v>3455</v>
      </c>
      <c r="H113" t="s">
        <v>3455</v>
      </c>
      <c r="I113" t="s">
        <v>3455</v>
      </c>
      <c r="J113" t="s">
        <v>3455</v>
      </c>
      <c r="K113" t="s">
        <v>6157</v>
      </c>
      <c r="L113" t="s">
        <v>90</v>
      </c>
      <c r="M113" t="s">
        <v>5460</v>
      </c>
      <c r="N113" t="s">
        <v>3455</v>
      </c>
      <c r="O113" t="s">
        <v>5867</v>
      </c>
    </row>
    <row r="114" spans="1:15" x14ac:dyDescent="0.25">
      <c r="A114" t="s">
        <v>6159</v>
      </c>
      <c r="B114" t="s">
        <v>41</v>
      </c>
      <c r="C114" t="s">
        <v>5719</v>
      </c>
      <c r="D114">
        <v>2</v>
      </c>
      <c r="E114" s="8" t="s">
        <v>6160</v>
      </c>
      <c r="F114" t="s">
        <v>6692</v>
      </c>
      <c r="G114" s="8" t="s">
        <v>6161</v>
      </c>
      <c r="H114" t="s">
        <v>6693</v>
      </c>
      <c r="I114">
        <v>2</v>
      </c>
      <c r="J114" t="s">
        <v>6406</v>
      </c>
      <c r="K114" t="s">
        <v>6162</v>
      </c>
      <c r="L114" t="s">
        <v>90</v>
      </c>
      <c r="M114" t="s">
        <v>3455</v>
      </c>
      <c r="N114" t="s">
        <v>3455</v>
      </c>
      <c r="O114" t="s">
        <v>6056</v>
      </c>
    </row>
    <row r="115" spans="1:15" x14ac:dyDescent="0.25">
      <c r="A115" t="s">
        <v>6163</v>
      </c>
      <c r="B115" t="s">
        <v>3499</v>
      </c>
      <c r="C115" t="s">
        <v>5357</v>
      </c>
      <c r="D115">
        <v>1</v>
      </c>
      <c r="E115" s="8" t="s">
        <v>6164</v>
      </c>
      <c r="F115" t="s">
        <v>6694</v>
      </c>
      <c r="G115" s="8" t="s">
        <v>6164</v>
      </c>
      <c r="H115" t="s">
        <v>6694</v>
      </c>
      <c r="I115">
        <v>0</v>
      </c>
      <c r="J115" t="s">
        <v>3455</v>
      </c>
      <c r="K115" t="s">
        <v>6165</v>
      </c>
      <c r="L115" t="s">
        <v>90</v>
      </c>
      <c r="M115" t="s">
        <v>3455</v>
      </c>
      <c r="N115" t="s">
        <v>3455</v>
      </c>
      <c r="O115" t="s">
        <v>5774</v>
      </c>
    </row>
    <row r="116" spans="1:15" x14ac:dyDescent="0.25">
      <c r="A116" t="s">
        <v>6166</v>
      </c>
      <c r="B116" t="s">
        <v>41</v>
      </c>
      <c r="C116" t="s">
        <v>5357</v>
      </c>
      <c r="D116">
        <v>1</v>
      </c>
      <c r="E116" s="8" t="s">
        <v>6695</v>
      </c>
      <c r="F116" t="s">
        <v>6696</v>
      </c>
      <c r="G116" s="8" t="s">
        <v>6697</v>
      </c>
      <c r="H116" t="s">
        <v>6698</v>
      </c>
      <c r="I116">
        <v>1</v>
      </c>
      <c r="J116" t="s">
        <v>3455</v>
      </c>
      <c r="K116" t="s">
        <v>6169</v>
      </c>
      <c r="L116" t="s">
        <v>90</v>
      </c>
      <c r="M116" t="s">
        <v>5493</v>
      </c>
      <c r="N116" t="s">
        <v>3455</v>
      </c>
      <c r="O116" t="s">
        <v>6128</v>
      </c>
    </row>
    <row r="117" spans="1:15" x14ac:dyDescent="0.25">
      <c r="A117" t="s">
        <v>6170</v>
      </c>
      <c r="B117" t="s">
        <v>41</v>
      </c>
      <c r="C117" t="s">
        <v>5719</v>
      </c>
      <c r="D117">
        <v>1</v>
      </c>
      <c r="E117" s="8" t="s">
        <v>6171</v>
      </c>
      <c r="F117" t="s">
        <v>6699</v>
      </c>
      <c r="G117" s="8" t="s">
        <v>6172</v>
      </c>
      <c r="H117" t="s">
        <v>6700</v>
      </c>
      <c r="I117">
        <v>1</v>
      </c>
      <c r="J117" t="s">
        <v>6397</v>
      </c>
      <c r="K117" t="s">
        <v>6173</v>
      </c>
      <c r="L117" t="s">
        <v>90</v>
      </c>
      <c r="M117" t="s">
        <v>3455</v>
      </c>
      <c r="N117" t="s">
        <v>5251</v>
      </c>
      <c r="O117" t="s">
        <v>5750</v>
      </c>
    </row>
    <row r="118" spans="1:15" x14ac:dyDescent="0.25">
      <c r="A118" t="s">
        <v>6174</v>
      </c>
      <c r="B118" t="s">
        <v>41</v>
      </c>
      <c r="C118" t="s">
        <v>5719</v>
      </c>
      <c r="D118">
        <v>1</v>
      </c>
      <c r="E118" t="s">
        <v>6175</v>
      </c>
      <c r="F118" t="s">
        <v>6701</v>
      </c>
      <c r="G118" t="s">
        <v>6176</v>
      </c>
      <c r="H118" t="s">
        <v>6702</v>
      </c>
      <c r="I118">
        <v>1</v>
      </c>
      <c r="J118" t="s">
        <v>6406</v>
      </c>
      <c r="K118" t="s">
        <v>6177</v>
      </c>
      <c r="L118" t="s">
        <v>90</v>
      </c>
      <c r="M118" t="s">
        <v>3455</v>
      </c>
      <c r="N118" t="s">
        <v>3455</v>
      </c>
      <c r="O118" t="s">
        <v>6703</v>
      </c>
    </row>
    <row r="119" spans="1:15" x14ac:dyDescent="0.25">
      <c r="A119" t="s">
        <v>6179</v>
      </c>
      <c r="B119" t="s">
        <v>3511</v>
      </c>
      <c r="C119" t="s">
        <v>5357</v>
      </c>
      <c r="D119">
        <v>1</v>
      </c>
      <c r="E119" s="8" t="s">
        <v>6180</v>
      </c>
      <c r="F119" t="s">
        <v>6704</v>
      </c>
      <c r="G119" s="8" t="s">
        <v>6181</v>
      </c>
      <c r="H119" t="s">
        <v>6705</v>
      </c>
      <c r="I119">
        <v>1</v>
      </c>
      <c r="J119" t="s">
        <v>3455</v>
      </c>
      <c r="K119" t="s">
        <v>6182</v>
      </c>
      <c r="L119" t="s">
        <v>90</v>
      </c>
      <c r="M119" t="s">
        <v>3455</v>
      </c>
      <c r="N119" t="s">
        <v>3455</v>
      </c>
      <c r="O119" t="s">
        <v>6183</v>
      </c>
    </row>
    <row r="120" spans="1:15" x14ac:dyDescent="0.25">
      <c r="A120" t="s">
        <v>6184</v>
      </c>
      <c r="B120" t="s">
        <v>41</v>
      </c>
      <c r="C120" t="s">
        <v>5719</v>
      </c>
      <c r="D120">
        <v>2</v>
      </c>
      <c r="E120" s="8" t="s">
        <v>6706</v>
      </c>
      <c r="F120" t="s">
        <v>6707</v>
      </c>
      <c r="G120" s="8" t="s">
        <v>6708</v>
      </c>
      <c r="H120" t="s">
        <v>6709</v>
      </c>
      <c r="I120" t="s">
        <v>3455</v>
      </c>
      <c r="J120" t="s">
        <v>6389</v>
      </c>
      <c r="K120" t="s">
        <v>6184</v>
      </c>
      <c r="L120" t="s">
        <v>90</v>
      </c>
      <c r="M120" t="s">
        <v>3455</v>
      </c>
      <c r="N120" t="s">
        <v>3455</v>
      </c>
      <c r="O120" t="s">
        <v>6202</v>
      </c>
    </row>
    <row r="121" spans="1:15" x14ac:dyDescent="0.25">
      <c r="A121" t="s">
        <v>6187</v>
      </c>
      <c r="B121" t="s">
        <v>41</v>
      </c>
      <c r="C121" t="s">
        <v>5357</v>
      </c>
      <c r="D121">
        <v>0</v>
      </c>
      <c r="E121" s="8" t="s">
        <v>6188</v>
      </c>
      <c r="F121" t="s">
        <v>6710</v>
      </c>
      <c r="G121" s="8" t="s">
        <v>6189</v>
      </c>
      <c r="H121" t="s">
        <v>6711</v>
      </c>
      <c r="I121" t="s">
        <v>3455</v>
      </c>
      <c r="J121" t="s">
        <v>3455</v>
      </c>
      <c r="K121" t="s">
        <v>6187</v>
      </c>
      <c r="L121" t="s">
        <v>90</v>
      </c>
      <c r="M121" t="s">
        <v>3455</v>
      </c>
      <c r="N121" t="s">
        <v>3455</v>
      </c>
      <c r="O121" t="s">
        <v>5705</v>
      </c>
    </row>
    <row r="122" spans="1:15" x14ac:dyDescent="0.25">
      <c r="A122" t="s">
        <v>5116</v>
      </c>
      <c r="B122" t="s">
        <v>4294</v>
      </c>
      <c r="C122" t="s">
        <v>4242</v>
      </c>
      <c r="D122">
        <v>1</v>
      </c>
      <c r="E122" s="3" t="s">
        <v>6712</v>
      </c>
      <c r="F122" t="s">
        <v>6713</v>
      </c>
      <c r="G122" t="s">
        <v>3455</v>
      </c>
      <c r="H122" t="s">
        <v>3455</v>
      </c>
      <c r="I122" t="s">
        <v>3455</v>
      </c>
      <c r="J122" t="s">
        <v>3455</v>
      </c>
      <c r="K122" t="s">
        <v>5116</v>
      </c>
      <c r="L122" t="s">
        <v>90</v>
      </c>
      <c r="M122" t="s">
        <v>6404</v>
      </c>
      <c r="N122" t="s">
        <v>3455</v>
      </c>
      <c r="O122" t="s">
        <v>5867</v>
      </c>
    </row>
    <row r="123" spans="1:15" x14ac:dyDescent="0.25">
      <c r="A123" t="s">
        <v>6190</v>
      </c>
      <c r="B123" t="s">
        <v>3511</v>
      </c>
      <c r="C123" t="s">
        <v>5719</v>
      </c>
      <c r="D123">
        <v>1</v>
      </c>
      <c r="E123" s="8" t="s">
        <v>6191</v>
      </c>
      <c r="F123" t="s">
        <v>6714</v>
      </c>
      <c r="G123" s="8" t="s">
        <v>6192</v>
      </c>
      <c r="H123" t="s">
        <v>6715</v>
      </c>
      <c r="I123">
        <v>1</v>
      </c>
      <c r="J123" t="s">
        <v>6397</v>
      </c>
      <c r="K123" t="s">
        <v>6190</v>
      </c>
      <c r="L123" t="s">
        <v>90</v>
      </c>
      <c r="M123" t="s">
        <v>5493</v>
      </c>
      <c r="N123" t="s">
        <v>3455</v>
      </c>
      <c r="O123" t="s">
        <v>6001</v>
      </c>
    </row>
    <row r="124" spans="1:15" x14ac:dyDescent="0.25">
      <c r="A124" t="s">
        <v>5141</v>
      </c>
      <c r="B124" t="s">
        <v>4294</v>
      </c>
      <c r="C124" t="s">
        <v>4242</v>
      </c>
      <c r="D124" t="s">
        <v>3994</v>
      </c>
      <c r="E124" t="s">
        <v>6193</v>
      </c>
      <c r="F124" t="s">
        <v>6716</v>
      </c>
      <c r="G124" t="s">
        <v>3455</v>
      </c>
      <c r="H124" t="s">
        <v>3455</v>
      </c>
      <c r="I124" t="s">
        <v>3455</v>
      </c>
      <c r="J124" t="s">
        <v>3455</v>
      </c>
      <c r="K124" t="s">
        <v>6194</v>
      </c>
      <c r="L124" t="s">
        <v>1649</v>
      </c>
      <c r="M124" t="s">
        <v>5460</v>
      </c>
      <c r="N124" t="s">
        <v>3455</v>
      </c>
    </row>
    <row r="125" spans="1:15" x14ac:dyDescent="0.25">
      <c r="A125" t="s">
        <v>6198</v>
      </c>
      <c r="B125" t="s">
        <v>41</v>
      </c>
      <c r="C125" t="s">
        <v>5719</v>
      </c>
      <c r="D125">
        <v>1</v>
      </c>
      <c r="E125" s="8" t="s">
        <v>6199</v>
      </c>
      <c r="F125" t="s">
        <v>6717</v>
      </c>
      <c r="G125" s="8" t="s">
        <v>6200</v>
      </c>
      <c r="H125" t="s">
        <v>6718</v>
      </c>
      <c r="I125">
        <v>1</v>
      </c>
      <c r="J125" t="s">
        <v>6481</v>
      </c>
      <c r="K125" t="s">
        <v>6201</v>
      </c>
      <c r="L125" t="s">
        <v>90</v>
      </c>
      <c r="M125" t="s">
        <v>3455</v>
      </c>
      <c r="N125" t="s">
        <v>3455</v>
      </c>
      <c r="O125" t="s">
        <v>6202</v>
      </c>
    </row>
    <row r="126" spans="1:15" x14ac:dyDescent="0.25">
      <c r="A126" t="s">
        <v>5359</v>
      </c>
      <c r="B126" t="s">
        <v>3511</v>
      </c>
      <c r="C126" t="s">
        <v>5357</v>
      </c>
      <c r="D126">
        <v>0</v>
      </c>
      <c r="E126" s="8" t="s">
        <v>6203</v>
      </c>
      <c r="F126" t="s">
        <v>6719</v>
      </c>
      <c r="G126" s="8" t="s">
        <v>6204</v>
      </c>
      <c r="H126" t="s">
        <v>6720</v>
      </c>
      <c r="I126">
        <v>0</v>
      </c>
      <c r="J126" t="s">
        <v>3455</v>
      </c>
      <c r="K126" t="s">
        <v>5359</v>
      </c>
      <c r="L126" t="s">
        <v>90</v>
      </c>
      <c r="M126" t="s">
        <v>3455</v>
      </c>
      <c r="N126" t="s">
        <v>3455</v>
      </c>
      <c r="O126" t="s">
        <v>5736</v>
      </c>
    </row>
    <row r="127" spans="1:15" x14ac:dyDescent="0.25">
      <c r="A127" t="s">
        <v>6205</v>
      </c>
      <c r="B127" t="s">
        <v>3511</v>
      </c>
      <c r="C127" t="s">
        <v>5719</v>
      </c>
      <c r="D127">
        <v>1</v>
      </c>
      <c r="E127" s="8" t="s">
        <v>6206</v>
      </c>
      <c r="F127" t="s">
        <v>6721</v>
      </c>
      <c r="G127" s="8" t="s">
        <v>6207</v>
      </c>
      <c r="H127" t="s">
        <v>6722</v>
      </c>
      <c r="I127">
        <v>1</v>
      </c>
      <c r="J127" t="s">
        <v>6481</v>
      </c>
      <c r="K127" t="s">
        <v>6205</v>
      </c>
      <c r="L127" t="s">
        <v>90</v>
      </c>
      <c r="M127" t="s">
        <v>3455</v>
      </c>
      <c r="N127" t="s">
        <v>3455</v>
      </c>
      <c r="O127" t="s">
        <v>6056</v>
      </c>
    </row>
    <row r="128" spans="1:15" x14ac:dyDescent="0.25">
      <c r="A128" t="s">
        <v>6209</v>
      </c>
      <c r="B128" t="s">
        <v>3499</v>
      </c>
      <c r="C128" t="s">
        <v>5719</v>
      </c>
      <c r="D128">
        <v>2</v>
      </c>
      <c r="E128" t="s">
        <v>6210</v>
      </c>
      <c r="F128" t="s">
        <v>6723</v>
      </c>
      <c r="G128" t="s">
        <v>6211</v>
      </c>
      <c r="H128" t="s">
        <v>6724</v>
      </c>
      <c r="I128">
        <v>2</v>
      </c>
      <c r="J128" t="s">
        <v>6486</v>
      </c>
      <c r="K128" t="s">
        <v>6209</v>
      </c>
      <c r="L128" t="s">
        <v>90</v>
      </c>
      <c r="M128" t="s">
        <v>6725</v>
      </c>
      <c r="N128" t="s">
        <v>3455</v>
      </c>
      <c r="O128" t="s">
        <v>5993</v>
      </c>
    </row>
    <row r="129" spans="1:15" x14ac:dyDescent="0.25">
      <c r="A129" t="s">
        <v>6212</v>
      </c>
      <c r="B129" t="s">
        <v>3511</v>
      </c>
      <c r="C129" t="s">
        <v>5719</v>
      </c>
      <c r="D129">
        <v>0</v>
      </c>
      <c r="E129" s="8" t="s">
        <v>6726</v>
      </c>
      <c r="F129" t="s">
        <v>6727</v>
      </c>
      <c r="G129" s="8" t="s">
        <v>6728</v>
      </c>
      <c r="H129" t="s">
        <v>6729</v>
      </c>
      <c r="I129">
        <v>0</v>
      </c>
      <c r="J129" t="s">
        <v>6447</v>
      </c>
      <c r="K129" t="s">
        <v>6215</v>
      </c>
      <c r="L129" t="s">
        <v>90</v>
      </c>
      <c r="M129" t="s">
        <v>3455</v>
      </c>
      <c r="N129" t="s">
        <v>3455</v>
      </c>
      <c r="O129" t="s">
        <v>6216</v>
      </c>
    </row>
    <row r="130" spans="1:15" x14ac:dyDescent="0.25">
      <c r="A130" t="s">
        <v>6220</v>
      </c>
      <c r="B130" t="s">
        <v>3511</v>
      </c>
      <c r="C130" t="s">
        <v>5357</v>
      </c>
      <c r="D130" t="s">
        <v>3994</v>
      </c>
      <c r="E130" t="s">
        <v>6221</v>
      </c>
      <c r="F130" t="s">
        <v>6730</v>
      </c>
      <c r="G130" t="s">
        <v>6222</v>
      </c>
      <c r="H130" t="s">
        <v>6731</v>
      </c>
      <c r="I130" t="s">
        <v>3994</v>
      </c>
      <c r="J130" t="s">
        <v>3455</v>
      </c>
      <c r="K130" t="s">
        <v>6220</v>
      </c>
      <c r="L130" t="s">
        <v>90</v>
      </c>
      <c r="M130" t="s">
        <v>5458</v>
      </c>
      <c r="N130" t="s">
        <v>3455</v>
      </c>
      <c r="O130" t="s">
        <v>5834</v>
      </c>
    </row>
    <row r="131" spans="1:15" x14ac:dyDescent="0.25">
      <c r="A131" t="s">
        <v>5106</v>
      </c>
      <c r="B131" t="s">
        <v>4294</v>
      </c>
      <c r="C131" t="s">
        <v>4242</v>
      </c>
      <c r="D131" t="s">
        <v>3994</v>
      </c>
      <c r="E131" t="s">
        <v>6223</v>
      </c>
      <c r="F131" t="s">
        <v>6732</v>
      </c>
      <c r="G131" t="s">
        <v>3455</v>
      </c>
      <c r="H131" t="s">
        <v>3455</v>
      </c>
      <c r="I131" t="s">
        <v>3455</v>
      </c>
      <c r="J131" t="s">
        <v>3455</v>
      </c>
      <c r="K131" t="s">
        <v>5106</v>
      </c>
      <c r="L131" t="s">
        <v>90</v>
      </c>
      <c r="M131" t="s">
        <v>5460</v>
      </c>
      <c r="N131" t="s">
        <v>3455</v>
      </c>
      <c r="O131" t="s">
        <v>5867</v>
      </c>
    </row>
    <row r="132" spans="1:15" x14ac:dyDescent="0.25">
      <c r="A132" t="s">
        <v>6224</v>
      </c>
      <c r="B132" t="s">
        <v>3511</v>
      </c>
      <c r="C132" t="s">
        <v>5719</v>
      </c>
      <c r="D132">
        <v>2</v>
      </c>
      <c r="E132" s="8" t="s">
        <v>6225</v>
      </c>
      <c r="F132" t="s">
        <v>6733</v>
      </c>
      <c r="G132" s="8" t="s">
        <v>6226</v>
      </c>
      <c r="H132" t="s">
        <v>6734</v>
      </c>
      <c r="I132" t="s">
        <v>3455</v>
      </c>
      <c r="J132" t="s">
        <v>6397</v>
      </c>
      <c r="K132" t="s">
        <v>6227</v>
      </c>
      <c r="L132" t="s">
        <v>90</v>
      </c>
      <c r="M132" t="s">
        <v>3455</v>
      </c>
      <c r="N132" t="s">
        <v>3455</v>
      </c>
      <c r="O132" t="s">
        <v>5774</v>
      </c>
    </row>
    <row r="133" spans="1:15" x14ac:dyDescent="0.25">
      <c r="A133" t="s">
        <v>4813</v>
      </c>
      <c r="B133" t="s">
        <v>3511</v>
      </c>
      <c r="C133" t="s">
        <v>5357</v>
      </c>
      <c r="D133">
        <v>1</v>
      </c>
      <c r="E133" s="8" t="s">
        <v>6235</v>
      </c>
      <c r="F133" t="s">
        <v>6735</v>
      </c>
      <c r="G133" s="8" t="s">
        <v>6235</v>
      </c>
      <c r="H133" t="s">
        <v>6735</v>
      </c>
      <c r="I133">
        <v>1</v>
      </c>
      <c r="J133" t="s">
        <v>6481</v>
      </c>
      <c r="K133" t="s">
        <v>4816</v>
      </c>
      <c r="L133" t="s">
        <v>1649</v>
      </c>
      <c r="M133" t="s">
        <v>3455</v>
      </c>
      <c r="N133" t="s">
        <v>3455</v>
      </c>
      <c r="O133" t="s">
        <v>6736</v>
      </c>
    </row>
    <row r="134" spans="1:15" x14ac:dyDescent="0.25">
      <c r="A134" t="s">
        <v>6236</v>
      </c>
      <c r="B134" t="s">
        <v>3511</v>
      </c>
      <c r="C134" t="s">
        <v>5719</v>
      </c>
      <c r="D134">
        <v>2</v>
      </c>
      <c r="E134" s="8" t="s">
        <v>6737</v>
      </c>
      <c r="F134" t="s">
        <v>6738</v>
      </c>
      <c r="G134" s="8" t="s">
        <v>3455</v>
      </c>
      <c r="H134" t="s">
        <v>3455</v>
      </c>
      <c r="I134" t="s">
        <v>3455</v>
      </c>
      <c r="J134" t="s">
        <v>6406</v>
      </c>
      <c r="K134" t="s">
        <v>6238</v>
      </c>
      <c r="L134" t="s">
        <v>90</v>
      </c>
      <c r="M134" t="s">
        <v>3455</v>
      </c>
      <c r="N134" t="s">
        <v>4258</v>
      </c>
      <c r="O134" t="s">
        <v>6056</v>
      </c>
    </row>
    <row r="135" spans="1:15" x14ac:dyDescent="0.25">
      <c r="A135" t="s">
        <v>6239</v>
      </c>
      <c r="B135" t="s">
        <v>3511</v>
      </c>
      <c r="C135" t="s">
        <v>5357</v>
      </c>
      <c r="D135">
        <v>1</v>
      </c>
      <c r="E135" s="8" t="s">
        <v>6240</v>
      </c>
      <c r="F135" t="s">
        <v>6739</v>
      </c>
      <c r="G135" s="8" t="s">
        <v>6241</v>
      </c>
      <c r="H135" t="s">
        <v>6740</v>
      </c>
      <c r="I135">
        <v>1</v>
      </c>
      <c r="J135" t="s">
        <v>3455</v>
      </c>
      <c r="K135" t="s">
        <v>6242</v>
      </c>
      <c r="L135" t="s">
        <v>90</v>
      </c>
      <c r="M135" t="s">
        <v>3455</v>
      </c>
      <c r="N135" t="s">
        <v>3455</v>
      </c>
      <c r="O135" t="s">
        <v>5996</v>
      </c>
    </row>
    <row r="136" spans="1:15" x14ac:dyDescent="0.25">
      <c r="A136" t="s">
        <v>6243</v>
      </c>
      <c r="B136" t="s">
        <v>3511</v>
      </c>
      <c r="C136" t="s">
        <v>5357</v>
      </c>
      <c r="D136">
        <v>1</v>
      </c>
      <c r="E136" s="8" t="s">
        <v>6244</v>
      </c>
      <c r="F136" t="s">
        <v>6741</v>
      </c>
      <c r="G136" s="8" t="s">
        <v>6244</v>
      </c>
      <c r="H136" t="s">
        <v>6741</v>
      </c>
      <c r="I136">
        <v>0</v>
      </c>
      <c r="J136" t="s">
        <v>3455</v>
      </c>
      <c r="K136" t="s">
        <v>6245</v>
      </c>
      <c r="L136" t="s">
        <v>90</v>
      </c>
      <c r="M136" t="s">
        <v>5493</v>
      </c>
      <c r="N136" t="s">
        <v>3455</v>
      </c>
      <c r="O136" t="s">
        <v>6246</v>
      </c>
    </row>
    <row r="137" spans="1:15" x14ac:dyDescent="0.25">
      <c r="A137" t="s">
        <v>6247</v>
      </c>
      <c r="B137" t="s">
        <v>3499</v>
      </c>
      <c r="C137" t="s">
        <v>5357</v>
      </c>
      <c r="D137">
        <v>0</v>
      </c>
      <c r="E137" s="8" t="s">
        <v>6742</v>
      </c>
      <c r="F137" t="s">
        <v>6743</v>
      </c>
      <c r="G137" s="8" t="s">
        <v>6744</v>
      </c>
      <c r="H137" t="s">
        <v>6745</v>
      </c>
      <c r="I137">
        <v>0</v>
      </c>
      <c r="J137" t="s">
        <v>3455</v>
      </c>
      <c r="K137" t="s">
        <v>6247</v>
      </c>
      <c r="L137" t="s">
        <v>90</v>
      </c>
      <c r="M137" t="s">
        <v>5493</v>
      </c>
      <c r="N137" t="s">
        <v>3455</v>
      </c>
      <c r="O137" t="s">
        <v>6250</v>
      </c>
    </row>
    <row r="138" spans="1:15" x14ac:dyDescent="0.25">
      <c r="A138" t="s">
        <v>6251</v>
      </c>
      <c r="B138" t="s">
        <v>3511</v>
      </c>
      <c r="C138" t="s">
        <v>5357</v>
      </c>
      <c r="D138">
        <v>1</v>
      </c>
      <c r="E138" s="8" t="s">
        <v>6252</v>
      </c>
      <c r="F138" t="s">
        <v>6746</v>
      </c>
      <c r="G138" s="8" t="s">
        <v>6253</v>
      </c>
      <c r="H138" t="s">
        <v>6747</v>
      </c>
      <c r="I138">
        <v>1</v>
      </c>
      <c r="J138" t="s">
        <v>3455</v>
      </c>
      <c r="K138" t="s">
        <v>6251</v>
      </c>
      <c r="L138" t="s">
        <v>90</v>
      </c>
      <c r="M138" t="s">
        <v>3455</v>
      </c>
      <c r="N138" t="s">
        <v>3455</v>
      </c>
      <c r="O138" t="s">
        <v>5996</v>
      </c>
    </row>
    <row r="139" spans="1:15" x14ac:dyDescent="0.25">
      <c r="A139" t="s">
        <v>6254</v>
      </c>
      <c r="B139" t="s">
        <v>3511</v>
      </c>
      <c r="C139" t="s">
        <v>5357</v>
      </c>
      <c r="D139">
        <v>1</v>
      </c>
      <c r="E139" s="8" t="s">
        <v>6748</v>
      </c>
      <c r="F139" t="s">
        <v>6749</v>
      </c>
      <c r="G139" s="8" t="s">
        <v>6748</v>
      </c>
      <c r="H139" t="s">
        <v>6749</v>
      </c>
      <c r="I139">
        <v>0</v>
      </c>
      <c r="J139" t="s">
        <v>3455</v>
      </c>
      <c r="K139" t="s">
        <v>6254</v>
      </c>
      <c r="L139" t="s">
        <v>90</v>
      </c>
      <c r="M139" t="s">
        <v>3455</v>
      </c>
      <c r="N139" t="s">
        <v>3455</v>
      </c>
      <c r="O139" t="s">
        <v>5820</v>
      </c>
    </row>
    <row r="140" spans="1:15" x14ac:dyDescent="0.25">
      <c r="A140" t="s">
        <v>6256</v>
      </c>
      <c r="B140" t="s">
        <v>3511</v>
      </c>
      <c r="C140" t="s">
        <v>5719</v>
      </c>
      <c r="D140">
        <v>2</v>
      </c>
      <c r="E140" s="8" t="s">
        <v>6750</v>
      </c>
      <c r="F140" t="s">
        <v>6751</v>
      </c>
      <c r="G140" s="8" t="s">
        <v>6752</v>
      </c>
      <c r="H140" t="s">
        <v>6753</v>
      </c>
      <c r="I140">
        <v>2</v>
      </c>
      <c r="J140" t="s">
        <v>6481</v>
      </c>
      <c r="K140" t="s">
        <v>6259</v>
      </c>
      <c r="L140" t="s">
        <v>90</v>
      </c>
      <c r="M140" t="s">
        <v>3455</v>
      </c>
      <c r="N140" t="s">
        <v>3455</v>
      </c>
      <c r="O140" t="s">
        <v>6001</v>
      </c>
    </row>
    <row r="141" spans="1:15" x14ac:dyDescent="0.25">
      <c r="A141" t="s">
        <v>6260</v>
      </c>
      <c r="B141" t="s">
        <v>4294</v>
      </c>
      <c r="C141" t="s">
        <v>4242</v>
      </c>
      <c r="D141" t="s">
        <v>3994</v>
      </c>
      <c r="E141" t="s">
        <v>6261</v>
      </c>
      <c r="F141" t="s">
        <v>6754</v>
      </c>
      <c r="G141" t="s">
        <v>3455</v>
      </c>
      <c r="H141" t="s">
        <v>3455</v>
      </c>
      <c r="I141" t="s">
        <v>3455</v>
      </c>
      <c r="J141" t="s">
        <v>3455</v>
      </c>
      <c r="K141" t="s">
        <v>6260</v>
      </c>
      <c r="L141" t="s">
        <v>90</v>
      </c>
      <c r="M141" t="s">
        <v>5460</v>
      </c>
      <c r="N141" t="s">
        <v>3455</v>
      </c>
      <c r="O141" t="s">
        <v>5867</v>
      </c>
    </row>
    <row r="142" spans="1:15" x14ac:dyDescent="0.25">
      <c r="A142" t="s">
        <v>6262</v>
      </c>
      <c r="B142" t="s">
        <v>4294</v>
      </c>
      <c r="C142" t="s">
        <v>5719</v>
      </c>
      <c r="D142">
        <v>0</v>
      </c>
      <c r="E142" t="s">
        <v>6263</v>
      </c>
      <c r="F142" t="s">
        <v>6755</v>
      </c>
      <c r="G142" t="s">
        <v>6264</v>
      </c>
      <c r="H142" t="s">
        <v>6413</v>
      </c>
      <c r="I142">
        <v>0</v>
      </c>
      <c r="J142" t="s">
        <v>6414</v>
      </c>
      <c r="K142" t="s">
        <v>6262</v>
      </c>
      <c r="L142" t="s">
        <v>90</v>
      </c>
      <c r="M142" t="s">
        <v>5493</v>
      </c>
      <c r="N142" t="s">
        <v>3455</v>
      </c>
      <c r="O142" t="s">
        <v>6756</v>
      </c>
    </row>
    <row r="143" spans="1:15" x14ac:dyDescent="0.25">
      <c r="A143" t="s">
        <v>6265</v>
      </c>
      <c r="B143" t="s">
        <v>3511</v>
      </c>
      <c r="C143" t="s">
        <v>5357</v>
      </c>
      <c r="D143">
        <v>2</v>
      </c>
      <c r="E143" s="8" t="s">
        <v>6266</v>
      </c>
      <c r="F143" t="s">
        <v>6757</v>
      </c>
      <c r="G143" s="8" t="s">
        <v>6267</v>
      </c>
      <c r="H143" t="s">
        <v>6758</v>
      </c>
      <c r="I143">
        <v>2</v>
      </c>
      <c r="J143" t="s">
        <v>3455</v>
      </c>
      <c r="K143" t="s">
        <v>6265</v>
      </c>
      <c r="L143" t="s">
        <v>90</v>
      </c>
      <c r="M143" t="s">
        <v>5493</v>
      </c>
      <c r="N143" t="s">
        <v>3455</v>
      </c>
      <c r="O143" t="s">
        <v>5934</v>
      </c>
    </row>
    <row r="144" spans="1:15" x14ac:dyDescent="0.25">
      <c r="A144" t="s">
        <v>6268</v>
      </c>
      <c r="B144" t="s">
        <v>41</v>
      </c>
      <c r="C144" t="s">
        <v>5357</v>
      </c>
      <c r="D144">
        <v>1</v>
      </c>
      <c r="E144" t="s">
        <v>6269</v>
      </c>
      <c r="F144" t="s">
        <v>6759</v>
      </c>
      <c r="G144" t="s">
        <v>6270</v>
      </c>
      <c r="H144" t="s">
        <v>6760</v>
      </c>
      <c r="I144">
        <v>1</v>
      </c>
      <c r="J144" t="s">
        <v>3455</v>
      </c>
      <c r="K144" t="s">
        <v>6271</v>
      </c>
      <c r="L144" t="s">
        <v>90</v>
      </c>
      <c r="M144" t="s">
        <v>3455</v>
      </c>
      <c r="N144" t="s">
        <v>3455</v>
      </c>
      <c r="O144" t="s">
        <v>6272</v>
      </c>
    </row>
    <row r="145" spans="1:15" x14ac:dyDescent="0.25">
      <c r="A145" t="s">
        <v>6273</v>
      </c>
      <c r="B145" t="s">
        <v>3511</v>
      </c>
      <c r="C145" t="s">
        <v>5719</v>
      </c>
      <c r="D145" t="s">
        <v>5943</v>
      </c>
      <c r="E145" t="s">
        <v>6274</v>
      </c>
      <c r="F145" t="s">
        <v>6761</v>
      </c>
      <c r="G145" t="s">
        <v>6275</v>
      </c>
      <c r="H145" t="s">
        <v>6762</v>
      </c>
      <c r="I145" t="s">
        <v>5943</v>
      </c>
      <c r="J145" t="s">
        <v>6763</v>
      </c>
      <c r="K145" t="s">
        <v>6273</v>
      </c>
      <c r="L145" t="s">
        <v>90</v>
      </c>
      <c r="M145" t="s">
        <v>3455</v>
      </c>
      <c r="N145" t="s">
        <v>3455</v>
      </c>
      <c r="O145" t="s">
        <v>5774</v>
      </c>
    </row>
    <row r="146" spans="1:15" x14ac:dyDescent="0.25">
      <c r="A146" t="s">
        <v>6276</v>
      </c>
      <c r="B146" t="s">
        <v>41</v>
      </c>
      <c r="C146" t="s">
        <v>5719</v>
      </c>
      <c r="D146">
        <v>0</v>
      </c>
      <c r="E146" s="8" t="s">
        <v>6277</v>
      </c>
      <c r="F146" t="s">
        <v>6764</v>
      </c>
      <c r="G146" s="8" t="s">
        <v>6278</v>
      </c>
      <c r="H146" t="s">
        <v>6765</v>
      </c>
      <c r="I146">
        <v>0</v>
      </c>
      <c r="J146" t="s">
        <v>6481</v>
      </c>
      <c r="K146" t="s">
        <v>6276</v>
      </c>
      <c r="L146" t="s">
        <v>90</v>
      </c>
      <c r="M146" t="s">
        <v>3455</v>
      </c>
      <c r="N146" t="s">
        <v>3455</v>
      </c>
      <c r="O146" t="s">
        <v>5774</v>
      </c>
    </row>
    <row r="147" spans="1:15" x14ac:dyDescent="0.25">
      <c r="A147" t="s">
        <v>6279</v>
      </c>
      <c r="B147" t="s">
        <v>4294</v>
      </c>
      <c r="C147" t="s">
        <v>3653</v>
      </c>
      <c r="D147">
        <v>1</v>
      </c>
      <c r="E147" t="s">
        <v>6280</v>
      </c>
      <c r="F147" t="s">
        <v>6766</v>
      </c>
      <c r="G147" t="s">
        <v>3455</v>
      </c>
      <c r="H147" t="s">
        <v>3455</v>
      </c>
      <c r="I147" t="s">
        <v>3455</v>
      </c>
      <c r="J147" t="s">
        <v>3455</v>
      </c>
      <c r="K147" t="s">
        <v>6279</v>
      </c>
      <c r="L147" t="s">
        <v>90</v>
      </c>
      <c r="M147" t="s">
        <v>5493</v>
      </c>
      <c r="N147" t="s">
        <v>3455</v>
      </c>
      <c r="O147" t="s">
        <v>6456</v>
      </c>
    </row>
    <row r="148" spans="1:15" x14ac:dyDescent="0.25">
      <c r="A148" t="s">
        <v>6281</v>
      </c>
      <c r="B148" t="s">
        <v>41</v>
      </c>
      <c r="C148" t="s">
        <v>5719</v>
      </c>
      <c r="D148">
        <v>2</v>
      </c>
      <c r="E148" s="8" t="s">
        <v>6282</v>
      </c>
      <c r="F148" t="s">
        <v>6767</v>
      </c>
      <c r="G148" s="8" t="s">
        <v>6283</v>
      </c>
      <c r="H148" t="s">
        <v>6768</v>
      </c>
      <c r="I148">
        <v>2</v>
      </c>
      <c r="J148" t="s">
        <v>6397</v>
      </c>
      <c r="K148" t="s">
        <v>6284</v>
      </c>
      <c r="L148" t="s">
        <v>90</v>
      </c>
      <c r="M148" t="s">
        <v>3455</v>
      </c>
      <c r="N148" t="s">
        <v>3455</v>
      </c>
      <c r="O148" t="s">
        <v>6022</v>
      </c>
    </row>
    <row r="149" spans="1:15" x14ac:dyDescent="0.25">
      <c r="A149" t="s">
        <v>6286</v>
      </c>
      <c r="B149" t="s">
        <v>3511</v>
      </c>
      <c r="C149" t="s">
        <v>5357</v>
      </c>
      <c r="D149">
        <v>1</v>
      </c>
      <c r="E149" s="8" t="s">
        <v>6287</v>
      </c>
      <c r="F149" t="s">
        <v>6769</v>
      </c>
      <c r="G149" s="8" t="s">
        <v>6288</v>
      </c>
      <c r="H149" t="s">
        <v>6770</v>
      </c>
      <c r="I149">
        <v>1</v>
      </c>
      <c r="J149" t="s">
        <v>3455</v>
      </c>
      <c r="K149" t="s">
        <v>6289</v>
      </c>
      <c r="L149" t="s">
        <v>90</v>
      </c>
      <c r="M149" t="s">
        <v>3455</v>
      </c>
      <c r="N149" t="s">
        <v>3455</v>
      </c>
      <c r="O149" t="s">
        <v>5924</v>
      </c>
    </row>
    <row r="150" spans="1:15" x14ac:dyDescent="0.25">
      <c r="A150" t="s">
        <v>6290</v>
      </c>
      <c r="B150" t="s">
        <v>3499</v>
      </c>
      <c r="C150" t="s">
        <v>5357</v>
      </c>
      <c r="D150">
        <v>1</v>
      </c>
      <c r="E150" t="s">
        <v>6291</v>
      </c>
      <c r="F150" t="s">
        <v>6771</v>
      </c>
      <c r="G150" t="s">
        <v>6292</v>
      </c>
      <c r="H150" t="s">
        <v>6772</v>
      </c>
      <c r="I150">
        <v>1</v>
      </c>
      <c r="J150" t="s">
        <v>3455</v>
      </c>
      <c r="K150" t="s">
        <v>6293</v>
      </c>
      <c r="L150" t="s">
        <v>90</v>
      </c>
      <c r="M150" t="s">
        <v>3455</v>
      </c>
      <c r="N150" t="s">
        <v>3455</v>
      </c>
      <c r="O150" t="s">
        <v>6294</v>
      </c>
    </row>
    <row r="151" spans="1:15" x14ac:dyDescent="0.25">
      <c r="A151" t="s">
        <v>6773</v>
      </c>
      <c r="B151" t="s">
        <v>3543</v>
      </c>
      <c r="C151" t="s">
        <v>5719</v>
      </c>
      <c r="D151">
        <v>1</v>
      </c>
      <c r="E151" t="s">
        <v>6277</v>
      </c>
      <c r="F151" t="s">
        <v>6764</v>
      </c>
      <c r="G151" t="s">
        <v>6278</v>
      </c>
      <c r="H151" t="s">
        <v>6765</v>
      </c>
      <c r="I151">
        <v>1</v>
      </c>
      <c r="J151" t="s">
        <v>6406</v>
      </c>
      <c r="K151" t="s">
        <v>6774</v>
      </c>
      <c r="L151" t="s">
        <v>90</v>
      </c>
      <c r="M151" t="s">
        <v>3455</v>
      </c>
      <c r="N151" t="s">
        <v>3455</v>
      </c>
      <c r="O151" t="s">
        <v>6775</v>
      </c>
    </row>
    <row r="152" spans="1:15" x14ac:dyDescent="0.25">
      <c r="A152" t="s">
        <v>6776</v>
      </c>
      <c r="B152" t="s">
        <v>3543</v>
      </c>
      <c r="C152" t="s">
        <v>5719</v>
      </c>
      <c r="D152">
        <v>1</v>
      </c>
      <c r="E152" t="s">
        <v>6277</v>
      </c>
      <c r="F152" t="s">
        <v>6764</v>
      </c>
      <c r="G152" t="s">
        <v>6278</v>
      </c>
      <c r="H152" t="s">
        <v>6765</v>
      </c>
      <c r="I152">
        <v>1</v>
      </c>
      <c r="J152" t="s">
        <v>6389</v>
      </c>
      <c r="K152" t="s">
        <v>6777</v>
      </c>
      <c r="L152" t="s">
        <v>90</v>
      </c>
      <c r="M152" t="s">
        <v>3455</v>
      </c>
      <c r="N152" t="s">
        <v>3455</v>
      </c>
      <c r="O152" t="s">
        <v>6775</v>
      </c>
    </row>
    <row r="153" spans="1:15" x14ac:dyDescent="0.25">
      <c r="A153" t="s">
        <v>6296</v>
      </c>
      <c r="B153" t="s">
        <v>41</v>
      </c>
      <c r="C153" t="s">
        <v>5719</v>
      </c>
      <c r="D153">
        <v>1</v>
      </c>
      <c r="E153" t="s">
        <v>6297</v>
      </c>
      <c r="F153" t="s">
        <v>6778</v>
      </c>
      <c r="G153" t="s">
        <v>6298</v>
      </c>
      <c r="H153" t="s">
        <v>6779</v>
      </c>
      <c r="I153">
        <v>1</v>
      </c>
      <c r="J153" t="s">
        <v>6389</v>
      </c>
      <c r="K153" t="s">
        <v>6299</v>
      </c>
      <c r="L153" t="s">
        <v>90</v>
      </c>
      <c r="M153" t="s">
        <v>3455</v>
      </c>
      <c r="N153" t="s">
        <v>3455</v>
      </c>
      <c r="O153" t="s">
        <v>5750</v>
      </c>
    </row>
    <row r="154" spans="1:15" x14ac:dyDescent="0.25">
      <c r="A154" t="s">
        <v>5693</v>
      </c>
      <c r="B154" t="s">
        <v>3543</v>
      </c>
      <c r="C154" t="s">
        <v>5357</v>
      </c>
      <c r="D154">
        <v>1</v>
      </c>
      <c r="E154" t="s">
        <v>6300</v>
      </c>
      <c r="F154" t="s">
        <v>6780</v>
      </c>
      <c r="G154" t="s">
        <v>6301</v>
      </c>
      <c r="H154" t="s">
        <v>6781</v>
      </c>
      <c r="I154">
        <v>1</v>
      </c>
      <c r="J154" t="s">
        <v>3455</v>
      </c>
      <c r="K154" t="s">
        <v>5693</v>
      </c>
      <c r="L154" t="s">
        <v>90</v>
      </c>
      <c r="M154" t="s">
        <v>3455</v>
      </c>
      <c r="N154" t="s">
        <v>3455</v>
      </c>
      <c r="O154" t="s">
        <v>6302</v>
      </c>
    </row>
    <row r="155" spans="1:15" x14ac:dyDescent="0.25">
      <c r="A155" t="s">
        <v>6303</v>
      </c>
      <c r="B155" t="s">
        <v>41</v>
      </c>
      <c r="C155" t="s">
        <v>5719</v>
      </c>
      <c r="D155">
        <v>1</v>
      </c>
      <c r="E155" t="s">
        <v>6304</v>
      </c>
      <c r="F155" t="s">
        <v>6782</v>
      </c>
      <c r="G155" t="s">
        <v>6305</v>
      </c>
      <c r="H155" t="s">
        <v>6783</v>
      </c>
      <c r="I155">
        <v>1</v>
      </c>
      <c r="J155" t="s">
        <v>6784</v>
      </c>
      <c r="K155" t="s">
        <v>6306</v>
      </c>
      <c r="L155" t="s">
        <v>90</v>
      </c>
      <c r="M155" t="s">
        <v>3455</v>
      </c>
      <c r="N155" t="s">
        <v>3455</v>
      </c>
      <c r="O155" t="s">
        <v>6307</v>
      </c>
    </row>
    <row r="156" spans="1:15" x14ac:dyDescent="0.25">
      <c r="A156" t="s">
        <v>6308</v>
      </c>
      <c r="B156" t="s">
        <v>41</v>
      </c>
      <c r="C156" t="s">
        <v>5719</v>
      </c>
      <c r="D156">
        <v>1</v>
      </c>
      <c r="E156" t="s">
        <v>6785</v>
      </c>
      <c r="F156" t="s">
        <v>6786</v>
      </c>
      <c r="G156" t="s">
        <v>6787</v>
      </c>
      <c r="H156" t="s">
        <v>6788</v>
      </c>
      <c r="I156">
        <v>1</v>
      </c>
      <c r="J156" t="s">
        <v>6789</v>
      </c>
      <c r="K156" t="s">
        <v>6311</v>
      </c>
      <c r="L156" t="s">
        <v>90</v>
      </c>
      <c r="M156" t="s">
        <v>5428</v>
      </c>
      <c r="N156" t="s">
        <v>3455</v>
      </c>
      <c r="O156" t="s">
        <v>5732</v>
      </c>
    </row>
    <row r="157" spans="1:15" x14ac:dyDescent="0.25">
      <c r="A157" t="s">
        <v>6312</v>
      </c>
      <c r="B157" t="s">
        <v>3511</v>
      </c>
      <c r="C157" t="s">
        <v>5357</v>
      </c>
      <c r="D157" t="s">
        <v>3994</v>
      </c>
      <c r="E157" t="s">
        <v>6313</v>
      </c>
      <c r="F157" t="s">
        <v>6790</v>
      </c>
      <c r="G157" t="s">
        <v>6314</v>
      </c>
      <c r="H157" t="s">
        <v>6741</v>
      </c>
      <c r="I157" t="s">
        <v>3994</v>
      </c>
      <c r="J157" t="s">
        <v>3455</v>
      </c>
      <c r="K157" t="s">
        <v>6312</v>
      </c>
      <c r="L157" t="s">
        <v>90</v>
      </c>
      <c r="M157" t="s">
        <v>5458</v>
      </c>
      <c r="N157" t="s">
        <v>3455</v>
      </c>
      <c r="O157" t="s">
        <v>6315</v>
      </c>
    </row>
    <row r="158" spans="1:15" x14ac:dyDescent="0.25">
      <c r="A158" t="s">
        <v>6320</v>
      </c>
      <c r="B158" t="s">
        <v>3511</v>
      </c>
      <c r="C158" t="s">
        <v>5357</v>
      </c>
      <c r="D158">
        <v>1</v>
      </c>
      <c r="E158" t="s">
        <v>6321</v>
      </c>
      <c r="F158" t="s">
        <v>6791</v>
      </c>
      <c r="G158" t="s">
        <v>6321</v>
      </c>
      <c r="H158" t="s">
        <v>6791</v>
      </c>
      <c r="I158">
        <v>0</v>
      </c>
      <c r="J158" t="s">
        <v>6447</v>
      </c>
      <c r="K158" t="s">
        <v>6320</v>
      </c>
      <c r="L158" t="s">
        <v>90</v>
      </c>
      <c r="M158" t="s">
        <v>5493</v>
      </c>
      <c r="N158" t="s">
        <v>3455</v>
      </c>
      <c r="O158" t="s">
        <v>6128</v>
      </c>
    </row>
    <row r="159" spans="1:15" x14ac:dyDescent="0.25">
      <c r="A159" t="s">
        <v>6322</v>
      </c>
      <c r="B159" t="s">
        <v>41</v>
      </c>
      <c r="C159" t="s">
        <v>5719</v>
      </c>
      <c r="D159">
        <v>1</v>
      </c>
      <c r="E159" t="s">
        <v>6792</v>
      </c>
      <c r="F159" t="s">
        <v>6793</v>
      </c>
      <c r="G159" t="s">
        <v>6794</v>
      </c>
      <c r="H159" t="s">
        <v>6795</v>
      </c>
      <c r="I159">
        <v>1</v>
      </c>
      <c r="J159" t="s">
        <v>6796</v>
      </c>
      <c r="K159" t="s">
        <v>6322</v>
      </c>
      <c r="L159" t="s">
        <v>90</v>
      </c>
      <c r="M159" t="s">
        <v>3455</v>
      </c>
      <c r="N159" t="s">
        <v>5388</v>
      </c>
      <c r="O159" t="s">
        <v>6797</v>
      </c>
    </row>
    <row r="160" spans="1:15" x14ac:dyDescent="0.25">
      <c r="A160" t="s">
        <v>6328</v>
      </c>
      <c r="B160" t="s">
        <v>41</v>
      </c>
      <c r="C160" t="s">
        <v>5357</v>
      </c>
      <c r="D160">
        <v>1</v>
      </c>
      <c r="E160" s="8" t="s">
        <v>6329</v>
      </c>
      <c r="F160" t="s">
        <v>6798</v>
      </c>
      <c r="G160" s="8" t="s">
        <v>6330</v>
      </c>
      <c r="H160" t="s">
        <v>6799</v>
      </c>
      <c r="I160">
        <v>1</v>
      </c>
      <c r="J160" t="s">
        <v>3455</v>
      </c>
      <c r="K160" t="s">
        <v>6331</v>
      </c>
      <c r="L160" t="s">
        <v>90</v>
      </c>
      <c r="M160" t="s">
        <v>3455</v>
      </c>
      <c r="N160" t="s">
        <v>3455</v>
      </c>
      <c r="O160" t="s">
        <v>5996</v>
      </c>
    </row>
    <row r="161" spans="1:15" x14ac:dyDescent="0.25">
      <c r="A161" t="s">
        <v>6332</v>
      </c>
      <c r="B161" t="s">
        <v>41</v>
      </c>
      <c r="C161" t="s">
        <v>5719</v>
      </c>
      <c r="D161">
        <v>1</v>
      </c>
      <c r="E161" t="s">
        <v>6333</v>
      </c>
      <c r="F161" t="s">
        <v>6800</v>
      </c>
      <c r="G161" t="s">
        <v>6334</v>
      </c>
      <c r="H161" t="s">
        <v>6801</v>
      </c>
      <c r="I161">
        <v>1</v>
      </c>
      <c r="J161" t="s">
        <v>6406</v>
      </c>
      <c r="K161" t="s">
        <v>6335</v>
      </c>
      <c r="L161" t="s">
        <v>90</v>
      </c>
      <c r="M161" t="s">
        <v>3455</v>
      </c>
      <c r="N161" t="s">
        <v>3455</v>
      </c>
      <c r="O161" t="s">
        <v>6802</v>
      </c>
    </row>
    <row r="162" spans="1:15" x14ac:dyDescent="0.25">
      <c r="A162" t="s">
        <v>6336</v>
      </c>
      <c r="B162" t="s">
        <v>3499</v>
      </c>
      <c r="C162" t="s">
        <v>5719</v>
      </c>
      <c r="D162">
        <v>1</v>
      </c>
      <c r="E162" s="8" t="s">
        <v>6337</v>
      </c>
      <c r="F162" t="s">
        <v>6803</v>
      </c>
      <c r="G162" s="8" t="s">
        <v>6338</v>
      </c>
      <c r="H162" t="s">
        <v>6804</v>
      </c>
      <c r="I162">
        <v>1</v>
      </c>
      <c r="J162" t="s">
        <v>6512</v>
      </c>
      <c r="K162" t="s">
        <v>6336</v>
      </c>
      <c r="L162" t="s">
        <v>90</v>
      </c>
      <c r="M162" t="s">
        <v>3455</v>
      </c>
      <c r="N162" t="s">
        <v>3455</v>
      </c>
      <c r="O162" t="s">
        <v>5979</v>
      </c>
    </row>
    <row r="163" spans="1:15" x14ac:dyDescent="0.25">
      <c r="A163" t="s">
        <v>6339</v>
      </c>
      <c r="B163" t="s">
        <v>3511</v>
      </c>
      <c r="C163" t="s">
        <v>5719</v>
      </c>
      <c r="D163">
        <v>2</v>
      </c>
      <c r="E163" t="s">
        <v>6340</v>
      </c>
      <c r="F163" t="s">
        <v>6805</v>
      </c>
      <c r="G163" t="s">
        <v>6341</v>
      </c>
      <c r="H163" t="s">
        <v>6806</v>
      </c>
      <c r="I163">
        <v>2</v>
      </c>
      <c r="J163" t="s">
        <v>6389</v>
      </c>
      <c r="K163" t="s">
        <v>6339</v>
      </c>
      <c r="L163" t="s">
        <v>90</v>
      </c>
      <c r="M163" t="s">
        <v>3455</v>
      </c>
      <c r="N163" t="s">
        <v>3455</v>
      </c>
      <c r="O163" t="s">
        <v>5864</v>
      </c>
    </row>
    <row r="164" spans="1:15" x14ac:dyDescent="0.25">
      <c r="A164" t="s">
        <v>6343</v>
      </c>
      <c r="B164" t="s">
        <v>41</v>
      </c>
      <c r="C164" t="s">
        <v>5357</v>
      </c>
      <c r="D164">
        <v>0</v>
      </c>
      <c r="E164" t="s">
        <v>6344</v>
      </c>
      <c r="F164" t="s">
        <v>6807</v>
      </c>
      <c r="G164" t="s">
        <v>6345</v>
      </c>
      <c r="H164" t="s">
        <v>6808</v>
      </c>
      <c r="I164">
        <v>0</v>
      </c>
      <c r="J164" t="s">
        <v>3455</v>
      </c>
      <c r="K164" t="s">
        <v>6343</v>
      </c>
      <c r="L164" t="s">
        <v>90</v>
      </c>
      <c r="M164" t="s">
        <v>5493</v>
      </c>
      <c r="N164" t="s">
        <v>3455</v>
      </c>
      <c r="O164" t="s">
        <v>5760</v>
      </c>
    </row>
    <row r="165" spans="1:15" x14ac:dyDescent="0.25">
      <c r="A165" t="s">
        <v>5288</v>
      </c>
      <c r="B165" t="s">
        <v>3511</v>
      </c>
      <c r="C165" t="s">
        <v>4594</v>
      </c>
      <c r="D165">
        <v>1</v>
      </c>
      <c r="E165" s="8" t="s">
        <v>6809</v>
      </c>
      <c r="F165" t="s">
        <v>6810</v>
      </c>
      <c r="G165" s="8" t="s">
        <v>6811</v>
      </c>
      <c r="H165" t="s">
        <v>6812</v>
      </c>
      <c r="I165">
        <v>1</v>
      </c>
      <c r="J165" t="s">
        <v>3455</v>
      </c>
      <c r="K165" t="s">
        <v>5290</v>
      </c>
      <c r="L165" t="s">
        <v>90</v>
      </c>
      <c r="M165" t="s">
        <v>3455</v>
      </c>
      <c r="N165" t="s">
        <v>3455</v>
      </c>
      <c r="O165" t="s">
        <v>6813</v>
      </c>
    </row>
    <row r="166" spans="1:15" x14ac:dyDescent="0.25">
      <c r="A166" t="s">
        <v>6349</v>
      </c>
      <c r="B166" t="s">
        <v>3511</v>
      </c>
      <c r="C166" t="s">
        <v>5719</v>
      </c>
      <c r="D166" t="s">
        <v>5943</v>
      </c>
      <c r="E166" t="s">
        <v>6814</v>
      </c>
      <c r="F166" t="s">
        <v>6815</v>
      </c>
      <c r="G166" t="s">
        <v>6816</v>
      </c>
      <c r="H166" t="s">
        <v>6817</v>
      </c>
      <c r="I166" t="s">
        <v>5943</v>
      </c>
      <c r="J166" t="s">
        <v>6486</v>
      </c>
      <c r="K166" t="s">
        <v>6349</v>
      </c>
      <c r="L166" t="s">
        <v>90</v>
      </c>
      <c r="M166" t="s">
        <v>3455</v>
      </c>
      <c r="N166" t="s">
        <v>3455</v>
      </c>
      <c r="O166" t="s">
        <v>5856</v>
      </c>
    </row>
    <row r="167" spans="1:15" x14ac:dyDescent="0.25">
      <c r="A167" t="s">
        <v>6352</v>
      </c>
      <c r="B167" t="s">
        <v>3511</v>
      </c>
      <c r="C167" t="s">
        <v>5357</v>
      </c>
      <c r="D167">
        <v>1</v>
      </c>
      <c r="E167" s="8" t="s">
        <v>6353</v>
      </c>
      <c r="F167" t="s">
        <v>6818</v>
      </c>
      <c r="G167" s="8" t="s">
        <v>6353</v>
      </c>
      <c r="H167" t="s">
        <v>6818</v>
      </c>
      <c r="I167">
        <v>0</v>
      </c>
      <c r="J167" t="s">
        <v>3455</v>
      </c>
      <c r="K167" t="s">
        <v>6354</v>
      </c>
      <c r="L167" t="s">
        <v>90</v>
      </c>
      <c r="M167" t="s">
        <v>5493</v>
      </c>
      <c r="N167" t="s">
        <v>3455</v>
      </c>
      <c r="O167" t="s">
        <v>6819</v>
      </c>
    </row>
    <row r="168" spans="1:15" x14ac:dyDescent="0.25">
      <c r="A168" t="s">
        <v>6356</v>
      </c>
      <c r="B168" t="s">
        <v>41</v>
      </c>
      <c r="C168" t="s">
        <v>5719</v>
      </c>
      <c r="D168">
        <v>1</v>
      </c>
      <c r="E168" s="8" t="s">
        <v>6357</v>
      </c>
      <c r="F168" t="s">
        <v>6820</v>
      </c>
      <c r="G168" s="8" t="s">
        <v>6358</v>
      </c>
      <c r="H168" t="s">
        <v>6821</v>
      </c>
      <c r="I168">
        <v>1</v>
      </c>
      <c r="J168" t="s">
        <v>6447</v>
      </c>
      <c r="K168" t="s">
        <v>6359</v>
      </c>
      <c r="L168" t="s">
        <v>90</v>
      </c>
      <c r="M168" t="s">
        <v>3455</v>
      </c>
      <c r="N168" t="s">
        <v>3455</v>
      </c>
      <c r="O168" t="s">
        <v>6216</v>
      </c>
    </row>
    <row r="169" spans="1:15" x14ac:dyDescent="0.25">
      <c r="A169" t="s">
        <v>6360</v>
      </c>
      <c r="B169" t="s">
        <v>4294</v>
      </c>
      <c r="C169" t="s">
        <v>3653</v>
      </c>
      <c r="D169" t="s">
        <v>3994</v>
      </c>
      <c r="E169" s="8" t="s">
        <v>6085</v>
      </c>
      <c r="F169" t="s">
        <v>4212</v>
      </c>
      <c r="G169" s="8" t="s">
        <v>3455</v>
      </c>
      <c r="H169" t="s">
        <v>3455</v>
      </c>
      <c r="I169" t="s">
        <v>3455</v>
      </c>
      <c r="J169" t="s">
        <v>3455</v>
      </c>
      <c r="K169" t="s">
        <v>6360</v>
      </c>
      <c r="L169" t="s">
        <v>90</v>
      </c>
      <c r="M169" t="s">
        <v>3455</v>
      </c>
      <c r="N169" t="s">
        <v>3455</v>
      </c>
      <c r="O169" t="s">
        <v>6456</v>
      </c>
    </row>
    <row r="170" spans="1:15" x14ac:dyDescent="0.25">
      <c r="A170" t="s">
        <v>6361</v>
      </c>
      <c r="B170" t="s">
        <v>3499</v>
      </c>
      <c r="C170" t="s">
        <v>4594</v>
      </c>
      <c r="D170">
        <v>3</v>
      </c>
      <c r="E170" s="8" t="s">
        <v>6822</v>
      </c>
      <c r="F170" t="s">
        <v>6823</v>
      </c>
      <c r="G170" s="8" t="s">
        <v>6824</v>
      </c>
      <c r="H170" t="s">
        <v>6825</v>
      </c>
      <c r="I170" t="s">
        <v>3455</v>
      </c>
      <c r="J170" t="s">
        <v>3455</v>
      </c>
      <c r="K170" t="s">
        <v>6364</v>
      </c>
      <c r="L170" t="s">
        <v>90</v>
      </c>
      <c r="M170" t="s">
        <v>3455</v>
      </c>
      <c r="N170" t="s">
        <v>3455</v>
      </c>
      <c r="O170" t="s">
        <v>5714</v>
      </c>
    </row>
    <row r="171" spans="1:15" x14ac:dyDescent="0.25">
      <c r="A171" t="s">
        <v>6365</v>
      </c>
      <c r="B171" t="s">
        <v>4294</v>
      </c>
      <c r="C171" t="s">
        <v>4242</v>
      </c>
      <c r="D171" t="s">
        <v>3994</v>
      </c>
      <c r="E171" t="s">
        <v>6366</v>
      </c>
      <c r="F171" t="s">
        <v>4212</v>
      </c>
      <c r="G171" t="s">
        <v>3455</v>
      </c>
      <c r="H171" t="s">
        <v>3455</v>
      </c>
      <c r="I171" t="s">
        <v>3455</v>
      </c>
      <c r="J171" t="s">
        <v>3455</v>
      </c>
      <c r="K171" t="s">
        <v>6365</v>
      </c>
      <c r="L171" t="s">
        <v>90</v>
      </c>
      <c r="M171" t="s">
        <v>5460</v>
      </c>
      <c r="N171" t="s">
        <v>3455</v>
      </c>
      <c r="O171" t="s">
        <v>5867</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6826</v>
      </c>
      <c r="C1" t="s">
        <v>6827</v>
      </c>
      <c r="D1" t="s">
        <v>3450</v>
      </c>
      <c r="E1" t="s">
        <v>3493</v>
      </c>
      <c r="F1" t="s">
        <v>6828</v>
      </c>
    </row>
    <row r="2" spans="1:6" ht="15" customHeight="1" x14ac:dyDescent="0.25">
      <c r="A2" t="s">
        <v>6829</v>
      </c>
      <c r="B2" t="s">
        <v>4690</v>
      </c>
      <c r="C2" t="s">
        <v>6830</v>
      </c>
      <c r="D2" t="s">
        <v>6831</v>
      </c>
      <c r="E2" t="s">
        <v>6832</v>
      </c>
      <c r="F2" t="s">
        <v>6833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6834</v>
      </c>
      <c r="D1" t="s">
        <v>171</v>
      </c>
      <c r="E1" t="s">
        <v>4446</v>
      </c>
      <c r="F1" t="s">
        <v>6</v>
      </c>
    </row>
    <row r="2" spans="1:6" ht="15" customHeight="1" x14ac:dyDescent="0.25">
      <c r="A2" t="s">
        <v>6835</v>
      </c>
      <c r="B2" t="s">
        <v>6836</v>
      </c>
      <c r="C2" t="s">
        <v>5170</v>
      </c>
      <c r="D2" t="s">
        <v>3653</v>
      </c>
      <c r="E2" t="s">
        <v>3455</v>
      </c>
      <c r="F2" t="s">
        <v>3455</v>
      </c>
    </row>
    <row r="3" spans="1:6" ht="15" customHeight="1" x14ac:dyDescent="0.25">
      <c r="A3" t="s">
        <v>6837</v>
      </c>
      <c r="B3" t="s">
        <v>6838</v>
      </c>
      <c r="C3" t="s">
        <v>6839</v>
      </c>
      <c r="D3" t="s">
        <v>3653</v>
      </c>
      <c r="E3" t="s">
        <v>3455</v>
      </c>
      <c r="F3" t="s">
        <v>3455</v>
      </c>
    </row>
    <row r="4" spans="1:6" ht="15" customHeight="1" x14ac:dyDescent="0.25">
      <c r="A4" t="s">
        <v>6840</v>
      </c>
      <c r="B4" t="s">
        <v>6841</v>
      </c>
      <c r="C4" t="s">
        <v>5173</v>
      </c>
      <c r="D4" t="s">
        <v>6840</v>
      </c>
      <c r="E4" t="s">
        <v>3979</v>
      </c>
      <c r="F4" t="s">
        <v>3499</v>
      </c>
    </row>
    <row r="5" spans="1:6" ht="15" customHeight="1" x14ac:dyDescent="0.25">
      <c r="A5" t="s">
        <v>6842</v>
      </c>
      <c r="B5" t="s">
        <v>6843</v>
      </c>
      <c r="C5" t="s">
        <v>6844</v>
      </c>
      <c r="D5" t="s">
        <v>3509</v>
      </c>
      <c r="E5" t="s">
        <v>3996</v>
      </c>
      <c r="F5" t="s">
        <v>41</v>
      </c>
    </row>
    <row r="6" spans="1:6" ht="15" customHeight="1" x14ac:dyDescent="0.25">
      <c r="A6" t="s">
        <v>6845</v>
      </c>
      <c r="B6" t="s">
        <v>6846</v>
      </c>
      <c r="C6" t="s">
        <v>6844</v>
      </c>
      <c r="D6" t="s">
        <v>3653</v>
      </c>
      <c r="E6" t="s">
        <v>3455</v>
      </c>
      <c r="F6" t="s">
        <v>3511</v>
      </c>
    </row>
    <row r="7" spans="1:6" ht="15" customHeight="1" x14ac:dyDescent="0.25">
      <c r="A7" t="s">
        <v>6847</v>
      </c>
      <c r="B7" t="s">
        <v>6848</v>
      </c>
      <c r="C7" t="s">
        <v>6839</v>
      </c>
      <c r="D7" t="s">
        <v>3653</v>
      </c>
      <c r="E7" t="s">
        <v>3455</v>
      </c>
    </row>
    <row r="8" spans="1:6" ht="15" customHeight="1" x14ac:dyDescent="0.25">
      <c r="A8" t="s">
        <v>6849</v>
      </c>
      <c r="B8" t="s">
        <v>6850</v>
      </c>
      <c r="C8" t="s">
        <v>5170</v>
      </c>
      <c r="D8" t="s">
        <v>3653</v>
      </c>
      <c r="E8" t="s">
        <v>3455</v>
      </c>
      <c r="F8" t="s">
        <v>3455</v>
      </c>
    </row>
    <row r="9" spans="1:6" ht="15" customHeight="1" x14ac:dyDescent="0.25">
      <c r="A9" t="s">
        <v>6851</v>
      </c>
      <c r="B9" t="s">
        <v>6852</v>
      </c>
      <c r="C9" t="s">
        <v>5173</v>
      </c>
      <c r="D9" t="s">
        <v>5719</v>
      </c>
      <c r="E9" t="s">
        <v>3979</v>
      </c>
      <c r="F9" t="s">
        <v>41</v>
      </c>
    </row>
    <row r="10" spans="1:6" ht="15" customHeight="1" x14ac:dyDescent="0.25">
      <c r="A10" t="s">
        <v>6853</v>
      </c>
      <c r="B10" t="s">
        <v>6854</v>
      </c>
      <c r="C10" t="s">
        <v>6839</v>
      </c>
      <c r="D10" t="s">
        <v>3653</v>
      </c>
      <c r="E10" t="s">
        <v>5020</v>
      </c>
      <c r="F10" t="s">
        <v>41</v>
      </c>
    </row>
    <row r="11" spans="1:6" ht="15" customHeight="1" x14ac:dyDescent="0.25">
      <c r="A11" t="s">
        <v>6855</v>
      </c>
      <c r="B11" t="s">
        <v>6856</v>
      </c>
      <c r="C11" t="s">
        <v>6844</v>
      </c>
      <c r="D11" t="s">
        <v>3438</v>
      </c>
      <c r="E11" t="s">
        <v>3455</v>
      </c>
      <c r="F11" t="s">
        <v>3511</v>
      </c>
    </row>
    <row r="12" spans="1:6" ht="15" customHeight="1" x14ac:dyDescent="0.25">
      <c r="A12" t="s">
        <v>6857</v>
      </c>
      <c r="B12" t="s">
        <v>6858</v>
      </c>
      <c r="C12" t="s">
        <v>5173</v>
      </c>
      <c r="D12" t="s">
        <v>3653</v>
      </c>
      <c r="E12" t="s">
        <v>5020</v>
      </c>
      <c r="F12" t="s">
        <v>41</v>
      </c>
    </row>
    <row r="13" spans="1:6" ht="15" customHeight="1" x14ac:dyDescent="0.25">
      <c r="A13" t="s">
        <v>6859</v>
      </c>
      <c r="B13" t="s">
        <v>6860</v>
      </c>
      <c r="C13" t="s">
        <v>6839</v>
      </c>
      <c r="D13" t="s">
        <v>3653</v>
      </c>
      <c r="E13" t="s">
        <v>3455</v>
      </c>
      <c r="F13" t="s">
        <v>3455</v>
      </c>
    </row>
    <row r="14" spans="1:6" ht="15" customHeight="1" x14ac:dyDescent="0.25">
      <c r="A14" t="s">
        <v>6861</v>
      </c>
      <c r="B14" t="s">
        <v>6862</v>
      </c>
      <c r="C14" t="s">
        <v>6839</v>
      </c>
      <c r="D14" t="s">
        <v>3653</v>
      </c>
      <c r="E14" t="s">
        <v>3455</v>
      </c>
      <c r="F14" t="s">
        <v>3455</v>
      </c>
    </row>
    <row r="15" spans="1:6" ht="15" customHeight="1" x14ac:dyDescent="0.25">
      <c r="A15" t="s">
        <v>6863</v>
      </c>
      <c r="B15" t="s">
        <v>6864</v>
      </c>
      <c r="C15" t="s">
        <v>5173</v>
      </c>
      <c r="D15" t="s">
        <v>5719</v>
      </c>
      <c r="E15" t="s">
        <v>6865</v>
      </c>
      <c r="F15" t="s">
        <v>3499</v>
      </c>
    </row>
    <row r="16" spans="1:6" ht="15" customHeight="1" x14ac:dyDescent="0.25">
      <c r="A16" t="s">
        <v>6866</v>
      </c>
      <c r="B16" t="s">
        <v>6867</v>
      </c>
      <c r="C16" t="s">
        <v>6839</v>
      </c>
      <c r="D16" t="s">
        <v>6866</v>
      </c>
      <c r="E16" t="s">
        <v>3455</v>
      </c>
      <c r="F16" t="s">
        <v>41</v>
      </c>
    </row>
    <row r="17" spans="1:6" ht="15" customHeight="1" x14ac:dyDescent="0.25">
      <c r="A17" t="s">
        <v>6157</v>
      </c>
      <c r="B17" t="s">
        <v>6868</v>
      </c>
      <c r="C17" t="s">
        <v>6839</v>
      </c>
      <c r="D17" t="s">
        <v>3653</v>
      </c>
      <c r="E17" t="s">
        <v>3979</v>
      </c>
      <c r="F17" t="s">
        <v>3455</v>
      </c>
    </row>
    <row r="18" spans="1:6" ht="15" customHeight="1" x14ac:dyDescent="0.25">
      <c r="A18" t="s">
        <v>5672</v>
      </c>
      <c r="B18" t="s">
        <v>6869</v>
      </c>
      <c r="C18" t="s">
        <v>6839</v>
      </c>
      <c r="D18" t="s">
        <v>3653</v>
      </c>
      <c r="E18" t="s">
        <v>5020</v>
      </c>
      <c r="F18" t="s">
        <v>3499</v>
      </c>
    </row>
    <row r="19" spans="1:6" ht="15" customHeight="1" x14ac:dyDescent="0.25">
      <c r="A19" t="s">
        <v>6870</v>
      </c>
      <c r="B19" t="s">
        <v>6871</v>
      </c>
      <c r="C19" t="s">
        <v>6839</v>
      </c>
      <c r="D19" t="s">
        <v>3653</v>
      </c>
      <c r="E19" t="s">
        <v>3455</v>
      </c>
      <c r="F19" t="s">
        <v>3455</v>
      </c>
    </row>
    <row r="20" spans="1:6" ht="15" customHeight="1" x14ac:dyDescent="0.25">
      <c r="A20" t="s">
        <v>6872</v>
      </c>
      <c r="B20" t="s">
        <v>6873</v>
      </c>
      <c r="C20" t="s">
        <v>5170</v>
      </c>
      <c r="D20" t="s">
        <v>3653</v>
      </c>
      <c r="E20" t="s">
        <v>3455</v>
      </c>
      <c r="F20" t="s">
        <v>3455</v>
      </c>
    </row>
    <row r="21" spans="1:6" ht="15" customHeight="1" x14ac:dyDescent="0.25">
      <c r="A21" t="s">
        <v>6874</v>
      </c>
      <c r="B21" t="s">
        <v>6875</v>
      </c>
      <c r="C21" t="s">
        <v>6844</v>
      </c>
      <c r="D21" t="s">
        <v>6874</v>
      </c>
      <c r="E21" t="s">
        <v>6865</v>
      </c>
      <c r="F21" t="s">
        <v>3499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5695</v>
      </c>
      <c r="C1" t="s">
        <v>6</v>
      </c>
      <c r="D1" t="s">
        <v>3450</v>
      </c>
      <c r="E1" t="s">
        <v>6374</v>
      </c>
      <c r="F1" t="s">
        <v>6876</v>
      </c>
      <c r="G1" t="s">
        <v>1</v>
      </c>
      <c r="H1" t="s">
        <v>6375</v>
      </c>
      <c r="I1" t="s">
        <v>171</v>
      </c>
    </row>
    <row r="2" spans="1:9" ht="15" customHeight="1" x14ac:dyDescent="0.25">
      <c r="A2" t="s">
        <v>6877</v>
      </c>
      <c r="B2">
        <v>6</v>
      </c>
      <c r="C2" t="s">
        <v>3499</v>
      </c>
      <c r="D2" t="s">
        <v>6878</v>
      </c>
      <c r="E2" t="s">
        <v>3455</v>
      </c>
      <c r="F2" t="s">
        <v>3994</v>
      </c>
      <c r="G2" t="s">
        <v>2361</v>
      </c>
      <c r="H2" t="s">
        <v>5383</v>
      </c>
      <c r="I2" t="s">
        <v>6877</v>
      </c>
    </row>
    <row r="3" spans="1:9" ht="15" customHeight="1" x14ac:dyDescent="0.25">
      <c r="A3" t="s">
        <v>6879</v>
      </c>
      <c r="B3">
        <v>3</v>
      </c>
      <c r="C3" t="s">
        <v>3511</v>
      </c>
      <c r="D3" t="s">
        <v>6880</v>
      </c>
      <c r="E3" t="s">
        <v>3455</v>
      </c>
      <c r="F3" t="s">
        <v>187</v>
      </c>
      <c r="G3" t="s">
        <v>2361</v>
      </c>
      <c r="H3" t="s">
        <v>3455</v>
      </c>
      <c r="I3" t="s">
        <v>6879</v>
      </c>
    </row>
    <row r="4" spans="1:9" ht="15" customHeight="1" x14ac:dyDescent="0.25">
      <c r="A4" t="s">
        <v>6881</v>
      </c>
      <c r="B4">
        <v>3</v>
      </c>
      <c r="C4" t="s">
        <v>3499</v>
      </c>
      <c r="D4" t="s">
        <v>6882</v>
      </c>
      <c r="E4" t="s">
        <v>5411</v>
      </c>
      <c r="F4" t="s">
        <v>187</v>
      </c>
      <c r="G4" t="s">
        <v>2361</v>
      </c>
      <c r="H4" t="s">
        <v>3455</v>
      </c>
      <c r="I4" t="s">
        <v>6881</v>
      </c>
    </row>
    <row r="5" spans="1:9" ht="15" customHeight="1" x14ac:dyDescent="0.25">
      <c r="A5" t="s">
        <v>6883</v>
      </c>
      <c r="B5">
        <v>6</v>
      </c>
      <c r="C5" t="s">
        <v>3499</v>
      </c>
      <c r="D5" t="s">
        <v>6884</v>
      </c>
      <c r="E5" t="s">
        <v>3455</v>
      </c>
      <c r="F5" t="s">
        <v>187</v>
      </c>
      <c r="G5" t="s">
        <v>2361</v>
      </c>
      <c r="H5" t="s">
        <v>4258</v>
      </c>
      <c r="I5" t="s">
        <v>6883</v>
      </c>
    </row>
    <row r="6" spans="1:9" ht="15" customHeight="1" x14ac:dyDescent="0.25">
      <c r="A6" t="s">
        <v>3999</v>
      </c>
      <c r="B6">
        <v>1</v>
      </c>
      <c r="C6" t="s">
        <v>3511</v>
      </c>
      <c r="D6" t="s">
        <v>6885</v>
      </c>
      <c r="E6" t="s">
        <v>3455</v>
      </c>
      <c r="F6" t="s">
        <v>187</v>
      </c>
      <c r="G6" t="s">
        <v>2361</v>
      </c>
      <c r="H6" t="s">
        <v>4258</v>
      </c>
      <c r="I6" t="s">
        <v>3999</v>
      </c>
    </row>
    <row r="7" spans="1:9" ht="15" customHeight="1" x14ac:dyDescent="0.25">
      <c r="A7" t="s">
        <v>6886</v>
      </c>
      <c r="B7">
        <v>3</v>
      </c>
      <c r="C7" t="s">
        <v>3499</v>
      </c>
      <c r="D7" t="s">
        <v>6887</v>
      </c>
      <c r="E7" t="s">
        <v>3455</v>
      </c>
      <c r="F7" t="s">
        <v>187</v>
      </c>
      <c r="G7" t="s">
        <v>2361</v>
      </c>
      <c r="H7" t="s">
        <v>3455</v>
      </c>
      <c r="I7" t="s">
        <v>6886</v>
      </c>
    </row>
    <row r="8" spans="1:9" ht="15" customHeight="1" x14ac:dyDescent="0.25">
      <c r="A8" t="s">
        <v>6888</v>
      </c>
      <c r="B8">
        <v>1</v>
      </c>
      <c r="C8" t="s">
        <v>3511</v>
      </c>
      <c r="D8" t="s">
        <v>6889</v>
      </c>
      <c r="E8" t="s">
        <v>5409</v>
      </c>
      <c r="F8" t="s">
        <v>187</v>
      </c>
      <c r="G8" t="s">
        <v>2361</v>
      </c>
      <c r="H8" t="s">
        <v>3455</v>
      </c>
      <c r="I8" t="s">
        <v>6888</v>
      </c>
    </row>
    <row r="9" spans="1:9" ht="15" customHeight="1" x14ac:dyDescent="0.25">
      <c r="A9" t="s">
        <v>6890</v>
      </c>
      <c r="B9">
        <v>2</v>
      </c>
      <c r="C9" t="s">
        <v>41</v>
      </c>
      <c r="D9" t="s">
        <v>4555</v>
      </c>
      <c r="E9" t="s">
        <v>5426</v>
      </c>
      <c r="F9" t="s">
        <v>3994</v>
      </c>
      <c r="G9" t="s">
        <v>2361</v>
      </c>
      <c r="H9" t="s">
        <v>3455</v>
      </c>
      <c r="I9" t="s">
        <v>6890</v>
      </c>
    </row>
    <row r="10" spans="1:9" ht="15" customHeight="1" x14ac:dyDescent="0.25">
      <c r="A10" t="s">
        <v>6891</v>
      </c>
      <c r="B10">
        <v>1</v>
      </c>
      <c r="C10" t="s">
        <v>3499</v>
      </c>
      <c r="D10" t="s">
        <v>6892</v>
      </c>
      <c r="E10" t="s">
        <v>5409</v>
      </c>
      <c r="F10" t="s">
        <v>3994</v>
      </c>
      <c r="G10" t="s">
        <v>2361</v>
      </c>
      <c r="H10" t="s">
        <v>5380</v>
      </c>
      <c r="I10" t="s">
        <v>6891</v>
      </c>
    </row>
    <row r="11" spans="1:9" ht="15" customHeight="1" x14ac:dyDescent="0.25">
      <c r="A11" t="s">
        <v>6893</v>
      </c>
      <c r="B11">
        <v>15</v>
      </c>
      <c r="C11" t="s">
        <v>3499</v>
      </c>
      <c r="D11" t="s">
        <v>6894</v>
      </c>
      <c r="E11" t="s">
        <v>3455</v>
      </c>
      <c r="F11" t="s">
        <v>3994</v>
      </c>
      <c r="G11" t="s">
        <v>2361</v>
      </c>
      <c r="H11" t="s">
        <v>5383</v>
      </c>
      <c r="I11" t="s">
        <v>6893</v>
      </c>
    </row>
    <row r="12" spans="1:9" ht="15" customHeight="1" x14ac:dyDescent="0.25">
      <c r="A12" t="s">
        <v>6895</v>
      </c>
      <c r="B12">
        <v>2</v>
      </c>
      <c r="C12" t="s">
        <v>41</v>
      </c>
      <c r="D12" t="s">
        <v>6896</v>
      </c>
      <c r="E12" t="s">
        <v>3455</v>
      </c>
      <c r="F12" t="s">
        <v>3994</v>
      </c>
      <c r="G12" t="s">
        <v>2361</v>
      </c>
      <c r="H12" t="s">
        <v>5380</v>
      </c>
      <c r="I12" t="s">
        <v>6895</v>
      </c>
    </row>
    <row r="13" spans="1:9" ht="15" customHeight="1" x14ac:dyDescent="0.25">
      <c r="A13" t="s">
        <v>6897</v>
      </c>
      <c r="B13">
        <v>3</v>
      </c>
      <c r="C13" t="s">
        <v>3499</v>
      </c>
      <c r="D13" t="s">
        <v>6898</v>
      </c>
      <c r="E13" t="s">
        <v>3455</v>
      </c>
      <c r="F13" t="s">
        <v>187</v>
      </c>
      <c r="G13" t="s">
        <v>2361</v>
      </c>
      <c r="H13" t="s">
        <v>5251</v>
      </c>
      <c r="I13" t="s">
        <v>6897</v>
      </c>
    </row>
    <row r="14" spans="1:9" ht="15" customHeight="1" x14ac:dyDescent="0.25">
      <c r="A14" t="s">
        <v>6899</v>
      </c>
      <c r="B14">
        <v>1</v>
      </c>
      <c r="C14" t="s">
        <v>41</v>
      </c>
      <c r="D14" t="s">
        <v>6900</v>
      </c>
      <c r="E14" t="s">
        <v>5409</v>
      </c>
      <c r="F14" t="s">
        <v>187</v>
      </c>
      <c r="G14" t="s">
        <v>2361</v>
      </c>
      <c r="H14" t="s">
        <v>3455</v>
      </c>
      <c r="I14" t="s">
        <v>6899</v>
      </c>
    </row>
    <row r="15" spans="1:9" ht="15" customHeight="1" x14ac:dyDescent="0.25">
      <c r="A15" t="s">
        <v>6901</v>
      </c>
      <c r="B15">
        <v>2</v>
      </c>
      <c r="C15" t="s">
        <v>41</v>
      </c>
      <c r="D15" t="s">
        <v>6902</v>
      </c>
      <c r="E15" t="s">
        <v>5456</v>
      </c>
      <c r="F15" t="s">
        <v>187</v>
      </c>
      <c r="G15" t="s">
        <v>2361</v>
      </c>
      <c r="H15" t="s">
        <v>5386</v>
      </c>
      <c r="I15" t="s">
        <v>6901</v>
      </c>
    </row>
    <row r="16" spans="1:9" ht="15" customHeight="1" x14ac:dyDescent="0.25">
      <c r="A16" t="s">
        <v>6903</v>
      </c>
      <c r="B16">
        <v>2</v>
      </c>
      <c r="C16" t="s">
        <v>41</v>
      </c>
      <c r="D16" t="s">
        <v>6904</v>
      </c>
      <c r="E16" t="s">
        <v>5456</v>
      </c>
      <c r="F16" t="s">
        <v>187</v>
      </c>
      <c r="G16" t="s">
        <v>2361</v>
      </c>
      <c r="H16" t="s">
        <v>5386</v>
      </c>
      <c r="I16" t="s">
        <v>6903</v>
      </c>
    </row>
    <row r="17" spans="1:9" ht="15" customHeight="1" x14ac:dyDescent="0.25">
      <c r="A17" t="s">
        <v>6905</v>
      </c>
      <c r="B17">
        <v>3</v>
      </c>
      <c r="C17" t="s">
        <v>3511</v>
      </c>
      <c r="D17" t="s">
        <v>6906</v>
      </c>
      <c r="E17" t="s">
        <v>3455</v>
      </c>
      <c r="F17" t="s">
        <v>187</v>
      </c>
      <c r="G17" t="s">
        <v>2361</v>
      </c>
      <c r="H17" t="s">
        <v>5395</v>
      </c>
      <c r="I17" t="s">
        <v>6905</v>
      </c>
    </row>
    <row r="18" spans="1:9" ht="15" customHeight="1" x14ac:dyDescent="0.25">
      <c r="A18" t="s">
        <v>6907</v>
      </c>
      <c r="B18">
        <v>3</v>
      </c>
      <c r="C18" t="s">
        <v>41</v>
      </c>
      <c r="D18" t="s">
        <v>6908</v>
      </c>
      <c r="E18" t="s">
        <v>5456</v>
      </c>
      <c r="F18" t="s">
        <v>187</v>
      </c>
      <c r="G18" t="s">
        <v>2361</v>
      </c>
      <c r="H18" t="s">
        <v>4258</v>
      </c>
      <c r="I18" t="s">
        <v>6907</v>
      </c>
    </row>
    <row r="19" spans="1:9" ht="15" customHeight="1" x14ac:dyDescent="0.25">
      <c r="A19" t="s">
        <v>6909</v>
      </c>
      <c r="B19">
        <v>4</v>
      </c>
      <c r="C19" t="s">
        <v>41</v>
      </c>
      <c r="D19" t="s">
        <v>6910</v>
      </c>
      <c r="E19" t="s">
        <v>5404</v>
      </c>
      <c r="F19" t="s">
        <v>187</v>
      </c>
      <c r="G19" t="s">
        <v>2361</v>
      </c>
      <c r="H19" t="s">
        <v>5386</v>
      </c>
      <c r="I19" t="s">
        <v>6909</v>
      </c>
    </row>
    <row r="20" spans="1:9" ht="15" customHeight="1" x14ac:dyDescent="0.25">
      <c r="A20" t="s">
        <v>6911</v>
      </c>
      <c r="B20">
        <v>2</v>
      </c>
      <c r="C20" t="s">
        <v>3511</v>
      </c>
      <c r="D20" t="s">
        <v>6912</v>
      </c>
      <c r="E20" t="s">
        <v>5409</v>
      </c>
      <c r="F20" t="s">
        <v>3994</v>
      </c>
      <c r="G20" t="s">
        <v>2361</v>
      </c>
      <c r="H20" t="s">
        <v>5388</v>
      </c>
      <c r="I20" t="s">
        <v>6911</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6913</v>
      </c>
      <c r="D1" t="s">
        <v>1</v>
      </c>
      <c r="E1" t="s">
        <v>7</v>
      </c>
    </row>
    <row r="2" spans="1:5" ht="15" customHeight="1" x14ac:dyDescent="0.25">
      <c r="A2" t="s">
        <v>6914</v>
      </c>
      <c r="B2" t="s">
        <v>41</v>
      </c>
      <c r="C2" t="s">
        <v>4372</v>
      </c>
      <c r="D2" t="s">
        <v>1294</v>
      </c>
      <c r="E2" t="s">
        <v>6915</v>
      </c>
    </row>
    <row r="3" spans="1:5" ht="15" customHeight="1" x14ac:dyDescent="0.25">
      <c r="A3" t="s">
        <v>6916</v>
      </c>
      <c r="B3" t="s">
        <v>3511</v>
      </c>
      <c r="C3" t="s">
        <v>4372</v>
      </c>
      <c r="D3" t="s">
        <v>1294</v>
      </c>
      <c r="E3" t="s">
        <v>6917</v>
      </c>
    </row>
    <row r="4" spans="1:5" ht="15" customHeight="1" x14ac:dyDescent="0.25">
      <c r="A4" t="s">
        <v>6918</v>
      </c>
      <c r="B4" t="s">
        <v>3499</v>
      </c>
      <c r="C4" t="s">
        <v>4372</v>
      </c>
      <c r="D4" t="s">
        <v>1294</v>
      </c>
      <c r="E4" t="s">
        <v>6919</v>
      </c>
    </row>
    <row r="5" spans="1:5" ht="15" customHeight="1" x14ac:dyDescent="0.25">
      <c r="A5" t="s">
        <v>6920</v>
      </c>
      <c r="B5" t="s">
        <v>41</v>
      </c>
      <c r="C5" t="s">
        <v>4370</v>
      </c>
      <c r="D5" t="s">
        <v>1294</v>
      </c>
      <c r="E5" t="s">
        <v>6921</v>
      </c>
    </row>
    <row r="6" spans="1:5" ht="15" customHeight="1" x14ac:dyDescent="0.25">
      <c r="A6" t="s">
        <v>6922</v>
      </c>
      <c r="B6" t="s">
        <v>3511</v>
      </c>
      <c r="C6" t="s">
        <v>4370</v>
      </c>
      <c r="D6" t="s">
        <v>1294</v>
      </c>
      <c r="E6" t="s">
        <v>6923</v>
      </c>
    </row>
    <row r="7" spans="1:5" ht="15" customHeight="1" x14ac:dyDescent="0.25">
      <c r="A7" t="s">
        <v>6924</v>
      </c>
      <c r="B7" t="s">
        <v>3499</v>
      </c>
      <c r="C7" t="s">
        <v>4370</v>
      </c>
      <c r="D7" t="s">
        <v>1294</v>
      </c>
      <c r="E7" t="s">
        <v>6925</v>
      </c>
    </row>
    <row r="8" spans="1:5" ht="15" customHeight="1" x14ac:dyDescent="0.25">
      <c r="A8" t="s">
        <v>6926</v>
      </c>
      <c r="B8" t="s">
        <v>41</v>
      </c>
      <c r="C8" t="s">
        <v>4379</v>
      </c>
      <c r="D8" t="s">
        <v>1294</v>
      </c>
      <c r="E8" t="s">
        <v>6927</v>
      </c>
    </row>
    <row r="9" spans="1:5" ht="15" customHeight="1" x14ac:dyDescent="0.25">
      <c r="A9" t="s">
        <v>6928</v>
      </c>
      <c r="B9" t="s">
        <v>3511</v>
      </c>
      <c r="C9" t="s">
        <v>4379</v>
      </c>
      <c r="D9" t="s">
        <v>1294</v>
      </c>
      <c r="E9" t="s">
        <v>6929</v>
      </c>
    </row>
    <row r="10" spans="1:5" ht="15" customHeight="1" x14ac:dyDescent="0.25">
      <c r="A10" t="s">
        <v>6930</v>
      </c>
      <c r="B10" t="s">
        <v>3499</v>
      </c>
      <c r="C10" t="s">
        <v>4379</v>
      </c>
      <c r="D10" t="s">
        <v>1294</v>
      </c>
      <c r="E10" t="s">
        <v>6931</v>
      </c>
    </row>
    <row r="11" spans="1:5" ht="15" customHeight="1" x14ac:dyDescent="0.25">
      <c r="A11" t="s">
        <v>6932</v>
      </c>
      <c r="B11" t="s">
        <v>41</v>
      </c>
      <c r="C11" t="s">
        <v>4361</v>
      </c>
      <c r="D11" t="s">
        <v>1294</v>
      </c>
      <c r="E11" t="s">
        <v>6933</v>
      </c>
    </row>
    <row r="12" spans="1:5" ht="15" customHeight="1" x14ac:dyDescent="0.25">
      <c r="A12" t="s">
        <v>6934</v>
      </c>
      <c r="B12" t="s">
        <v>3511</v>
      </c>
      <c r="C12" t="s">
        <v>4361</v>
      </c>
      <c r="D12" t="s">
        <v>1294</v>
      </c>
      <c r="E12" t="s">
        <v>6935</v>
      </c>
    </row>
    <row r="13" spans="1:5" ht="15" customHeight="1" x14ac:dyDescent="0.25">
      <c r="A13" t="s">
        <v>6936</v>
      </c>
      <c r="B13" t="s">
        <v>3499</v>
      </c>
      <c r="C13" t="s">
        <v>4361</v>
      </c>
      <c r="D13" t="s">
        <v>1294</v>
      </c>
      <c r="E13" t="s">
        <v>6937</v>
      </c>
    </row>
    <row r="14" spans="1:5" ht="15" customHeight="1" x14ac:dyDescent="0.25">
      <c r="A14" t="s">
        <v>6938</v>
      </c>
      <c r="B14" t="s">
        <v>41</v>
      </c>
      <c r="C14" t="s">
        <v>4386</v>
      </c>
      <c r="D14" t="s">
        <v>1294</v>
      </c>
      <c r="E14" t="s">
        <v>6939</v>
      </c>
    </row>
    <row r="15" spans="1:5" ht="15" customHeight="1" x14ac:dyDescent="0.25">
      <c r="A15" t="s">
        <v>6940</v>
      </c>
      <c r="B15" t="s">
        <v>3511</v>
      </c>
      <c r="C15" t="s">
        <v>4386</v>
      </c>
      <c r="D15" t="s">
        <v>1294</v>
      </c>
      <c r="E15" t="s">
        <v>6941</v>
      </c>
    </row>
    <row r="16" spans="1:5" ht="15" customHeight="1" x14ac:dyDescent="0.25">
      <c r="A16" t="s">
        <v>6942</v>
      </c>
      <c r="B16" t="s">
        <v>3499</v>
      </c>
      <c r="C16" t="s">
        <v>4386</v>
      </c>
      <c r="D16" t="s">
        <v>1294</v>
      </c>
      <c r="E16" t="s">
        <v>6943</v>
      </c>
    </row>
    <row r="17" spans="1:5" ht="15" customHeight="1" x14ac:dyDescent="0.25">
      <c r="A17" t="s">
        <v>6944</v>
      </c>
      <c r="B17" t="s">
        <v>41</v>
      </c>
      <c r="C17" t="s">
        <v>4393</v>
      </c>
      <c r="D17" t="s">
        <v>1294</v>
      </c>
      <c r="E17" t="s">
        <v>6945</v>
      </c>
    </row>
    <row r="18" spans="1:5" ht="15" customHeight="1" x14ac:dyDescent="0.25">
      <c r="A18" t="s">
        <v>6946</v>
      </c>
      <c r="B18" t="s">
        <v>3511</v>
      </c>
      <c r="C18" t="s">
        <v>4393</v>
      </c>
      <c r="D18" t="s">
        <v>1294</v>
      </c>
      <c r="E18" t="s">
        <v>6947</v>
      </c>
    </row>
    <row r="19" spans="1:5" ht="15" customHeight="1" x14ac:dyDescent="0.25">
      <c r="A19" t="s">
        <v>6948</v>
      </c>
      <c r="B19" t="s">
        <v>3499</v>
      </c>
      <c r="C19" t="s">
        <v>4393</v>
      </c>
      <c r="D19" t="s">
        <v>1294</v>
      </c>
      <c r="E19" t="s">
        <v>6949</v>
      </c>
    </row>
    <row r="20" spans="1:5" ht="15" customHeight="1" x14ac:dyDescent="0.25">
      <c r="A20" t="s">
        <v>6950</v>
      </c>
      <c r="B20" t="s">
        <v>41</v>
      </c>
      <c r="C20" t="s">
        <v>4393</v>
      </c>
      <c r="D20" t="s">
        <v>709</v>
      </c>
      <c r="E20" t="s">
        <v>6951</v>
      </c>
    </row>
    <row r="21" spans="1:5" ht="15" customHeight="1" x14ac:dyDescent="0.25">
      <c r="A21" t="s">
        <v>6952</v>
      </c>
      <c r="B21" t="s">
        <v>41</v>
      </c>
      <c r="C21" t="s">
        <v>4393</v>
      </c>
      <c r="D21" t="s">
        <v>709</v>
      </c>
      <c r="E21" t="s">
        <v>6953</v>
      </c>
    </row>
    <row r="22" spans="1:5" ht="15" customHeight="1" x14ac:dyDescent="0.25">
      <c r="A22" t="s">
        <v>6954</v>
      </c>
      <c r="B22" t="s">
        <v>3511</v>
      </c>
      <c r="C22" t="s">
        <v>4393</v>
      </c>
      <c r="D22" t="s">
        <v>709</v>
      </c>
      <c r="E22" t="s">
        <v>6955</v>
      </c>
    </row>
    <row r="23" spans="1:5" ht="15" customHeight="1" x14ac:dyDescent="0.25">
      <c r="A23" t="s">
        <v>6956</v>
      </c>
      <c r="B23" t="s">
        <v>3511</v>
      </c>
      <c r="C23" t="s">
        <v>4393</v>
      </c>
      <c r="D23" t="s">
        <v>709</v>
      </c>
      <c r="E23" t="s">
        <v>6957</v>
      </c>
    </row>
    <row r="24" spans="1:5" ht="15" customHeight="1" x14ac:dyDescent="0.25">
      <c r="A24" t="s">
        <v>6958</v>
      </c>
      <c r="B24" t="s">
        <v>3499</v>
      </c>
      <c r="C24" t="s">
        <v>4393</v>
      </c>
      <c r="D24" t="s">
        <v>709</v>
      </c>
      <c r="E24" t="s">
        <v>6959</v>
      </c>
    </row>
    <row r="25" spans="1:5" ht="15" customHeight="1" x14ac:dyDescent="0.25">
      <c r="A25" t="s">
        <v>6960</v>
      </c>
      <c r="B25" t="s">
        <v>3499</v>
      </c>
      <c r="C25" t="s">
        <v>4393</v>
      </c>
      <c r="D25" t="s">
        <v>709</v>
      </c>
      <c r="E25" t="s">
        <v>6961</v>
      </c>
    </row>
    <row r="26" spans="1:5" ht="15" customHeight="1" x14ac:dyDescent="0.25">
      <c r="A26" t="s">
        <v>6962</v>
      </c>
      <c r="B26" t="s">
        <v>3499</v>
      </c>
      <c r="C26" t="s">
        <v>4393</v>
      </c>
      <c r="D26" t="s">
        <v>709</v>
      </c>
      <c r="E26" t="s">
        <v>6963</v>
      </c>
    </row>
    <row r="27" spans="1:5" ht="15" customHeight="1" x14ac:dyDescent="0.25">
      <c r="A27" t="s">
        <v>6964</v>
      </c>
      <c r="B27" t="s">
        <v>3499</v>
      </c>
      <c r="C27" t="s">
        <v>4393</v>
      </c>
      <c r="D27" t="s">
        <v>709</v>
      </c>
      <c r="E27" t="s">
        <v>6965</v>
      </c>
    </row>
    <row r="28" spans="1:5" ht="15" customHeight="1" x14ac:dyDescent="0.25">
      <c r="A28" t="s">
        <v>6966</v>
      </c>
      <c r="B28" t="s">
        <v>3499</v>
      </c>
      <c r="C28" t="s">
        <v>4393</v>
      </c>
      <c r="D28" t="s">
        <v>709</v>
      </c>
      <c r="E28" t="s">
        <v>6967</v>
      </c>
    </row>
    <row r="29" spans="1:5" ht="15" customHeight="1" x14ac:dyDescent="0.25">
      <c r="A29" t="s">
        <v>6968</v>
      </c>
      <c r="B29" t="s">
        <v>3511</v>
      </c>
      <c r="C29" t="s">
        <v>4370</v>
      </c>
      <c r="D29" t="s">
        <v>918</v>
      </c>
      <c r="E29" t="s">
        <v>6969</v>
      </c>
    </row>
    <row r="30" spans="1:5" ht="15" customHeight="1" x14ac:dyDescent="0.25">
      <c r="A30" t="s">
        <v>6970</v>
      </c>
      <c r="B30" t="s">
        <v>3511</v>
      </c>
      <c r="C30" t="s">
        <v>6971</v>
      </c>
      <c r="D30" t="s">
        <v>918</v>
      </c>
      <c r="E30" t="s">
        <v>6972</v>
      </c>
    </row>
    <row r="31" spans="1:5" ht="15" customHeight="1" x14ac:dyDescent="0.25">
      <c r="A31" t="s">
        <v>6973</v>
      </c>
      <c r="B31" t="s">
        <v>41</v>
      </c>
      <c r="C31" t="s">
        <v>4399</v>
      </c>
      <c r="D31" t="s">
        <v>918</v>
      </c>
      <c r="E31" t="s">
        <v>6974</v>
      </c>
    </row>
    <row r="32" spans="1:5" ht="15" customHeight="1" x14ac:dyDescent="0.25">
      <c r="A32" t="s">
        <v>6975</v>
      </c>
      <c r="B32" t="s">
        <v>3499</v>
      </c>
      <c r="C32" t="s">
        <v>4393</v>
      </c>
      <c r="D32" t="s">
        <v>918</v>
      </c>
      <c r="E32" t="s">
        <v>6976</v>
      </c>
    </row>
    <row r="33" spans="1:5" ht="15" customHeight="1" x14ac:dyDescent="0.25">
      <c r="A33" t="s">
        <v>6977</v>
      </c>
      <c r="B33" t="s">
        <v>41</v>
      </c>
      <c r="C33" t="s">
        <v>4399</v>
      </c>
      <c r="D33" t="s">
        <v>918</v>
      </c>
      <c r="E33" t="s">
        <v>6978</v>
      </c>
    </row>
    <row r="34" spans="1:5" ht="15" customHeight="1" x14ac:dyDescent="0.25">
      <c r="A34" t="s">
        <v>6979</v>
      </c>
      <c r="B34" t="s">
        <v>3511</v>
      </c>
      <c r="C34" t="s">
        <v>4393</v>
      </c>
      <c r="D34" t="s">
        <v>918</v>
      </c>
      <c r="E34" t="s">
        <v>6980</v>
      </c>
    </row>
    <row r="35" spans="1:5" ht="15" customHeight="1" x14ac:dyDescent="0.25">
      <c r="A35" t="s">
        <v>6981</v>
      </c>
      <c r="B35" t="s">
        <v>41</v>
      </c>
      <c r="C35" t="s">
        <v>4393</v>
      </c>
      <c r="D35" t="s">
        <v>918</v>
      </c>
      <c r="E35" t="s">
        <v>6982</v>
      </c>
    </row>
    <row r="36" spans="1:5" ht="15" customHeight="1" x14ac:dyDescent="0.25">
      <c r="A36" t="s">
        <v>6983</v>
      </c>
      <c r="B36" t="s">
        <v>41</v>
      </c>
      <c r="C36" t="s">
        <v>4393</v>
      </c>
      <c r="D36" t="s">
        <v>918</v>
      </c>
      <c r="E36" t="s">
        <v>6984</v>
      </c>
    </row>
    <row r="37" spans="1:5" ht="15" customHeight="1" x14ac:dyDescent="0.25">
      <c r="A37" t="s">
        <v>6985</v>
      </c>
      <c r="B37" t="s">
        <v>41</v>
      </c>
      <c r="C37" t="s">
        <v>4372</v>
      </c>
      <c r="D37" t="s">
        <v>1298</v>
      </c>
      <c r="E37" t="s">
        <v>6986</v>
      </c>
    </row>
    <row r="38" spans="1:5" ht="15" customHeight="1" x14ac:dyDescent="0.25">
      <c r="A38" t="s">
        <v>6987</v>
      </c>
      <c r="B38" t="s">
        <v>3511</v>
      </c>
      <c r="C38" t="s">
        <v>4372</v>
      </c>
      <c r="D38" t="s">
        <v>1298</v>
      </c>
      <c r="E38" t="s">
        <v>6988</v>
      </c>
    </row>
    <row r="39" spans="1:5" ht="15" customHeight="1" x14ac:dyDescent="0.25">
      <c r="A39" t="s">
        <v>6989</v>
      </c>
      <c r="B39" t="s">
        <v>3499</v>
      </c>
      <c r="C39" t="s">
        <v>4372</v>
      </c>
      <c r="D39" t="s">
        <v>1298</v>
      </c>
      <c r="E39" t="s">
        <v>6990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3731</v>
      </c>
      <c r="D1" t="s">
        <v>5014</v>
      </c>
      <c r="E1" s="9" t="s">
        <v>5015</v>
      </c>
      <c r="F1" s="9" t="s">
        <v>5016</v>
      </c>
      <c r="G1" t="s">
        <v>3736</v>
      </c>
      <c r="H1" t="s">
        <v>1</v>
      </c>
      <c r="I1" t="s">
        <v>5017</v>
      </c>
      <c r="J1" t="s">
        <v>6991</v>
      </c>
      <c r="K1" t="s">
        <v>171</v>
      </c>
      <c r="L1" t="s">
        <v>5019</v>
      </c>
      <c r="M1" t="s">
        <v>3737</v>
      </c>
    </row>
    <row r="2" spans="1:13" ht="15" customHeight="1" x14ac:dyDescent="0.25">
      <c r="A2" t="s">
        <v>6992</v>
      </c>
      <c r="B2" t="s">
        <v>3979</v>
      </c>
      <c r="C2" t="s">
        <v>4360</v>
      </c>
      <c r="D2">
        <v>2</v>
      </c>
      <c r="E2" s="9">
        <v>30</v>
      </c>
      <c r="F2" s="9">
        <v>34</v>
      </c>
      <c r="G2" t="s">
        <v>6993</v>
      </c>
      <c r="H2" t="s">
        <v>2132</v>
      </c>
      <c r="I2" t="s">
        <v>4393</v>
      </c>
      <c r="J2" t="s">
        <v>6994</v>
      </c>
      <c r="K2" t="s">
        <v>6992</v>
      </c>
      <c r="L2" t="s">
        <v>3455</v>
      </c>
    </row>
    <row r="3" spans="1:13" ht="15" customHeight="1" x14ac:dyDescent="0.25">
      <c r="A3" t="s">
        <v>6995</v>
      </c>
      <c r="B3" t="s">
        <v>3979</v>
      </c>
      <c r="C3" t="s">
        <v>4364</v>
      </c>
      <c r="D3">
        <v>2</v>
      </c>
      <c r="E3" s="9">
        <v>64</v>
      </c>
      <c r="F3" s="9">
        <v>70</v>
      </c>
      <c r="G3" t="s">
        <v>6993</v>
      </c>
      <c r="H3" t="s">
        <v>2132</v>
      </c>
      <c r="I3" t="s">
        <v>4393</v>
      </c>
      <c r="J3" t="s">
        <v>6996</v>
      </c>
      <c r="K3" t="s">
        <v>6997</v>
      </c>
      <c r="L3" t="s">
        <v>3455</v>
      </c>
    </row>
    <row r="4" spans="1:13" ht="15" customHeight="1" x14ac:dyDescent="0.25">
      <c r="A4" t="s">
        <v>6998</v>
      </c>
      <c r="B4" t="s">
        <v>3979</v>
      </c>
      <c r="C4" t="s">
        <v>5023</v>
      </c>
      <c r="D4">
        <v>7</v>
      </c>
      <c r="E4" s="9">
        <v>150</v>
      </c>
      <c r="F4" s="9">
        <v>160</v>
      </c>
      <c r="G4" t="s">
        <v>6993</v>
      </c>
      <c r="H4" t="s">
        <v>2132</v>
      </c>
      <c r="I4" t="s">
        <v>4393</v>
      </c>
      <c r="J4" t="s">
        <v>6999</v>
      </c>
      <c r="K4" t="s">
        <v>7000</v>
      </c>
      <c r="L4" t="s">
        <v>3455</v>
      </c>
    </row>
    <row r="5" spans="1:13" ht="15" customHeight="1" x14ac:dyDescent="0.25">
      <c r="A5" t="s">
        <v>5079</v>
      </c>
      <c r="B5" t="s">
        <v>3979</v>
      </c>
      <c r="C5" t="s">
        <v>4360</v>
      </c>
      <c r="D5" t="s">
        <v>3455</v>
      </c>
      <c r="E5" s="9">
        <v>20</v>
      </c>
      <c r="F5" s="9">
        <v>24</v>
      </c>
      <c r="G5" t="s">
        <v>3455</v>
      </c>
      <c r="H5" t="s">
        <v>160</v>
      </c>
      <c r="I5" t="s">
        <v>4393</v>
      </c>
      <c r="J5" t="s">
        <v>7001</v>
      </c>
      <c r="K5" t="s">
        <v>5079</v>
      </c>
      <c r="L5" t="s">
        <v>3455</v>
      </c>
    </row>
    <row r="6" spans="1:13" ht="15" customHeight="1" x14ac:dyDescent="0.25">
      <c r="A6" t="s">
        <v>5070</v>
      </c>
      <c r="B6" t="s">
        <v>3979</v>
      </c>
      <c r="C6" t="s">
        <v>4360</v>
      </c>
      <c r="D6">
        <v>2</v>
      </c>
      <c r="E6" s="9">
        <v>20</v>
      </c>
      <c r="F6" s="9">
        <v>24</v>
      </c>
      <c r="G6" t="s">
        <v>7002</v>
      </c>
      <c r="H6" t="s">
        <v>160</v>
      </c>
      <c r="I6" t="s">
        <v>4393</v>
      </c>
      <c r="J6" t="s">
        <v>7003</v>
      </c>
      <c r="K6" t="s">
        <v>5070</v>
      </c>
      <c r="L6" t="s">
        <v>3455</v>
      </c>
    </row>
    <row r="7" spans="1:13" ht="15" customHeight="1" x14ac:dyDescent="0.25">
      <c r="A7" t="s">
        <v>5077</v>
      </c>
      <c r="B7" t="s">
        <v>3979</v>
      </c>
      <c r="C7" t="s">
        <v>4360</v>
      </c>
      <c r="D7" t="s">
        <v>3455</v>
      </c>
      <c r="E7" s="9">
        <v>20</v>
      </c>
      <c r="F7" s="9">
        <v>24</v>
      </c>
      <c r="G7" t="s">
        <v>3455</v>
      </c>
      <c r="H7" t="s">
        <v>160</v>
      </c>
      <c r="I7" t="s">
        <v>4393</v>
      </c>
      <c r="J7" t="s">
        <v>7004</v>
      </c>
      <c r="K7" t="s">
        <v>5077</v>
      </c>
      <c r="L7" t="s">
        <v>3455</v>
      </c>
    </row>
    <row r="8" spans="1:13" ht="15" customHeight="1" x14ac:dyDescent="0.25">
      <c r="A8" t="s">
        <v>7005</v>
      </c>
      <c r="B8" t="s">
        <v>3979</v>
      </c>
      <c r="C8" t="s">
        <v>4364</v>
      </c>
      <c r="D8">
        <v>3</v>
      </c>
      <c r="E8" s="9">
        <v>48</v>
      </c>
      <c r="F8" s="9">
        <v>54</v>
      </c>
      <c r="G8" t="s">
        <v>3455</v>
      </c>
      <c r="H8" t="s">
        <v>160</v>
      </c>
      <c r="I8" t="s">
        <v>4393</v>
      </c>
      <c r="J8" t="s">
        <v>7006</v>
      </c>
      <c r="K8" t="s">
        <v>7007</v>
      </c>
      <c r="L8" t="s">
        <v>3455</v>
      </c>
    </row>
    <row r="9" spans="1:13" ht="15" customHeight="1" x14ac:dyDescent="0.25">
      <c r="A9" t="s">
        <v>7008</v>
      </c>
      <c r="B9" t="s">
        <v>3979</v>
      </c>
      <c r="C9" t="s">
        <v>5023</v>
      </c>
      <c r="D9">
        <v>7</v>
      </c>
      <c r="E9" s="9">
        <v>130</v>
      </c>
      <c r="F9" s="9">
        <v>140</v>
      </c>
      <c r="G9" t="s">
        <v>7009</v>
      </c>
      <c r="H9" t="s">
        <v>160</v>
      </c>
      <c r="I9" t="s">
        <v>4393</v>
      </c>
      <c r="J9" t="s">
        <v>7010</v>
      </c>
      <c r="K9" t="s">
        <v>7011</v>
      </c>
      <c r="L9" t="s">
        <v>3455</v>
      </c>
      <c r="M9" t="s">
        <v>4630</v>
      </c>
    </row>
    <row r="10" spans="1:13" ht="15" customHeight="1" x14ac:dyDescent="0.25">
      <c r="A10" t="s">
        <v>3841</v>
      </c>
      <c r="B10" t="s">
        <v>6865</v>
      </c>
      <c r="C10" t="s">
        <v>4360</v>
      </c>
      <c r="D10">
        <v>1</v>
      </c>
      <c r="E10" s="9">
        <v>20</v>
      </c>
      <c r="F10" s="9">
        <v>24</v>
      </c>
      <c r="G10" t="s">
        <v>5244</v>
      </c>
      <c r="H10" t="s">
        <v>501</v>
      </c>
      <c r="I10" t="s">
        <v>4396</v>
      </c>
      <c r="J10" t="s">
        <v>7012</v>
      </c>
      <c r="K10" t="s">
        <v>3841</v>
      </c>
      <c r="L10" t="s">
        <v>3455</v>
      </c>
    </row>
    <row r="11" spans="1:13" ht="15" customHeight="1" x14ac:dyDescent="0.25">
      <c r="A11" t="s">
        <v>7013</v>
      </c>
      <c r="B11" t="s">
        <v>6865</v>
      </c>
      <c r="C11" t="s">
        <v>4360</v>
      </c>
      <c r="D11">
        <v>2</v>
      </c>
      <c r="E11" s="9">
        <v>30</v>
      </c>
      <c r="F11" s="9">
        <v>34</v>
      </c>
      <c r="G11" t="s">
        <v>5244</v>
      </c>
      <c r="H11" t="s">
        <v>501</v>
      </c>
      <c r="I11" t="s">
        <v>4396</v>
      </c>
      <c r="J11" t="s">
        <v>7014</v>
      </c>
      <c r="K11" t="s">
        <v>7015</v>
      </c>
      <c r="L11" t="s">
        <v>3455</v>
      </c>
    </row>
    <row r="12" spans="1:13" ht="15" customHeight="1" x14ac:dyDescent="0.25">
      <c r="A12" t="s">
        <v>7016</v>
      </c>
      <c r="B12" t="s">
        <v>6865</v>
      </c>
      <c r="C12" t="s">
        <v>4360</v>
      </c>
      <c r="D12">
        <v>3</v>
      </c>
      <c r="E12" s="9">
        <v>40</v>
      </c>
      <c r="F12" s="9">
        <v>44</v>
      </c>
      <c r="G12" t="s">
        <v>7017</v>
      </c>
      <c r="H12" t="s">
        <v>501</v>
      </c>
      <c r="I12" t="s">
        <v>4396</v>
      </c>
      <c r="J12" t="s">
        <v>7018</v>
      </c>
      <c r="K12" t="s">
        <v>7019</v>
      </c>
      <c r="L12" t="s">
        <v>3455</v>
      </c>
    </row>
    <row r="13" spans="1:13" ht="15" customHeight="1" x14ac:dyDescent="0.25">
      <c r="A13" t="s">
        <v>7020</v>
      </c>
      <c r="B13" t="s">
        <v>6865</v>
      </c>
      <c r="C13" t="s">
        <v>4360</v>
      </c>
      <c r="D13" t="s">
        <v>3455</v>
      </c>
      <c r="E13" s="9">
        <v>12</v>
      </c>
      <c r="F13" s="9">
        <v>14</v>
      </c>
      <c r="G13" t="s">
        <v>5244</v>
      </c>
      <c r="H13" t="s">
        <v>501</v>
      </c>
      <c r="I13" t="s">
        <v>4396</v>
      </c>
      <c r="J13" t="s">
        <v>7021</v>
      </c>
      <c r="K13" t="s">
        <v>7020</v>
      </c>
      <c r="L13" t="s">
        <v>3455</v>
      </c>
    </row>
    <row r="14" spans="1:13" ht="15" customHeight="1" x14ac:dyDescent="0.25">
      <c r="A14" t="s">
        <v>3849</v>
      </c>
      <c r="B14" t="s">
        <v>6865</v>
      </c>
      <c r="C14" t="s">
        <v>4364</v>
      </c>
      <c r="D14">
        <v>3</v>
      </c>
      <c r="E14" s="9">
        <v>130</v>
      </c>
      <c r="F14" s="9">
        <v>140</v>
      </c>
      <c r="G14" t="s">
        <v>7022</v>
      </c>
      <c r="H14" t="s">
        <v>501</v>
      </c>
      <c r="I14" t="s">
        <v>4379</v>
      </c>
      <c r="J14" t="s">
        <v>7023</v>
      </c>
      <c r="K14" t="s">
        <v>3849</v>
      </c>
      <c r="L14" t="s">
        <v>3455</v>
      </c>
    </row>
    <row r="15" spans="1:13" ht="15" customHeight="1" x14ac:dyDescent="0.25">
      <c r="A15" t="s">
        <v>7024</v>
      </c>
      <c r="B15" t="s">
        <v>6865</v>
      </c>
      <c r="C15" t="s">
        <v>4364</v>
      </c>
      <c r="D15" t="s">
        <v>3455</v>
      </c>
      <c r="E15" s="9">
        <v>130</v>
      </c>
      <c r="F15" s="9">
        <v>140</v>
      </c>
      <c r="G15" t="s">
        <v>7022</v>
      </c>
      <c r="H15" t="s">
        <v>501</v>
      </c>
      <c r="I15" t="s">
        <v>4379</v>
      </c>
      <c r="J15" t="s">
        <v>7025</v>
      </c>
      <c r="K15" t="s">
        <v>7026</v>
      </c>
      <c r="L15" t="s">
        <v>3849</v>
      </c>
    </row>
    <row r="16" spans="1:13" ht="15" customHeight="1" x14ac:dyDescent="0.25">
      <c r="A16" t="s">
        <v>7027</v>
      </c>
      <c r="B16" t="s">
        <v>6865</v>
      </c>
      <c r="C16" t="s">
        <v>5023</v>
      </c>
      <c r="D16">
        <v>5</v>
      </c>
      <c r="E16" s="9">
        <v>100</v>
      </c>
      <c r="F16" s="9">
        <v>110</v>
      </c>
      <c r="G16" t="s">
        <v>7028</v>
      </c>
      <c r="H16" t="s">
        <v>501</v>
      </c>
      <c r="I16" t="s">
        <v>4386</v>
      </c>
      <c r="J16" t="s">
        <v>7029</v>
      </c>
      <c r="K16" t="s">
        <v>7030</v>
      </c>
      <c r="L16" t="s">
        <v>3455</v>
      </c>
    </row>
    <row r="17" spans="1:13" ht="15" customHeight="1" x14ac:dyDescent="0.25">
      <c r="A17" t="s">
        <v>7031</v>
      </c>
      <c r="B17" t="s">
        <v>3996</v>
      </c>
      <c r="C17" t="s">
        <v>4360</v>
      </c>
      <c r="D17">
        <v>1</v>
      </c>
      <c r="E17" s="9">
        <v>30</v>
      </c>
      <c r="F17" s="9">
        <v>34</v>
      </c>
      <c r="G17" t="s">
        <v>5257</v>
      </c>
      <c r="H17" t="s">
        <v>2154</v>
      </c>
      <c r="I17" t="s">
        <v>4393</v>
      </c>
      <c r="J17" t="s">
        <v>7032</v>
      </c>
      <c r="K17" t="s">
        <v>7031</v>
      </c>
      <c r="L17" t="s">
        <v>3455</v>
      </c>
      <c r="M17" t="s">
        <v>3840</v>
      </c>
    </row>
    <row r="18" spans="1:13" ht="15" customHeight="1" x14ac:dyDescent="0.25">
      <c r="A18" t="s">
        <v>7033</v>
      </c>
      <c r="B18" t="s">
        <v>3996</v>
      </c>
      <c r="C18" t="s">
        <v>4364</v>
      </c>
      <c r="D18">
        <v>3</v>
      </c>
      <c r="E18" s="9">
        <v>40</v>
      </c>
      <c r="F18" s="9">
        <v>46</v>
      </c>
      <c r="G18" t="s">
        <v>7034</v>
      </c>
      <c r="H18" t="s">
        <v>2154</v>
      </c>
      <c r="I18" t="s">
        <v>4393</v>
      </c>
      <c r="J18" t="s">
        <v>7035</v>
      </c>
      <c r="K18" t="s">
        <v>7033</v>
      </c>
      <c r="L18" t="s">
        <v>3455</v>
      </c>
    </row>
    <row r="19" spans="1:13" ht="15" customHeight="1" x14ac:dyDescent="0.25">
      <c r="A19" t="s">
        <v>7036</v>
      </c>
      <c r="B19" t="s">
        <v>3996</v>
      </c>
      <c r="C19" t="s">
        <v>4364</v>
      </c>
      <c r="D19">
        <v>4</v>
      </c>
      <c r="E19" s="9">
        <v>60</v>
      </c>
      <c r="F19" s="9">
        <v>66</v>
      </c>
      <c r="G19" t="s">
        <v>5257</v>
      </c>
      <c r="H19" t="s">
        <v>2154</v>
      </c>
      <c r="I19" t="s">
        <v>4393</v>
      </c>
      <c r="J19" t="s">
        <v>7037</v>
      </c>
      <c r="K19" t="s">
        <v>7036</v>
      </c>
      <c r="L19" t="s">
        <v>3455</v>
      </c>
    </row>
    <row r="20" spans="1:13" ht="15" customHeight="1" x14ac:dyDescent="0.25">
      <c r="A20" t="s">
        <v>3968</v>
      </c>
      <c r="B20" t="s">
        <v>3996</v>
      </c>
      <c r="C20" t="s">
        <v>5023</v>
      </c>
      <c r="D20">
        <v>9</v>
      </c>
      <c r="E20" s="9">
        <v>250</v>
      </c>
      <c r="F20" s="9">
        <v>270</v>
      </c>
      <c r="G20" t="s">
        <v>7038</v>
      </c>
      <c r="H20" t="s">
        <v>2154</v>
      </c>
      <c r="I20" t="s">
        <v>4393</v>
      </c>
      <c r="J20" t="s">
        <v>7039</v>
      </c>
      <c r="K20" t="s">
        <v>3968</v>
      </c>
      <c r="L20" t="s">
        <v>3455</v>
      </c>
      <c r="M20" t="s">
        <v>7040</v>
      </c>
    </row>
    <row r="21" spans="1:13" ht="15" customHeight="1" x14ac:dyDescent="0.25">
      <c r="A21" t="s">
        <v>3799</v>
      </c>
      <c r="B21" t="s">
        <v>5020</v>
      </c>
      <c r="C21" t="s">
        <v>4360</v>
      </c>
      <c r="D21">
        <v>2</v>
      </c>
      <c r="E21" s="9">
        <v>48</v>
      </c>
      <c r="F21" s="9">
        <v>54</v>
      </c>
      <c r="G21" t="s">
        <v>3455</v>
      </c>
      <c r="H21" t="s">
        <v>90</v>
      </c>
      <c r="I21" t="s">
        <v>4393</v>
      </c>
      <c r="J21" t="s">
        <v>7041</v>
      </c>
      <c r="K21" t="s">
        <v>3799</v>
      </c>
      <c r="L21" t="s">
        <v>3455</v>
      </c>
    </row>
    <row r="22" spans="1:13" ht="15" customHeight="1" x14ac:dyDescent="0.25">
      <c r="A22" t="s">
        <v>3828</v>
      </c>
      <c r="B22" t="s">
        <v>5020</v>
      </c>
      <c r="C22" t="s">
        <v>4364</v>
      </c>
      <c r="D22">
        <v>6</v>
      </c>
      <c r="E22" s="9">
        <v>114</v>
      </c>
      <c r="F22" s="9">
        <v>120</v>
      </c>
      <c r="G22" t="s">
        <v>3455</v>
      </c>
      <c r="H22" t="s">
        <v>90</v>
      </c>
      <c r="I22" t="s">
        <v>4393</v>
      </c>
      <c r="J22" t="s">
        <v>7042</v>
      </c>
      <c r="K22" t="s">
        <v>3828</v>
      </c>
      <c r="L22" t="s">
        <v>3455</v>
      </c>
    </row>
    <row r="23" spans="1:13" ht="15" customHeight="1" x14ac:dyDescent="0.25">
      <c r="A23" t="s">
        <v>3834</v>
      </c>
      <c r="B23" t="s">
        <v>5020</v>
      </c>
      <c r="C23" t="s">
        <v>5023</v>
      </c>
      <c r="D23">
        <v>9</v>
      </c>
      <c r="E23" s="9">
        <v>999</v>
      </c>
      <c r="F23" s="9">
        <v>999</v>
      </c>
      <c r="G23" t="s">
        <v>5024</v>
      </c>
      <c r="H23" t="s">
        <v>90</v>
      </c>
      <c r="I23" t="s">
        <v>4393</v>
      </c>
      <c r="J23" t="s">
        <v>7043</v>
      </c>
      <c r="K23" t="s">
        <v>3834</v>
      </c>
      <c r="L23" t="s">
        <v>3455</v>
      </c>
    </row>
    <row r="24" spans="1:13" ht="15" customHeight="1" x14ac:dyDescent="0.25">
      <c r="A24" t="s">
        <v>7044</v>
      </c>
      <c r="B24" t="s">
        <v>6865</v>
      </c>
      <c r="C24" t="s">
        <v>4360</v>
      </c>
      <c r="D24">
        <v>1</v>
      </c>
      <c r="E24" s="9">
        <v>20</v>
      </c>
      <c r="F24" s="9">
        <v>24</v>
      </c>
      <c r="G24" t="s">
        <v>7045</v>
      </c>
      <c r="H24" t="s">
        <v>2361</v>
      </c>
      <c r="I24" t="s">
        <v>4372</v>
      </c>
      <c r="J24" t="s">
        <v>7046</v>
      </c>
      <c r="K24" t="s">
        <v>7044</v>
      </c>
      <c r="L24" t="s">
        <v>3455</v>
      </c>
      <c r="M24" t="s">
        <v>3759</v>
      </c>
    </row>
    <row r="25" spans="1:13" ht="15" customHeight="1" x14ac:dyDescent="0.25">
      <c r="A25" t="s">
        <v>7047</v>
      </c>
      <c r="B25" t="s">
        <v>6865</v>
      </c>
      <c r="C25" t="s">
        <v>4364</v>
      </c>
      <c r="D25">
        <v>3</v>
      </c>
      <c r="E25" s="9">
        <v>48</v>
      </c>
      <c r="F25" s="9">
        <v>54</v>
      </c>
      <c r="G25" t="s">
        <v>3455</v>
      </c>
      <c r="H25" t="s">
        <v>2361</v>
      </c>
      <c r="I25" t="s">
        <v>4393</v>
      </c>
      <c r="J25" t="s">
        <v>7048</v>
      </c>
      <c r="K25" t="s">
        <v>7047</v>
      </c>
      <c r="L25" t="s">
        <v>3455</v>
      </c>
    </row>
    <row r="26" spans="1:13" ht="15" customHeight="1" x14ac:dyDescent="0.25">
      <c r="A26" t="s">
        <v>7049</v>
      </c>
      <c r="B26" t="s">
        <v>6865</v>
      </c>
      <c r="C26" t="s">
        <v>5023</v>
      </c>
      <c r="D26">
        <v>3</v>
      </c>
      <c r="E26" s="9">
        <v>60</v>
      </c>
      <c r="F26" s="9">
        <v>66</v>
      </c>
      <c r="G26" t="s">
        <v>7050</v>
      </c>
      <c r="H26" t="s">
        <v>2361</v>
      </c>
      <c r="I26" t="s">
        <v>4393</v>
      </c>
      <c r="J26" t="s">
        <v>7051</v>
      </c>
      <c r="K26" t="s">
        <v>7049</v>
      </c>
      <c r="L26" t="s">
        <v>3455</v>
      </c>
    </row>
    <row r="27" spans="1:13" ht="15" customHeight="1" x14ac:dyDescent="0.25">
      <c r="A27" t="s">
        <v>5026</v>
      </c>
      <c r="B27" t="s">
        <v>5020</v>
      </c>
      <c r="C27" t="s">
        <v>4360</v>
      </c>
      <c r="D27">
        <v>3</v>
      </c>
      <c r="E27" s="9">
        <v>40</v>
      </c>
      <c r="F27" s="9">
        <v>44</v>
      </c>
      <c r="G27" t="s">
        <v>3455</v>
      </c>
      <c r="H27" t="s">
        <v>90</v>
      </c>
      <c r="I27" t="s">
        <v>4393</v>
      </c>
      <c r="J27" t="s">
        <v>7052</v>
      </c>
      <c r="K27" t="s">
        <v>5028</v>
      </c>
      <c r="L27" t="s">
        <v>3455</v>
      </c>
    </row>
    <row r="28" spans="1:13" ht="15" customHeight="1" x14ac:dyDescent="0.25">
      <c r="A28" t="s">
        <v>5029</v>
      </c>
      <c r="B28" t="s">
        <v>5020</v>
      </c>
      <c r="C28" t="s">
        <v>4360</v>
      </c>
      <c r="D28">
        <v>1</v>
      </c>
      <c r="E28" s="9">
        <v>10</v>
      </c>
      <c r="F28" s="9">
        <v>15</v>
      </c>
      <c r="G28" t="s">
        <v>5030</v>
      </c>
      <c r="H28" t="s">
        <v>90</v>
      </c>
      <c r="I28" t="s">
        <v>4393</v>
      </c>
      <c r="J28" t="s">
        <v>7053</v>
      </c>
      <c r="K28" t="s">
        <v>5032</v>
      </c>
      <c r="L28" t="s">
        <v>3455</v>
      </c>
      <c r="M28" t="s">
        <v>4630</v>
      </c>
    </row>
    <row r="29" spans="1:13" ht="15" customHeight="1" x14ac:dyDescent="0.25">
      <c r="A29" t="s">
        <v>5033</v>
      </c>
      <c r="B29" t="s">
        <v>5020</v>
      </c>
      <c r="C29" t="s">
        <v>4360</v>
      </c>
      <c r="D29">
        <v>1</v>
      </c>
      <c r="E29" s="9">
        <v>11</v>
      </c>
      <c r="F29" s="9">
        <v>17</v>
      </c>
      <c r="G29" t="s">
        <v>5030</v>
      </c>
      <c r="H29" t="s">
        <v>90</v>
      </c>
      <c r="I29" t="s">
        <v>4393</v>
      </c>
      <c r="J29" t="s">
        <v>7054</v>
      </c>
      <c r="K29" t="s">
        <v>5035</v>
      </c>
      <c r="L29" t="s">
        <v>3455</v>
      </c>
      <c r="M29" t="s">
        <v>4630</v>
      </c>
    </row>
    <row r="30" spans="1:13" ht="15" customHeight="1" x14ac:dyDescent="0.25">
      <c r="A30" t="s">
        <v>5036</v>
      </c>
      <c r="B30" t="s">
        <v>5020</v>
      </c>
      <c r="C30" t="s">
        <v>4360</v>
      </c>
      <c r="D30">
        <v>4</v>
      </c>
      <c r="E30" s="9">
        <v>65</v>
      </c>
      <c r="F30" s="9">
        <v>69</v>
      </c>
      <c r="G30" t="s">
        <v>5037</v>
      </c>
      <c r="H30" t="s">
        <v>90</v>
      </c>
      <c r="I30" t="s">
        <v>4393</v>
      </c>
      <c r="J30" t="s">
        <v>7055</v>
      </c>
      <c r="K30" t="s">
        <v>5039</v>
      </c>
      <c r="L30" t="s">
        <v>3455</v>
      </c>
      <c r="M30" t="s">
        <v>3824</v>
      </c>
    </row>
    <row r="31" spans="1:13" ht="15" customHeight="1" x14ac:dyDescent="0.25">
      <c r="A31" t="s">
        <v>5040</v>
      </c>
      <c r="B31" t="s">
        <v>5020</v>
      </c>
      <c r="C31" t="s">
        <v>4360</v>
      </c>
      <c r="D31">
        <v>2</v>
      </c>
      <c r="E31" s="9">
        <v>28</v>
      </c>
      <c r="F31" s="9">
        <v>32</v>
      </c>
      <c r="G31" t="s">
        <v>3455</v>
      </c>
      <c r="H31" t="s">
        <v>90</v>
      </c>
      <c r="I31" t="s">
        <v>4393</v>
      </c>
      <c r="J31" t="s">
        <v>7056</v>
      </c>
      <c r="K31" t="s">
        <v>5042</v>
      </c>
      <c r="L31" t="s">
        <v>3455</v>
      </c>
      <c r="M31" t="s">
        <v>3824</v>
      </c>
    </row>
    <row r="32" spans="1:13" ht="15" customHeight="1" x14ac:dyDescent="0.25">
      <c r="A32" t="s">
        <v>5043</v>
      </c>
      <c r="B32" t="s">
        <v>5020</v>
      </c>
      <c r="C32" t="s">
        <v>4360</v>
      </c>
      <c r="D32">
        <v>1</v>
      </c>
      <c r="E32" s="9">
        <v>8</v>
      </c>
      <c r="F32" s="9">
        <v>12</v>
      </c>
      <c r="G32" t="s">
        <v>3455</v>
      </c>
      <c r="H32" t="s">
        <v>90</v>
      </c>
      <c r="I32" t="s">
        <v>4393</v>
      </c>
      <c r="J32" t="s">
        <v>7057</v>
      </c>
      <c r="K32" t="s">
        <v>5045</v>
      </c>
      <c r="L32" t="s">
        <v>3455</v>
      </c>
      <c r="M32" t="s">
        <v>3824</v>
      </c>
    </row>
    <row r="33" spans="1:13" ht="15" customHeight="1" x14ac:dyDescent="0.25">
      <c r="A33" t="s">
        <v>3821</v>
      </c>
      <c r="B33" t="s">
        <v>5020</v>
      </c>
      <c r="C33" t="s">
        <v>4360</v>
      </c>
      <c r="D33">
        <v>4</v>
      </c>
      <c r="E33" s="9">
        <v>64</v>
      </c>
      <c r="F33" s="9">
        <v>70</v>
      </c>
      <c r="G33" t="s">
        <v>5046</v>
      </c>
      <c r="H33" t="s">
        <v>90</v>
      </c>
      <c r="I33" t="s">
        <v>4393</v>
      </c>
      <c r="J33" t="s">
        <v>7058</v>
      </c>
      <c r="K33" t="s">
        <v>3823</v>
      </c>
      <c r="L33" t="s">
        <v>3455</v>
      </c>
      <c r="M33" t="s">
        <v>3824</v>
      </c>
    </row>
    <row r="34" spans="1:13" ht="15" customHeight="1" x14ac:dyDescent="0.25">
      <c r="A34" t="s">
        <v>5048</v>
      </c>
      <c r="B34" t="s">
        <v>5020</v>
      </c>
      <c r="C34" t="s">
        <v>4360</v>
      </c>
      <c r="D34">
        <v>2</v>
      </c>
      <c r="E34" s="9">
        <v>28</v>
      </c>
      <c r="F34" s="9">
        <v>32</v>
      </c>
      <c r="G34" t="s">
        <v>3455</v>
      </c>
      <c r="H34" t="s">
        <v>90</v>
      </c>
      <c r="I34" t="s">
        <v>4393</v>
      </c>
      <c r="J34" t="s">
        <v>7059</v>
      </c>
      <c r="K34" t="s">
        <v>5050</v>
      </c>
      <c r="L34" t="s">
        <v>3455</v>
      </c>
      <c r="M34" t="s">
        <v>3824</v>
      </c>
    </row>
    <row r="35" spans="1:13" ht="15" customHeight="1" x14ac:dyDescent="0.25">
      <c r="A35" t="s">
        <v>5051</v>
      </c>
      <c r="B35" t="s">
        <v>5020</v>
      </c>
      <c r="C35" t="s">
        <v>4360</v>
      </c>
      <c r="D35">
        <v>1</v>
      </c>
      <c r="E35" s="9">
        <v>10</v>
      </c>
      <c r="F35" s="9">
        <v>14</v>
      </c>
      <c r="G35" t="s">
        <v>3455</v>
      </c>
      <c r="H35" t="s">
        <v>90</v>
      </c>
      <c r="I35" t="s">
        <v>4393</v>
      </c>
      <c r="J35" t="s">
        <v>7060</v>
      </c>
      <c r="K35" t="s">
        <v>5053</v>
      </c>
      <c r="L35" t="s">
        <v>3455</v>
      </c>
      <c r="M35" t="s">
        <v>3824</v>
      </c>
    </row>
    <row r="36" spans="1:13" ht="15" customHeight="1" x14ac:dyDescent="0.25">
      <c r="A36" t="s">
        <v>7061</v>
      </c>
      <c r="B36" t="s">
        <v>6865</v>
      </c>
      <c r="C36" t="s">
        <v>5023</v>
      </c>
      <c r="D36">
        <v>1</v>
      </c>
      <c r="E36" s="9">
        <v>20</v>
      </c>
      <c r="F36" s="9">
        <v>24</v>
      </c>
      <c r="G36" t="s">
        <v>3455</v>
      </c>
      <c r="H36" t="s">
        <v>1649</v>
      </c>
      <c r="I36" t="s">
        <v>4372</v>
      </c>
      <c r="J36" t="s">
        <v>7062</v>
      </c>
      <c r="K36" t="s">
        <v>7061</v>
      </c>
      <c r="L36" t="s">
        <v>3455</v>
      </c>
      <c r="M36" t="s">
        <v>7063</v>
      </c>
    </row>
    <row r="37" spans="1:13" ht="15" customHeight="1" x14ac:dyDescent="0.25">
      <c r="A37" t="s">
        <v>7064</v>
      </c>
      <c r="B37" t="s">
        <v>6865</v>
      </c>
      <c r="C37" t="s">
        <v>4360</v>
      </c>
      <c r="D37">
        <v>0.5</v>
      </c>
      <c r="E37" s="9">
        <v>4</v>
      </c>
      <c r="F37" s="9">
        <v>6</v>
      </c>
      <c r="G37" t="s">
        <v>3455</v>
      </c>
      <c r="H37" t="s">
        <v>1649</v>
      </c>
      <c r="I37" t="s">
        <v>3455</v>
      </c>
      <c r="J37" t="s">
        <v>7065</v>
      </c>
      <c r="K37" t="s">
        <v>7064</v>
      </c>
      <c r="L37" t="s">
        <v>3455</v>
      </c>
      <c r="M37" t="s">
        <v>4630</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5054</v>
      </c>
      <c r="C1" t="s">
        <v>3731</v>
      </c>
      <c r="D1" t="s">
        <v>5014</v>
      </c>
      <c r="E1" t="s">
        <v>1</v>
      </c>
      <c r="F1" t="s">
        <v>3737</v>
      </c>
      <c r="G1" t="s">
        <v>5015</v>
      </c>
      <c r="H1" t="s">
        <v>5016</v>
      </c>
      <c r="I1" t="s">
        <v>3984</v>
      </c>
      <c r="J1" t="s">
        <v>7066</v>
      </c>
      <c r="K1" t="s">
        <v>5058</v>
      </c>
      <c r="L1" t="s">
        <v>171</v>
      </c>
      <c r="M1" t="s">
        <v>7067</v>
      </c>
      <c r="N1" t="s">
        <v>7068</v>
      </c>
      <c r="O1" t="s">
        <v>3439</v>
      </c>
      <c r="P1" t="s">
        <v>7069</v>
      </c>
      <c r="Q1" t="s">
        <v>3736</v>
      </c>
    </row>
    <row r="2" spans="1:17" ht="15" customHeight="1" x14ac:dyDescent="0.25">
      <c r="A2" t="s">
        <v>7031</v>
      </c>
      <c r="B2" t="s">
        <v>7070</v>
      </c>
      <c r="C2" t="s">
        <v>4360</v>
      </c>
      <c r="D2">
        <v>2</v>
      </c>
      <c r="E2" t="s">
        <v>2154</v>
      </c>
      <c r="G2">
        <v>20</v>
      </c>
      <c r="H2">
        <v>24</v>
      </c>
      <c r="I2">
        <v>0</v>
      </c>
      <c r="J2" t="s">
        <v>7071</v>
      </c>
      <c r="K2" t="s">
        <v>7072</v>
      </c>
      <c r="M2">
        <v>1</v>
      </c>
      <c r="N2">
        <v>3</v>
      </c>
      <c r="O2" t="s">
        <v>7073</v>
      </c>
      <c r="P2" t="s">
        <v>7074</v>
      </c>
    </row>
    <row r="3" spans="1:17" ht="15" customHeight="1" x14ac:dyDescent="0.25">
      <c r="A3" t="s">
        <v>7075</v>
      </c>
      <c r="B3" t="s">
        <v>7076</v>
      </c>
      <c r="C3" t="s">
        <v>4364</v>
      </c>
      <c r="D3">
        <v>2</v>
      </c>
      <c r="E3" t="s">
        <v>2154</v>
      </c>
      <c r="F3" t="s">
        <v>4945</v>
      </c>
      <c r="G3">
        <v>12</v>
      </c>
      <c r="H3">
        <v>18</v>
      </c>
      <c r="I3">
        <v>4</v>
      </c>
      <c r="J3" t="s">
        <v>7077</v>
      </c>
      <c r="K3" t="s">
        <v>7078</v>
      </c>
      <c r="M3">
        <v>2</v>
      </c>
      <c r="N3">
        <v>3</v>
      </c>
      <c r="O3" t="s">
        <v>7079</v>
      </c>
      <c r="P3" t="s">
        <v>7080</v>
      </c>
    </row>
    <row r="4" spans="1:17" ht="15" customHeight="1" x14ac:dyDescent="0.25">
      <c r="A4" t="s">
        <v>7081</v>
      </c>
      <c r="B4" t="s">
        <v>7082</v>
      </c>
      <c r="C4" t="s">
        <v>4360</v>
      </c>
      <c r="D4">
        <v>1</v>
      </c>
      <c r="E4" t="s">
        <v>1795</v>
      </c>
      <c r="F4" t="s">
        <v>7083</v>
      </c>
      <c r="G4">
        <v>5</v>
      </c>
      <c r="H4">
        <v>5</v>
      </c>
      <c r="I4">
        <v>4</v>
      </c>
      <c r="J4" t="s">
        <v>7077</v>
      </c>
      <c r="K4" t="s">
        <v>7084</v>
      </c>
      <c r="L4" t="s">
        <v>7081</v>
      </c>
      <c r="M4">
        <v>1</v>
      </c>
      <c r="N4">
        <v>4</v>
      </c>
      <c r="O4" t="s">
        <v>7085</v>
      </c>
      <c r="P4" t="s">
        <v>7086</v>
      </c>
    </row>
    <row r="5" spans="1:17" ht="15" customHeight="1" x14ac:dyDescent="0.25">
      <c r="A5" t="s">
        <v>7087</v>
      </c>
      <c r="B5" t="s">
        <v>4945</v>
      </c>
      <c r="C5" t="s">
        <v>4360</v>
      </c>
      <c r="D5">
        <v>1</v>
      </c>
      <c r="E5" t="s">
        <v>2154</v>
      </c>
      <c r="F5" t="s">
        <v>4945</v>
      </c>
      <c r="G5">
        <v>8</v>
      </c>
      <c r="H5">
        <v>11</v>
      </c>
      <c r="I5">
        <v>4</v>
      </c>
      <c r="J5" t="s">
        <v>7088</v>
      </c>
      <c r="K5" t="s">
        <v>7089</v>
      </c>
      <c r="M5">
        <v>1</v>
      </c>
      <c r="N5">
        <v>4</v>
      </c>
      <c r="O5" t="s">
        <v>7090</v>
      </c>
      <c r="P5" t="s">
        <v>7091</v>
      </c>
    </row>
    <row r="6" spans="1:17" ht="15" customHeight="1" x14ac:dyDescent="0.25">
      <c r="A6" t="s">
        <v>7036</v>
      </c>
      <c r="B6" t="s">
        <v>7092</v>
      </c>
      <c r="C6" t="s">
        <v>4364</v>
      </c>
      <c r="D6">
        <v>5</v>
      </c>
      <c r="E6" t="s">
        <v>2154</v>
      </c>
      <c r="G6">
        <v>60</v>
      </c>
      <c r="H6">
        <v>66</v>
      </c>
      <c r="I6">
        <v>-4</v>
      </c>
      <c r="J6" t="s">
        <v>7093</v>
      </c>
      <c r="K6" t="s">
        <v>7094</v>
      </c>
      <c r="M6">
        <v>4</v>
      </c>
      <c r="N6">
        <v>1</v>
      </c>
      <c r="O6" t="s">
        <v>7095</v>
      </c>
      <c r="P6" t="s">
        <v>7096</v>
      </c>
      <c r="Q6" t="s">
        <v>7097</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7098</v>
      </c>
      <c r="C1" t="s">
        <v>7099</v>
      </c>
      <c r="D1" t="s">
        <v>7100</v>
      </c>
      <c r="E1" t="s">
        <v>7101</v>
      </c>
      <c r="F1" t="s">
        <v>7102</v>
      </c>
      <c r="G1" t="s">
        <v>7103</v>
      </c>
      <c r="H1" t="s">
        <v>7104</v>
      </c>
      <c r="I1" t="s">
        <v>1</v>
      </c>
    </row>
    <row r="2" spans="1:9" ht="15" customHeight="1" x14ac:dyDescent="0.25">
      <c r="A2" t="s">
        <v>5865</v>
      </c>
      <c r="B2">
        <v>6</v>
      </c>
      <c r="C2" t="s">
        <v>7105</v>
      </c>
      <c r="D2" t="s">
        <v>7106</v>
      </c>
      <c r="E2" t="s">
        <v>7107</v>
      </c>
      <c r="F2" t="s">
        <v>7107</v>
      </c>
      <c r="G2" t="s">
        <v>7105</v>
      </c>
      <c r="H2" t="s">
        <v>7106</v>
      </c>
      <c r="I2" t="s">
        <v>2361</v>
      </c>
    </row>
    <row r="3" spans="1:9" ht="15" customHeight="1" x14ac:dyDescent="0.25">
      <c r="A3" t="s">
        <v>5888</v>
      </c>
      <c r="B3">
        <v>6</v>
      </c>
      <c r="C3" t="s">
        <v>7108</v>
      </c>
      <c r="D3" t="s">
        <v>7109</v>
      </c>
      <c r="E3" t="s">
        <v>7110</v>
      </c>
      <c r="F3" t="s">
        <v>7110</v>
      </c>
      <c r="G3" t="s">
        <v>7111</v>
      </c>
      <c r="H3" t="s">
        <v>4214</v>
      </c>
      <c r="I3" t="s">
        <v>2361</v>
      </c>
    </row>
    <row r="4" spans="1:9" ht="15" customHeight="1" x14ac:dyDescent="0.25">
      <c r="A4" t="s">
        <v>5915</v>
      </c>
      <c r="B4">
        <v>6</v>
      </c>
      <c r="C4" t="s">
        <v>7112</v>
      </c>
      <c r="D4" t="s">
        <v>7113</v>
      </c>
      <c r="E4" t="s">
        <v>7114</v>
      </c>
      <c r="F4" t="s">
        <v>7114</v>
      </c>
      <c r="G4" t="s">
        <v>7115</v>
      </c>
      <c r="H4" t="s">
        <v>5943</v>
      </c>
      <c r="I4" t="s">
        <v>2361</v>
      </c>
    </row>
    <row r="5" spans="1:9" ht="15" customHeight="1" x14ac:dyDescent="0.25">
      <c r="A5" t="s">
        <v>5956</v>
      </c>
      <c r="B5">
        <v>6</v>
      </c>
      <c r="C5" t="s">
        <v>7116</v>
      </c>
      <c r="D5" t="s">
        <v>7117</v>
      </c>
      <c r="E5" t="s">
        <v>7118</v>
      </c>
      <c r="F5" t="s">
        <v>7118</v>
      </c>
      <c r="G5" t="s">
        <v>7119</v>
      </c>
      <c r="H5" t="s">
        <v>5943</v>
      </c>
      <c r="I5" t="s">
        <v>2361</v>
      </c>
    </row>
    <row r="6" spans="1:9" ht="15" customHeight="1" x14ac:dyDescent="0.25">
      <c r="A6" t="s">
        <v>6002</v>
      </c>
      <c r="B6">
        <v>6</v>
      </c>
      <c r="C6" t="s">
        <v>7120</v>
      </c>
      <c r="D6" t="s">
        <v>7120</v>
      </c>
      <c r="E6" t="s">
        <v>7114</v>
      </c>
      <c r="F6" t="s">
        <v>7114</v>
      </c>
      <c r="G6" t="s">
        <v>7115</v>
      </c>
      <c r="H6" t="s">
        <v>7115</v>
      </c>
      <c r="I6" t="s">
        <v>2361</v>
      </c>
    </row>
    <row r="7" spans="1:9" ht="15" customHeight="1" x14ac:dyDescent="0.25">
      <c r="A7" t="s">
        <v>6025</v>
      </c>
      <c r="B7">
        <v>6</v>
      </c>
      <c r="C7" t="s">
        <v>7121</v>
      </c>
      <c r="D7" t="s">
        <v>7109</v>
      </c>
      <c r="E7" t="s">
        <v>5943</v>
      </c>
      <c r="F7" t="s">
        <v>5943</v>
      </c>
      <c r="G7" t="s">
        <v>7122</v>
      </c>
      <c r="H7" t="s">
        <v>5943</v>
      </c>
      <c r="I7" t="s">
        <v>2361</v>
      </c>
    </row>
    <row r="8" spans="1:9" ht="15" customHeight="1" x14ac:dyDescent="0.25">
      <c r="A8" t="s">
        <v>6030</v>
      </c>
      <c r="B8">
        <v>6</v>
      </c>
      <c r="C8" t="s">
        <v>7123</v>
      </c>
      <c r="D8" t="s">
        <v>7124</v>
      </c>
      <c r="E8" t="s">
        <v>7125</v>
      </c>
      <c r="F8" t="s">
        <v>7125</v>
      </c>
      <c r="G8" t="s">
        <v>7113</v>
      </c>
      <c r="H8" t="s">
        <v>5943</v>
      </c>
      <c r="I8" t="s">
        <v>2361</v>
      </c>
    </row>
    <row r="9" spans="1:9" ht="15" customHeight="1" x14ac:dyDescent="0.25">
      <c r="A9" t="s">
        <v>6049</v>
      </c>
      <c r="B9">
        <v>6</v>
      </c>
      <c r="C9" t="s">
        <v>7118</v>
      </c>
      <c r="D9" t="s">
        <v>7126</v>
      </c>
      <c r="E9" t="s">
        <v>7127</v>
      </c>
      <c r="F9" t="s">
        <v>7127</v>
      </c>
      <c r="G9" t="s">
        <v>7126</v>
      </c>
      <c r="H9" t="s">
        <v>5943</v>
      </c>
      <c r="I9" t="s">
        <v>2361</v>
      </c>
    </row>
    <row r="10" spans="1:9" ht="15" customHeight="1" x14ac:dyDescent="0.25">
      <c r="A10" t="s">
        <v>5684</v>
      </c>
      <c r="B10">
        <v>6</v>
      </c>
      <c r="C10" t="s">
        <v>7128</v>
      </c>
      <c r="D10" t="s">
        <v>7129</v>
      </c>
      <c r="E10" t="s">
        <v>7130</v>
      </c>
      <c r="F10" t="s">
        <v>7131</v>
      </c>
      <c r="G10" t="s">
        <v>7132</v>
      </c>
      <c r="H10" t="s">
        <v>7133</v>
      </c>
      <c r="I10" t="s">
        <v>160</v>
      </c>
    </row>
    <row r="11" spans="1:9" ht="15" customHeight="1" x14ac:dyDescent="0.25">
      <c r="A11" t="s">
        <v>6095</v>
      </c>
      <c r="B11">
        <v>6</v>
      </c>
      <c r="C11" t="s">
        <v>7108</v>
      </c>
      <c r="D11" t="s">
        <v>7134</v>
      </c>
      <c r="E11" t="s">
        <v>7135</v>
      </c>
      <c r="F11" t="s">
        <v>7135</v>
      </c>
      <c r="G11" t="s">
        <v>7136</v>
      </c>
      <c r="H11" t="s">
        <v>5943</v>
      </c>
      <c r="I11" t="s">
        <v>2361</v>
      </c>
    </row>
    <row r="12" spans="1:9" ht="15" customHeight="1" x14ac:dyDescent="0.25">
      <c r="A12" t="s">
        <v>6102</v>
      </c>
      <c r="B12">
        <v>6</v>
      </c>
      <c r="C12" t="s">
        <v>7137</v>
      </c>
      <c r="D12" t="s">
        <v>7137</v>
      </c>
      <c r="E12" t="s">
        <v>7105</v>
      </c>
      <c r="F12" t="s">
        <v>7105</v>
      </c>
      <c r="G12" t="s">
        <v>7106</v>
      </c>
      <c r="H12" t="s">
        <v>5943</v>
      </c>
      <c r="I12" t="s">
        <v>2361</v>
      </c>
    </row>
    <row r="13" spans="1:9" ht="15" customHeight="1" x14ac:dyDescent="0.25">
      <c r="A13" t="s">
        <v>6103</v>
      </c>
      <c r="B13">
        <v>6</v>
      </c>
      <c r="C13" t="s">
        <v>7109</v>
      </c>
      <c r="D13" t="s">
        <v>5649</v>
      </c>
      <c r="E13" t="s">
        <v>5943</v>
      </c>
      <c r="F13" t="s">
        <v>5943</v>
      </c>
      <c r="G13" t="s">
        <v>5943</v>
      </c>
      <c r="H13" t="s">
        <v>5943</v>
      </c>
      <c r="I13" t="s">
        <v>2361</v>
      </c>
    </row>
    <row r="14" spans="1:9" ht="15" customHeight="1" x14ac:dyDescent="0.25">
      <c r="A14" t="s">
        <v>6122</v>
      </c>
      <c r="B14">
        <v>6</v>
      </c>
      <c r="C14" t="s">
        <v>7118</v>
      </c>
      <c r="D14" t="s">
        <v>7118</v>
      </c>
      <c r="E14" t="s">
        <v>7126</v>
      </c>
      <c r="F14" t="s">
        <v>7126</v>
      </c>
      <c r="G14" t="s">
        <v>5943</v>
      </c>
      <c r="H14" t="s">
        <v>5943</v>
      </c>
      <c r="I14" t="s">
        <v>2361</v>
      </c>
    </row>
    <row r="15" spans="1:9" ht="15" customHeight="1" x14ac:dyDescent="0.25">
      <c r="A15" t="s">
        <v>6139</v>
      </c>
      <c r="B15">
        <v>6</v>
      </c>
      <c r="C15" t="s">
        <v>7138</v>
      </c>
      <c r="D15" t="s">
        <v>7139</v>
      </c>
      <c r="E15" t="s">
        <v>7139</v>
      </c>
      <c r="F15" t="s">
        <v>7139</v>
      </c>
      <c r="G15" t="s">
        <v>7126</v>
      </c>
      <c r="H15" t="s">
        <v>5943</v>
      </c>
      <c r="I15" t="s">
        <v>2361</v>
      </c>
    </row>
    <row r="16" spans="1:9" ht="15" customHeight="1" x14ac:dyDescent="0.25">
      <c r="A16" t="s">
        <v>6208</v>
      </c>
      <c r="B16">
        <v>6</v>
      </c>
      <c r="C16" t="s">
        <v>7140</v>
      </c>
      <c r="D16" t="s">
        <v>7141</v>
      </c>
      <c r="E16" t="s">
        <v>7141</v>
      </c>
      <c r="F16" t="s">
        <v>7141</v>
      </c>
      <c r="G16" t="s">
        <v>7142</v>
      </c>
      <c r="H16" t="s">
        <v>5943</v>
      </c>
      <c r="I16" t="s">
        <v>2361</v>
      </c>
    </row>
    <row r="17" spans="1:9" ht="15" customHeight="1" x14ac:dyDescent="0.25">
      <c r="A17" t="s">
        <v>6285</v>
      </c>
      <c r="B17">
        <v>6</v>
      </c>
      <c r="C17" t="s">
        <v>7110</v>
      </c>
      <c r="D17" t="s">
        <v>7110</v>
      </c>
      <c r="E17" t="s">
        <v>7120</v>
      </c>
      <c r="F17" t="s">
        <v>7120</v>
      </c>
      <c r="G17" t="s">
        <v>7113</v>
      </c>
      <c r="H17" t="s">
        <v>7113</v>
      </c>
      <c r="I17" t="s">
        <v>2361</v>
      </c>
    </row>
    <row r="18" spans="1:9" ht="15" customHeight="1" x14ac:dyDescent="0.25">
      <c r="A18" t="s">
        <v>6342</v>
      </c>
      <c r="B18">
        <v>6</v>
      </c>
      <c r="C18" t="s">
        <v>7109</v>
      </c>
      <c r="D18" t="s">
        <v>7109</v>
      </c>
      <c r="E18" t="s">
        <v>7110</v>
      </c>
      <c r="F18" t="s">
        <v>7110</v>
      </c>
      <c r="G18" t="s">
        <v>7112</v>
      </c>
      <c r="H18" t="s">
        <v>7112</v>
      </c>
      <c r="I18" t="s">
        <v>2361</v>
      </c>
    </row>
    <row r="19" spans="1:9" ht="15" customHeight="1" x14ac:dyDescent="0.25">
      <c r="A19" t="s">
        <v>6346</v>
      </c>
      <c r="B19">
        <v>6</v>
      </c>
      <c r="C19" t="s">
        <v>5649</v>
      </c>
      <c r="D19" t="s">
        <v>7112</v>
      </c>
      <c r="E19" t="s">
        <v>7120</v>
      </c>
      <c r="F19" t="s">
        <v>7120</v>
      </c>
      <c r="G19" t="s">
        <v>7113</v>
      </c>
      <c r="H19" t="s">
        <v>7115</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7143</v>
      </c>
      <c r="D1" t="s">
        <v>171</v>
      </c>
      <c r="E1" t="s">
        <v>7144</v>
      </c>
    </row>
    <row r="2" spans="1:5" ht="15" customHeight="1" x14ac:dyDescent="0.25">
      <c r="A2" t="s">
        <v>7145</v>
      </c>
      <c r="B2">
        <v>2022</v>
      </c>
      <c r="C2" t="s">
        <v>2619</v>
      </c>
      <c r="D2" t="s">
        <v>7146</v>
      </c>
    </row>
    <row r="3" spans="1:5" ht="15" customHeight="1" x14ac:dyDescent="0.25">
      <c r="A3" t="s">
        <v>7147</v>
      </c>
      <c r="B3">
        <v>2022</v>
      </c>
      <c r="C3" t="s">
        <v>90</v>
      </c>
      <c r="D3" t="s">
        <v>7148</v>
      </c>
    </row>
    <row r="4" spans="1:5" ht="15" customHeight="1" x14ac:dyDescent="0.25">
      <c r="A4" t="s">
        <v>7149</v>
      </c>
      <c r="B4">
        <v>2024</v>
      </c>
      <c r="C4" t="s">
        <v>353</v>
      </c>
      <c r="D4" t="s">
        <v>7150</v>
      </c>
    </row>
    <row r="5" spans="1:5" ht="15" customHeight="1" x14ac:dyDescent="0.25">
      <c r="A5" t="s">
        <v>7151</v>
      </c>
      <c r="B5">
        <v>2020</v>
      </c>
      <c r="C5" t="s">
        <v>2132</v>
      </c>
      <c r="D5" t="s">
        <v>7152</v>
      </c>
    </row>
    <row r="6" spans="1:5" ht="15" customHeight="1" x14ac:dyDescent="0.25">
      <c r="A6" t="s">
        <v>7153</v>
      </c>
      <c r="B6">
        <v>2021</v>
      </c>
      <c r="C6" t="s">
        <v>2136</v>
      </c>
      <c r="D6" t="s">
        <v>7154</v>
      </c>
    </row>
    <row r="7" spans="1:5" ht="15" customHeight="1" x14ac:dyDescent="0.25">
      <c r="A7" t="s">
        <v>7155</v>
      </c>
      <c r="B7">
        <v>2024</v>
      </c>
      <c r="C7" t="s">
        <v>353</v>
      </c>
      <c r="D7" t="s">
        <v>7156</v>
      </c>
    </row>
    <row r="8" spans="1:5" x14ac:dyDescent="0.25">
      <c r="A8" t="s">
        <v>7157</v>
      </c>
      <c r="B8">
        <v>2024</v>
      </c>
      <c r="C8" t="s">
        <v>353</v>
      </c>
      <c r="E8" s="10" t="s">
        <v>7158</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7159</v>
      </c>
      <c r="B2" t="s">
        <v>7160</v>
      </c>
      <c r="C2" t="s">
        <v>4011</v>
      </c>
    </row>
    <row r="3" spans="1:3" ht="15" customHeight="1" x14ac:dyDescent="0.25">
      <c r="A3" t="s">
        <v>7161</v>
      </c>
      <c r="B3" t="s">
        <v>7162</v>
      </c>
      <c r="C3" t="s">
        <v>4011</v>
      </c>
    </row>
    <row r="4" spans="1:3" ht="15" customHeight="1" x14ac:dyDescent="0.25">
      <c r="A4" t="s">
        <v>4384</v>
      </c>
      <c r="B4" t="s">
        <v>7163</v>
      </c>
      <c r="C4" t="s">
        <v>4028</v>
      </c>
    </row>
    <row r="5" spans="1:3" ht="15" customHeight="1" x14ac:dyDescent="0.25">
      <c r="A5" t="s">
        <v>3988</v>
      </c>
      <c r="B5" t="s">
        <v>7164</v>
      </c>
      <c r="C5" t="s">
        <v>4011</v>
      </c>
    </row>
    <row r="6" spans="1:3" ht="15" customHeight="1" x14ac:dyDescent="0.25">
      <c r="A6" t="s">
        <v>7165</v>
      </c>
      <c r="B6" t="s">
        <v>7166</v>
      </c>
      <c r="C6" t="s">
        <v>4028</v>
      </c>
    </row>
    <row r="7" spans="1:3" ht="15" customHeight="1" x14ac:dyDescent="0.25">
      <c r="A7" t="s">
        <v>7167</v>
      </c>
      <c r="B7" t="s">
        <v>7168</v>
      </c>
      <c r="C7" t="s">
        <v>4011</v>
      </c>
    </row>
    <row r="8" spans="1:3" ht="15" customHeight="1" x14ac:dyDescent="0.25">
      <c r="A8" t="s">
        <v>7169</v>
      </c>
      <c r="B8" t="s">
        <v>7170</v>
      </c>
      <c r="C8" t="s">
        <v>4011</v>
      </c>
    </row>
    <row r="9" spans="1:3" ht="15" customHeight="1" x14ac:dyDescent="0.25">
      <c r="A9" t="s">
        <v>7171</v>
      </c>
      <c r="B9" t="s">
        <v>7172</v>
      </c>
      <c r="C9" t="s">
        <v>4011</v>
      </c>
    </row>
    <row r="10" spans="1:3" ht="15" customHeight="1" x14ac:dyDescent="0.25">
      <c r="A10" t="s">
        <v>7173</v>
      </c>
      <c r="B10" t="s">
        <v>7174</v>
      </c>
      <c r="C10" t="s">
        <v>4039</v>
      </c>
    </row>
    <row r="11" spans="1:3" ht="15" customHeight="1" x14ac:dyDescent="0.25">
      <c r="A11" t="s">
        <v>7175</v>
      </c>
      <c r="B11" t="s">
        <v>7176</v>
      </c>
      <c r="C11" t="s">
        <v>4011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7177</v>
      </c>
      <c r="C1" t="s">
        <v>4594</v>
      </c>
      <c r="D1" t="s">
        <v>7178</v>
      </c>
      <c r="E1" t="s">
        <v>3450</v>
      </c>
      <c r="F1" t="s">
        <v>167</v>
      </c>
    </row>
    <row r="2" spans="1:6" ht="15" customHeight="1" x14ac:dyDescent="0.25">
      <c r="A2" t="s">
        <v>7179</v>
      </c>
      <c r="B2" t="s">
        <v>5020</v>
      </c>
      <c r="C2" t="s">
        <v>4360</v>
      </c>
      <c r="D2" t="s">
        <v>7180</v>
      </c>
      <c r="E2" t="s">
        <v>7181</v>
      </c>
      <c r="F2" t="s">
        <v>7182</v>
      </c>
    </row>
    <row r="3" spans="1:6" ht="15" customHeight="1" x14ac:dyDescent="0.25">
      <c r="A3" t="s">
        <v>7183</v>
      </c>
      <c r="B3" t="s">
        <v>5020</v>
      </c>
      <c r="C3" t="s">
        <v>4364</v>
      </c>
      <c r="D3" t="s">
        <v>7180</v>
      </c>
      <c r="E3" t="s">
        <v>7184</v>
      </c>
      <c r="F3" t="s">
        <v>7182</v>
      </c>
    </row>
    <row r="4" spans="1:6" ht="15" customHeight="1" x14ac:dyDescent="0.25">
      <c r="A4" t="s">
        <v>7185</v>
      </c>
      <c r="B4" t="s">
        <v>5020</v>
      </c>
      <c r="C4" t="s">
        <v>5023</v>
      </c>
      <c r="D4" t="s">
        <v>7180</v>
      </c>
      <c r="E4" t="s">
        <v>7186</v>
      </c>
      <c r="F4" t="s">
        <v>7182</v>
      </c>
    </row>
    <row r="5" spans="1:6" ht="15" customHeight="1" x14ac:dyDescent="0.25">
      <c r="A5" t="s">
        <v>7187</v>
      </c>
      <c r="B5" t="s">
        <v>5020</v>
      </c>
      <c r="C5" t="s">
        <v>4360</v>
      </c>
      <c r="D5" t="s">
        <v>7180</v>
      </c>
      <c r="E5" t="s">
        <v>7188</v>
      </c>
      <c r="F5" t="s">
        <v>7182</v>
      </c>
    </row>
    <row r="6" spans="1:6" ht="15" customHeight="1" x14ac:dyDescent="0.25">
      <c r="A6" t="s">
        <v>7189</v>
      </c>
      <c r="B6" t="s">
        <v>5020</v>
      </c>
      <c r="C6" t="s">
        <v>4364</v>
      </c>
      <c r="D6" t="s">
        <v>7180</v>
      </c>
      <c r="E6" t="s">
        <v>7190</v>
      </c>
      <c r="F6" t="s">
        <v>7182</v>
      </c>
    </row>
    <row r="7" spans="1:6" ht="15" customHeight="1" x14ac:dyDescent="0.25">
      <c r="A7" t="s">
        <v>7191</v>
      </c>
      <c r="B7" t="s">
        <v>5020</v>
      </c>
      <c r="C7" t="s">
        <v>5023</v>
      </c>
      <c r="D7" t="s">
        <v>7180</v>
      </c>
      <c r="E7" t="s">
        <v>7192</v>
      </c>
      <c r="F7" t="s">
        <v>7182</v>
      </c>
    </row>
    <row r="8" spans="1:6" ht="15" customHeight="1" x14ac:dyDescent="0.25">
      <c r="A8" t="s">
        <v>7193</v>
      </c>
      <c r="B8" t="s">
        <v>5020</v>
      </c>
      <c r="C8" t="s">
        <v>4360</v>
      </c>
      <c r="D8" t="s">
        <v>7194</v>
      </c>
      <c r="E8" t="s">
        <v>7195</v>
      </c>
      <c r="F8" t="s">
        <v>7182</v>
      </c>
    </row>
    <row r="9" spans="1:6" ht="15" customHeight="1" x14ac:dyDescent="0.25">
      <c r="A9" t="s">
        <v>7196</v>
      </c>
      <c r="B9" t="s">
        <v>5020</v>
      </c>
      <c r="C9" t="s">
        <v>4364</v>
      </c>
      <c r="D9" t="s">
        <v>7180</v>
      </c>
      <c r="E9" t="s">
        <v>7195</v>
      </c>
      <c r="F9" t="s">
        <v>7182</v>
      </c>
    </row>
    <row r="10" spans="1:6" ht="15" customHeight="1" x14ac:dyDescent="0.25">
      <c r="A10" t="s">
        <v>7197</v>
      </c>
      <c r="B10" t="s">
        <v>5020</v>
      </c>
      <c r="C10" t="s">
        <v>5023</v>
      </c>
      <c r="D10" t="s">
        <v>7198</v>
      </c>
      <c r="E10" t="s">
        <v>7195</v>
      </c>
      <c r="F10" t="s">
        <v>7182</v>
      </c>
    </row>
    <row r="11" spans="1:6" ht="15" customHeight="1" x14ac:dyDescent="0.25">
      <c r="A11" t="s">
        <v>7199</v>
      </c>
      <c r="B11" t="s">
        <v>3996</v>
      </c>
      <c r="C11" t="s">
        <v>4360</v>
      </c>
      <c r="D11" t="s">
        <v>7194</v>
      </c>
      <c r="E11" t="s">
        <v>7200</v>
      </c>
      <c r="F11" t="s">
        <v>7182</v>
      </c>
    </row>
    <row r="12" spans="1:6" ht="15" customHeight="1" x14ac:dyDescent="0.25">
      <c r="A12" t="s">
        <v>7201</v>
      </c>
      <c r="B12" t="s">
        <v>3996</v>
      </c>
      <c r="C12" t="s">
        <v>4364</v>
      </c>
      <c r="D12" t="s">
        <v>7194</v>
      </c>
      <c r="E12" t="s">
        <v>7202</v>
      </c>
      <c r="F12" t="s">
        <v>7182</v>
      </c>
    </row>
    <row r="13" spans="1:6" ht="15" customHeight="1" x14ac:dyDescent="0.25">
      <c r="A13" t="s">
        <v>7203</v>
      </c>
      <c r="B13" t="s">
        <v>3996</v>
      </c>
      <c r="C13" t="s">
        <v>5023</v>
      </c>
      <c r="D13" t="s">
        <v>7194</v>
      </c>
      <c r="E13" t="s">
        <v>7204</v>
      </c>
      <c r="F13" t="s">
        <v>7182</v>
      </c>
    </row>
    <row r="14" spans="1:6" ht="15" customHeight="1" x14ac:dyDescent="0.25">
      <c r="A14" t="s">
        <v>7205</v>
      </c>
      <c r="B14" t="s">
        <v>6865</v>
      </c>
      <c r="C14" t="s">
        <v>4360</v>
      </c>
      <c r="D14" t="s">
        <v>7206</v>
      </c>
      <c r="E14" t="s">
        <v>7207</v>
      </c>
      <c r="F14" t="s">
        <v>3829</v>
      </c>
    </row>
    <row r="15" spans="1:6" ht="15" customHeight="1" x14ac:dyDescent="0.25">
      <c r="A15" t="s">
        <v>7208</v>
      </c>
      <c r="B15" t="s">
        <v>6865</v>
      </c>
      <c r="C15" t="s">
        <v>4364</v>
      </c>
      <c r="D15" t="s">
        <v>7209</v>
      </c>
      <c r="E15" t="s">
        <v>7207</v>
      </c>
      <c r="F15" t="s">
        <v>3829</v>
      </c>
    </row>
    <row r="16" spans="1:6" ht="15" customHeight="1" x14ac:dyDescent="0.25">
      <c r="A16" t="s">
        <v>7210</v>
      </c>
      <c r="B16" t="s">
        <v>6865</v>
      </c>
      <c r="C16" t="s">
        <v>5023</v>
      </c>
      <c r="D16" t="s">
        <v>7211</v>
      </c>
      <c r="E16" t="s">
        <v>7207</v>
      </c>
      <c r="F16" t="s">
        <v>3829</v>
      </c>
    </row>
    <row r="17" spans="1:6" ht="15" customHeight="1" x14ac:dyDescent="0.25">
      <c r="A17" t="s">
        <v>7212</v>
      </c>
      <c r="B17" t="s">
        <v>6865</v>
      </c>
      <c r="C17" t="s">
        <v>4360</v>
      </c>
      <c r="D17" t="s">
        <v>7213</v>
      </c>
      <c r="E17" t="s">
        <v>7214</v>
      </c>
      <c r="F17" t="s">
        <v>7215</v>
      </c>
    </row>
    <row r="18" spans="1:6" ht="15" customHeight="1" x14ac:dyDescent="0.25">
      <c r="A18" t="s">
        <v>7216</v>
      </c>
      <c r="B18" t="s">
        <v>6865</v>
      </c>
      <c r="C18" t="s">
        <v>4364</v>
      </c>
      <c r="D18" t="s">
        <v>7213</v>
      </c>
      <c r="E18" t="s">
        <v>7217</v>
      </c>
      <c r="F18" t="s">
        <v>7215</v>
      </c>
    </row>
    <row r="19" spans="1:6" ht="15" customHeight="1" x14ac:dyDescent="0.25">
      <c r="A19" t="s">
        <v>7218</v>
      </c>
      <c r="B19" t="s">
        <v>6865</v>
      </c>
      <c r="C19" t="s">
        <v>5023</v>
      </c>
      <c r="D19" t="s">
        <v>7213</v>
      </c>
      <c r="E19" t="s">
        <v>7219</v>
      </c>
      <c r="F19" t="s">
        <v>7215</v>
      </c>
    </row>
    <row r="20" spans="1:6" ht="15" customHeight="1" x14ac:dyDescent="0.25">
      <c r="A20" t="s">
        <v>7220</v>
      </c>
      <c r="B20" t="s">
        <v>6865</v>
      </c>
      <c r="C20" t="s">
        <v>4360</v>
      </c>
      <c r="D20" t="s">
        <v>7221</v>
      </c>
      <c r="E20" t="s">
        <v>7222</v>
      </c>
      <c r="F20" t="s">
        <v>7215</v>
      </c>
    </row>
    <row r="21" spans="1:6" ht="15" customHeight="1" x14ac:dyDescent="0.25">
      <c r="A21" t="s">
        <v>7223</v>
      </c>
      <c r="B21" t="s">
        <v>6865</v>
      </c>
      <c r="C21" t="s">
        <v>4364</v>
      </c>
      <c r="D21" t="s">
        <v>7224</v>
      </c>
      <c r="E21" t="s">
        <v>7222</v>
      </c>
      <c r="F21" t="s">
        <v>7215</v>
      </c>
    </row>
    <row r="22" spans="1:6" ht="15" customHeight="1" x14ac:dyDescent="0.25">
      <c r="A22" t="s">
        <v>7225</v>
      </c>
      <c r="B22" t="s">
        <v>6865</v>
      </c>
      <c r="C22" t="s">
        <v>5023</v>
      </c>
      <c r="D22" t="s">
        <v>7226</v>
      </c>
      <c r="E22" t="s">
        <v>7222</v>
      </c>
      <c r="F22" t="s">
        <v>7215</v>
      </c>
    </row>
    <row r="23" spans="1:6" ht="15" customHeight="1" x14ac:dyDescent="0.25">
      <c r="A23" t="s">
        <v>7227</v>
      </c>
      <c r="B23" t="s">
        <v>3979</v>
      </c>
      <c r="C23" t="s">
        <v>4360</v>
      </c>
      <c r="D23" t="s">
        <v>7206</v>
      </c>
      <c r="E23" t="s">
        <v>7228</v>
      </c>
      <c r="F23" t="s">
        <v>3829</v>
      </c>
    </row>
    <row r="24" spans="1:6" ht="15" customHeight="1" x14ac:dyDescent="0.25">
      <c r="A24" t="s">
        <v>7229</v>
      </c>
      <c r="B24" t="s">
        <v>3979</v>
      </c>
      <c r="C24" t="s">
        <v>4364</v>
      </c>
      <c r="D24" t="s">
        <v>7206</v>
      </c>
      <c r="E24" t="s">
        <v>7230</v>
      </c>
      <c r="F24" t="s">
        <v>3829</v>
      </c>
    </row>
    <row r="25" spans="1:6" ht="15" customHeight="1" x14ac:dyDescent="0.25">
      <c r="A25" t="s">
        <v>7231</v>
      </c>
      <c r="B25" t="s">
        <v>3979</v>
      </c>
      <c r="C25" t="s">
        <v>5023</v>
      </c>
      <c r="D25" t="s">
        <v>7206</v>
      </c>
      <c r="E25" t="s">
        <v>7232</v>
      </c>
      <c r="F25" t="s">
        <v>3829</v>
      </c>
    </row>
    <row r="26" spans="1:6" ht="15" customHeight="1" x14ac:dyDescent="0.25">
      <c r="A26" t="s">
        <v>7233</v>
      </c>
      <c r="B26" t="s">
        <v>3979</v>
      </c>
      <c r="C26" t="s">
        <v>4360</v>
      </c>
      <c r="D26" t="s">
        <v>7234</v>
      </c>
      <c r="E26" t="s">
        <v>7235</v>
      </c>
      <c r="F26" t="s">
        <v>7215</v>
      </c>
    </row>
    <row r="27" spans="1:6" ht="15" customHeight="1" x14ac:dyDescent="0.25">
      <c r="A27" t="s">
        <v>7236</v>
      </c>
      <c r="B27" t="s">
        <v>3979</v>
      </c>
      <c r="C27" t="s">
        <v>4364</v>
      </c>
      <c r="D27" t="s">
        <v>7237</v>
      </c>
      <c r="E27" t="s">
        <v>7235</v>
      </c>
      <c r="F27" t="s">
        <v>7215</v>
      </c>
    </row>
    <row r="28" spans="1:6" ht="15" customHeight="1" x14ac:dyDescent="0.25">
      <c r="A28" t="s">
        <v>7238</v>
      </c>
      <c r="B28" t="s">
        <v>3979</v>
      </c>
      <c r="C28" t="s">
        <v>5023</v>
      </c>
      <c r="D28" t="s">
        <v>7239</v>
      </c>
      <c r="E28" t="s">
        <v>7235</v>
      </c>
      <c r="F28" t="s">
        <v>7215</v>
      </c>
    </row>
    <row r="29" spans="1:6" ht="15" customHeight="1" x14ac:dyDescent="0.25">
      <c r="A29" t="s">
        <v>7240</v>
      </c>
      <c r="B29" t="s">
        <v>3979</v>
      </c>
      <c r="C29" t="s">
        <v>4360</v>
      </c>
      <c r="D29" t="s">
        <v>7241</v>
      </c>
      <c r="E29" t="s">
        <v>7242</v>
      </c>
      <c r="F29" t="s">
        <v>7215</v>
      </c>
    </row>
    <row r="30" spans="1:6" ht="15" customHeight="1" x14ac:dyDescent="0.25">
      <c r="A30" t="s">
        <v>7243</v>
      </c>
      <c r="B30" t="s">
        <v>3979</v>
      </c>
      <c r="C30" t="s">
        <v>4364</v>
      </c>
      <c r="D30" t="s">
        <v>7244</v>
      </c>
      <c r="E30" t="s">
        <v>7242</v>
      </c>
      <c r="F30" t="s">
        <v>7215</v>
      </c>
    </row>
    <row r="31" spans="1:6" ht="15" customHeight="1" x14ac:dyDescent="0.25">
      <c r="A31" t="s">
        <v>7245</v>
      </c>
      <c r="B31" t="s">
        <v>3979</v>
      </c>
      <c r="C31" t="s">
        <v>5023</v>
      </c>
      <c r="D31" t="s">
        <v>7246</v>
      </c>
      <c r="E31" t="s">
        <v>7242</v>
      </c>
      <c r="F31" t="s">
        <v>7215</v>
      </c>
    </row>
    <row r="32" spans="1:6" ht="15" customHeight="1" x14ac:dyDescent="0.25">
      <c r="A32" t="s">
        <v>7247</v>
      </c>
      <c r="B32" t="s">
        <v>3996</v>
      </c>
      <c r="C32" t="s">
        <v>4360</v>
      </c>
      <c r="D32" t="s">
        <v>7248</v>
      </c>
      <c r="E32" t="s">
        <v>7249</v>
      </c>
      <c r="F32" t="s">
        <v>7215</v>
      </c>
    </row>
    <row r="33" spans="1:6" ht="15" customHeight="1" x14ac:dyDescent="0.25">
      <c r="A33" t="s">
        <v>7250</v>
      </c>
      <c r="B33" t="s">
        <v>3996</v>
      </c>
      <c r="C33" t="s">
        <v>4364</v>
      </c>
      <c r="D33" t="s">
        <v>7248</v>
      </c>
      <c r="E33" t="s">
        <v>7249</v>
      </c>
      <c r="F33" t="s">
        <v>7215</v>
      </c>
    </row>
    <row r="34" spans="1:6" ht="15" customHeight="1" x14ac:dyDescent="0.25">
      <c r="A34" t="s">
        <v>7251</v>
      </c>
      <c r="B34" t="s">
        <v>3996</v>
      </c>
      <c r="C34" t="s">
        <v>5023</v>
      </c>
      <c r="D34" t="s">
        <v>7248</v>
      </c>
      <c r="E34" t="s">
        <v>7249</v>
      </c>
      <c r="F34" t="s">
        <v>7215</v>
      </c>
    </row>
    <row r="35" spans="1:6" ht="15" customHeight="1" x14ac:dyDescent="0.25">
      <c r="A35" t="s">
        <v>7252</v>
      </c>
      <c r="B35" t="s">
        <v>5020</v>
      </c>
      <c r="C35" t="s">
        <v>4360</v>
      </c>
      <c r="D35" t="s">
        <v>7194</v>
      </c>
      <c r="E35" t="s">
        <v>7253</v>
      </c>
      <c r="F35" t="s">
        <v>7182</v>
      </c>
    </row>
    <row r="36" spans="1:6" ht="15" customHeight="1" x14ac:dyDescent="0.25">
      <c r="A36" t="s">
        <v>7254</v>
      </c>
      <c r="B36" t="s">
        <v>5020</v>
      </c>
      <c r="C36" t="s">
        <v>4364</v>
      </c>
      <c r="D36" t="s">
        <v>7180</v>
      </c>
      <c r="E36" t="s">
        <v>7253</v>
      </c>
      <c r="F36" t="s">
        <v>7182</v>
      </c>
    </row>
    <row r="37" spans="1:6" ht="15" customHeight="1" x14ac:dyDescent="0.25">
      <c r="A37" t="s">
        <v>7255</v>
      </c>
      <c r="B37" t="s">
        <v>5020</v>
      </c>
      <c r="C37" t="s">
        <v>5023</v>
      </c>
      <c r="D37" t="s">
        <v>7198</v>
      </c>
      <c r="E37" t="s">
        <v>7253</v>
      </c>
      <c r="F37" t="s">
        <v>7182</v>
      </c>
    </row>
    <row r="38" spans="1:6" ht="15" customHeight="1" x14ac:dyDescent="0.25">
      <c r="A38" t="s">
        <v>7256</v>
      </c>
      <c r="B38" t="s">
        <v>3996</v>
      </c>
      <c r="C38" t="s">
        <v>4360</v>
      </c>
      <c r="D38" t="s">
        <v>7194</v>
      </c>
      <c r="E38" t="s">
        <v>7257</v>
      </c>
      <c r="F38" t="s">
        <v>7182</v>
      </c>
    </row>
    <row r="39" spans="1:6" ht="15" customHeight="1" x14ac:dyDescent="0.25">
      <c r="A39" t="s">
        <v>7258</v>
      </c>
      <c r="B39" t="s">
        <v>3996</v>
      </c>
      <c r="C39" t="s">
        <v>4364</v>
      </c>
      <c r="D39" t="s">
        <v>7180</v>
      </c>
      <c r="E39" t="s">
        <v>7257</v>
      </c>
      <c r="F39" t="s">
        <v>7182</v>
      </c>
    </row>
    <row r="40" spans="1:6" ht="15" customHeight="1" x14ac:dyDescent="0.25">
      <c r="A40" t="s">
        <v>7259</v>
      </c>
      <c r="B40" t="s">
        <v>3996</v>
      </c>
      <c r="C40" t="s">
        <v>5023</v>
      </c>
      <c r="D40" t="s">
        <v>7198</v>
      </c>
      <c r="E40" t="s">
        <v>7257</v>
      </c>
      <c r="F40" t="s">
        <v>7182</v>
      </c>
    </row>
    <row r="41" spans="1:6" ht="15" customHeight="1" x14ac:dyDescent="0.25">
      <c r="A41" t="s">
        <v>7260</v>
      </c>
      <c r="B41" t="s">
        <v>5020</v>
      </c>
      <c r="C41" t="s">
        <v>4360</v>
      </c>
      <c r="D41" t="s">
        <v>7198</v>
      </c>
      <c r="E41" t="s">
        <v>7261</v>
      </c>
      <c r="F41" t="s">
        <v>7182</v>
      </c>
    </row>
    <row r="42" spans="1:6" ht="15" customHeight="1" x14ac:dyDescent="0.25">
      <c r="A42" t="s">
        <v>7262</v>
      </c>
      <c r="B42" t="s">
        <v>5020</v>
      </c>
      <c r="C42" t="s">
        <v>4364</v>
      </c>
      <c r="D42" t="s">
        <v>7198</v>
      </c>
      <c r="E42" t="s">
        <v>7263</v>
      </c>
      <c r="F42" t="s">
        <v>7182</v>
      </c>
    </row>
    <row r="43" spans="1:6" ht="15" customHeight="1" x14ac:dyDescent="0.25">
      <c r="A43" t="s">
        <v>7264</v>
      </c>
      <c r="B43" t="s">
        <v>5020</v>
      </c>
      <c r="C43" t="s">
        <v>5023</v>
      </c>
      <c r="D43" t="s">
        <v>7198</v>
      </c>
      <c r="E43" t="s">
        <v>7265</v>
      </c>
      <c r="F43" t="s">
        <v>7182</v>
      </c>
    </row>
    <row r="44" spans="1:6" ht="15" customHeight="1" x14ac:dyDescent="0.25">
      <c r="A44" t="s">
        <v>7266</v>
      </c>
      <c r="B44" t="s">
        <v>6865</v>
      </c>
      <c r="C44" t="s">
        <v>4360</v>
      </c>
      <c r="D44" t="s">
        <v>7194</v>
      </c>
      <c r="E44" t="s">
        <v>7267</v>
      </c>
      <c r="F44" t="s">
        <v>7182</v>
      </c>
    </row>
    <row r="45" spans="1:6" ht="15" customHeight="1" x14ac:dyDescent="0.25">
      <c r="A45" t="s">
        <v>7268</v>
      </c>
      <c r="B45" t="s">
        <v>6865</v>
      </c>
      <c r="C45" t="s">
        <v>4364</v>
      </c>
      <c r="D45" t="s">
        <v>7180</v>
      </c>
      <c r="E45" t="s">
        <v>7267</v>
      </c>
      <c r="F45" t="s">
        <v>7182</v>
      </c>
    </row>
    <row r="46" spans="1:6" ht="15" customHeight="1" x14ac:dyDescent="0.25">
      <c r="A46" t="s">
        <v>7269</v>
      </c>
      <c r="B46" t="s">
        <v>6865</v>
      </c>
      <c r="C46" t="s">
        <v>5023</v>
      </c>
      <c r="D46" t="s">
        <v>7198</v>
      </c>
      <c r="E46" t="s">
        <v>7267</v>
      </c>
      <c r="F46" t="s">
        <v>7182</v>
      </c>
    </row>
    <row r="47" spans="1:6" ht="15" customHeight="1" x14ac:dyDescent="0.25">
      <c r="A47" t="s">
        <v>7270</v>
      </c>
      <c r="B47" t="s">
        <v>3979</v>
      </c>
      <c r="C47" t="s">
        <v>4360</v>
      </c>
      <c r="D47" t="s">
        <v>7241</v>
      </c>
      <c r="E47" t="s">
        <v>7271</v>
      </c>
      <c r="F47" t="s">
        <v>7215</v>
      </c>
    </row>
    <row r="48" spans="1:6" ht="15" customHeight="1" x14ac:dyDescent="0.25">
      <c r="A48" t="s">
        <v>7272</v>
      </c>
      <c r="B48" t="s">
        <v>3979</v>
      </c>
      <c r="C48" t="s">
        <v>4364</v>
      </c>
      <c r="D48" t="s">
        <v>7244</v>
      </c>
      <c r="E48" t="s">
        <v>7273</v>
      </c>
      <c r="F48" t="s">
        <v>7215</v>
      </c>
    </row>
    <row r="49" spans="1:6" ht="15" customHeight="1" x14ac:dyDescent="0.25">
      <c r="A49" t="s">
        <v>7274</v>
      </c>
      <c r="B49" t="s">
        <v>3979</v>
      </c>
      <c r="C49" t="s">
        <v>5023</v>
      </c>
      <c r="D49" t="s">
        <v>7246</v>
      </c>
      <c r="E49" t="s">
        <v>7275</v>
      </c>
      <c r="F49" t="s">
        <v>7215</v>
      </c>
    </row>
    <row r="50" spans="1:6" ht="15" customHeight="1" x14ac:dyDescent="0.25">
      <c r="A50" t="s">
        <v>7276</v>
      </c>
      <c r="B50" t="s">
        <v>3996</v>
      </c>
      <c r="C50" t="s">
        <v>4360</v>
      </c>
      <c r="D50" t="s">
        <v>7194</v>
      </c>
      <c r="E50" t="s">
        <v>7277</v>
      </c>
      <c r="F50" t="s">
        <v>7182</v>
      </c>
    </row>
    <row r="51" spans="1:6" ht="15" customHeight="1" x14ac:dyDescent="0.25">
      <c r="A51" t="s">
        <v>7278</v>
      </c>
      <c r="B51" t="s">
        <v>3996</v>
      </c>
      <c r="C51" t="s">
        <v>4364</v>
      </c>
      <c r="D51" t="s">
        <v>7180</v>
      </c>
      <c r="E51" t="s">
        <v>7277</v>
      </c>
      <c r="F51" t="s">
        <v>7182</v>
      </c>
    </row>
    <row r="52" spans="1:6" ht="15" customHeight="1" x14ac:dyDescent="0.25">
      <c r="A52" t="s">
        <v>7279</v>
      </c>
      <c r="B52" t="s">
        <v>3996</v>
      </c>
      <c r="C52" t="s">
        <v>5023</v>
      </c>
      <c r="D52" t="s">
        <v>7198</v>
      </c>
      <c r="E52" t="s">
        <v>7277</v>
      </c>
      <c r="F52" t="s">
        <v>7182</v>
      </c>
    </row>
    <row r="53" spans="1:6" ht="15" customHeight="1" x14ac:dyDescent="0.25">
      <c r="A53" t="s">
        <v>7280</v>
      </c>
      <c r="B53" t="s">
        <v>3979</v>
      </c>
      <c r="C53" t="s">
        <v>4360</v>
      </c>
      <c r="D53" t="s">
        <v>7281</v>
      </c>
      <c r="E53" t="s">
        <v>7282</v>
      </c>
      <c r="F53" t="s">
        <v>7215</v>
      </c>
    </row>
    <row r="54" spans="1:6" ht="15" customHeight="1" x14ac:dyDescent="0.25">
      <c r="A54" t="s">
        <v>7283</v>
      </c>
      <c r="B54" t="s">
        <v>3979</v>
      </c>
      <c r="C54" t="s">
        <v>4364</v>
      </c>
      <c r="D54" t="s">
        <v>7284</v>
      </c>
      <c r="E54" t="s">
        <v>7282</v>
      </c>
      <c r="F54" t="s">
        <v>7215</v>
      </c>
    </row>
    <row r="55" spans="1:6" ht="15" customHeight="1" x14ac:dyDescent="0.25">
      <c r="A55" t="s">
        <v>7285</v>
      </c>
      <c r="B55" t="s">
        <v>3979</v>
      </c>
      <c r="C55" t="s">
        <v>5023</v>
      </c>
      <c r="D55" t="s">
        <v>7286</v>
      </c>
      <c r="E55" t="s">
        <v>7282</v>
      </c>
      <c r="F55" t="s">
        <v>7215</v>
      </c>
    </row>
    <row r="56" spans="1:6" ht="15" customHeight="1" x14ac:dyDescent="0.25">
      <c r="A56" t="s">
        <v>7287</v>
      </c>
      <c r="B56" t="s">
        <v>5020</v>
      </c>
      <c r="C56" t="s">
        <v>4360</v>
      </c>
      <c r="D56" t="s">
        <v>7288</v>
      </c>
      <c r="E56" t="s">
        <v>7289</v>
      </c>
      <c r="F56" t="s">
        <v>7215</v>
      </c>
    </row>
    <row r="57" spans="1:6" ht="15" customHeight="1" x14ac:dyDescent="0.25">
      <c r="A57" t="s">
        <v>7290</v>
      </c>
      <c r="B57" t="s">
        <v>5020</v>
      </c>
      <c r="C57" t="s">
        <v>4364</v>
      </c>
      <c r="D57" t="s">
        <v>7291</v>
      </c>
      <c r="E57" t="s">
        <v>7289</v>
      </c>
      <c r="F57" t="s">
        <v>7215</v>
      </c>
    </row>
    <row r="58" spans="1:6" ht="15" customHeight="1" x14ac:dyDescent="0.25">
      <c r="A58" t="s">
        <v>7292</v>
      </c>
      <c r="B58" t="s">
        <v>5020</v>
      </c>
      <c r="C58" t="s">
        <v>5023</v>
      </c>
      <c r="D58" t="s">
        <v>7293</v>
      </c>
      <c r="E58" t="s">
        <v>7289</v>
      </c>
      <c r="F58" t="s">
        <v>7215</v>
      </c>
    </row>
    <row r="59" spans="1:6" ht="15" customHeight="1" x14ac:dyDescent="0.25">
      <c r="A59" t="s">
        <v>7294</v>
      </c>
      <c r="B59" t="s">
        <v>5020</v>
      </c>
      <c r="C59" t="s">
        <v>4360</v>
      </c>
      <c r="D59" t="s">
        <v>7194</v>
      </c>
      <c r="E59" t="s">
        <v>7295</v>
      </c>
      <c r="F59" t="s">
        <v>3829</v>
      </c>
    </row>
    <row r="60" spans="1:6" ht="15" customHeight="1" x14ac:dyDescent="0.25">
      <c r="A60" t="s">
        <v>7296</v>
      </c>
      <c r="B60" t="s">
        <v>5020</v>
      </c>
      <c r="C60" t="s">
        <v>4364</v>
      </c>
      <c r="D60" t="s">
        <v>7180</v>
      </c>
      <c r="E60" t="s">
        <v>7295</v>
      </c>
      <c r="F60" t="s">
        <v>3829</v>
      </c>
    </row>
    <row r="61" spans="1:6" ht="15" customHeight="1" x14ac:dyDescent="0.25">
      <c r="A61" t="s">
        <v>7297</v>
      </c>
      <c r="B61" t="s">
        <v>5020</v>
      </c>
      <c r="C61" t="s">
        <v>5023</v>
      </c>
      <c r="D61" t="s">
        <v>7198</v>
      </c>
      <c r="E61" t="s">
        <v>7295</v>
      </c>
      <c r="F61" t="s">
        <v>3829</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3735</v>
      </c>
      <c r="B1" t="s">
        <v>3731</v>
      </c>
    </row>
    <row r="2" spans="1:2" ht="15" customHeight="1" x14ac:dyDescent="0.25">
      <c r="A2" t="s">
        <v>7298</v>
      </c>
      <c r="B2" t="s">
        <v>4942</v>
      </c>
    </row>
    <row r="3" spans="1:2" ht="15" customHeight="1" x14ac:dyDescent="0.25">
      <c r="A3" t="s">
        <v>7299</v>
      </c>
      <c r="B3" t="s">
        <v>4942</v>
      </c>
    </row>
    <row r="4" spans="1:2" ht="15" customHeight="1" x14ac:dyDescent="0.25">
      <c r="A4" t="s">
        <v>7300</v>
      </c>
      <c r="B4" t="s">
        <v>4942</v>
      </c>
    </row>
    <row r="5" spans="1:2" ht="15" customHeight="1" x14ac:dyDescent="0.25">
      <c r="A5" t="s">
        <v>7301</v>
      </c>
      <c r="B5" t="s">
        <v>4942</v>
      </c>
    </row>
    <row r="6" spans="1:2" ht="15" customHeight="1" x14ac:dyDescent="0.25">
      <c r="A6" t="s">
        <v>3954</v>
      </c>
      <c r="B6" t="s">
        <v>4942</v>
      </c>
    </row>
    <row r="7" spans="1:2" ht="15" customHeight="1" x14ac:dyDescent="0.25">
      <c r="A7" t="s">
        <v>7302</v>
      </c>
      <c r="B7" t="s">
        <v>4942</v>
      </c>
    </row>
    <row r="8" spans="1:2" ht="15" customHeight="1" x14ac:dyDescent="0.25">
      <c r="A8" t="s">
        <v>7303</v>
      </c>
      <c r="B8" t="s">
        <v>4942</v>
      </c>
    </row>
    <row r="9" spans="1:2" ht="15" customHeight="1" x14ac:dyDescent="0.25">
      <c r="A9" t="s">
        <v>7304</v>
      </c>
      <c r="B9" t="s">
        <v>4942</v>
      </c>
    </row>
    <row r="10" spans="1:2" ht="15" customHeight="1" x14ac:dyDescent="0.25">
      <c r="A10" t="s">
        <v>7305</v>
      </c>
      <c r="B10" t="s">
        <v>4942</v>
      </c>
    </row>
    <row r="11" spans="1:2" ht="15" customHeight="1" x14ac:dyDescent="0.25">
      <c r="A11" t="s">
        <v>7306</v>
      </c>
      <c r="B11" t="s">
        <v>4942</v>
      </c>
    </row>
    <row r="12" spans="1:2" ht="15" customHeight="1" x14ac:dyDescent="0.25">
      <c r="A12" t="s">
        <v>7307</v>
      </c>
      <c r="B12" t="s">
        <v>4369</v>
      </c>
    </row>
    <row r="13" spans="1:2" ht="15" customHeight="1" x14ac:dyDescent="0.25">
      <c r="A13" t="s">
        <v>7308</v>
      </c>
      <c r="B13" t="s">
        <v>4369</v>
      </c>
    </row>
    <row r="14" spans="1:2" ht="15" customHeight="1" x14ac:dyDescent="0.25">
      <c r="A14" t="s">
        <v>7309</v>
      </c>
      <c r="B14" t="s">
        <v>4369</v>
      </c>
    </row>
    <row r="15" spans="1:2" ht="15" customHeight="1" x14ac:dyDescent="0.25">
      <c r="A15" t="s">
        <v>7310</v>
      </c>
      <c r="B15" t="s">
        <v>4369</v>
      </c>
    </row>
    <row r="16" spans="1:2" ht="15" customHeight="1" x14ac:dyDescent="0.25">
      <c r="A16" t="s">
        <v>7311</v>
      </c>
      <c r="B16" t="s">
        <v>4369</v>
      </c>
    </row>
    <row r="17" spans="1:2" ht="15" customHeight="1" x14ac:dyDescent="0.25">
      <c r="A17" t="s">
        <v>7312</v>
      </c>
      <c r="B17" t="s">
        <v>4369</v>
      </c>
    </row>
    <row r="18" spans="1:2" ht="15" customHeight="1" x14ac:dyDescent="0.25">
      <c r="A18" t="s">
        <v>7313</v>
      </c>
      <c r="B18" t="s">
        <v>7314</v>
      </c>
    </row>
    <row r="19" spans="1:2" ht="15" customHeight="1" x14ac:dyDescent="0.25">
      <c r="A19" t="s">
        <v>7315</v>
      </c>
      <c r="B19" t="s">
        <v>7314</v>
      </c>
    </row>
    <row r="20" spans="1:2" ht="15" customHeight="1" x14ac:dyDescent="0.25">
      <c r="A20" t="s">
        <v>7316</v>
      </c>
      <c r="B20" t="s">
        <v>7314</v>
      </c>
    </row>
    <row r="21" spans="1:2" ht="15" customHeight="1" x14ac:dyDescent="0.25">
      <c r="A21" t="s">
        <v>7317</v>
      </c>
      <c r="B21" t="s">
        <v>7314</v>
      </c>
    </row>
    <row r="22" spans="1:2" ht="15" customHeight="1" x14ac:dyDescent="0.25">
      <c r="A22" t="s">
        <v>7318</v>
      </c>
      <c r="B22" t="s">
        <v>7314</v>
      </c>
    </row>
    <row r="23" spans="1:2" ht="15" customHeight="1" x14ac:dyDescent="0.25">
      <c r="A23" t="s">
        <v>3951</v>
      </c>
      <c r="B23" t="s">
        <v>7314</v>
      </c>
    </row>
    <row r="24" spans="1:2" ht="15" customHeight="1" x14ac:dyDescent="0.25">
      <c r="A24" t="s">
        <v>7319</v>
      </c>
      <c r="B24" t="s">
        <v>7314</v>
      </c>
    </row>
    <row r="25" spans="1:2" ht="15" customHeight="1" x14ac:dyDescent="0.25">
      <c r="A25" t="s">
        <v>7320</v>
      </c>
      <c r="B25" t="s">
        <v>7314</v>
      </c>
    </row>
    <row r="26" spans="1:2" ht="15" customHeight="1" x14ac:dyDescent="0.25">
      <c r="A26" t="s">
        <v>7321</v>
      </c>
      <c r="B26" t="s">
        <v>7314</v>
      </c>
    </row>
    <row r="27" spans="1:2" ht="15" customHeight="1" x14ac:dyDescent="0.25">
      <c r="A27" t="s">
        <v>7322</v>
      </c>
      <c r="B27" t="s">
        <v>7314</v>
      </c>
    </row>
    <row r="28" spans="1:2" ht="15" customHeight="1" x14ac:dyDescent="0.25">
      <c r="A28" t="s">
        <v>7323</v>
      </c>
      <c r="B28" t="s">
        <v>7314</v>
      </c>
    </row>
    <row r="29" spans="1:2" ht="15" customHeight="1" x14ac:dyDescent="0.25">
      <c r="A29" t="s">
        <v>7324</v>
      </c>
      <c r="B29" t="s">
        <v>7314</v>
      </c>
    </row>
    <row r="30" spans="1:2" ht="15" customHeight="1" x14ac:dyDescent="0.25">
      <c r="A30" t="s">
        <v>7325</v>
      </c>
      <c r="B30" t="s">
        <v>7314</v>
      </c>
    </row>
    <row r="31" spans="1:2" ht="15" customHeight="1" x14ac:dyDescent="0.25">
      <c r="A31" t="s">
        <v>7326</v>
      </c>
      <c r="B31" t="s">
        <v>7314</v>
      </c>
    </row>
    <row r="32" spans="1:2" ht="15" customHeight="1" x14ac:dyDescent="0.25">
      <c r="A32" t="s">
        <v>7327</v>
      </c>
      <c r="B32" t="s">
        <v>7314</v>
      </c>
    </row>
    <row r="33" spans="1:2" ht="15" customHeight="1" x14ac:dyDescent="0.25">
      <c r="A33" t="s">
        <v>7328</v>
      </c>
      <c r="B33" t="s">
        <v>7314</v>
      </c>
    </row>
    <row r="34" spans="1:2" ht="15" customHeight="1" x14ac:dyDescent="0.25">
      <c r="A34" t="s">
        <v>7329</v>
      </c>
      <c r="B34" t="s">
        <v>7314</v>
      </c>
    </row>
    <row r="35" spans="1:2" ht="15" customHeight="1" x14ac:dyDescent="0.25">
      <c r="A35" t="s">
        <v>7330</v>
      </c>
      <c r="B35" t="s">
        <v>7314</v>
      </c>
    </row>
    <row r="36" spans="1:2" ht="15" customHeight="1" x14ac:dyDescent="0.25">
      <c r="A36" t="s">
        <v>7331</v>
      </c>
      <c r="B36" t="s">
        <v>7314</v>
      </c>
    </row>
    <row r="37" spans="1:2" ht="15" customHeight="1" x14ac:dyDescent="0.25">
      <c r="A37" t="s">
        <v>7332</v>
      </c>
      <c r="B37" t="s">
        <v>7314</v>
      </c>
    </row>
    <row r="38" spans="1:2" ht="15" customHeight="1" x14ac:dyDescent="0.25">
      <c r="A38" t="s">
        <v>7333</v>
      </c>
      <c r="B38" t="s">
        <v>7314</v>
      </c>
    </row>
    <row r="39" spans="1:2" ht="15" customHeight="1" x14ac:dyDescent="0.25">
      <c r="A39" t="s">
        <v>7334</v>
      </c>
      <c r="B39" t="s">
        <v>4369</v>
      </c>
    </row>
    <row r="40" spans="1:2" ht="15" customHeight="1" x14ac:dyDescent="0.25">
      <c r="A40" t="s">
        <v>7335</v>
      </c>
      <c r="B40" t="s">
        <v>7314</v>
      </c>
    </row>
    <row r="41" spans="1:2" ht="15" customHeight="1" x14ac:dyDescent="0.25">
      <c r="A41" t="s">
        <v>7336</v>
      </c>
      <c r="B41" t="s">
        <v>7314</v>
      </c>
    </row>
    <row r="42" spans="1:2" ht="15" customHeight="1" x14ac:dyDescent="0.25">
      <c r="A42" t="s">
        <v>7337</v>
      </c>
      <c r="B42" t="s">
        <v>7314</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4304</v>
      </c>
      <c r="E1" s="14" t="s">
        <v>7338</v>
      </c>
      <c r="F1" s="14" t="s">
        <v>7339</v>
      </c>
      <c r="G1" s="14" t="s">
        <v>7340</v>
      </c>
      <c r="H1" s="14" t="s">
        <v>7341</v>
      </c>
      <c r="I1" s="14" t="s">
        <v>7342</v>
      </c>
      <c r="J1" s="14" t="s">
        <v>7343</v>
      </c>
      <c r="K1" s="14" t="s">
        <v>7344</v>
      </c>
      <c r="L1" s="14" t="s">
        <v>7345</v>
      </c>
      <c r="M1" s="14" t="s">
        <v>7346</v>
      </c>
      <c r="N1" s="14" t="s">
        <v>7347</v>
      </c>
      <c r="O1" s="14" t="s">
        <v>7348</v>
      </c>
      <c r="P1" s="14" t="s">
        <v>172</v>
      </c>
      <c r="Q1" s="14" t="s">
        <v>7349</v>
      </c>
      <c r="R1" s="14" t="s">
        <v>4306</v>
      </c>
      <c r="T1" s="14" t="s">
        <v>7350</v>
      </c>
      <c r="U1" s="14" t="s">
        <v>7351</v>
      </c>
      <c r="V1" s="14" t="s">
        <v>7352</v>
      </c>
    </row>
    <row r="2" spans="1:22" x14ac:dyDescent="0.25">
      <c r="A2" t="str">
        <f>IF(games!$A2="","",games!$A2)</f>
        <v>[Redacted]</v>
      </c>
      <c r="B2">
        <f>IF($A2="","",games!$B2)</f>
        <v>2024</v>
      </c>
      <c r="C2" t="str">
        <f>IF($A2="","",games!$C2)</f>
        <v>Action</v>
      </c>
      <c r="D2">
        <f>IF($A2="","",COUNTIF(connections!$A$2:$A$1520,$A2)+COUNTIF(connections!$B$2:$B$1520,$A2))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IF($A3="","",COUNTIF(connections!$A$2:$A$1520,$A3)+COUNTIF(connections!$B$2:$B$1520,$A3))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IF($A4="","",COUNTIF(connections!$A$2:$A$1520,$A4)+COUNTIF(connections!$B$2:$B$1520,$A4))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IF($A5="","",COUNTIF(connections!$A$2:$A$1520,$A5)+COUNTIF(connections!$B$2:$B$1520,$A5))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IF($A6="","",COUNTIF(connections!$A$2:$A$1520,$A6)+COUNTIF(connections!$B$2:$B$1520,$A6))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IF($A7="","",COUNTIF(connections!$A$2:$A$1520,$A7)+COUNTIF(connections!$B$2:$B$1520,$A7))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IF($A8="","",COUNTIF(connections!$A$2:$A$1520,$A8)+COUNTIF(connections!$B$2:$B$1520,$A8))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IF($A9="","",COUNTIF(connections!$A$2:$A$1520,$A9)+COUNTIF(connections!$B$2:$B$1520,$A9))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IF($A10="","",COUNTIF(connections!$A$2:$A$1520,$A10)+COUNTIF(connections!$B$2:$B$1520,$A10))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IF($A11="","",COUNTIF(connections!$A$2:$A$1520,$A11)+COUNTIF(connections!$B$2:$B$1520,$A11))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IF($A12="","",COUNTIF(connections!$A$2:$A$1520,$A12)+COUNTIF(connections!$B$2:$B$1520,$A12))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IF($A13="","",COUNTIF(connections!$A$2:$A$1520,$A13)+COUNTIF(connections!$B$2:$B$1520,$A13))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IF($A14="","",COUNTIF(connections!$A$2:$A$1520,$A14)+COUNTIF(connections!$B$2:$B$1520,$A14))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IF($A15="","",COUNTIF(connections!$A$2:$A$1520,$A15)+COUNTIF(connections!$B$2:$B$1520,$A15))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IF($A16="","",COUNTIF(connections!$A$2:$A$1520,$A16)+COUNTIF(connections!$B$2:$B$1520,$A16))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IF($A17="","",COUNTIF(connections!$A$2:$A$1520,$A17)+COUNTIF(connections!$B$2:$B$1520,$A17))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IF($A18="","",COUNTIF(connections!$A$2:$A$1520,$A18)+COUNTIF(connections!$B$2:$B$1520,$A18))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IF($A19="","",COUNTIF(connections!$A$2:$A$1520,$A19)+COUNTIF(connections!$B$2:$B$1520,$A19))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IF($A20="","",COUNTIF(connections!$A$2:$A$1520,$A20)+COUNTIF(connections!$B$2:$B$1520,$A20))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IF($A21="","",COUNTIF(connections!$A$2:$A$1520,$A21)+COUNTIF(connections!$B$2:$B$1520,$A21))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IF($A22="","",COUNTIF(connections!$A$2:$A$1520,$A22)+COUNTIF(connections!$B$2:$B$1520,$A22))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IF($A23="","",COUNTIF(connections!$A$2:$A$1520,$A23)+COUNTIF(connections!$B$2:$B$1520,$A23))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IF($A24="","",COUNTIF(connections!$A$2:$A$1520,$A24)+COUNTIF(connections!$B$2:$B$1520,$A24))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IF($A25="","",COUNTIF(connections!$A$2:$A$1520,$A25)+COUNTIF(connections!$B$2:$B$1520,$A25))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IF($A26="","",COUNTIF(connections!$A$2:$A$1520,$A26)+COUNTIF(connections!$B$2:$B$1520,$A26))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IF($A27="","",COUNTIF(connections!$A$2:$A$1520,$A27)+COUNTIF(connections!$B$2:$B$1520,$A27))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IF($A28="","",COUNTIF(connections!$A$2:$A$1520,$A28)+COUNTIF(connections!$B$2:$B$1520,$A28))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IF($A29="","",COUNTIF(connections!$A$2:$A$1520,$A29)+COUNTIF(connections!$B$2:$B$1520,$A29))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IF($A30="","",COUNTIF(connections!$A$2:$A$1520,$A30)+COUNTIF(connections!$B$2:$B$1520,$A30))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IF($A31="","",COUNTIF(connections!$A$2:$A$1520,$A31)+COUNTIF(connections!$B$2:$B$1520,$A31))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IF($A32="","",COUNTIF(connections!$A$2:$A$1520,$A32)+COUNTIF(connections!$B$2:$B$1520,$A32))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IF($A33="","",COUNTIF(connections!$A$2:$A$1520,$A33)+COUNTIF(connections!$B$2:$B$1520,$A33))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IF($A34="","",COUNTIF(connections!$A$2:$A$1520,$A34)+COUNTIF(connections!$B$2:$B$1520,$A34))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IF($A35="","",COUNTIF(connections!$A$2:$A$1520,$A35)+COUNTIF(connections!$B$2:$B$1520,$A35))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IF($A36="","",COUNTIF(connections!$A$2:$A$1520,$A36)+COUNTIF(connections!$B$2:$B$1520,$A36))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IF($A37="","",COUNTIF(connections!$A$2:$A$1520,$A37)+COUNTIF(connections!$B$2:$B$1520,$A37))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IF($A38="","",COUNTIF(connections!$A$2:$A$1520,$A38)+COUNTIF(connections!$B$2:$B$1520,$A38))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IF($A39="","",COUNTIF(connections!$A$2:$A$1520,$A39)+COUNTIF(connections!$B$2:$B$1520,$A39))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IF($A40="","",COUNTIF(connections!$A$2:$A$1520,$A40)+COUNTIF(connections!$B$2:$B$1520,$A40))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IF($A41="","",COUNTIF(connections!$A$2:$A$1520,$A41)+COUNTIF(connections!$B$2:$B$1520,$A41))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IF($A42="","",COUNTIF(connections!$A$2:$A$1520,$A42)+COUNTIF(connections!$B$2:$B$1520,$A42))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IF($A43="","",COUNTIF(connections!$A$2:$A$1520,$A43)+COUNTIF(connections!$B$2:$B$1520,$A43))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IF($A44="","",COUNTIF(connections!$A$2:$A$1520,$A44)+COUNTIF(connections!$B$2:$B$1520,$A44))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IF($A45="","",COUNTIF(connections!$A$2:$A$1520,$A45)+COUNTIF(connections!$B$2:$B$1520,$A45))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IF($A46="","",COUNTIF(connections!$A$2:$A$1520,$A46)+COUNTIF(connections!$B$2:$B$1520,$A46))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IF($A47="","",COUNTIF(connections!$A$2:$A$1520,$A47)+COUNTIF(connections!$B$2:$B$1520,$A47))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IF($A48="","",COUNTIF(connections!$A$2:$A$1520,$A48)+COUNTIF(connections!$B$2:$B$1520,$A48))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IF($A49="","",COUNTIF(connections!$A$2:$A$1520,$A49)+COUNTIF(connections!$B$2:$B$1520,$A49))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IF($A50="","",COUNTIF(connections!$A$2:$A$1520,$A50)+COUNTIF(connections!$B$2:$B$1520,$A50))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IF($A51="","",COUNTIF(connections!$A$2:$A$1520,$A51)+COUNTIF(connections!$B$2:$B$1520,$A51))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IF($A52="","",COUNTIF(connections!$A$2:$A$1520,$A52)+COUNTIF(connections!$B$2:$B$1520,$A52))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IF($A53="","",COUNTIF(connections!$A$2:$A$1520,$A53)+COUNTIF(connections!$B$2:$B$1520,$A53))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IF($A54="","",COUNTIF(connections!$A$2:$A$1520,$A54)+COUNTIF(connections!$B$2:$B$1520,$A54))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IF($A55="","",COUNTIF(connections!$A$2:$A$1520,$A55)+COUNTIF(connections!$B$2:$B$1520,$A55))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IF($A56="","",COUNTIF(connections!$A$2:$A$1520,$A56)+COUNTIF(connections!$B$2:$B$1520,$A56))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IF($A57="","",COUNTIF(connections!$A$2:$A$1520,$A57)+COUNTIF(connections!$B$2:$B$1520,$A57))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IF($A58="","",COUNTIF(connections!$A$2:$A$1520,$A58)+COUNTIF(connections!$B$2:$B$1520,$A58))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IF($A59="","",COUNTIF(connections!$A$2:$A$1520,$A59)+COUNTIF(connections!$B$2:$B$1520,$A59))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IF($A60="","",COUNTIF(connections!$A$2:$A$1520,$A60)+COUNTIF(connections!$B$2:$B$1520,$A60))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IF($A61="","",COUNTIF(connections!$A$2:$A$1520,$A61)+COUNTIF(connections!$B$2:$B$1520,$A61))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IF($A62="","",COUNTIF(connections!$A$2:$A$1520,$A62)+COUNTIF(connections!$B$2:$B$1520,$A62))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IF($A63="","",COUNTIF(connections!$A$2:$A$1520,$A63)+COUNTIF(connections!$B$2:$B$1520,$A63))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IF($A64="","",COUNTIF(connections!$A$2:$A$1520,$A64)+COUNTIF(connections!$B$2:$B$1520,$A64))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IF($A65="","",COUNTIF(connections!$A$2:$A$1520,$A65)+COUNTIF(connections!$B$2:$B$1520,$A65))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IF($A66="","",COUNTIF(connections!$A$2:$A$1520,$A66)+COUNTIF(connections!$B$2:$B$1520,$A66))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IF($A67="","",COUNTIF(connections!$A$2:$A$1520,$A67)+COUNTIF(connections!$B$2:$B$1520,$A67))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IF($A68="","",COUNTIF(connections!$A$2:$A$1520,$A68)+COUNTIF(connections!$B$2:$B$1520,$A68))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IF($A69="","",COUNTIF(connections!$A$2:$A$1520,$A69)+COUNTIF(connections!$B$2:$B$1520,$A69))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IF($A70="","",COUNTIF(connections!$A$2:$A$1520,$A70)+COUNTIF(connections!$B$2:$B$1520,$A70))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IF($A71="","",COUNTIF(connections!$A$2:$A$1520,$A71)+COUNTIF(connections!$B$2:$B$1520,$A71))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IF($A72="","",COUNTIF(connections!$A$2:$A$1520,$A72)+COUNTIF(connections!$B$2:$B$1520,$A72))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IF($A73="","",COUNTIF(connections!$A$2:$A$1520,$A73)+COUNTIF(connections!$B$2:$B$1520,$A73))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IF($A74="","",COUNTIF(connections!$A$2:$A$1520,$A74)+COUNTIF(connections!$B$2:$B$1520,$A74))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IF($A75="","",COUNTIF(connections!$A$2:$A$1520,$A75)+COUNTIF(connections!$B$2:$B$1520,$A75))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IF($A76="","",COUNTIF(connections!$A$2:$A$1520,$A76)+COUNTIF(connections!$B$2:$B$1520,$A76))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IF($A77="","",COUNTIF(connections!$A$2:$A$1520,$A77)+COUNTIF(connections!$B$2:$B$1520,$A77))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IF($A78="","",COUNTIF(connections!$A$2:$A$1520,$A78)+COUNTIF(connections!$B$2:$B$1520,$A78))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IF($A79="","",COUNTIF(connections!$A$2:$A$1520,$A79)+COUNTIF(connections!$B$2:$B$1520,$A79))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IF($A80="","",COUNTIF(connections!$A$2:$A$1520,$A80)+COUNTIF(connections!$B$2:$B$1520,$A80))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IF($A81="","",COUNTIF(connections!$A$2:$A$1520,$A81)+COUNTIF(connections!$B$2:$B$1520,$A81))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IF($A82="","",COUNTIF(connections!$A$2:$A$1520,$A82)+COUNTIF(connections!$B$2:$B$1520,$A82))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IF($A83="","",COUNTIF(connections!$A$2:$A$1520,$A83)+COUNTIF(connections!$B$2:$B$1520,$A83))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IF($A84="","",COUNTIF(connections!$A$2:$A$1520,$A84)+COUNTIF(connections!$B$2:$B$1520,$A84))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IF($A85="","",COUNTIF(connections!$A$2:$A$1520,$A85)+COUNTIF(connections!$B$2:$B$1520,$A85))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IF($A86="","",COUNTIF(connections!$A$2:$A$1520,$A86)+COUNTIF(connections!$B$2:$B$1520,$A86))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IF($A87="","",COUNTIF(connections!$A$2:$A$1520,$A87)+COUNTIF(connections!$B$2:$B$1520,$A87))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IF($A88="","",COUNTIF(connections!$A$2:$A$1520,$A88)+COUNTIF(connections!$B$2:$B$1520,$A88))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IF($A89="","",COUNTIF(connections!$A$2:$A$1520,$A89)+COUNTIF(connections!$B$2:$B$1520,$A89))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IF($A90="","",COUNTIF(connections!$A$2:$A$1520,$A90)+COUNTIF(connections!$B$2:$B$1520,$A90))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IF($A91="","",COUNTIF(connections!$A$2:$A$1520,$A91)+COUNTIF(connections!$B$2:$B$1520,$A91))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IF($A92="","",COUNTIF(connections!$A$2:$A$1520,$A92)+COUNTIF(connections!$B$2:$B$1520,$A92))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IF($A93="","",COUNTIF(connections!$A$2:$A$1520,$A93)+COUNTIF(connections!$B$2:$B$1520,$A93))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IF($A94="","",COUNTIF(connections!$A$2:$A$1520,$A94)+COUNTIF(connections!$B$2:$B$1520,$A94))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IF($A95="","",COUNTIF(connections!$A$2:$A$1520,$A95)+COUNTIF(connections!$B$2:$B$1520,$A95))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IF($A96="","",COUNTIF(connections!$A$2:$A$1520,$A96)+COUNTIF(connections!$B$2:$B$1520,$A96))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IF($A97="","",COUNTIF(connections!$A$2:$A$1520,$A97)+COUNTIF(connections!$B$2:$B$1520,$A97))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IF($A98="","",COUNTIF(connections!$A$2:$A$1520,$A98)+COUNTIF(connections!$B$2:$B$1520,$A98))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IF($A99="","",COUNTIF(connections!$A$2:$A$1520,$A99)+COUNTIF(connections!$B$2:$B$1520,$A99))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IF($A100="","",COUNTIF(connections!$A$2:$A$1520,$A100)+COUNTIF(connections!$B$2:$B$1520,$A100))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IF($A101="","",COUNTIF(connections!$A$2:$A$1520,$A101)+COUNTIF(connections!$B$2:$B$1520,$A101))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IF($A102="","",COUNTIF(connections!$A$2:$A$1520,$A102)+COUNTIF(connections!$B$2:$B$1520,$A102))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IF($A103="","",COUNTIF(connections!$A$2:$A$1520,$A103)+COUNTIF(connections!$B$2:$B$1520,$A103))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IF($A104="","",COUNTIF(connections!$A$2:$A$1520,$A104)+COUNTIF(connections!$B$2:$B$1520,$A104))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IF($A105="","",COUNTIF(connections!$A$2:$A$1520,$A105)+COUNTIF(connections!$B$2:$B$1520,$A105))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IF($A106="","",COUNTIF(connections!$A$2:$A$1520,$A106)+COUNTIF(connections!$B$2:$B$1520,$A106))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IF($A107="","",COUNTIF(connections!$A$2:$A$1520,$A107)+COUNTIF(connections!$B$2:$B$1520,$A107))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IF($A108="","",COUNTIF(connections!$A$2:$A$1520,$A108)+COUNTIF(connections!$B$2:$B$1520,$A108))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IF($A109="","",COUNTIF(connections!$A$2:$A$1520,$A109)+COUNTIF(connections!$B$2:$B$1520,$A109))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IF($A110="","",COUNTIF(connections!$A$2:$A$1520,$A110)+COUNTIF(connections!$B$2:$B$1520,$A110))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IF($A111="","",COUNTIF(connections!$A$2:$A$1520,$A111)+COUNTIF(connections!$B$2:$B$1520,$A111))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IF($A112="","",COUNTIF(connections!$A$2:$A$1520,$A112)+COUNTIF(connections!$B$2:$B$1520,$A112))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IF($A113="","",COUNTIF(connections!$A$2:$A$1520,$A113)+COUNTIF(connections!$B$2:$B$1520,$A113))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IF($A114="","",COUNTIF(connections!$A$2:$A$1520,$A114)+COUNTIF(connections!$B$2:$B$1520,$A114))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IF($A115="","",COUNTIF(connections!$A$2:$A$1520,$A115)+COUNTIF(connections!$B$2:$B$1520,$A115))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IF($A116="","",COUNTIF(connections!$A$2:$A$1520,$A116)+COUNTIF(connections!$B$2:$B$1520,$A116))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IF($A117="","",COUNTIF(connections!$A$2:$A$1520,$A117)+COUNTIF(connections!$B$2:$B$1520,$A117))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IF($A118="","",COUNTIF(connections!$A$2:$A$1520,$A118)+COUNTIF(connections!$B$2:$B$1520,$A118))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IF($A119="","",COUNTIF(connections!$A$2:$A$1520,$A119)+COUNTIF(connections!$B$2:$B$1520,$A119))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IF($A120="","",COUNTIF(connections!$A$2:$A$1520,$A120)+COUNTIF(connections!$B$2:$B$1520,$A120))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IF($A121="","",COUNTIF(connections!$A$2:$A$1520,$A121)+COUNTIF(connections!$B$2:$B$1520,$A121))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IF($A122="","",COUNTIF(connections!$A$2:$A$1520,$A122)+COUNTIF(connections!$B$2:$B$1520,$A122))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IF($A123="","",COUNTIF(connections!$A$2:$A$1520,$A123)+COUNTIF(connections!$B$2:$B$1520,$A123))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IF($A124="","",COUNTIF(connections!$A$2:$A$1520,$A124)+COUNTIF(connections!$B$2:$B$1520,$A124))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IF($A125="","",COUNTIF(connections!$A$2:$A$1520,$A125)+COUNTIF(connections!$B$2:$B$1520,$A125))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IF($A126="","",COUNTIF(connections!$A$2:$A$1520,$A126)+COUNTIF(connections!$B$2:$B$1520,$A126))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IF($A127="","",COUNTIF(connections!$A$2:$A$1520,$A127)+COUNTIF(connections!$B$2:$B$1520,$A127))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IF($A128="","",COUNTIF(connections!$A$2:$A$1520,$A128)+COUNTIF(connections!$B$2:$B$1520,$A128))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IF($A129="","",COUNTIF(connections!$A$2:$A$1520,$A129)+COUNTIF(connections!$B$2:$B$1520,$A129))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IF($A130="","",COUNTIF(connections!$A$2:$A$1520,$A130)+COUNTIF(connections!$B$2:$B$1520,$A130))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IF($A131="","",COUNTIF(connections!$A$2:$A$1520,$A131)+COUNTIF(connections!$B$2:$B$1520,$A131))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IF($A132="","",COUNTIF(connections!$A$2:$A$1520,$A132)+COUNTIF(connections!$B$2:$B$1520,$A132))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IF($A133="","",COUNTIF(connections!$A$2:$A$1520,$A133)+COUNTIF(connections!$B$2:$B$1520,$A133))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IF($A134="","",COUNTIF(connections!$A$2:$A$1520,$A134)+COUNTIF(connections!$B$2:$B$1520,$A134))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IF($A135="","",COUNTIF(connections!$A$2:$A$1520,$A135)+COUNTIF(connections!$B$2:$B$1520,$A135))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IF($A136="","",COUNTIF(connections!$A$2:$A$1520,$A136)+COUNTIF(connections!$B$2:$B$1520,$A136))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IF($A137="","",COUNTIF(connections!$A$2:$A$1520,$A137)+COUNTIF(connections!$B$2:$B$1520,$A137))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IF($A138="","",COUNTIF(connections!$A$2:$A$1520,$A138)+COUNTIF(connections!$B$2:$B$1520,$A138))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IF($A139="","",COUNTIF(connections!$A$2:$A$1520,$A139)+COUNTIF(connections!$B$2:$B$1520,$A139))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IF($A140="","",COUNTIF(connections!$A$2:$A$1520,$A140)+COUNTIF(connections!$B$2:$B$1520,$A140))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IF($A141="","",COUNTIF(connections!$A$2:$A$1520,$A141)+COUNTIF(connections!$B$2:$B$1520,$A141))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IF($A142="","",COUNTIF(connections!$A$2:$A$1520,$A142)+COUNTIF(connections!$B$2:$B$1520,$A142))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IF($A143="","",COUNTIF(connections!$A$2:$A$1520,$A143)+COUNTIF(connections!$B$2:$B$1520,$A143))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IF($A144="","",COUNTIF(connections!$A$2:$A$1520,$A144)+COUNTIF(connections!$B$2:$B$1520,$A144))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IF($A145="","",COUNTIF(connections!$A$2:$A$1520,$A145)+COUNTIF(connections!$B$2:$B$1520,$A145))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IF($A146="","",COUNTIF(connections!$A$2:$A$1520,$A146)+COUNTIF(connections!$B$2:$B$1520,$A146))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IF($A147="","",COUNTIF(connections!$A$2:$A$1520,$A147)+COUNTIF(connections!$B$2:$B$1520,$A147))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IF($A148="","",COUNTIF(connections!$A$2:$A$1520,$A148)+COUNTIF(connections!$B$2:$B$1520,$A148))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IF($A149="","",COUNTIF(connections!$A$2:$A$1520,$A149)+COUNTIF(connections!$B$2:$B$1520,$A149))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IF($A150="","",COUNTIF(connections!$A$2:$A$1520,$A150)+COUNTIF(connections!$B$2:$B$1520,$A150))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IF($A151="","",COUNTIF(connections!$A$2:$A$1520,$A151)+COUNTIF(connections!$B$2:$B$1520,$A151))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IF($A152="","",COUNTIF(connections!$A$2:$A$1520,$A152)+COUNTIF(connections!$B$2:$B$1520,$A152))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IF($A153="","",COUNTIF(connections!$A$2:$A$1520,$A153)+COUNTIF(connections!$B$2:$B$1520,$A153))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IF($A154="","",COUNTIF(connections!$A$2:$A$1520,$A154)+COUNTIF(connections!$B$2:$B$1520,$A154))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IF($A155="","",COUNTIF(connections!$A$2:$A$1520,$A155)+COUNTIF(connections!$B$2:$B$1520,$A155))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IF($A156="","",COUNTIF(connections!$A$2:$A$1520,$A156)+COUNTIF(connections!$B$2:$B$1520,$A156))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IF($A157="","",COUNTIF(connections!$A$2:$A$1520,$A157)+COUNTIF(connections!$B$2:$B$1520,$A157))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IF($A158="","",COUNTIF(connections!$A$2:$A$1520,$A158)+COUNTIF(connections!$B$2:$B$1520,$A158))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IF($A159="","",COUNTIF(connections!$A$2:$A$1520,$A159)+COUNTIF(connections!$B$2:$B$1520,$A159))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IF($A160="","",COUNTIF(connections!$A$2:$A$1520,$A160)+COUNTIF(connections!$B$2:$B$1520,$A160))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IF($A161="","",COUNTIF(connections!$A$2:$A$1520,$A161)+COUNTIF(connections!$B$2:$B$1520,$A161))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IF($A162="","",COUNTIF(connections!$A$2:$A$1520,$A162)+COUNTIF(connections!$B$2:$B$1520,$A162))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IF($A163="","",COUNTIF(connections!$A$2:$A$1520,$A163)+COUNTIF(connections!$B$2:$B$1520,$A163))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IF($A164="","",COUNTIF(connections!$A$2:$A$1520,$A164)+COUNTIF(connections!$B$2:$B$1520,$A164))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IF($A165="","",COUNTIF(connections!$A$2:$A$1520,$A165)+COUNTIF(connections!$B$2:$B$1520,$A165))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IF($A166="","",COUNTIF(connections!$A$2:$A$1520,$A166)+COUNTIF(connections!$B$2:$B$1520,$A166))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IF($A167="","",COUNTIF(connections!$A$2:$A$1520,$A167)+COUNTIF(connections!$B$2:$B$1520,$A167))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IF($A168="","",COUNTIF(connections!$A$2:$A$1520,$A168)+COUNTIF(connections!$B$2:$B$1520,$A168))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IF($A169="","",COUNTIF(connections!$A$2:$A$1520,$A169)+COUNTIF(connections!$B$2:$B$1520,$A169))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IF($A170="","",COUNTIF(connections!$A$2:$A$1520,$A170)+COUNTIF(connections!$B$2:$B$1520,$A170))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IF($A171="","",COUNTIF(connections!$A$2:$A$1520,$A171)+COUNTIF(connections!$B$2:$B$1520,$A171))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IF($A172="","",COUNTIF(connections!$A$2:$A$1520,$A172)+COUNTIF(connections!$B$2:$B$1520,$A172))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IF($A173="","",COUNTIF(connections!$A$2:$A$1520,$A173)+COUNTIF(connections!$B$2:$B$1520,$A173))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IF($A174="","",COUNTIF(connections!$A$2:$A$1520,$A174)+COUNTIF(connections!$B$2:$B$1520,$A174))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IF($A175="","",COUNTIF(connections!$A$2:$A$1520,$A175)+COUNTIF(connections!$B$2:$B$1520,$A175))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IF($A176="","",COUNTIF(connections!$A$2:$A$1520,$A176)+COUNTIF(connections!$B$2:$B$1520,$A176))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IF($A177="","",COUNTIF(connections!$A$2:$A$1520,$A177)+COUNTIF(connections!$B$2:$B$1520,$A177))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IF($A178="","",COUNTIF(connections!$A$2:$A$1520,$A178)+COUNTIF(connections!$B$2:$B$1520,$A178))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IF($A179="","",COUNTIF(connections!$A$2:$A$1520,$A179)+COUNTIF(connections!$B$2:$B$1520,$A179))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IF($A180="","",COUNTIF(connections!$A$2:$A$1520,$A180)+COUNTIF(connections!$B$2:$B$1520,$A180))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IF($A181="","",COUNTIF(connections!$A$2:$A$1520,$A181)+COUNTIF(connections!$B$2:$B$1520,$A181))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IF($A182="","",COUNTIF(connections!$A$2:$A$1520,$A182)+COUNTIF(connections!$B$2:$B$1520,$A182))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IF($A183="","",COUNTIF(connections!$A$2:$A$1520,$A183)+COUNTIF(connections!$B$2:$B$1520,$A183))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IF($A184="","",COUNTIF(connections!$A$2:$A$1520,$A184)+COUNTIF(connections!$B$2:$B$1520,$A184))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IF($A185="","",COUNTIF(connections!$A$2:$A$1520,$A185)+COUNTIF(connections!$B$2:$B$1520,$A185))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IF($A186="","",COUNTIF(connections!$A$2:$A$1520,$A186)+COUNTIF(connections!$B$2:$B$1520,$A186))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IF($A187="","",COUNTIF(connections!$A$2:$A$1520,$A187)+COUNTIF(connections!$B$2:$B$1520,$A187))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IF($A188="","",COUNTIF(connections!$A$2:$A$1520,$A188)+COUNTIF(connections!$B$2:$B$1520,$A188))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IF($A189="","",COUNTIF(connections!$A$2:$A$1520,$A189)+COUNTIF(connections!$B$2:$B$1520,$A189))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IF($A190="","",COUNTIF(connections!$A$2:$A$1520,$A190)+COUNTIF(connections!$B$2:$B$1520,$A190))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IF($A191="","",COUNTIF(connections!$A$2:$A$1520,$A191)+COUNTIF(connections!$B$2:$B$1520,$A191))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IF($A192="","",COUNTIF(connections!$A$2:$A$1520,$A192)+COUNTIF(connections!$B$2:$B$1520,$A192))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IF($A193="","",COUNTIF(connections!$A$2:$A$1520,$A193)+COUNTIF(connections!$B$2:$B$1520,$A193))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IF($A194="","",COUNTIF(connections!$A$2:$A$1520,$A194)+COUNTIF(connections!$B$2:$B$1520,$A194))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IF($A195="","",COUNTIF(connections!$A$2:$A$1520,$A195)+COUNTIF(connections!$B$2:$B$1520,$A195))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IF($A196="","",COUNTIF(connections!$A$2:$A$1520,$A196)+COUNTIF(connections!$B$2:$B$1520,$A196))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IF($A197="","",COUNTIF(connections!$A$2:$A$1520,$A197)+COUNTIF(connections!$B$2:$B$1520,$A197))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IF($A198="","",COUNTIF(connections!$A$2:$A$1520,$A198)+COUNTIF(connections!$B$2:$B$1520,$A198))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IF($A199="","",COUNTIF(connections!$A$2:$A$1520,$A199)+COUNTIF(connections!$B$2:$B$1520,$A199))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IF($A200="","",COUNTIF(connections!$A$2:$A$1520,$A200)+COUNTIF(connections!$B$2:$B$1520,$A200))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IF($A201="","",COUNTIF(connections!$A$2:$A$1520,$A201)+COUNTIF(connections!$B$2:$B$1520,$A201))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IF($A202="","",COUNTIF(connections!$A$2:$A$1520,$A202)+COUNTIF(connections!$B$2:$B$1520,$A202))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IF($A203="","",COUNTIF(connections!$A$2:$A$1520,$A203)+COUNTIF(connections!$B$2:$B$1520,$A203))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IF($A204="","",COUNTIF(connections!$A$2:$A$1520,$A204)+COUNTIF(connections!$B$2:$B$1520,$A204))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IF($A205="","",COUNTIF(connections!$A$2:$A$1520,$A205)+COUNTIF(connections!$B$2:$B$1520,$A205))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IF($A206="","",COUNTIF(connections!$A$2:$A$1520,$A206)+COUNTIF(connections!$B$2:$B$1520,$A206))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IF($A207="","",COUNTIF(connections!$A$2:$A$1520,$A207)+COUNTIF(connections!$B$2:$B$1520,$A207))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IF($A208="","",COUNTIF(connections!$A$2:$A$1520,$A208)+COUNTIF(connections!$B$2:$B$1520,$A208))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IF($A209="","",COUNTIF(connections!$A$2:$A$1520,$A209)+COUNTIF(connections!$B$2:$B$1520,$A209))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IF($A210="","",COUNTIF(connections!$A$2:$A$1520,$A210)+COUNTIF(connections!$B$2:$B$1520,$A210))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IF($A211="","",COUNTIF(connections!$A$2:$A$1520,$A211)+COUNTIF(connections!$B$2:$B$1520,$A211))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IF($A212="","",COUNTIF(connections!$A$2:$A$1520,$A212)+COUNTIF(connections!$B$2:$B$1520,$A212))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IF($A213="","",COUNTIF(connections!$A$2:$A$1520,$A213)+COUNTIF(connections!$B$2:$B$1520,$A213))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IF($A214="","",COUNTIF(connections!$A$2:$A$1520,$A214)+COUNTIF(connections!$B$2:$B$1520,$A214))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IF($A215="","",COUNTIF(connections!$A$2:$A$1520,$A215)+COUNTIF(connections!$B$2:$B$1520,$A215))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IF($A216="","",COUNTIF(connections!$A$2:$A$1520,$A216)+COUNTIF(connections!$B$2:$B$1520,$A216))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IF($A217="","",COUNTIF(connections!$A$2:$A$1520,$A217)+COUNTIF(connections!$B$2:$B$1520,$A217))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IF($A218="","",COUNTIF(connections!$A$2:$A$1520,$A218)+COUNTIF(connections!$B$2:$B$1520,$A218))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IF($A219="","",COUNTIF(connections!$A$2:$A$1520,$A219)+COUNTIF(connections!$B$2:$B$1520,$A219))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IF($A220="","",COUNTIF(connections!$A$2:$A$1520,$A220)+COUNTIF(connections!$B$2:$B$1520,$A220))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IF($A221="","",COUNTIF(connections!$A$2:$A$1520,$A221)+COUNTIF(connections!$B$2:$B$1520,$A221))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IF($A222="","",COUNTIF(connections!$A$2:$A$1520,$A222)+COUNTIF(connections!$B$2:$B$1520,$A222))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IF($A223="","",COUNTIF(connections!$A$2:$A$1520,$A223)+COUNTIF(connections!$B$2:$B$1520,$A223))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IF($A224="","",COUNTIF(connections!$A$2:$A$1520,$A224)+COUNTIF(connections!$B$2:$B$1520,$A224))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IF($A225="","",COUNTIF(connections!$A$2:$A$1520,$A225)+COUNTIF(connections!$B$2:$B$1520,$A225))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IF($A226="","",COUNTIF(connections!$A$2:$A$1520,$A226)+COUNTIF(connections!$B$2:$B$1520,$A226))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IF($A227="","",COUNTIF(connections!$A$2:$A$1520,$A227)+COUNTIF(connections!$B$2:$B$1520,$A227))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IF($A228="","",COUNTIF(connections!$A$2:$A$1520,$A228)+COUNTIF(connections!$B$2:$B$1520,$A228))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IF($A229="","",COUNTIF(connections!$A$2:$A$1520,$A229)+COUNTIF(connections!$B$2:$B$1520,$A229))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IF($A230="","",COUNTIF(connections!$A$2:$A$1520,$A230)+COUNTIF(connections!$B$2:$B$1520,$A230))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IF($A231="","",COUNTIF(connections!$A$2:$A$1520,$A231)+COUNTIF(connections!$B$2:$B$1520,$A231))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IF($A232="","",COUNTIF(connections!$A$2:$A$1520,$A232)+COUNTIF(connections!$B$2:$B$1520,$A232))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IF($A233="","",COUNTIF(connections!$A$2:$A$1520,$A233)+COUNTIF(connections!$B$2:$B$1520,$A233))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IF($A234="","",COUNTIF(connections!$A$2:$A$1520,$A234)+COUNTIF(connections!$B$2:$B$1520,$A234))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IF($A235="","",COUNTIF(connections!$A$2:$A$1520,$A235)+COUNTIF(connections!$B$2:$B$1520,$A235))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IF($A236="","",COUNTIF(connections!$A$2:$A$1520,$A236)+COUNTIF(connections!$B$2:$B$1520,$A236))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IF($A237="","",COUNTIF(connections!$A$2:$A$1520,$A237)+COUNTIF(connections!$B$2:$B$1520,$A237))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IF($A238="","",COUNTIF(connections!$A$2:$A$1520,$A238)+COUNTIF(connections!$B$2:$B$1520,$A238))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IF($A239="","",COUNTIF(connections!$A$2:$A$1520,$A239)+COUNTIF(connections!$B$2:$B$1520,$A239))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IF($A240="","",COUNTIF(connections!$A$2:$A$1520,$A240)+COUNTIF(connections!$B$2:$B$1520,$A240))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IF($A241="","",COUNTIF(connections!$A$2:$A$1520,$A241)+COUNTIF(connections!$B$2:$B$1520,$A241))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IF($A242="","",COUNTIF(connections!$A$2:$A$1520,$A242)+COUNTIF(connections!$B$2:$B$1520,$A242))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IF($A243="","",COUNTIF(connections!$A$2:$A$1520,$A243)+COUNTIF(connections!$B$2:$B$1520,$A243))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IF($A244="","",COUNTIF(connections!$A$2:$A$1520,$A244)+COUNTIF(connections!$B$2:$B$1520,$A244))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IF($A245="","",COUNTIF(connections!$A$2:$A$1520,$A245)+COUNTIF(connections!$B$2:$B$1520,$A245))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IF($A246="","",COUNTIF(connections!$A$2:$A$1520,$A246)+COUNTIF(connections!$B$2:$B$1520,$A246))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IF($A247="","",COUNTIF(connections!$A$2:$A$1520,$A247)+COUNTIF(connections!$B$2:$B$1520,$A247))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IF($A248="","",COUNTIF(connections!$A$2:$A$1520,$A248)+COUNTIF(connections!$B$2:$B$1520,$A248))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IF($A249="","",COUNTIF(connections!$A$2:$A$1520,$A249)+COUNTIF(connections!$B$2:$B$1520,$A249))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IF($A250="","",COUNTIF(connections!$A$2:$A$1520,$A250)+COUNTIF(connections!$B$2:$B$1520,$A250))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IF($A251="","",COUNTIF(connections!$A$2:$A$1520,$A251)+COUNTIF(connections!$B$2:$B$1520,$A251))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IF($A252="","",COUNTIF(connections!$A$2:$A$1520,$A252)+COUNTIF(connections!$B$2:$B$1520,$A252))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IF($A253="","",COUNTIF(connections!$A$2:$A$1520,$A253)+COUNTIF(connections!$B$2:$B$1520,$A253))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IF($A254="","",COUNTIF(connections!$A$2:$A$1520,$A254)+COUNTIF(connections!$B$2:$B$1520,$A254))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IF($A255="","",COUNTIF(connections!$A$2:$A$1520,$A255)+COUNTIF(connections!$B$2:$B$1520,$A255))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IF($A256="","",COUNTIF(connections!$A$2:$A$1520,$A256)+COUNTIF(connections!$B$2:$B$1520,$A256))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IF($A257="","",COUNTIF(connections!$A$2:$A$1520,$A257)+COUNTIF(connections!$B$2:$B$1520,$A257))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IF($A258="","",COUNTIF(connections!$A$2:$A$1520,$A258)+COUNTIF(connections!$B$2:$B$1520,$A258))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IF($A259="","",COUNTIF(connections!$A$2:$A$1520,$A259)+COUNTIF(connections!$B$2:$B$1520,$A259))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IF($A260="","",COUNTIF(connections!$A$2:$A$1520,$A260)+COUNTIF(connections!$B$2:$B$1520,$A260))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IF($A261="","",COUNTIF(connections!$A$2:$A$1520,$A261)+COUNTIF(connections!$B$2:$B$1520,$A261))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IF($A262="","",COUNTIF(connections!$A$2:$A$1520,$A262)+COUNTIF(connections!$B$2:$B$1520,$A262))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IF($A263="","",COUNTIF(connections!$A$2:$A$1520,$A263)+COUNTIF(connections!$B$2:$B$1520,$A263))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IF($A264="","",COUNTIF(connections!$A$2:$A$1520,$A264)+COUNTIF(connections!$B$2:$B$1520,$A264))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IF($A265="","",COUNTIF(connections!$A$2:$A$1520,$A265)+COUNTIF(connections!$B$2:$B$1520,$A265))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IF($A266="","",COUNTIF(connections!$A$2:$A$1520,$A266)+COUNTIF(connections!$B$2:$B$1520,$A266))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IF($A267="","",COUNTIF(connections!$A$2:$A$1520,$A267)+COUNTIF(connections!$B$2:$B$1520,$A267))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IF($A268="","",COUNTIF(connections!$A$2:$A$1520,$A268)+COUNTIF(connections!$B$2:$B$1520,$A268))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IF($A269="","",COUNTIF(connections!$A$2:$A$1520,$A269)+COUNTIF(connections!$B$2:$B$1520,$A269))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IF($A270="","",COUNTIF(connections!$A$2:$A$1520,$A270)+COUNTIF(connections!$B$2:$B$1520,$A270))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IF($A271="","",COUNTIF(connections!$A$2:$A$1520,$A271)+COUNTIF(connections!$B$2:$B$1520,$A271))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IF($A272="","",COUNTIF(connections!$A$2:$A$1520,$A272)+COUNTIF(connections!$B$2:$B$1520,$A272))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IF($A273="","",COUNTIF(connections!$A$2:$A$1520,$A273)+COUNTIF(connections!$B$2:$B$1520,$A273))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IF($A274="","",COUNTIF(connections!$A$2:$A$1520,$A274)+COUNTIF(connections!$B$2:$B$1520,$A274))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IF($A275="","",COUNTIF(connections!$A$2:$A$1520,$A275)+COUNTIF(connections!$B$2:$B$1520,$A275))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IF($A276="","",COUNTIF(connections!$A$2:$A$1520,$A276)+COUNTIF(connections!$B$2:$B$1520,$A276))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IF($A277="","",COUNTIF(connections!$A$2:$A$1520,$A277)+COUNTIF(connections!$B$2:$B$1520,$A277))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IF($A278="","",COUNTIF(connections!$A$2:$A$1520,$A278)+COUNTIF(connections!$B$2:$B$1520,$A278))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IF($A279="","",COUNTIF(connections!$A$2:$A$1520,$A279)+COUNTIF(connections!$B$2:$B$1520,$A279))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IF($A280="","",COUNTIF(connections!$A$2:$A$1520,$A280)+COUNTIF(connections!$B$2:$B$1520,$A280))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IF($A281="","",COUNTIF(connections!$A$2:$A$1520,$A281)+COUNTIF(connections!$B$2:$B$1520,$A281))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IF($A282="","",COUNTIF(connections!$A$2:$A$1520,$A282)+COUNTIF(connections!$B$2:$B$1520,$A282))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IF($A283="","",COUNTIF(connections!$A$2:$A$1520,$A283)+COUNTIF(connections!$B$2:$B$1520,$A283))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IF($A284="","",COUNTIF(connections!$A$2:$A$1520,$A284)+COUNTIF(connections!$B$2:$B$1520,$A284))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IF($A285="","",COUNTIF(connections!$A$2:$A$1520,$A285)+COUNTIF(connections!$B$2:$B$1520,$A285))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IF($A286="","",COUNTIF(connections!$A$2:$A$1520,$A286)+COUNTIF(connections!$B$2:$B$1520,$A286))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IF($A287="","",COUNTIF(connections!$A$2:$A$1520,$A287)+COUNTIF(connections!$B$2:$B$1520,$A287))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IF($A288="","",COUNTIF(connections!$A$2:$A$1520,$A288)+COUNTIF(connections!$B$2:$B$1520,$A288))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IF($A289="","",COUNTIF(connections!$A$2:$A$1520,$A289)+COUNTIF(connections!$B$2:$B$1520,$A289))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IF($A290="","",COUNTIF(connections!$A$2:$A$1520,$A290)+COUNTIF(connections!$B$2:$B$1520,$A290))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IF($A291="","",COUNTIF(connections!$A$2:$A$1520,$A291)+COUNTIF(connections!$B$2:$B$1520,$A291))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IF($A292="","",COUNTIF(connections!$A$2:$A$1520,$A292)+COUNTIF(connections!$B$2:$B$1520,$A292))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IF($A293="","",COUNTIF(connections!$A$2:$A$1520,$A293)+COUNTIF(connections!$B$2:$B$1520,$A293))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IF($A294="","",COUNTIF(connections!$A$2:$A$1520,$A294)+COUNTIF(connections!$B$2:$B$1520,$A294))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IF($A295="","",COUNTIF(connections!$A$2:$A$1520,$A295)+COUNTIF(connections!$B$2:$B$1520,$A295))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IF($A296="","",COUNTIF(connections!$A$2:$A$1520,$A296)+COUNTIF(connections!$B$2:$B$1520,$A296))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IF($A297="","",COUNTIF(connections!$A$2:$A$1520,$A297)+COUNTIF(connections!$B$2:$B$1520,$A297))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IF($A298="","",COUNTIF(connections!$A$2:$A$1520,$A298)+COUNTIF(connections!$B$2:$B$1520,$A298))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IF($A299="","",COUNTIF(connections!$A$2:$A$1520,$A299)+COUNTIF(connections!$B$2:$B$1520,$A299))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IF($A300="","",COUNTIF(connections!$A$2:$A$1520,$A300)+COUNTIF(connections!$B$2:$B$1520,$A300))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IF($A301="","",COUNTIF(connections!$A$2:$A$1520,$A301)+COUNTIF(connections!$B$2:$B$1520,$A301))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IF($A302="","",COUNTIF(connections!$A$2:$A$1520,$A302)+COUNTIF(connections!$B$2:$B$1520,$A302))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IF($A303="","",COUNTIF(connections!$A$2:$A$1520,$A303)+COUNTIF(connections!$B$2:$B$1520,$A303))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IF($A304="","",COUNTIF(connections!$A$2:$A$1520,$A304)+COUNTIF(connections!$B$2:$B$1520,$A304))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IF($A305="","",COUNTIF(connections!$A$2:$A$1520,$A305)+COUNTIF(connections!$B$2:$B$1520,$A305))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IF($A306="","",COUNTIF(connections!$A$2:$A$1520,$A306)+COUNTIF(connections!$B$2:$B$1520,$A306))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IF($A307="","",COUNTIF(connections!$A$2:$A$1520,$A307)+COUNTIF(connections!$B$2:$B$1520,$A307))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IF($A308="","",COUNTIF(connections!$A$2:$A$1520,$A308)+COUNTIF(connections!$B$2:$B$1520,$A308))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IF($A309="","",COUNTIF(connections!$A$2:$A$1520,$A309)+COUNTIF(connections!$B$2:$B$1520,$A309))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IF($A310="","",COUNTIF(connections!$A$2:$A$1520,$A310)+COUNTIF(connections!$B$2:$B$1520,$A310))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IF($A311="","",COUNTIF(connections!$A$2:$A$1520,$A311)+COUNTIF(connections!$B$2:$B$1520,$A311))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IF($A312="","",COUNTIF(connections!$A$2:$A$1520,$A312)+COUNTIF(connections!$B$2:$B$1520,$A312))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IF($A313="","",COUNTIF(connections!$A$2:$A$1520,$A313)+COUNTIF(connections!$B$2:$B$1520,$A313))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IF($A314="","",COUNTIF(connections!$A$2:$A$1520,$A314)+COUNTIF(connections!$B$2:$B$1520,$A314))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IF($A315="","",COUNTIF(connections!$A$2:$A$1520,$A315)+COUNTIF(connections!$B$2:$B$1520,$A315))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IF($A316="","",COUNTIF(connections!$A$2:$A$1520,$A316)+COUNTIF(connections!$B$2:$B$1520,$A316))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IF($A317="","",COUNTIF(connections!$A$2:$A$1520,$A317)+COUNTIF(connections!$B$2:$B$1520,$A317))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IF($A318="","",COUNTIF(connections!$A$2:$A$1520,$A318)+COUNTIF(connections!$B$2:$B$1520,$A318))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IF($A319="","",COUNTIF(connections!$A$2:$A$1520,$A319)+COUNTIF(connections!$B$2:$B$1520,$A319))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IF($A320="","",COUNTIF(connections!$A$2:$A$1520,$A320)+COUNTIF(connections!$B$2:$B$1520,$A320))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IF($A321="","",COUNTIF(connections!$A$2:$A$1520,$A321)+COUNTIF(connections!$B$2:$B$1520,$A321))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IF($A322="","",COUNTIF(connections!$A$2:$A$1520,$A322)+COUNTIF(connections!$B$2:$B$1520,$A322))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IF($A323="","",COUNTIF(connections!$A$2:$A$1520,$A323)+COUNTIF(connections!$B$2:$B$1520,$A323))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IF($A324="","",COUNTIF(connections!$A$2:$A$1520,$A324)+COUNTIF(connections!$B$2:$B$1520,$A324))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IF($A325="","",COUNTIF(connections!$A$2:$A$1520,$A325)+COUNTIF(connections!$B$2:$B$1520,$A325))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IF($A326="","",COUNTIF(connections!$A$2:$A$1520,$A326)+COUNTIF(connections!$B$2:$B$1520,$A326))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IF($A327="","",COUNTIF(connections!$A$2:$A$1520,$A327)+COUNTIF(connections!$B$2:$B$1520,$A327))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IF($A328="","",COUNTIF(connections!$A$2:$A$1520,$A328)+COUNTIF(connections!$B$2:$B$1520,$A328))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IF($A329="","",COUNTIF(connections!$A$2:$A$1520,$A329)+COUNTIF(connections!$B$2:$B$1520,$A329))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IF($A330="","",COUNTIF(connections!$A$2:$A$1520,$A330)+COUNTIF(connections!$B$2:$B$1520,$A330))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IF($A331="","",COUNTIF(connections!$A$2:$A$1520,$A331)+COUNTIF(connections!$B$2:$B$1520,$A331))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IF($A332="","",COUNTIF(connections!$A$2:$A$1520,$A332)+COUNTIF(connections!$B$2:$B$1520,$A332))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IF($A333="","",COUNTIF(connections!$A$2:$A$1520,$A333)+COUNTIF(connections!$B$2:$B$1520,$A333))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IF($A334="","",COUNTIF(connections!$A$2:$A$1520,$A334)+COUNTIF(connections!$B$2:$B$1520,$A334))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IF($A335="","",COUNTIF(connections!$A$2:$A$1520,$A335)+COUNTIF(connections!$B$2:$B$1520,$A335))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IF($A336="","",COUNTIF(connections!$A$2:$A$1520,$A336)+COUNTIF(connections!$B$2:$B$1520,$A336))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IF($A337="","",COUNTIF(connections!$A$2:$A$1520,$A337)+COUNTIF(connections!$B$2:$B$1520,$A337))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IF($A338="","",COUNTIF(connections!$A$2:$A$1520,$A338)+COUNTIF(connections!$B$2:$B$1520,$A338))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IF($A339="","",COUNTIF(connections!$A$2:$A$1520,$A339)+COUNTIF(connections!$B$2:$B$1520,$A339))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IF($A340="","",COUNTIF(connections!$A$2:$A$1520,$A340)+COUNTIF(connections!$B$2:$B$1520,$A340))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IF($A341="","",COUNTIF(connections!$A$2:$A$1520,$A341)+COUNTIF(connections!$B$2:$B$1520,$A341))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IF($A342="","",COUNTIF(connections!$A$2:$A$1520,$A342)+COUNTIF(connections!$B$2:$B$1520,$A342))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IF($A343="","",COUNTIF(connections!$A$2:$A$1520,$A343)+COUNTIF(connections!$B$2:$B$1520,$A343))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IF($A344="","",COUNTIF(connections!$A$2:$A$1520,$A344)+COUNTIF(connections!$B$2:$B$1520,$A344))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IF($A345="","",COUNTIF(connections!$A$2:$A$1520,$A345)+COUNTIF(connections!$B$2:$B$1520,$A345))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IF($A346="","",COUNTIF(connections!$A$2:$A$1520,$A346)+COUNTIF(connections!$B$2:$B$1520,$A346))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IF($A347="","",COUNTIF(connections!$A$2:$A$1520,$A347)+COUNTIF(connections!$B$2:$B$1520,$A347))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IF($A348="","",COUNTIF(connections!$A$2:$A$1520,$A348)+COUNTIF(connections!$B$2:$B$1520,$A348))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IF($A349="","",COUNTIF(connections!$A$2:$A$1520,$A349)+COUNTIF(connections!$B$2:$B$1520,$A349))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IF($A350="","",COUNTIF(connections!$A$2:$A$1520,$A350)+COUNTIF(connections!$B$2:$B$1520,$A350))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IF($A351="","",COUNTIF(connections!$A$2:$A$1520,$A351)+COUNTIF(connections!$B$2:$B$1520,$A351))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IF($A352="","",COUNTIF(connections!$A$2:$A$1520,$A352)+COUNTIF(connections!$B$2:$B$1520,$A352))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IF($A353="","",COUNTIF(connections!$A$2:$A$1520,$A353)+COUNTIF(connections!$B$2:$B$1520,$A353))</f>
        <v>71</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71.000353000000004</v>
      </c>
      <c r="P353" t="str">
        <f>IF(OR($A353="",games!$H353=""),"",games!$H353)</f>
        <v>Yes</v>
      </c>
      <c r="Q353">
        <f t="shared" si="76"/>
        <v>71.000353000000004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IF($A354="","",COUNTIF(connections!$A$2:$A$1520,$A354)+COUNTIF(connections!$B$2:$B$1520,$A354))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IF($A355="","",COUNTIF(connections!$A$2:$A$1520,$A355)+COUNTIF(connections!$B$2:$B$1520,$A355))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IF($A356="","",COUNTIF(connections!$A$2:$A$1520,$A356)+COUNTIF(connections!$B$2:$B$1520,$A356))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IF($A357="","",COUNTIF(connections!$A$2:$A$1520,$A357)+COUNTIF(connections!$B$2:$B$1520,$A357))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IF($A358="","",COUNTIF(connections!$A$2:$A$1520,$A358)+COUNTIF(connections!$B$2:$B$1520,$A358))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IF($A359="","",COUNTIF(connections!$A$2:$A$1520,$A359)+COUNTIF(connections!$B$2:$B$1520,$A359))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IF($A360="","",COUNTIF(connections!$A$2:$A$1520,$A360)+COUNTIF(connections!$B$2:$B$1520,$A360))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IF($A361="","",COUNTIF(connections!$A$2:$A$1520,$A361)+COUNTIF(connections!$B$2:$B$1520,$A361))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IF($A362="","",COUNTIF(connections!$A$2:$A$1520,$A362)+COUNTIF(connections!$B$2:$B$1520,$A362))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IF($A363="","",COUNTIF(connections!$A$2:$A$1520,$A363)+COUNTIF(connections!$B$2:$B$1520,$A363))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IF($A364="","",COUNTIF(connections!$A$2:$A$1520,$A364)+COUNTIF(connections!$B$2:$B$1520,$A364))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IF($A365="","",COUNTIF(connections!$A$2:$A$1520,$A365)+COUNTIF(connections!$B$2:$B$1520,$A365))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IF($A366="","",COUNTIF(connections!$A$2:$A$1520,$A366)+COUNTIF(connections!$B$2:$B$1520,$A366))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IF($A367="","",COUNTIF(connections!$A$2:$A$1520,$A367)+COUNTIF(connections!$B$2:$B$1520,$A367))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IF($A368="","",COUNTIF(connections!$A$2:$A$1520,$A368)+COUNTIF(connections!$B$2:$B$1520,$A368))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IF($A369="","",COUNTIF(connections!$A$2:$A$1520,$A369)+COUNTIF(connections!$B$2:$B$1520,$A369))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IF($A370="","",COUNTIF(connections!$A$2:$A$1520,$A370)+COUNTIF(connections!$B$2:$B$1520,$A370))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IF($A371="","",COUNTIF(connections!$A$2:$A$1520,$A371)+COUNTIF(connections!$B$2:$B$1520,$A371))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IF($A372="","",COUNTIF(connections!$A$2:$A$1520,$A372)+COUNTIF(connections!$B$2:$B$1520,$A372))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IF($A373="","",COUNTIF(connections!$A$2:$A$1520,$A373)+COUNTIF(connections!$B$2:$B$1520,$A373))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IF($A374="","",COUNTIF(connections!$A$2:$A$1520,$A374)+COUNTIF(connections!$B$2:$B$1520,$A374))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IF($A375="","",COUNTIF(connections!$A$2:$A$1520,$A375)+COUNTIF(connections!$B$2:$B$1520,$A375))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IF($A376="","",COUNTIF(connections!$A$2:$A$1520,$A376)+COUNTIF(connections!$B$2:$B$1520,$A376))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IF($A377="","",COUNTIF(connections!$A$2:$A$1520,$A377)+COUNTIF(connections!$B$2:$B$1520,$A377))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IF($A378="","",COUNTIF(connections!$A$2:$A$1520,$A378)+COUNTIF(connections!$B$2:$B$1520,$A378))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IF($A379="","",COUNTIF(connections!$A$2:$A$1520,$A379)+COUNTIF(connections!$B$2:$B$1520,$A379))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IF($A380="","",COUNTIF(connections!$A$2:$A$1520,$A380)+COUNTIF(connections!$B$2:$B$1520,$A380))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IF($A381="","",COUNTIF(connections!$A$2:$A$1520,$A381)+COUNTIF(connections!$B$2:$B$1520,$A381))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IF($A382="","",COUNTIF(connections!$A$2:$A$1520,$A382)+COUNTIF(connections!$B$2:$B$1520,$A382))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IF($A383="","",COUNTIF(connections!$A$2:$A$1520,$A383)+COUNTIF(connections!$B$2:$B$1520,$A383))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IF($A384="","",COUNTIF(connections!$A$2:$A$1520,$A384)+COUNTIF(connections!$B$2:$B$1520,$A384))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IF($A385="","",COUNTIF(connections!$A$2:$A$1520,$A385)+COUNTIF(connections!$B$2:$B$1520,$A385))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IF($A386="","",COUNTIF(connections!$A$2:$A$1520,$A386)+COUNTIF(connections!$B$2:$B$1520,$A386))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IF($A387="","",COUNTIF(connections!$A$2:$A$1520,$A387)+COUNTIF(connections!$B$2:$B$1520,$A387))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IF($A388="","",COUNTIF(connections!$A$2:$A$1520,$A388)+COUNTIF(connections!$B$2:$B$1520,$A388))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IF($A389="","",COUNTIF(connections!$A$2:$A$1520,$A389)+COUNTIF(connections!$B$2:$B$1520,$A389))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IF($A390="","",COUNTIF(connections!$A$2:$A$1520,$A390)+COUNTIF(connections!$B$2:$B$1520,$A390))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IF($A391="","",COUNTIF(connections!$A$2:$A$1520,$A391)+COUNTIF(connections!$B$2:$B$1520,$A391))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IF($A392="","",COUNTIF(connections!$A$2:$A$1520,$A392)+COUNTIF(connections!$B$2:$B$1520,$A392))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IF($A393="","",COUNTIF(connections!$A$2:$A$1520,$A393)+COUNTIF(connections!$B$2:$B$1520,$A393))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IF($A394="","",COUNTIF(connections!$A$2:$A$1520,$A394)+COUNTIF(connections!$B$2:$B$1520,$A394))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IF($A395="","",COUNTIF(connections!$A$2:$A$1520,$A395)+COUNTIF(connections!$B$2:$B$1520,$A395))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IF($A396="","",COUNTIF(connections!$A$2:$A$1520,$A396)+COUNTIF(connections!$B$2:$B$1520,$A396))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IF($A397="","",COUNTIF(connections!$A$2:$A$1520,$A397)+COUNTIF(connections!$B$2:$B$1520,$A397))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IF($A398="","",COUNTIF(connections!$A$2:$A$1520,$A398)+COUNTIF(connections!$B$2:$B$1520,$A398))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IF($A399="","",COUNTIF(connections!$A$2:$A$1520,$A399)+COUNTIF(connections!$B$2:$B$1520,$A399))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IF($A400="","",COUNTIF(connections!$A$2:$A$1520,$A400)+COUNTIF(connections!$B$2:$B$1520,$A400))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IF($A401="","",COUNTIF(connections!$A$2:$A$1520,$A401)+COUNTIF(connections!$B$2:$B$1520,$A401))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IF($A402="","",COUNTIF(connections!$A$2:$A$1520,$A402)+COUNTIF(connections!$B$2:$B$1520,$A402))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IF($A403="","",COUNTIF(connections!$A$2:$A$1520,$A403)+COUNTIF(connections!$B$2:$B$1520,$A403))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IF($A404="","",COUNTIF(connections!$A$2:$A$1520,$A404)+COUNTIF(connections!$B$2:$B$1520,$A404))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IF($A405="","",COUNTIF(connections!$A$2:$A$1520,$A405)+COUNTIF(connections!$B$2:$B$1520,$A405))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IF($A406="","",COUNTIF(connections!$A$2:$A$1520,$A406)+COUNTIF(connections!$B$2:$B$1520,$A406))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IF($A407="","",COUNTIF(connections!$A$2:$A$1520,$A407)+COUNTIF(connections!$B$2:$B$1520,$A407))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IF($A408="","",COUNTIF(connections!$A$2:$A$1520,$A408)+COUNTIF(connections!$B$2:$B$1520,$A408))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IF($A409="","",COUNTIF(connections!$A$2:$A$1520,$A409)+COUNTIF(connections!$B$2:$B$1520,$A409))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IF($A410="","",COUNTIF(connections!$A$2:$A$1520,$A410)+COUNTIF(connections!$B$2:$B$1520,$A410))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IF($A411="","",COUNTIF(connections!$A$2:$A$1520,$A411)+COUNTIF(connections!$B$2:$B$1520,$A411))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IF($A412="","",COUNTIF(connections!$A$2:$A$1520,$A412)+COUNTIF(connections!$B$2:$B$1520,$A412))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IF($A413="","",COUNTIF(connections!$A$2:$A$1520,$A413)+COUNTIF(connections!$B$2:$B$1520,$A413))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IF($A414="","",COUNTIF(connections!$A$2:$A$1520,$A414)+COUNTIF(connections!$B$2:$B$1520,$A414))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IF($A415="","",COUNTIF(connections!$A$2:$A$1520,$A415)+COUNTIF(connections!$B$2:$B$1520,$A415))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IF($A416="","",COUNTIF(connections!$A$2:$A$1520,$A416)+COUNTIF(connections!$B$2:$B$1520,$A416))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IF($A417="","",COUNTIF(connections!$A$2:$A$1520,$A417)+COUNTIF(connections!$B$2:$B$1520,$A417))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IF($A418="","",COUNTIF(connections!$A$2:$A$1520,$A418)+COUNTIF(connections!$B$2:$B$1520,$A418))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IF($A419="","",COUNTIF(connections!$A$2:$A$1520,$A419)+COUNTIF(connections!$B$2:$B$1520,$A419))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IF($A420="","",COUNTIF(connections!$A$2:$A$1520,$A420)+COUNTIF(connections!$B$2:$B$1520,$A420))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IF($A421="","",COUNTIF(connections!$A$2:$A$1520,$A421)+COUNTIF(connections!$B$2:$B$1520,$A421))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IF($A422="","",COUNTIF(connections!$A$2:$A$1520,$A422)+COUNTIF(connections!$B$2:$B$1520,$A422))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IF($A423="","",COUNTIF(connections!$A$2:$A$1520,$A423)+COUNTIF(connections!$B$2:$B$1520,$A423))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IF($A424="","",COUNTIF(connections!$A$2:$A$1520,$A424)+COUNTIF(connections!$B$2:$B$1520,$A424))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IF($A425="","",COUNTIF(connections!$A$2:$A$1520,$A425)+COUNTIF(connections!$B$2:$B$1520,$A425))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IF($A426="","",COUNTIF(connections!$A$2:$A$1520,$A426)+COUNTIF(connections!$B$2:$B$1520,$A426))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IF($A427="","",COUNTIF(connections!$A$2:$A$1520,$A427)+COUNTIF(connections!$B$2:$B$1520,$A427))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IF($A428="","",COUNTIF(connections!$A$2:$A$1520,$A428)+COUNTIF(connections!$B$2:$B$1520,$A428))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IF($A429="","",COUNTIF(connections!$A$2:$A$1520,$A429)+COUNTIF(connections!$B$2:$B$1520,$A429))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IF($A430="","",COUNTIF(connections!$A$2:$A$1520,$A430)+COUNTIF(connections!$B$2:$B$1520,$A430))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IF($A431="","",COUNTIF(connections!$A$2:$A$1520,$A431)+COUNTIF(connections!$B$2:$B$1520,$A431))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IF($A432="","",COUNTIF(connections!$A$2:$A$1520,$A432)+COUNTIF(connections!$B$2:$B$1520,$A432))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IF($A433="","",COUNTIF(connections!$A$2:$A$1520,$A433)+COUNTIF(connections!$B$2:$B$1520,$A433))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IF($A434="","",COUNTIF(connections!$A$2:$A$1520,$A434)+COUNTIF(connections!$B$2:$B$1520,$A434))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IF($A435="","",COUNTIF(connections!$A$2:$A$1520,$A435)+COUNTIF(connections!$B$2:$B$1520,$A435))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IF($A436="","",COUNTIF(connections!$A$2:$A$1520,$A436)+COUNTIF(connections!$B$2:$B$1520,$A436))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IF($A437="","",COUNTIF(connections!$A$2:$A$1520,$A437)+COUNTIF(connections!$B$2:$B$1520,$A437))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IF($A438="","",COUNTIF(connections!$A$2:$A$1520,$A438)+COUNTIF(connections!$B$2:$B$1520,$A438))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IF($A439="","",COUNTIF(connections!$A$2:$A$1520,$A439)+COUNTIF(connections!$B$2:$B$1520,$A439))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IF($A440="","",COUNTIF(connections!$A$2:$A$1520,$A440)+COUNTIF(connections!$B$2:$B$1520,$A440))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IF($A441="","",COUNTIF(connections!$A$2:$A$1520,$A441)+COUNTIF(connections!$B$2:$B$1520,$A441))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IF($A442="","",COUNTIF(connections!$A$2:$A$1520,$A442)+COUNTIF(connections!$B$2:$B$1520,$A442))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IF($A443="","",COUNTIF(connections!$A$2:$A$1520,$A443)+COUNTIF(connections!$B$2:$B$1520,$A443))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IF($A444="","",COUNTIF(connections!$A$2:$A$1520,$A444)+COUNTIF(connections!$B$2:$B$1520,$A444))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IF($A445="","",COUNTIF(connections!$A$2:$A$1520,$A445)+COUNTIF(connections!$B$2:$B$1520,$A445))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IF($A446="","",COUNTIF(connections!$A$2:$A$1520,$A446)+COUNTIF(connections!$B$2:$B$1520,$A446))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IF($A447="","",COUNTIF(connections!$A$2:$A$1520,$A447)+COUNTIF(connections!$B$2:$B$1520,$A447))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IF($A448="","",COUNTIF(connections!$A$2:$A$1520,$A448)+COUNTIF(connections!$B$2:$B$1520,$A448))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IF($A449="","",COUNTIF(connections!$A$2:$A$1520,$A449)+COUNTIF(connections!$B$2:$B$1520,$A449))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IF($A450="","",COUNTIF(connections!$A$2:$A$1520,$A450)+COUNTIF(connections!$B$2:$B$1520,$A450))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IF($A451="","",COUNTIF(connections!$A$2:$A$1520,$A451)+COUNTIF(connections!$B$2:$B$1520,$A451))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IF($A452="","",COUNTIF(connections!$A$2:$A$1520,$A452)+COUNTIF(connections!$B$2:$B$1520,$A452))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IF($A453="","",COUNTIF(connections!$A$2:$A$1520,$A453)+COUNTIF(connections!$B$2:$B$1520,$A453))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IF($A454="","",COUNTIF(connections!$A$2:$A$1520,$A454)+COUNTIF(connections!$B$2:$B$1520,$A454))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IF($A455="","",COUNTIF(connections!$A$2:$A$1520,$A455)+COUNTIF(connections!$B$2:$B$1520,$A455))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IF($A456="","",COUNTIF(connections!$A$2:$A$1520,$A456)+COUNTIF(connections!$B$2:$B$1520,$A456))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IF($A457="","",COUNTIF(connections!$A$2:$A$1520,$A457)+COUNTIF(connections!$B$2:$B$1520,$A457))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IF($A458="","",COUNTIF(connections!$A$2:$A$1520,$A458)+COUNTIF(connections!$B$2:$B$1520,$A458))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IF($A459="","",COUNTIF(connections!$A$2:$A$1520,$A459)+COUNTIF(connections!$B$2:$B$1520,$A459))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IF($A460="","",COUNTIF(connections!$A$2:$A$1520,$A460)+COUNTIF(connections!$B$2:$B$1520,$A460))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IF($A461="","",COUNTIF(connections!$A$2:$A$1520,$A461)+COUNTIF(connections!$B$2:$B$1520,$A461))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IF($A462="","",COUNTIF(connections!$A$2:$A$1520,$A462)+COUNTIF(connections!$B$2:$B$1520,$A462))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IF($A463="","",COUNTIF(connections!$A$2:$A$1520,$A463)+COUNTIF(connections!$B$2:$B$1520,$A463))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IF($A464="","",COUNTIF(connections!$A$2:$A$1520,$A464)+COUNTIF(connections!$B$2:$B$1520,$A464))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IF($A465="","",COUNTIF(connections!$A$2:$A$1520,$A465)+COUNTIF(connections!$B$2:$B$1520,$A465))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IF($A466="","",COUNTIF(connections!$A$2:$A$1520,$A466)+COUNTIF(connections!$B$2:$B$1520,$A466))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IF($A467="","",COUNTIF(connections!$A$2:$A$1520,$A467)+COUNTIF(connections!$B$2:$B$1520,$A467))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IF($A468="","",COUNTIF(connections!$A$2:$A$1520,$A468)+COUNTIF(connections!$B$2:$B$1520,$A468))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IF($A469="","",COUNTIF(connections!$A$2:$A$1520,$A469)+COUNTIF(connections!$B$2:$B$1520,$A469))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IF($A470="","",COUNTIF(connections!$A$2:$A$1520,$A470)+COUNTIF(connections!$B$2:$B$1520,$A470))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IF($A471="","",COUNTIF(connections!$A$2:$A$1520,$A471)+COUNTIF(connections!$B$2:$B$1520,$A471))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IF($A472="","",COUNTIF(connections!$A$2:$A$1520,$A472)+COUNTIF(connections!$B$2:$B$1520,$A472))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IF($A473="","",COUNTIF(connections!$A$2:$A$1520,$A473)+COUNTIF(connections!$B$2:$B$1520,$A473))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IF($A474="","",COUNTIF(connections!$A$2:$A$1520,$A474)+COUNTIF(connections!$B$2:$B$1520,$A474))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IF($A475="","",COUNTIF(connections!$A$2:$A$1520,$A475)+COUNTIF(connections!$B$2:$B$1520,$A475))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IF($A476="","",COUNTIF(connections!$A$2:$A$1520,$A476)+COUNTIF(connections!$B$2:$B$1520,$A476))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IF($A477="","",COUNTIF(connections!$A$2:$A$1520,$A477)+COUNTIF(connections!$B$2:$B$1520,$A477))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IF($A478="","",COUNTIF(connections!$A$2:$A$1520,$A478)+COUNTIF(connections!$B$2:$B$1520,$A478))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IF($A479="","",COUNTIF(connections!$A$2:$A$1520,$A479)+COUNTIF(connections!$B$2:$B$1520,$A479))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IF($A480="","",COUNTIF(connections!$A$2:$A$1520,$A480)+COUNTIF(connections!$B$2:$B$1520,$A480))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IF($A481="","",COUNTIF(connections!$A$2:$A$1520,$A481)+COUNTIF(connections!$B$2:$B$1520,$A481))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IF($A482="","",COUNTIF(connections!$A$2:$A$1520,$A482)+COUNTIF(connections!$B$2:$B$1520,$A482))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IF($A483="","",COUNTIF(connections!$A$2:$A$1520,$A483)+COUNTIF(connections!$B$2:$B$1520,$A483))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IF($A484="","",COUNTIF(connections!$A$2:$A$1520,$A484)+COUNTIF(connections!$B$2:$B$1520,$A484))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IF($A485="","",COUNTIF(connections!$A$2:$A$1520,$A485)+COUNTIF(connections!$B$2:$B$1520,$A485))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IF($A486="","",COUNTIF(connections!$A$2:$A$1520,$A486)+COUNTIF(connections!$B$2:$B$1520,$A486))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IF($A487="","",COUNTIF(connections!$A$2:$A$1520,$A487)+COUNTIF(connections!$B$2:$B$1520,$A487))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IF($A488="","",COUNTIF(connections!$A$2:$A$1520,$A488)+COUNTIF(connections!$B$2:$B$1520,$A488))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IF($A489="","",COUNTIF(connections!$A$2:$A$1520,$A489)+COUNTIF(connections!$B$2:$B$1520,$A489))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IF($A490="","",COUNTIF(connections!$A$2:$A$1520,$A490)+COUNTIF(connections!$B$2:$B$1520,$A490))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IF($A491="","",COUNTIF(connections!$A$2:$A$1520,$A491)+COUNTIF(connections!$B$2:$B$1520,$A491))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IF($A492="","",COUNTIF(connections!$A$2:$A$1520,$A492)+COUNTIF(connections!$B$2:$B$1520,$A492))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IF($A493="","",COUNTIF(connections!$A$2:$A$1520,$A493)+COUNTIF(connections!$B$2:$B$1520,$A493))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IF($A494="","",COUNTIF(connections!$A$2:$A$1520,$A494)+COUNTIF(connections!$B$2:$B$1520,$A494))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IF($A495="","",COUNTIF(connections!$A$2:$A$1520,$A495)+COUNTIF(connections!$B$2:$B$1520,$A495))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IF($A496="","",COUNTIF(connections!$A$2:$A$1520,$A496)+COUNTIF(connections!$B$2:$B$1520,$A496))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IF($A497="","",COUNTIF(connections!$A$2:$A$1520,$A497)+COUNTIF(connections!$B$2:$B$1520,$A497))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IF($A498="","",COUNTIF(connections!$A$2:$A$1520,$A498)+COUNTIF(connections!$B$2:$B$1520,$A498))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IF($A499="","",COUNTIF(connections!$A$2:$A$1520,$A499)+COUNTIF(connections!$B$2:$B$1520,$A499))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IF($A500="","",COUNTIF(connections!$A$2:$A$1520,$A500)+COUNTIF(connections!$B$2:$B$1520,$A500))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IF($A501="","",COUNTIF(connections!$A$2:$A$1520,$A501)+COUNTIF(connections!$B$2:$B$1520,$A501))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IF($A502="","",COUNTIF(connections!$A$2:$A$1520,$A502)+COUNTIF(connections!$B$2:$B$1520,$A502))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IF($A503="","",COUNTIF(connections!$A$2:$A$1520,$A503)+COUNTIF(connections!$B$2:$B$1520,$A503))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IF($A504="","",COUNTIF(connections!$A$2:$A$1520,$A504)+COUNTIF(connections!$B$2:$B$1520,$A504))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IF($A505="","",COUNTIF(connections!$A$2:$A$1520,$A505)+COUNTIF(connections!$B$2:$B$1520,$A505))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IF($A506="","",COUNTIF(connections!$A$2:$A$1520,$A506)+COUNTIF(connections!$B$2:$B$1520,$A506))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IF($A507="","",COUNTIF(connections!$A$2:$A$1520,$A507)+COUNTIF(connections!$B$2:$B$1520,$A507))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IF($A508="","",COUNTIF(connections!$A$2:$A$1520,$A508)+COUNTIF(connections!$B$2:$B$1520,$A508))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IF($A509="","",COUNTIF(connections!$A$2:$A$1520,$A509)+COUNTIF(connections!$B$2:$B$1520,$A509))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IF($A510="","",COUNTIF(connections!$A$2:$A$1520,$A510)+COUNTIF(connections!$B$2:$B$1520,$A510))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IF($A511="","",COUNTIF(connections!$A$2:$A$1520,$A511)+COUNTIF(connections!$B$2:$B$1520,$A511))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IF($A512="","",COUNTIF(connections!$A$2:$A$1520,$A512)+COUNTIF(connections!$B$2:$B$1520,$A512))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IF($A513="","",COUNTIF(connections!$A$2:$A$1520,$A513)+COUNTIF(connections!$B$2:$B$1520,$A513))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IF($A514="","",COUNTIF(connections!$A$2:$A$1520,$A514)+COUNTIF(connections!$B$2:$B$1520,$A514))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IF($A515="","",COUNTIF(connections!$A$2:$A$1520,$A515)+COUNTIF(connections!$B$2:$B$1520,$A515))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IF($A516="","",COUNTIF(connections!$A$2:$A$1520,$A516)+COUNTIF(connections!$B$2:$B$1520,$A516))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IF($A517="","",COUNTIF(connections!$A$2:$A$1520,$A517)+COUNTIF(connections!$B$2:$B$1520,$A517))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IF($A518="","",COUNTIF(connections!$A$2:$A$1520,$A518)+COUNTIF(connections!$B$2:$B$1520,$A518))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IF($A519="","",COUNTIF(connections!$A$2:$A$1520,$A519)+COUNTIF(connections!$B$2:$B$1520,$A519))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IF($A520="","",COUNTIF(connections!$A$2:$A$1520,$A520)+COUNTIF(connections!$B$2:$B$1520,$A520))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IF($A521="","",COUNTIF(connections!$A$2:$A$1520,$A521)+COUNTIF(connections!$B$2:$B$1520,$A521))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IF($A522="","",COUNTIF(connections!$A$2:$A$1520,$A522)+COUNTIF(connections!$B$2:$B$1520,$A522))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IF($A523="","",COUNTIF(connections!$A$2:$A$1520,$A523)+COUNTIF(connections!$B$2:$B$1520,$A523))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IF($A524="","",COUNTIF(connections!$A$2:$A$1520,$A524)+COUNTIF(connections!$B$2:$B$1520,$A524))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IF($A525="","",COUNTIF(connections!$A$2:$A$1520,$A525)+COUNTIF(connections!$B$2:$B$1520,$A525))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IF($A526="","",COUNTIF(connections!$A$2:$A$1520,$A526)+COUNTIF(connections!$B$2:$B$1520,$A526))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IF($A527="","",COUNTIF(connections!$A$2:$A$1520,$A527)+COUNTIF(connections!$B$2:$B$1520,$A527))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IF($A528="","",COUNTIF(connections!$A$2:$A$1520,$A528)+COUNTIF(connections!$B$2:$B$1520,$A528))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IF($A529="","",COUNTIF(connections!$A$2:$A$1520,$A529)+COUNTIF(connections!$B$2:$B$1520,$A529))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IF($A530="","",COUNTIF(connections!$A$2:$A$1520,$A530)+COUNTIF(connections!$B$2:$B$1520,$A530))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IF($A531="","",COUNTIF(connections!$A$2:$A$1520,$A531)+COUNTIF(connections!$B$2:$B$1520,$A531))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IF($A532="","",COUNTIF(connections!$A$2:$A$1520,$A532)+COUNTIF(connections!$B$2:$B$1520,$A532))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IF($A533="","",COUNTIF(connections!$A$2:$A$1520,$A533)+COUNTIF(connections!$B$2:$B$1520,$A533))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IF($A534="","",COUNTIF(connections!$A$2:$A$1520,$A534)+COUNTIF(connections!$B$2:$B$1520,$A534))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IF($A535="","",COUNTIF(connections!$A$2:$A$1520,$A535)+COUNTIF(connections!$B$2:$B$1520,$A535))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IF($A536="","",COUNTIF(connections!$A$2:$A$1520,$A536)+COUNTIF(connections!$B$2:$B$1520,$A536))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IF($A537="","",COUNTIF(connections!$A$2:$A$1520,$A537)+COUNTIF(connections!$B$2:$B$1520,$A537))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IF($A538="","",COUNTIF(connections!$A$2:$A$1520,$A538)+COUNTIF(connections!$B$2:$B$1520,$A538))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IF($A539="","",COUNTIF(connections!$A$2:$A$1520,$A539)+COUNTIF(connections!$B$2:$B$1520,$A539))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IF($A540="","",COUNTIF(connections!$A$2:$A$1520,$A540)+COUNTIF(connections!$B$2:$B$1520,$A540))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IF($A541="","",COUNTIF(connections!$A$2:$A$1520,$A541)+COUNTIF(connections!$B$2:$B$1520,$A541))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IF($A542="","",COUNTIF(connections!$A$2:$A$1520,$A542)+COUNTIF(connections!$B$2:$B$1520,$A542))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IF($A543="","",COUNTIF(connections!$A$2:$A$1520,$A543)+COUNTIF(connections!$B$2:$B$1520,$A543))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IF($A544="","",COUNTIF(connections!$A$2:$A$1520,$A544)+COUNTIF(connections!$B$2:$B$1520,$A544))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IF($A545="","",COUNTIF(connections!$A$2:$A$1520,$A545)+COUNTIF(connections!$B$2:$B$1520,$A545))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IF($A546="","",COUNTIF(connections!$A$2:$A$1520,$A546)+COUNTIF(connections!$B$2:$B$1520,$A546))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IF($A547="","",COUNTIF(connections!$A$2:$A$1520,$A547)+COUNTIF(connections!$B$2:$B$1520,$A547))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IF($A548="","",COUNTIF(connections!$A$2:$A$1520,$A548)+COUNTIF(connections!$B$2:$B$1520,$A548))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IF($A549="","",COUNTIF(connections!$A$2:$A$1520,$A549)+COUNTIF(connections!$B$2:$B$1520,$A549))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IF($A550="","",COUNTIF(connections!$A$2:$A$1520,$A550)+COUNTIF(connections!$B$2:$B$1520,$A550))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IF($A551="","",COUNTIF(connections!$A$2:$A$1520,$A551)+COUNTIF(connections!$B$2:$B$1520,$A551))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IF($A552="","",COUNTIF(connections!$A$2:$A$1520,$A552)+COUNTIF(connections!$B$2:$B$1520,$A552))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IF($A553="","",COUNTIF(connections!$A$2:$A$1520,$A553)+COUNTIF(connections!$B$2:$B$1520,$A553))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IF($A554="","",COUNTIF(connections!$A$2:$A$1520,$A554)+COUNTIF(connections!$B$2:$B$1520,$A554))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IF($A555="","",COUNTIF(connections!$A$2:$A$1520,$A555)+COUNTIF(connections!$B$2:$B$1520,$A555))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IF($A556="","",COUNTIF(connections!$A$2:$A$1520,$A556)+COUNTIF(connections!$B$2:$B$1520,$A556))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IF($A557="","",COUNTIF(connections!$A$2:$A$1520,$A557)+COUNTIF(connections!$B$2:$B$1520,$A557))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IF($A558="","",COUNTIF(connections!$A$2:$A$1520,$A558)+COUNTIF(connections!$B$2:$B$1520,$A558))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IF($A559="","",COUNTIF(connections!$A$2:$A$1520,$A559)+COUNTIF(connections!$B$2:$B$1520,$A559))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IF($A560="","",COUNTIF(connections!$A$2:$A$1520,$A560)+COUNTIF(connections!$B$2:$B$1520,$A560))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IF($A561="","",COUNTIF(connections!$A$2:$A$1520,$A561)+COUNTIF(connections!$B$2:$B$1520,$A561))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IF($A562="","",COUNTIF(connections!$A$2:$A$1520,$A562)+COUNTIF(connections!$B$2:$B$1520,$A562))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IF($A563="","",COUNTIF(connections!$A$2:$A$1520,$A563)+COUNTIF(connections!$B$2:$B$1520,$A563))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IF($A564="","",COUNTIF(connections!$A$2:$A$1520,$A564)+COUNTIF(connections!$B$2:$B$1520,$A564))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IF($A565="","",COUNTIF(connections!$A$2:$A$1520,$A565)+COUNTIF(connections!$B$2:$B$1520,$A565))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IF($A566="","",COUNTIF(connections!$A$2:$A$1520,$A566)+COUNTIF(connections!$B$2:$B$1520,$A566))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IF($A567="","",COUNTIF(connections!$A$2:$A$1520,$A567)+COUNTIF(connections!$B$2:$B$1520,$A567))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IF($A568="","",COUNTIF(connections!$A$2:$A$1520,$A568)+COUNTIF(connections!$B$2:$B$1520,$A568))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IF($A569="","",COUNTIF(connections!$A$2:$A$1520,$A569)+COUNTIF(connections!$B$2:$B$1520,$A569))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Pebble Knights</v>
      </c>
      <c r="B570">
        <f>IF($A570="","",games!$B570)</f>
        <v>2026</v>
      </c>
      <c r="C570" t="str">
        <f>IF($A570="","",games!$C570)</f>
        <v>Action</v>
      </c>
      <c r="D570">
        <f>IF($A570="","",COUNTIF(connections!$A$2:$A$1520,$A570)+COUNTIF(connections!$B$2:$B$1520,$A570))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Peglin</v>
      </c>
      <c r="B571">
        <f>IF($A571="","",games!$B571)</f>
        <v>2022</v>
      </c>
      <c r="C571" t="str">
        <f>IF($A571="","",games!$C571)</f>
        <v>Deckbuilder</v>
      </c>
      <c r="D571">
        <f>IF($A571="","",COUNTIF(connections!$A$2:$A$1520,$A571)+COUNTIF(connections!$B$2:$B$1520,$A571))</f>
        <v>10</v>
      </c>
      <c r="E571">
        <f t="shared" si="104"/>
        <v>3</v>
      </c>
      <c r="F571">
        <f t="shared" si="105"/>
        <v>27</v>
      </c>
      <c r="G571" t="e">
        <f t="shared" si="106"/>
        <v>#N/A</v>
      </c>
      <c r="H571" t="e">
        <f t="shared" si="107"/>
        <v>#N/A</v>
      </c>
      <c r="I571" t="e">
        <f t="shared" si="108"/>
        <v>#N/A</v>
      </c>
      <c r="J571" t="e">
        <f t="shared" si="109"/>
        <v>#N/A</v>
      </c>
      <c r="K571">
        <f t="shared" si="110"/>
        <v>2022</v>
      </c>
      <c r="L571">
        <f t="shared" si="111"/>
        <v>3.621</v>
      </c>
      <c r="M571" t="e">
        <f t="shared" si="112"/>
        <v>#N/A</v>
      </c>
      <c r="N571" t="e">
        <f t="shared" si="113"/>
        <v>#N/A</v>
      </c>
      <c r="O571">
        <f t="shared" si="114"/>
        <v>10.000571000000001</v>
      </c>
      <c r="P571" t="str">
        <f>IF(OR($A571="",games!$H571=""),"",games!$H571)</f>
        <v>Yes</v>
      </c>
      <c r="Q571">
        <f t="shared" si="115"/>
        <v>10.000571000000001</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Pegs X Stickers</v>
      </c>
      <c r="B572">
        <f>IF($A572="","",games!$B572)</f>
        <v>2026</v>
      </c>
      <c r="C572" t="str">
        <f>IF($A572="","",games!$C572)</f>
        <v>Deckbuilder</v>
      </c>
      <c r="D572">
        <f>IF($A572="","",COUNTIF(connections!$A$2:$A$1520,$A572)+COUNTIF(connections!$B$2:$B$1520,$A572))</f>
        <v>3</v>
      </c>
      <c r="E572">
        <f t="shared" si="104"/>
        <v>3</v>
      </c>
      <c r="F572">
        <f t="shared" si="105"/>
        <v>28</v>
      </c>
      <c r="G572" t="e">
        <f t="shared" si="106"/>
        <v>#N/A</v>
      </c>
      <c r="H572" t="e">
        <f t="shared" si="107"/>
        <v>#N/A</v>
      </c>
      <c r="I572" t="e">
        <f t="shared" si="108"/>
        <v>#N/A</v>
      </c>
      <c r="J572" t="e">
        <f t="shared" si="109"/>
        <v>#N/A</v>
      </c>
      <c r="K572">
        <f t="shared" si="110"/>
        <v>2026</v>
      </c>
      <c r="L572">
        <f t="shared" si="111"/>
        <v>3.6440000000000001</v>
      </c>
      <c r="M572" t="e">
        <f t="shared" si="112"/>
        <v>#N/A</v>
      </c>
      <c r="N572" t="e">
        <f t="shared" si="113"/>
        <v>#N/A</v>
      </c>
      <c r="O572">
        <f t="shared" si="114"/>
        <v>3.000572</v>
      </c>
      <c r="P572" t="str">
        <f>IF(OR($A572="",games!$H572=""),"",games!$H572)</f>
        <v/>
      </c>
      <c r="Q572" t="str">
        <f t="shared" si="115"/>
        <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PengPong</v>
      </c>
      <c r="B573">
        <f>IF($A573="","",games!$B573)</f>
        <v>2026</v>
      </c>
      <c r="C573" t="str">
        <f>IF($A573="","",games!$C573)</f>
        <v>Action</v>
      </c>
      <c r="D573">
        <f>IF($A573="","",COUNTIF(connections!$A$2:$A$1520,$A573)+COUNTIF(connections!$B$2:$B$1520,$A573))</f>
        <v>7</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7.0005730000000002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Pesticide Not Required</v>
      </c>
      <c r="B574">
        <f>IF($A574="","",games!$B574)</f>
        <v>2024</v>
      </c>
      <c r="C574" t="str">
        <f>IF($A574="","",games!$C574)</f>
        <v>Action</v>
      </c>
      <c r="D574">
        <f>IF($A574="","",COUNTIF(connections!$A$2:$A$1520,$A574)+COUNTIF(connections!$B$2:$B$1520,$A574))</f>
        <v>3</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Picayune Dreams</v>
      </c>
      <c r="B575">
        <f>IF($A575="","",games!$B575)</f>
        <v>2023</v>
      </c>
      <c r="C575" t="str">
        <f>IF($A575="","",games!$C575)</f>
        <v>Action</v>
      </c>
      <c r="D575">
        <f>IF($A575="","",COUNTIF(connections!$A$2:$A$1520,$A575)+COUNTIF(connections!$B$2:$B$1520,$A575))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Pinball Storm: Lokanta</v>
      </c>
      <c r="B576">
        <f>IF($A576="","",games!$B576)</f>
        <v>2025</v>
      </c>
      <c r="C576" t="str">
        <f>IF($A576="","",games!$C576)</f>
        <v>Action</v>
      </c>
      <c r="D576">
        <f>IF($A576="","",COUNTIF(connections!$A$2:$A$1520,$A576)+COUNTIF(connections!$B$2:$B$1520,$A576))</f>
        <v>1</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Pip My Dice</v>
      </c>
      <c r="B577">
        <f>IF($A577="","",games!$B577)</f>
        <v>2025</v>
      </c>
      <c r="C577" t="str">
        <f>IF($A577="","",games!$C577)</f>
        <v>Deckbuilder</v>
      </c>
      <c r="D577">
        <f>IF($A577="","",COUNTIF(connections!$A$2:$A$1520,$A577)+COUNTIF(connections!$B$2:$B$1520,$A577))</f>
        <v>1</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Pixel Dungeon</v>
      </c>
      <c r="B578">
        <f>IF($A578="","",games!$B578)</f>
        <v>2012</v>
      </c>
      <c r="C578" t="str">
        <f>IF($A578="","",games!$C578)</f>
        <v>Traditional</v>
      </c>
      <c r="D578">
        <f>IF($A578="","",COUNTIF(connections!$A$2:$A$1520,$A578)+COUNTIF(connections!$B$2:$B$1520,$A578))</f>
        <v>4</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2012</v>
      </c>
      <c r="N578">
        <f t="shared" ref="N578:N641" si="126">IF($A578="",NA(),IF($C578="Traditional",4+$F578*0.023,NA()))</f>
        <v>4</v>
      </c>
      <c r="O578">
        <f t="shared" ref="O578:O641" si="127">IF($A578="","",$D578+ROW()/1000000)</f>
        <v>4.000578</v>
      </c>
      <c r="P578" t="str">
        <f>IF(OR($A578="",games!$H578=""),"",games!$H578)</f>
        <v>Yes</v>
      </c>
      <c r="Q578">
        <f t="shared" ref="Q578:Q641" si="128">IF(OR($A578="",$P578&lt;&gt;"Yes"),"",$D578+ROW()/1000000)</f>
        <v>4.000578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PlateUp!</v>
      </c>
      <c r="B579">
        <f>IF($A579="","",games!$B579)</f>
        <v>2022</v>
      </c>
      <c r="C579" t="str">
        <f>IF($A579="","",games!$C579)</f>
        <v>Strategy</v>
      </c>
      <c r="D579">
        <f>IF($A579="","",COUNTIF(connections!$A$2:$A$1520,$A579)+COUNTIF(connections!$B$2:$B$1520,$A579))</f>
        <v>0</v>
      </c>
      <c r="E579">
        <f t="shared" si="117"/>
        <v>2</v>
      </c>
      <c r="F579">
        <f t="shared" si="118"/>
        <v>1</v>
      </c>
      <c r="G579" t="e">
        <f t="shared" si="119"/>
        <v>#N/A</v>
      </c>
      <c r="H579" t="e">
        <f t="shared" si="120"/>
        <v>#N/A</v>
      </c>
      <c r="I579">
        <f t="shared" si="121"/>
        <v>2022</v>
      </c>
      <c r="J579">
        <f t="shared" si="122"/>
        <v>2.0230000000000001</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Plinbo</v>
      </c>
      <c r="B580">
        <f>IF($A580="","",games!$B580)</f>
        <v>2026</v>
      </c>
      <c r="C580" t="str">
        <f>IF($A580="","",games!$C580)</f>
        <v>Deckbuilder</v>
      </c>
      <c r="D580">
        <f>IF($A580="","",COUNTIF(connections!$A$2:$A$1520,$A580)+COUNTIF(connections!$B$2:$B$1520,$A580))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Yes</v>
      </c>
      <c r="Q580">
        <f t="shared" si="128"/>
        <v>1.00058</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Plinko Panic!</v>
      </c>
      <c r="B581">
        <f>IF($A581="","",games!$B581)</f>
        <v>2021</v>
      </c>
      <c r="C581" t="str">
        <f>IF($A581="","",games!$C581)</f>
        <v>Deckbuilder</v>
      </c>
      <c r="D581">
        <f>IF($A581="","",COUNTIF(connections!$A$2:$A$1520,$A581)+COUNTIF(connections!$B$2:$B$1520,$A581))</f>
        <v>1</v>
      </c>
      <c r="E581">
        <f t="shared" si="117"/>
        <v>3</v>
      </c>
      <c r="F581">
        <f t="shared" si="118"/>
        <v>3</v>
      </c>
      <c r="G581" t="e">
        <f t="shared" si="119"/>
        <v>#N/A</v>
      </c>
      <c r="H581" t="e">
        <f t="shared" si="120"/>
        <v>#N/A</v>
      </c>
      <c r="I581" t="e">
        <f t="shared" si="121"/>
        <v>#N/A</v>
      </c>
      <c r="J581" t="e">
        <f t="shared" si="122"/>
        <v>#N/A</v>
      </c>
      <c r="K581">
        <f t="shared" si="123"/>
        <v>2021</v>
      </c>
      <c r="L581">
        <f t="shared" si="124"/>
        <v>3.069</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Pluto</v>
      </c>
      <c r="B582">
        <f>IF($A582="","",games!$B582)</f>
        <v>2026</v>
      </c>
      <c r="C582" t="str">
        <f>IF($A582="","",games!$C582)</f>
        <v>Deckbuilder</v>
      </c>
      <c r="D582">
        <f>IF($A582="","",COUNTIF(connections!$A$2:$A$1520,$A582)+COUNTIF(connections!$B$2:$B$1520,$A582))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Pocket Crystal League</v>
      </c>
      <c r="B583">
        <f>IF($A583="","",games!$B583)</f>
        <v>2022</v>
      </c>
      <c r="C583" t="str">
        <f>IF($A583="","",games!$C583)</f>
        <v>Deckbuilder</v>
      </c>
      <c r="D583">
        <f>IF($A583="","",COUNTIF(connections!$A$2:$A$1520,$A583)+COUNTIF(connections!$B$2:$B$1520,$A583))</f>
        <v>1</v>
      </c>
      <c r="E583">
        <f t="shared" si="117"/>
        <v>3</v>
      </c>
      <c r="F583">
        <f t="shared" si="118"/>
        <v>5</v>
      </c>
      <c r="G583" t="e">
        <f t="shared" si="119"/>
        <v>#N/A</v>
      </c>
      <c r="H583" t="e">
        <f t="shared" si="120"/>
        <v>#N/A</v>
      </c>
      <c r="I583" t="e">
        <f t="shared" si="121"/>
        <v>#N/A</v>
      </c>
      <c r="J583" t="e">
        <f t="shared" si="122"/>
        <v>#N/A</v>
      </c>
      <c r="K583">
        <f t="shared" si="123"/>
        <v>2022</v>
      </c>
      <c r="L583">
        <f t="shared" si="124"/>
        <v>3.1150000000000002</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Pogo Rogue</v>
      </c>
      <c r="B584">
        <f>IF($A584="","",games!$B584)</f>
        <v>2024</v>
      </c>
      <c r="C584" t="str">
        <f>IF($A584="","",games!$C584)</f>
        <v>Action</v>
      </c>
      <c r="D584">
        <f>IF($A584="","",COUNTIF(connections!$A$2:$A$1520,$A584)+COUNTIF(connections!$B$2:$B$1520,$A584))</f>
        <v>0</v>
      </c>
      <c r="E584">
        <f t="shared" si="117"/>
        <v>1</v>
      </c>
      <c r="F584">
        <f t="shared" si="118"/>
        <v>6</v>
      </c>
      <c r="G584">
        <f t="shared" si="119"/>
        <v>2024</v>
      </c>
      <c r="H584">
        <f t="shared" si="120"/>
        <v>1.1379999999999999</v>
      </c>
      <c r="I584" t="e">
        <f t="shared" si="121"/>
        <v>#N/A</v>
      </c>
      <c r="J584" t="e">
        <f t="shared" si="122"/>
        <v>#N/A</v>
      </c>
      <c r="K584" t="e">
        <f t="shared" si="123"/>
        <v>#N/A</v>
      </c>
      <c r="L584" t="e">
        <f t="shared" si="124"/>
        <v>#N/A</v>
      </c>
      <c r="M584" t="e">
        <f t="shared" si="125"/>
        <v>#N/A</v>
      </c>
      <c r="N584" t="e">
        <f t="shared" si="126"/>
        <v>#N/A</v>
      </c>
      <c r="O584">
        <f t="shared" si="127"/>
        <v>5.8399999999999999E-4</v>
      </c>
      <c r="P584" t="str">
        <f>IF(OR($A584="",games!$H584=""),"",games!$H584)</f>
        <v>Yes</v>
      </c>
      <c r="Q584">
        <f t="shared" si="128"/>
        <v>5.8399999999999999E-4</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Pokelike</v>
      </c>
      <c r="B585">
        <f>IF($A585="","",games!$B585)</f>
        <v>2026</v>
      </c>
      <c r="C585" t="str">
        <f>IF($A585="","",games!$C585)</f>
        <v>Strategy</v>
      </c>
      <c r="D585">
        <f>IF($A585="","",COUNTIF(connections!$A$2:$A$1520,$A585)+COUNTIF(connections!$B$2:$B$1520,$A585))</f>
        <v>1</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Pokémon Auto Chess</v>
      </c>
      <c r="B586">
        <f>IF($A586="","",games!$B586)</f>
        <v>2021</v>
      </c>
      <c r="C586" t="str">
        <f>IF($A586="","",games!$C586)</f>
        <v>Strategy</v>
      </c>
      <c r="D586">
        <f>IF($A586="","",COUNTIF(connections!$A$2:$A$1520,$A586)+COUNTIF(connections!$B$2:$B$1520,$A586))</f>
        <v>2</v>
      </c>
      <c r="E586">
        <f t="shared" si="117"/>
        <v>2</v>
      </c>
      <c r="F586">
        <f t="shared" si="118"/>
        <v>8</v>
      </c>
      <c r="G586" t="e">
        <f t="shared" si="119"/>
        <v>#N/A</v>
      </c>
      <c r="H586" t="e">
        <f t="shared" si="120"/>
        <v>#N/A</v>
      </c>
      <c r="I586">
        <f t="shared" si="121"/>
        <v>2021</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Spire</v>
      </c>
      <c r="B587">
        <f>IF($A587="","",games!$B587)</f>
        <v>2026</v>
      </c>
      <c r="C587" t="str">
        <f>IF($A587="","",games!$C587)</f>
        <v>Strategy</v>
      </c>
      <c r="D587">
        <f>IF($A587="","",COUNTIF(connections!$A$2:$A$1520,$A587)+COUNTIF(connections!$B$2:$B$1520,$A587))</f>
        <v>2</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Mystery Dungeon: Explorers of Sky</v>
      </c>
      <c r="B588">
        <f>IF($A588="","",games!$B588)</f>
        <v>2009</v>
      </c>
      <c r="C588" t="str">
        <f>IF($A588="","",games!$C588)</f>
        <v>Traditional</v>
      </c>
      <c r="D588">
        <f>IF($A588="","",COUNTIF(connections!$A$2:$A$1520,$A588)+COUNTIF(connections!$B$2:$B$1520,$A588))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2009</v>
      </c>
      <c r="N588">
        <f t="shared" si="126"/>
        <v>4.2300000000000004</v>
      </c>
      <c r="O588">
        <f t="shared" si="127"/>
        <v>1.000588</v>
      </c>
      <c r="P588" t="str">
        <f>IF(OR($A588="",games!$H588=""),"",games!$H588)</f>
        <v>Yes</v>
      </c>
      <c r="Q588">
        <f t="shared" si="128"/>
        <v>1.000588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Time and Explorers of Darkness</v>
      </c>
      <c r="B589">
        <f>IF($A589="","",games!$B589)</f>
        <v>2007</v>
      </c>
      <c r="C589" t="str">
        <f>IF($A589="","",games!$C589)</f>
        <v>Traditional</v>
      </c>
      <c r="D589">
        <f>IF($A589="","",COUNTIF(connections!$A$2:$A$1520,$A589)+COUNTIF(connections!$B$2:$B$1520,$A589))</f>
        <v>2</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2007</v>
      </c>
      <c r="N589">
        <f t="shared" si="126"/>
        <v>4.2530000000000001</v>
      </c>
      <c r="O589">
        <f t="shared" si="127"/>
        <v>2.0005890000000002</v>
      </c>
      <c r="P589" t="str">
        <f>IF(OR($A589="",games!$H589=""),"",games!$H589)</f>
        <v>Yes</v>
      </c>
      <c r="Q589">
        <f t="shared" si="128"/>
        <v>2.0005890000000002</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Gates to Infinity</v>
      </c>
      <c r="B590">
        <f>IF($A590="","",games!$B590)</f>
        <v>2012</v>
      </c>
      <c r="C590" t="str">
        <f>IF($A590="","",games!$C590)</f>
        <v>Traditional</v>
      </c>
      <c r="D590">
        <f>IF($A590="","",COUNTIF(connections!$A$2:$A$1520,$A590)+COUNTIF(connections!$B$2:$B$1520,$A590))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2012</v>
      </c>
      <c r="N590">
        <f t="shared" si="126"/>
        <v>4.2759999999999998</v>
      </c>
      <c r="O590">
        <f t="shared" si="127"/>
        <v>1.0005900000000001</v>
      </c>
      <c r="P590" t="str">
        <f>IF(OR($A590="",games!$H590=""),"",games!$H590)</f>
        <v/>
      </c>
      <c r="Q590" t="str">
        <f t="shared" si="128"/>
        <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Red and Blue Rescue Team</v>
      </c>
      <c r="B591">
        <f>IF($A591="","",games!$B591)</f>
        <v>2005</v>
      </c>
      <c r="C591" t="str">
        <f>IF($A591="","",games!$C591)</f>
        <v>Traditional</v>
      </c>
      <c r="D591">
        <f>IF($A591="","",COUNTIF(connections!$A$2:$A$1520,$A591)+COUNTIF(connections!$B$2:$B$1520,$A591))</f>
        <v>7</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2005</v>
      </c>
      <c r="N591">
        <f t="shared" si="126"/>
        <v>4.2990000000000004</v>
      </c>
      <c r="O591">
        <f t="shared" si="127"/>
        <v>7.000591</v>
      </c>
      <c r="P591" t="str">
        <f>IF(OR($A591="",games!$H591=""),"",games!$H591)</f>
        <v>Yes</v>
      </c>
      <c r="Q591">
        <f t="shared" si="128"/>
        <v>7.000591</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Rescue Team DX</v>
      </c>
      <c r="B592">
        <f>IF($A592="","",games!$B592)</f>
        <v>2020</v>
      </c>
      <c r="C592" t="str">
        <f>IF($A592="","",games!$C592)</f>
        <v>Traditional</v>
      </c>
      <c r="D592">
        <f>IF($A592="","",COUNTIF(connections!$A$2:$A$1520,$A592)+COUNTIF(connections!$B$2:$B$1520,$A592))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1.0005919999999999</v>
      </c>
      <c r="P592" t="str">
        <f>IF(OR($A592="",games!$H592=""),"",games!$H592)</f>
        <v/>
      </c>
      <c r="Q592" t="str">
        <f t="shared" si="128"/>
        <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Super Mystery Dungeon</v>
      </c>
      <c r="B593">
        <f>IF($A593="","",games!$B593)</f>
        <v>2015</v>
      </c>
      <c r="C593" t="str">
        <f>IF($A593="","",games!$C593)</f>
        <v>Traditional</v>
      </c>
      <c r="D593">
        <f>IF($A593="","",COUNTIF(connections!$A$2:$A$1520,$A593)+COUNTIF(connections!$B$2:$B$1520,$A593))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2015</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Survivor Burst</v>
      </c>
      <c r="B594">
        <f>IF($A594="","",games!$B594)</f>
        <v>2026</v>
      </c>
      <c r="C594" t="str">
        <f>IF($A594="","",games!$C594)</f>
        <v>Action</v>
      </c>
      <c r="D594">
        <f>IF($A594="","",COUNTIF(connections!$A$2:$A$1520,$A594)+COUNTIF(connections!$B$2:$B$1520,$A594))</f>
        <v>1</v>
      </c>
      <c r="E594">
        <f t="shared" si="117"/>
        <v>1</v>
      </c>
      <c r="F594">
        <f t="shared" si="118"/>
        <v>16</v>
      </c>
      <c r="G594">
        <f t="shared" si="119"/>
        <v>2026</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PokéRogue</v>
      </c>
      <c r="B595">
        <f>IF($A595="","",games!$B595)</f>
        <v>2024</v>
      </c>
      <c r="C595" t="str">
        <f>IF($A595="","",games!$C595)</f>
        <v>Strategy</v>
      </c>
      <c r="D595">
        <f>IF($A595="","",COUNTIF(connections!$A$2:$A$1520,$A595)+COUNTIF(connections!$B$2:$B$1520,$A595))</f>
        <v>3</v>
      </c>
      <c r="E595">
        <f t="shared" si="117"/>
        <v>2</v>
      </c>
      <c r="F595">
        <f t="shared" si="118"/>
        <v>17</v>
      </c>
      <c r="G595" t="e">
        <f t="shared" si="119"/>
        <v>#N/A</v>
      </c>
      <c r="H595" t="e">
        <f t="shared" si="120"/>
        <v>#N/A</v>
      </c>
      <c r="I595">
        <f t="shared" si="121"/>
        <v>2024</v>
      </c>
      <c r="J595">
        <f t="shared" si="122"/>
        <v>2.391</v>
      </c>
      <c r="K595" t="e">
        <f t="shared" si="123"/>
        <v>#N/A</v>
      </c>
      <c r="L595" t="e">
        <f t="shared" si="124"/>
        <v>#N/A</v>
      </c>
      <c r="M595" t="e">
        <f t="shared" si="125"/>
        <v>#N/A</v>
      </c>
      <c r="N595" t="e">
        <f t="shared" si="126"/>
        <v>#N/A</v>
      </c>
      <c r="O595">
        <f t="shared" si="127"/>
        <v>3.0005950000000001</v>
      </c>
      <c r="P595" t="str">
        <f>IF(OR($A595="",games!$H595=""),"",games!$H595)</f>
        <v/>
      </c>
      <c r="Q595" t="str">
        <f t="shared" si="128"/>
        <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PokeVoid</v>
      </c>
      <c r="B596">
        <f>IF($A596="","",games!$B596)</f>
        <v>2025</v>
      </c>
      <c r="C596" t="str">
        <f>IF($A596="","",games!$C596)</f>
        <v>Strategy</v>
      </c>
      <c r="D596">
        <f>IF($A596="","",COUNTIF(connections!$A$2:$A$1520,$A596)+COUNTIF(connections!$B$2:$B$1520,$A596))</f>
        <v>3</v>
      </c>
      <c r="E596">
        <f t="shared" si="117"/>
        <v>2</v>
      </c>
      <c r="F596">
        <f t="shared" si="118"/>
        <v>18</v>
      </c>
      <c r="G596" t="e">
        <f t="shared" si="119"/>
        <v>#N/A</v>
      </c>
      <c r="H596" t="e">
        <f t="shared" si="120"/>
        <v>#N/A</v>
      </c>
      <c r="I596">
        <f t="shared" si="121"/>
        <v>2025</v>
      </c>
      <c r="J596">
        <f t="shared" si="122"/>
        <v>2.4140000000000001</v>
      </c>
      <c r="K596" t="e">
        <f t="shared" si="123"/>
        <v>#N/A</v>
      </c>
      <c r="L596" t="e">
        <f t="shared" si="124"/>
        <v>#N/A</v>
      </c>
      <c r="M596" t="e">
        <f t="shared" si="125"/>
        <v>#N/A</v>
      </c>
      <c r="N596" t="e">
        <f t="shared" si="126"/>
        <v>#N/A</v>
      </c>
      <c r="O596">
        <f t="shared" si="127"/>
        <v>3.0005959999999998</v>
      </c>
      <c r="P596" t="str">
        <f>IF(OR($A596="",games!$H596=""),"",games!$H596)</f>
        <v>Yes</v>
      </c>
      <c r="Q596">
        <f t="shared" si="128"/>
        <v>3.0005959999999998</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Popup Dungeon</v>
      </c>
      <c r="B597">
        <f>IF($A597="","",games!$B597)</f>
        <v>2020</v>
      </c>
      <c r="C597" t="str">
        <f>IF($A597="","",games!$C597)</f>
        <v>Strategy</v>
      </c>
      <c r="D597">
        <f>IF($A597="","",COUNTIF(connections!$A$2:$A$1520,$A597)+COUNTIF(connections!$B$2:$B$1520,$A597))</f>
        <v>1</v>
      </c>
      <c r="E597">
        <f t="shared" si="117"/>
        <v>2</v>
      </c>
      <c r="F597">
        <f t="shared" si="118"/>
        <v>19</v>
      </c>
      <c r="G597" t="e">
        <f t="shared" si="119"/>
        <v>#N/A</v>
      </c>
      <c r="H597" t="e">
        <f t="shared" si="120"/>
        <v>#N/A</v>
      </c>
      <c r="I597">
        <f t="shared" si="121"/>
        <v>2020</v>
      </c>
      <c r="J597">
        <f t="shared" si="122"/>
        <v>2.4369999999999998</v>
      </c>
      <c r="K597" t="e">
        <f t="shared" si="123"/>
        <v>#N/A</v>
      </c>
      <c r="L597" t="e">
        <f t="shared" si="124"/>
        <v>#N/A</v>
      </c>
      <c r="M597" t="e">
        <f t="shared" si="125"/>
        <v>#N/A</v>
      </c>
      <c r="N597" t="e">
        <f t="shared" si="126"/>
        <v>#N/A</v>
      </c>
      <c r="O597">
        <f t="shared" si="127"/>
        <v>1.000597</v>
      </c>
      <c r="P597" t="str">
        <f>IF(OR($A597="",games!$H597=""),"",games!$H597)</f>
        <v/>
      </c>
      <c r="Q597" t="str">
        <f t="shared" si="128"/>
        <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Powder</v>
      </c>
      <c r="B598">
        <f>IF($A598="","",games!$B598)</f>
        <v>2003</v>
      </c>
      <c r="C598" t="str">
        <f>IF($A598="","",games!$C598)</f>
        <v>Traditional</v>
      </c>
      <c r="D598">
        <f>IF($A598="","",COUNTIF(connections!$A$2:$A$1520,$A598)+COUNTIF(connections!$B$2:$B$1520,$A598))</f>
        <v>11</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2003</v>
      </c>
      <c r="N598">
        <f t="shared" si="126"/>
        <v>4.46</v>
      </c>
      <c r="O598">
        <f t="shared" si="127"/>
        <v>11.000598</v>
      </c>
      <c r="P598" t="str">
        <f>IF(OR($A598="",games!$H598=""),"",games!$H598)</f>
        <v>Yes</v>
      </c>
      <c r="Q598">
        <f t="shared" si="128"/>
        <v>11.000598</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Prime Monster</v>
      </c>
      <c r="B599">
        <f>IF($A599="","",games!$B599)</f>
        <v>2026</v>
      </c>
      <c r="C599" t="str">
        <f>IF($A599="","",games!$C599)</f>
        <v>Deckbuilder</v>
      </c>
      <c r="D599">
        <f>IF($A599="","",COUNTIF(connections!$A$2:$A$1520,$A599)+COUNTIF(connections!$B$2:$B$1520,$A599))</f>
        <v>0</v>
      </c>
      <c r="E599">
        <f t="shared" si="117"/>
        <v>3</v>
      </c>
      <c r="F599">
        <f t="shared" si="118"/>
        <v>21</v>
      </c>
      <c r="G599" t="e">
        <f t="shared" si="119"/>
        <v>#N/A</v>
      </c>
      <c r="H599" t="e">
        <f t="shared" si="120"/>
        <v>#N/A</v>
      </c>
      <c r="I599" t="e">
        <f t="shared" si="121"/>
        <v>#N/A</v>
      </c>
      <c r="J599" t="e">
        <f t="shared" si="122"/>
        <v>#N/A</v>
      </c>
      <c r="K599">
        <f t="shared" si="123"/>
        <v>2026</v>
      </c>
      <c r="L599">
        <f t="shared" si="124"/>
        <v>3.4830000000000001</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Primordialis</v>
      </c>
      <c r="B600">
        <f>IF($A600="","",games!$B600)</f>
        <v>2024</v>
      </c>
      <c r="C600" t="str">
        <f>IF($A600="","",games!$C600)</f>
        <v>Action</v>
      </c>
      <c r="D600">
        <f>IF($A600="","",COUNTIF(connections!$A$2:$A$1520,$A600)+COUNTIF(connections!$B$2:$B$1520,$A600))</f>
        <v>1</v>
      </c>
      <c r="E600">
        <f t="shared" si="117"/>
        <v>1</v>
      </c>
      <c r="F600">
        <f t="shared" si="118"/>
        <v>22</v>
      </c>
      <c r="G600">
        <f t="shared" si="119"/>
        <v>2024</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Pro Jank Footy</v>
      </c>
      <c r="B601">
        <f>IF($A601="","",games!$B601)</f>
        <v>2026</v>
      </c>
      <c r="C601" t="str">
        <f>IF($A601="","",games!$C601)</f>
        <v>Action</v>
      </c>
      <c r="D601">
        <f>IF($A601="","",COUNTIF(connections!$A$2:$A$1520,$A601)+COUNTIF(connections!$B$2:$B$1520,$A601))</f>
        <v>0</v>
      </c>
      <c r="E601">
        <f t="shared" si="117"/>
        <v>1</v>
      </c>
      <c r="F601">
        <f t="shared" si="118"/>
        <v>23</v>
      </c>
      <c r="G601">
        <f t="shared" si="119"/>
        <v>2026</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Pronoun Palace</v>
      </c>
      <c r="B602">
        <f>IF($A602="","",games!$B602)</f>
        <v>2026</v>
      </c>
      <c r="C602" t="str">
        <f>IF($A602="","",games!$C602)</f>
        <v>Strategy</v>
      </c>
      <c r="D602">
        <f>IF($A602="","",COUNTIF(connections!$A$2:$A$1520,$A602)+COUNTIF(connections!$B$2:$B$1520,$A602))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Putrid Shot Ultra</v>
      </c>
      <c r="B603">
        <f>IF($A603="","",games!$B603)</f>
        <v>2022</v>
      </c>
      <c r="C603" t="str">
        <f>IF($A603="","",games!$C603)</f>
        <v>Action</v>
      </c>
      <c r="D603">
        <f>IF($A603="","",COUNTIF(connections!$A$2:$A$1520,$A603)+COUNTIF(connections!$B$2:$B$1520,$A603))</f>
        <v>3</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3.0006029999999999</v>
      </c>
      <c r="P603" t="str">
        <f>IF(OR($A603="",games!$H603=""),"",games!$H603)</f>
        <v>Yes</v>
      </c>
      <c r="Q603">
        <f t="shared" si="128"/>
        <v>3.0006029999999999</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Pyrene</v>
      </c>
      <c r="B604">
        <f>IF($A604="","",games!$B604)</f>
        <v>2024</v>
      </c>
      <c r="C604" t="str">
        <f>IF($A604="","",games!$C604)</f>
        <v>Deckbuilder</v>
      </c>
      <c r="D604">
        <f>IF($A604="","",COUNTIF(connections!$A$2:$A$1520,$A604)+COUNTIF(connections!$B$2:$B$1520,$A604))</f>
        <v>1</v>
      </c>
      <c r="E604">
        <f t="shared" si="117"/>
        <v>3</v>
      </c>
      <c r="F604">
        <f t="shared" si="118"/>
        <v>26</v>
      </c>
      <c r="G604" t="e">
        <f t="shared" si="119"/>
        <v>#N/A</v>
      </c>
      <c r="H604" t="e">
        <f t="shared" si="120"/>
        <v>#N/A</v>
      </c>
      <c r="I604" t="e">
        <f t="shared" si="121"/>
        <v>#N/A</v>
      </c>
      <c r="J604" t="e">
        <f t="shared" si="122"/>
        <v>#N/A</v>
      </c>
      <c r="K604">
        <f t="shared" si="123"/>
        <v>2024</v>
      </c>
      <c r="L604">
        <f t="shared" si="124"/>
        <v>3.5979999999999999</v>
      </c>
      <c r="M604" t="e">
        <f t="shared" si="125"/>
        <v>#N/A</v>
      </c>
      <c r="N604" t="e">
        <f t="shared" si="126"/>
        <v>#N/A</v>
      </c>
      <c r="O604">
        <f t="shared" si="127"/>
        <v>1.000604</v>
      </c>
      <c r="P604" t="str">
        <f>IF(OR($A604="",games!$H604=""),"",games!$H604)</f>
        <v/>
      </c>
      <c r="Q604" t="str">
        <f t="shared" si="128"/>
        <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Quasimorph</v>
      </c>
      <c r="B605">
        <f>IF($A605="","",games!$B605)</f>
        <v>2023</v>
      </c>
      <c r="C605" t="str">
        <f>IF($A605="","",games!$C605)</f>
        <v>Traditional</v>
      </c>
      <c r="D605">
        <f>IF($A605="","",COUNTIF(connections!$A$2:$A$1520,$A605)+COUNTIF(connections!$B$2:$B$1520,$A605))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2023</v>
      </c>
      <c r="N605">
        <f t="shared" si="126"/>
        <v>4.6210000000000004</v>
      </c>
      <c r="O605">
        <f t="shared" si="127"/>
        <v>2.0006050000000002</v>
      </c>
      <c r="P605" t="str">
        <f>IF(OR($A605="",games!$H605=""),"",games!$H605)</f>
        <v>Yes</v>
      </c>
      <c r="Q605">
        <f t="shared" si="128"/>
        <v>2.0006050000000002</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Quest of Dungeons</v>
      </c>
      <c r="B606">
        <f>IF($A606="","",games!$B606)</f>
        <v>2014</v>
      </c>
      <c r="C606" t="str">
        <f>IF($A606="","",games!$C606)</f>
        <v>Traditional</v>
      </c>
      <c r="D606">
        <f>IF($A606="","",COUNTIF(connections!$A$2:$A$1520,$A606)+COUNTIF(connections!$B$2:$B$1520,$A606))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2014</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Rabbit and Steel</v>
      </c>
      <c r="B607">
        <f>IF($A607="","",games!$B607)</f>
        <v>2024</v>
      </c>
      <c r="C607" t="str">
        <f>IF($A607="","",games!$C607)</f>
        <v>Action</v>
      </c>
      <c r="D607">
        <f>IF($A607="","",COUNTIF(connections!$A$2:$A$1520,$A607)+COUNTIF(connections!$B$2:$B$1520,$A607))</f>
        <v>1</v>
      </c>
      <c r="E607">
        <f t="shared" si="117"/>
        <v>1</v>
      </c>
      <c r="F607">
        <f t="shared" si="118"/>
        <v>29</v>
      </c>
      <c r="G607">
        <f t="shared" si="119"/>
        <v>2024</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Raccoin: Coin Pusher Roguelike</v>
      </c>
      <c r="B608">
        <f>IF($A608="","",games!$B608)</f>
        <v>2026</v>
      </c>
      <c r="C608" t="str">
        <f>IF($A608="","",games!$C608)</f>
        <v>Deckbuilder</v>
      </c>
      <c r="D608">
        <f>IF($A608="","",COUNTIF(connections!$A$2:$A$1520,$A608)+COUNTIF(connections!$B$2:$B$1520,$A608))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Rack and Slay</v>
      </c>
      <c r="B609">
        <f>IF($A609="","",games!$B609)</f>
        <v>2024</v>
      </c>
      <c r="C609" t="str">
        <f>IF($A609="","",games!$C609)</f>
        <v>Strategy</v>
      </c>
      <c r="D609">
        <f>IF($A609="","",COUNTIF(connections!$A$2:$A$1520,$A609)+COUNTIF(connections!$B$2:$B$1520,$A609))</f>
        <v>2</v>
      </c>
      <c r="E609">
        <f t="shared" si="117"/>
        <v>2</v>
      </c>
      <c r="F609">
        <f t="shared" si="118"/>
        <v>31</v>
      </c>
      <c r="G609" t="e">
        <f t="shared" si="119"/>
        <v>#N/A</v>
      </c>
      <c r="H609" t="e">
        <f t="shared" si="120"/>
        <v>#N/A</v>
      </c>
      <c r="I609">
        <f t="shared" si="121"/>
        <v>2024</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Ragnarok</v>
      </c>
      <c r="B610">
        <f>IF($A610="","",games!$B610)</f>
        <v>1992</v>
      </c>
      <c r="C610" t="str">
        <f>IF($A610="","",games!$C610)</f>
        <v>Traditional</v>
      </c>
      <c r="D610">
        <f>IF($A610="","",COUNTIF(connections!$A$2:$A$1520,$A610)+COUNTIF(connections!$B$2:$B$1520,$A610))</f>
        <v>3</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1992</v>
      </c>
      <c r="N610">
        <f t="shared" si="126"/>
        <v>4.7359999999999998</v>
      </c>
      <c r="O610">
        <f t="shared" si="127"/>
        <v>3.00061</v>
      </c>
      <c r="P610" t="str">
        <f>IF(OR($A610="",games!$H610=""),"",games!$H610)</f>
        <v>Yes</v>
      </c>
      <c r="Q610">
        <f t="shared" si="128"/>
        <v>3.00061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RAM: Random Access Mayhem</v>
      </c>
      <c r="B611">
        <f>IF($A611="","",games!$B611)</f>
        <v>2024</v>
      </c>
      <c r="C611" t="str">
        <f>IF($A611="","",games!$C611)</f>
        <v>Action</v>
      </c>
      <c r="D611">
        <f>IF($A611="","",COUNTIF(connections!$A$2:$A$1520,$A611)+COUNTIF(connections!$B$2:$B$1520,$A611))</f>
        <v>2</v>
      </c>
      <c r="E611">
        <f t="shared" si="117"/>
        <v>1</v>
      </c>
      <c r="F611">
        <f t="shared" si="118"/>
        <v>33</v>
      </c>
      <c r="G611">
        <f t="shared" si="119"/>
        <v>2024</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Rampage Knights</v>
      </c>
      <c r="B612">
        <f>IF($A612="","",games!$B612)</f>
        <v>2015</v>
      </c>
      <c r="C612" t="str">
        <f>IF($A612="","",games!$C612)</f>
        <v>Action</v>
      </c>
      <c r="D612">
        <f>IF($A612="","",COUNTIF(connections!$A$2:$A$1520,$A612)+COUNTIF(connections!$B$2:$B$1520,$A612))</f>
        <v>1</v>
      </c>
      <c r="E612">
        <f t="shared" si="117"/>
        <v>1</v>
      </c>
      <c r="F612">
        <f t="shared" si="118"/>
        <v>0</v>
      </c>
      <c r="G612">
        <f t="shared" si="119"/>
        <v>2015</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Rangedrifter</v>
      </c>
      <c r="B613">
        <f>IF($A613="","",games!$B613)</f>
        <v>2026</v>
      </c>
      <c r="C613" t="str">
        <f>IF($A613="","",games!$C613)</f>
        <v>Traditional</v>
      </c>
      <c r="D613">
        <f>IF($A613="","",COUNTIF(connections!$A$2:$A$1520,$A613)+COUNTIF(connections!$B$2:$B$1520,$A613))</f>
        <v>1</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2026</v>
      </c>
      <c r="N613">
        <f t="shared" si="126"/>
        <v>4.0229999999999997</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Ratatan</v>
      </c>
      <c r="B614">
        <f>IF($A614="","",games!$B614)</f>
        <v>2025</v>
      </c>
      <c r="C614" t="str">
        <f>IF($A614="","",games!$C614)</f>
        <v>Action</v>
      </c>
      <c r="D614">
        <f>IF($A614="","",COUNTIF(connections!$A$2:$A$1520,$A614)+COUNTIF(connections!$B$2:$B$1520,$A614))</f>
        <v>0</v>
      </c>
      <c r="E614">
        <f t="shared" si="117"/>
        <v>1</v>
      </c>
      <c r="F614">
        <f t="shared" si="118"/>
        <v>2</v>
      </c>
      <c r="G614">
        <f t="shared" si="119"/>
        <v>2025</v>
      </c>
      <c r="H614">
        <f t="shared" si="120"/>
        <v>1.046</v>
      </c>
      <c r="I614" t="e">
        <f t="shared" si="121"/>
        <v>#N/A</v>
      </c>
      <c r="J614" t="e">
        <f t="shared" si="122"/>
        <v>#N/A</v>
      </c>
      <c r="K614" t="e">
        <f t="shared" si="123"/>
        <v>#N/A</v>
      </c>
      <c r="L614" t="e">
        <f t="shared" si="124"/>
        <v>#N/A</v>
      </c>
      <c r="M614" t="e">
        <f t="shared" si="125"/>
        <v>#N/A</v>
      </c>
      <c r="N614" t="e">
        <f t="shared" si="126"/>
        <v>#N/A</v>
      </c>
      <c r="O614">
        <f t="shared" si="127"/>
        <v>6.1399999999999996E-4</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Ratropolis</v>
      </c>
      <c r="B615">
        <f>IF($A615="","",games!$B615)</f>
        <v>2019</v>
      </c>
      <c r="C615" t="str">
        <f>IF($A615="","",games!$C615)</f>
        <v>Deckbuilder</v>
      </c>
      <c r="D615">
        <f>IF($A615="","",COUNTIF(connections!$A$2:$A$1520,$A615)+COUNTIF(connections!$B$2:$B$1520,$A615))</f>
        <v>2</v>
      </c>
      <c r="E615">
        <f t="shared" si="117"/>
        <v>3</v>
      </c>
      <c r="F615">
        <f t="shared" si="118"/>
        <v>3</v>
      </c>
      <c r="G615" t="e">
        <f t="shared" si="119"/>
        <v>#N/A</v>
      </c>
      <c r="H615" t="e">
        <f t="shared" si="120"/>
        <v>#N/A</v>
      </c>
      <c r="I615" t="e">
        <f t="shared" si="121"/>
        <v>#N/A</v>
      </c>
      <c r="J615" t="e">
        <f t="shared" si="122"/>
        <v>#N/A</v>
      </c>
      <c r="K615">
        <f t="shared" si="123"/>
        <v>2019</v>
      </c>
      <c r="L615">
        <f t="shared" si="124"/>
        <v>3.069</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Ravenswatch</v>
      </c>
      <c r="B616">
        <f>IF($A616="","",games!$B616)</f>
        <v>2023</v>
      </c>
      <c r="C616" t="str">
        <f>IF($A616="","",games!$C616)</f>
        <v>Action</v>
      </c>
      <c r="D616">
        <f>IF($A616="","",COUNTIF(connections!$A$2:$A$1520,$A616)+COUNTIF(connections!$B$2:$B$1520,$A616))</f>
        <v>2</v>
      </c>
      <c r="E616">
        <f t="shared" si="117"/>
        <v>1</v>
      </c>
      <c r="F616">
        <f t="shared" si="118"/>
        <v>4</v>
      </c>
      <c r="G616">
        <f t="shared" si="119"/>
        <v>2023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Reality Break</v>
      </c>
      <c r="B617">
        <f>IF($A617="","",games!$B617)</f>
        <v>2025</v>
      </c>
      <c r="C617" t="str">
        <f>IF($A617="","",games!$C617)</f>
        <v>Action</v>
      </c>
      <c r="D617">
        <f>IF($A617="","",COUNTIF(connections!$A$2:$A$1520,$A617)+COUNTIF(connections!$B$2:$B$1520,$A617))</f>
        <v>2</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Realm of Ink</v>
      </c>
      <c r="B618">
        <f>IF($A618="","",games!$B618)</f>
        <v>2024</v>
      </c>
      <c r="C618" t="str">
        <f>IF($A618="","",games!$C618)</f>
        <v>Action</v>
      </c>
      <c r="D618">
        <f>IF($A618="","",COUNTIF(connections!$A$2:$A$1520,$A618)+COUNTIF(connections!$B$2:$B$1520,$A618))</f>
        <v>2</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the Mad God</v>
      </c>
      <c r="B619">
        <f>IF($A619="","",games!$B619)</f>
        <v>2010</v>
      </c>
      <c r="C619" t="str">
        <f>IF($A619="","",games!$C619)</f>
        <v>Action</v>
      </c>
      <c r="D619">
        <f>IF($A619="","",COUNTIF(connections!$A$2:$A$1520,$A619)+COUNTIF(connections!$B$2:$B$1520,$A619))</f>
        <v>4</v>
      </c>
      <c r="E619">
        <f t="shared" si="117"/>
        <v>1</v>
      </c>
      <c r="F619">
        <f t="shared" si="118"/>
        <v>7</v>
      </c>
      <c r="G619">
        <f t="shared" si="119"/>
        <v>2010</v>
      </c>
      <c r="H619">
        <f t="shared" si="120"/>
        <v>1.161</v>
      </c>
      <c r="I619" t="e">
        <f t="shared" si="121"/>
        <v>#N/A</v>
      </c>
      <c r="J619" t="e">
        <f t="shared" si="122"/>
        <v>#N/A</v>
      </c>
      <c r="K619" t="e">
        <f t="shared" si="123"/>
        <v>#N/A</v>
      </c>
      <c r="L619" t="e">
        <f t="shared" si="124"/>
        <v>#N/A</v>
      </c>
      <c r="M619" t="e">
        <f t="shared" si="125"/>
        <v>#N/A</v>
      </c>
      <c r="N619" t="e">
        <f t="shared" si="126"/>
        <v>#N/A</v>
      </c>
      <c r="O619">
        <f t="shared" si="127"/>
        <v>4.0006190000000004</v>
      </c>
      <c r="P619" t="str">
        <f>IF(OR($A619="",games!$H619=""),"",games!$H619)</f>
        <v>Yes</v>
      </c>
      <c r="Q619">
        <f t="shared" si="128"/>
        <v>4.0006190000000004</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Red Rogue</v>
      </c>
      <c r="B620">
        <f>IF($A620="","",games!$B620)</f>
        <v>2012</v>
      </c>
      <c r="C620" t="str">
        <f>IF($A620="","",games!$C620)</f>
        <v>Action</v>
      </c>
      <c r="D620">
        <f>IF($A620="","",COUNTIF(connections!$A$2:$A$1520,$A620)+COUNTIF(connections!$B$2:$B$1520,$A620))</f>
        <v>3</v>
      </c>
      <c r="E620">
        <f t="shared" si="117"/>
        <v>1</v>
      </c>
      <c r="F620">
        <f t="shared" si="118"/>
        <v>8</v>
      </c>
      <c r="G620">
        <f t="shared" si="119"/>
        <v>2012</v>
      </c>
      <c r="H620">
        <f t="shared" si="120"/>
        <v>1.1839999999999999</v>
      </c>
      <c r="I620" t="e">
        <f t="shared" si="121"/>
        <v>#N/A</v>
      </c>
      <c r="J620" t="e">
        <f t="shared" si="122"/>
        <v>#N/A</v>
      </c>
      <c r="K620" t="e">
        <f t="shared" si="123"/>
        <v>#N/A</v>
      </c>
      <c r="L620" t="e">
        <f t="shared" si="124"/>
        <v>#N/A</v>
      </c>
      <c r="M620" t="e">
        <f t="shared" si="125"/>
        <v>#N/A</v>
      </c>
      <c r="N620" t="e">
        <f t="shared" si="126"/>
        <v>#N/A</v>
      </c>
      <c r="O620">
        <f t="shared" si="127"/>
        <v>3.0006200000000001</v>
      </c>
      <c r="P620" t="str">
        <f>IF(OR($A620="",games!$H620=""),"",games!$H620)</f>
        <v>Yes</v>
      </c>
      <c r="Q620">
        <f t="shared" si="128"/>
        <v>3.0006200000000001</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Reignbreaker</v>
      </c>
      <c r="B621">
        <f>IF($A621="","",games!$B621)</f>
        <v>2025</v>
      </c>
      <c r="C621" t="str">
        <f>IF($A621="","",games!$C621)</f>
        <v>Action</v>
      </c>
      <c r="D621">
        <f>IF($A621="","",COUNTIF(connections!$A$2:$A$1520,$A621)+COUNTIF(connections!$B$2:$B$1520,$A621))</f>
        <v>2</v>
      </c>
      <c r="E621">
        <f t="shared" si="117"/>
        <v>1</v>
      </c>
      <c r="F621">
        <f t="shared" si="118"/>
        <v>9</v>
      </c>
      <c r="G621">
        <f t="shared" si="119"/>
        <v>2025</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Yes</v>
      </c>
      <c r="Q621">
        <f t="shared" si="128"/>
        <v>2.0006210000000002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Renowned Explorers: International Society</v>
      </c>
      <c r="B622">
        <f>IF($A622="","",games!$B622)</f>
        <v>2015</v>
      </c>
      <c r="C622" t="str">
        <f>IF($A622="","",games!$C622)</f>
        <v>Strategy</v>
      </c>
      <c r="D622">
        <f>IF($A622="","",COUNTIF(connections!$A$2:$A$1520,$A622)+COUNTIF(connections!$B$2:$B$1520,$A622))</f>
        <v>2</v>
      </c>
      <c r="E622">
        <f t="shared" si="117"/>
        <v>2</v>
      </c>
      <c r="F622">
        <f t="shared" si="118"/>
        <v>10</v>
      </c>
      <c r="G622" t="e">
        <f t="shared" si="119"/>
        <v>#N/A</v>
      </c>
      <c r="H622" t="e">
        <f t="shared" si="120"/>
        <v>#N/A</v>
      </c>
      <c r="I622">
        <f t="shared" si="121"/>
        <v>2015</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Repetendium</v>
      </c>
      <c r="B623">
        <f>IF($A623="","",games!$B623)</f>
        <v>2022</v>
      </c>
      <c r="C623" t="str">
        <f>IF($A623="","",games!$C623)</f>
        <v>Action</v>
      </c>
      <c r="D623">
        <f>IF($A623="","",COUNTIF(connections!$A$2:$A$1520,$A623)+COUNTIF(connections!$B$2:$B$1520,$A623))</f>
        <v>1</v>
      </c>
      <c r="E623">
        <f t="shared" si="117"/>
        <v>1</v>
      </c>
      <c r="F623">
        <f t="shared" si="118"/>
        <v>11</v>
      </c>
      <c r="G623">
        <f t="shared" si="119"/>
        <v>2022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Replicat</v>
      </c>
      <c r="B624">
        <f>IF($A624="","",games!$B624)</f>
        <v>2025</v>
      </c>
      <c r="C624" t="str">
        <f>IF($A624="","",games!$C624)</f>
        <v>Deckbuilder</v>
      </c>
      <c r="D624">
        <f>IF($A624="","",COUNTIF(connections!$A$2:$A$1520,$A624)+COUNTIF(connections!$B$2:$B$1520,$A624))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
      </c>
      <c r="Q624" t="str">
        <f t="shared" si="128"/>
        <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Return to Abyss</v>
      </c>
      <c r="B625">
        <f>IF($A625="","",games!$B625)</f>
        <v>2023</v>
      </c>
      <c r="C625" t="str">
        <f>IF($A625="","",games!$C625)</f>
        <v>Action</v>
      </c>
      <c r="D625">
        <f>IF($A625="","",COUNTIF(connections!$A$2:$A$1520,$A625)+COUNTIF(connections!$B$2:$B$1520,$A625))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Returnal</v>
      </c>
      <c r="B626">
        <f>IF($A626="","",games!$B626)</f>
        <v>2023</v>
      </c>
      <c r="C626" t="str">
        <f>IF($A626="","",games!$C626)</f>
        <v>Action</v>
      </c>
      <c r="D626">
        <f>IF($A626="","",COUNTIF(connections!$A$2:$A$1520,$A626)+COUNTIF(connections!$B$2:$B$1520,$A626))</f>
        <v>5</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5.0006259999999996</v>
      </c>
      <c r="P626" t="str">
        <f>IF(OR($A626="",games!$H626=""),"",games!$H626)</f>
        <v>Yes</v>
      </c>
      <c r="Q626">
        <f t="shared" si="128"/>
        <v>5.0006259999999996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Revita</v>
      </c>
      <c r="B627">
        <f>IF($A627="","",games!$B627)</f>
        <v>2021</v>
      </c>
      <c r="C627" t="str">
        <f>IF($A627="","",games!$C627)</f>
        <v>Action</v>
      </c>
      <c r="D627">
        <f>IF($A627="","",COUNTIF(connections!$A$2:$A$1520,$A627)+COUNTIF(connections!$B$2:$B$1520,$A627))</f>
        <v>2</v>
      </c>
      <c r="E627">
        <f t="shared" si="117"/>
        <v>1</v>
      </c>
      <c r="F627">
        <f t="shared" si="118"/>
        <v>15</v>
      </c>
      <c r="G627">
        <f t="shared" si="119"/>
        <v>2021</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Yes</v>
      </c>
      <c r="Q627">
        <f t="shared" si="128"/>
        <v>2.0006270000000002</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Rhythm Witch: Beat Death</v>
      </c>
      <c r="B628">
        <f>IF($A628="","",games!$B628)</f>
        <v>2025</v>
      </c>
      <c r="C628" t="str">
        <f>IF($A628="","",games!$C628)</f>
        <v>Action</v>
      </c>
      <c r="D628">
        <f>IF($A628="","",COUNTIF(connections!$A$2:$A$1520,$A628)+COUNTIF(connections!$B$2:$B$1520,$A628))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Rift Wizard</v>
      </c>
      <c r="B629">
        <f>IF($A629="","",games!$B629)</f>
        <v>2020</v>
      </c>
      <c r="C629" t="str">
        <f>IF($A629="","",games!$C629)</f>
        <v>Traditional</v>
      </c>
      <c r="D629">
        <f>IF($A629="","",COUNTIF(connections!$A$2:$A$1520,$A629)+COUNTIF(connections!$B$2:$B$1520,$A629))</f>
        <v>7</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2020</v>
      </c>
      <c r="N629">
        <f t="shared" si="126"/>
        <v>4.391</v>
      </c>
      <c r="O629">
        <f t="shared" si="127"/>
        <v>7.000629</v>
      </c>
      <c r="P629" t="str">
        <f>IF(OR($A629="",games!$H629=""),"",games!$H629)</f>
        <v>Yes</v>
      </c>
      <c r="Q629">
        <f t="shared" si="128"/>
        <v>7.000629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 2</v>
      </c>
      <c r="B630">
        <f>IF($A630="","",games!$B630)</f>
        <v>2024</v>
      </c>
      <c r="C630" t="str">
        <f>IF($A630="","",games!$C630)</f>
        <v>Traditional</v>
      </c>
      <c r="D630">
        <f>IF($A630="","",COUNTIF(connections!$A$2:$A$1520,$A630)+COUNTIF(connections!$B$2:$B$1520,$A630))</f>
        <v>2</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2024</v>
      </c>
      <c r="N630">
        <f t="shared" si="126"/>
        <v>4.4139999999999997</v>
      </c>
      <c r="O630">
        <f t="shared" si="127"/>
        <v>2.0006300000000001</v>
      </c>
      <c r="P630" t="str">
        <f>IF(OR($A630="",games!$H630=""),"",games!$H630)</f>
        <v>Yes</v>
      </c>
      <c r="Q630">
        <f t="shared" si="128"/>
        <v>2.0006300000000001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3</v>
      </c>
      <c r="B631">
        <f>IF($A631="","",games!$B631)</f>
        <v>2026</v>
      </c>
      <c r="C631" t="str">
        <f>IF($A631="","",games!$C631)</f>
        <v>Traditional</v>
      </c>
      <c r="D631">
        <f>IF($A631="","",COUNTIF(connections!$A$2:$A$1520,$A631)+COUNTIF(connections!$B$2:$B$1520,$A631))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2026</v>
      </c>
      <c r="N631">
        <f t="shared" si="126"/>
        <v>4.4370000000000003</v>
      </c>
      <c r="O631">
        <f t="shared" si="127"/>
        <v>1.000631</v>
      </c>
      <c r="P631" t="str">
        <f>IF(OR($A631="",games!$H631=""),"",games!$H631)</f>
        <v/>
      </c>
      <c r="Q631" t="str">
        <f t="shared" si="128"/>
        <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Rig Riot</v>
      </c>
      <c r="B632">
        <f>IF($A632="","",games!$B632)</f>
        <v>2026</v>
      </c>
      <c r="C632" t="str">
        <f>IF($A632="","",games!$C632)</f>
        <v>Action</v>
      </c>
      <c r="D632">
        <f>IF($A632="","",COUNTIF(connections!$A$2:$A$1520,$A632)+COUNTIF(connections!$B$2:$B$1520,$A632))</f>
        <v>2</v>
      </c>
      <c r="E632">
        <f t="shared" si="117"/>
        <v>1</v>
      </c>
      <c r="F632">
        <f t="shared" si="118"/>
        <v>20</v>
      </c>
      <c r="G632">
        <f t="shared" si="119"/>
        <v>2026</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Right and Down</v>
      </c>
      <c r="B633">
        <f>IF($A633="","",games!$B633)</f>
        <v>2022</v>
      </c>
      <c r="C633" t="str">
        <f>IF($A633="","",games!$C633)</f>
        <v>Deckbuilder</v>
      </c>
      <c r="D633">
        <f>IF($A633="","",COUNTIF(connections!$A$2:$A$1520,$A633)+COUNTIF(connections!$B$2:$B$1520,$A633))</f>
        <v>1</v>
      </c>
      <c r="E633">
        <f t="shared" si="117"/>
        <v>3</v>
      </c>
      <c r="F633">
        <f t="shared" si="118"/>
        <v>21</v>
      </c>
      <c r="G633" t="e">
        <f t="shared" si="119"/>
        <v>#N/A</v>
      </c>
      <c r="H633" t="e">
        <f t="shared" si="120"/>
        <v>#N/A</v>
      </c>
      <c r="I633" t="e">
        <f t="shared" si="121"/>
        <v>#N/A</v>
      </c>
      <c r="J633" t="e">
        <f t="shared" si="122"/>
        <v>#N/A</v>
      </c>
      <c r="K633">
        <f t="shared" si="123"/>
        <v>2022</v>
      </c>
      <c r="L633">
        <f t="shared" si="124"/>
        <v>3.4830000000000001</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Ring of Pain</v>
      </c>
      <c r="B634">
        <f>IF($A634="","",games!$B634)</f>
        <v>2020</v>
      </c>
      <c r="C634" t="str">
        <f>IF($A634="","",games!$C634)</f>
        <v>Strategy</v>
      </c>
      <c r="D634">
        <f>IF($A634="","",COUNTIF(connections!$A$2:$A$1520,$A634)+COUNTIF(connections!$B$2:$B$1520,$A634))</f>
        <v>2</v>
      </c>
      <c r="E634">
        <f t="shared" si="117"/>
        <v>2</v>
      </c>
      <c r="F634">
        <f t="shared" si="118"/>
        <v>22</v>
      </c>
      <c r="G634" t="e">
        <f t="shared" si="119"/>
        <v>#N/A</v>
      </c>
      <c r="H634" t="e">
        <f t="shared" si="120"/>
        <v>#N/A</v>
      </c>
      <c r="I634">
        <f t="shared" si="121"/>
        <v>2020</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Ringer</v>
      </c>
      <c r="B635">
        <f>IF($A635="","",games!$B635)</f>
        <v>2025</v>
      </c>
      <c r="C635" t="str">
        <f>IF($A635="","",games!$C635)</f>
        <v>Deckbuilder</v>
      </c>
      <c r="D635">
        <f>IF($A635="","",COUNTIF(connections!$A$2:$A$1520,$A635)+COUNTIF(connections!$B$2:$B$1520,$A635))</f>
        <v>0</v>
      </c>
      <c r="E635">
        <f t="shared" si="117"/>
        <v>3</v>
      </c>
      <c r="F635">
        <f t="shared" si="118"/>
        <v>23</v>
      </c>
      <c r="G635" t="e">
        <f t="shared" si="119"/>
        <v>#N/A</v>
      </c>
      <c r="H635" t="e">
        <f t="shared" si="120"/>
        <v>#N/A</v>
      </c>
      <c r="I635" t="e">
        <f t="shared" si="121"/>
        <v>#N/A</v>
      </c>
      <c r="J635" t="e">
        <f t="shared" si="122"/>
        <v>#N/A</v>
      </c>
      <c r="K635">
        <f t="shared" si="123"/>
        <v>2025</v>
      </c>
      <c r="L635">
        <f t="shared" si="124"/>
        <v>3.5289999999999999</v>
      </c>
      <c r="M635" t="e">
        <f t="shared" si="125"/>
        <v>#N/A</v>
      </c>
      <c r="N635" t="e">
        <f t="shared" si="126"/>
        <v>#N/A</v>
      </c>
      <c r="O635">
        <f t="shared" si="127"/>
        <v>6.3500000000000004E-4</v>
      </c>
      <c r="P635" t="str">
        <f>IF(OR($A635="",games!$H635=""),"",games!$H635)</f>
        <v>Yes</v>
      </c>
      <c r="Q635">
        <f t="shared" si="128"/>
        <v>6.3500000000000004E-4</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Riptale</v>
      </c>
      <c r="B636">
        <f>IF($A636="","",games!$B636)</f>
        <v>2017</v>
      </c>
      <c r="C636" t="str">
        <f>IF($A636="","",games!$C636)</f>
        <v>Action</v>
      </c>
      <c r="D636">
        <f>IF($A636="","",COUNTIF(connections!$A$2:$A$1520,$A636)+COUNTIF(connections!$B$2:$B$1520,$A636))</f>
        <v>2</v>
      </c>
      <c r="E636">
        <f t="shared" si="117"/>
        <v>1</v>
      </c>
      <c r="F636">
        <f t="shared" si="118"/>
        <v>24</v>
      </c>
      <c r="G636">
        <f t="shared" si="119"/>
        <v>2017</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Risk of Rain</v>
      </c>
      <c r="B637">
        <f>IF($A637="","",games!$B637)</f>
        <v>2013</v>
      </c>
      <c r="C637" t="str">
        <f>IF($A637="","",games!$C637)</f>
        <v>Action</v>
      </c>
      <c r="D637">
        <f>IF($A637="","",COUNTIF(connections!$A$2:$A$1520,$A637)+COUNTIF(connections!$B$2:$B$1520,$A637))</f>
        <v>9</v>
      </c>
      <c r="E637">
        <f t="shared" si="117"/>
        <v>1</v>
      </c>
      <c r="F637">
        <f t="shared" si="118"/>
        <v>25</v>
      </c>
      <c r="G637">
        <f t="shared" si="119"/>
        <v>2013</v>
      </c>
      <c r="H637">
        <f t="shared" si="120"/>
        <v>1.575</v>
      </c>
      <c r="I637" t="e">
        <f t="shared" si="121"/>
        <v>#N/A</v>
      </c>
      <c r="J637" t="e">
        <f t="shared" si="122"/>
        <v>#N/A</v>
      </c>
      <c r="K637" t="e">
        <f t="shared" si="123"/>
        <v>#N/A</v>
      </c>
      <c r="L637" t="e">
        <f t="shared" si="124"/>
        <v>#N/A</v>
      </c>
      <c r="M637" t="e">
        <f t="shared" si="125"/>
        <v>#N/A</v>
      </c>
      <c r="N637" t="e">
        <f t="shared" si="126"/>
        <v>#N/A</v>
      </c>
      <c r="O637">
        <f t="shared" si="127"/>
        <v>9.0006369999999993</v>
      </c>
      <c r="P637" t="str">
        <f>IF(OR($A637="",games!$H637=""),"",games!$H637)</f>
        <v>Yes</v>
      </c>
      <c r="Q637">
        <f t="shared" si="128"/>
        <v>9.0006369999999993</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 2</v>
      </c>
      <c r="B638">
        <f>IF($A638="","",games!$B638)</f>
        <v>2020</v>
      </c>
      <c r="C638" t="str">
        <f>IF($A638="","",games!$C638)</f>
        <v>Action</v>
      </c>
      <c r="D638">
        <f>IF($A638="","",COUNTIF(connections!$A$2:$A$1520,$A638)+COUNTIF(connections!$B$2:$B$1520,$A638))</f>
        <v>20</v>
      </c>
      <c r="E638">
        <f t="shared" si="117"/>
        <v>1</v>
      </c>
      <c r="F638">
        <f t="shared" si="118"/>
        <v>26</v>
      </c>
      <c r="G638">
        <f t="shared" si="119"/>
        <v>2020</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20.000637999999999</v>
      </c>
      <c r="P638" t="str">
        <f>IF(OR($A638="",games!$H638=""),"",games!$H638)</f>
        <v>Yes</v>
      </c>
      <c r="Q638">
        <f t="shared" si="128"/>
        <v>20.000637999999999</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Returns</v>
      </c>
      <c r="B639">
        <f>IF($A639="","",games!$B639)</f>
        <v>2023</v>
      </c>
      <c r="C639" t="str">
        <f>IF($A639="","",games!$C639)</f>
        <v>Action</v>
      </c>
      <c r="D639">
        <f>IF($A639="","",COUNTIF(connections!$A$2:$A$1520,$A639)+COUNTIF(connections!$B$2:$B$1520,$A639))</f>
        <v>1</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Road Not Taken</v>
      </c>
      <c r="B640">
        <f>IF($A640="","",games!$B640)</f>
        <v>2014</v>
      </c>
      <c r="C640" t="str">
        <f>IF($A640="","",games!$C640)</f>
        <v>Strategy</v>
      </c>
      <c r="D640">
        <f>IF($A640="","",COUNTIF(connections!$A$2:$A$1520,$A640)+COUNTIF(connections!$B$2:$B$1520,$A640))</f>
        <v>2</v>
      </c>
      <c r="E640">
        <f t="shared" si="117"/>
        <v>2</v>
      </c>
      <c r="F640">
        <f t="shared" si="118"/>
        <v>28</v>
      </c>
      <c r="G640" t="e">
        <f t="shared" si="119"/>
        <v>#N/A</v>
      </c>
      <c r="H640" t="e">
        <f t="shared" si="120"/>
        <v>#N/A</v>
      </c>
      <c r="I640">
        <f t="shared" si="121"/>
        <v>2014</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Roboquest</v>
      </c>
      <c r="B641">
        <f>IF($A641="","",games!$B641)</f>
        <v>2020</v>
      </c>
      <c r="C641" t="str">
        <f>IF($A641="","",games!$C641)</f>
        <v>Action</v>
      </c>
      <c r="D641">
        <f>IF($A641="","",COUNTIF(connections!$A$2:$A$1520,$A641)+COUNTIF(connections!$B$2:$B$1520,$A641))</f>
        <v>9</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9.0006409999999999</v>
      </c>
      <c r="P641" t="str">
        <f>IF(OR($A641="",games!$H641=""),"",games!$H641)</f>
        <v>Yes</v>
      </c>
      <c r="Q641">
        <f t="shared" si="128"/>
        <v>9.0006409999999999</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Rocket Rats</v>
      </c>
      <c r="B642">
        <f>IF($A642="","",games!$B642)</f>
        <v>2024</v>
      </c>
      <c r="C642" t="str">
        <f>IF($A642="","",games!$C642)</f>
        <v>Action</v>
      </c>
      <c r="D642">
        <f>IF($A642="","",COUNTIF(connections!$A$2:$A$1520,$A642)+COUNTIF(connections!$B$2:$B$1520,$A642))</f>
        <v>1</v>
      </c>
      <c r="E642">
        <f t="shared" ref="E642:E705" si="130">IF($A642="","",IFERROR(MATCH($C642,$R$2:$R$5,0),0))</f>
        <v>1</v>
      </c>
      <c r="F642">
        <f t="shared" ref="F642:F705" si="131">IF($A642="","",MOD(ROW(),34))</f>
        <v>30</v>
      </c>
      <c r="G642">
        <f t="shared" ref="G642:G705" si="132">IF($A642="",NA(),IF($C642="Action",$B642,NA()))</f>
        <v>2024</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Rogue</v>
      </c>
      <c r="B643">
        <f>IF($A643="","",games!$B643)</f>
        <v>1980</v>
      </c>
      <c r="C643" t="str">
        <f>IF($A643="","",games!$C643)</f>
        <v>Traditional</v>
      </c>
      <c r="D643">
        <f>IF($A643="","",COUNTIF(connections!$A$2:$A$1520,$A643)+COUNTIF(connections!$B$2:$B$1520,$A643))</f>
        <v>29</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1980</v>
      </c>
      <c r="N643">
        <f t="shared" si="139"/>
        <v>4.7130000000000001</v>
      </c>
      <c r="O643">
        <f t="shared" si="140"/>
        <v>29.000643</v>
      </c>
      <c r="P643" t="str">
        <f>IF(OR($A643="",games!$H643=""),"",games!$H643)</f>
        <v>Yes</v>
      </c>
      <c r="Q643">
        <f t="shared" si="141"/>
        <v>29.000643</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 Blight</v>
      </c>
      <c r="B644">
        <f>IF($A644="","",games!$B644)</f>
        <v>2026</v>
      </c>
      <c r="C644" t="str">
        <f>IF($A644="","",games!$C644)</f>
        <v>Action</v>
      </c>
      <c r="D644">
        <f>IF($A644="","",COUNTIF(connections!$A$2:$A$1520,$A644)+COUNTIF(connections!$B$2:$B$1520,$A644))</f>
        <v>1</v>
      </c>
      <c r="E644">
        <f t="shared" si="130"/>
        <v>1</v>
      </c>
      <c r="F644">
        <f t="shared" si="131"/>
        <v>32</v>
      </c>
      <c r="G644">
        <f t="shared" si="132"/>
        <v>2026</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
      </c>
      <c r="Q644" t="str">
        <f t="shared" si="141"/>
        <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Command</v>
      </c>
      <c r="B645">
        <f>IF($A645="","",games!$B645)</f>
        <v>2024</v>
      </c>
      <c r="C645" t="str">
        <f>IF($A645="","",games!$C645)</f>
        <v>Strategy</v>
      </c>
      <c r="D645">
        <f>IF($A645="","",COUNTIF(connections!$A$2:$A$1520,$A645)+COUNTIF(connections!$B$2:$B$1520,$A645))</f>
        <v>3</v>
      </c>
      <c r="E645">
        <f t="shared" si="130"/>
        <v>2</v>
      </c>
      <c r="F645">
        <f t="shared" si="131"/>
        <v>33</v>
      </c>
      <c r="G645" t="e">
        <f t="shared" si="132"/>
        <v>#N/A</v>
      </c>
      <c r="H645" t="e">
        <f t="shared" si="133"/>
        <v>#N/A</v>
      </c>
      <c r="I645">
        <f t="shared" si="134"/>
        <v>2024</v>
      </c>
      <c r="J645">
        <f t="shared" si="135"/>
        <v>2.7589999999999999</v>
      </c>
      <c r="K645" t="e">
        <f t="shared" si="136"/>
        <v>#N/A</v>
      </c>
      <c r="L645" t="e">
        <f t="shared" si="137"/>
        <v>#N/A</v>
      </c>
      <c r="M645" t="e">
        <f t="shared" si="138"/>
        <v>#N/A</v>
      </c>
      <c r="N645" t="e">
        <f t="shared" si="139"/>
        <v>#N/A</v>
      </c>
      <c r="O645">
        <f t="shared" si="140"/>
        <v>3.000645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Empire</v>
      </c>
      <c r="B646">
        <f>IF($A646="","",games!$B646)</f>
        <v>2019</v>
      </c>
      <c r="C646" t="str">
        <f>IF($A646="","",games!$C646)</f>
        <v>Traditional</v>
      </c>
      <c r="D646">
        <f>IF($A646="","",COUNTIF(connections!$A$2:$A$1520,$A646)+COUNTIF(connections!$B$2:$B$1520,$A646))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2019</v>
      </c>
      <c r="N646">
        <f t="shared" si="139"/>
        <v>4</v>
      </c>
      <c r="O646">
        <f t="shared" si="140"/>
        <v>2.0006460000000001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Factory</v>
      </c>
      <c r="B647">
        <f>IF($A647="","",games!$B647)</f>
        <v>2026</v>
      </c>
      <c r="C647" t="str">
        <f>IF($A647="","",games!$C647)</f>
        <v>Action</v>
      </c>
      <c r="D647">
        <f>IF($A647="","",COUNTIF(connections!$A$2:$A$1520,$A647)+COUNTIF(connections!$B$2:$B$1520,$A647))</f>
        <v>2</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Flight</v>
      </c>
      <c r="B648">
        <f>IF($A648="","",games!$B648)</f>
        <v>2024</v>
      </c>
      <c r="C648" t="str">
        <f>IF($A648="","",games!$C648)</f>
        <v>Action</v>
      </c>
      <c r="D648">
        <f>IF($A648="","",COUNTIF(connections!$A$2:$A$1520,$A648)+COUNTIF(connections!$B$2:$B$1520,$A648))</f>
        <v>0</v>
      </c>
      <c r="E648">
        <f t="shared" si="130"/>
        <v>1</v>
      </c>
      <c r="F648">
        <f t="shared" si="131"/>
        <v>2</v>
      </c>
      <c r="G648">
        <f t="shared" si="132"/>
        <v>2024</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Hearts Dungeon</v>
      </c>
      <c r="B649">
        <f>IF($A649="","",games!$B649)</f>
        <v>2007</v>
      </c>
      <c r="C649" t="str">
        <f>IF($A649="","",games!$C649)</f>
        <v>Traditional</v>
      </c>
      <c r="D649">
        <f>IF($A649="","",COUNTIF(connections!$A$2:$A$1520,$A649)+COUNTIF(connections!$B$2:$B$1520,$A649))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2007</v>
      </c>
      <c r="N649">
        <f t="shared" si="139"/>
        <v>4.069</v>
      </c>
      <c r="O649">
        <f t="shared" si="140"/>
        <v>2.0006490000000001</v>
      </c>
      <c r="P649" t="str">
        <f>IF(OR($A649="",games!$H649=""),"",games!$H649)</f>
        <v>Yes</v>
      </c>
      <c r="Q649">
        <f t="shared" si="141"/>
        <v>2.0006490000000001</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Heroes: Ruins of Tasos</v>
      </c>
      <c r="B650">
        <f>IF($A650="","",games!$B650)</f>
        <v>2021</v>
      </c>
      <c r="C650" t="str">
        <f>IF($A650="","",games!$C650)</f>
        <v>Action</v>
      </c>
      <c r="D650">
        <f>IF($A650="","",COUNTIF(connections!$A$2:$A$1520,$A650)+COUNTIF(connections!$B$2:$B$1520,$A650))</f>
        <v>1</v>
      </c>
      <c r="E650">
        <f t="shared" si="130"/>
        <v>1</v>
      </c>
      <c r="F650">
        <f t="shared" si="131"/>
        <v>4</v>
      </c>
      <c r="G650">
        <f t="shared" si="132"/>
        <v>2021</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Legacy</v>
      </c>
      <c r="B651">
        <f>IF($A651="","",games!$B651)</f>
        <v>2013</v>
      </c>
      <c r="C651" t="str">
        <f>IF($A651="","",games!$C651)</f>
        <v>Action</v>
      </c>
      <c r="D651">
        <f>IF($A651="","",COUNTIF(connections!$A$2:$A$1520,$A651)+COUNTIF(connections!$B$2:$B$1520,$A651))</f>
        <v>19</v>
      </c>
      <c r="E651">
        <f t="shared" si="130"/>
        <v>1</v>
      </c>
      <c r="F651">
        <f t="shared" si="131"/>
        <v>5</v>
      </c>
      <c r="G651">
        <f t="shared" si="132"/>
        <v>2013</v>
      </c>
      <c r="H651">
        <f t="shared" si="133"/>
        <v>1.115</v>
      </c>
      <c r="I651" t="e">
        <f t="shared" si="134"/>
        <v>#N/A</v>
      </c>
      <c r="J651" t="e">
        <f t="shared" si="135"/>
        <v>#N/A</v>
      </c>
      <c r="K651" t="e">
        <f t="shared" si="136"/>
        <v>#N/A</v>
      </c>
      <c r="L651" t="e">
        <f t="shared" si="137"/>
        <v>#N/A</v>
      </c>
      <c r="M651" t="e">
        <f t="shared" si="138"/>
        <v>#N/A</v>
      </c>
      <c r="N651" t="e">
        <f t="shared" si="139"/>
        <v>#N/A</v>
      </c>
      <c r="O651">
        <f t="shared" si="140"/>
        <v>19.000651000000001</v>
      </c>
      <c r="P651" t="str">
        <f>IF(OR($A651="",games!$H651=""),"",games!$H651)</f>
        <v>Yes</v>
      </c>
      <c r="Q651">
        <f t="shared" si="141"/>
        <v>19.000651000000001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 2</v>
      </c>
      <c r="B652">
        <f>IF($A652="","",games!$B652)</f>
        <v>2020</v>
      </c>
      <c r="C652" t="str">
        <f>IF($A652="","",games!$C652)</f>
        <v>Action</v>
      </c>
      <c r="D652">
        <f>IF($A652="","",COUNTIF(connections!$A$2:$A$1520,$A652)+COUNTIF(connections!$B$2:$B$1520,$A652))</f>
        <v>1</v>
      </c>
      <c r="E652">
        <f t="shared" si="130"/>
        <v>1</v>
      </c>
      <c r="F652">
        <f t="shared" si="131"/>
        <v>6</v>
      </c>
      <c r="G652">
        <f t="shared" si="132"/>
        <v>2020</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Lords</v>
      </c>
      <c r="B653">
        <f>IF($A653="","",games!$B653)</f>
        <v>2021</v>
      </c>
      <c r="C653" t="str">
        <f>IF($A653="","",games!$C653)</f>
        <v>Strategy</v>
      </c>
      <c r="D653">
        <f>IF($A653="","",COUNTIF(connections!$A$2:$A$1520,$A653)+COUNTIF(connections!$B$2:$B$1520,$A653))</f>
        <v>1</v>
      </c>
      <c r="E653">
        <f t="shared" si="130"/>
        <v>2</v>
      </c>
      <c r="F653">
        <f t="shared" si="131"/>
        <v>7</v>
      </c>
      <c r="G653" t="e">
        <f t="shared" si="132"/>
        <v>#N/A</v>
      </c>
      <c r="H653" t="e">
        <f t="shared" si="133"/>
        <v>#N/A</v>
      </c>
      <c r="I653">
        <f t="shared" si="134"/>
        <v>2021</v>
      </c>
      <c r="J653">
        <f t="shared" si="135"/>
        <v>2.161</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Tower</v>
      </c>
      <c r="B654">
        <f>IF($A654="","",games!$B654)</f>
        <v>2022</v>
      </c>
      <c r="C654" t="str">
        <f>IF($A654="","",games!$C654)</f>
        <v>Strategy</v>
      </c>
      <c r="D654">
        <f>IF($A654="","",COUNTIF(connections!$A$2:$A$1520,$A654)+COUNTIF(connections!$B$2:$B$1520,$A654))</f>
        <v>2</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Voltage</v>
      </c>
      <c r="B655">
        <f>IF($A655="","",games!$B655)</f>
        <v>2024</v>
      </c>
      <c r="C655" t="str">
        <f>IF($A655="","",games!$C655)</f>
        <v>Deckbuilder</v>
      </c>
      <c r="D655">
        <f>IF($A655="","",COUNTIF(connections!$A$2:$A$1520,$A655)+COUNTIF(connections!$B$2:$B$1520,$A655))</f>
        <v>6</v>
      </c>
      <c r="E655">
        <f t="shared" si="130"/>
        <v>3</v>
      </c>
      <c r="F655">
        <f t="shared" si="131"/>
        <v>9</v>
      </c>
      <c r="G655" t="e">
        <f t="shared" si="132"/>
        <v>#N/A</v>
      </c>
      <c r="H655" t="e">
        <f t="shared" si="133"/>
        <v>#N/A</v>
      </c>
      <c r="I655" t="e">
        <f t="shared" si="134"/>
        <v>#N/A</v>
      </c>
      <c r="J655" t="e">
        <f t="shared" si="135"/>
        <v>#N/A</v>
      </c>
      <c r="K655">
        <f t="shared" si="136"/>
        <v>2024</v>
      </c>
      <c r="L655">
        <f t="shared" si="137"/>
        <v>3.2069999999999999</v>
      </c>
      <c r="M655" t="e">
        <f t="shared" si="138"/>
        <v>#N/A</v>
      </c>
      <c r="N655" t="e">
        <f t="shared" si="139"/>
        <v>#N/A</v>
      </c>
      <c r="O655">
        <f t="shared" si="140"/>
        <v>6.0006550000000001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Wizards</v>
      </c>
      <c r="B656">
        <f>IF($A656="","",games!$B656)</f>
        <v>2016</v>
      </c>
      <c r="C656" t="str">
        <f>IF($A656="","",games!$C656)</f>
        <v>Strategy</v>
      </c>
      <c r="D656">
        <f>IF($A656="","",COUNTIF(connections!$A$2:$A$1520,$A656)+COUNTIF(connections!$B$2:$B$1520,$A656))</f>
        <v>2</v>
      </c>
      <c r="E656">
        <f t="shared" si="130"/>
        <v>2</v>
      </c>
      <c r="F656">
        <f t="shared" si="131"/>
        <v>10</v>
      </c>
      <c r="G656" t="e">
        <f t="shared" si="132"/>
        <v>#N/A</v>
      </c>
      <c r="H656" t="e">
        <f t="shared" si="133"/>
        <v>#N/A</v>
      </c>
      <c r="I656">
        <f t="shared" si="134"/>
        <v>2016</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Genesia</v>
      </c>
      <c r="B657">
        <f>IF($A657="","",games!$B657)</f>
        <v>2022</v>
      </c>
      <c r="C657" t="str">
        <f>IF($A657="","",games!$C657)</f>
        <v>Action</v>
      </c>
      <c r="D657">
        <f>IF($A657="","",COUNTIF(connections!$A$2:$A$1520,$A657)+COUNTIF(connections!$B$2:$B$1520,$A657))</f>
        <v>3</v>
      </c>
      <c r="E657">
        <f t="shared" si="130"/>
        <v>1</v>
      </c>
      <c r="F657">
        <f t="shared" si="131"/>
        <v>11</v>
      </c>
      <c r="G657">
        <f t="shared" si="132"/>
        <v>2022</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Roguebook</v>
      </c>
      <c r="B658">
        <f>IF($A658="","",games!$B658)</f>
        <v>2021</v>
      </c>
      <c r="C658" t="str">
        <f>IF($A658="","",games!$C658)</f>
        <v>Deckbuilder</v>
      </c>
      <c r="D658">
        <f>IF($A658="","",COUNTIF(connections!$A$2:$A$1520,$A658)+COUNTIF(connections!$B$2:$B$1520,$A658))</f>
        <v>3</v>
      </c>
      <c r="E658">
        <f t="shared" si="130"/>
        <v>3</v>
      </c>
      <c r="F658">
        <f t="shared" si="131"/>
        <v>12</v>
      </c>
      <c r="G658" t="e">
        <f t="shared" si="132"/>
        <v>#N/A</v>
      </c>
      <c r="H658" t="e">
        <f t="shared" si="133"/>
        <v>#N/A</v>
      </c>
      <c r="I658" t="e">
        <f t="shared" si="134"/>
        <v>#N/A</v>
      </c>
      <c r="J658" t="e">
        <f t="shared" si="135"/>
        <v>#N/A</v>
      </c>
      <c r="K658">
        <f t="shared" si="136"/>
        <v>2021</v>
      </c>
      <c r="L658">
        <f t="shared" si="137"/>
        <v>3.2759999999999998</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Rogue-Fp</v>
      </c>
      <c r="B659">
        <f>IF($A659="","",games!$B659)</f>
        <v>2023</v>
      </c>
      <c r="C659" t="str">
        <f>IF($A659="","",games!$C659)</f>
        <v>Traditional</v>
      </c>
      <c r="D659">
        <f>IF($A659="","",COUNTIF(connections!$A$2:$A$1520,$A659)+COUNTIF(connections!$B$2:$B$1520,$A659))</f>
        <v>2</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2023</v>
      </c>
      <c r="N659">
        <f t="shared" si="139"/>
        <v>4.2990000000000004</v>
      </c>
      <c r="O659">
        <f t="shared" si="140"/>
        <v>2.0006590000000002</v>
      </c>
      <c r="P659" t="str">
        <f>IF(OR($A659="",games!$H659=""),"",games!$H659)</f>
        <v/>
      </c>
      <c r="Q659" t="str">
        <f t="shared" si="141"/>
        <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RogueJack21</v>
      </c>
      <c r="B660">
        <f>IF($A660="","",games!$B660)</f>
        <v>2026</v>
      </c>
      <c r="C660" t="str">
        <f>IF($A660="","",games!$C660)</f>
        <v>Deckbuilder</v>
      </c>
      <c r="D660">
        <f>IF($A660="","",COUNTIF(connections!$A$2:$A$1520,$A660)+COUNTIF(connections!$B$2:$B$1520,$A660))</f>
        <v>2</v>
      </c>
      <c r="E660">
        <f t="shared" si="130"/>
        <v>3</v>
      </c>
      <c r="F660">
        <f t="shared" si="131"/>
        <v>14</v>
      </c>
      <c r="G660" t="e">
        <f t="shared" si="132"/>
        <v>#N/A</v>
      </c>
      <c r="H660" t="e">
        <f t="shared" si="133"/>
        <v>#N/A</v>
      </c>
      <c r="I660" t="e">
        <f t="shared" si="134"/>
        <v>#N/A</v>
      </c>
      <c r="J660" t="e">
        <f t="shared" si="135"/>
        <v>#N/A</v>
      </c>
      <c r="K660">
        <f t="shared" si="136"/>
        <v>2026</v>
      </c>
      <c r="L660">
        <f t="shared" si="137"/>
        <v>3.3220000000000001</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Rogue's Tale</v>
      </c>
      <c r="B661">
        <f>IF($A661="","",games!$B661)</f>
        <v>2014</v>
      </c>
      <c r="C661" t="str">
        <f>IF($A661="","",games!$C661)</f>
        <v>Traditional</v>
      </c>
      <c r="D661">
        <f>IF($A661="","",COUNTIF(connections!$A$2:$A$1520,$A661)+COUNTIF(connections!$B$2:$B$1520,$A661))</f>
        <v>1</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2014</v>
      </c>
      <c r="N661">
        <f t="shared" si="139"/>
        <v>4.3449999999999998</v>
      </c>
      <c r="O661">
        <f t="shared" si="140"/>
        <v>1.000661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RogueSlide</v>
      </c>
      <c r="B662">
        <f>IF($A662="","",games!$B662)</f>
        <v>2022</v>
      </c>
      <c r="C662" t="str">
        <f>IF($A662="","",games!$C662)</f>
        <v>Strategy</v>
      </c>
      <c r="D662">
        <f>IF($A662="","",COUNTIF(connections!$A$2:$A$1520,$A662)+COUNTIF(connections!$B$2:$B$1520,$A662))</f>
        <v>0</v>
      </c>
      <c r="E662">
        <f t="shared" si="130"/>
        <v>2</v>
      </c>
      <c r="F662">
        <f t="shared" si="131"/>
        <v>16</v>
      </c>
      <c r="G662" t="e">
        <f t="shared" si="132"/>
        <v>#N/A</v>
      </c>
      <c r="H662" t="e">
        <f t="shared" si="133"/>
        <v>#N/A</v>
      </c>
      <c r="I662">
        <f t="shared" si="134"/>
        <v>2022</v>
      </c>
      <c r="J662">
        <f t="shared" si="135"/>
        <v>2.3679999999999999</v>
      </c>
      <c r="K662" t="e">
        <f t="shared" si="136"/>
        <v>#N/A</v>
      </c>
      <c r="L662" t="e">
        <f t="shared" si="137"/>
        <v>#N/A</v>
      </c>
      <c r="M662" t="e">
        <f t="shared" si="138"/>
        <v>#N/A</v>
      </c>
      <c r="N662" t="e">
        <f t="shared" si="139"/>
        <v>#N/A</v>
      </c>
      <c r="O662">
        <f t="shared" si="140"/>
        <v>6.6200000000000005E-4</v>
      </c>
      <c r="P662" t="str">
        <f>IF(OR($A662="",games!$H662=""),"",games!$H662)</f>
        <v>Yes</v>
      </c>
      <c r="Q662">
        <f t="shared" si="141"/>
        <v>6.6200000000000005E-4</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Roll</v>
      </c>
      <c r="B663">
        <f>IF($A663="","",games!$B663)</f>
        <v>2021</v>
      </c>
      <c r="C663" t="str">
        <f>IF($A663="","",games!$C663)</f>
        <v>Strategy</v>
      </c>
      <c r="D663">
        <f>IF($A663="","",COUNTIF(connections!$A$2:$A$1520,$A663)+COUNTIF(connections!$B$2:$B$1520,$A663))</f>
        <v>1</v>
      </c>
      <c r="E663">
        <f t="shared" si="130"/>
        <v>2</v>
      </c>
      <c r="F663">
        <f t="shared" si="131"/>
        <v>17</v>
      </c>
      <c r="G663" t="e">
        <f t="shared" si="132"/>
        <v>#N/A</v>
      </c>
      <c r="H663" t="e">
        <f t="shared" si="133"/>
        <v>#N/A</v>
      </c>
      <c r="I663">
        <f t="shared" si="134"/>
        <v>2021</v>
      </c>
      <c r="J663">
        <f t="shared" si="135"/>
        <v>2.391</v>
      </c>
      <c r="K663" t="e">
        <f t="shared" si="136"/>
        <v>#N/A</v>
      </c>
      <c r="L663" t="e">
        <f t="shared" si="137"/>
        <v>#N/A</v>
      </c>
      <c r="M663" t="e">
        <f t="shared" si="138"/>
        <v>#N/A</v>
      </c>
      <c r="N663" t="e">
        <f t="shared" si="139"/>
        <v>#N/A</v>
      </c>
      <c r="O663">
        <f t="shared" si="140"/>
        <v>1.0006630000000001</v>
      </c>
      <c r="P663" t="str">
        <f>IF(OR($A663="",games!$H663=""),"",games!$H663)</f>
        <v>Yes</v>
      </c>
      <c r="Q663">
        <f t="shared" si="141"/>
        <v>1.0006630000000001</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RollScape</v>
      </c>
      <c r="B664">
        <f>IF($A664="","",games!$B664)</f>
        <v>2024</v>
      </c>
      <c r="C664" t="str">
        <f>IF($A664="","",games!$C664)</f>
        <v>Strategy</v>
      </c>
      <c r="D664">
        <f>IF($A664="","",COUNTIF(connections!$A$2:$A$1520,$A664)+COUNTIF(connections!$B$2:$B$1520,$A664))</f>
        <v>2</v>
      </c>
      <c r="E664">
        <f t="shared" si="130"/>
        <v>2</v>
      </c>
      <c r="F664">
        <f t="shared" si="131"/>
        <v>18</v>
      </c>
      <c r="G664" t="e">
        <f t="shared" si="132"/>
        <v>#N/A</v>
      </c>
      <c r="H664" t="e">
        <f t="shared" si="133"/>
        <v>#N/A</v>
      </c>
      <c r="I664">
        <f t="shared" si="134"/>
        <v>2024</v>
      </c>
      <c r="J664">
        <f t="shared" si="135"/>
        <v>2.4140000000000001</v>
      </c>
      <c r="K664" t="e">
        <f t="shared" si="136"/>
        <v>#N/A</v>
      </c>
      <c r="L664" t="e">
        <f t="shared" si="137"/>
        <v>#N/A</v>
      </c>
      <c r="M664" t="e">
        <f t="shared" si="138"/>
        <v>#N/A</v>
      </c>
      <c r="N664" t="e">
        <f t="shared" si="139"/>
        <v>#N/A</v>
      </c>
      <c r="O664">
        <f t="shared" si="140"/>
        <v>2.000664</v>
      </c>
      <c r="P664" t="str">
        <f>IF(OR($A664="",games!$H664=""),"",games!$H664)</f>
        <v>Yes</v>
      </c>
      <c r="Q664">
        <f t="shared" si="141"/>
        <v>2.000664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Roulette Dungeon</v>
      </c>
      <c r="B665">
        <f>IF($A665="","",games!$B665)</f>
        <v>2026</v>
      </c>
      <c r="C665" t="str">
        <f>IF($A665="","",games!$C665)</f>
        <v>Deckbuilder</v>
      </c>
      <c r="D665">
        <f>IF($A665="","",COUNTIF(connections!$A$2:$A$1520,$A665)+COUNTIF(connections!$B$2:$B$1520,$A665))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
      </c>
      <c r="Q665" t="str">
        <f t="shared" si="141"/>
        <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Hero</v>
      </c>
      <c r="B666">
        <f>IF($A666="","",games!$B666)</f>
        <v>2025</v>
      </c>
      <c r="C666" t="str">
        <f>IF($A666="","",games!$C666)</f>
        <v>Deckbuilder</v>
      </c>
      <c r="D666">
        <f>IF($A666="","",COUNTIF(connections!$A$2:$A$1520,$A666)+COUNTIF(connections!$B$2:$B$1520,$A666))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Rounds</v>
      </c>
      <c r="B667">
        <f>IF($A667="","",games!$B667)</f>
        <v>2021</v>
      </c>
      <c r="C667" t="str">
        <f>IF($A667="","",games!$C667)</f>
        <v>Action</v>
      </c>
      <c r="D667">
        <f>IF($A667="","",COUNTIF(connections!$A$2:$A$1520,$A667)+COUNTIF(connections!$B$2:$B$1520,$A667))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Rune Dice</v>
      </c>
      <c r="B668">
        <f>IF($A668="","",games!$B668)</f>
        <v>2026</v>
      </c>
      <c r="C668" t="str">
        <f>IF($A668="","",games!$C668)</f>
        <v>Deckbuilder</v>
      </c>
      <c r="D668">
        <f>IF($A668="","",COUNTIF(connections!$A$2:$A$1520,$A668)+COUNTIF(connections!$B$2:$B$1520,$A668))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Runeborn</v>
      </c>
      <c r="B669">
        <f>IF($A669="","",games!$B669)</f>
        <v>2025</v>
      </c>
      <c r="C669" t="str">
        <f>IF($A669="","",games!$C669)</f>
        <v>Deckbuilder</v>
      </c>
      <c r="D669">
        <f>IF($A669="","",COUNTIF(connections!$A$2:$A$1520,$A669)+COUNTIF(connections!$B$2:$B$1520,$A669))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Yes</v>
      </c>
      <c r="Q669">
        <f t="shared" si="141"/>
        <v>4.0006690000000003</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Runeveil</v>
      </c>
      <c r="B670">
        <f>IF($A670="","",games!$B670)</f>
        <v>2026</v>
      </c>
      <c r="C670" t="str">
        <f>IF($A670="","",games!$C670)</f>
        <v>Deckbuilder</v>
      </c>
      <c r="D670">
        <f>IF($A670="","",COUNTIF(connections!$A$2:$A$1520,$A670)+COUNTIF(connections!$B$2:$B$1520,$A670))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Rungore</v>
      </c>
      <c r="B671">
        <f>IF($A671="","",games!$B671)</f>
        <v>2023</v>
      </c>
      <c r="C671" t="str">
        <f>IF($A671="","",games!$C671)</f>
        <v>Deckbuilder</v>
      </c>
      <c r="D671">
        <f>IF($A671="","",COUNTIF(connections!$A$2:$A$1520,$A671)+COUNTIF(connections!$B$2:$B$1520,$A671))</f>
        <v>2</v>
      </c>
      <c r="E671">
        <f t="shared" si="130"/>
        <v>3</v>
      </c>
      <c r="F671">
        <f t="shared" si="131"/>
        <v>25</v>
      </c>
      <c r="G671" t="e">
        <f t="shared" si="132"/>
        <v>#N/A</v>
      </c>
      <c r="H671" t="e">
        <f t="shared" si="133"/>
        <v>#N/A</v>
      </c>
      <c r="I671" t="e">
        <f t="shared" si="134"/>
        <v>#N/A</v>
      </c>
      <c r="J671" t="e">
        <f t="shared" si="135"/>
        <v>#N/A</v>
      </c>
      <c r="K671">
        <f t="shared" si="136"/>
        <v>2023</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Runic Survivor</v>
      </c>
      <c r="B672">
        <f>IF($A672="","",games!$B672)</f>
        <v>2022</v>
      </c>
      <c r="C672" t="str">
        <f>IF($A672="","",games!$C672)</f>
        <v>Action</v>
      </c>
      <c r="D672">
        <f>IF($A672="","",COUNTIF(connections!$A$2:$A$1520,$A672)+COUNTIF(connections!$B$2:$B$1520,$A672))</f>
        <v>2</v>
      </c>
      <c r="E672">
        <f t="shared" si="130"/>
        <v>1</v>
      </c>
      <c r="F672">
        <f t="shared" si="131"/>
        <v>26</v>
      </c>
      <c r="G672">
        <f t="shared" si="132"/>
        <v>2022</v>
      </c>
      <c r="H672">
        <f t="shared" si="133"/>
        <v>1.5979999999999999</v>
      </c>
      <c r="I672" t="e">
        <f t="shared" si="134"/>
        <v>#N/A</v>
      </c>
      <c r="J672" t="e">
        <f t="shared" si="135"/>
        <v>#N/A</v>
      </c>
      <c r="K672" t="e">
        <f t="shared" si="136"/>
        <v>#N/A</v>
      </c>
      <c r="L672" t="e">
        <f t="shared" si="137"/>
        <v>#N/A</v>
      </c>
      <c r="M672" t="e">
        <f t="shared" si="138"/>
        <v>#N/A</v>
      </c>
      <c r="N672" t="e">
        <f t="shared" si="139"/>
        <v>#N/A</v>
      </c>
      <c r="O672">
        <f t="shared" si="140"/>
        <v>2.0006719999999998</v>
      </c>
      <c r="P672" t="str">
        <f>IF(OR($A672="",games!$H672=""),"",games!$H672)</f>
        <v>Yes</v>
      </c>
      <c r="Q672">
        <f t="shared" si="141"/>
        <v>2.0006719999999998</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Sanae no Chou Tokkyuu: The Express Trial</v>
      </c>
      <c r="B673">
        <f>IF($A673="","",games!$B673)</f>
        <v>2010</v>
      </c>
      <c r="C673" t="str">
        <f>IF($A673="","",games!$C673)</f>
        <v>Traditional</v>
      </c>
      <c r="D673">
        <f>IF($A673="","",COUNTIF(connections!$A$2:$A$1520,$A673)+COUNTIF(connections!$B$2:$B$1520,$A673))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1.0006729999999999</v>
      </c>
      <c r="P673" t="str">
        <f>IF(OR($A673="",games!$H673=""),"",games!$H673)</f>
        <v/>
      </c>
      <c r="Q673" t="str">
        <f t="shared" si="141"/>
        <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Sandwalkers</v>
      </c>
      <c r="B674">
        <f>IF($A674="","",games!$B674)</f>
        <v>2024</v>
      </c>
      <c r="C674" t="str">
        <f>IF($A674="","",games!$C674)</f>
        <v>Action</v>
      </c>
      <c r="D674">
        <f>IF($A674="","",COUNTIF(connections!$A$2:$A$1520,$A674)+COUNTIF(connections!$B$2:$B$1520,$A674))</f>
        <v>3</v>
      </c>
      <c r="E674">
        <f t="shared" si="130"/>
        <v>1</v>
      </c>
      <c r="F674">
        <f t="shared" si="131"/>
        <v>28</v>
      </c>
      <c r="G674">
        <f t="shared" si="132"/>
        <v>2024</v>
      </c>
      <c r="H674">
        <f t="shared" si="133"/>
        <v>1.6440000000000001</v>
      </c>
      <c r="I674" t="e">
        <f t="shared" si="134"/>
        <v>#N/A</v>
      </c>
      <c r="J674" t="e">
        <f t="shared" si="135"/>
        <v>#N/A</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Scarlet Skips</v>
      </c>
      <c r="B675">
        <f>IF($A675="","",games!$B675)</f>
        <v>2026</v>
      </c>
      <c r="C675" t="str">
        <f>IF($A675="","",games!$C675)</f>
        <v>Action</v>
      </c>
      <c r="D675">
        <f>IF($A675="","",COUNTIF(connections!$A$2:$A$1520,$A675)+COUNTIF(connections!$B$2:$B$1520,$A675))</f>
        <v>0</v>
      </c>
      <c r="E675">
        <f t="shared" si="130"/>
        <v>1</v>
      </c>
      <c r="F675">
        <f t="shared" si="131"/>
        <v>29</v>
      </c>
      <c r="G675">
        <f t="shared" si="132"/>
        <v>2026</v>
      </c>
      <c r="H675">
        <f t="shared" si="133"/>
        <v>1.667</v>
      </c>
      <c r="I675" t="e">
        <f t="shared" si="134"/>
        <v>#N/A</v>
      </c>
      <c r="J675" t="e">
        <f t="shared" si="135"/>
        <v>#N/A</v>
      </c>
      <c r="K675" t="e">
        <f t="shared" si="136"/>
        <v>#N/A</v>
      </c>
      <c r="L675" t="e">
        <f t="shared" si="137"/>
        <v>#N/A</v>
      </c>
      <c r="M675" t="e">
        <f t="shared" si="138"/>
        <v>#N/A</v>
      </c>
      <c r="N675" t="e">
        <f t="shared" si="139"/>
        <v>#N/A</v>
      </c>
      <c r="O675">
        <f t="shared" si="140"/>
        <v>6.7500000000000004E-4</v>
      </c>
      <c r="P675" t="str">
        <f>IF(OR($A675="",games!$H675=""),"",games!$H675)</f>
        <v/>
      </c>
      <c r="Q675" t="str">
        <f t="shared" si="141"/>
        <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Tower</v>
      </c>
      <c r="B676">
        <f>IF($A676="","",games!$B676)</f>
        <v>2022</v>
      </c>
      <c r="C676" t="str">
        <f>IF($A676="","",games!$C676)</f>
        <v>Action</v>
      </c>
      <c r="D676">
        <f>IF($A676="","",COUNTIF(connections!$A$2:$A$1520,$A676)+COUNTIF(connections!$B$2:$B$1520,$A676))</f>
        <v>1</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Schism</v>
      </c>
      <c r="B677">
        <f>IF($A677="","",games!$B677)</f>
        <v>2023</v>
      </c>
      <c r="C677" t="str">
        <f>IF($A677="","",games!$C677)</f>
        <v>Action</v>
      </c>
      <c r="D677">
        <f>IF($A677="","",COUNTIF(connections!$A$2:$A$1520,$A677)+COUNTIF(connections!$B$2:$B$1520,$A677))</f>
        <v>2</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
      </c>
      <c r="Q677" t="str">
        <f t="shared" si="141"/>
        <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Scourgebringer</v>
      </c>
      <c r="B678">
        <f>IF($A678="","",games!$B678)</f>
        <v>2020</v>
      </c>
      <c r="C678" t="str">
        <f>IF($A678="","",games!$C678)</f>
        <v>Action</v>
      </c>
      <c r="D678">
        <f>IF($A678="","",COUNTIF(connections!$A$2:$A$1520,$A678)+COUNTIF(connections!$B$2:$B$1520,$A678))</f>
        <v>7</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7.0006779999999997</v>
      </c>
      <c r="P678" t="str">
        <f>IF(OR($A678="",games!$H678=""),"",games!$H678)</f>
        <v>Yes</v>
      </c>
      <c r="Q678">
        <f t="shared" si="141"/>
        <v>7.0006779999999997</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Sea of Survivors</v>
      </c>
      <c r="B679">
        <f>IF($A679="","",games!$B679)</f>
        <v>2023</v>
      </c>
      <c r="C679" t="str">
        <f>IF($A679="","",games!$C679)</f>
        <v>Action</v>
      </c>
      <c r="D679">
        <f>IF($A679="","",COUNTIF(connections!$A$2:$A$1520,$A679)+COUNTIF(connections!$B$2:$B$1520,$A679))</f>
        <v>1</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
      </c>
      <c r="Q679" t="str">
        <f t="shared" si="141"/>
        <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Section 13</v>
      </c>
      <c r="B680">
        <f>IF($A680="","",games!$B680)</f>
        <v>2023</v>
      </c>
      <c r="C680" t="str">
        <f>IF($A680="","",games!$C680)</f>
        <v>Action</v>
      </c>
      <c r="D680">
        <f>IF($A680="","",COUNTIF(connections!$A$2:$A$1520,$A680)+COUNTIF(connections!$B$2:$B$1520,$A680))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Seedborne Soldiers</v>
      </c>
      <c r="B681">
        <f>IF($A681="","",games!$B681)</f>
        <v>2025</v>
      </c>
      <c r="C681" t="str">
        <f>IF($A681="","",games!$C681)</f>
        <v>Strategy</v>
      </c>
      <c r="D681">
        <f>IF($A681="","",COUNTIF(connections!$A$2:$A$1520,$A681)+COUNTIF(connections!$B$2:$B$1520,$A681))</f>
        <v>2</v>
      </c>
      <c r="E681">
        <f t="shared" si="130"/>
        <v>2</v>
      </c>
      <c r="F681">
        <f t="shared" si="131"/>
        <v>1</v>
      </c>
      <c r="G681" t="e">
        <f t="shared" si="132"/>
        <v>#N/A</v>
      </c>
      <c r="H681" t="e">
        <f t="shared" si="133"/>
        <v>#N/A</v>
      </c>
      <c r="I681">
        <f t="shared" si="134"/>
        <v>2025</v>
      </c>
      <c r="J681">
        <f t="shared" si="135"/>
        <v>2.0230000000000001</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Sephiria</v>
      </c>
      <c r="B682">
        <f>IF($A682="","",games!$B682)</f>
        <v>2025</v>
      </c>
      <c r="C682" t="str">
        <f>IF($A682="","",games!$C682)</f>
        <v>Action</v>
      </c>
      <c r="D682">
        <f>IF($A682="","",COUNTIF(connections!$A$2:$A$1520,$A682)+COUNTIF(connections!$B$2:$B$1520,$A682))</f>
        <v>5</v>
      </c>
      <c r="E682">
        <f t="shared" si="130"/>
        <v>1</v>
      </c>
      <c r="F682">
        <f t="shared" si="131"/>
        <v>2</v>
      </c>
      <c r="G682">
        <f t="shared" si="132"/>
        <v>2025</v>
      </c>
      <c r="H682">
        <f t="shared" si="133"/>
        <v>1.046</v>
      </c>
      <c r="I682" t="e">
        <f t="shared" si="134"/>
        <v>#N/A</v>
      </c>
      <c r="J682" t="e">
        <f t="shared" si="135"/>
        <v>#N/A</v>
      </c>
      <c r="K682" t="e">
        <f t="shared" si="136"/>
        <v>#N/A</v>
      </c>
      <c r="L682" t="e">
        <f t="shared" si="137"/>
        <v>#N/A</v>
      </c>
      <c r="M682" t="e">
        <f t="shared" si="138"/>
        <v>#N/A</v>
      </c>
      <c r="N682" t="e">
        <f t="shared" si="139"/>
        <v>#N/A</v>
      </c>
      <c r="O682">
        <f t="shared" si="140"/>
        <v>5.0006820000000003</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Seraph's Last Stand</v>
      </c>
      <c r="B683">
        <f>IF($A683="","",games!$B683)</f>
        <v>2022</v>
      </c>
      <c r="C683" t="str">
        <f>IF($A683="","",games!$C683)</f>
        <v>Action</v>
      </c>
      <c r="D683">
        <f>IF($A683="","",COUNTIF(connections!$A$2:$A$1520,$A683)+COUNTIF(connections!$B$2:$B$1520,$A683))</f>
        <v>1</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Serpent's Gaze</v>
      </c>
      <c r="B684">
        <f>IF($A684="","",games!$B684)</f>
        <v>2026</v>
      </c>
      <c r="C684" t="str">
        <f>IF($A684="","",games!$C684)</f>
        <v>Action</v>
      </c>
      <c r="D684">
        <f>IF($A684="","",COUNTIF(connections!$A$2:$A$1520,$A684)+COUNTIF(connections!$B$2:$B$1520,$A684))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Shadow of the Wyrm</v>
      </c>
      <c r="B685">
        <f>IF($A685="","",games!$B685)</f>
        <v>2015</v>
      </c>
      <c r="C685" t="str">
        <f>IF($A685="","",games!$C685)</f>
        <v>Traditional</v>
      </c>
      <c r="D685">
        <f>IF($A685="","",COUNTIF(connections!$A$2:$A$1520,$A685)+COUNTIF(connections!$B$2:$B$1520,$A685))</f>
        <v>2</v>
      </c>
      <c r="E685">
        <f t="shared" si="130"/>
        <v>4</v>
      </c>
      <c r="F685">
        <f t="shared" si="131"/>
        <v>5</v>
      </c>
      <c r="G685" t="e">
        <f t="shared" si="132"/>
        <v>#N/A</v>
      </c>
      <c r="H685" t="e">
        <f t="shared" si="133"/>
        <v>#N/A</v>
      </c>
      <c r="I685" t="e">
        <f t="shared" si="134"/>
        <v>#N/A</v>
      </c>
      <c r="J685" t="e">
        <f t="shared" si="135"/>
        <v>#N/A</v>
      </c>
      <c r="K685" t="e">
        <f t="shared" si="136"/>
        <v>#N/A</v>
      </c>
      <c r="L685" t="e">
        <f t="shared" si="137"/>
        <v>#N/A</v>
      </c>
      <c r="M685">
        <f t="shared" si="138"/>
        <v>2015</v>
      </c>
      <c r="N685">
        <f t="shared" si="139"/>
        <v>4.1150000000000002</v>
      </c>
      <c r="O685">
        <f t="shared" si="140"/>
        <v>2.0006849999999998</v>
      </c>
      <c r="P685" t="str">
        <f>IF(OR($A685="",games!$H685=""),"",games!$H685)</f>
        <v>Yes</v>
      </c>
      <c r="Q685">
        <f t="shared" si="141"/>
        <v>2.0006849999999998</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Shadowveil: Legend of The Five Rings</v>
      </c>
      <c r="B686">
        <f>IF($A686="","",games!$B686)</f>
        <v>2025</v>
      </c>
      <c r="C686" t="str">
        <f>IF($A686="","",games!$C686)</f>
        <v>Strategy</v>
      </c>
      <c r="D686">
        <f>IF($A686="","",COUNTIF(connections!$A$2:$A$1520,$A686)+COUNTIF(connections!$B$2:$B$1520,$A686))</f>
        <v>3</v>
      </c>
      <c r="E686">
        <f t="shared" si="130"/>
        <v>2</v>
      </c>
      <c r="F686">
        <f t="shared" si="131"/>
        <v>6</v>
      </c>
      <c r="G686" t="e">
        <f t="shared" si="132"/>
        <v>#N/A</v>
      </c>
      <c r="H686" t="e">
        <f t="shared" si="133"/>
        <v>#N/A</v>
      </c>
      <c r="I686">
        <f t="shared" si="134"/>
        <v>2025</v>
      </c>
      <c r="J686">
        <f t="shared" si="135"/>
        <v>2.1379999999999999</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Shape of Dreams</v>
      </c>
      <c r="B687">
        <f>IF($A687="","",games!$B687)</f>
        <v>2025</v>
      </c>
      <c r="C687" t="str">
        <f>IF($A687="","",games!$C687)</f>
        <v>Action</v>
      </c>
      <c r="D687">
        <f>IF($A687="","",COUNTIF(connections!$A$2:$A$1520,$A687)+COUNTIF(connections!$B$2:$B$1520,$A687))</f>
        <v>3</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Shifter: Formations</v>
      </c>
      <c r="B688">
        <f>IF($A688="","",games!$B688)</f>
        <v>2023</v>
      </c>
      <c r="C688" t="str">
        <f>IF($A688="","",games!$C688)</f>
        <v>Action</v>
      </c>
      <c r="D688">
        <f>IF($A688="","",COUNTIF(connections!$A$2:$A$1520,$A688)+COUNTIF(connections!$B$2:$B$1520,$A688))</f>
        <v>2</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
      </c>
      <c r="Q688" t="str">
        <f t="shared" si="141"/>
        <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Shard Squad</v>
      </c>
      <c r="B689">
        <f>IF($A689="","",games!$B689)</f>
        <v>2025</v>
      </c>
      <c r="C689" t="str">
        <f>IF($A689="","",games!$C689)</f>
        <v>Action</v>
      </c>
      <c r="D689">
        <f>IF($A689="","",COUNTIF(connections!$A$2:$A$1520,$A689)+COUNTIF(connections!$B$2:$B$1520,$A689))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Shattered Pixel Dungeon</v>
      </c>
      <c r="B690">
        <f>IF($A690="","",games!$B690)</f>
        <v>2014</v>
      </c>
      <c r="C690" t="str">
        <f>IF($A690="","",games!$C690)</f>
        <v>Traditional</v>
      </c>
      <c r="D690">
        <f>IF($A690="","",COUNTIF(connections!$A$2:$A$1520,$A690)+COUNTIF(connections!$B$2:$B$1520,$A690))</f>
        <v>3</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2014</v>
      </c>
      <c r="N690">
        <f t="shared" si="139"/>
        <v>4.2300000000000004</v>
      </c>
      <c r="O690">
        <f t="shared" si="140"/>
        <v>3.0006900000000001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Ship of Fools</v>
      </c>
      <c r="B691">
        <f>IF($A691="","",games!$B691)</f>
        <v>2022</v>
      </c>
      <c r="C691" t="str">
        <f>IF($A691="","",games!$C691)</f>
        <v>Action</v>
      </c>
      <c r="D691">
        <f>IF($A691="","",COUNTIF(connections!$A$2:$A$1520,$A691)+COUNTIF(connections!$B$2:$B$1520,$A691))</f>
        <v>3</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Shiren the Wanderer (2008)</v>
      </c>
      <c r="B692">
        <f>IF($A692="","",games!$B692)</f>
        <v>2008</v>
      </c>
      <c r="C692" t="str">
        <f>IF($A692="","",games!$C692)</f>
        <v>Traditional</v>
      </c>
      <c r="D692">
        <f>IF($A692="","",COUNTIF(connections!$A$2:$A$1520,$A692)+COUNTIF(connections!$B$2:$B$1520,$A692))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2008</v>
      </c>
      <c r="N692">
        <f t="shared" si="139"/>
        <v>4.2759999999999998</v>
      </c>
      <c r="O692">
        <f t="shared" si="140"/>
        <v>2.0006919999999999</v>
      </c>
      <c r="P692" t="str">
        <f>IF(OR($A692="",games!$H692=""),"",games!$H692)</f>
        <v>Yes</v>
      </c>
      <c r="Q692">
        <f t="shared" si="141"/>
        <v>2.0006919999999999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 Shiren's Castle and the Oni Invasion</v>
      </c>
      <c r="B693">
        <f>IF($A693="","",games!$B693)</f>
        <v>2000</v>
      </c>
      <c r="C693" t="str">
        <f>IF($A693="","",games!$C693)</f>
        <v>Traditional</v>
      </c>
      <c r="D693">
        <f>IF($A693="","",COUNTIF(connections!$A$2:$A$1520,$A693)+COUNTIF(connections!$B$2:$B$1520,$A693))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2000</v>
      </c>
      <c r="N693">
        <f t="shared" si="139"/>
        <v>4.2990000000000004</v>
      </c>
      <c r="O693">
        <f t="shared" si="140"/>
        <v>3.0006930000000001</v>
      </c>
      <c r="P693" t="str">
        <f>IF(OR($A693="",games!$H693=""),"",games!$H693)</f>
        <v>Yes</v>
      </c>
      <c r="Q693">
        <f t="shared" si="141"/>
        <v>3.0006930000000001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4: The Eye of God and the Devil's Navel</v>
      </c>
      <c r="B694">
        <f>IF($A694="","",games!$B694)</f>
        <v>2010</v>
      </c>
      <c r="C694" t="str">
        <f>IF($A694="","",games!$C694)</f>
        <v>Traditional</v>
      </c>
      <c r="D694">
        <f>IF($A694="","",COUNTIF(connections!$A$2:$A$1520,$A694)+COUNTIF(connections!$B$2:$B$1520,$A694))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2010</v>
      </c>
      <c r="N694">
        <f t="shared" si="139"/>
        <v>4.3220000000000001</v>
      </c>
      <c r="O694">
        <f t="shared" si="140"/>
        <v>2.0006940000000002</v>
      </c>
      <c r="P694" t="str">
        <f>IF(OR($A694="",games!$H694=""),"",games!$H694)</f>
        <v>Yes</v>
      </c>
      <c r="Q694">
        <f t="shared" si="141"/>
        <v>2.0006940000000002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Gaiden: Asuka the Swordswoman</v>
      </c>
      <c r="B695">
        <f>IF($A695="","",games!$B695)</f>
        <v>2002</v>
      </c>
      <c r="C695" t="str">
        <f>IF($A695="","",games!$C695)</f>
        <v>Traditional</v>
      </c>
      <c r="D695">
        <f>IF($A695="","",COUNTIF(connections!$A$2:$A$1520,$A695)+COUNTIF(connections!$B$2:$B$1520,$A695))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2002</v>
      </c>
      <c r="N695">
        <f t="shared" si="139"/>
        <v>4.3449999999999998</v>
      </c>
      <c r="O695">
        <f t="shared" si="140"/>
        <v>1.0006949999999999</v>
      </c>
      <c r="P695" t="str">
        <f>IF(OR($A695="",games!$H695=""),"",games!$H695)</f>
        <v>Yes</v>
      </c>
      <c r="Q695">
        <f t="shared" si="141"/>
        <v>1.0006949999999999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GB: Monster of Moonlight Village</v>
      </c>
      <c r="B696">
        <f>IF($A696="","",games!$B696)</f>
        <v>1996</v>
      </c>
      <c r="C696" t="str">
        <f>IF($A696="","",games!$C696)</f>
        <v>Traditional</v>
      </c>
      <c r="D696">
        <f>IF($A696="","",COUNTIF(connections!$A$2:$A$1520,$A696)+COUNTIF(connections!$B$2:$B$1520,$A696))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1996</v>
      </c>
      <c r="N696">
        <f t="shared" si="139"/>
        <v>4.3680000000000003</v>
      </c>
      <c r="O696">
        <f t="shared" si="140"/>
        <v>2.000696</v>
      </c>
      <c r="P696" t="str">
        <f>IF(OR($A696="",games!$H696=""),"",games!$H696)</f>
        <v>Yes</v>
      </c>
      <c r="Q696">
        <f t="shared" si="141"/>
        <v>2.000696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GB2: Magic Castle of the Desert</v>
      </c>
      <c r="B697">
        <f>IF($A697="","",games!$B697)</f>
        <v>2001</v>
      </c>
      <c r="C697" t="str">
        <f>IF($A697="","",games!$C697)</f>
        <v>Traditional</v>
      </c>
      <c r="D697">
        <f>IF($A697="","",COUNTIF(connections!$A$2:$A$1520,$A697)+COUNTIF(connections!$B$2:$B$1520,$A697))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2001</v>
      </c>
      <c r="N697">
        <f t="shared" si="139"/>
        <v>4.391</v>
      </c>
      <c r="O697">
        <f t="shared" si="140"/>
        <v>1.0006969999999999</v>
      </c>
      <c r="P697" t="str">
        <f>IF(OR($A697="",games!$H697=""),"",games!$H697)</f>
        <v>Yes</v>
      </c>
      <c r="Q697">
        <f t="shared" si="141"/>
        <v>1.0006969999999999</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The Mystery Dungeon of Serpentcoil Island</v>
      </c>
      <c r="B698">
        <f>IF($A698="","",games!$B698)</f>
        <v>2024</v>
      </c>
      <c r="C698" t="str">
        <f>IF($A698="","",games!$C698)</f>
        <v>Traditional</v>
      </c>
      <c r="D698">
        <f>IF($A698="","",COUNTIF(connections!$A$2:$A$1520,$A698)+COUNTIF(connections!$B$2:$B$1520,$A698))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2024</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Tower of Fortune and the Dice of Fate</v>
      </c>
      <c r="B699">
        <f>IF($A699="","",games!$B699)</f>
        <v>2010</v>
      </c>
      <c r="C699" t="str">
        <f>IF($A699="","",games!$C699)</f>
        <v>Traditional</v>
      </c>
      <c r="D699">
        <f>IF($A699="","",COUNTIF(connections!$A$2:$A$1520,$A699)+COUNTIF(connections!$B$2:$B$1520,$A699))</f>
        <v>2</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2010</v>
      </c>
      <c r="N699">
        <f t="shared" si="139"/>
        <v>4.4370000000000003</v>
      </c>
      <c r="O699">
        <f t="shared" si="140"/>
        <v>2.000699</v>
      </c>
      <c r="P699" t="str">
        <f>IF(OR($A699="",games!$H699=""),"",games!$H699)</f>
        <v>Yes</v>
      </c>
      <c r="Q699">
        <f t="shared" si="141"/>
        <v>2.000699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Shogun Showdown</v>
      </c>
      <c r="B700">
        <f>IF($A700="","",games!$B700)</f>
        <v>2023</v>
      </c>
      <c r="C700" t="str">
        <f>IF($A700="","",games!$C700)</f>
        <v>Strategy</v>
      </c>
      <c r="D700">
        <f>IF($A700="","",COUNTIF(connections!$A$2:$A$1520,$A700)+COUNTIF(connections!$B$2:$B$1520,$A700))</f>
        <v>5</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5.0007000000000001</v>
      </c>
      <c r="P700" t="str">
        <f>IF(OR($A700="",games!$H700=""),"",games!$H700)</f>
        <v>Yes</v>
      </c>
      <c r="Q700">
        <f t="shared" si="141"/>
        <v>5.0007000000000001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Shoot First</v>
      </c>
      <c r="B701">
        <f>IF($A701="","",games!$B701)</f>
        <v>2010</v>
      </c>
      <c r="C701" t="str">
        <f>IF($A701="","",games!$C701)</f>
        <v>Action</v>
      </c>
      <c r="D701">
        <f>IF($A701="","",COUNTIF(connections!$A$2:$A$1520,$A701)+COUNTIF(connections!$B$2:$B$1520,$A701))</f>
        <v>1</v>
      </c>
      <c r="E701">
        <f t="shared" si="130"/>
        <v>1</v>
      </c>
      <c r="F701">
        <f t="shared" si="131"/>
        <v>21</v>
      </c>
      <c r="G701">
        <f t="shared" si="132"/>
        <v>2010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Shotgun King: The Final Checkmate</v>
      </c>
      <c r="B702">
        <f>IF($A702="","",games!$B702)</f>
        <v>2022</v>
      </c>
      <c r="C702" t="str">
        <f>IF($A702="","",games!$C702)</f>
        <v>Strategy</v>
      </c>
      <c r="D702">
        <f>IF($A702="","",COUNTIF(connections!$A$2:$A$1520,$A702)+COUNTIF(connections!$B$2:$B$1520,$A702))</f>
        <v>4</v>
      </c>
      <c r="E702">
        <f t="shared" si="130"/>
        <v>2</v>
      </c>
      <c r="F702">
        <f t="shared" si="131"/>
        <v>22</v>
      </c>
      <c r="G702" t="e">
        <f t="shared" si="132"/>
        <v>#N/A</v>
      </c>
      <c r="H702" t="e">
        <f t="shared" si="133"/>
        <v>#N/A</v>
      </c>
      <c r="I702">
        <f t="shared" si="134"/>
        <v>2022</v>
      </c>
      <c r="J702">
        <f t="shared" si="135"/>
        <v>2.5060000000000002</v>
      </c>
      <c r="K702" t="e">
        <f t="shared" si="136"/>
        <v>#N/A</v>
      </c>
      <c r="L702" t="e">
        <f t="shared" si="137"/>
        <v>#N/A</v>
      </c>
      <c r="M702" t="e">
        <f t="shared" si="138"/>
        <v>#N/A</v>
      </c>
      <c r="N702" t="e">
        <f t="shared" si="139"/>
        <v>#N/A</v>
      </c>
      <c r="O702">
        <f t="shared" si="140"/>
        <v>4.0007020000000004</v>
      </c>
      <c r="P702" t="str">
        <f>IF(OR($A702="",games!$H702=""),"",games!$H702)</f>
        <v>Yes</v>
      </c>
      <c r="Q702">
        <f t="shared" si="141"/>
        <v>4.0007020000000004</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Shovel Knight Dig</v>
      </c>
      <c r="B703">
        <f>IF($A703="","",games!$B703)</f>
        <v>2022</v>
      </c>
      <c r="C703" t="str">
        <f>IF($A703="","",games!$C703)</f>
        <v>Action</v>
      </c>
      <c r="D703">
        <f>IF($A703="","",COUNTIF(connections!$A$2:$A$1520,$A703)+COUNTIF(connections!$B$2:$B$1520,$A703))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
      </c>
      <c r="Q703" t="str">
        <f t="shared" si="141"/>
        <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Shroom and Gloom</v>
      </c>
      <c r="B704">
        <f>IF($A704="","",games!$B704)</f>
        <v>2026</v>
      </c>
      <c r="C704" t="str">
        <f>IF($A704="","",games!$C704)</f>
        <v>Deckbuilder</v>
      </c>
      <c r="D704">
        <f>IF($A704="","",COUNTIF(connections!$A$2:$A$1520,$A704)+COUNTIF(connections!$B$2:$B$1520,$A704))</f>
        <v>2</v>
      </c>
      <c r="E704">
        <f t="shared" si="130"/>
        <v>3</v>
      </c>
      <c r="F704">
        <f t="shared" si="131"/>
        <v>24</v>
      </c>
      <c r="G704" t="e">
        <f t="shared" si="132"/>
        <v>#N/A</v>
      </c>
      <c r="H704" t="e">
        <f t="shared" si="133"/>
        <v>#N/A</v>
      </c>
      <c r="I704" t="e">
        <f t="shared" si="134"/>
        <v>#N/A</v>
      </c>
      <c r="J704" t="e">
        <f t="shared" si="135"/>
        <v>#N/A</v>
      </c>
      <c r="K704">
        <f t="shared" si="136"/>
        <v>2026</v>
      </c>
      <c r="L704">
        <f t="shared" si="137"/>
        <v>3.552</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Sil</v>
      </c>
      <c r="B705">
        <f>IF($A705="","",games!$B705)</f>
        <v>2012</v>
      </c>
      <c r="C705" t="str">
        <f>IF($A705="","",games!$C705)</f>
        <v>Traditional</v>
      </c>
      <c r="D705">
        <f>IF($A705="","",COUNTIF(connections!$A$2:$A$1520,$A705)+COUNTIF(connections!$B$2:$B$1520,$A705))</f>
        <v>1</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2012</v>
      </c>
      <c r="N705">
        <f t="shared" si="139"/>
        <v>4.5750000000000002</v>
      </c>
      <c r="O705">
        <f t="shared" si="140"/>
        <v>1.000705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Sir, We Have an Orc Problem</v>
      </c>
      <c r="B706">
        <f>IF($A706="","",games!$B706)</f>
        <v>2026</v>
      </c>
      <c r="C706" t="str">
        <f>IF($A706="","",games!$C706)</f>
        <v>Strategy</v>
      </c>
      <c r="D706">
        <f>IF($A706="","",COUNTIF(connections!$A$2:$A$1520,$A706)+COUNTIF(connections!$B$2:$B$1520,$A706))</f>
        <v>1</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2026</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Skul: The Hero Slayer</v>
      </c>
      <c r="B707">
        <f>IF($A707="","",games!$B707)</f>
        <v>2020</v>
      </c>
      <c r="C707" t="str">
        <f>IF($A707="","",games!$C707)</f>
        <v>Action</v>
      </c>
      <c r="D707">
        <f>IF($A707="","",COUNTIF(connections!$A$2:$A$1520,$A707)+COUNTIF(connections!$B$2:$B$1520,$A707))</f>
        <v>3</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Skull Horde</v>
      </c>
      <c r="B708">
        <f>IF($A708="","",games!$B708)</f>
        <v>2026</v>
      </c>
      <c r="C708" t="str">
        <f>IF($A708="","",games!$C708)</f>
        <v>Action</v>
      </c>
      <c r="D708">
        <f>IF($A708="","",COUNTIF(connections!$A$2:$A$1520,$A708)+COUNTIF(connections!$B$2:$B$1520,$A708))</f>
        <v>3</v>
      </c>
      <c r="E708">
        <f t="shared" si="143"/>
        <v>1</v>
      </c>
      <c r="F708">
        <f t="shared" si="144"/>
        <v>28</v>
      </c>
      <c r="G708">
        <f t="shared" si="145"/>
        <v>2026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Sky Rogue</v>
      </c>
      <c r="B709">
        <f>IF($A709="","",games!$B709)</f>
        <v>2014</v>
      </c>
      <c r="C709" t="str">
        <f>IF($A709="","",games!$C709)</f>
        <v>Action</v>
      </c>
      <c r="D709">
        <f>IF($A709="","",COUNTIF(connections!$A$2:$A$1520,$A709)+COUNTIF(connections!$B$2:$B$1520,$A709))</f>
        <v>1</v>
      </c>
      <c r="E709">
        <f t="shared" si="143"/>
        <v>1</v>
      </c>
      <c r="F709">
        <f t="shared" si="144"/>
        <v>29</v>
      </c>
      <c r="G709">
        <f t="shared" si="145"/>
        <v>2014</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Sky's The Limit MAH-JONG</v>
      </c>
      <c r="B710">
        <f>IF($A710="","",games!$B710)</f>
        <v>2024</v>
      </c>
      <c r="C710" t="str">
        <f>IF($A710="","",games!$C710)</f>
        <v>Deckbuilder</v>
      </c>
      <c r="D710">
        <f>IF($A710="","",COUNTIF(connections!$A$2:$A$1520,$A710)+COUNTIF(connections!$B$2:$B$1520,$A710))</f>
        <v>1</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Slash'EM</v>
      </c>
      <c r="B711">
        <f>IF($A711="","",games!$B711)</f>
        <v>2006</v>
      </c>
      <c r="C711" t="str">
        <f>IF($A711="","",games!$C711)</f>
        <v>Traditional</v>
      </c>
      <c r="D711">
        <f>IF($A711="","",COUNTIF(connections!$A$2:$A$1520,$A711)+COUNTIF(connections!$B$2:$B$1520,$A711))</f>
        <v>2</v>
      </c>
      <c r="E711">
        <f t="shared" si="143"/>
        <v>4</v>
      </c>
      <c r="F711">
        <f t="shared" si="144"/>
        <v>31</v>
      </c>
      <c r="G711" t="e">
        <f t="shared" si="145"/>
        <v>#N/A</v>
      </c>
      <c r="H711" t="e">
        <f t="shared" si="146"/>
        <v>#N/A</v>
      </c>
      <c r="I711" t="e">
        <f t="shared" si="147"/>
        <v>#N/A</v>
      </c>
      <c r="J711" t="e">
        <f t="shared" si="148"/>
        <v>#N/A</v>
      </c>
      <c r="K711" t="e">
        <f t="shared" si="149"/>
        <v>#N/A</v>
      </c>
      <c r="L711" t="e">
        <f t="shared" si="150"/>
        <v>#N/A</v>
      </c>
      <c r="M711">
        <f t="shared" si="151"/>
        <v>2006</v>
      </c>
      <c r="N711">
        <f t="shared" si="152"/>
        <v>4.7130000000000001</v>
      </c>
      <c r="O711">
        <f t="shared" si="153"/>
        <v>2.0007109999999999</v>
      </c>
      <c r="P711" t="str">
        <f>IF(OR($A711="",games!$H711=""),"",games!$H711)</f>
        <v>Yes</v>
      </c>
      <c r="Q711">
        <f t="shared" si="154"/>
        <v>2.0007109999999999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Slasher's Keep</v>
      </c>
      <c r="B712">
        <f>IF($A712="","",games!$B712)</f>
        <v>2018</v>
      </c>
      <c r="C712" t="str">
        <f>IF($A712="","",games!$C712)</f>
        <v>Action</v>
      </c>
      <c r="D712">
        <f>IF($A712="","",COUNTIF(connections!$A$2:$A$1520,$A712)+COUNTIF(connections!$B$2:$B$1520,$A712))</f>
        <v>0</v>
      </c>
      <c r="E712">
        <f t="shared" si="143"/>
        <v>1</v>
      </c>
      <c r="F712">
        <f t="shared" si="144"/>
        <v>32</v>
      </c>
      <c r="G712">
        <f t="shared" si="145"/>
        <v>2018</v>
      </c>
      <c r="H712">
        <f t="shared" si="146"/>
        <v>1.736</v>
      </c>
      <c r="I712" t="e">
        <f t="shared" si="147"/>
        <v>#N/A</v>
      </c>
      <c r="J712" t="e">
        <f t="shared" si="148"/>
        <v>#N/A</v>
      </c>
      <c r="K712" t="e">
        <f t="shared" si="149"/>
        <v>#N/A</v>
      </c>
      <c r="L712" t="e">
        <f t="shared" si="150"/>
        <v>#N/A</v>
      </c>
      <c r="M712" t="e">
        <f t="shared" si="151"/>
        <v>#N/A</v>
      </c>
      <c r="N712" t="e">
        <f t="shared" si="152"/>
        <v>#N/A</v>
      </c>
      <c r="O712">
        <f t="shared" si="153"/>
        <v>7.1199999999999996E-4</v>
      </c>
      <c r="P712" t="str">
        <f>IF(OR($A712="",games!$H712=""),"",games!$H712)</f>
        <v>Yes</v>
      </c>
      <c r="Q712">
        <f t="shared" si="154"/>
        <v>7.1199999999999996E-4</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Slay the Spire</v>
      </c>
      <c r="B713">
        <f>IF($A713="","",games!$B713)</f>
        <v>2017</v>
      </c>
      <c r="C713" t="str">
        <f>IF($A713="","",games!$C713)</f>
        <v>Deckbuilder</v>
      </c>
      <c r="D713">
        <f>IF($A713="","",COUNTIF(connections!$A$2:$A$1520,$A713)+COUNTIF(connections!$B$2:$B$1520,$A713))</f>
        <v>161</v>
      </c>
      <c r="E713">
        <f t="shared" si="143"/>
        <v>3</v>
      </c>
      <c r="F713">
        <f t="shared" si="144"/>
        <v>33</v>
      </c>
      <c r="G713" t="e">
        <f t="shared" si="145"/>
        <v>#N/A</v>
      </c>
      <c r="H713" t="e">
        <f t="shared" si="146"/>
        <v>#N/A</v>
      </c>
      <c r="I713" t="e">
        <f t="shared" si="147"/>
        <v>#N/A</v>
      </c>
      <c r="J713" t="e">
        <f t="shared" si="148"/>
        <v>#N/A</v>
      </c>
      <c r="K713">
        <f t="shared" si="149"/>
        <v>2017</v>
      </c>
      <c r="L713">
        <f t="shared" si="150"/>
        <v>3.7589999999999999</v>
      </c>
      <c r="M713" t="e">
        <f t="shared" si="151"/>
        <v>#N/A</v>
      </c>
      <c r="N713" t="e">
        <f t="shared" si="152"/>
        <v>#N/A</v>
      </c>
      <c r="O713">
        <f t="shared" si="153"/>
        <v>161.00071299999999</v>
      </c>
      <c r="P713" t="str">
        <f>IF(OR($A713="",games!$H713=""),"",games!$H713)</f>
        <v>Yes</v>
      </c>
      <c r="Q713">
        <f t="shared" si="154"/>
        <v>161.00071299999999</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 2</v>
      </c>
      <c r="B714">
        <f>IF($A714="","",games!$B714)</f>
        <v>2026</v>
      </c>
      <c r="C714" t="str">
        <f>IF($A714="","",games!$C714)</f>
        <v>Deckbuilder</v>
      </c>
      <c r="D714">
        <f>IF($A714="","",COUNTIF(connections!$A$2:$A$1520,$A714)+COUNTIF(connections!$B$2:$B$1520,$A714))</f>
        <v>1</v>
      </c>
      <c r="E714">
        <f t="shared" si="143"/>
        <v>3</v>
      </c>
      <c r="F714">
        <f t="shared" si="144"/>
        <v>0</v>
      </c>
      <c r="G714" t="e">
        <f t="shared" si="145"/>
        <v>#N/A</v>
      </c>
      <c r="H714" t="e">
        <f t="shared" si="146"/>
        <v>#N/A</v>
      </c>
      <c r="I714" t="e">
        <f t="shared" si="147"/>
        <v>#N/A</v>
      </c>
      <c r="J714" t="e">
        <f t="shared" si="148"/>
        <v>#N/A</v>
      </c>
      <c r="K714">
        <f t="shared" si="149"/>
        <v>2026</v>
      </c>
      <c r="L714">
        <f t="shared" si="150"/>
        <v>3</v>
      </c>
      <c r="M714" t="e">
        <f t="shared" si="151"/>
        <v>#N/A</v>
      </c>
      <c r="N714" t="e">
        <f t="shared" si="152"/>
        <v>#N/A</v>
      </c>
      <c r="O714">
        <f t="shared" si="153"/>
        <v>1.0007140000000001</v>
      </c>
      <c r="P714" t="str">
        <f>IF(OR($A714="",games!$H714=""),"",games!$H714)</f>
        <v>Yes</v>
      </c>
      <c r="Q714">
        <f t="shared" si="154"/>
        <v>1.0007140000000001</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Slayblade</v>
      </c>
      <c r="B715">
        <f>IF($A715="","",games!$B715)</f>
        <v>2026</v>
      </c>
      <c r="C715" t="str">
        <f>IF($A715="","",games!$C715)</f>
        <v>Action</v>
      </c>
      <c r="D715">
        <f>IF($A715="","",COUNTIF(connections!$A$2:$A$1520,$A715)+COUNTIF(connections!$B$2:$B$1520,$A715))</f>
        <v>0</v>
      </c>
      <c r="E715">
        <f t="shared" si="143"/>
        <v>1</v>
      </c>
      <c r="F715">
        <f t="shared" si="144"/>
        <v>1</v>
      </c>
      <c r="G715">
        <f t="shared" si="145"/>
        <v>2026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7.1500000000000003E-4</v>
      </c>
      <c r="P715" t="str">
        <f>IF(OR($A715="",games!$H715=""),"",games!$H715)</f>
        <v>Yes</v>
      </c>
      <c r="Q715">
        <f t="shared" si="154"/>
        <v>7.1500000000000003E-4</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Slice &amp; Dice</v>
      </c>
      <c r="B716">
        <f>IF($A716="","",games!$B716)</f>
        <v>2018</v>
      </c>
      <c r="C716" t="str">
        <f>IF($A716="","",games!$C716)</f>
        <v>Strategy</v>
      </c>
      <c r="D716">
        <f>IF($A716="","",COUNTIF(connections!$A$2:$A$1520,$A716)+COUNTIF(connections!$B$2:$B$1520,$A716))</f>
        <v>5</v>
      </c>
      <c r="E716">
        <f t="shared" si="143"/>
        <v>2</v>
      </c>
      <c r="F716">
        <f t="shared" si="144"/>
        <v>2</v>
      </c>
      <c r="G716" t="e">
        <f t="shared" si="145"/>
        <v>#N/A</v>
      </c>
      <c r="H716" t="e">
        <f t="shared" si="146"/>
        <v>#N/A</v>
      </c>
      <c r="I716">
        <f t="shared" si="147"/>
        <v>2018</v>
      </c>
      <c r="J716">
        <f t="shared" si="148"/>
        <v>2.0459999999999998</v>
      </c>
      <c r="K716" t="e">
        <f t="shared" si="149"/>
        <v>#N/A</v>
      </c>
      <c r="L716" t="e">
        <f t="shared" si="150"/>
        <v>#N/A</v>
      </c>
      <c r="M716" t="e">
        <f t="shared" si="151"/>
        <v>#N/A</v>
      </c>
      <c r="N716" t="e">
        <f t="shared" si="152"/>
        <v>#N/A</v>
      </c>
      <c r="O716">
        <f t="shared" si="153"/>
        <v>5.0007159999999997</v>
      </c>
      <c r="P716" t="str">
        <f>IF(OR($A716="",games!$H716=""),"",games!$H716)</f>
        <v>Yes</v>
      </c>
      <c r="Q716">
        <f t="shared" si="154"/>
        <v>5.0007159999999997</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Slime 3k: Demake</v>
      </c>
      <c r="B717">
        <f>IF($A717="","",games!$B717)</f>
        <v>2024</v>
      </c>
      <c r="C717" t="str">
        <f>IF($A717="","",games!$C717)</f>
        <v>Action</v>
      </c>
      <c r="D717">
        <f>IF($A717="","",COUNTIF(connections!$A$2:$A$1520,$A717)+COUNTIF(connections!$B$2:$B$1520,$A717))</f>
        <v>1</v>
      </c>
      <c r="E717">
        <f t="shared" si="143"/>
        <v>1</v>
      </c>
      <c r="F717">
        <f t="shared" si="144"/>
        <v>3</v>
      </c>
      <c r="G717">
        <f t="shared" si="145"/>
        <v>2024</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Rise Against Despot</v>
      </c>
      <c r="B718">
        <f>IF($A718="","",games!$B718)</f>
        <v>2023</v>
      </c>
      <c r="C718" t="str">
        <f>IF($A718="","",games!$C718)</f>
        <v>Action</v>
      </c>
      <c r="D718">
        <f>IF($A718="","",COUNTIF(connections!$A$2:$A$1520,$A718)+COUNTIF(connections!$B$2:$B$1520,$A718))</f>
        <v>9</v>
      </c>
      <c r="E718">
        <f t="shared" si="143"/>
        <v>1</v>
      </c>
      <c r="F718">
        <f t="shared" si="144"/>
        <v>4</v>
      </c>
      <c r="G718">
        <f t="shared" si="145"/>
        <v>2023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9.0007180000000009</v>
      </c>
      <c r="P718" t="str">
        <f>IF(OR($A718="",games!$H718=""),"",games!$H718)</f>
        <v>Yes</v>
      </c>
      <c r="Q718">
        <f t="shared" si="154"/>
        <v>9.0007180000000009</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Slot &amp; Dungeons</v>
      </c>
      <c r="B719">
        <f>IF($A719="","",games!$B719)</f>
        <v>2025</v>
      </c>
      <c r="C719" t="str">
        <f>IF($A719="","",games!$C719)</f>
        <v>Deckbuilder</v>
      </c>
      <c r="D719">
        <f>IF($A719="","",COUNTIF(connections!$A$2:$A$1520,$A719)+COUNTIF(connections!$B$2:$B$1520,$A719))</f>
        <v>4</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4.0007190000000001</v>
      </c>
      <c r="P719" t="str">
        <f>IF(OR($A719="",games!$H719=""),"",games!$H719)</f>
        <v/>
      </c>
      <c r="Q719" t="str">
        <f t="shared" si="154"/>
        <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or Not</v>
      </c>
      <c r="B720">
        <f>IF($A720="","",games!$B720)</f>
        <v>2026</v>
      </c>
      <c r="C720" t="str">
        <f>IF($A720="","",games!$C720)</f>
        <v>Deckbuilder</v>
      </c>
      <c r="D720">
        <f>IF($A720="","",COUNTIF(connections!$A$2:$A$1520,$A720)+COUNTIF(connections!$B$2:$B$1520,$A720))</f>
        <v>2</v>
      </c>
      <c r="E720">
        <f t="shared" si="143"/>
        <v>3</v>
      </c>
      <c r="F720">
        <f t="shared" si="144"/>
        <v>6</v>
      </c>
      <c r="G720" t="e">
        <f t="shared" si="145"/>
        <v>#N/A</v>
      </c>
      <c r="H720" t="e">
        <f t="shared" si="146"/>
        <v>#N/A</v>
      </c>
      <c r="I720" t="e">
        <f t="shared" si="147"/>
        <v>#N/A</v>
      </c>
      <c r="J720" t="e">
        <f t="shared" si="148"/>
        <v>#N/A</v>
      </c>
      <c r="K720">
        <f t="shared" si="149"/>
        <v>2026</v>
      </c>
      <c r="L720">
        <f t="shared" si="150"/>
        <v>3.1379999999999999</v>
      </c>
      <c r="M720" t="e">
        <f t="shared" si="151"/>
        <v>#N/A</v>
      </c>
      <c r="N720" t="e">
        <f t="shared" si="152"/>
        <v>#N/A</v>
      </c>
      <c r="O720">
        <f t="shared" si="153"/>
        <v>2.0007199999999998</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Slots &amp; Daggers</v>
      </c>
      <c r="B721">
        <f>IF($A721="","",games!$B721)</f>
        <v>2025</v>
      </c>
      <c r="C721" t="str">
        <f>IF($A721="","",games!$C721)</f>
        <v>Deckbuilder</v>
      </c>
      <c r="D721">
        <f>IF($A721="","",COUNTIF(connections!$A$2:$A$1520,$A721)+COUNTIF(connections!$B$2:$B$1520,$A721))</f>
        <v>0</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7.2099999999999996E-4</v>
      </c>
      <c r="P721" t="str">
        <f>IF(OR($A721="",games!$H721=""),"",games!$H721)</f>
        <v>Yes</v>
      </c>
      <c r="Q721">
        <f t="shared" si="154"/>
        <v>7.2099999999999996E-4</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SNKRX</v>
      </c>
      <c r="B722">
        <f>IF($A722="","",games!$B722)</f>
        <v>2021</v>
      </c>
      <c r="C722" t="str">
        <f>IF($A722="","",games!$C722)</f>
        <v>Action</v>
      </c>
      <c r="D722">
        <f>IF($A722="","",COUNTIF(connections!$A$2:$A$1520,$A722)+COUNTIF(connections!$B$2:$B$1520,$A722))</f>
        <v>7</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7.0007219999999997</v>
      </c>
      <c r="P722" t="str">
        <f>IF(OR($A722="",games!$H722=""),"",games!$H722)</f>
        <v>Yes</v>
      </c>
      <c r="Q722">
        <f t="shared" si="154"/>
        <v>7.0007219999999997</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Sodaman</v>
      </c>
      <c r="B723">
        <f>IF($A723="","",games!$B723)</f>
        <v>2025</v>
      </c>
      <c r="C723" t="str">
        <f>IF($A723="","",games!$C723)</f>
        <v>Action</v>
      </c>
      <c r="D723">
        <f>IF($A723="","",COUNTIF(connections!$A$2:$A$1520,$A723)+COUNTIF(connections!$B$2:$B$1520,$A723))</f>
        <v>3</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Sol Cesto</v>
      </c>
      <c r="B724">
        <f>IF($A724="","",games!$B724)</f>
        <v>2025</v>
      </c>
      <c r="C724" t="str">
        <f>IF($A724="","",games!$C724)</f>
        <v>Strategy</v>
      </c>
      <c r="D724">
        <f>IF($A724="","",COUNTIF(connections!$A$2:$A$1520,$A724)+COUNTIF(connections!$B$2:$B$1520,$A724))</f>
        <v>3</v>
      </c>
      <c r="E724">
        <f t="shared" si="143"/>
        <v>2</v>
      </c>
      <c r="F724">
        <f t="shared" si="144"/>
        <v>10</v>
      </c>
      <c r="G724" t="e">
        <f t="shared" si="145"/>
        <v>#N/A</v>
      </c>
      <c r="H724" t="e">
        <f t="shared" si="146"/>
        <v>#N/A</v>
      </c>
      <c r="I724">
        <f t="shared" si="147"/>
        <v>2025</v>
      </c>
      <c r="J724">
        <f t="shared" si="148"/>
        <v>2.23</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Solitairica</v>
      </c>
      <c r="B725">
        <f>IF($A725="","",games!$B725)</f>
        <v>2016</v>
      </c>
      <c r="C725" t="str">
        <f>IF($A725="","",games!$C725)</f>
        <v>Deckbuilder</v>
      </c>
      <c r="D725">
        <f>IF($A725="","",COUNTIF(connections!$A$2:$A$1520,$A725)+COUNTIF(connections!$B$2:$B$1520,$A725))</f>
        <v>1</v>
      </c>
      <c r="E725">
        <f t="shared" si="143"/>
        <v>3</v>
      </c>
      <c r="F725">
        <f t="shared" si="144"/>
        <v>11</v>
      </c>
      <c r="G725" t="e">
        <f t="shared" si="145"/>
        <v>#N/A</v>
      </c>
      <c r="H725" t="e">
        <f t="shared" si="146"/>
        <v>#N/A</v>
      </c>
      <c r="I725" t="e">
        <f t="shared" si="147"/>
        <v>#N/A</v>
      </c>
      <c r="J725" t="e">
        <f t="shared" si="148"/>
        <v>#N/A</v>
      </c>
      <c r="K725">
        <f t="shared" si="149"/>
        <v>2016</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Soulash</v>
      </c>
      <c r="B726">
        <f>IF($A726="","",games!$B726)</f>
        <v>2022</v>
      </c>
      <c r="C726" t="str">
        <f>IF($A726="","",games!$C726)</f>
        <v>Traditional</v>
      </c>
      <c r="D726">
        <f>IF($A726="","",COUNTIF(connections!$A$2:$A$1520,$A726)+COUNTIF(connections!$B$2:$B$1520,$A726))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2022</v>
      </c>
      <c r="N726">
        <f t="shared" si="152"/>
        <v>4.2759999999999998</v>
      </c>
      <c r="O726">
        <f t="shared" si="153"/>
        <v>3.0007259999999998</v>
      </c>
      <c r="P726" t="str">
        <f>IF(OR($A726="",games!$H726=""),"",games!$H726)</f>
        <v/>
      </c>
      <c r="Q726" t="str">
        <f t="shared" si="154"/>
        <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 2</v>
      </c>
      <c r="B727">
        <f>IF($A727="","",games!$B727)</f>
        <v>2023</v>
      </c>
      <c r="C727" t="str">
        <f>IF($A727="","",games!$C727)</f>
        <v>Traditional</v>
      </c>
      <c r="D727">
        <f>IF($A727="","",COUNTIF(connections!$A$2:$A$1520,$A727)+COUNTIF(connections!$B$2:$B$1520,$A727))</f>
        <v>2</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2023</v>
      </c>
      <c r="N727">
        <f t="shared" si="152"/>
        <v>4.2990000000000004</v>
      </c>
      <c r="O727">
        <f t="shared" si="153"/>
        <v>2.0007269999999999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Soulstone Survivors</v>
      </c>
      <c r="B728">
        <f>IF($A728="","",games!$B728)</f>
        <v>2022</v>
      </c>
      <c r="C728" t="str">
        <f>IF($A728="","",games!$C728)</f>
        <v>Action</v>
      </c>
      <c r="D728">
        <f>IF($A728="","",COUNTIF(connections!$A$2:$A$1520,$A728)+COUNTIF(connections!$B$2:$B$1520,$A728))</f>
        <v>6</v>
      </c>
      <c r="E728">
        <f t="shared" si="143"/>
        <v>1</v>
      </c>
      <c r="F728">
        <f t="shared" si="144"/>
        <v>14</v>
      </c>
      <c r="G728">
        <f t="shared" si="145"/>
        <v>2022</v>
      </c>
      <c r="H728">
        <f t="shared" si="146"/>
        <v>1.3220000000000001</v>
      </c>
      <c r="I728" t="e">
        <f t="shared" si="147"/>
        <v>#N/A</v>
      </c>
      <c r="J728" t="e">
        <f t="shared" si="148"/>
        <v>#N/A</v>
      </c>
      <c r="K728" t="e">
        <f t="shared" si="149"/>
        <v>#N/A</v>
      </c>
      <c r="L728" t="e">
        <f t="shared" si="150"/>
        <v>#N/A</v>
      </c>
      <c r="M728" t="e">
        <f t="shared" si="151"/>
        <v>#N/A</v>
      </c>
      <c r="N728" t="e">
        <f t="shared" si="152"/>
        <v>#N/A</v>
      </c>
      <c r="O728">
        <f t="shared" si="153"/>
        <v>6.0007279999999996</v>
      </c>
      <c r="P728" t="str">
        <f>IF(OR($A728="",games!$H728=""),"",games!$H728)</f>
        <v>Yes</v>
      </c>
      <c r="Q728">
        <f t="shared" si="154"/>
        <v>6.0007279999999996</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Source of Madness</v>
      </c>
      <c r="B729">
        <f>IF($A729="","",games!$B729)</f>
        <v>2021</v>
      </c>
      <c r="C729" t="str">
        <f>IF($A729="","",games!$C729)</f>
        <v>Action</v>
      </c>
      <c r="D729">
        <f>IF($A729="","",COUNTIF(connections!$A$2:$A$1520,$A729)+COUNTIF(connections!$B$2:$B$1520,$A729))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Space Beast Terror Fright</v>
      </c>
      <c r="B730">
        <f>IF($A730="","",games!$B730)</f>
        <v>2015</v>
      </c>
      <c r="C730" t="str">
        <f>IF($A730="","",games!$C730)</f>
        <v>Action</v>
      </c>
      <c r="D730">
        <f>IF($A730="","",COUNTIF(connections!$A$2:$A$1520,$A730)+COUNTIF(connections!$B$2:$B$1520,$A730))</f>
        <v>0</v>
      </c>
      <c r="E730">
        <f t="shared" si="143"/>
        <v>1</v>
      </c>
      <c r="F730">
        <f t="shared" si="144"/>
        <v>16</v>
      </c>
      <c r="G730">
        <f t="shared" si="145"/>
        <v>2015</v>
      </c>
      <c r="H730">
        <f t="shared" si="146"/>
        <v>1.3679999999999999</v>
      </c>
      <c r="I730" t="e">
        <f t="shared" si="147"/>
        <v>#N/A</v>
      </c>
      <c r="J730" t="e">
        <f t="shared" si="148"/>
        <v>#N/A</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Gladiators</v>
      </c>
      <c r="B731">
        <f>IF($A731="","",games!$B731)</f>
        <v>2019</v>
      </c>
      <c r="C731" t="str">
        <f>IF($A731="","",games!$C731)</f>
        <v>Action</v>
      </c>
      <c r="D731">
        <f>IF($A731="","",COUNTIF(connections!$A$2:$A$1520,$A731)+COUNTIF(connections!$B$2:$B$1520,$A731))</f>
        <v>4</v>
      </c>
      <c r="E731">
        <f t="shared" si="143"/>
        <v>1</v>
      </c>
      <c r="F731">
        <f t="shared" si="144"/>
        <v>17</v>
      </c>
      <c r="G731">
        <f t="shared" si="145"/>
        <v>2019</v>
      </c>
      <c r="H731">
        <f t="shared" si="146"/>
        <v>1.391</v>
      </c>
      <c r="I731" t="e">
        <f t="shared" si="147"/>
        <v>#N/A</v>
      </c>
      <c r="J731" t="e">
        <f t="shared" si="148"/>
        <v>#N/A</v>
      </c>
      <c r="K731" t="e">
        <f t="shared" si="149"/>
        <v>#N/A</v>
      </c>
      <c r="L731" t="e">
        <f t="shared" si="150"/>
        <v>#N/A</v>
      </c>
      <c r="M731" t="e">
        <f t="shared" si="151"/>
        <v>#N/A</v>
      </c>
      <c r="N731" t="e">
        <f t="shared" si="152"/>
        <v>#N/A</v>
      </c>
      <c r="O731">
        <f t="shared" si="153"/>
        <v>4.000731</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Grunts</v>
      </c>
      <c r="B732">
        <f>IF($A732="","",games!$B732)</f>
        <v>2016</v>
      </c>
      <c r="C732" t="str">
        <f>IF($A732="","",games!$C732)</f>
        <v>Traditional</v>
      </c>
      <c r="D732">
        <f>IF($A732="","",COUNTIF(connections!$A$2:$A$1520,$A732)+COUNTIF(connections!$B$2:$B$1520,$A732))</f>
        <v>2</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2016</v>
      </c>
      <c r="N732">
        <f t="shared" si="152"/>
        <v>4.4139999999999997</v>
      </c>
      <c r="O732">
        <f t="shared" si="153"/>
        <v>2.0007320000000002</v>
      </c>
      <c r="P732" t="str">
        <f>IF(OR($A732="",games!$H732=""),"",games!$H732)</f>
        <v>Yes</v>
      </c>
      <c r="Q732">
        <f t="shared" si="154"/>
        <v>2.0007320000000002</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Prison</v>
      </c>
      <c r="B733">
        <f>IF($A733="","",games!$B733)</f>
        <v>2024</v>
      </c>
      <c r="C733" t="str">
        <f>IF($A733="","",games!$C733)</f>
        <v>Strategy</v>
      </c>
      <c r="D733">
        <f>IF($A733="","",COUNTIF(connections!$A$2:$A$1520,$A733)+COUNTIF(connections!$B$2:$B$1520,$A733))</f>
        <v>4</v>
      </c>
      <c r="E733">
        <f t="shared" si="143"/>
        <v>2</v>
      </c>
      <c r="F733">
        <f t="shared" si="144"/>
        <v>19</v>
      </c>
      <c r="G733" t="e">
        <f t="shared" si="145"/>
        <v>#N/A</v>
      </c>
      <c r="H733" t="e">
        <f t="shared" si="146"/>
        <v>#N/A</v>
      </c>
      <c r="I733">
        <f t="shared" si="147"/>
        <v>2024</v>
      </c>
      <c r="J733">
        <f t="shared" si="148"/>
        <v>2.4369999999999998</v>
      </c>
      <c r="K733" t="e">
        <f t="shared" si="149"/>
        <v>#N/A</v>
      </c>
      <c r="L733" t="e">
        <f t="shared" si="150"/>
        <v>#N/A</v>
      </c>
      <c r="M733" t="e">
        <f t="shared" si="151"/>
        <v>#N/A</v>
      </c>
      <c r="N733" t="e">
        <f t="shared" si="152"/>
        <v>#N/A</v>
      </c>
      <c r="O733">
        <f t="shared" si="153"/>
        <v>4.0007330000000003</v>
      </c>
      <c r="P733" t="str">
        <f>IF(OR($A733="",games!$H733=""),"",games!$H733)</f>
        <v>Yes</v>
      </c>
      <c r="Q733">
        <f t="shared" si="154"/>
        <v>4.0007330000000003</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Sparklite</v>
      </c>
      <c r="B734">
        <f>IF($A734="","",games!$B734)</f>
        <v>2019</v>
      </c>
      <c r="C734" t="str">
        <f>IF($A734="","",games!$C734)</f>
        <v>Action</v>
      </c>
      <c r="D734">
        <f>IF($A734="","",COUNTIF(connections!$A$2:$A$1520,$A734)+COUNTIF(connections!$B$2:$B$1520,$A734))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Spellbook Demonslayers</v>
      </c>
      <c r="B735">
        <f>IF($A735="","",games!$B735)</f>
        <v>2022</v>
      </c>
      <c r="C735" t="str">
        <f>IF($A735="","",games!$C735)</f>
        <v>Action</v>
      </c>
      <c r="D735">
        <f>IF($A735="","",COUNTIF(connections!$A$2:$A$1520,$A735)+COUNTIF(connections!$B$2:$B$1520,$A735))</f>
        <v>2</v>
      </c>
      <c r="E735">
        <f t="shared" si="143"/>
        <v>1</v>
      </c>
      <c r="F735">
        <f t="shared" si="144"/>
        <v>21</v>
      </c>
      <c r="G735">
        <f t="shared" si="145"/>
        <v>2022</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Spellmasons</v>
      </c>
      <c r="B736">
        <f>IF($A736="","",games!$B736)</f>
        <v>2023</v>
      </c>
      <c r="C736" t="str">
        <f>IF($A736="","",games!$C736)</f>
        <v>Strategy</v>
      </c>
      <c r="D736">
        <f>IF($A736="","",COUNTIF(connections!$A$2:$A$1520,$A736)+COUNTIF(connections!$B$2:$B$1520,$A736))</f>
        <v>3</v>
      </c>
      <c r="E736">
        <f t="shared" si="143"/>
        <v>2</v>
      </c>
      <c r="F736">
        <f t="shared" si="144"/>
        <v>22</v>
      </c>
      <c r="G736" t="e">
        <f t="shared" si="145"/>
        <v>#N/A</v>
      </c>
      <c r="H736" t="e">
        <f t="shared" si="146"/>
        <v>#N/A</v>
      </c>
      <c r="I736">
        <f t="shared" si="147"/>
        <v>2023</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SpellRogue</v>
      </c>
      <c r="B737">
        <f>IF($A737="","",games!$B737)</f>
        <v>2024</v>
      </c>
      <c r="C737" t="str">
        <f>IF($A737="","",games!$C737)</f>
        <v>Deckbuilder</v>
      </c>
      <c r="D737">
        <f>IF($A737="","",COUNTIF(connections!$A$2:$A$1520,$A737)+COUNTIF(connections!$B$2:$B$1520,$A737))</f>
        <v>2</v>
      </c>
      <c r="E737">
        <f t="shared" si="143"/>
        <v>3</v>
      </c>
      <c r="F737">
        <f t="shared" si="144"/>
        <v>23</v>
      </c>
      <c r="G737" t="e">
        <f t="shared" si="145"/>
        <v>#N/A</v>
      </c>
      <c r="H737" t="e">
        <f t="shared" si="146"/>
        <v>#N/A</v>
      </c>
      <c r="I737" t="e">
        <f t="shared" si="147"/>
        <v>#N/A</v>
      </c>
      <c r="J737" t="e">
        <f t="shared" si="148"/>
        <v>#N/A</v>
      </c>
      <c r="K737">
        <f t="shared" si="149"/>
        <v>2024</v>
      </c>
      <c r="L737">
        <f t="shared" si="150"/>
        <v>3.5289999999999999</v>
      </c>
      <c r="M737" t="e">
        <f t="shared" si="151"/>
        <v>#N/A</v>
      </c>
      <c r="N737" t="e">
        <f t="shared" si="152"/>
        <v>#N/A</v>
      </c>
      <c r="O737">
        <f t="shared" si="153"/>
        <v>2.000737</v>
      </c>
      <c r="P737" t="str">
        <f>IF(OR($A737="",games!$H737=""),"",games!$H737)</f>
        <v>Yes</v>
      </c>
      <c r="Q737">
        <f t="shared" si="154"/>
        <v>2.000737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Spelunky</v>
      </c>
      <c r="B738">
        <f>IF($A738="","",games!$B738)</f>
        <v>2012</v>
      </c>
      <c r="C738" t="str">
        <f>IF($A738="","",games!$C738)</f>
        <v>Action</v>
      </c>
      <c r="D738">
        <f>IF($A738="","",COUNTIF(connections!$A$2:$A$1520,$A738)+COUNTIF(connections!$B$2:$B$1520,$A738))</f>
        <v>2</v>
      </c>
      <c r="E738">
        <f t="shared" si="143"/>
        <v>1</v>
      </c>
      <c r="F738">
        <f t="shared" si="144"/>
        <v>24</v>
      </c>
      <c r="G738">
        <f t="shared" si="145"/>
        <v>2012</v>
      </c>
      <c r="H738">
        <f t="shared" si="146"/>
        <v>1.552</v>
      </c>
      <c r="I738" t="e">
        <f t="shared" si="147"/>
        <v>#N/A</v>
      </c>
      <c r="J738" t="e">
        <f t="shared" si="148"/>
        <v>#N/A</v>
      </c>
      <c r="K738" t="e">
        <f t="shared" si="149"/>
        <v>#N/A</v>
      </c>
      <c r="L738" t="e">
        <f t="shared" si="150"/>
        <v>#N/A</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 2</v>
      </c>
      <c r="B739">
        <f>IF($A739="","",games!$B739)</f>
        <v>2020</v>
      </c>
      <c r="C739" t="str">
        <f>IF($A739="","",games!$C739)</f>
        <v>Action</v>
      </c>
      <c r="D739">
        <f>IF($A739="","",COUNTIF(connections!$A$2:$A$1520,$A739)+COUNTIF(connections!$B$2:$B$1520,$A739))</f>
        <v>1</v>
      </c>
      <c r="E739">
        <f t="shared" si="143"/>
        <v>1</v>
      </c>
      <c r="F739">
        <f t="shared" si="144"/>
        <v>25</v>
      </c>
      <c r="G739">
        <f t="shared" si="145"/>
        <v>2020</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Classic</v>
      </c>
      <c r="B740">
        <f>IF($A740="","",games!$B740)</f>
        <v>2008</v>
      </c>
      <c r="C740" t="str">
        <f>IF($A740="","",games!$C740)</f>
        <v>Action</v>
      </c>
      <c r="D740">
        <f>IF($A740="","",COUNTIF(connections!$A$2:$A$1520,$A740)+COUNTIF(connections!$B$2:$B$1520,$A740))</f>
        <v>46</v>
      </c>
      <c r="E740">
        <f t="shared" si="143"/>
        <v>1</v>
      </c>
      <c r="F740">
        <f t="shared" si="144"/>
        <v>26</v>
      </c>
      <c r="G740">
        <f t="shared" si="145"/>
        <v>2008</v>
      </c>
      <c r="H740">
        <f t="shared" si="146"/>
        <v>1.5979999999999999</v>
      </c>
      <c r="I740" t="e">
        <f t="shared" si="147"/>
        <v>#N/A</v>
      </c>
      <c r="J740" t="e">
        <f t="shared" si="148"/>
        <v>#N/A</v>
      </c>
      <c r="K740" t="e">
        <f t="shared" si="149"/>
        <v>#N/A</v>
      </c>
      <c r="L740" t="e">
        <f t="shared" si="150"/>
        <v>#N/A</v>
      </c>
      <c r="M740" t="e">
        <f t="shared" si="151"/>
        <v>#N/A</v>
      </c>
      <c r="N740" t="e">
        <f t="shared" si="152"/>
        <v>#N/A</v>
      </c>
      <c r="O740">
        <f t="shared" si="153"/>
        <v>46.00074</v>
      </c>
      <c r="P740" t="str">
        <f>IF(OR($A740="",games!$H740=""),"",games!$H740)</f>
        <v>Yes</v>
      </c>
      <c r="Q740">
        <f t="shared" si="154"/>
        <v>46.00074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Spin Hero</v>
      </c>
      <c r="B741">
        <f>IF($A741="","",games!$B741)</f>
        <v>2024</v>
      </c>
      <c r="C741" t="str">
        <f>IF($A741="","",games!$C741)</f>
        <v>Deckbuilder</v>
      </c>
      <c r="D741">
        <f>IF($A741="","",COUNTIF(connections!$A$2:$A$1520,$A741)+COUNTIF(connections!$B$2:$B$1520,$A741))</f>
        <v>3</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3.0007410000000001</v>
      </c>
      <c r="P741" t="str">
        <f>IF(OR($A741="",games!$H741=""),"",games!$H741)</f>
        <v>Yes</v>
      </c>
      <c r="Q741">
        <f t="shared" si="154"/>
        <v>3.0007410000000001</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Spirit Hunters: Infinite Horde</v>
      </c>
      <c r="B742">
        <f>IF($A742="","",games!$B742)</f>
        <v>2022</v>
      </c>
      <c r="C742" t="str">
        <f>IF($A742="","",games!$C742)</f>
        <v>Action</v>
      </c>
      <c r="D742">
        <f>IF($A742="","",COUNTIF(connections!$A$2:$A$1520,$A742)+COUNTIF(connections!$B$2:$B$1520,$A742))</f>
        <v>2</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Spiritfall</v>
      </c>
      <c r="B743">
        <f>IF($A743="","",games!$B743)</f>
        <v>2023</v>
      </c>
      <c r="C743" t="str">
        <f>IF($A743="","",games!$C743)</f>
        <v>Action</v>
      </c>
      <c r="D743">
        <f>IF($A743="","",COUNTIF(connections!$A$2:$A$1520,$A743)+COUNTIF(connections!$B$2:$B$1520,$A743))</f>
        <v>2</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Spirits Abyss</v>
      </c>
      <c r="B744">
        <f>IF($A744="","",games!$B744)</f>
        <v>2019</v>
      </c>
      <c r="C744" t="str">
        <f>IF($A744="","",games!$C744)</f>
        <v>Action</v>
      </c>
      <c r="D744">
        <f>IF($A744="","",COUNTIF(connections!$A$2:$A$1520,$A744)+COUNTIF(connections!$B$2:$B$1520,$A744))</f>
        <v>2</v>
      </c>
      <c r="E744">
        <f t="shared" si="143"/>
        <v>1</v>
      </c>
      <c r="F744">
        <f t="shared" si="144"/>
        <v>30</v>
      </c>
      <c r="G744">
        <f t="shared" si="145"/>
        <v>2019</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Sproggiwood</v>
      </c>
      <c r="B745">
        <f>IF($A745="","",games!$B745)</f>
        <v>2014</v>
      </c>
      <c r="C745" t="str">
        <f>IF($A745="","",games!$C745)</f>
        <v>Traditional</v>
      </c>
      <c r="D745">
        <f>IF($A745="","",COUNTIF(connections!$A$2:$A$1520,$A745)+COUNTIF(connections!$B$2:$B$1520,$A745))</f>
        <v>3</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3.0007450000000002</v>
      </c>
      <c r="P745" t="str">
        <f>IF(OR($A745="",games!$H745=""),"",games!$H745)</f>
        <v>Yes</v>
      </c>
      <c r="Q745">
        <f t="shared" si="154"/>
        <v>3.0007450000000002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Squeaky Squad</v>
      </c>
      <c r="B746">
        <f>IF($A746="","",games!$B746)</f>
        <v>2024</v>
      </c>
      <c r="C746" t="str">
        <f>IF($A746="","",games!$C746)</f>
        <v>Action</v>
      </c>
      <c r="D746">
        <f>IF($A746="","",COUNTIF(connections!$A$2:$A$1520,$A746)+COUNTIF(connections!$B$2:$B$1520,$A746))</f>
        <v>0</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7.4600000000000003E-4</v>
      </c>
      <c r="P746" t="str">
        <f>IF(OR($A746="",games!$H746=""),"",games!$H746)</f>
        <v>Yes</v>
      </c>
      <c r="Q746">
        <f t="shared" si="154"/>
        <v>7.4600000000000003E-4</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Stackflow</v>
      </c>
      <c r="B747">
        <f>IF($A747="","",games!$B747)</f>
        <v>2025</v>
      </c>
      <c r="C747" t="str">
        <f>IF($A747="","",games!$C747)</f>
        <v>Deckbuilder</v>
      </c>
      <c r="D747">
        <f>IF($A747="","",COUNTIF(connections!$A$2:$A$1520,$A747)+COUNTIF(connections!$B$2:$B$1520,$A747))</f>
        <v>2</v>
      </c>
      <c r="E747">
        <f t="shared" si="143"/>
        <v>3</v>
      </c>
      <c r="F747">
        <f t="shared" si="144"/>
        <v>33</v>
      </c>
      <c r="G747" t="e">
        <f t="shared" si="145"/>
        <v>#N/A</v>
      </c>
      <c r="H747" t="e">
        <f t="shared" si="146"/>
        <v>#N/A</v>
      </c>
      <c r="I747" t="e">
        <f t="shared" si="147"/>
        <v>#N/A</v>
      </c>
      <c r="J747" t="e">
        <f t="shared" si="148"/>
        <v>#N/A</v>
      </c>
      <c r="K747">
        <f t="shared" si="149"/>
        <v>2025</v>
      </c>
      <c r="L747">
        <f t="shared" si="150"/>
        <v>3.7589999999999999</v>
      </c>
      <c r="M747" t="e">
        <f t="shared" si="151"/>
        <v>#N/A</v>
      </c>
      <c r="N747" t="e">
        <f t="shared" si="152"/>
        <v>#N/A</v>
      </c>
      <c r="O747">
        <f t="shared" si="153"/>
        <v>2.0007470000000001</v>
      </c>
      <c r="P747" t="str">
        <f>IF(OR($A747="",games!$H747=""),"",games!$H747)</f>
        <v>Yes</v>
      </c>
      <c r="Q747">
        <f t="shared" si="154"/>
        <v>2.0007470000000001</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Star of Providence</v>
      </c>
      <c r="B748">
        <f>IF($A748="","",games!$B748)</f>
        <v>2017</v>
      </c>
      <c r="C748" t="str">
        <f>IF($A748="","",games!$C748)</f>
        <v>Action</v>
      </c>
      <c r="D748">
        <f>IF($A748="","",COUNTIF(connections!$A$2:$A$1520,$A748)+COUNTIF(connections!$B$2:$B$1520,$A748))</f>
        <v>2</v>
      </c>
      <c r="E748">
        <f t="shared" si="143"/>
        <v>1</v>
      </c>
      <c r="F748">
        <f t="shared" si="144"/>
        <v>0</v>
      </c>
      <c r="G748">
        <f t="shared" si="145"/>
        <v>2017</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Renegades</v>
      </c>
      <c r="B749">
        <f>IF($A749="","",games!$B749)</f>
        <v>2020</v>
      </c>
      <c r="C749" t="str">
        <f>IF($A749="","",games!$C749)</f>
        <v>Strategy</v>
      </c>
      <c r="D749">
        <f>IF($A749="","",COUNTIF(connections!$A$2:$A$1520,$A749)+COUNTIF(connections!$B$2:$B$1520,$A749))</f>
        <v>3</v>
      </c>
      <c r="E749">
        <f t="shared" si="143"/>
        <v>2</v>
      </c>
      <c r="F749">
        <f t="shared" si="144"/>
        <v>1</v>
      </c>
      <c r="G749" t="e">
        <f t="shared" si="145"/>
        <v>#N/A</v>
      </c>
      <c r="H749" t="e">
        <f t="shared" si="146"/>
        <v>#N/A</v>
      </c>
      <c r="I749">
        <f t="shared" si="147"/>
        <v>2020</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Survivor</v>
      </c>
      <c r="B750">
        <f>IF($A750="","",games!$B750)</f>
        <v>2023</v>
      </c>
      <c r="C750" t="str">
        <f>IF($A750="","",games!$C750)</f>
        <v>Action</v>
      </c>
      <c r="D750">
        <f>IF($A750="","",COUNTIF(connections!$A$2:$A$1520,$A750)+COUNTIF(connections!$B$2:$B$1520,$A750))</f>
        <v>10</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10.00075</v>
      </c>
      <c r="P750" t="str">
        <f>IF(OR($A750="",games!$H750=""),"",games!$H750)</f>
        <v>Yes</v>
      </c>
      <c r="Q750">
        <f t="shared" si="154"/>
        <v>10.00075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Wars: Galactic Racer</v>
      </c>
      <c r="B751">
        <f>IF($A751="","",games!$B751)</f>
        <v>2026</v>
      </c>
      <c r="C751" t="str">
        <f>IF($A751="","",games!$C751)</f>
        <v>Action</v>
      </c>
      <c r="D751">
        <f>IF($A751="","",COUNTIF(connections!$A$2:$A$1520,$A751)+COUNTIF(connections!$B$2:$B$1520,$A751))</f>
        <v>3</v>
      </c>
      <c r="E751">
        <f t="shared" si="143"/>
        <v>1</v>
      </c>
      <c r="F751">
        <f t="shared" si="144"/>
        <v>3</v>
      </c>
      <c r="G751">
        <f t="shared" si="145"/>
        <v>2026</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Starlight Revolver</v>
      </c>
      <c r="B752">
        <f>IF($A752="","",games!$B752)</f>
        <v>2025</v>
      </c>
      <c r="C752" t="str">
        <f>IF($A752="","",games!$C752)</f>
        <v>Action</v>
      </c>
      <c r="D752">
        <f>IF($A752="","",COUNTIF(connections!$A$2:$A$1520,$A752)+COUNTIF(connections!$B$2:$B$1520,$A752))</f>
        <v>1</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StarVaders</v>
      </c>
      <c r="B753">
        <f>IF($A753="","",games!$B753)</f>
        <v>2025</v>
      </c>
      <c r="C753" t="str">
        <f>IF($A753="","",games!$C753)</f>
        <v>Deckbuilder</v>
      </c>
      <c r="D753">
        <f>IF($A753="","",COUNTIF(connections!$A$2:$A$1520,$A753)+COUNTIF(connections!$B$2:$B$1520,$A753))</f>
        <v>2</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2.000753</v>
      </c>
      <c r="P753" t="str">
        <f>IF(OR($A753="",games!$H753=""),"",games!$H753)</f>
        <v>Yes</v>
      </c>
      <c r="Q753">
        <f t="shared" si="154"/>
        <v>2.000753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Steve's Warehouse: Physics. Roguelike. Chaos.</v>
      </c>
      <c r="B754">
        <f>IF($A754="","",games!$B754)</f>
        <v>2025</v>
      </c>
      <c r="C754" t="str">
        <f>IF($A754="","",games!$C754)</f>
        <v>Deckbuilder</v>
      </c>
      <c r="D754">
        <f>IF($A754="","",COUNTIF(connections!$A$2:$A$1520,$A754)+COUNTIF(connections!$B$2:$B$1520,$A754))</f>
        <v>3</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3.0007540000000001</v>
      </c>
      <c r="P754" t="str">
        <f>IF(OR($A754="",games!$H754=""),"",games!$H754)</f>
        <v/>
      </c>
      <c r="Q754" t="str">
        <f t="shared" si="154"/>
        <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Stick It to the Stickman</v>
      </c>
      <c r="B755">
        <f>IF($A755="","",games!$B755)</f>
        <v>2025</v>
      </c>
      <c r="C755" t="str">
        <f>IF($A755="","",games!$C755)</f>
        <v>Action</v>
      </c>
      <c r="D755">
        <f>IF($A755="","",COUNTIF(connections!$A$2:$A$1520,$A755)+COUNTIF(connections!$B$2:$B$1520,$A755))</f>
        <v>0</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Stolen Realm Survivors</v>
      </c>
      <c r="B756">
        <f>IF($A756="","",games!$B756)</f>
        <v>2026</v>
      </c>
      <c r="C756" t="str">
        <f>IF($A756="","",games!$C756)</f>
        <v>Action</v>
      </c>
      <c r="D756">
        <f>IF($A756="","",COUNTIF(connections!$A$2:$A$1520,$A756)+COUNTIF(connections!$B$2:$B$1520,$A756))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Stoneshard</v>
      </c>
      <c r="B757">
        <f>IF($A757="","",games!$B757)</f>
        <v>2020</v>
      </c>
      <c r="C757" t="str">
        <f>IF($A757="","",games!$C757)</f>
        <v>Traditional</v>
      </c>
      <c r="D757">
        <f>IF($A757="","",COUNTIF(connections!$A$2:$A$1520,$A757)+COUNTIF(connections!$B$2:$B$1520,$A757))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2020</v>
      </c>
      <c r="N757">
        <f t="shared" si="152"/>
        <v>4.2069999999999999</v>
      </c>
      <c r="O757">
        <f t="shared" si="153"/>
        <v>4.0007570000000001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Stories from the Outbreak</v>
      </c>
      <c r="B758">
        <f>IF($A758="","",games!$B758)</f>
        <v>2023</v>
      </c>
      <c r="C758" t="str">
        <f>IF($A758="","",games!$C758)</f>
        <v>Strategy</v>
      </c>
      <c r="D758">
        <f>IF($A758="","",COUNTIF(connections!$A$2:$A$1520,$A758)+COUNTIF(connections!$B$2:$B$1520,$A758))</f>
        <v>0</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Strafe</v>
      </c>
      <c r="B759">
        <f>IF($A759="","",games!$B759)</f>
        <v>2017</v>
      </c>
      <c r="C759" t="str">
        <f>IF($A759="","",games!$C759)</f>
        <v>Action</v>
      </c>
      <c r="D759">
        <f>IF($A759="","",COUNTIF(connections!$A$2:$A$1520,$A759)+COUNTIF(connections!$B$2:$B$1520,$A759))</f>
        <v>1</v>
      </c>
      <c r="E759">
        <f t="shared" si="143"/>
        <v>1</v>
      </c>
      <c r="F759">
        <f t="shared" si="144"/>
        <v>11</v>
      </c>
      <c r="G759">
        <f t="shared" si="145"/>
        <v>2017</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Strange Adventures in Infinite Space</v>
      </c>
      <c r="B760">
        <f>IF($A760="","",games!$B760)</f>
        <v>2002</v>
      </c>
      <c r="C760" t="str">
        <f>IF($A760="","",games!$C760)</f>
        <v>Strategy</v>
      </c>
      <c r="D760">
        <f>IF($A760="","",COUNTIF(connections!$A$2:$A$1520,$A760)+COUNTIF(connections!$B$2:$B$1520,$A760))</f>
        <v>3</v>
      </c>
      <c r="E760">
        <f t="shared" si="143"/>
        <v>2</v>
      </c>
      <c r="F760">
        <f t="shared" si="144"/>
        <v>12</v>
      </c>
      <c r="G760" t="e">
        <f t="shared" si="145"/>
        <v>#N/A</v>
      </c>
      <c r="H760" t="e">
        <f t="shared" si="146"/>
        <v>#N/A</v>
      </c>
      <c r="I760">
        <f t="shared" si="147"/>
        <v>2002</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Stray Path</v>
      </c>
      <c r="B761">
        <f>IF($A761="","",games!$B761)</f>
        <v>2025</v>
      </c>
      <c r="C761" t="str">
        <f>IF($A761="","",games!$C761)</f>
        <v>Strategy</v>
      </c>
      <c r="D761">
        <f>IF($A761="","",COUNTIF(connections!$A$2:$A$1520,$A761)+COUNTIF(connections!$B$2:$B$1520,$A761))</f>
        <v>2</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Streets of Rogue</v>
      </c>
      <c r="B762">
        <f>IF($A762="","",games!$B762)</f>
        <v>2019</v>
      </c>
      <c r="C762" t="str">
        <f>IF($A762="","",games!$C762)</f>
        <v>Action</v>
      </c>
      <c r="D762">
        <f>IF($A762="","",COUNTIF(connections!$A$2:$A$1520,$A762)+COUNTIF(connections!$B$2:$B$1520,$A762))</f>
        <v>3</v>
      </c>
      <c r="E762">
        <f t="shared" si="143"/>
        <v>1</v>
      </c>
      <c r="F762">
        <f t="shared" si="144"/>
        <v>14</v>
      </c>
      <c r="G762">
        <f t="shared" si="145"/>
        <v>2019</v>
      </c>
      <c r="H762">
        <f t="shared" si="146"/>
        <v>1.3220000000000001</v>
      </c>
      <c r="I762" t="e">
        <f t="shared" si="147"/>
        <v>#N/A</v>
      </c>
      <c r="J762" t="e">
        <f t="shared" si="148"/>
        <v>#N/A</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SULFUR</v>
      </c>
      <c r="B763">
        <f>IF($A763="","",games!$B763)</f>
        <v>2024</v>
      </c>
      <c r="C763" t="str">
        <f>IF($A763="","",games!$C763)</f>
        <v>Action</v>
      </c>
      <c r="D763">
        <f>IF($A763="","",COUNTIF(connections!$A$2:$A$1520,$A763)+COUNTIF(connections!$B$2:$B$1520,$A763))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
      </c>
      <c r="Q763" t="str">
        <f t="shared" si="154"/>
        <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Sundered</v>
      </c>
      <c r="B764">
        <f>IF($A764="","",games!$B764)</f>
        <v>2017</v>
      </c>
      <c r="C764" t="str">
        <f>IF($A764="","",games!$C764)</f>
        <v>Action</v>
      </c>
      <c r="D764">
        <f>IF($A764="","",COUNTIF(connections!$A$2:$A$1520,$A764)+COUNTIF(connections!$B$2:$B$1520,$A764))</f>
        <v>2</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Sunless Sea</v>
      </c>
      <c r="B765">
        <f>IF($A765="","",games!$B765)</f>
        <v>2015</v>
      </c>
      <c r="C765" t="str">
        <f>IF($A765="","",games!$C765)</f>
        <v>Strategy</v>
      </c>
      <c r="D765">
        <f>IF($A765="","",COUNTIF(connections!$A$2:$A$1520,$A765)+COUNTIF(connections!$B$2:$B$1520,$A765))</f>
        <v>3</v>
      </c>
      <c r="E765">
        <f t="shared" si="143"/>
        <v>2</v>
      </c>
      <c r="F765">
        <f t="shared" si="144"/>
        <v>17</v>
      </c>
      <c r="G765" t="e">
        <f t="shared" si="145"/>
        <v>#N/A</v>
      </c>
      <c r="H765" t="e">
        <f t="shared" si="146"/>
        <v>#N/A</v>
      </c>
      <c r="I765">
        <f t="shared" si="147"/>
        <v>2015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Super Auto Pets</v>
      </c>
      <c r="B766">
        <f>IF($A766="","",games!$B766)</f>
        <v>2021</v>
      </c>
      <c r="C766" t="str">
        <f>IF($A766="","",games!$C766)</f>
        <v>Strategy</v>
      </c>
      <c r="D766">
        <f>IF($A766="","",COUNTIF(connections!$A$2:$A$1520,$A766)+COUNTIF(connections!$B$2:$B$1520,$A766))</f>
        <v>15</v>
      </c>
      <c r="E766">
        <f t="shared" si="143"/>
        <v>2</v>
      </c>
      <c r="F766">
        <f t="shared" si="144"/>
        <v>18</v>
      </c>
      <c r="G766" t="e">
        <f t="shared" si="145"/>
        <v>#N/A</v>
      </c>
      <c r="H766" t="e">
        <f t="shared" si="146"/>
        <v>#N/A</v>
      </c>
      <c r="I766">
        <f t="shared" si="147"/>
        <v>2021</v>
      </c>
      <c r="J766">
        <f t="shared" si="148"/>
        <v>2.4140000000000001</v>
      </c>
      <c r="K766" t="e">
        <f t="shared" si="149"/>
        <v>#N/A</v>
      </c>
      <c r="L766" t="e">
        <f t="shared" si="150"/>
        <v>#N/A</v>
      </c>
      <c r="M766" t="e">
        <f t="shared" si="151"/>
        <v>#N/A</v>
      </c>
      <c r="N766" t="e">
        <f t="shared" si="152"/>
        <v>#N/A</v>
      </c>
      <c r="O766">
        <f t="shared" si="153"/>
        <v>15.000766</v>
      </c>
      <c r="P766" t="str">
        <f>IF(OR($A766="",games!$H766=""),"",games!$H766)</f>
        <v>Yes</v>
      </c>
      <c r="Q766">
        <f t="shared" si="154"/>
        <v>15.000766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Bullet Break</v>
      </c>
      <c r="B767">
        <f>IF($A767="","",games!$B767)</f>
        <v>2022</v>
      </c>
      <c r="C767" t="str">
        <f>IF($A767="","",games!$C767)</f>
        <v>Deckbuilder</v>
      </c>
      <c r="D767">
        <f>IF($A767="","",COUNTIF(connections!$A$2:$A$1520,$A767)+COUNTIF(connections!$B$2:$B$1520,$A767))</f>
        <v>1</v>
      </c>
      <c r="E767">
        <f t="shared" si="143"/>
        <v>3</v>
      </c>
      <c r="F767">
        <f t="shared" si="144"/>
        <v>19</v>
      </c>
      <c r="G767" t="e">
        <f t="shared" si="145"/>
        <v>#N/A</v>
      </c>
      <c r="H767" t="e">
        <f t="shared" si="146"/>
        <v>#N/A</v>
      </c>
      <c r="I767" t="e">
        <f t="shared" si="147"/>
        <v>#N/A</v>
      </c>
      <c r="J767" t="e">
        <f t="shared" si="148"/>
        <v>#N/A</v>
      </c>
      <c r="K767">
        <f t="shared" si="149"/>
        <v>2022</v>
      </c>
      <c r="L767">
        <f t="shared" si="150"/>
        <v>3.4369999999999998</v>
      </c>
      <c r="M767" t="e">
        <f t="shared" si="151"/>
        <v>#N/A</v>
      </c>
      <c r="N767" t="e">
        <f t="shared" si="152"/>
        <v>#N/A</v>
      </c>
      <c r="O767">
        <f t="shared" si="153"/>
        <v>1.000767</v>
      </c>
      <c r="P767" t="str">
        <f>IF(OR($A767="",games!$H767=""),"",games!$H767)</f>
        <v>Yes</v>
      </c>
      <c r="Q767">
        <f t="shared" si="154"/>
        <v>1.000767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Fantasy Kingdom</v>
      </c>
      <c r="B768">
        <f>IF($A768="","",games!$B768)</f>
        <v>2025</v>
      </c>
      <c r="C768" t="str">
        <f>IF($A768="","",games!$C768)</f>
        <v>Strategy</v>
      </c>
      <c r="D768">
        <f>IF($A768="","",COUNTIF(connections!$A$2:$A$1520,$A768)+COUNTIF(connections!$B$2:$B$1520,$A768))</f>
        <v>3</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House of Dead Ninjas</v>
      </c>
      <c r="B769">
        <f>IF($A769="","",games!$B769)</f>
        <v>2013</v>
      </c>
      <c r="C769" t="str">
        <f>IF($A769="","",games!$C769)</f>
        <v>Action</v>
      </c>
      <c r="D769">
        <f>IF($A769="","",COUNTIF(connections!$A$2:$A$1520,$A769)+COUNTIF(connections!$B$2:$B$1520,$A769))</f>
        <v>1</v>
      </c>
      <c r="E769">
        <f t="shared" si="143"/>
        <v>1</v>
      </c>
      <c r="F769">
        <f t="shared" si="144"/>
        <v>21</v>
      </c>
      <c r="G769">
        <f t="shared" si="145"/>
        <v>2013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Tax City</v>
      </c>
      <c r="B770">
        <f>IF($A770="","",games!$B770)</f>
        <v>2025</v>
      </c>
      <c r="C770" t="str">
        <f>IF($A770="","",games!$C770)</f>
        <v>Deckbuilder</v>
      </c>
      <c r="D770">
        <f>IF($A770="","",COUNTIF(connections!$A$2:$A$1520,$A770)+COUNTIF(connections!$B$2:$B$1520,$A770))</f>
        <v>2</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Swapmeat</v>
      </c>
      <c r="B771">
        <f>IF($A771="","",games!$B771)</f>
        <v>2025</v>
      </c>
      <c r="C771" t="str">
        <f>IF($A771="","",games!$C771)</f>
        <v>Action</v>
      </c>
      <c r="D771">
        <f>IF($A771="","",COUNTIF(connections!$A$2:$A$1520,$A771)+COUNTIF(connections!$B$2:$B$1520,$A771))</f>
        <v>3</v>
      </c>
      <c r="E771">
        <f t="shared" si="156"/>
        <v>1</v>
      </c>
      <c r="F771">
        <f t="shared" si="157"/>
        <v>23</v>
      </c>
      <c r="G771">
        <f t="shared" si="158"/>
        <v>2025</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
      </c>
      <c r="Q771" t="str">
        <f t="shared" si="167"/>
        <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Swarm Grinder</v>
      </c>
      <c r="B772">
        <f>IF($A772="","",games!$B772)</f>
        <v>2023</v>
      </c>
      <c r="C772" t="str">
        <f>IF($A772="","",games!$C772)</f>
        <v>Action</v>
      </c>
      <c r="D772">
        <f>IF($A772="","",COUNTIF(connections!$A$2:$A$1520,$A772)+COUNTIF(connections!$B$2:$B$1520,$A772))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Switchcars</v>
      </c>
      <c r="B773">
        <f>IF($A773="","",games!$B773)</f>
        <v>2016</v>
      </c>
      <c r="C773" t="str">
        <f>IF($A773="","",games!$C773)</f>
        <v>Action</v>
      </c>
      <c r="D773">
        <f>IF($A773="","",COUNTIF(connections!$A$2:$A$1520,$A773)+COUNTIF(connections!$B$2:$B$1520,$A773))</f>
        <v>3</v>
      </c>
      <c r="E773">
        <f t="shared" si="156"/>
        <v>1</v>
      </c>
      <c r="F773">
        <f t="shared" si="157"/>
        <v>25</v>
      </c>
      <c r="G773">
        <f t="shared" si="158"/>
        <v>2016</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Sword of Fargoal</v>
      </c>
      <c r="B774">
        <f>IF($A774="","",games!$B774)</f>
        <v>1982</v>
      </c>
      <c r="C774" t="str">
        <f>IF($A774="","",games!$C774)</f>
        <v>Traditional</v>
      </c>
      <c r="D774">
        <f>IF($A774="","",COUNTIF(connections!$A$2:$A$1520,$A774)+COUNTIF(connections!$B$2:$B$1520,$A774))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1982</v>
      </c>
      <c r="N774">
        <f t="shared" si="165"/>
        <v>4.5979999999999999</v>
      </c>
      <c r="O774">
        <f t="shared" si="166"/>
        <v>1.0007740000000001</v>
      </c>
      <c r="P774" t="str">
        <f>IF(OR($A774="",games!$H774=""),"",games!$H774)</f>
        <v/>
      </c>
      <c r="Q774" t="str">
        <f t="shared" si="167"/>
        <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the Necromancer</v>
      </c>
      <c r="B775">
        <f>IF($A775="","",games!$B775)</f>
        <v>2021</v>
      </c>
      <c r="C775" t="str">
        <f>IF($A775="","",games!$C775)</f>
        <v>Action</v>
      </c>
      <c r="D775">
        <f>IF($A775="","",COUNTIF(connections!$A$2:$A$1520,$A775)+COUNTIF(connections!$B$2:$B$1520,$A775))</f>
        <v>3</v>
      </c>
      <c r="E775">
        <f t="shared" si="156"/>
        <v>1</v>
      </c>
      <c r="F775">
        <f t="shared" si="157"/>
        <v>27</v>
      </c>
      <c r="G775">
        <f t="shared" si="158"/>
        <v>2021</v>
      </c>
      <c r="H775">
        <f t="shared" si="159"/>
        <v>1.621</v>
      </c>
      <c r="I775" t="e">
        <f t="shared" si="160"/>
        <v>#N/A</v>
      </c>
      <c r="J775" t="e">
        <f t="shared" si="161"/>
        <v>#N/A</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 Resurrection</v>
      </c>
      <c r="B776">
        <f>IF($A776="","",games!$B776)</f>
        <v>2025</v>
      </c>
      <c r="C776" t="str">
        <f>IF($A776="","",games!$C776)</f>
        <v>Action</v>
      </c>
      <c r="D776">
        <f>IF($A776="","",COUNTIF(connections!$A$2:$A$1520,$A776)+COUNTIF(connections!$B$2:$B$1520,$A776))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Stars: The Pit</v>
      </c>
      <c r="B777">
        <f>IF($A777="","",games!$B777)</f>
        <v>2013</v>
      </c>
      <c r="C777" t="str">
        <f>IF($A777="","",games!$C777)</f>
        <v>Traditional</v>
      </c>
      <c r="D777">
        <f>IF($A777="","",COUNTIF(connections!$A$2:$A$1520,$A777)+COUNTIF(connections!$B$2:$B$1520,$A777))</f>
        <v>3</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3.0007769999999998</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Swordship</v>
      </c>
      <c r="B778">
        <f>IF($A778="","",games!$B778)</f>
        <v>2022</v>
      </c>
      <c r="C778" t="str">
        <f>IF($A778="","",games!$C778)</f>
        <v>Action</v>
      </c>
      <c r="D778">
        <f>IF($A778="","",COUNTIF(connections!$A$2:$A$1520,$A778)+COUNTIF(connections!$B$2:$B$1520,$A778))</f>
        <v>1</v>
      </c>
      <c r="E778">
        <f t="shared" si="156"/>
        <v>1</v>
      </c>
      <c r="F778">
        <f t="shared" si="157"/>
        <v>30</v>
      </c>
      <c r="G778">
        <f t="shared" si="158"/>
        <v>2022</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Yes</v>
      </c>
      <c r="Q778">
        <f t="shared" si="167"/>
        <v>1.0007779999999999</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Sworn</v>
      </c>
      <c r="B779">
        <f>IF($A779="","",games!$B779)</f>
        <v>2025</v>
      </c>
      <c r="C779" t="str">
        <f>IF($A779="","",games!$C779)</f>
        <v>Action</v>
      </c>
      <c r="D779">
        <f>IF($A779="","",COUNTIF(connections!$A$2:$A$1520,$A779)+COUNTIF(connections!$B$2:$B$1520,$A779))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Synthetik 2</v>
      </c>
      <c r="B780">
        <f>IF($A780="","",games!$B780)</f>
        <v>2021</v>
      </c>
      <c r="C780" t="str">
        <f>IF($A780="","",games!$C780)</f>
        <v>Action</v>
      </c>
      <c r="D780">
        <f>IF($A780="","",COUNTIF(connections!$A$2:$A$1520,$A780)+COUNTIF(connections!$B$2:$B$1520,$A780))</f>
        <v>1</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Legion Rising</v>
      </c>
      <c r="B781">
        <f>IF($A781="","",games!$B781)</f>
        <v>2018</v>
      </c>
      <c r="C781" t="str">
        <f>IF($A781="","",games!$C781)</f>
        <v>Action</v>
      </c>
      <c r="D781">
        <f>IF($A781="","",COUNTIF(connections!$A$2:$A$1520,$A781)+COUNTIF(connections!$B$2:$B$1520,$A781))</f>
        <v>2</v>
      </c>
      <c r="E781">
        <f t="shared" si="156"/>
        <v>1</v>
      </c>
      <c r="F781">
        <f t="shared" si="157"/>
        <v>33</v>
      </c>
      <c r="G781">
        <f t="shared" si="158"/>
        <v>2018</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Tabletop Tavern</v>
      </c>
      <c r="B782">
        <f>IF($A782="","",games!$B782)</f>
        <v>2026</v>
      </c>
      <c r="C782" t="str">
        <f>IF($A782="","",games!$C782)</f>
        <v>Strategy</v>
      </c>
      <c r="D782">
        <f>IF($A782="","",COUNTIF(connections!$A$2:$A$1520,$A782)+COUNTIF(connections!$B$2:$B$1520,$A782))</f>
        <v>5</v>
      </c>
      <c r="E782">
        <f t="shared" si="156"/>
        <v>2</v>
      </c>
      <c r="F782">
        <f t="shared" si="157"/>
        <v>0</v>
      </c>
      <c r="G782" t="e">
        <f t="shared" si="158"/>
        <v>#N/A</v>
      </c>
      <c r="H782" t="e">
        <f t="shared" si="159"/>
        <v>#N/A</v>
      </c>
      <c r="I782">
        <f t="shared" si="160"/>
        <v>2026</v>
      </c>
      <c r="J782">
        <f t="shared" si="161"/>
        <v>2</v>
      </c>
      <c r="K782" t="e">
        <f t="shared" si="162"/>
        <v>#N/A</v>
      </c>
      <c r="L782" t="e">
        <f t="shared" si="163"/>
        <v>#N/A</v>
      </c>
      <c r="M782" t="e">
        <f t="shared" si="164"/>
        <v>#N/A</v>
      </c>
      <c r="N782" t="e">
        <f t="shared" si="165"/>
        <v>#N/A</v>
      </c>
      <c r="O782">
        <f t="shared" si="166"/>
        <v>5.0007820000000001</v>
      </c>
      <c r="P782" t="str">
        <f>IF(OR($A782="",games!$H782=""),"",games!$H782)</f>
        <v/>
      </c>
      <c r="Q782" t="str">
        <f t="shared" si="167"/>
        <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Tainted Grail: Conquest</v>
      </c>
      <c r="B783">
        <f>IF($A783="","",games!$B783)</f>
        <v>2020</v>
      </c>
      <c r="C783" t="str">
        <f>IF($A783="","",games!$C783)</f>
        <v>Deckbuilder</v>
      </c>
      <c r="D783">
        <f>IF($A783="","",COUNTIF(connections!$A$2:$A$1520,$A783)+COUNTIF(connections!$B$2:$B$1520,$A783))</f>
        <v>1</v>
      </c>
      <c r="E783">
        <f t="shared" si="156"/>
        <v>3</v>
      </c>
      <c r="F783">
        <f t="shared" si="157"/>
        <v>1</v>
      </c>
      <c r="G783" t="e">
        <f t="shared" si="158"/>
        <v>#N/A</v>
      </c>
      <c r="H783" t="e">
        <f t="shared" si="159"/>
        <v>#N/A</v>
      </c>
      <c r="I783" t="e">
        <f t="shared" si="160"/>
        <v>#N/A</v>
      </c>
      <c r="J783" t="e">
        <f t="shared" si="161"/>
        <v>#N/A</v>
      </c>
      <c r="K783">
        <f t="shared" si="162"/>
        <v>2020</v>
      </c>
      <c r="L783">
        <f t="shared" si="163"/>
        <v>3.0230000000000001</v>
      </c>
      <c r="M783" t="e">
        <f t="shared" si="164"/>
        <v>#N/A</v>
      </c>
      <c r="N783" t="e">
        <f t="shared" si="165"/>
        <v>#N/A</v>
      </c>
      <c r="O783">
        <f t="shared" si="166"/>
        <v>1.000783</v>
      </c>
      <c r="P783" t="str">
        <f>IF(OR($A783="",games!$H783=""),"",games!$H783)</f>
        <v>Yes</v>
      </c>
      <c r="Q783">
        <f t="shared" si="167"/>
        <v>1.000783</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Talented</v>
      </c>
      <c r="B784">
        <f>IF($A784="","",games!$B784)</f>
        <v>2023</v>
      </c>
      <c r="C784" t="str">
        <f>IF($A784="","",games!$C784)</f>
        <v>Action</v>
      </c>
      <c r="D784">
        <f>IF($A784="","",COUNTIF(connections!$A$2:$A$1520,$A784)+COUNTIF(connections!$B$2:$B$1520,$A784))</f>
        <v>3</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Yes</v>
      </c>
      <c r="Q784">
        <f t="shared" si="167"/>
        <v>3.0007839999999999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Tales of Maj'Eyal</v>
      </c>
      <c r="B785">
        <f>IF($A785="","",games!$B785)</f>
        <v>1998</v>
      </c>
      <c r="C785" t="str">
        <f>IF($A785="","",games!$C785)</f>
        <v>Traditional</v>
      </c>
      <c r="D785">
        <f>IF($A785="","",COUNTIF(connections!$A$2:$A$1520,$A785)+COUNTIF(connections!$B$2:$B$1520,$A785))</f>
        <v>9</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1998</v>
      </c>
      <c r="N785">
        <f t="shared" si="165"/>
        <v>4.069</v>
      </c>
      <c r="O785">
        <f t="shared" si="166"/>
        <v>9.0007850000000005</v>
      </c>
      <c r="P785" t="str">
        <f>IF(OR($A785="",games!$H785=""),"",games!$H785)</f>
        <v>Yes</v>
      </c>
      <c r="Q785">
        <f t="shared" si="167"/>
        <v>9.0007850000000005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Talespinner</v>
      </c>
      <c r="B786">
        <f>IF($A786="","",games!$B786)</f>
        <v>2026</v>
      </c>
      <c r="C786" t="str">
        <f>IF($A786="","",games!$C786)</f>
        <v>Deckbuilder</v>
      </c>
      <c r="D786">
        <f>IF($A786="","",COUNTIF(connections!$A$2:$A$1520,$A786)+COUNTIF(connections!$B$2:$B$1520,$A786))</f>
        <v>1</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1.000786</v>
      </c>
      <c r="P786" t="str">
        <f>IF(OR($A786="",games!$H786=""),"",games!$H786)</f>
        <v/>
      </c>
      <c r="Q786" t="str">
        <f t="shared" si="167"/>
        <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Tangledeep</v>
      </c>
      <c r="B787">
        <f>IF($A787="","",games!$B787)</f>
        <v>2017</v>
      </c>
      <c r="C787" t="str">
        <f>IF($A787="","",games!$C787)</f>
        <v>Traditional</v>
      </c>
      <c r="D787">
        <f>IF($A787="","",COUNTIF(connections!$A$2:$A$1520,$A787)+COUNTIF(connections!$B$2:$B$1520,$A787))</f>
        <v>4</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2017</v>
      </c>
      <c r="N787">
        <f t="shared" si="165"/>
        <v>4.1150000000000002</v>
      </c>
      <c r="O787">
        <f t="shared" si="166"/>
        <v>4.0007869999999999</v>
      </c>
      <c r="P787" t="str">
        <f>IF(OR($A787="",games!$H787=""),"",games!$H787)</f>
        <v>Yes</v>
      </c>
      <c r="Q787">
        <f t="shared" si="167"/>
        <v>4.0007869999999999</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Tangy TD</v>
      </c>
      <c r="B788">
        <f>IF($A788="","",games!$B788)</f>
        <v>2026</v>
      </c>
      <c r="C788" t="str">
        <f>IF($A788="","",games!$C788)</f>
        <v>Strategy</v>
      </c>
      <c r="D788">
        <f>IF($A788="","",COUNTIF(connections!$A$2:$A$1520,$A788)+COUNTIF(connections!$B$2:$B$1520,$A788))</f>
        <v>0</v>
      </c>
      <c r="E788">
        <f t="shared" si="156"/>
        <v>2</v>
      </c>
      <c r="F788">
        <f t="shared" si="157"/>
        <v>6</v>
      </c>
      <c r="G788" t="e">
        <f t="shared" si="158"/>
        <v>#N/A</v>
      </c>
      <c r="H788" t="e">
        <f t="shared" si="159"/>
        <v>#N/A</v>
      </c>
      <c r="I788">
        <f t="shared" si="160"/>
        <v>2026</v>
      </c>
      <c r="J788">
        <f t="shared" si="161"/>
        <v>2.1379999999999999</v>
      </c>
      <c r="K788" t="e">
        <f t="shared" si="162"/>
        <v>#N/A</v>
      </c>
      <c r="L788" t="e">
        <f t="shared" si="163"/>
        <v>#N/A</v>
      </c>
      <c r="M788" t="e">
        <f t="shared" si="164"/>
        <v>#N/A</v>
      </c>
      <c r="N788" t="e">
        <f t="shared" si="165"/>
        <v>#N/A</v>
      </c>
      <c r="O788">
        <f t="shared" si="166"/>
        <v>7.8799999999999996E-4</v>
      </c>
      <c r="P788" t="str">
        <f>IF(OR($A788="",games!$H788=""),"",games!$H788)</f>
        <v>Yes</v>
      </c>
      <c r="Q788">
        <f t="shared" si="167"/>
        <v>7.8799999999999996E-4</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Tao's Adventure: Curse of the Demon Seal</v>
      </c>
      <c r="B789">
        <f>IF($A789="","",games!$B789)</f>
        <v>2006</v>
      </c>
      <c r="C789" t="str">
        <f>IF($A789="","",games!$C789)</f>
        <v>Traditional</v>
      </c>
      <c r="D789">
        <f>IF($A789="","",COUNTIF(connections!$A$2:$A$1520,$A789)+COUNTIF(connections!$B$2:$B$1520,$A789))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2006</v>
      </c>
      <c r="N789">
        <f t="shared" si="165"/>
        <v>4.1609999999999996</v>
      </c>
      <c r="O789">
        <f t="shared" si="166"/>
        <v>1.0007889999999999</v>
      </c>
      <c r="P789" t="str">
        <f>IF(OR($A789="",games!$H789=""),"",games!$H789)</f>
        <v>Yes</v>
      </c>
      <c r="Q789">
        <f t="shared" si="167"/>
        <v>1.0007889999999999</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Tape to Tape</v>
      </c>
      <c r="B790">
        <f>IF($A790="","",games!$B790)</f>
        <v>2023</v>
      </c>
      <c r="C790" t="str">
        <f>IF($A790="","",games!$C790)</f>
        <v>Action</v>
      </c>
      <c r="D790">
        <f>IF($A790="","",COUNTIF(connections!$A$2:$A$1520,$A790)+COUNTIF(connections!$B$2:$B$1520,$A790))</f>
        <v>3</v>
      </c>
      <c r="E790">
        <f t="shared" si="156"/>
        <v>1</v>
      </c>
      <c r="F790">
        <f t="shared" si="157"/>
        <v>8</v>
      </c>
      <c r="G790">
        <f t="shared" si="158"/>
        <v>2023</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Teamfight Tactics</v>
      </c>
      <c r="B791">
        <f>IF($A791="","",games!$B791)</f>
        <v>2019</v>
      </c>
      <c r="C791" t="str">
        <f>IF($A791="","",games!$C791)</f>
        <v>Strategy</v>
      </c>
      <c r="D791">
        <f>IF($A791="","",COUNTIF(connections!$A$2:$A$1520,$A791)+COUNTIF(connections!$B$2:$B$1520,$A791))</f>
        <v>7</v>
      </c>
      <c r="E791">
        <f t="shared" si="156"/>
        <v>2</v>
      </c>
      <c r="F791">
        <f t="shared" si="157"/>
        <v>9</v>
      </c>
      <c r="G791" t="e">
        <f t="shared" si="158"/>
        <v>#N/A</v>
      </c>
      <c r="H791" t="e">
        <f t="shared" si="159"/>
        <v>#N/A</v>
      </c>
      <c r="I791">
        <f t="shared" si="160"/>
        <v>2019</v>
      </c>
      <c r="J791">
        <f t="shared" si="161"/>
        <v>2.2069999999999999</v>
      </c>
      <c r="K791" t="e">
        <f t="shared" si="162"/>
        <v>#N/A</v>
      </c>
      <c r="L791" t="e">
        <f t="shared" si="163"/>
        <v>#N/A</v>
      </c>
      <c r="M791" t="e">
        <f t="shared" si="164"/>
        <v>#N/A</v>
      </c>
      <c r="N791" t="e">
        <f t="shared" si="165"/>
        <v>#N/A</v>
      </c>
      <c r="O791">
        <f t="shared" si="166"/>
        <v>7.0007910000000004</v>
      </c>
      <c r="P791" t="str">
        <f>IF(OR($A791="",games!$H791=""),"",games!$H791)</f>
        <v/>
      </c>
      <c r="Q791" t="str">
        <f t="shared" si="167"/>
        <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Tears of Metal</v>
      </c>
      <c r="B792">
        <f>IF($A792="","",games!$B792)</f>
        <v>2026</v>
      </c>
      <c r="C792" t="str">
        <f>IF($A792="","",games!$C792)</f>
        <v>Action</v>
      </c>
      <c r="D792">
        <f>IF($A792="","",COUNTIF(connections!$A$2:$A$1520,$A792)+COUNTIF(connections!$B$2:$B$1520,$A792))</f>
        <v>1</v>
      </c>
      <c r="E792">
        <f t="shared" si="156"/>
        <v>1</v>
      </c>
      <c r="F792">
        <f t="shared" si="157"/>
        <v>10</v>
      </c>
      <c r="G792">
        <f t="shared" si="158"/>
        <v>2026</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Teenage Mutant Ninja Turtles: Splintered Fate</v>
      </c>
      <c r="B793">
        <f>IF($A793="","",games!$B793)</f>
        <v>2024</v>
      </c>
      <c r="C793" t="str">
        <f>IF($A793="","",games!$C793)</f>
        <v>Action</v>
      </c>
      <c r="D793">
        <f>IF($A793="","",COUNTIF(connections!$A$2:$A$1520,$A793)+COUNTIF(connections!$B$2:$B$1520,$A793))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Temtem: Swarm</v>
      </c>
      <c r="B794">
        <f>IF($A794="","",games!$B794)</f>
        <v>2024</v>
      </c>
      <c r="C794" t="str">
        <f>IF($A794="","",games!$C794)</f>
        <v>Action</v>
      </c>
      <c r="D794">
        <f>IF($A794="","",COUNTIF(connections!$A$2:$A$1520,$A794)+COUNTIF(connections!$B$2:$B$1520,$A794))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Terraformers</v>
      </c>
      <c r="B795">
        <f>IF($A795="","",games!$B795)</f>
        <v>2022</v>
      </c>
      <c r="C795" t="str">
        <f>IF($A795="","",games!$C795)</f>
        <v>Strategy</v>
      </c>
      <c r="D795">
        <f>IF($A795="","",COUNTIF(connections!$A$2:$A$1520,$A795)+COUNTIF(connections!$B$2:$B$1520,$A795))</f>
        <v>1</v>
      </c>
      <c r="E795">
        <f t="shared" si="156"/>
        <v>2</v>
      </c>
      <c r="F795">
        <f t="shared" si="157"/>
        <v>13</v>
      </c>
      <c r="G795" t="e">
        <f t="shared" si="158"/>
        <v>#N/A</v>
      </c>
      <c r="H795" t="e">
        <f t="shared" si="159"/>
        <v>#N/A</v>
      </c>
      <c r="I795">
        <f t="shared" si="160"/>
        <v>2022</v>
      </c>
      <c r="J795">
        <f t="shared" si="161"/>
        <v>2.2989999999999999</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TerraTech Legion</v>
      </c>
      <c r="B796">
        <f>IF($A796="","",games!$B796)</f>
        <v>2026</v>
      </c>
      <c r="C796" t="str">
        <f>IF($A796="","",games!$C796)</f>
        <v>Action</v>
      </c>
      <c r="D796">
        <f>IF($A796="","",COUNTIF(connections!$A$2:$A$1520,$A796)+COUNTIF(connections!$B$2:$B$1520,$A796))</f>
        <v>1</v>
      </c>
      <c r="E796">
        <f t="shared" si="156"/>
        <v>1</v>
      </c>
      <c r="F796">
        <f t="shared" si="157"/>
        <v>14</v>
      </c>
      <c r="G796">
        <f t="shared" si="158"/>
        <v>2026</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TerRoguelike</v>
      </c>
      <c r="B797">
        <f>IF($A797="","",games!$B797)</f>
        <v>2024</v>
      </c>
      <c r="C797" t="str">
        <f>IF($A797="","",games!$C797)</f>
        <v>Action</v>
      </c>
      <c r="D797">
        <f>IF($A797="","",COUNTIF(connections!$A$2:$A$1520,$A797)+COUNTIF(connections!$B$2:$B$1520,$A797))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The Bazaar</v>
      </c>
      <c r="B798">
        <f>IF($A798="","",games!$B798)</f>
        <v>2025</v>
      </c>
      <c r="C798" t="str">
        <f>IF($A798="","",games!$C798)</f>
        <v>Strategy</v>
      </c>
      <c r="D798">
        <f>IF($A798="","",COUNTIF(connections!$A$2:$A$1520,$A798)+COUNTIF(connections!$B$2:$B$1520,$A798))</f>
        <v>5</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5.0007979999999996</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Binding of Isaac</v>
      </c>
      <c r="B799">
        <f>IF($A799="","",games!$B799)</f>
        <v>2011</v>
      </c>
      <c r="C799" t="str">
        <f>IF($A799="","",games!$C799)</f>
        <v>Action</v>
      </c>
      <c r="D799">
        <f>IF($A799="","",COUNTIF(connections!$A$2:$A$1520,$A799)+COUNTIF(connections!$B$2:$B$1520,$A799))</f>
        <v>80</v>
      </c>
      <c r="E799">
        <f t="shared" si="156"/>
        <v>1</v>
      </c>
      <c r="F799">
        <f t="shared" si="157"/>
        <v>17</v>
      </c>
      <c r="G799">
        <f t="shared" si="158"/>
        <v>2011</v>
      </c>
      <c r="H799">
        <f t="shared" si="159"/>
        <v>1.391</v>
      </c>
      <c r="I799" t="e">
        <f t="shared" si="160"/>
        <v>#N/A</v>
      </c>
      <c r="J799" t="e">
        <f t="shared" si="161"/>
        <v>#N/A</v>
      </c>
      <c r="K799" t="e">
        <f t="shared" si="162"/>
        <v>#N/A</v>
      </c>
      <c r="L799" t="e">
        <f t="shared" si="163"/>
        <v>#N/A</v>
      </c>
      <c r="M799" t="e">
        <f t="shared" si="164"/>
        <v>#N/A</v>
      </c>
      <c r="N799" t="e">
        <f t="shared" si="165"/>
        <v>#N/A</v>
      </c>
      <c r="O799">
        <f t="shared" si="166"/>
        <v>80.000799000000001</v>
      </c>
      <c r="P799" t="str">
        <f>IF(OR($A799="",games!$H799=""),"",games!$H799)</f>
        <v>Yes</v>
      </c>
      <c r="Q799">
        <f t="shared" si="167"/>
        <v>80.000799000000001</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 Rebirth</v>
      </c>
      <c r="B800">
        <f>IF($A800="","",games!$B800)</f>
        <v>2014</v>
      </c>
      <c r="C800" t="str">
        <f>IF($A800="","",games!$C800)</f>
        <v>Action</v>
      </c>
      <c r="D800">
        <f>IF($A800="","",COUNTIF(connections!$A$2:$A$1520,$A800)+COUNTIF(connections!$B$2:$B$1520,$A800))</f>
        <v>1</v>
      </c>
      <c r="E800">
        <f t="shared" si="156"/>
        <v>1</v>
      </c>
      <c r="F800">
        <f t="shared" si="157"/>
        <v>18</v>
      </c>
      <c r="G800">
        <f t="shared" si="158"/>
        <v>2014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Doors of Trithius</v>
      </c>
      <c r="B801">
        <f>IF($A801="","",games!$B801)</f>
        <v>2021</v>
      </c>
      <c r="C801" t="str">
        <f>IF($A801="","",games!$C801)</f>
        <v>Traditional</v>
      </c>
      <c r="D801">
        <f>IF($A801="","",COUNTIF(connections!$A$2:$A$1520,$A801)+COUNTIF(connections!$B$2:$B$1520,$A801))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2021</v>
      </c>
      <c r="N801">
        <f t="shared" si="165"/>
        <v>4.4370000000000003</v>
      </c>
      <c r="O801">
        <f t="shared" si="166"/>
        <v>3.0008010000000001</v>
      </c>
      <c r="P801" t="str">
        <f>IF(OR($A801="",games!$H801=""),"",games!$H801)</f>
        <v/>
      </c>
      <c r="Q801" t="str">
        <f t="shared" si="167"/>
        <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Dungeon RPG</v>
      </c>
      <c r="B802">
        <f>IF($A802="","",games!$B802)</f>
        <v>2000</v>
      </c>
      <c r="C802" t="str">
        <f>IF($A802="","",games!$C802)</f>
        <v>Traditional</v>
      </c>
      <c r="D802">
        <f>IF($A802="","",COUNTIF(connections!$A$2:$A$1520,$A802)+COUNTIF(connections!$B$2:$B$1520,$A802))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2000</v>
      </c>
      <c r="N802">
        <f t="shared" si="165"/>
        <v>4.46</v>
      </c>
      <c r="O802">
        <f t="shared" si="166"/>
        <v>4.0008020000000002</v>
      </c>
      <c r="P802" t="str">
        <f>IF(OR($A802="",games!$H802=""),"",games!$H802)</f>
        <v>Yes</v>
      </c>
      <c r="Q802">
        <f t="shared" si="167"/>
        <v>4.0008020000000002</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Fable: Manga Build Roguelike</v>
      </c>
      <c r="B803">
        <f>IF($A803="","",games!$B803)</f>
        <v>2025</v>
      </c>
      <c r="C803" t="str">
        <f>IF($A803="","",games!$C803)</f>
        <v>Deckbuilder</v>
      </c>
      <c r="D803">
        <f>IF($A803="","",COUNTIF(connections!$A$2:$A$1520,$A803)+COUNTIF(connections!$B$2:$B$1520,$A803))</f>
        <v>0</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8.03E-4</v>
      </c>
      <c r="P803" t="str">
        <f>IF(OR($A803="",games!$H803=""),"",games!$H803)</f>
        <v/>
      </c>
      <c r="Q803" t="str">
        <f t="shared" si="167"/>
        <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Flame in the Flood</v>
      </c>
      <c r="B804">
        <f>IF($A804="","",games!$B804)</f>
        <v>2016</v>
      </c>
      <c r="C804" t="str">
        <f>IF($A804="","",games!$C804)</f>
        <v>Action</v>
      </c>
      <c r="D804">
        <f>IF($A804="","",COUNTIF(connections!$A$2:$A$1520,$A804)+COUNTIF(connections!$B$2:$B$1520,$A804))</f>
        <v>1</v>
      </c>
      <c r="E804">
        <f t="shared" si="156"/>
        <v>1</v>
      </c>
      <c r="F804">
        <f t="shared" si="157"/>
        <v>22</v>
      </c>
      <c r="G804">
        <f t="shared" si="158"/>
        <v>2016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Ground Gives Way</v>
      </c>
      <c r="B805">
        <f>IF($A805="","",games!$B805)</f>
        <v>2014</v>
      </c>
      <c r="C805" t="str">
        <f>IF($A805="","",games!$C805)</f>
        <v>Traditional</v>
      </c>
      <c r="D805">
        <f>IF($A805="","",COUNTIF(connections!$A$2:$A$1520,$A805)+COUNTIF(connections!$B$2:$B$1520,$A805))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2014</v>
      </c>
      <c r="N805">
        <f t="shared" si="165"/>
        <v>4.5289999999999999</v>
      </c>
      <c r="O805">
        <f t="shared" si="166"/>
        <v>4.0008049999999997</v>
      </c>
      <c r="P805" t="str">
        <f>IF(OR($A805="",games!$H805=""),"",games!$H805)</f>
        <v>Yes</v>
      </c>
      <c r="Q805">
        <f t="shared" si="167"/>
        <v>4.0008049999999997</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Guided Fate Paradox</v>
      </c>
      <c r="B806">
        <f>IF($A806="","",games!$B806)</f>
        <v>2013</v>
      </c>
      <c r="C806" t="str">
        <f>IF($A806="","",games!$C806)</f>
        <v>Traditional</v>
      </c>
      <c r="D806">
        <f>IF($A806="","",COUNTIF(connections!$A$2:$A$1520,$A806)+COUNTIF(connections!$B$2:$B$1520,$A806))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2013</v>
      </c>
      <c r="N806">
        <f t="shared" si="165"/>
        <v>4.5519999999999996</v>
      </c>
      <c r="O806">
        <f t="shared" si="166"/>
        <v>1.0008060000000001</v>
      </c>
      <c r="P806" t="str">
        <f>IF(OR($A806="",games!$H806=""),"",games!$H806)</f>
        <v/>
      </c>
      <c r="Q806" t="str">
        <f t="shared" si="167"/>
        <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King is Watching</v>
      </c>
      <c r="B807">
        <f>IF($A807="","",games!$B807)</f>
        <v>2025</v>
      </c>
      <c r="C807" t="str">
        <f>IF($A807="","",games!$C807)</f>
        <v>Strategy</v>
      </c>
      <c r="D807">
        <f>IF($A807="","",COUNTIF(connections!$A$2:$A$1520,$A807)+COUNTIF(connections!$B$2:$B$1520,$A807))</f>
        <v>0</v>
      </c>
      <c r="E807">
        <f t="shared" si="156"/>
        <v>2</v>
      </c>
      <c r="F807">
        <f t="shared" si="157"/>
        <v>25</v>
      </c>
      <c r="G807" t="e">
        <f t="shared" si="158"/>
        <v>#N/A</v>
      </c>
      <c r="H807" t="e">
        <f t="shared" si="159"/>
        <v>#N/A</v>
      </c>
      <c r="I807">
        <f t="shared" si="160"/>
        <v>2025</v>
      </c>
      <c r="J807">
        <f t="shared" si="161"/>
        <v>2.5750000000000002</v>
      </c>
      <c r="K807" t="e">
        <f t="shared" si="162"/>
        <v>#N/A</v>
      </c>
      <c r="L807" t="e">
        <f t="shared" si="163"/>
        <v>#N/A</v>
      </c>
      <c r="M807" t="e">
        <f t="shared" si="164"/>
        <v>#N/A</v>
      </c>
      <c r="N807" t="e">
        <f t="shared" si="165"/>
        <v>#N/A</v>
      </c>
      <c r="O807">
        <f t="shared" si="166"/>
        <v>8.0699999999999999E-4</v>
      </c>
      <c r="P807" t="str">
        <f>IF(OR($A807="",games!$H807=""),"",games!$H807)</f>
        <v>Yes</v>
      </c>
      <c r="Q807">
        <f t="shared" si="167"/>
        <v>8.0699999999999999E-4</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Last Flame</v>
      </c>
      <c r="B808">
        <f>IF($A808="","",games!$B808)</f>
        <v>2024</v>
      </c>
      <c r="C808" t="str">
        <f>IF($A808="","",games!$C808)</f>
        <v>Strategy</v>
      </c>
      <c r="D808">
        <f>IF($A808="","",COUNTIF(connections!$A$2:$A$1520,$A808)+COUNTIF(connections!$B$2:$B$1520,$A808))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Game</v>
      </c>
      <c r="B809">
        <f>IF($A809="","",games!$B809)</f>
        <v>2023</v>
      </c>
      <c r="C809" t="str">
        <f>IF($A809="","",games!$C809)</f>
        <v>Action</v>
      </c>
      <c r="D809">
        <f>IF($A809="","",COUNTIF(connections!$A$2:$A$1520,$A809)+COUNTIF(connections!$B$2:$B$1520,$A809))</f>
        <v>2</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Spell</v>
      </c>
      <c r="B810">
        <f>IF($A810="","",games!$B810)</f>
        <v>2021</v>
      </c>
      <c r="C810" t="str">
        <f>IF($A810="","",games!$C810)</f>
        <v>Strategy</v>
      </c>
      <c r="D810">
        <f>IF($A810="","",COUNTIF(connections!$A$2:$A$1520,$A810)+COUNTIF(connections!$B$2:$B$1520,$A810))</f>
        <v>4</v>
      </c>
      <c r="E810">
        <f t="shared" si="156"/>
        <v>2</v>
      </c>
      <c r="F810">
        <f t="shared" si="157"/>
        <v>28</v>
      </c>
      <c r="G810" t="e">
        <f t="shared" si="158"/>
        <v>#N/A</v>
      </c>
      <c r="H810" t="e">
        <f t="shared" si="159"/>
        <v>#N/A</v>
      </c>
      <c r="I810">
        <f t="shared" si="160"/>
        <v>2021</v>
      </c>
      <c r="J810">
        <f t="shared" si="161"/>
        <v>2.6440000000000001</v>
      </c>
      <c r="K810" t="e">
        <f t="shared" si="162"/>
        <v>#N/A</v>
      </c>
      <c r="L810" t="e">
        <f t="shared" si="163"/>
        <v>#N/A</v>
      </c>
      <c r="M810" t="e">
        <f t="shared" si="164"/>
        <v>#N/A</v>
      </c>
      <c r="N810" t="e">
        <f t="shared" si="165"/>
        <v>#N/A</v>
      </c>
      <c r="O810">
        <f t="shared" si="166"/>
        <v>4.0008100000000004</v>
      </c>
      <c r="P810" t="str">
        <f>IF(OR($A810="",games!$H810=""),"",games!$H810)</f>
        <v>Yes</v>
      </c>
      <c r="Q810">
        <f t="shared" si="167"/>
        <v>4.0008100000000004</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Legend of Bum-Bo</v>
      </c>
      <c r="B811">
        <f>IF($A811="","",games!$B811)</f>
        <v>2019</v>
      </c>
      <c r="C811" t="str">
        <f>IF($A811="","",games!$C811)</f>
        <v>Strategy</v>
      </c>
      <c r="D811">
        <f>IF($A811="","",COUNTIF(connections!$A$2:$A$1520,$A811)+COUNTIF(connections!$B$2:$B$1520,$A811))</f>
        <v>3</v>
      </c>
      <c r="E811">
        <f t="shared" si="156"/>
        <v>2</v>
      </c>
      <c r="F811">
        <f t="shared" si="157"/>
        <v>29</v>
      </c>
      <c r="G811" t="e">
        <f t="shared" si="158"/>
        <v>#N/A</v>
      </c>
      <c r="H811" t="e">
        <f t="shared" si="159"/>
        <v>#N/A</v>
      </c>
      <c r="I811">
        <f t="shared" si="160"/>
        <v>2019</v>
      </c>
      <c r="J811">
        <f t="shared" si="161"/>
        <v>2.6669999999999998</v>
      </c>
      <c r="K811" t="e">
        <f t="shared" si="162"/>
        <v>#N/A</v>
      </c>
      <c r="L811" t="e">
        <f t="shared" si="163"/>
        <v>#N/A</v>
      </c>
      <c r="M811" t="e">
        <f t="shared" si="164"/>
        <v>#N/A</v>
      </c>
      <c r="N811" t="e">
        <f t="shared" si="165"/>
        <v>#N/A</v>
      </c>
      <c r="O811">
        <f t="shared" si="166"/>
        <v>3.0008110000000001</v>
      </c>
      <c r="P811" t="str">
        <f>IF(OR($A811="",games!$H811=""),"",games!$H811)</f>
        <v>Yes</v>
      </c>
      <c r="Q811">
        <f t="shared" si="167"/>
        <v>3.0008110000000001</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Loopler</v>
      </c>
      <c r="B812">
        <f>IF($A812="","",games!$B812)</f>
        <v>2026</v>
      </c>
      <c r="C812" t="str">
        <f>IF($A812="","",games!$C812)</f>
        <v>Deckbuilder</v>
      </c>
      <c r="D812">
        <f>IF($A812="","",COUNTIF(connections!$A$2:$A$1520,$A812)+COUNTIF(connections!$B$2:$B$1520,$A812))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Magus Circle</v>
      </c>
      <c r="B813">
        <f>IF($A813="","",games!$B813)</f>
        <v>2026</v>
      </c>
      <c r="C813" t="str">
        <f>IF($A813="","",games!$C813)</f>
        <v>Action</v>
      </c>
      <c r="D813">
        <f>IF($A813="","",COUNTIF(connections!$A$2:$A$1520,$A813)+COUNTIF(connections!$B$2:$B$1520,$A813))</f>
        <v>1</v>
      </c>
      <c r="E813">
        <f t="shared" si="156"/>
        <v>1</v>
      </c>
      <c r="F813">
        <f t="shared" si="157"/>
        <v>31</v>
      </c>
      <c r="G813">
        <f t="shared" si="158"/>
        <v>2026</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Nightmare of Druaga</v>
      </c>
      <c r="B814">
        <f>IF($A814="","",games!$B814)</f>
        <v>2004</v>
      </c>
      <c r="C814" t="str">
        <f>IF($A814="","",games!$C814)</f>
        <v>Traditional</v>
      </c>
      <c r="D814">
        <f>IF($A814="","",COUNTIF(connections!$A$2:$A$1520,$A814)+COUNTIF(connections!$B$2:$B$1520,$A814))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2004</v>
      </c>
      <c r="N814">
        <f t="shared" si="165"/>
        <v>4.7359999999999998</v>
      </c>
      <c r="O814">
        <f t="shared" si="166"/>
        <v>1.0008140000000001</v>
      </c>
      <c r="P814" t="str">
        <f>IF(OR($A814="",games!$H814=""),"",games!$H814)</f>
        <v>Yes</v>
      </c>
      <c r="Q814">
        <f t="shared" si="167"/>
        <v>1.0008140000000001</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Ouroboros King</v>
      </c>
      <c r="B815">
        <f>IF($A815="","",games!$B815)</f>
        <v>2023</v>
      </c>
      <c r="C815" t="str">
        <f>IF($A815="","",games!$C815)</f>
        <v>Strategy</v>
      </c>
      <c r="D815">
        <f>IF($A815="","",COUNTIF(connections!$A$2:$A$1520,$A815)+COUNTIF(connections!$B$2:$B$1520,$A815))</f>
        <v>4</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Rogue Prince of Persia</v>
      </c>
      <c r="B816">
        <f>IF($A816="","",games!$B816)</f>
        <v>2024</v>
      </c>
      <c r="C816" t="str">
        <f>IF($A816="","",games!$C816)</f>
        <v>Action</v>
      </c>
      <c r="D816">
        <f>IF($A816="","",COUNTIF(connections!$A$2:$A$1520,$A816)+COUNTIF(connections!$B$2:$B$1520,$A816))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Royal Writ</v>
      </c>
      <c r="B817">
        <f>IF($A817="","",games!$B817)</f>
        <v>2025</v>
      </c>
      <c r="C817" t="str">
        <f>IF($A817="","",games!$C817)</f>
        <v>Deckbuilder</v>
      </c>
      <c r="D817">
        <f>IF($A817="","",COUNTIF(connections!$A$2:$A$1520,$A817)+COUNTIF(connections!$B$2:$B$1520,$A817))</f>
        <v>5</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5.0008169999999996</v>
      </c>
      <c r="P817" t="str">
        <f>IF(OR($A817="",games!$H817=""),"",games!$H817)</f>
        <v>Yes</v>
      </c>
      <c r="Q817">
        <f t="shared" si="167"/>
        <v>5.0008169999999996</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Spell Brigade</v>
      </c>
      <c r="B818">
        <f>IF($A818="","",games!$B818)</f>
        <v>2024</v>
      </c>
      <c r="C818" t="str">
        <f>IF($A818="","",games!$C818)</f>
        <v>Action</v>
      </c>
      <c r="D818">
        <f>IF($A818="","",COUNTIF(connections!$A$2:$A$1520,$A818)+COUNTIF(connections!$B$2:$B$1520,$A818))</f>
        <v>3</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Spirit Lift</v>
      </c>
      <c r="B819">
        <f>IF($A819="","",games!$B819)</f>
        <v>2026</v>
      </c>
      <c r="C819" t="str">
        <f>IF($A819="","",games!$C819)</f>
        <v>Deckbuilder</v>
      </c>
      <c r="D819">
        <f>IF($A819="","",COUNTIF(connections!$A$2:$A$1520,$A819)+COUNTIF(connections!$B$2:$B$1520,$A819))</f>
        <v>2</v>
      </c>
      <c r="E819">
        <f t="shared" si="156"/>
        <v>3</v>
      </c>
      <c r="F819">
        <f t="shared" si="157"/>
        <v>3</v>
      </c>
      <c r="G819" t="e">
        <f t="shared" si="158"/>
        <v>#N/A</v>
      </c>
      <c r="H819" t="e">
        <f t="shared" si="159"/>
        <v>#N/A</v>
      </c>
      <c r="I819" t="e">
        <f t="shared" si="160"/>
        <v>#N/A</v>
      </c>
      <c r="J819" t="e">
        <f t="shared" si="161"/>
        <v>#N/A</v>
      </c>
      <c r="K819">
        <f t="shared" si="162"/>
        <v>2026</v>
      </c>
      <c r="L819">
        <f t="shared" si="163"/>
        <v>3.069</v>
      </c>
      <c r="M819" t="e">
        <f t="shared" si="164"/>
        <v>#N/A</v>
      </c>
      <c r="N819" t="e">
        <f t="shared" si="165"/>
        <v>#N/A</v>
      </c>
      <c r="O819">
        <f t="shared" si="166"/>
        <v>2.0008189999999999</v>
      </c>
      <c r="P819" t="str">
        <f>IF(OR($A819="",games!$H819=""),"",games!$H819)</f>
        <v>Yes</v>
      </c>
      <c r="Q819">
        <f t="shared" si="167"/>
        <v>2.0008189999999999</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Unliving</v>
      </c>
      <c r="B820">
        <f>IF($A820="","",games!$B820)</f>
        <v>2022</v>
      </c>
      <c r="C820" t="str">
        <f>IF($A820="","",games!$C820)</f>
        <v>Action</v>
      </c>
      <c r="D820">
        <f>IF($A820="","",COUNTIF(connections!$A$2:$A$1520,$A820)+COUNTIF(connections!$B$2:$B$1520,$A820))</f>
        <v>3</v>
      </c>
      <c r="E820">
        <f t="shared" si="156"/>
        <v>1</v>
      </c>
      <c r="F820">
        <f t="shared" si="157"/>
        <v>4</v>
      </c>
      <c r="G820">
        <f t="shared" si="158"/>
        <v>2022</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Yes</v>
      </c>
      <c r="Q820">
        <f t="shared" si="167"/>
        <v>3.00082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Void Rains Upon Her Heart</v>
      </c>
      <c r="B821">
        <f>IF($A821="","",games!$B821)</f>
        <v>2018</v>
      </c>
      <c r="C821" t="str">
        <f>IF($A821="","",games!$C821)</f>
        <v>Action</v>
      </c>
      <c r="D821">
        <f>IF($A821="","",COUNTIF(connections!$A$2:$A$1520,$A821)+COUNTIF(connections!$B$2:$B$1520,$A821))</f>
        <v>1</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World is Your Weapon</v>
      </c>
      <c r="B822">
        <f>IF($A822="","",games!$B822)</f>
        <v>2014</v>
      </c>
      <c r="C822" t="str">
        <f>IF($A822="","",games!$C822)</f>
        <v>Traditional</v>
      </c>
      <c r="D822">
        <f>IF($A822="","",COUNTIF(connections!$A$2:$A$1520,$A822)+COUNTIF(connections!$B$2:$B$1520,$A822))</f>
        <v>1</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2014</v>
      </c>
      <c r="N822">
        <f t="shared" si="165"/>
        <v>4.1379999999999999</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There Are No Orcs</v>
      </c>
      <c r="B823">
        <f>IF($A823="","",games!$B823)</f>
        <v>2025</v>
      </c>
      <c r="C823" t="str">
        <f>IF($A823="","",games!$C823)</f>
        <v>Strategy</v>
      </c>
      <c r="D823">
        <f>IF($A823="","",COUNTIF(connections!$A$2:$A$1520,$A823)+COUNTIF(connections!$B$2:$B$1520,$A823))</f>
        <v>0</v>
      </c>
      <c r="E823">
        <f t="shared" si="156"/>
        <v>2</v>
      </c>
      <c r="F823">
        <f t="shared" si="157"/>
        <v>7</v>
      </c>
      <c r="G823" t="e">
        <f t="shared" si="158"/>
        <v>#N/A</v>
      </c>
      <c r="H823" t="e">
        <f t="shared" si="159"/>
        <v>#N/A</v>
      </c>
      <c r="I823">
        <f t="shared" si="160"/>
        <v>2025</v>
      </c>
      <c r="J823">
        <f t="shared" si="161"/>
        <v>2.161</v>
      </c>
      <c r="K823" t="e">
        <f t="shared" si="162"/>
        <v>#N/A</v>
      </c>
      <c r="L823" t="e">
        <f t="shared" si="163"/>
        <v>#N/A</v>
      </c>
      <c r="M823" t="e">
        <f t="shared" si="164"/>
        <v>#N/A</v>
      </c>
      <c r="N823" t="e">
        <f t="shared" si="165"/>
        <v>#N/A</v>
      </c>
      <c r="O823">
        <f t="shared" si="166"/>
        <v>8.2299999999999995E-4</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Tic Tactic</v>
      </c>
      <c r="B824">
        <f>IF($A824="","",games!$B824)</f>
        <v>2025</v>
      </c>
      <c r="C824" t="str">
        <f>IF($A824="","",games!$C824)</f>
        <v>Deckbuilder</v>
      </c>
      <c r="D824">
        <f>IF($A824="","",COUNTIF(connections!$A$2:$A$1520,$A824)+COUNTIF(connections!$B$2:$B$1520,$A824))</f>
        <v>3</v>
      </c>
      <c r="E824">
        <f t="shared" si="156"/>
        <v>3</v>
      </c>
      <c r="F824">
        <f t="shared" si="157"/>
        <v>8</v>
      </c>
      <c r="G824" t="e">
        <f t="shared" si="158"/>
        <v>#N/A</v>
      </c>
      <c r="H824" t="e">
        <f t="shared" si="159"/>
        <v>#N/A</v>
      </c>
      <c r="I824" t="e">
        <f t="shared" si="160"/>
        <v>#N/A</v>
      </c>
      <c r="J824" t="e">
        <f t="shared" si="161"/>
        <v>#N/A</v>
      </c>
      <c r="K824">
        <f t="shared" si="162"/>
        <v>2025</v>
      </c>
      <c r="L824">
        <f t="shared" si="163"/>
        <v>3.1840000000000002</v>
      </c>
      <c r="M824" t="e">
        <f t="shared" si="164"/>
        <v>#N/A</v>
      </c>
      <c r="N824" t="e">
        <f t="shared" si="165"/>
        <v>#N/A</v>
      </c>
      <c r="O824">
        <f t="shared" si="166"/>
        <v>3.0008240000000002</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Time Survivors</v>
      </c>
      <c r="B825">
        <f>IF($A825="","",games!$B825)</f>
        <v>2023</v>
      </c>
      <c r="C825" t="str">
        <f>IF($A825="","",games!$C825)</f>
        <v>Action</v>
      </c>
      <c r="D825">
        <f>IF($A825="","",COUNTIF(connections!$A$2:$A$1520,$A825)+COUNTIF(connections!$B$2:$B$1520,$A825))</f>
        <v>1</v>
      </c>
      <c r="E825">
        <f t="shared" si="156"/>
        <v>1</v>
      </c>
      <c r="F825">
        <f t="shared" si="157"/>
        <v>9</v>
      </c>
      <c r="G825">
        <f t="shared" si="158"/>
        <v>2023</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Wasters</v>
      </c>
      <c r="B826">
        <f>IF($A826="","",games!$B826)</f>
        <v>2023</v>
      </c>
      <c r="C826" t="str">
        <f>IF($A826="","",games!$C826)</f>
        <v>Action</v>
      </c>
      <c r="D826">
        <f>IF($A826="","",COUNTIF(connections!$A$2:$A$1520,$A826)+COUNTIF(connections!$B$2:$B$1520,$A826))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Tinker Shot</v>
      </c>
      <c r="B827">
        <f>IF($A827="","",games!$B827)</f>
        <v>2026</v>
      </c>
      <c r="C827" t="str">
        <f>IF($A827="","",games!$C827)</f>
        <v>Deckbuilder</v>
      </c>
      <c r="D827">
        <f>IF($A827="","",COUNTIF(connections!$A$2:$A$1520,$A827)+COUNTIF(connections!$B$2:$B$1520,$A827))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Tiny Auto Knights</v>
      </c>
      <c r="B828">
        <f>IF($A828="","",games!$B828)</f>
        <v>2025</v>
      </c>
      <c r="C828" t="str">
        <f>IF($A828="","",games!$C828)</f>
        <v>Deckbuilder</v>
      </c>
      <c r="D828">
        <f>IF($A828="","",COUNTIF(connections!$A$2:$A$1520,$A828)+COUNTIF(connections!$B$2:$B$1520,$A828))</f>
        <v>5</v>
      </c>
      <c r="E828">
        <f t="shared" si="156"/>
        <v>3</v>
      </c>
      <c r="F828">
        <f t="shared" si="157"/>
        <v>12</v>
      </c>
      <c r="G828" t="e">
        <f t="shared" si="158"/>
        <v>#N/A</v>
      </c>
      <c r="H828" t="e">
        <f t="shared" si="159"/>
        <v>#N/A</v>
      </c>
      <c r="I828" t="e">
        <f t="shared" si="160"/>
        <v>#N/A</v>
      </c>
      <c r="J828" t="e">
        <f t="shared" si="161"/>
        <v>#N/A</v>
      </c>
      <c r="K828">
        <f t="shared" si="162"/>
        <v>2025</v>
      </c>
      <c r="L828">
        <f t="shared" si="163"/>
        <v>3.2759999999999998</v>
      </c>
      <c r="M828" t="e">
        <f t="shared" si="164"/>
        <v>#N/A</v>
      </c>
      <c r="N828" t="e">
        <f t="shared" si="165"/>
        <v>#N/A</v>
      </c>
      <c r="O828">
        <f t="shared" si="166"/>
        <v>5.0008280000000003</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Rogues</v>
      </c>
      <c r="B829">
        <f>IF($A829="","",games!$B829)</f>
        <v>2022</v>
      </c>
      <c r="C829" t="str">
        <f>IF($A829="","",games!$C829)</f>
        <v>Action</v>
      </c>
      <c r="D829">
        <f>IF($A829="","",COUNTIF(connections!$A$2:$A$1520,$A829)+COUNTIF(connections!$B$2:$B$1520,$A829))</f>
        <v>9</v>
      </c>
      <c r="E829">
        <f t="shared" si="156"/>
        <v>1</v>
      </c>
      <c r="F829">
        <f t="shared" si="157"/>
        <v>13</v>
      </c>
      <c r="G829">
        <f t="shared" si="158"/>
        <v>2022</v>
      </c>
      <c r="H829">
        <f t="shared" si="159"/>
        <v>1.2989999999999999</v>
      </c>
      <c r="I829" t="e">
        <f t="shared" si="160"/>
        <v>#N/A</v>
      </c>
      <c r="J829" t="e">
        <f t="shared" si="161"/>
        <v>#N/A</v>
      </c>
      <c r="K829" t="e">
        <f t="shared" si="162"/>
        <v>#N/A</v>
      </c>
      <c r="L829" t="e">
        <f t="shared" si="163"/>
        <v>#N/A</v>
      </c>
      <c r="M829" t="e">
        <f t="shared" si="164"/>
        <v>#N/A</v>
      </c>
      <c r="N829" t="e">
        <f t="shared" si="165"/>
        <v>#N/A</v>
      </c>
      <c r="O829">
        <f t="shared" si="166"/>
        <v>9.0008289999999995</v>
      </c>
      <c r="P829" t="str">
        <f>IF(OR($A829="",games!$H829=""),"",games!$H829)</f>
        <v>Yes</v>
      </c>
      <c r="Q829">
        <f t="shared" si="167"/>
        <v>9.0008289999999995</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Tinyfolks</v>
      </c>
      <c r="B830">
        <f>IF($A830="","",games!$B830)</f>
        <v>2022</v>
      </c>
      <c r="C830" t="str">
        <f>IF($A830="","",games!$C830)</f>
        <v>Strategy</v>
      </c>
      <c r="D830">
        <f>IF($A830="","",COUNTIF(connections!$A$2:$A$1520,$A830)+COUNTIF(connections!$B$2:$B$1520,$A830))</f>
        <v>1</v>
      </c>
      <c r="E830">
        <f t="shared" si="156"/>
        <v>2</v>
      </c>
      <c r="F830">
        <f t="shared" si="157"/>
        <v>14</v>
      </c>
      <c r="G830" t="e">
        <f t="shared" si="158"/>
        <v>#N/A</v>
      </c>
      <c r="H830" t="e">
        <f t="shared" si="159"/>
        <v>#N/A</v>
      </c>
      <c r="I830">
        <f t="shared" si="160"/>
        <v>2022</v>
      </c>
      <c r="J830">
        <f t="shared" si="161"/>
        <v>2.3220000000000001</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ToeJam &amp; Earl</v>
      </c>
      <c r="B831">
        <f>IF($A831="","",games!$B831)</f>
        <v>1991</v>
      </c>
      <c r="C831" t="str">
        <f>IF($A831="","",games!$C831)</f>
        <v>Action</v>
      </c>
      <c r="D831">
        <f>IF($A831="","",COUNTIF(connections!$A$2:$A$1520,$A831)+COUNTIF(connections!$B$2:$B$1520,$A831))</f>
        <v>3</v>
      </c>
      <c r="E831">
        <f t="shared" si="156"/>
        <v>1</v>
      </c>
      <c r="F831">
        <f t="shared" si="157"/>
        <v>15</v>
      </c>
      <c r="G831">
        <f t="shared" si="158"/>
        <v>1991</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Yes</v>
      </c>
      <c r="Q831">
        <f t="shared" si="167"/>
        <v>3.0008309999999998</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 Back in the Groove!</v>
      </c>
      <c r="B832">
        <f>IF($A832="","",games!$B832)</f>
        <v>2019</v>
      </c>
      <c r="C832" t="str">
        <f>IF($A832="","",games!$C832)</f>
        <v>Action</v>
      </c>
      <c r="D832">
        <f>IF($A832="","",COUNTIF(connections!$A$2:$A$1520,$A832)+COUNTIF(connections!$B$2:$B$1520,$A832))</f>
        <v>1</v>
      </c>
      <c r="E832">
        <f t="shared" si="156"/>
        <v>1</v>
      </c>
      <c r="F832">
        <f t="shared" si="157"/>
        <v>16</v>
      </c>
      <c r="G832">
        <f t="shared" si="158"/>
        <v>2019</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TombStar</v>
      </c>
      <c r="B833">
        <f>IF($A833="","",games!$B833)</f>
        <v>2022</v>
      </c>
      <c r="C833" t="str">
        <f>IF($A833="","",games!$C833)</f>
        <v>Action</v>
      </c>
      <c r="D833">
        <f>IF($A833="","",COUNTIF(connections!$A$2:$A$1520,$A833)+COUNTIF(connections!$B$2:$B$1520,$A833))</f>
        <v>2</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Yes</v>
      </c>
      <c r="Q833">
        <f t="shared" si="167"/>
        <v>2.0008330000000001</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Torneko: The Last Hope</v>
      </c>
      <c r="B834">
        <f>IF($A834="","",games!$B834)</f>
        <v>1999</v>
      </c>
      <c r="C834" t="str">
        <f>IF($A834="","",games!$C834)</f>
        <v>Traditional</v>
      </c>
      <c r="D834">
        <f>IF($A834="","",COUNTIF(connections!$A$2:$A$1520,$A834)+COUNTIF(connections!$B$2:$B$1520,$A834))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1999</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Torneko's Great Adventure 3</v>
      </c>
      <c r="B835">
        <f>IF($A835="","",games!$B835)</f>
        <v>2002</v>
      </c>
      <c r="C835" t="str">
        <f>IF($A835="","",games!$C835)</f>
        <v>Traditional</v>
      </c>
      <c r="D835">
        <f>IF($A835="","",COUNTIF(connections!$A$2:$A$1520,$A835)+COUNTIF(connections!$B$2:$B$1520,$A835))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2002</v>
      </c>
      <c r="N835">
        <f t="shared" si="178"/>
        <v>4.4370000000000003</v>
      </c>
      <c r="O835">
        <f t="shared" si="179"/>
        <v>1.0008349999999999</v>
      </c>
      <c r="P835" t="str">
        <f>IF(OR($A835="",games!$H835=""),"",games!$H835)</f>
        <v>Yes</v>
      </c>
      <c r="Q835">
        <f t="shared" si="180"/>
        <v>1.0008349999999999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Mystery Dungeon</v>
      </c>
      <c r="B836">
        <f>IF($A836="","",games!$B836)</f>
        <v>1993</v>
      </c>
      <c r="C836" t="str">
        <f>IF($A836="","",games!$C836)</f>
        <v>Traditional</v>
      </c>
      <c r="D836">
        <f>IF($A836="","",COUNTIF(connections!$A$2:$A$1520,$A836)+COUNTIF(connections!$B$2:$B$1520,$A836))</f>
        <v>28</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1993</v>
      </c>
      <c r="N836">
        <f t="shared" si="178"/>
        <v>4.46</v>
      </c>
      <c r="O836">
        <f t="shared" si="179"/>
        <v>28.000836</v>
      </c>
      <c r="P836" t="str">
        <f>IF(OR($A836="",games!$H836=""),"",games!$H836)</f>
        <v>Yes</v>
      </c>
      <c r="Q836">
        <f t="shared" si="180"/>
        <v>28.000836</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Touhou Crawl</v>
      </c>
      <c r="B837">
        <f>IF($A837="","",games!$B837)</f>
        <v>2025</v>
      </c>
      <c r="C837" t="str">
        <f>IF($A837="","",games!$C837)</f>
        <v>Traditional</v>
      </c>
      <c r="D837">
        <f>IF($A837="","",COUNTIF(connections!$A$2:$A$1520,$A837)+COUNTIF(connections!$B$2:$B$1520,$A837))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2025</v>
      </c>
      <c r="N837">
        <f t="shared" si="178"/>
        <v>4.4829999999999997</v>
      </c>
      <c r="O837">
        <f t="shared" si="179"/>
        <v>1.000837</v>
      </c>
      <c r="P837" t="str">
        <f>IF(OR($A837="",games!$H837=""),"",games!$H837)</f>
        <v>Yes</v>
      </c>
      <c r="Q837">
        <f t="shared" si="180"/>
        <v>1.000837</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Genso Wanderer: Foresight</v>
      </c>
      <c r="B838">
        <f>IF($A838="","",games!$B838)</f>
        <v>2024</v>
      </c>
      <c r="C838" t="str">
        <f>IF($A838="","",games!$C838)</f>
        <v>Traditional</v>
      </c>
      <c r="D838">
        <f>IF($A838="","",COUNTIF(connections!$A$2:$A$1520,$A838)+COUNTIF(connections!$B$2:$B$1520,$A838))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2024</v>
      </c>
      <c r="N838">
        <f t="shared" si="178"/>
        <v>4.5060000000000002</v>
      </c>
      <c r="O838">
        <f t="shared" si="179"/>
        <v>1.0008379999999999</v>
      </c>
      <c r="P838" t="str">
        <f>IF(OR($A838="",games!$H838=""),"",games!$H838)</f>
        <v/>
      </c>
      <c r="Q838" t="str">
        <f t="shared" si="180"/>
        <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Lotus Labyrinth R</v>
      </c>
      <c r="B839">
        <f>IF($A839="","",games!$B839)</f>
        <v>2021</v>
      </c>
      <c r="C839" t="str">
        <f>IF($A839="","",games!$C839)</f>
        <v>Traditional</v>
      </c>
      <c r="D839">
        <f>IF($A839="","",COUNTIF(connections!$A$2:$A$1520,$A839)+COUNTIF(connections!$B$2:$B$1520,$A839))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2021</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Lost Branch of Legend</v>
      </c>
      <c r="B840">
        <f>IF($A840="","",games!$B840)</f>
        <v>2022</v>
      </c>
      <c r="C840" t="str">
        <f>IF($A840="","",games!$C840)</f>
        <v>Deckbuilder</v>
      </c>
      <c r="D840">
        <f>IF($A840="","",COUNTIF(connections!$A$2:$A$1520,$A840)+COUNTIF(connections!$B$2:$B$1520,$A840))</f>
        <v>1</v>
      </c>
      <c r="E840">
        <f t="shared" si="169"/>
        <v>3</v>
      </c>
      <c r="F840">
        <f t="shared" si="170"/>
        <v>24</v>
      </c>
      <c r="G840" t="e">
        <f t="shared" si="171"/>
        <v>#N/A</v>
      </c>
      <c r="H840" t="e">
        <f t="shared" si="172"/>
        <v>#N/A</v>
      </c>
      <c r="I840" t="e">
        <f t="shared" si="173"/>
        <v>#N/A</v>
      </c>
      <c r="J840" t="e">
        <f t="shared" si="174"/>
        <v>#N/A</v>
      </c>
      <c r="K840">
        <f t="shared" si="175"/>
        <v>2022</v>
      </c>
      <c r="L840">
        <f t="shared" si="176"/>
        <v>3.552</v>
      </c>
      <c r="M840" t="e">
        <f t="shared" si="177"/>
        <v>#N/A</v>
      </c>
      <c r="N840" t="e">
        <f t="shared" si="178"/>
        <v>#N/A</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Red Empress Devil</v>
      </c>
      <c r="B841">
        <f>IF($A841="","",games!$B841)</f>
        <v>2024</v>
      </c>
      <c r="C841" t="str">
        <f>IF($A841="","",games!$C841)</f>
        <v>Action</v>
      </c>
      <c r="D841">
        <f>IF($A841="","",COUNTIF(connections!$A$2:$A$1520,$A841)+COUNTIF(connections!$B$2:$B$1520,$A841))</f>
        <v>0</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8.4099999999999995E-4</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Tower Dominion</v>
      </c>
      <c r="B842">
        <f>IF($A842="","",games!$B842)</f>
        <v>2025</v>
      </c>
      <c r="C842" t="str">
        <f>IF($A842="","",games!$C842)</f>
        <v>Strategy</v>
      </c>
      <c r="D842">
        <f>IF($A842="","",COUNTIF(connections!$A$2:$A$1520,$A842)+COUNTIF(connections!$B$2:$B$1520,$A842))</f>
        <v>1</v>
      </c>
      <c r="E842">
        <f t="shared" si="169"/>
        <v>2</v>
      </c>
      <c r="F842">
        <f t="shared" si="170"/>
        <v>26</v>
      </c>
      <c r="G842" t="e">
        <f t="shared" si="171"/>
        <v>#N/A</v>
      </c>
      <c r="H842" t="e">
        <f t="shared" si="172"/>
        <v>#N/A</v>
      </c>
      <c r="I842">
        <f t="shared" si="173"/>
        <v>2025</v>
      </c>
      <c r="J842">
        <f t="shared" si="174"/>
        <v>2.5979999999999999</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Escape</v>
      </c>
      <c r="B843">
        <f>IF($A843="","",games!$B843)</f>
        <v>2023</v>
      </c>
      <c r="C843" t="str">
        <f>IF($A843="","",games!$C843)</f>
        <v>Deckbuilder</v>
      </c>
      <c r="D843">
        <f>IF($A843="","",COUNTIF(connections!$A$2:$A$1520,$A843)+COUNTIF(connections!$B$2:$B$1520,$A843))</f>
        <v>2</v>
      </c>
      <c r="E843">
        <f t="shared" si="169"/>
        <v>3</v>
      </c>
      <c r="F843">
        <f t="shared" si="170"/>
        <v>27</v>
      </c>
      <c r="G843" t="e">
        <f t="shared" si="171"/>
        <v>#N/A</v>
      </c>
      <c r="H843" t="e">
        <f t="shared" si="172"/>
        <v>#N/A</v>
      </c>
      <c r="I843" t="e">
        <f t="shared" si="173"/>
        <v>#N/A</v>
      </c>
      <c r="J843" t="e">
        <f t="shared" si="174"/>
        <v>#N/A</v>
      </c>
      <c r="K843">
        <f t="shared" si="175"/>
        <v>2023</v>
      </c>
      <c r="L843">
        <f t="shared" si="176"/>
        <v>3.621</v>
      </c>
      <c r="M843" t="e">
        <f t="shared" si="177"/>
        <v>#N/A</v>
      </c>
      <c r="N843" t="e">
        <f t="shared" si="178"/>
        <v>#N/A</v>
      </c>
      <c r="O843">
        <f t="shared" si="179"/>
        <v>2.0008430000000001</v>
      </c>
      <c r="P843" t="str">
        <f>IF(OR($A843="",games!$H843=""),"",games!$H843)</f>
        <v>Yes</v>
      </c>
      <c r="Q843">
        <f t="shared" si="180"/>
        <v>2.0008430000000001</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Factory</v>
      </c>
      <c r="B844">
        <f>IF($A844="","",games!$B844)</f>
        <v>2024</v>
      </c>
      <c r="C844" t="str">
        <f>IF($A844="","",games!$C844)</f>
        <v>Strategy</v>
      </c>
      <c r="D844">
        <f>IF($A844="","",COUNTIF(connections!$A$2:$A$1520,$A844)+COUNTIF(connections!$B$2:$B$1520,$A844))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Fortress</v>
      </c>
      <c r="B845">
        <f>IF($A845="","",games!$B845)</f>
        <v>2017</v>
      </c>
      <c r="C845" t="str">
        <f>IF($A845="","",games!$C845)</f>
        <v>Action</v>
      </c>
      <c r="D845">
        <f>IF($A845="","",COUNTIF(connections!$A$2:$A$1520,$A845)+COUNTIF(connections!$B$2:$B$1520,$A845))</f>
        <v>1</v>
      </c>
      <c r="E845">
        <f t="shared" si="169"/>
        <v>1</v>
      </c>
      <c r="F845">
        <f t="shared" si="170"/>
        <v>29</v>
      </c>
      <c r="G845">
        <f t="shared" si="171"/>
        <v>2017</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of Guns</v>
      </c>
      <c r="B846">
        <f>IF($A846="","",games!$B846)</f>
        <v>2014</v>
      </c>
      <c r="C846" t="str">
        <f>IF($A846="","",games!$C846)</f>
        <v>Action</v>
      </c>
      <c r="D846">
        <f>IF($A846="","",COUNTIF(connections!$A$2:$A$1520,$A846)+COUNTIF(connections!$B$2:$B$1520,$A846))</f>
        <v>2</v>
      </c>
      <c r="E846">
        <f t="shared" si="169"/>
        <v>1</v>
      </c>
      <c r="F846">
        <f t="shared" si="170"/>
        <v>30</v>
      </c>
      <c r="G846">
        <f t="shared" si="171"/>
        <v>2014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Tactics: Liberation</v>
      </c>
      <c r="B847">
        <f>IF($A847="","",games!$B847)</f>
        <v>2021</v>
      </c>
      <c r="C847" t="str">
        <f>IF($A847="","",games!$C847)</f>
        <v>Deckbuilder</v>
      </c>
      <c r="D847">
        <f>IF($A847="","",COUNTIF(connections!$A$2:$A$1520,$A847)+COUNTIF(connections!$B$2:$B$1520,$A847))</f>
        <v>3</v>
      </c>
      <c r="E847">
        <f t="shared" si="169"/>
        <v>3</v>
      </c>
      <c r="F847">
        <f t="shared" si="170"/>
        <v>31</v>
      </c>
      <c r="G847" t="e">
        <f t="shared" si="171"/>
        <v>#N/A</v>
      </c>
      <c r="H847" t="e">
        <f t="shared" si="172"/>
        <v>#N/A</v>
      </c>
      <c r="I847" t="e">
        <f t="shared" si="173"/>
        <v>#N/A</v>
      </c>
      <c r="J847" t="e">
        <f t="shared" si="174"/>
        <v>#N/A</v>
      </c>
      <c r="K847">
        <f t="shared" si="175"/>
        <v>2021</v>
      </c>
      <c r="L847">
        <f t="shared" si="176"/>
        <v>3.7130000000000001</v>
      </c>
      <c r="M847" t="e">
        <f t="shared" si="177"/>
        <v>#N/A</v>
      </c>
      <c r="N847" t="e">
        <f t="shared" si="178"/>
        <v>#N/A</v>
      </c>
      <c r="O847">
        <f t="shared" si="179"/>
        <v>3.0008469999999998</v>
      </c>
      <c r="P847" t="str">
        <f>IF(OR($A847="",games!$H847=""),"",games!$H847)</f>
        <v>Yes</v>
      </c>
      <c r="Q847">
        <f t="shared" si="180"/>
        <v>3.0008469999999998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Toy Smash Kaboom!</v>
      </c>
      <c r="B848">
        <f>IF($A848="","",games!$B848)</f>
        <v>2025</v>
      </c>
      <c r="C848" t="str">
        <f>IF($A848="","",games!$C848)</f>
        <v>Deckbuilder</v>
      </c>
      <c r="D848">
        <f>IF($A848="","",COUNTIF(connections!$A$2:$A$1520,$A848)+COUNTIF(connections!$B$2:$B$1520,$A848))</f>
        <v>1</v>
      </c>
      <c r="E848">
        <f t="shared" si="169"/>
        <v>3</v>
      </c>
      <c r="F848">
        <f t="shared" si="170"/>
        <v>32</v>
      </c>
      <c r="G848" t="e">
        <f t="shared" si="171"/>
        <v>#N/A</v>
      </c>
      <c r="H848" t="e">
        <f t="shared" si="172"/>
        <v>#N/A</v>
      </c>
      <c r="I848" t="e">
        <f t="shared" si="173"/>
        <v>#N/A</v>
      </c>
      <c r="J848" t="e">
        <f t="shared" si="174"/>
        <v>#N/A</v>
      </c>
      <c r="K848">
        <f t="shared" si="175"/>
        <v>2025</v>
      </c>
      <c r="L848">
        <f t="shared" si="176"/>
        <v>3.7359999999999998</v>
      </c>
      <c r="M848" t="e">
        <f t="shared" si="177"/>
        <v>#N/A</v>
      </c>
      <c r="N848" t="e">
        <f t="shared" si="178"/>
        <v>#N/A</v>
      </c>
      <c r="O848">
        <f t="shared" si="179"/>
        <v>1.000848</v>
      </c>
      <c r="P848" t="str">
        <f>IF(OR($A848="",games!$H848=""),"",games!$H848)</f>
        <v/>
      </c>
      <c r="Q848" t="str">
        <f t="shared" si="180"/>
        <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Trash of the Titans</v>
      </c>
      <c r="B849">
        <f>IF($A849="","",games!$B849)</f>
        <v>2024</v>
      </c>
      <c r="C849" t="str">
        <f>IF($A849="","",games!$C849)</f>
        <v>Strategy</v>
      </c>
      <c r="D849">
        <f>IF($A849="","",COUNTIF(connections!$A$2:$A$1520,$A849)+COUNTIF(connections!$B$2:$B$1520,$A849))</f>
        <v>1</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Trials of Fire</v>
      </c>
      <c r="B850">
        <f>IF($A850="","",games!$B850)</f>
        <v>2019</v>
      </c>
      <c r="C850" t="str">
        <f>IF($A850="","",games!$C850)</f>
        <v>Deckbuilder</v>
      </c>
      <c r="D850">
        <f>IF($A850="","",COUNTIF(connections!$A$2:$A$1520,$A850)+COUNTIF(connections!$B$2:$B$1520,$A850))</f>
        <v>1</v>
      </c>
      <c r="E850">
        <f t="shared" si="169"/>
        <v>3</v>
      </c>
      <c r="F850">
        <f t="shared" si="170"/>
        <v>0</v>
      </c>
      <c r="G850" t="e">
        <f t="shared" si="171"/>
        <v>#N/A</v>
      </c>
      <c r="H850" t="e">
        <f t="shared" si="172"/>
        <v>#N/A</v>
      </c>
      <c r="I850" t="e">
        <f t="shared" si="173"/>
        <v>#N/A</v>
      </c>
      <c r="J850" t="e">
        <f t="shared" si="174"/>
        <v>#N/A</v>
      </c>
      <c r="K850">
        <f t="shared" si="175"/>
        <v>2019</v>
      </c>
      <c r="L850">
        <f t="shared" si="176"/>
        <v>3</v>
      </c>
      <c r="M850" t="e">
        <f t="shared" si="177"/>
        <v>#N/A</v>
      </c>
      <c r="N850" t="e">
        <f t="shared" si="178"/>
        <v>#N/A</v>
      </c>
      <c r="O850">
        <f t="shared" si="179"/>
        <v>1.00085</v>
      </c>
      <c r="P850" t="str">
        <f>IF(OR($A850="",games!$H850=""),"",games!$H850)</f>
        <v>Yes</v>
      </c>
      <c r="Q850">
        <f t="shared" si="180"/>
        <v>1.00085</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TumbleSeed</v>
      </c>
      <c r="B851">
        <f>IF($A851="","",games!$B851)</f>
        <v>2017</v>
      </c>
      <c r="C851" t="str">
        <f>IF($A851="","",games!$C851)</f>
        <v>Action</v>
      </c>
      <c r="D851">
        <f>IF($A851="","",COUNTIF(connections!$A$2:$A$1520,$A851)+COUNTIF(connections!$B$2:$B$1520,$A851))</f>
        <v>3</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3.0008509999999999</v>
      </c>
      <c r="P851" t="str">
        <f>IF(OR($A851="",games!$H851=""),"",games!$H851)</f>
        <v/>
      </c>
      <c r="Q851" t="str">
        <f t="shared" si="180"/>
        <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Turnbound</v>
      </c>
      <c r="B852">
        <f>IF($A852="","",games!$B852)</f>
        <v>2026</v>
      </c>
      <c r="C852" t="str">
        <f>IF($A852="","",games!$C852)</f>
        <v>Deckbuilder</v>
      </c>
      <c r="D852">
        <f>IF($A852="","",COUNTIF(connections!$A$2:$A$1520,$A852)+COUNTIF(connections!$B$2:$B$1520,$A852))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Tyrant's Realm</v>
      </c>
      <c r="B853">
        <f>IF($A853="","",games!$B853)</f>
        <v>2025</v>
      </c>
      <c r="C853" t="str">
        <f>IF($A853="","",games!$C853)</f>
        <v>Action</v>
      </c>
      <c r="D853">
        <f>IF($A853="","",COUNTIF(connections!$A$2:$A$1520,$A853)+COUNTIF(connections!$B$2:$B$1520,$A853))</f>
        <v>1</v>
      </c>
      <c r="E853">
        <f t="shared" si="169"/>
        <v>1</v>
      </c>
      <c r="F853">
        <f t="shared" si="170"/>
        <v>3</v>
      </c>
      <c r="G853">
        <f t="shared" si="171"/>
        <v>2025</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Ultima Ratio Regum</v>
      </c>
      <c r="B854">
        <f>IF($A854="","",games!$B854)</f>
        <v>2012</v>
      </c>
      <c r="C854" t="str">
        <f>IF($A854="","",games!$C854)</f>
        <v>Traditional</v>
      </c>
      <c r="D854">
        <f>IF($A854="","",COUNTIF(connections!$A$2:$A$1520,$A854)+COUNTIF(connections!$B$2:$B$1520,$A854))</f>
        <v>3</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2012</v>
      </c>
      <c r="N854">
        <f t="shared" si="178"/>
        <v>4.0919999999999996</v>
      </c>
      <c r="O854">
        <f t="shared" si="179"/>
        <v>3.0008539999999999</v>
      </c>
      <c r="P854" t="str">
        <f>IF(OR($A854="",games!$H854=""),"",games!$H854)</f>
        <v/>
      </c>
      <c r="Q854" t="str">
        <f t="shared" si="180"/>
        <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Ultimate ADOM</v>
      </c>
      <c r="B855">
        <f>IF($A855="","",games!$B855)</f>
        <v>2021</v>
      </c>
      <c r="C855" t="str">
        <f>IF($A855="","",games!$C855)</f>
        <v>Traditional</v>
      </c>
      <c r="D855">
        <f>IF($A855="","",COUNTIF(connections!$A$2:$A$1520,$A855)+COUNTIF(connections!$B$2:$B$1520,$A855))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2021</v>
      </c>
      <c r="N855">
        <f t="shared" si="178"/>
        <v>4.1150000000000002</v>
      </c>
      <c r="O855">
        <f t="shared" si="179"/>
        <v>1.0008550000000001</v>
      </c>
      <c r="P855" t="str">
        <f>IF(OR($A855="",games!$H855=""),"",games!$H855)</f>
        <v>Yes</v>
      </c>
      <c r="Q855">
        <f t="shared" si="180"/>
        <v>1.0008550000000001</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Ultrapool</v>
      </c>
      <c r="B856">
        <f>IF($A856="","",games!$B856)</f>
        <v>2026</v>
      </c>
      <c r="C856" t="str">
        <f>IF($A856="","",games!$C856)</f>
        <v>Deckbuilder</v>
      </c>
      <c r="D856">
        <f>IF($A856="","",COUNTIF(connections!$A$2:$A$1520,$A856)+COUNTIF(connections!$B$2:$B$1520,$A856))</f>
        <v>2</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Uma Musume: Pretty Derby</v>
      </c>
      <c r="B857">
        <f>IF($A857="","",games!$B857)</f>
        <v>2021</v>
      </c>
      <c r="C857" t="str">
        <f>IF($A857="","",games!$C857)</f>
        <v>Strategy</v>
      </c>
      <c r="D857">
        <f>IF($A857="","",COUNTIF(connections!$A$2:$A$1520,$A857)+COUNTIF(connections!$B$2:$B$1520,$A857))</f>
        <v>1</v>
      </c>
      <c r="E857">
        <f t="shared" si="169"/>
        <v>2</v>
      </c>
      <c r="F857">
        <f t="shared" si="170"/>
        <v>7</v>
      </c>
      <c r="G857" t="e">
        <f t="shared" si="171"/>
        <v>#N/A</v>
      </c>
      <c r="H857" t="e">
        <f t="shared" si="172"/>
        <v>#N/A</v>
      </c>
      <c r="I857">
        <f t="shared" si="173"/>
        <v>2021</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Underdogs</v>
      </c>
      <c r="B858">
        <f>IF($A858="","",games!$B858)</f>
        <v>2024</v>
      </c>
      <c r="C858" t="str">
        <f>IF($A858="","",games!$C858)</f>
        <v>Action</v>
      </c>
      <c r="D858">
        <f>IF($A858="","",COUNTIF(connections!$A$2:$A$1520,$A858)+COUNTIF(connections!$B$2:$B$1520,$A858))</f>
        <v>0</v>
      </c>
      <c r="E858">
        <f t="shared" si="169"/>
        <v>1</v>
      </c>
      <c r="F858">
        <f t="shared" si="170"/>
        <v>8</v>
      </c>
      <c r="G858">
        <f t="shared" si="171"/>
        <v>2024</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UnderMine</v>
      </c>
      <c r="B859">
        <f>IF($A859="","",games!$B859)</f>
        <v>2019</v>
      </c>
      <c r="C859" t="str">
        <f>IF($A859="","",games!$C859)</f>
        <v>Action</v>
      </c>
      <c r="D859">
        <f>IF($A859="","",COUNTIF(connections!$A$2:$A$1520,$A859)+COUNTIF(connections!$B$2:$B$1520,$A859))</f>
        <v>6</v>
      </c>
      <c r="E859">
        <f t="shared" si="169"/>
        <v>1</v>
      </c>
      <c r="F859">
        <f t="shared" si="170"/>
        <v>9</v>
      </c>
      <c r="G859">
        <f t="shared" si="171"/>
        <v>2019</v>
      </c>
      <c r="H859">
        <f t="shared" si="172"/>
        <v>1.2070000000000001</v>
      </c>
      <c r="I859" t="e">
        <f t="shared" si="173"/>
        <v>#N/A</v>
      </c>
      <c r="J859" t="e">
        <f t="shared" si="174"/>
        <v>#N/A</v>
      </c>
      <c r="K859" t="e">
        <f t="shared" si="175"/>
        <v>#N/A</v>
      </c>
      <c r="L859" t="e">
        <f t="shared" si="176"/>
        <v>#N/A</v>
      </c>
      <c r="M859" t="e">
        <f t="shared" si="177"/>
        <v>#N/A</v>
      </c>
      <c r="N859" t="e">
        <f t="shared" si="178"/>
        <v>#N/A</v>
      </c>
      <c r="O859">
        <f t="shared" si="179"/>
        <v>6.0008590000000002</v>
      </c>
      <c r="P859" t="str">
        <f>IF(OR($A859="",games!$H859=""),"",games!$H859)</f>
        <v>Yes</v>
      </c>
      <c r="Q859">
        <f t="shared" si="180"/>
        <v>6.0008590000000002</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UnderMine 2</v>
      </c>
      <c r="B860">
        <f>IF($A860="","",games!$B860)</f>
        <v>2025</v>
      </c>
      <c r="C860" t="str">
        <f>IF($A860="","",games!$C860)</f>
        <v>Action</v>
      </c>
      <c r="D860">
        <f>IF($A860="","",COUNTIF(connections!$A$2:$A$1520,$A860)+COUNTIF(connections!$B$2:$B$1520,$A860))</f>
        <v>2</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2.0008599999999999</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Unexplored</v>
      </c>
      <c r="B861">
        <f>IF($A861="","",games!$B861)</f>
        <v>2017</v>
      </c>
      <c r="C861" t="str">
        <f>IF($A861="","",games!$C861)</f>
        <v>Action</v>
      </c>
      <c r="D861">
        <f>IF($A861="","",COUNTIF(connections!$A$2:$A$1520,$A861)+COUNTIF(connections!$B$2:$B$1520,$A861))</f>
        <v>5</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5.0008609999999996</v>
      </c>
      <c r="P861" t="str">
        <f>IF(OR($A861="",games!$H861=""),"",games!$H861)</f>
        <v/>
      </c>
      <c r="Q861" t="str">
        <f t="shared" si="180"/>
        <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Unexplored 2: The Wayfarer's Legacy</v>
      </c>
      <c r="B862">
        <f>IF($A862="","",games!$B862)</f>
        <v>2022</v>
      </c>
      <c r="C862" t="str">
        <f>IF($A862="","",games!$C862)</f>
        <v>Action</v>
      </c>
      <c r="D862">
        <f>IF($A862="","",COUNTIF(connections!$A$2:$A$1520,$A862)+COUNTIF(connections!$B$2:$B$1520,$A862))</f>
        <v>1</v>
      </c>
      <c r="E862">
        <f t="shared" si="169"/>
        <v>1</v>
      </c>
      <c r="F862">
        <f t="shared" si="170"/>
        <v>12</v>
      </c>
      <c r="G862">
        <f t="shared" si="171"/>
        <v>2022</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UnReal World</v>
      </c>
      <c r="B863">
        <f>IF($A863="","",games!$B863)</f>
        <v>1992</v>
      </c>
      <c r="C863" t="str">
        <f>IF($A863="","",games!$C863)</f>
        <v>Traditional</v>
      </c>
      <c r="D863">
        <f>IF($A863="","",COUNTIF(connections!$A$2:$A$1520,$A863)+COUNTIF(connections!$B$2:$B$1520,$A863))</f>
        <v>3</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1992</v>
      </c>
      <c r="N863">
        <f t="shared" si="178"/>
        <v>4.2990000000000004</v>
      </c>
      <c r="O863">
        <f t="shared" si="179"/>
        <v>3.0008629999999998</v>
      </c>
      <c r="P863" t="str">
        <f>IF(OR($A863="",games!$H863=""),"",games!$H863)</f>
        <v>Yes</v>
      </c>
      <c r="Q863">
        <f t="shared" si="180"/>
        <v>3.0008629999999998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Vagante</v>
      </c>
      <c r="B864">
        <f>IF($A864="","",games!$B864)</f>
        <v>2018</v>
      </c>
      <c r="C864" t="str">
        <f>IF($A864="","",games!$C864)</f>
        <v>Action</v>
      </c>
      <c r="D864">
        <f>IF($A864="","",COUNTIF(connections!$A$2:$A$1520,$A864)+COUNTIF(connections!$B$2:$B$1520,$A864))</f>
        <v>3</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3.000864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Vampire Crawlers</v>
      </c>
      <c r="B865">
        <f>IF($A865="","",games!$B865)</f>
        <v>2026</v>
      </c>
      <c r="C865" t="str">
        <f>IF($A865="","",games!$C865)</f>
        <v>Deckbuilder</v>
      </c>
      <c r="D865">
        <f>IF($A865="","",COUNTIF(connections!$A$2:$A$1520,$A865)+COUNTIF(connections!$B$2:$B$1520,$A865))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Vampire Hunters</v>
      </c>
      <c r="B866">
        <f>IF($A866="","",games!$B866)</f>
        <v>2023</v>
      </c>
      <c r="C866" t="str">
        <f>IF($A866="","",games!$C866)</f>
        <v>Action</v>
      </c>
      <c r="D866">
        <f>IF($A866="","",COUNTIF(connections!$A$2:$A$1520,$A866)+COUNTIF(connections!$B$2:$B$1520,$A866))</f>
        <v>3</v>
      </c>
      <c r="E866">
        <f t="shared" si="169"/>
        <v>1</v>
      </c>
      <c r="F866">
        <f t="shared" si="170"/>
        <v>16</v>
      </c>
      <c r="G866">
        <f t="shared" si="171"/>
        <v>2023</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Yes</v>
      </c>
      <c r="Q866">
        <f t="shared" si="180"/>
        <v>3.0008659999999998</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Survivors</v>
      </c>
      <c r="B867">
        <f>IF($A867="","",games!$B867)</f>
        <v>2021</v>
      </c>
      <c r="C867" t="str">
        <f>IF($A867="","",games!$C867)</f>
        <v>Action</v>
      </c>
      <c r="D867">
        <f>IF($A867="","",COUNTIF(connections!$A$2:$A$1520,$A867)+COUNTIF(connections!$B$2:$B$1520,$A867))</f>
        <v>99</v>
      </c>
      <c r="E867">
        <f t="shared" si="169"/>
        <v>1</v>
      </c>
      <c r="F867">
        <f t="shared" si="170"/>
        <v>17</v>
      </c>
      <c r="G867">
        <f t="shared" si="171"/>
        <v>2021</v>
      </c>
      <c r="H867">
        <f t="shared" si="172"/>
        <v>1.391</v>
      </c>
      <c r="I867" t="e">
        <f t="shared" si="173"/>
        <v>#N/A</v>
      </c>
      <c r="J867" t="e">
        <f t="shared" si="174"/>
        <v>#N/A</v>
      </c>
      <c r="K867" t="e">
        <f t="shared" si="175"/>
        <v>#N/A</v>
      </c>
      <c r="L867" t="e">
        <f t="shared" si="176"/>
        <v>#N/A</v>
      </c>
      <c r="M867" t="e">
        <f t="shared" si="177"/>
        <v>#N/A</v>
      </c>
      <c r="N867" t="e">
        <f t="shared" si="178"/>
        <v>#N/A</v>
      </c>
      <c r="O867">
        <f t="shared" si="179"/>
        <v>99.000867</v>
      </c>
      <c r="P867" t="str">
        <f>IF(OR($A867="",games!$H867=""),"",games!$H867)</f>
        <v>Yes</v>
      </c>
      <c r="Q867">
        <f t="shared" si="180"/>
        <v>99.000867</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Vault of the Void</v>
      </c>
      <c r="B868">
        <f>IF($A868="","",games!$B868)</f>
        <v>2020</v>
      </c>
      <c r="C868" t="str">
        <f>IF($A868="","",games!$C868)</f>
        <v>Deckbuilder</v>
      </c>
      <c r="D868">
        <f>IF($A868="","",COUNTIF(connections!$A$2:$A$1520,$A868)+COUNTIF(connections!$B$2:$B$1520,$A868))</f>
        <v>1</v>
      </c>
      <c r="E868">
        <f t="shared" si="169"/>
        <v>3</v>
      </c>
      <c r="F868">
        <f t="shared" si="170"/>
        <v>18</v>
      </c>
      <c r="G868" t="e">
        <f t="shared" si="171"/>
        <v>#N/A</v>
      </c>
      <c r="H868" t="e">
        <f t="shared" si="172"/>
        <v>#N/A</v>
      </c>
      <c r="I868" t="e">
        <f t="shared" si="173"/>
        <v>#N/A</v>
      </c>
      <c r="J868" t="e">
        <f t="shared" si="174"/>
        <v>#N/A</v>
      </c>
      <c r="K868">
        <f t="shared" si="175"/>
        <v>2020</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Vellum</v>
      </c>
      <c r="B869">
        <f>IF($A869="","",games!$B869)</f>
        <v>2024</v>
      </c>
      <c r="C869" t="str">
        <f>IF($A869="","",games!$C869)</f>
        <v>Action</v>
      </c>
      <c r="D869">
        <f>IF($A869="","",COUNTIF(connections!$A$2:$A$1520,$A869)+COUNTIF(connections!$B$2:$B$1520,$A869))</f>
        <v>6</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6.0008689999999998</v>
      </c>
      <c r="P869" t="str">
        <f>IF(OR($A869="",games!$H869=""),"",games!$H869)</f>
        <v/>
      </c>
      <c r="Q869" t="str">
        <f t="shared" si="180"/>
        <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Vital Shell</v>
      </c>
      <c r="B870">
        <f>IF($A870="","",games!$B870)</f>
        <v>2026</v>
      </c>
      <c r="C870" t="str">
        <f>IF($A870="","",games!$C870)</f>
        <v>Action</v>
      </c>
      <c r="D870">
        <f>IF($A870="","",COUNTIF(connections!$A$2:$A$1520,$A870)+COUNTIF(connections!$B$2:$B$1520,$A870))</f>
        <v>1</v>
      </c>
      <c r="E870">
        <f t="shared" si="169"/>
        <v>1</v>
      </c>
      <c r="F870">
        <f t="shared" si="170"/>
        <v>20</v>
      </c>
      <c r="G870">
        <f t="shared" si="171"/>
        <v>2026</v>
      </c>
      <c r="H870">
        <f t="shared" si="172"/>
        <v>1.46</v>
      </c>
      <c r="I870" t="e">
        <f t="shared" si="173"/>
        <v>#N/A</v>
      </c>
      <c r="J870" t="e">
        <f t="shared" si="174"/>
        <v>#N/A</v>
      </c>
      <c r="K870" t="e">
        <f t="shared" si="175"/>
        <v>#N/A</v>
      </c>
      <c r="L870" t="e">
        <f t="shared" si="176"/>
        <v>#N/A</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Vivid Knight</v>
      </c>
      <c r="B871">
        <f>IF($A871="","",games!$B871)</f>
        <v>2021</v>
      </c>
      <c r="C871" t="str">
        <f>IF($A871="","",games!$C871)</f>
        <v>Deckbuilder</v>
      </c>
      <c r="D871">
        <f>IF($A871="","",COUNTIF(connections!$A$2:$A$1520,$A871)+COUNTIF(connections!$B$2:$B$1520,$A871))</f>
        <v>4</v>
      </c>
      <c r="E871">
        <f t="shared" si="169"/>
        <v>3</v>
      </c>
      <c r="F871">
        <f t="shared" si="170"/>
        <v>21</v>
      </c>
      <c r="G871" t="e">
        <f t="shared" si="171"/>
        <v>#N/A</v>
      </c>
      <c r="H871" t="e">
        <f t="shared" si="172"/>
        <v>#N/A</v>
      </c>
      <c r="I871" t="e">
        <f t="shared" si="173"/>
        <v>#N/A</v>
      </c>
      <c r="J871" t="e">
        <f t="shared" si="174"/>
        <v>#N/A</v>
      </c>
      <c r="K871">
        <f t="shared" si="175"/>
        <v>2021</v>
      </c>
      <c r="L871">
        <f t="shared" si="176"/>
        <v>3.4830000000000001</v>
      </c>
      <c r="M871" t="e">
        <f t="shared" si="177"/>
        <v>#N/A</v>
      </c>
      <c r="N871" t="e">
        <f t="shared" si="178"/>
        <v>#N/A</v>
      </c>
      <c r="O871">
        <f t="shared" si="179"/>
        <v>4.0008710000000001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Vivid World</v>
      </c>
      <c r="B872">
        <f>IF($A872="","",games!$B872)</f>
        <v>2025</v>
      </c>
      <c r="C872" t="str">
        <f>IF($A872="","",games!$C872)</f>
        <v>Deckbuilder</v>
      </c>
      <c r="D872">
        <f>IF($A872="","",COUNTIF(connections!$A$2:$A$1520,$A872)+COUNTIF(connections!$B$2:$B$1520,$A872))</f>
        <v>1</v>
      </c>
      <c r="E872">
        <f t="shared" si="169"/>
        <v>3</v>
      </c>
      <c r="F872">
        <f t="shared" si="170"/>
        <v>22</v>
      </c>
      <c r="G872" t="e">
        <f t="shared" si="171"/>
        <v>#N/A</v>
      </c>
      <c r="H872" t="e">
        <f t="shared" si="172"/>
        <v>#N/A</v>
      </c>
      <c r="I872" t="e">
        <f t="shared" si="173"/>
        <v>#N/A</v>
      </c>
      <c r="J872" t="e">
        <f t="shared" si="174"/>
        <v>#N/A</v>
      </c>
      <c r="K872">
        <f t="shared" si="175"/>
        <v>2025</v>
      </c>
      <c r="L872">
        <f t="shared" si="176"/>
        <v>3.5060000000000002</v>
      </c>
      <c r="M872" t="e">
        <f t="shared" si="177"/>
        <v>#N/A</v>
      </c>
      <c r="N872" t="e">
        <f t="shared" si="178"/>
        <v>#N/A</v>
      </c>
      <c r="O872">
        <f t="shared" si="179"/>
        <v>1.000872</v>
      </c>
      <c r="P872" t="str">
        <f>IF(OR($A872="",games!$H872=""),"",games!$H872)</f>
        <v/>
      </c>
      <c r="Q872" t="str">
        <f t="shared" si="180"/>
        <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Voice of Belldona</v>
      </c>
      <c r="B873">
        <f>IF($A873="","",games!$B873)</f>
        <v>2026</v>
      </c>
      <c r="C873" t="str">
        <f>IF($A873="","",games!$C873)</f>
        <v>Deckbuilder</v>
      </c>
      <c r="D873">
        <f>IF($A873="","",COUNTIF(connections!$A$2:$A$1520,$A873)+COUNTIF(connections!$B$2:$B$1520,$A873))</f>
        <v>2</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2.0008729999999999</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Void Bastards</v>
      </c>
      <c r="B874">
        <f>IF($A874="","",games!$B874)</f>
        <v>2019</v>
      </c>
      <c r="C874" t="str">
        <f>IF($A874="","",games!$C874)</f>
        <v>Action</v>
      </c>
      <c r="D874">
        <f>IF($A874="","",COUNTIF(connections!$A$2:$A$1520,$A874)+COUNTIF(connections!$B$2:$B$1520,$A874))</f>
        <v>2</v>
      </c>
      <c r="E874">
        <f t="shared" si="169"/>
        <v>1</v>
      </c>
      <c r="F874">
        <f t="shared" si="170"/>
        <v>24</v>
      </c>
      <c r="G874">
        <f t="shared" si="171"/>
        <v>2019</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Void Scrappers</v>
      </c>
      <c r="B875">
        <f>IF($A875="","",games!$B875)</f>
        <v>2022</v>
      </c>
      <c r="C875" t="str">
        <f>IF($A875="","",games!$C875)</f>
        <v>Action</v>
      </c>
      <c r="D875">
        <f>IF($A875="","",COUNTIF(connections!$A$2:$A$1520,$A875)+COUNTIF(connections!$B$2:$B$1520,$A875))</f>
        <v>3</v>
      </c>
      <c r="E875">
        <f t="shared" si="169"/>
        <v>1</v>
      </c>
      <c r="F875">
        <f t="shared" si="170"/>
        <v>25</v>
      </c>
      <c r="G875">
        <f t="shared" si="171"/>
        <v>2022</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Yes</v>
      </c>
      <c r="Q875">
        <f t="shared" si="180"/>
        <v>3.0008750000000002</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War</v>
      </c>
      <c r="B876">
        <f>IF($A876="","",games!$B876)</f>
        <v>2024</v>
      </c>
      <c r="C876" t="str">
        <f>IF($A876="","",games!$C876)</f>
        <v>Strategy</v>
      </c>
      <c r="D876">
        <f>IF($A876="","",COUNTIF(connections!$A$2:$A$1520,$A876)+COUNTIF(connections!$B$2:$B$1520,$A876))</f>
        <v>2</v>
      </c>
      <c r="E876">
        <f t="shared" si="169"/>
        <v>2</v>
      </c>
      <c r="F876">
        <f t="shared" si="170"/>
        <v>26</v>
      </c>
      <c r="G876" t="e">
        <f t="shared" si="171"/>
        <v>#N/A</v>
      </c>
      <c r="H876" t="e">
        <f t="shared" si="172"/>
        <v>#N/A</v>
      </c>
      <c r="I876">
        <f t="shared" si="173"/>
        <v>2024</v>
      </c>
      <c r="J876">
        <f t="shared" si="174"/>
        <v>2.5979999999999999</v>
      </c>
      <c r="K876" t="e">
        <f t="shared" si="175"/>
        <v>#N/A</v>
      </c>
      <c r="L876" t="e">
        <f t="shared" si="176"/>
        <v>#N/A</v>
      </c>
      <c r="M876" t="e">
        <f t="shared" si="177"/>
        <v>#N/A</v>
      </c>
      <c r="N876" t="e">
        <f t="shared" si="178"/>
        <v>#N/A</v>
      </c>
      <c r="O876">
        <f t="shared" si="179"/>
        <v>2.0008759999999999</v>
      </c>
      <c r="P876" t="str">
        <f>IF(OR($A876="",games!$H876=""),"",games!$H876)</f>
        <v/>
      </c>
      <c r="Q876" t="str">
        <f t="shared" si="180"/>
        <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Voidigo</v>
      </c>
      <c r="B877">
        <f>IF($A877="","",games!$B877)</f>
        <v>2023</v>
      </c>
      <c r="C877" t="str">
        <f>IF($A877="","",games!$C877)</f>
        <v>Action</v>
      </c>
      <c r="D877">
        <f>IF($A877="","",COUNTIF(connections!$A$2:$A$1520,$A877)+COUNTIF(connections!$B$2:$B$1520,$A877))</f>
        <v>1</v>
      </c>
      <c r="E877">
        <f t="shared" si="169"/>
        <v>1</v>
      </c>
      <c r="F877">
        <f t="shared" si="170"/>
        <v>27</v>
      </c>
      <c r="G877">
        <f t="shared" si="171"/>
        <v>2023</v>
      </c>
      <c r="H877">
        <f t="shared" si="172"/>
        <v>1.621</v>
      </c>
      <c r="I877" t="e">
        <f t="shared" si="173"/>
        <v>#N/A</v>
      </c>
      <c r="J877" t="e">
        <f t="shared" si="174"/>
        <v>#N/A</v>
      </c>
      <c r="K877" t="e">
        <f t="shared" si="175"/>
        <v>#N/A</v>
      </c>
      <c r="L877" t="e">
        <f t="shared" si="176"/>
        <v>#N/A</v>
      </c>
      <c r="M877" t="e">
        <f t="shared" si="177"/>
        <v>#N/A</v>
      </c>
      <c r="N877" t="e">
        <f t="shared" si="178"/>
        <v>#N/A</v>
      </c>
      <c r="O877">
        <f t="shared" si="179"/>
        <v>1.000877</v>
      </c>
      <c r="P877" t="str">
        <f>IF(OR($A877="",games!$H877=""),"",games!$H877)</f>
        <v>Yes</v>
      </c>
      <c r="Q877">
        <f t="shared" si="180"/>
        <v>1.000877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Voids Vigil</v>
      </c>
      <c r="B878">
        <f>IF($A878="","",games!$B878)</f>
        <v>2024</v>
      </c>
      <c r="C878" t="str">
        <f>IF($A878="","",games!$C878)</f>
        <v>Action</v>
      </c>
      <c r="D878">
        <f>IF($A878="","",COUNTIF(connections!$A$2:$A$1520,$A878)+COUNTIF(connections!$B$2:$B$1520,$A878))</f>
        <v>2</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Voin</v>
      </c>
      <c r="B879">
        <f>IF($A879="","",games!$B879)</f>
        <v>2024</v>
      </c>
      <c r="C879" t="str">
        <f>IF($A879="","",games!$C879)</f>
        <v>Action</v>
      </c>
      <c r="D879">
        <f>IF($A879="","",COUNTIF(connections!$A$2:$A$1520,$A879)+COUNTIF(connections!$B$2:$B$1520,$A879))</f>
        <v>2</v>
      </c>
      <c r="E879">
        <f t="shared" si="169"/>
        <v>1</v>
      </c>
      <c r="F879">
        <f t="shared" si="170"/>
        <v>29</v>
      </c>
      <c r="G879">
        <f t="shared" si="171"/>
        <v>2024</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Waku Waku Puyo Puyo Dungeon</v>
      </c>
      <c r="B880">
        <f>IF($A880="","",games!$B880)</f>
        <v>1998</v>
      </c>
      <c r="C880" t="str">
        <f>IF($A880="","",games!$C880)</f>
        <v>Traditional</v>
      </c>
      <c r="D880">
        <f>IF($A880="","",COUNTIF(connections!$A$2:$A$1520,$A880)+COUNTIF(connections!$B$2:$B$1520,$A880))</f>
        <v>1</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1998</v>
      </c>
      <c r="N880">
        <f t="shared" si="178"/>
        <v>4.6899999999999995</v>
      </c>
      <c r="O880">
        <f t="shared" si="179"/>
        <v>1.00088</v>
      </c>
      <c r="P880" t="str">
        <f>IF(OR($A880="",games!$H880=""),"",games!$H880)</f>
        <v>Yes</v>
      </c>
      <c r="Q880">
        <f t="shared" si="180"/>
        <v>1.00088</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Wall World</v>
      </c>
      <c r="B881">
        <f>IF($A881="","",games!$B881)</f>
        <v>2023</v>
      </c>
      <c r="C881" t="str">
        <f>IF($A881="","",games!$C881)</f>
        <v>Strategy</v>
      </c>
      <c r="D881">
        <f>IF($A881="","",COUNTIF(connections!$A$2:$A$1520,$A881)+COUNTIF(connections!$B$2:$B$1520,$A881))</f>
        <v>2</v>
      </c>
      <c r="E881">
        <f t="shared" si="169"/>
        <v>2</v>
      </c>
      <c r="F881">
        <f t="shared" si="170"/>
        <v>31</v>
      </c>
      <c r="G881" t="e">
        <f t="shared" si="171"/>
        <v>#N/A</v>
      </c>
      <c r="H881" t="e">
        <f t="shared" si="172"/>
        <v>#N/A</v>
      </c>
      <c r="I881">
        <f t="shared" si="173"/>
        <v>2023</v>
      </c>
      <c r="J881">
        <f t="shared" si="174"/>
        <v>2.7130000000000001</v>
      </c>
      <c r="K881" t="e">
        <f t="shared" si="175"/>
        <v>#N/A</v>
      </c>
      <c r="L881" t="e">
        <f t="shared" si="176"/>
        <v>#N/A</v>
      </c>
      <c r="M881" t="e">
        <f t="shared" si="177"/>
        <v>#N/A</v>
      </c>
      <c r="N881" t="e">
        <f t="shared" si="178"/>
        <v>#N/A</v>
      </c>
      <c r="O881">
        <f t="shared" si="179"/>
        <v>2.0008810000000001</v>
      </c>
      <c r="P881" t="str">
        <f>IF(OR($A881="",games!$H881=""),"",games!$H881)</f>
        <v>Yes</v>
      </c>
      <c r="Q881">
        <f t="shared" si="180"/>
        <v>2.0008810000000001</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Wall World 2</v>
      </c>
      <c r="B882">
        <f>IF($A882="","",games!$B882)</f>
        <v>2025</v>
      </c>
      <c r="C882" t="str">
        <f>IF($A882="","",games!$C882)</f>
        <v>Strategy</v>
      </c>
      <c r="D882">
        <f>IF($A882="","",COUNTIF(connections!$A$2:$A$1520,$A882)+COUNTIF(connections!$B$2:$B$1520,$A882))</f>
        <v>1</v>
      </c>
      <c r="E882">
        <f t="shared" si="169"/>
        <v>2</v>
      </c>
      <c r="F882">
        <f t="shared" si="170"/>
        <v>32</v>
      </c>
      <c r="G882" t="e">
        <f t="shared" si="171"/>
        <v>#N/A</v>
      </c>
      <c r="H882" t="e">
        <f t="shared" si="172"/>
        <v>#N/A</v>
      </c>
      <c r="I882">
        <f t="shared" si="173"/>
        <v>2025</v>
      </c>
      <c r="J882">
        <f t="shared" si="174"/>
        <v>2.7359999999999998</v>
      </c>
      <c r="K882" t="e">
        <f t="shared" si="175"/>
        <v>#N/A</v>
      </c>
      <c r="L882" t="e">
        <f t="shared" si="176"/>
        <v>#N/A</v>
      </c>
      <c r="M882" t="e">
        <f t="shared" si="177"/>
        <v>#N/A</v>
      </c>
      <c r="N882" t="e">
        <f t="shared" si="178"/>
        <v>#N/A</v>
      </c>
      <c r="O882">
        <f t="shared" si="179"/>
        <v>1.000882</v>
      </c>
      <c r="P882" t="str">
        <f>IF(OR($A882="",games!$H882=""),"",games!$H882)</f>
        <v/>
      </c>
      <c r="Q882" t="str">
        <f t="shared" si="180"/>
        <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Wanderburg</v>
      </c>
      <c r="B883">
        <f>IF($A883="","",games!$B883)</f>
        <v>2026</v>
      </c>
      <c r="C883" t="str">
        <f>IF($A883="","",games!$C883)</f>
        <v>Action</v>
      </c>
      <c r="D883">
        <f>IF($A883="","",COUNTIF(connections!$A$2:$A$1520,$A883)+COUNTIF(connections!$B$2:$B$1520,$A883))</f>
        <v>2</v>
      </c>
      <c r="E883">
        <f t="shared" si="169"/>
        <v>1</v>
      </c>
      <c r="F883">
        <f t="shared" si="170"/>
        <v>33</v>
      </c>
      <c r="G883">
        <f t="shared" si="171"/>
        <v>2026</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Warhammer Survivors</v>
      </c>
      <c r="B884">
        <f>IF($A884="","",games!$B884)</f>
        <v>2026</v>
      </c>
      <c r="C884" t="str">
        <f>IF($A884="","",games!$C884)</f>
        <v>Action</v>
      </c>
      <c r="D884">
        <f>IF($A884="","",COUNTIF(connections!$A$2:$A$1520,$A884)+COUNTIF(connections!$B$2:$B$1520,$A884))</f>
        <v>1</v>
      </c>
      <c r="E884">
        <f t="shared" si="169"/>
        <v>1</v>
      </c>
      <c r="F884">
        <f t="shared" si="170"/>
        <v>0</v>
      </c>
      <c r="G884">
        <f t="shared" si="171"/>
        <v>2026</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WarpVector</v>
      </c>
      <c r="B885">
        <f>IF($A885="","",games!$B885)</f>
        <v>2023</v>
      </c>
      <c r="C885" t="str">
        <f>IF($A885="","",games!$C885)</f>
        <v>Traditional</v>
      </c>
      <c r="D885">
        <f>IF($A885="","",COUNTIF(connections!$A$2:$A$1520,$A885)+COUNTIF(connections!$B$2:$B$1520,$A885))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2023</v>
      </c>
      <c r="N885">
        <f t="shared" si="178"/>
        <v>4.0229999999999997</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Warriors: Abyss</v>
      </c>
      <c r="B886">
        <f>IF($A886="","",games!$B886)</f>
        <v>2025</v>
      </c>
      <c r="C886" t="str">
        <f>IF($A886="","",games!$C886)</f>
        <v>Action</v>
      </c>
      <c r="D886">
        <f>IF($A886="","",COUNTIF(connections!$A$2:$A$1520,$A886)+COUNTIF(connections!$B$2:$B$1520,$A886))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Warsim: The Realm of Aslona</v>
      </c>
      <c r="B887">
        <f>IF($A887="","",games!$B887)</f>
        <v>2017</v>
      </c>
      <c r="C887" t="str">
        <f>IF($A887="","",games!$C887)</f>
        <v>Strategy</v>
      </c>
      <c r="D887">
        <f>IF($A887="","",COUNTIF(connections!$A$2:$A$1520,$A887)+COUNTIF(connections!$B$2:$B$1520,$A887))</f>
        <v>1</v>
      </c>
      <c r="E887">
        <f t="shared" si="169"/>
        <v>2</v>
      </c>
      <c r="F887">
        <f t="shared" si="170"/>
        <v>3</v>
      </c>
      <c r="G887" t="e">
        <f t="shared" si="171"/>
        <v>#N/A</v>
      </c>
      <c r="H887" t="e">
        <f t="shared" si="172"/>
        <v>#N/A</v>
      </c>
      <c r="I887">
        <f t="shared" si="173"/>
        <v>2017</v>
      </c>
      <c r="J887">
        <f t="shared" si="174"/>
        <v>2.069</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Wayward</v>
      </c>
      <c r="B888">
        <f>IF($A888="","",games!$B888)</f>
        <v>2011</v>
      </c>
      <c r="C888" t="str">
        <f>IF($A888="","",games!$C888)</f>
        <v>Traditional</v>
      </c>
      <c r="D888">
        <f>IF($A888="","",COUNTIF(connections!$A$2:$A$1520,$A888)+COUNTIF(connections!$B$2:$B$1520,$A888))</f>
        <v>3</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2011</v>
      </c>
      <c r="N888">
        <f t="shared" si="178"/>
        <v>4.0919999999999996</v>
      </c>
      <c r="O888">
        <f t="shared" si="179"/>
        <v>3.0008879999999998</v>
      </c>
      <c r="P888" t="str">
        <f>IF(OR($A888="",games!$H888=""),"",games!$H888)</f>
        <v/>
      </c>
      <c r="Q888" t="str">
        <f t="shared" si="180"/>
        <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WazHack</v>
      </c>
      <c r="B889">
        <f>IF($A889="","",games!$B889)</f>
        <v>2012</v>
      </c>
      <c r="C889" t="str">
        <f>IF($A889="","",games!$C889)</f>
        <v>Strategy</v>
      </c>
      <c r="D889">
        <f>IF($A889="","",COUNTIF(connections!$A$2:$A$1520,$A889)+COUNTIF(connections!$B$2:$B$1520,$A889))</f>
        <v>1</v>
      </c>
      <c r="E889">
        <f t="shared" si="169"/>
        <v>2</v>
      </c>
      <c r="F889">
        <f t="shared" si="170"/>
        <v>5</v>
      </c>
      <c r="G889" t="e">
        <f t="shared" si="171"/>
        <v>#N/A</v>
      </c>
      <c r="H889" t="e">
        <f t="shared" si="172"/>
        <v>#N/A</v>
      </c>
      <c r="I889">
        <f t="shared" si="173"/>
        <v>2012</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We Need To Go Deeper</v>
      </c>
      <c r="B890">
        <f>IF($A890="","",games!$B890)</f>
        <v>2017</v>
      </c>
      <c r="C890" t="str">
        <f>IF($A890="","",games!$C890)</f>
        <v>Action</v>
      </c>
      <c r="D890">
        <f>IF($A890="","",COUNTIF(connections!$A$2:$A$1520,$A890)+COUNTIF(connections!$B$2:$B$1520,$A890))</f>
        <v>0</v>
      </c>
      <c r="E890">
        <f t="shared" si="169"/>
        <v>1</v>
      </c>
      <c r="F890">
        <f t="shared" si="170"/>
        <v>6</v>
      </c>
      <c r="G890">
        <f t="shared" si="171"/>
        <v>2017</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Yes</v>
      </c>
      <c r="Q890">
        <f t="shared" si="180"/>
        <v>8.8999999999999995E-4</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Weird Worlds: Return to Infinite Space</v>
      </c>
      <c r="B891">
        <f>IF($A891="","",games!$B891)</f>
        <v>2005</v>
      </c>
      <c r="C891" t="str">
        <f>IF($A891="","",games!$C891)</f>
        <v>Strategy</v>
      </c>
      <c r="D891">
        <f>IF($A891="","",COUNTIF(connections!$A$2:$A$1520,$A891)+COUNTIF(connections!$B$2:$B$1520,$A891))</f>
        <v>3</v>
      </c>
      <c r="E891">
        <f t="shared" si="169"/>
        <v>2</v>
      </c>
      <c r="F891">
        <f t="shared" si="170"/>
        <v>7</v>
      </c>
      <c r="G891" t="e">
        <f t="shared" si="171"/>
        <v>#N/A</v>
      </c>
      <c r="H891" t="e">
        <f t="shared" si="172"/>
        <v>#N/A</v>
      </c>
      <c r="I891">
        <f t="shared" si="173"/>
        <v>2005</v>
      </c>
      <c r="J891">
        <f t="shared" si="174"/>
        <v>2.161</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West of Dead</v>
      </c>
      <c r="B892">
        <f>IF($A892="","",games!$B892)</f>
        <v>2020</v>
      </c>
      <c r="C892" t="str">
        <f>IF($A892="","",games!$C892)</f>
        <v>Action</v>
      </c>
      <c r="D892">
        <f>IF($A892="","",COUNTIF(connections!$A$2:$A$1520,$A892)+COUNTIF(connections!$B$2:$B$1520,$A892))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Whisker Squadron: Survivor</v>
      </c>
      <c r="B893">
        <f>IF($A893="","",games!$B893)</f>
        <v>2025</v>
      </c>
      <c r="C893" t="str">
        <f>IF($A893="","",games!$C893)</f>
        <v>Action</v>
      </c>
      <c r="D893">
        <f>IF($A893="","",COUNTIF(connections!$A$2:$A$1520,$A893)+COUNTIF(connections!$B$2:$B$1520,$A893))</f>
        <v>1</v>
      </c>
      <c r="E893">
        <f t="shared" si="169"/>
        <v>1</v>
      </c>
      <c r="F893">
        <f t="shared" si="170"/>
        <v>9</v>
      </c>
      <c r="G893">
        <f t="shared" si="171"/>
        <v>2025</v>
      </c>
      <c r="H893">
        <f t="shared" si="172"/>
        <v>1.2070000000000001</v>
      </c>
      <c r="I893" t="e">
        <f t="shared" si="173"/>
        <v>#N/A</v>
      </c>
      <c r="J893" t="e">
        <f t="shared" si="174"/>
        <v>#N/A</v>
      </c>
      <c r="K893" t="e">
        <f t="shared" si="175"/>
        <v>#N/A</v>
      </c>
      <c r="L893" t="e">
        <f t="shared" si="176"/>
        <v>#N/A</v>
      </c>
      <c r="M893" t="e">
        <f t="shared" si="177"/>
        <v>#N/A</v>
      </c>
      <c r="N893" t="e">
        <f t="shared" si="178"/>
        <v>#N/A</v>
      </c>
      <c r="O893">
        <f t="shared" si="179"/>
        <v>1.000893</v>
      </c>
      <c r="P893" t="str">
        <f>IF(OR($A893="",games!$H893=""),"",games!$H893)</f>
        <v/>
      </c>
      <c r="Q893" t="str">
        <f t="shared" si="180"/>
        <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White Knuckle</v>
      </c>
      <c r="B894">
        <f>IF($A894="","",games!$B894)</f>
        <v>2025</v>
      </c>
      <c r="C894" t="str">
        <f>IF($A894="","",games!$C894)</f>
        <v>Action</v>
      </c>
      <c r="D894">
        <f>IF($A894="","",COUNTIF(connections!$A$2:$A$1520,$A894)+COUNTIF(connections!$B$2:$B$1520,$A894))</f>
        <v>0</v>
      </c>
      <c r="E894">
        <f t="shared" si="169"/>
        <v>1</v>
      </c>
      <c r="F894">
        <f t="shared" si="170"/>
        <v>10</v>
      </c>
      <c r="G894">
        <f t="shared" si="171"/>
        <v>2025</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
      </c>
      <c r="Q894" t="str">
        <f t="shared" si="180"/>
        <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Wild Bastards</v>
      </c>
      <c r="B895">
        <f>IF($A895="","",games!$B895)</f>
        <v>2024</v>
      </c>
      <c r="C895" t="str">
        <f>IF($A895="","",games!$C895)</f>
        <v>Action</v>
      </c>
      <c r="D895">
        <f>IF($A895="","",COUNTIF(connections!$A$2:$A$1520,$A895)+COUNTIF(connections!$B$2:$B$1520,$A895))</f>
        <v>1</v>
      </c>
      <c r="E895">
        <f t="shared" si="169"/>
        <v>1</v>
      </c>
      <c r="F895">
        <f t="shared" si="170"/>
        <v>11</v>
      </c>
      <c r="G895">
        <f t="shared" si="171"/>
        <v>2024</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Wildermyth</v>
      </c>
      <c r="B896">
        <f>IF($A896="","",games!$B896)</f>
        <v>2019</v>
      </c>
      <c r="C896" t="str">
        <f>IF($A896="","",games!$C896)</f>
        <v>Strategy</v>
      </c>
      <c r="D896">
        <f>IF($A896="","",COUNTIF(connections!$A$2:$A$1520,$A896)+COUNTIF(connections!$B$2:$B$1520,$A896))</f>
        <v>0</v>
      </c>
      <c r="E896">
        <f t="shared" si="169"/>
        <v>2</v>
      </c>
      <c r="F896">
        <f t="shared" si="170"/>
        <v>12</v>
      </c>
      <c r="G896" t="e">
        <f t="shared" si="171"/>
        <v>#N/A</v>
      </c>
      <c r="H896" t="e">
        <f t="shared" si="172"/>
        <v>#N/A</v>
      </c>
      <c r="I896">
        <f t="shared" si="173"/>
        <v>2019</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Wildfrost</v>
      </c>
      <c r="B897">
        <f>IF($A897="","",games!$B897)</f>
        <v>2023</v>
      </c>
      <c r="C897" t="str">
        <f>IF($A897="","",games!$C897)</f>
        <v>Deckbuilder</v>
      </c>
      <c r="D897">
        <f>IF($A897="","",COUNTIF(connections!$A$2:$A$1520,$A897)+COUNTIF(connections!$B$2:$B$1520,$A897))</f>
        <v>8</v>
      </c>
      <c r="E897">
        <f t="shared" si="169"/>
        <v>3</v>
      </c>
      <c r="F897">
        <f t="shared" si="170"/>
        <v>13</v>
      </c>
      <c r="G897" t="e">
        <f t="shared" si="171"/>
        <v>#N/A</v>
      </c>
      <c r="H897" t="e">
        <f t="shared" si="172"/>
        <v>#N/A</v>
      </c>
      <c r="I897" t="e">
        <f t="shared" si="173"/>
        <v>#N/A</v>
      </c>
      <c r="J897" t="e">
        <f t="shared" si="174"/>
        <v>#N/A</v>
      </c>
      <c r="K897">
        <f t="shared" si="175"/>
        <v>2023</v>
      </c>
      <c r="L897">
        <f t="shared" si="176"/>
        <v>3.2989999999999999</v>
      </c>
      <c r="M897" t="e">
        <f t="shared" si="177"/>
        <v>#N/A</v>
      </c>
      <c r="N897" t="e">
        <f t="shared" si="178"/>
        <v>#N/A</v>
      </c>
      <c r="O897">
        <f t="shared" si="179"/>
        <v>8.0008970000000001</v>
      </c>
      <c r="P897" t="str">
        <f>IF(OR($A897="",games!$H897=""),"",games!$H897)</f>
        <v>Yes</v>
      </c>
      <c r="Q897">
        <f t="shared" si="180"/>
        <v>8.0008970000000001</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Windblown</v>
      </c>
      <c r="B898">
        <f>IF($A898="","",games!$B898)</f>
        <v>2024</v>
      </c>
      <c r="C898" t="str">
        <f>IF($A898="","",games!$C898)</f>
        <v>Action</v>
      </c>
      <c r="D898">
        <f>IF($A898="","",COUNTIF(connections!$A$2:$A$1520,$A898)+COUNTIF(connections!$B$2:$B$1520,$A898))</f>
        <v>1</v>
      </c>
      <c r="E898">
        <f t="shared" ref="E898:E950" si="182">IF($A898="","",IFERROR(MATCH($C898,$R$2:$R$5,0),0))</f>
        <v>1</v>
      </c>
      <c r="F898">
        <f t="shared" ref="F898:F950" si="183">IF($A898="","",MOD(ROW(),34))</f>
        <v>14</v>
      </c>
      <c r="G898">
        <f t="shared" ref="G898:G950" si="184">IF($A898="",NA(),IF($C898="Action",$B898,NA()))</f>
        <v>2024</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Winnie's Hole</v>
      </c>
      <c r="B899">
        <f>IF($A899="","",games!$B899)</f>
        <v>2026</v>
      </c>
      <c r="C899" t="str">
        <f>IF($A899="","",games!$C899)</f>
        <v>Deckbuilder</v>
      </c>
      <c r="D899">
        <f>IF($A899="","",COUNTIF(connections!$A$2:$A$1520,$A899)+COUNTIF(connections!$B$2:$B$1520,$A899))</f>
        <v>4</v>
      </c>
      <c r="E899">
        <f t="shared" si="182"/>
        <v>3</v>
      </c>
      <c r="F899">
        <f t="shared" si="183"/>
        <v>15</v>
      </c>
      <c r="G899" t="e">
        <f t="shared" si="184"/>
        <v>#N/A</v>
      </c>
      <c r="H899" t="e">
        <f t="shared" si="185"/>
        <v>#N/A</v>
      </c>
      <c r="I899" t="e">
        <f t="shared" si="186"/>
        <v>#N/A</v>
      </c>
      <c r="J899" t="e">
        <f t="shared" si="187"/>
        <v>#N/A</v>
      </c>
      <c r="K899">
        <f t="shared" si="188"/>
        <v>2026</v>
      </c>
      <c r="L899">
        <f t="shared" si="189"/>
        <v>3.3449999999999998</v>
      </c>
      <c r="M899" t="e">
        <f t="shared" si="190"/>
        <v>#N/A</v>
      </c>
      <c r="N899" t="e">
        <f t="shared" si="191"/>
        <v>#N/A</v>
      </c>
      <c r="O899">
        <f t="shared" si="192"/>
        <v>4.0008990000000004</v>
      </c>
      <c r="P899" t="str">
        <f>IF(OR($A899="",games!$H899=""),"",games!$H899)</f>
        <v/>
      </c>
      <c r="Q899" t="str">
        <f t="shared" si="193"/>
        <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Wireworks</v>
      </c>
      <c r="B900">
        <f>IF($A900="","",games!$B900)</f>
        <v>2026</v>
      </c>
      <c r="C900" t="str">
        <f>IF($A900="","",games!$C900)</f>
        <v>Strategy</v>
      </c>
      <c r="D900">
        <f>IF($A900="","",COUNTIF(connections!$A$2:$A$1520,$A900)+COUNTIF(connections!$B$2:$B$1520,$A900))</f>
        <v>0</v>
      </c>
      <c r="E900">
        <f t="shared" si="182"/>
        <v>2</v>
      </c>
      <c r="F900">
        <f t="shared" si="183"/>
        <v>16</v>
      </c>
      <c r="G900" t="e">
        <f t="shared" si="184"/>
        <v>#N/A</v>
      </c>
      <c r="H900" t="e">
        <f t="shared" si="185"/>
        <v>#N/A</v>
      </c>
      <c r="I900">
        <f t="shared" si="186"/>
        <v>2026</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Witchfire</v>
      </c>
      <c r="B901">
        <f>IF($A901="","",games!$B901)</f>
        <v>2023</v>
      </c>
      <c r="C901" t="str">
        <f>IF($A901="","",games!$C901)</f>
        <v>Action</v>
      </c>
      <c r="D901">
        <f>IF($A901="","",COUNTIF(connections!$A$2:$A$1520,$A901)+COUNTIF(connections!$B$2:$B$1520,$A901))</f>
        <v>3</v>
      </c>
      <c r="E901">
        <f t="shared" si="182"/>
        <v>1</v>
      </c>
      <c r="F901">
        <f t="shared" si="183"/>
        <v>17</v>
      </c>
      <c r="G901">
        <f t="shared" si="184"/>
        <v>2023</v>
      </c>
      <c r="H901">
        <f t="shared" si="185"/>
        <v>1.391</v>
      </c>
      <c r="I901" t="e">
        <f t="shared" si="186"/>
        <v>#N/A</v>
      </c>
      <c r="J901" t="e">
        <f t="shared" si="187"/>
        <v>#N/A</v>
      </c>
      <c r="K901" t="e">
        <f t="shared" si="188"/>
        <v>#N/A</v>
      </c>
      <c r="L901" t="e">
        <f t="shared" si="189"/>
        <v>#N/A</v>
      </c>
      <c r="M901" t="e">
        <f t="shared" si="190"/>
        <v>#N/A</v>
      </c>
      <c r="N901" t="e">
        <f t="shared" si="191"/>
        <v>#N/A</v>
      </c>
      <c r="O901">
        <f t="shared" si="192"/>
        <v>3.0009009999999998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Witch's Apocalyptic Journey</v>
      </c>
      <c r="B902">
        <f>IF($A902="","",games!$B902)</f>
        <v>2026</v>
      </c>
      <c r="C902" t="str">
        <f>IF($A902="","",games!$C902)</f>
        <v>Deckbuilder</v>
      </c>
      <c r="D902">
        <f>IF($A902="","",COUNTIF(connections!$A$2:$A$1520,$A902)+COUNTIF(connections!$B$2:$B$1520,$A902))</f>
        <v>1</v>
      </c>
      <c r="E902">
        <f t="shared" si="182"/>
        <v>3</v>
      </c>
      <c r="F902">
        <f t="shared" si="183"/>
        <v>18</v>
      </c>
      <c r="G902" t="e">
        <f t="shared" si="184"/>
        <v>#N/A</v>
      </c>
      <c r="H902" t="e">
        <f t="shared" si="185"/>
        <v>#N/A</v>
      </c>
      <c r="I902" t="e">
        <f t="shared" si="186"/>
        <v>#N/A</v>
      </c>
      <c r="J902" t="e">
        <f t="shared" si="187"/>
        <v>#N/A</v>
      </c>
      <c r="K902">
        <f t="shared" si="188"/>
        <v>2026</v>
      </c>
      <c r="L902">
        <f t="shared" si="189"/>
        <v>3.4140000000000001</v>
      </c>
      <c r="M902" t="e">
        <f t="shared" si="190"/>
        <v>#N/A</v>
      </c>
      <c r="N902" t="e">
        <f t="shared" si="191"/>
        <v>#N/A</v>
      </c>
      <c r="O902">
        <f t="shared" si="192"/>
        <v>1.000902</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Wizard of Legend</v>
      </c>
      <c r="B903">
        <f>IF($A903="","",games!$B903)</f>
        <v>2018</v>
      </c>
      <c r="C903" t="str">
        <f>IF($A903="","",games!$C903)</f>
        <v>Action</v>
      </c>
      <c r="D903">
        <f>IF($A903="","",COUNTIF(connections!$A$2:$A$1520,$A903)+COUNTIF(connections!$B$2:$B$1520,$A903))</f>
        <v>5</v>
      </c>
      <c r="E903">
        <f t="shared" si="182"/>
        <v>1</v>
      </c>
      <c r="F903">
        <f t="shared" si="183"/>
        <v>19</v>
      </c>
      <c r="G903">
        <f t="shared" si="184"/>
        <v>2018</v>
      </c>
      <c r="H903">
        <f t="shared" si="185"/>
        <v>1.4370000000000001</v>
      </c>
      <c r="I903" t="e">
        <f t="shared" si="186"/>
        <v>#N/A</v>
      </c>
      <c r="J903" t="e">
        <f t="shared" si="187"/>
        <v>#N/A</v>
      </c>
      <c r="K903" t="e">
        <f t="shared" si="188"/>
        <v>#N/A</v>
      </c>
      <c r="L903" t="e">
        <f t="shared" si="189"/>
        <v>#N/A</v>
      </c>
      <c r="M903" t="e">
        <f t="shared" si="190"/>
        <v>#N/A</v>
      </c>
      <c r="N903" t="e">
        <f t="shared" si="191"/>
        <v>#N/A</v>
      </c>
      <c r="O903">
        <f t="shared" si="192"/>
        <v>5.0009030000000001</v>
      </c>
      <c r="P903" t="str">
        <f>IF(OR($A903="",games!$H903=""),"",games!$H903)</f>
        <v>Yes</v>
      </c>
      <c r="Q903">
        <f t="shared" si="193"/>
        <v>5.0009030000000001</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Wizard of Legend 2</v>
      </c>
      <c r="B904">
        <f>IF($A904="","",games!$B904)</f>
        <v>2024</v>
      </c>
      <c r="C904" t="str">
        <f>IF($A904="","",games!$C904)</f>
        <v>Action</v>
      </c>
      <c r="D904">
        <f>IF($A904="","",COUNTIF(connections!$A$2:$A$1520,$A904)+COUNTIF(connections!$B$2:$B$1520,$A904))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Yes</v>
      </c>
      <c r="Q904">
        <f t="shared" si="193"/>
        <v>1.000904</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WizardChess</v>
      </c>
      <c r="B905">
        <f>IF($A905="","",games!$B905)</f>
        <v>2021</v>
      </c>
      <c r="C905" t="str">
        <f>IF($A905="","",games!$C905)</f>
        <v>Strategy</v>
      </c>
      <c r="D905">
        <f>IF($A905="","",COUNTIF(connections!$A$2:$A$1520,$A905)+COUNTIF(connections!$B$2:$B$1520,$A905))</f>
        <v>1</v>
      </c>
      <c r="E905">
        <f t="shared" si="182"/>
        <v>2</v>
      </c>
      <c r="F905">
        <f t="shared" si="183"/>
        <v>21</v>
      </c>
      <c r="G905" t="e">
        <f t="shared" si="184"/>
        <v>#N/A</v>
      </c>
      <c r="H905" t="e">
        <f t="shared" si="185"/>
        <v>#N/A</v>
      </c>
      <c r="I905">
        <f t="shared" si="186"/>
        <v>2021</v>
      </c>
      <c r="J905">
        <f t="shared" si="187"/>
        <v>2.4830000000000001</v>
      </c>
      <c r="K905" t="e">
        <f t="shared" si="188"/>
        <v>#N/A</v>
      </c>
      <c r="L905" t="e">
        <f t="shared" si="189"/>
        <v>#N/A</v>
      </c>
      <c r="M905" t="e">
        <f t="shared" si="190"/>
        <v>#N/A</v>
      </c>
      <c r="N905" t="e">
        <f t="shared" si="191"/>
        <v>#N/A</v>
      </c>
      <c r="O905">
        <f t="shared" si="192"/>
        <v>1.0009049999999999</v>
      </c>
      <c r="P905" t="str">
        <f>IF(OR($A905="",games!$H905=""),"",games!$H905)</f>
        <v>Yes</v>
      </c>
      <c r="Q905">
        <f t="shared" si="193"/>
        <v>1.0009049999999999</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Word Play</v>
      </c>
      <c r="B906">
        <f>IF($A906="","",games!$B906)</f>
        <v>2025</v>
      </c>
      <c r="C906" t="str">
        <f>IF($A906="","",games!$C906)</f>
        <v>Deckbuilder</v>
      </c>
      <c r="D906">
        <f>IF($A906="","",COUNTIF(connections!$A$2:$A$1520,$A906)+COUNTIF(connections!$B$2:$B$1520,$A906))</f>
        <v>1</v>
      </c>
      <c r="E906">
        <f t="shared" si="182"/>
        <v>3</v>
      </c>
      <c r="F906">
        <f t="shared" si="183"/>
        <v>22</v>
      </c>
      <c r="G906" t="e">
        <f t="shared" si="184"/>
        <v>#N/A</v>
      </c>
      <c r="H906" t="e">
        <f t="shared" si="185"/>
        <v>#N/A</v>
      </c>
      <c r="I906" t="e">
        <f t="shared" si="186"/>
        <v>#N/A</v>
      </c>
      <c r="J906" t="e">
        <f t="shared" si="187"/>
        <v>#N/A</v>
      </c>
      <c r="K906">
        <f t="shared" si="188"/>
        <v>2025</v>
      </c>
      <c r="L906">
        <f t="shared" si="189"/>
        <v>3.5060000000000002</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Wordatro!</v>
      </c>
      <c r="B907">
        <f>IF($A907="","",games!$B907)</f>
        <v>2025</v>
      </c>
      <c r="C907" t="str">
        <f>IF($A907="","",games!$C907)</f>
        <v>Deckbuilder</v>
      </c>
      <c r="D907">
        <f>IF($A907="","",COUNTIF(connections!$A$2:$A$1520,$A907)+COUNTIF(connections!$B$2:$B$1520,$A907))</f>
        <v>1</v>
      </c>
      <c r="E907">
        <f t="shared" si="182"/>
        <v>3</v>
      </c>
      <c r="F907">
        <f t="shared" si="183"/>
        <v>23</v>
      </c>
      <c r="G907" t="e">
        <f t="shared" si="184"/>
        <v>#N/A</v>
      </c>
      <c r="H907" t="e">
        <f t="shared" si="185"/>
        <v>#N/A</v>
      </c>
      <c r="I907" t="e">
        <f t="shared" si="186"/>
        <v>#N/A</v>
      </c>
      <c r="J907" t="e">
        <f t="shared" si="187"/>
        <v>#N/A</v>
      </c>
      <c r="K907">
        <f t="shared" si="188"/>
        <v>2025</v>
      </c>
      <c r="L907">
        <f t="shared" si="189"/>
        <v>3.5289999999999999</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Words Can Kill</v>
      </c>
      <c r="B908">
        <f>IF($A908="","",games!$B908)</f>
        <v>2022</v>
      </c>
      <c r="C908" t="str">
        <f>IF($A908="","",games!$C908)</f>
        <v>Deckbuilder</v>
      </c>
      <c r="D908">
        <f>IF($A908="","",COUNTIF(connections!$A$2:$A$1520,$A908)+COUNTIF(connections!$B$2:$B$1520,$A908))</f>
        <v>2</v>
      </c>
      <c r="E908">
        <f t="shared" si="182"/>
        <v>3</v>
      </c>
      <c r="F908">
        <f t="shared" si="183"/>
        <v>24</v>
      </c>
      <c r="G908" t="e">
        <f t="shared" si="184"/>
        <v>#N/A</v>
      </c>
      <c r="H908" t="e">
        <f t="shared" si="185"/>
        <v>#N/A</v>
      </c>
      <c r="I908" t="e">
        <f t="shared" si="186"/>
        <v>#N/A</v>
      </c>
      <c r="J908" t="e">
        <f t="shared" si="187"/>
        <v>#N/A</v>
      </c>
      <c r="K908">
        <f t="shared" si="188"/>
        <v>2022</v>
      </c>
      <c r="L908">
        <f t="shared" si="189"/>
        <v>3.552</v>
      </c>
      <c r="M908" t="e">
        <f t="shared" si="190"/>
        <v>#N/A</v>
      </c>
      <c r="N908" t="e">
        <f t="shared" si="191"/>
        <v>#N/A</v>
      </c>
      <c r="O908">
        <f t="shared" si="192"/>
        <v>2.0009079999999999</v>
      </c>
      <c r="P908" t="str">
        <f>IF(OR($A908="",games!$H908=""),"",games!$H908)</f>
        <v>Yes</v>
      </c>
      <c r="Q908">
        <f t="shared" si="193"/>
        <v>2.0009079999999999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Worlds Upon The Wind</v>
      </c>
      <c r="B909">
        <f>IF($A909="","",games!$B909)</f>
        <v>2026</v>
      </c>
      <c r="C909" t="str">
        <f>IF($A909="","",games!$C909)</f>
        <v>Deckbuilder</v>
      </c>
      <c r="D909">
        <f>IF($A909="","",COUNTIF(connections!$A$2:$A$1520,$A909)+COUNTIF(connections!$B$2:$B$1520,$A909))</f>
        <v>1</v>
      </c>
      <c r="E909">
        <f t="shared" si="182"/>
        <v>3</v>
      </c>
      <c r="F909">
        <f t="shared" si="183"/>
        <v>25</v>
      </c>
      <c r="G909" t="e">
        <f t="shared" si="184"/>
        <v>#N/A</v>
      </c>
      <c r="H909" t="e">
        <f t="shared" si="185"/>
        <v>#N/A</v>
      </c>
      <c r="I909" t="e">
        <f t="shared" si="186"/>
        <v>#N/A</v>
      </c>
      <c r="J909" t="e">
        <f t="shared" si="187"/>
        <v>#N/A</v>
      </c>
      <c r="K909">
        <f t="shared" si="188"/>
        <v>2026</v>
      </c>
      <c r="L909">
        <f t="shared" si="189"/>
        <v>3.5750000000000002</v>
      </c>
      <c r="M909" t="e">
        <f t="shared" si="190"/>
        <v>#N/A</v>
      </c>
      <c r="N909" t="e">
        <f t="shared" si="191"/>
        <v>#N/A</v>
      </c>
      <c r="O909">
        <f t="shared" si="192"/>
        <v>1.000909</v>
      </c>
      <c r="P909" t="str">
        <f>IF(OR($A909="",games!$H909=""),"",games!$H909)</f>
        <v/>
      </c>
      <c r="Q909" t="str">
        <f t="shared" si="193"/>
        <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Yasha: Legends of the Demon Blade</v>
      </c>
      <c r="B910">
        <f>IF($A910="","",games!$B910)</f>
        <v>2025</v>
      </c>
      <c r="C910" t="str">
        <f>IF($A910="","",games!$C910)</f>
        <v>Action</v>
      </c>
      <c r="D910">
        <f>IF($A910="","",COUNTIF(connections!$A$2:$A$1520,$A910)+COUNTIF(connections!$B$2:$B$1520,$A910))</f>
        <v>1</v>
      </c>
      <c r="E910">
        <f t="shared" si="182"/>
        <v>1</v>
      </c>
      <c r="F910">
        <f t="shared" si="183"/>
        <v>26</v>
      </c>
      <c r="G910">
        <f t="shared" si="184"/>
        <v>2025</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
      </c>
      <c r="Q910" t="str">
        <f t="shared" si="193"/>
        <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Yet Another Zombie Survivors</v>
      </c>
      <c r="B911">
        <f>IF($A911="","",games!$B911)</f>
        <v>2023</v>
      </c>
      <c r="C911" t="str">
        <f>IF($A911="","",games!$C911)</f>
        <v>Action</v>
      </c>
      <c r="D911">
        <f>IF($A911="","",COUNTIF(connections!$A$2:$A$1520,$A911)+COUNTIF(connections!$B$2:$B$1520,$A911))</f>
        <v>1</v>
      </c>
      <c r="E911">
        <f t="shared" si="182"/>
        <v>1</v>
      </c>
      <c r="F911">
        <f t="shared" si="183"/>
        <v>27</v>
      </c>
      <c r="G911">
        <f t="shared" si="184"/>
        <v>2023</v>
      </c>
      <c r="H911">
        <f t="shared" si="185"/>
        <v>1.621</v>
      </c>
      <c r="I911" t="e">
        <f t="shared" si="186"/>
        <v>#N/A</v>
      </c>
      <c r="J911" t="e">
        <f t="shared" si="187"/>
        <v>#N/A</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Yohane the Parhelion: Numazu in the Mirage</v>
      </c>
      <c r="B912">
        <f>IF($A912="","",games!$B912)</f>
        <v>2024</v>
      </c>
      <c r="C912" t="str">
        <f>IF($A912="","",games!$C912)</f>
        <v>Deckbuilder</v>
      </c>
      <c r="D912">
        <f>IF($A912="","",COUNTIF(connections!$A$2:$A$1520,$A912)+COUNTIF(connections!$B$2:$B$1520,$A912))</f>
        <v>1</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1.000912</v>
      </c>
      <c r="P912" t="str">
        <f>IF(OR($A912="",games!$H912=""),"",games!$H912)</f>
        <v>Yes</v>
      </c>
      <c r="Q912">
        <f t="shared" si="193"/>
        <v>1.000912</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Youdanji</v>
      </c>
      <c r="B913">
        <f>IF($A913="","",games!$B913)</f>
        <v>2017</v>
      </c>
      <c r="C913" t="str">
        <f>IF($A913="","",games!$C913)</f>
        <v>Traditional</v>
      </c>
      <c r="D913">
        <f>IF($A913="","",COUNTIF(connections!$A$2:$A$1520,$A913)+COUNTIF(connections!$B$2:$B$1520,$A913))</f>
        <v>1</v>
      </c>
      <c r="E913">
        <f t="shared" si="182"/>
        <v>4</v>
      </c>
      <c r="F913">
        <f t="shared" si="183"/>
        <v>29</v>
      </c>
      <c r="G913" t="e">
        <f t="shared" si="184"/>
        <v>#N/A</v>
      </c>
      <c r="H913" t="e">
        <f t="shared" si="185"/>
        <v>#N/A</v>
      </c>
      <c r="I913" t="e">
        <f t="shared" si="186"/>
        <v>#N/A</v>
      </c>
      <c r="J913" t="e">
        <f t="shared" si="187"/>
        <v>#N/A</v>
      </c>
      <c r="K913" t="e">
        <f t="shared" si="188"/>
        <v>#N/A</v>
      </c>
      <c r="L913" t="e">
        <f t="shared" si="189"/>
        <v>#N/A</v>
      </c>
      <c r="M913">
        <f t="shared" si="190"/>
        <v>2017</v>
      </c>
      <c r="N913">
        <f t="shared" si="191"/>
        <v>4.6669999999999998</v>
      </c>
      <c r="O913">
        <f t="shared" si="192"/>
        <v>1.0009129999999999</v>
      </c>
      <c r="P913" t="str">
        <f>IF(OR($A913="",games!$H913=""),"",games!$H913)</f>
        <v/>
      </c>
      <c r="Q913" t="str">
        <f t="shared" si="193"/>
        <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Z.H.P. Unlosing Ranger VS Darkdeath Evilman</v>
      </c>
      <c r="B914">
        <f>IF($A914="","",games!$B914)</f>
        <v>2010</v>
      </c>
      <c r="C914" t="str">
        <f>IF($A914="","",games!$C914)</f>
        <v>Traditional</v>
      </c>
      <c r="D914">
        <f>IF($A914="","",COUNTIF(connections!$A$2:$A$1520,$A914)+COUNTIF(connections!$B$2:$B$1520,$A914))</f>
        <v>2</v>
      </c>
      <c r="E914">
        <f t="shared" si="182"/>
        <v>4</v>
      </c>
      <c r="F914">
        <f t="shared" si="183"/>
        <v>30</v>
      </c>
      <c r="G914" t="e">
        <f t="shared" si="184"/>
        <v>#N/A</v>
      </c>
      <c r="H914" t="e">
        <f t="shared" si="185"/>
        <v>#N/A</v>
      </c>
      <c r="I914" t="e">
        <f t="shared" si="186"/>
        <v>#N/A</v>
      </c>
      <c r="J914" t="e">
        <f t="shared" si="187"/>
        <v>#N/A</v>
      </c>
      <c r="K914" t="e">
        <f t="shared" si="188"/>
        <v>#N/A</v>
      </c>
      <c r="L914" t="e">
        <f t="shared" si="189"/>
        <v>#N/A</v>
      </c>
      <c r="M914">
        <f t="shared" si="190"/>
        <v>2010</v>
      </c>
      <c r="N914">
        <f t="shared" si="191"/>
        <v>4.6899999999999995</v>
      </c>
      <c r="O914">
        <f t="shared" si="192"/>
        <v>2.0009139999999999</v>
      </c>
      <c r="P914" t="str">
        <f>IF(OR($A914="",games!$H914=""),"",games!$H914)</f>
        <v>Yes</v>
      </c>
      <c r="Q914">
        <f t="shared" si="193"/>
        <v>2.0009139999999999</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Zangband</v>
      </c>
      <c r="B915">
        <f>IF($A915="","",games!$B915)</f>
        <v>1994</v>
      </c>
      <c r="C915" t="str">
        <f>IF($A915="","",games!$C915)</f>
        <v>Traditional</v>
      </c>
      <c r="D915">
        <f>IF($A915="","",COUNTIF(connections!$A$2:$A$1520,$A915)+COUNTIF(connections!$B$2:$B$1520,$A915))</f>
        <v>4</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1994</v>
      </c>
      <c r="N915">
        <f t="shared" si="191"/>
        <v>4.7130000000000001</v>
      </c>
      <c r="O915">
        <f t="shared" si="192"/>
        <v>4.000915</v>
      </c>
      <c r="P915" t="str">
        <f>IF(OR($A915="",games!$H915=""),"",games!$H915)</f>
        <v>Yes</v>
      </c>
      <c r="Q915">
        <f t="shared" si="193"/>
        <v>4.000915</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Zet Zillions</v>
      </c>
      <c r="B916">
        <f>IF($A916="","",games!$B916)</f>
        <v>2024</v>
      </c>
      <c r="C916" t="str">
        <f>IF($A916="","",games!$C916)</f>
        <v>Deckbuilder</v>
      </c>
      <c r="D916">
        <f>IF($A916="","",COUNTIF(connections!$A$2:$A$1520,$A916)+COUNTIF(connections!$B$2:$B$1520,$A916))</f>
        <v>2</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Ziggurat</v>
      </c>
      <c r="B917">
        <f>IF($A917="","",games!$B917)</f>
        <v>2014</v>
      </c>
      <c r="C917" t="str">
        <f>IF($A917="","",games!$C917)</f>
        <v>Action</v>
      </c>
      <c r="D917">
        <f>IF($A917="","",COUNTIF(connections!$A$2:$A$1520,$A917)+COUNTIF(connections!$B$2:$B$1520,$A917))</f>
        <v>3</v>
      </c>
      <c r="E917">
        <f t="shared" si="182"/>
        <v>1</v>
      </c>
      <c r="F917">
        <f t="shared" si="183"/>
        <v>33</v>
      </c>
      <c r="G917">
        <f t="shared" si="184"/>
        <v>2014</v>
      </c>
      <c r="H917">
        <f t="shared" si="185"/>
        <v>1.7589999999999999</v>
      </c>
      <c r="I917" t="e">
        <f t="shared" si="186"/>
        <v>#N/A</v>
      </c>
      <c r="J917" t="e">
        <f t="shared" si="187"/>
        <v>#N/A</v>
      </c>
      <c r="K917" t="e">
        <f t="shared" si="188"/>
        <v>#N/A</v>
      </c>
      <c r="L917" t="e">
        <f t="shared" si="189"/>
        <v>#N/A</v>
      </c>
      <c r="M917" t="e">
        <f t="shared" si="190"/>
        <v>#N/A</v>
      </c>
      <c r="N917" t="e">
        <f t="shared" si="191"/>
        <v>#N/A</v>
      </c>
      <c r="O917">
        <f t="shared" si="192"/>
        <v>3.0009169999999998</v>
      </c>
      <c r="P917" t="str">
        <f>IF(OR($A917="",games!$H917=""),"",games!$H917)</f>
        <v>Yes</v>
      </c>
      <c r="Q917">
        <f t="shared" si="193"/>
        <v>3.0009169999999998</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Ziggurat 2</v>
      </c>
      <c r="B918">
        <f>IF($A918="","",games!$B918)</f>
        <v>2020</v>
      </c>
      <c r="C918" t="str">
        <f>IF($A918="","",games!$C918)</f>
        <v>Action</v>
      </c>
      <c r="D918">
        <f>IF($A918="","",COUNTIF(connections!$A$2:$A$1520,$A918)+COUNTIF(connections!$B$2:$B$1520,$A918))</f>
        <v>1</v>
      </c>
      <c r="E918">
        <f t="shared" si="182"/>
        <v>1</v>
      </c>
      <c r="F918">
        <f t="shared" si="183"/>
        <v>0</v>
      </c>
      <c r="G918">
        <f t="shared" si="184"/>
        <v>2020</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ZMAngband</v>
      </c>
      <c r="B919">
        <f>IF($A919="","",games!$B919)</f>
        <v>2025</v>
      </c>
      <c r="C919" t="str">
        <f>IF($A919="","",games!$C919)</f>
        <v>Traditional</v>
      </c>
      <c r="D919">
        <f>IF($A919="","",COUNTIF(connections!$A$2:$A$1520,$A919)+COUNTIF(connections!$B$2:$B$1520,$A919))</f>
        <v>6</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2025</v>
      </c>
      <c r="N919">
        <f t="shared" si="191"/>
        <v>4.0229999999999997</v>
      </c>
      <c r="O919">
        <f t="shared" si="192"/>
        <v>6.0009189999999997</v>
      </c>
      <c r="P919" t="str">
        <f>IF(OR($A919="",games!$H919=""),"",games!$H919)</f>
        <v>Yes</v>
      </c>
      <c r="Q919">
        <f t="shared" si="193"/>
        <v>6.0009189999999997</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Zoeti</v>
      </c>
      <c r="B920">
        <f>IF($A920="","",games!$B920)</f>
        <v>2023</v>
      </c>
      <c r="C920" t="str">
        <f>IF($A920="","",games!$C920)</f>
        <v>Deckbuilder</v>
      </c>
      <c r="D920">
        <f>IF($A920="","",COUNTIF(connections!$A$2:$A$1520,$A920)+COUNTIF(connections!$B$2:$B$1520,$A920))</f>
        <v>3</v>
      </c>
      <c r="E920">
        <f t="shared" si="182"/>
        <v>3</v>
      </c>
      <c r="F920">
        <f t="shared" si="183"/>
        <v>2</v>
      </c>
      <c r="G920" t="e">
        <f t="shared" si="184"/>
        <v>#N/A</v>
      </c>
      <c r="H920" t="e">
        <f t="shared" si="185"/>
        <v>#N/A</v>
      </c>
      <c r="I920" t="e">
        <f t="shared" si="186"/>
        <v>#N/A</v>
      </c>
      <c r="J920" t="e">
        <f t="shared" si="187"/>
        <v>#N/A</v>
      </c>
      <c r="K920">
        <f t="shared" si="188"/>
        <v>2023</v>
      </c>
      <c r="L920">
        <f t="shared" si="189"/>
        <v>3.0459999999999998</v>
      </c>
      <c r="M920" t="e">
        <f t="shared" si="190"/>
        <v>#N/A</v>
      </c>
      <c r="N920" t="e">
        <f t="shared" si="191"/>
        <v>#N/A</v>
      </c>
      <c r="O920">
        <f t="shared" si="192"/>
        <v>3.0009199999999998</v>
      </c>
      <c r="P920" t="str">
        <f>IF(OR($A920="",games!$H920=""),"",games!$H920)</f>
        <v>Yes</v>
      </c>
      <c r="Q920">
        <f t="shared" si="193"/>
        <v>3.0009199999999998</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Zoominoes</v>
      </c>
      <c r="B921">
        <f>IF($A921="","",games!$B921)</f>
        <v>2026</v>
      </c>
      <c r="C921" t="str">
        <f>IF($A921="","",games!$C921)</f>
        <v>Deckbuilder</v>
      </c>
      <c r="D921">
        <f>IF($A921="","",COUNTIF(connections!$A$2:$A$1520,$A921)+COUNTIF(connections!$B$2:$B$1520,$A921))</f>
        <v>1</v>
      </c>
      <c r="E921">
        <f t="shared" si="182"/>
        <v>3</v>
      </c>
      <c r="F921">
        <f t="shared" si="183"/>
        <v>3</v>
      </c>
      <c r="G921" t="e">
        <f t="shared" si="184"/>
        <v>#N/A</v>
      </c>
      <c r="H921" t="e">
        <f t="shared" si="185"/>
        <v>#N/A</v>
      </c>
      <c r="I921" t="e">
        <f t="shared" si="186"/>
        <v>#N/A</v>
      </c>
      <c r="J921" t="e">
        <f t="shared" si="187"/>
        <v>#N/A</v>
      </c>
      <c r="K921">
        <f t="shared" si="188"/>
        <v>2026</v>
      </c>
      <c r="L921">
        <f t="shared" si="189"/>
        <v>3.069</v>
      </c>
      <c r="M921" t="e">
        <f t="shared" si="190"/>
        <v>#N/A</v>
      </c>
      <c r="N921" t="e">
        <f t="shared" si="191"/>
        <v>#N/A</v>
      </c>
      <c r="O921">
        <f t="shared" si="192"/>
        <v>1.0009209999999999</v>
      </c>
      <c r="P921" t="str">
        <f>IF(OR($A921="",games!$H921=""),"",games!$H921)</f>
        <v/>
      </c>
      <c r="Q921" t="str">
        <f t="shared" si="193"/>
        <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Zorbus</v>
      </c>
      <c r="B922">
        <f>IF($A922="","",games!$B922)</f>
        <v>2022</v>
      </c>
      <c r="C922" t="str">
        <f>IF($A922="","",games!$C922)</f>
        <v>Traditional</v>
      </c>
      <c r="D922">
        <f>IF($A922="","",COUNTIF(connections!$A$2:$A$1520,$A922)+COUNTIF(connections!$B$2:$B$1520,$A922))</f>
        <v>1</v>
      </c>
      <c r="E922">
        <f t="shared" si="182"/>
        <v>4</v>
      </c>
      <c r="F922">
        <f t="shared" si="183"/>
        <v>4</v>
      </c>
      <c r="G922" t="e">
        <f t="shared" si="184"/>
        <v>#N/A</v>
      </c>
      <c r="H922" t="e">
        <f t="shared" si="185"/>
        <v>#N/A</v>
      </c>
      <c r="I922" t="e">
        <f t="shared" si="186"/>
        <v>#N/A</v>
      </c>
      <c r="J922" t="e">
        <f t="shared" si="187"/>
        <v>#N/A</v>
      </c>
      <c r="K922" t="e">
        <f t="shared" si="188"/>
        <v>#N/A</v>
      </c>
      <c r="L922" t="e">
        <f t="shared" si="189"/>
        <v>#N/A</v>
      </c>
      <c r="M922">
        <f t="shared" si="190"/>
        <v>2022</v>
      </c>
      <c r="N922">
        <f t="shared" si="191"/>
        <v>4.0919999999999996</v>
      </c>
      <c r="O922">
        <f t="shared" si="192"/>
        <v>1.0009220000000001</v>
      </c>
      <c r="P922" t="str">
        <f>IF(OR($A922="",games!$H922=""),"",games!$H922)</f>
        <v>Yes</v>
      </c>
      <c r="Q922">
        <f t="shared" si="193"/>
        <v>1.0009220000000001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
      </c>
      <c r="B923" t="str">
        <f>IF($A923="","",games!$B923)</f>
        <v/>
      </c>
      <c r="C923" t="str">
        <f>IF($A923="","",games!$C923)</f>
        <v/>
      </c>
      <c r="D923" t="str">
        <f>IF($A923="","",COUNTIF(connections!$A$2:$A$1520,$A923)+COUNTIF(connections!$B$2:$B$1520,$A923))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
      </c>
      <c r="B924" t="str">
        <f>IF($A924="","",games!$B924)</f>
        <v/>
      </c>
      <c r="C924" t="str">
        <f>IF($A924="","",games!$C924)</f>
        <v/>
      </c>
      <c r="D924" t="str">
        <f>IF($A924="","",COUNTIF(connections!$A$2:$A$1520,$A924)+COUNTIF(connections!$B$2:$B$1520,$A924))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IF($A925="","",COUNTIF(connections!$A$2:$A$1520,$A925)+COUNTIF(connections!$B$2:$B$1520,$A925))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IF($A926="","",COUNTIF(connections!$A$2:$A$1520,$A926)+COUNTIF(connections!$B$2:$B$1520,$A926))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str">
        <f>IF($A927="","",games!$B927)</f>
        <v/>
      </c>
      <c r="C927" t="str">
        <f>IF($A927="","",games!$C927)</f>
        <v/>
      </c>
      <c r="D927" t="str">
        <f>IF($A927="","",COUNTIF(connections!$A$2:$A$1520,$A927)+COUNTIF(connections!$B$2:$B$1520,$A927))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IF($A928="","",COUNTIF(connections!$A$2:$A$1520,$A928)+COUNTIF(connections!$B$2:$B$1520,$A928))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IF($A929="","",COUNTIF(connections!$A$2:$A$1520,$A929)+COUNTIF(connections!$B$2:$B$1520,$A929))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IF($A930="","",COUNTIF(connections!$A$2:$A$1520,$A930)+COUNTIF(connections!$B$2:$B$1520,$A930))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IF($A931="","",COUNTIF(connections!$A$2:$A$1520,$A931)+COUNTIF(connections!$B$2:$B$1520,$A931))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IF($A932="","",COUNTIF(connections!$A$2:$A$1520,$A932)+COUNTIF(connections!$B$2:$B$1520,$A932))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IF($A933="","",COUNTIF(connections!$A$2:$A$1520,$A933)+COUNTIF(connections!$B$2:$B$1520,$A933))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IF($A934="","",COUNTIF(connections!$A$2:$A$1520,$A934)+COUNTIF(connections!$B$2:$B$1520,$A934))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IF($A935="","",COUNTIF(connections!$A$2:$A$1520,$A935)+COUNTIF(connections!$B$2:$B$1520,$A935))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IF($A936="","",COUNTIF(connections!$A$2:$A$1520,$A936)+COUNTIF(connections!$B$2:$B$1520,$A936))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IF($A937="","",COUNTIF(connections!$A$2:$A$1520,$A937)+COUNTIF(connections!$B$2:$B$1520,$A937))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IF($A938="","",COUNTIF(connections!$A$2:$A$1520,$A938)+COUNTIF(connections!$B$2:$B$1520,$A938))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IF($A939="","",COUNTIF(connections!$A$2:$A$1520,$A939)+COUNTIF(connections!$B$2:$B$1520,$A939))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IF($A940="","",COUNTIF(connections!$A$2:$A$1520,$A940)+COUNTIF(connections!$B$2:$B$1520,$A940))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IF($A941="","",COUNTIF(connections!$A$2:$A$1520,$A941)+COUNTIF(connections!$B$2:$B$1520,$A941))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IF($A942="","",COUNTIF(connections!$A$2:$A$1520,$A942)+COUNTIF(connections!$B$2:$B$1520,$A942))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IF($A943="","",COUNTIF(connections!$A$2:$A$1520,$A943)+COUNTIF(connections!$B$2:$B$1520,$A943))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IF($A944="","",COUNTIF(connections!$A$2:$A$1520,$A944)+COUNTIF(connections!$B$2:$B$1520,$A944))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IF($A945="","",COUNTIF(connections!$A$2:$A$1520,$A945)+COUNTIF(connections!$B$2:$B$1520,$A945))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IF($A946="","",COUNTIF(connections!$A$2:$A$1520,$A946)+COUNTIF(connections!$B$2:$B$1520,$A946))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IF($A947="","",COUNTIF(connections!$A$2:$A$1520,$A947)+COUNTIF(connections!$B$2:$B$1520,$A947))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IF($A948="","",COUNTIF(connections!$A$2:$A$1520,$A948)+COUNTIF(connections!$B$2:$B$1520,$A948))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IF($A949="","",COUNTIF(connections!$A$2:$A$1520,$A949)+COUNTIF(connections!$B$2:$B$1520,$A949))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IF($A950="","",COUNTIF(connections!$A$2:$A$1520,$A950)+COUNTIF(connections!$B$2:$B$1520,$A950))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2026-10-09T18:40:35Z</dcterms:modified>
  <dc:language>en-US</dc:language>
</cp:coreProperties>
</file>