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B458BDA-4B22-4591-B875-0114C0E56AC1}" xr6:coauthVersionLast="47" xr6:coauthVersionMax="47" xr10:uidLastSave="{00000000-0000-0000-0000-000000000000}"/>
  <bookViews>
    <workbookView xWindow="-120" yWindow="-120" windowWidth="38640" windowHeight="21120" tabRatio="692" activeTab="1"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31" i="37"/>
  <c r="D730" i="37"/>
  <c r="D707" i="37"/>
  <c r="D706" i="37"/>
  <c r="D691" i="37"/>
  <c r="D679" i="37"/>
  <c r="D657" i="37"/>
  <c r="D641" i="37"/>
  <c r="D605" i="37"/>
  <c r="D602" i="37"/>
  <c r="D574" i="37"/>
  <c r="D561" i="37"/>
  <c r="D560" i="37"/>
  <c r="D521" i="37"/>
  <c r="D512" i="37"/>
  <c r="D511" i="37"/>
  <c r="D483" i="37"/>
  <c r="D465" i="37"/>
  <c r="D46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D820" i="37"/>
  <c r="D819" i="37"/>
  <c r="D817" i="37"/>
  <c r="D816" i="37"/>
  <c r="D815" i="37"/>
  <c r="D813" i="37"/>
  <c r="D812" i="37"/>
  <c r="D811" i="37"/>
  <c r="D807" i="37"/>
  <c r="D806" i="37"/>
  <c r="D805" i="37"/>
  <c r="D804" i="37"/>
  <c r="D803" i="37"/>
  <c r="D801" i="37"/>
  <c r="D800" i="37"/>
  <c r="D799" i="37"/>
  <c r="D798" i="37"/>
  <c r="D797" i="37"/>
  <c r="D796" i="37"/>
  <c r="D793" i="37"/>
  <c r="D792" i="37"/>
  <c r="D790" i="37"/>
  <c r="D789" i="37"/>
  <c r="D788" i="37"/>
  <c r="D787" i="37"/>
  <c r="D785" i="37"/>
  <c r="D784" i="37"/>
  <c r="D782" i="37"/>
  <c r="D781" i="37"/>
  <c r="D780" i="37"/>
  <c r="D779" i="37"/>
  <c r="D777" i="37"/>
  <c r="D774" i="37"/>
  <c r="D773" i="37"/>
  <c r="D772" i="37"/>
  <c r="D771" i="37"/>
  <c r="D770" i="37"/>
  <c r="D766" i="37"/>
  <c r="D764" i="37"/>
  <c r="D763" i="37"/>
  <c r="D762" i="37"/>
  <c r="D761" i="37"/>
  <c r="D760" i="37"/>
  <c r="D758" i="37"/>
  <c r="D756" i="37"/>
  <c r="D754" i="37"/>
  <c r="D753" i="37"/>
  <c r="D750" i="37"/>
  <c r="D748" i="37"/>
  <c r="D746" i="37"/>
  <c r="D744" i="37"/>
  <c r="D740" i="37"/>
  <c r="D737" i="37"/>
  <c r="D734" i="37"/>
  <c r="D729" i="37"/>
  <c r="D728" i="37"/>
  <c r="D727" i="37"/>
  <c r="D726" i="37"/>
  <c r="D723" i="37"/>
  <c r="D722" i="37"/>
  <c r="D721" i="37"/>
  <c r="D719" i="37"/>
  <c r="D716" i="37"/>
  <c r="D715" i="37"/>
  <c r="D714" i="37"/>
  <c r="D710" i="37"/>
  <c r="D709" i="37"/>
  <c r="D708" i="37"/>
  <c r="D705" i="37"/>
  <c r="D702" i="37"/>
  <c r="D701" i="37"/>
  <c r="D700" i="37"/>
  <c r="D698" i="37"/>
  <c r="D697" i="37"/>
  <c r="D694" i="37"/>
  <c r="D693" i="37"/>
  <c r="D692" i="37"/>
  <c r="D690" i="37"/>
  <c r="D688" i="37"/>
  <c r="D684" i="37"/>
  <c r="D683" i="37"/>
  <c r="D682" i="37"/>
  <c r="D681" i="37"/>
  <c r="D676" i="37"/>
  <c r="D675" i="37"/>
  <c r="D672" i="37"/>
  <c r="D670" i="37"/>
  <c r="D669" i="37"/>
  <c r="D666" i="37"/>
  <c r="D665" i="37"/>
  <c r="D664" i="37"/>
  <c r="D663" i="37"/>
  <c r="D662" i="37"/>
  <c r="D661" i="37"/>
  <c r="D659" i="37"/>
  <c r="D653" i="37"/>
  <c r="D652" i="37"/>
  <c r="D651" i="37"/>
  <c r="D650" i="37"/>
  <c r="D649" i="37"/>
  <c r="D648" i="37"/>
  <c r="D646" i="37"/>
  <c r="D645" i="37"/>
  <c r="D644" i="37"/>
  <c r="D640" i="37"/>
  <c r="D636" i="37"/>
  <c r="D635" i="37"/>
  <c r="D632" i="37"/>
  <c r="D630" i="37"/>
  <c r="D627" i="37"/>
  <c r="D625" i="37"/>
  <c r="D624" i="37"/>
  <c r="D623" i="37"/>
  <c r="D621" i="37"/>
  <c r="D620" i="37"/>
  <c r="D619" i="37"/>
  <c r="D618" i="37"/>
  <c r="D616" i="37"/>
  <c r="D613" i="37"/>
  <c r="D611" i="37"/>
  <c r="D609" i="37"/>
  <c r="D603" i="37"/>
  <c r="D599" i="37"/>
  <c r="D594" i="37"/>
  <c r="D593" i="37"/>
  <c r="D590" i="37"/>
  <c r="D589" i="37"/>
  <c r="D585" i="37"/>
  <c r="D584" i="37"/>
  <c r="D581" i="37"/>
  <c r="D579" i="37"/>
  <c r="D578" i="37"/>
  <c r="D575" i="37"/>
  <c r="D572" i="37"/>
  <c r="D571" i="37"/>
  <c r="D568" i="37"/>
  <c r="D566" i="37"/>
  <c r="D565" i="37"/>
  <c r="D564" i="37"/>
  <c r="D562" i="37"/>
  <c r="D557" i="37"/>
  <c r="D555" i="37"/>
  <c r="D553" i="37"/>
  <c r="D552" i="37"/>
  <c r="D550" i="37"/>
  <c r="D549" i="37"/>
  <c r="D547" i="37"/>
  <c r="D534" i="37"/>
  <c r="D531" i="37"/>
  <c r="D526" i="37"/>
  <c r="D525" i="37"/>
  <c r="D520" i="37"/>
  <c r="D519" i="37"/>
  <c r="D518" i="37"/>
  <c r="D516" i="37"/>
  <c r="D515" i="37"/>
  <c r="D514" i="37"/>
  <c r="D513" i="37"/>
  <c r="D510" i="37"/>
  <c r="D505" i="37"/>
  <c r="D503" i="37"/>
  <c r="D502" i="37"/>
  <c r="D501" i="37"/>
  <c r="D500" i="37"/>
  <c r="D497" i="37"/>
  <c r="D494" i="37"/>
  <c r="D492" i="37"/>
  <c r="D489" i="37"/>
  <c r="D487" i="37"/>
  <c r="D485" i="37"/>
  <c r="D482" i="37"/>
  <c r="D480" i="37"/>
  <c r="D479" i="37"/>
  <c r="D478" i="37"/>
  <c r="D477" i="37"/>
  <c r="D476" i="37"/>
  <c r="D475" i="37"/>
  <c r="D474" i="37"/>
  <c r="D471" i="37"/>
  <c r="D464" i="37"/>
  <c r="D457" i="37"/>
  <c r="D456" i="37"/>
  <c r="D452" i="37"/>
  <c r="D450" i="37"/>
  <c r="D448" i="37"/>
  <c r="D447" i="37"/>
  <c r="D446" i="37"/>
  <c r="D444" i="37"/>
  <c r="D443" i="37"/>
  <c r="D441" i="37"/>
  <c r="D440" i="37"/>
  <c r="D438" i="37"/>
  <c r="D436" i="37"/>
  <c r="D435" i="37"/>
  <c r="D433" i="37"/>
  <c r="D431" i="37"/>
  <c r="D424" i="37"/>
  <c r="D419" i="37"/>
  <c r="D415" i="37"/>
  <c r="D414" i="37"/>
  <c r="D413" i="37"/>
  <c r="D411" i="37"/>
  <c r="D408" i="37"/>
  <c r="D407" i="37"/>
  <c r="D406" i="37"/>
  <c r="D405" i="37"/>
  <c r="D398" i="37"/>
  <c r="D397" i="37"/>
  <c r="D394" i="37"/>
  <c r="D393" i="37"/>
  <c r="D391" i="37"/>
  <c r="D388" i="37"/>
  <c r="D387" i="37"/>
  <c r="D386" i="37"/>
  <c r="D384" i="37"/>
  <c r="D383" i="37"/>
  <c r="D379" i="37"/>
  <c r="D377" i="37"/>
  <c r="D374" i="37"/>
  <c r="D371" i="37"/>
  <c r="D367" i="37"/>
  <c r="D366" i="37"/>
  <c r="D365" i="37"/>
  <c r="D364" i="37"/>
  <c r="D363" i="37"/>
  <c r="D362" i="37"/>
  <c r="D360" i="37"/>
  <c r="D359" i="37"/>
  <c r="D358" i="37"/>
  <c r="D356" i="37"/>
  <c r="D355" i="37"/>
  <c r="D353" i="37"/>
  <c r="D352" i="37"/>
  <c r="D345" i="37"/>
  <c r="D343" i="37"/>
  <c r="D336" i="37"/>
  <c r="D335" i="37"/>
  <c r="D334" i="37"/>
  <c r="D333" i="37"/>
  <c r="D330" i="37"/>
  <c r="D327" i="37"/>
  <c r="D323" i="37"/>
  <c r="D321" i="37"/>
  <c r="D317" i="37"/>
  <c r="D316" i="37"/>
  <c r="D312" i="37"/>
  <c r="D310" i="37"/>
  <c r="D307" i="37"/>
  <c r="D305" i="37"/>
  <c r="D302" i="37"/>
  <c r="D294" i="37"/>
  <c r="D293" i="37"/>
  <c r="D288" i="37"/>
  <c r="D286" i="37"/>
  <c r="D285" i="37"/>
  <c r="D283" i="37"/>
  <c r="D281" i="37"/>
  <c r="D278" i="37"/>
  <c r="D275" i="37"/>
  <c r="D274" i="37"/>
  <c r="D270" i="37"/>
  <c r="D267" i="37"/>
  <c r="D264" i="37"/>
  <c r="D261" i="37"/>
  <c r="D260" i="37"/>
  <c r="D259" i="37"/>
  <c r="D258" i="37"/>
  <c r="D254" i="37"/>
  <c r="D253" i="37"/>
  <c r="D249" i="37"/>
  <c r="D245" i="37"/>
  <c r="D244" i="37"/>
  <c r="D242" i="37"/>
  <c r="D241" i="37"/>
  <c r="D240" i="37"/>
  <c r="D238" i="37"/>
  <c r="D237" i="37"/>
  <c r="D232" i="37"/>
  <c r="D230" i="37"/>
  <c r="D228" i="37"/>
  <c r="D225" i="37"/>
  <c r="D223" i="37"/>
  <c r="D219" i="37"/>
  <c r="D218" i="37"/>
  <c r="D213" i="37"/>
  <c r="D212" i="37"/>
  <c r="D210" i="37"/>
  <c r="D209" i="37"/>
  <c r="D206" i="37"/>
  <c r="D203" i="37"/>
  <c r="D202" i="37"/>
  <c r="D201" i="37"/>
  <c r="D197" i="37"/>
  <c r="D195" i="37"/>
  <c r="D193" i="37"/>
  <c r="D189" i="37"/>
  <c r="D184" i="37"/>
  <c r="D182" i="37"/>
  <c r="D181" i="37"/>
  <c r="D180" i="37"/>
  <c r="D179" i="37"/>
  <c r="D176" i="37"/>
  <c r="D174" i="37"/>
  <c r="D173" i="37"/>
  <c r="D170" i="37"/>
  <c r="D168" i="37"/>
  <c r="D167" i="37"/>
  <c r="D165" i="37"/>
  <c r="D164" i="37"/>
  <c r="D162" i="37"/>
  <c r="D152" i="37"/>
  <c r="D148" i="37"/>
  <c r="D147" i="37"/>
  <c r="D145" i="37"/>
  <c r="D143" i="37"/>
  <c r="D141" i="37"/>
  <c r="D140" i="37"/>
  <c r="D138" i="37"/>
  <c r="D137" i="37"/>
  <c r="D135" i="37"/>
  <c r="D134" i="37"/>
  <c r="D132" i="37"/>
  <c r="D131" i="37"/>
  <c r="D129" i="37"/>
  <c r="D127" i="37"/>
  <c r="D124" i="37"/>
  <c r="D123" i="37"/>
  <c r="D114" i="37"/>
  <c r="D108" i="37"/>
  <c r="D102" i="37"/>
  <c r="D101" i="37"/>
  <c r="D100" i="37"/>
  <c r="D97" i="37"/>
  <c r="D96" i="37"/>
  <c r="D92" i="37"/>
  <c r="D91" i="37"/>
  <c r="D90" i="37"/>
  <c r="D89" i="37"/>
  <c r="D84" i="37"/>
  <c r="D83" i="37"/>
  <c r="D82" i="37"/>
  <c r="D80" i="37"/>
  <c r="D79" i="37"/>
  <c r="D78" i="37"/>
  <c r="D75" i="37"/>
  <c r="D71" i="37"/>
  <c r="D65" i="37"/>
  <c r="D64" i="37"/>
  <c r="D63" i="37"/>
  <c r="D62" i="37"/>
  <c r="D57" i="37"/>
  <c r="D56" i="37"/>
  <c r="D55" i="37"/>
  <c r="D54" i="37"/>
  <c r="D53" i="37"/>
  <c r="D49" i="37"/>
  <c r="D46" i="37"/>
  <c r="D45" i="37"/>
  <c r="D44" i="37"/>
  <c r="D43" i="37"/>
  <c r="D42" i="37"/>
  <c r="D41" i="37"/>
  <c r="D40" i="37"/>
  <c r="D38" i="37"/>
  <c r="D37" i="37"/>
  <c r="D36" i="37"/>
  <c r="D30" i="37"/>
  <c r="D29" i="37"/>
  <c r="D22" i="37"/>
  <c r="D16" i="37"/>
  <c r="D15" i="37"/>
  <c r="D13" i="37"/>
  <c r="D7" i="37"/>
  <c r="D6" i="37"/>
  <c r="D686" i="37"/>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647" i="37"/>
  <c r="D35" i="37"/>
  <c r="D608" i="37"/>
  <c r="D153" i="37"/>
  <c r="D445" i="37"/>
  <c r="D76" i="37"/>
  <c r="D490" i="37"/>
  <c r="D699" i="37"/>
  <c r="D313" i="37"/>
  <c r="D733" i="37"/>
  <c r="D340" i="37"/>
  <c r="D738" i="37"/>
  <c r="D517" i="37"/>
  <c r="D395" i="37"/>
  <c r="D678" i="37"/>
  <c r="D671" i="37"/>
  <c r="D563" i="37"/>
  <c r="D349" i="37"/>
  <c r="D401" i="37"/>
  <c r="D689" i="37"/>
  <c r="D146" i="37"/>
  <c r="D328" i="37"/>
  <c r="D600" i="37"/>
  <c r="D404" i="37"/>
  <c r="D214" i="37"/>
  <c r="D493" i="37"/>
  <c r="D412" i="37"/>
  <c r="D318" i="37"/>
  <c r="D149" i="37"/>
  <c r="D157" i="37"/>
  <c r="D66" i="37"/>
  <c r="D533" i="37"/>
  <c r="D696" i="37"/>
  <c r="D70" i="37"/>
  <c r="D171" i="37"/>
  <c r="D577" i="37"/>
  <c r="D428" i="37"/>
  <c r="D105" i="37"/>
  <c r="D297" i="37"/>
  <c r="D227" i="37"/>
  <c r="D434" i="37"/>
  <c r="D151"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D204" i="37"/>
  <c r="D159" i="37"/>
  <c r="D211" i="37"/>
  <c r="D481" i="37"/>
  <c r="D21" i="37"/>
  <c r="D467" i="37"/>
  <c r="D255" i="37"/>
  <c r="D463" i="37"/>
  <c r="D27" i="37"/>
  <c r="D166" i="37"/>
  <c r="D198" i="37"/>
  <c r="D455" i="37"/>
  <c r="D271" i="37"/>
  <c r="D58" i="37"/>
  <c r="D246" i="37"/>
  <c r="D495" i="37"/>
  <c r="D235" i="37"/>
  <c r="D703" i="37"/>
  <c r="D329" i="37"/>
  <c r="D695" i="37"/>
  <c r="D420" i="37"/>
  <c r="D107" i="37"/>
  <c r="D725" i="37"/>
  <c r="D315" i="37"/>
  <c r="D188" i="37"/>
  <c r="D583" i="37"/>
  <c r="D348" i="37"/>
  <c r="D486" i="37"/>
  <c r="D717" i="37"/>
  <c r="D370" i="37"/>
  <c r="D378" i="37"/>
  <c r="D300" i="37"/>
  <c r="D724" i="37"/>
  <c r="D498" i="37"/>
  <c r="D106" i="37"/>
  <c r="D113" i="37"/>
  <c r="D712" i="37"/>
  <c r="D775" i="37"/>
  <c r="D582" i="37"/>
  <c r="D736" i="37"/>
  <c r="D17" i="37"/>
  <c r="D542" i="37"/>
  <c r="D466" i="37"/>
  <c r="D31" i="37"/>
  <c r="D292" i="37"/>
  <c r="D125" i="37"/>
  <c r="D612" i="37"/>
  <c r="D272" i="37"/>
  <c r="D229" i="37"/>
  <c r="D470" i="37"/>
  <c r="D532" i="37"/>
  <c r="D19" i="37"/>
  <c r="D224" i="37"/>
  <c r="D178" i="37"/>
  <c r="D341" i="37"/>
  <c r="D51" i="37"/>
  <c r="D95" i="37"/>
  <c r="D591" i="37"/>
  <c r="D472" i="37"/>
  <c r="D588" i="37"/>
  <c r="D655" i="37"/>
  <c r="D326" i="37"/>
  <c r="D344" i="37"/>
  <c r="D680" i="37"/>
  <c r="D818" i="37"/>
  <c r="D660" i="37"/>
  <c r="D745" i="37"/>
  <c r="D104" i="37"/>
  <c r="D453" i="37"/>
  <c r="D522" i="37"/>
  <c r="D814" i="37"/>
  <c r="D23" i="37"/>
  <c r="D262" i="37"/>
  <c r="D631" i="37"/>
  <c r="D220" i="37"/>
  <c r="D755" i="37"/>
  <c r="D629" i="37"/>
  <c r="E846" i="2"/>
  <c r="D84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E845" i="2"/>
  <c r="D845" i="2"/>
  <c r="E844" i="2"/>
  <c r="D844" i="2"/>
  <c r="E843" i="2"/>
  <c r="D843" i="2"/>
  <c r="E842" i="2"/>
  <c r="D842" i="2"/>
  <c r="D841" i="2"/>
  <c r="E841" i="2"/>
  <c r="E840" i="2"/>
  <c r="D840" i="2"/>
  <c r="E839" i="2"/>
  <c r="D839" i="2"/>
  <c r="E838" i="2"/>
  <c r="D838" i="2"/>
  <c r="E837" i="2"/>
  <c r="D837" i="2"/>
  <c r="E450" i="2"/>
  <c r="D450" i="2"/>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A819" i="37"/>
  <c r="A818" i="37"/>
  <c r="F818" i="37" s="1"/>
  <c r="A817" i="37"/>
  <c r="A816" i="37"/>
  <c r="A815" i="37"/>
  <c r="A814" i="37"/>
  <c r="C814" i="37" s="1"/>
  <c r="A813" i="37"/>
  <c r="A812" i="37"/>
  <c r="A811" i="37"/>
  <c r="A810" i="37"/>
  <c r="F810" i="37" s="1"/>
  <c r="A809" i="37"/>
  <c r="A808" i="37"/>
  <c r="A807" i="37"/>
  <c r="A806" i="37"/>
  <c r="A805" i="37"/>
  <c r="A804" i="37"/>
  <c r="A803" i="37"/>
  <c r="A802" i="37"/>
  <c r="F802" i="37" s="1"/>
  <c r="A801" i="37"/>
  <c r="A800" i="37"/>
  <c r="A799" i="37"/>
  <c r="A798" i="37"/>
  <c r="A797" i="37"/>
  <c r="A796" i="37"/>
  <c r="A795" i="37"/>
  <c r="A794" i="37"/>
  <c r="F794" i="37" s="1"/>
  <c r="A793" i="37"/>
  <c r="A792" i="37"/>
  <c r="A791" i="37"/>
  <c r="C791" i="37" s="1"/>
  <c r="A790" i="37"/>
  <c r="A789" i="37"/>
  <c r="A788" i="37"/>
  <c r="A787" i="37"/>
  <c r="A786" i="37"/>
  <c r="F786" i="37" s="1"/>
  <c r="A785" i="37"/>
  <c r="A784" i="37"/>
  <c r="A783" i="37"/>
  <c r="A782" i="37"/>
  <c r="A781" i="37"/>
  <c r="A780" i="37"/>
  <c r="A779" i="37"/>
  <c r="A778" i="37"/>
  <c r="F778" i="37" s="1"/>
  <c r="A777" i="37"/>
  <c r="A776" i="37"/>
  <c r="F776" i="37" s="1"/>
  <c r="A775" i="37"/>
  <c r="C775" i="37" s="1"/>
  <c r="A774" i="37"/>
  <c r="A773" i="37"/>
  <c r="A772" i="37"/>
  <c r="A771" i="37"/>
  <c r="A770" i="37"/>
  <c r="A769" i="37"/>
  <c r="A768" i="37"/>
  <c r="A767" i="37"/>
  <c r="B767" i="37" s="1"/>
  <c r="A766" i="37"/>
  <c r="A765" i="37"/>
  <c r="F765" i="37" s="1"/>
  <c r="A764" i="37"/>
  <c r="A763" i="37"/>
  <c r="A762" i="37"/>
  <c r="A761" i="37"/>
  <c r="A760" i="37"/>
  <c r="A759" i="37"/>
  <c r="C759" i="37" s="1"/>
  <c r="A758" i="37"/>
  <c r="A757" i="37"/>
  <c r="F757" i="37" s="1"/>
  <c r="A756" i="37"/>
  <c r="A755" i="37"/>
  <c r="F755" i="37" s="1"/>
  <c r="A754" i="37"/>
  <c r="A753" i="37"/>
  <c r="A752" i="37"/>
  <c r="F752" i="37" s="1"/>
  <c r="A751" i="37"/>
  <c r="D751" i="37" s="1"/>
  <c r="A750" i="37"/>
  <c r="A749" i="37"/>
  <c r="F749" i="37" s="1"/>
  <c r="A748" i="37"/>
  <c r="A747" i="37"/>
  <c r="B747" i="37" s="1"/>
  <c r="A746" i="37"/>
  <c r="A745" i="37"/>
  <c r="C745" i="37" s="1"/>
  <c r="A744" i="37"/>
  <c r="A743" i="37"/>
  <c r="B743" i="37" s="1"/>
  <c r="A742" i="37"/>
  <c r="F742" i="37" s="1"/>
  <c r="A741" i="37"/>
  <c r="F741" i="37" s="1"/>
  <c r="A740" i="37"/>
  <c r="A739" i="37"/>
  <c r="F739" i="37" s="1"/>
  <c r="A738" i="37"/>
  <c r="F738" i="37" s="1"/>
  <c r="A737" i="37"/>
  <c r="A736" i="37"/>
  <c r="B736" i="37" s="1"/>
  <c r="A735" i="37"/>
  <c r="F735" i="37" s="1"/>
  <c r="A734" i="37"/>
  <c r="A733" i="37"/>
  <c r="F733" i="37" s="1"/>
  <c r="A732" i="37"/>
  <c r="B732" i="37" s="1"/>
  <c r="A731" i="37"/>
  <c r="A730" i="37"/>
  <c r="A729" i="37"/>
  <c r="A728" i="37"/>
  <c r="A727" i="37"/>
  <c r="A726" i="37"/>
  <c r="A725" i="37"/>
  <c r="B725" i="37" s="1"/>
  <c r="A724" i="37"/>
  <c r="C724" i="37" s="1"/>
  <c r="A723" i="37"/>
  <c r="A722" i="37"/>
  <c r="A721" i="37"/>
  <c r="A720" i="37"/>
  <c r="F720" i="37" s="1"/>
  <c r="A719" i="37"/>
  <c r="A718" i="37"/>
  <c r="F718" i="37" s="1"/>
  <c r="A717" i="37"/>
  <c r="B717" i="37" s="1"/>
  <c r="A716" i="37"/>
  <c r="A715" i="37"/>
  <c r="A714" i="37"/>
  <c r="A713" i="37"/>
  <c r="D713" i="37" s="1"/>
  <c r="A712" i="37"/>
  <c r="F712" i="37" s="1"/>
  <c r="A711" i="37"/>
  <c r="F711" i="37" s="1"/>
  <c r="A710" i="37"/>
  <c r="A709" i="37"/>
  <c r="A708" i="37"/>
  <c r="A707" i="37"/>
  <c r="A706" i="37"/>
  <c r="A705" i="37"/>
  <c r="A704" i="37"/>
  <c r="B704" i="37" s="1"/>
  <c r="A703" i="37"/>
  <c r="F703" i="37" s="1"/>
  <c r="A702" i="37"/>
  <c r="A701" i="37"/>
  <c r="A700" i="37"/>
  <c r="A699" i="37"/>
  <c r="C699" i="37" s="1"/>
  <c r="A698" i="37"/>
  <c r="A697" i="37"/>
  <c r="A696" i="37"/>
  <c r="C696" i="37" s="1"/>
  <c r="A695" i="37"/>
  <c r="F695" i="37" s="1"/>
  <c r="A694" i="37"/>
  <c r="A693" i="37"/>
  <c r="A692" i="37"/>
  <c r="A691" i="37"/>
  <c r="A690" i="37"/>
  <c r="A689" i="37"/>
  <c r="F689" i="37" s="1"/>
  <c r="A688" i="37"/>
  <c r="A687" i="37"/>
  <c r="A686" i="37"/>
  <c r="B686" i="37" s="1"/>
  <c r="A685" i="37"/>
  <c r="A684" i="37"/>
  <c r="A683" i="37"/>
  <c r="A682" i="37"/>
  <c r="A681" i="37"/>
  <c r="A680" i="37"/>
  <c r="F680" i="37" s="1"/>
  <c r="A679" i="37"/>
  <c r="A678" i="37"/>
  <c r="B678" i="37" s="1"/>
  <c r="A677" i="37"/>
  <c r="B677" i="37" s="1"/>
  <c r="A676" i="37"/>
  <c r="A675" i="37"/>
  <c r="A674" i="37"/>
  <c r="C674" i="37" s="1"/>
  <c r="A673" i="37"/>
  <c r="F673" i="37" s="1"/>
  <c r="A672" i="37"/>
  <c r="A671" i="37"/>
  <c r="F671" i="37" s="1"/>
  <c r="A670" i="37"/>
  <c r="A669" i="37"/>
  <c r="A668" i="37"/>
  <c r="C668" i="37" s="1"/>
  <c r="A667" i="37"/>
  <c r="F667" i="37" s="1"/>
  <c r="A666" i="37"/>
  <c r="A665" i="37"/>
  <c r="A664" i="37"/>
  <c r="A663" i="37"/>
  <c r="A662" i="37"/>
  <c r="A661" i="37"/>
  <c r="A660" i="37"/>
  <c r="F660" i="37" s="1"/>
  <c r="A659" i="37"/>
  <c r="A658" i="37"/>
  <c r="B658" i="37" s="1"/>
  <c r="A657" i="37"/>
  <c r="A656" i="37"/>
  <c r="F656" i="37" s="1"/>
  <c r="A655" i="37"/>
  <c r="F655" i="37" s="1"/>
  <c r="A654" i="37"/>
  <c r="B654" i="37" s="1"/>
  <c r="A653" i="37"/>
  <c r="A652" i="37"/>
  <c r="A651" i="37"/>
  <c r="A650" i="37"/>
  <c r="A649" i="37"/>
  <c r="A648" i="37"/>
  <c r="A647" i="37"/>
  <c r="F647" i="37" s="1"/>
  <c r="A646" i="37"/>
  <c r="A645" i="37"/>
  <c r="A644" i="37"/>
  <c r="A643" i="37"/>
  <c r="C643" i="37" s="1"/>
  <c r="A642" i="37"/>
  <c r="B642" i="37" s="1"/>
  <c r="A641" i="37"/>
  <c r="A640" i="37"/>
  <c r="A639" i="37"/>
  <c r="F639" i="37" s="1"/>
  <c r="A638" i="37"/>
  <c r="B638" i="37" s="1"/>
  <c r="A637" i="37"/>
  <c r="F637" i="37" s="1"/>
  <c r="A636" i="37"/>
  <c r="A635" i="37"/>
  <c r="A634" i="37"/>
  <c r="F634" i="37" s="1"/>
  <c r="A633" i="37"/>
  <c r="C633" i="37" s="1"/>
  <c r="E633" i="37" s="1"/>
  <c r="A632" i="37"/>
  <c r="A631" i="37"/>
  <c r="A630" i="37"/>
  <c r="A629" i="37"/>
  <c r="F629" i="37" s="1"/>
  <c r="A628" i="37"/>
  <c r="C628" i="37" s="1"/>
  <c r="A627" i="37"/>
  <c r="A626" i="37"/>
  <c r="F626" i="37" s="1"/>
  <c r="A625" i="37"/>
  <c r="A624" i="37"/>
  <c r="A623" i="37"/>
  <c r="A622" i="37"/>
  <c r="A621" i="37"/>
  <c r="A620" i="37"/>
  <c r="A619" i="37"/>
  <c r="A618" i="37"/>
  <c r="A617" i="37"/>
  <c r="F617" i="37" s="1"/>
  <c r="A616" i="37"/>
  <c r="A615" i="37"/>
  <c r="F615" i="37" s="1"/>
  <c r="A614" i="37"/>
  <c r="B614" i="37" s="1"/>
  <c r="A613" i="37"/>
  <c r="A612" i="37"/>
  <c r="C612" i="37" s="1"/>
  <c r="A611" i="37"/>
  <c r="A610" i="37"/>
  <c r="C610" i="37" s="1"/>
  <c r="A609" i="37"/>
  <c r="A608" i="37"/>
  <c r="C608" i="37" s="1"/>
  <c r="A607" i="37"/>
  <c r="C607" i="37" s="1"/>
  <c r="A606" i="37"/>
  <c r="B606" i="37" s="1"/>
  <c r="A605" i="37"/>
  <c r="A604" i="37"/>
  <c r="C604" i="37" s="1"/>
  <c r="A603" i="37"/>
  <c r="A602" i="37"/>
  <c r="A601" i="37"/>
  <c r="F601" i="37" s="1"/>
  <c r="A600" i="37"/>
  <c r="F600" i="37" s="1"/>
  <c r="A599" i="37"/>
  <c r="A598" i="37"/>
  <c r="F598" i="37" s="1"/>
  <c r="A597" i="37"/>
  <c r="B597" i="37" s="1"/>
  <c r="A596" i="37"/>
  <c r="B596" i="37" s="1"/>
  <c r="A595" i="37"/>
  <c r="C595" i="37" s="1"/>
  <c r="A594" i="37"/>
  <c r="A593" i="37"/>
  <c r="A592" i="37"/>
  <c r="C592" i="37" s="1"/>
  <c r="A591" i="37"/>
  <c r="B591" i="37" s="1"/>
  <c r="A590" i="37"/>
  <c r="A589" i="37"/>
  <c r="A588" i="37"/>
  <c r="B588" i="37" s="1"/>
  <c r="A587" i="37"/>
  <c r="F587" i="37" s="1"/>
  <c r="A586" i="37"/>
  <c r="B586" i="37" s="1"/>
  <c r="A585" i="37"/>
  <c r="A584" i="37"/>
  <c r="A583" i="37"/>
  <c r="B583" i="37" s="1"/>
  <c r="A582" i="37"/>
  <c r="C582" i="37" s="1"/>
  <c r="A581" i="37"/>
  <c r="A580" i="37"/>
  <c r="F580" i="37" s="1"/>
  <c r="A579" i="37"/>
  <c r="A578" i="37"/>
  <c r="A577" i="37"/>
  <c r="C577" i="37" s="1"/>
  <c r="A576" i="37"/>
  <c r="C576" i="37" s="1"/>
  <c r="A575" i="37"/>
  <c r="A574" i="37"/>
  <c r="A573" i="37"/>
  <c r="F573" i="37" s="1"/>
  <c r="A572" i="37"/>
  <c r="A571" i="37"/>
  <c r="A570" i="37"/>
  <c r="C570" i="37" s="1"/>
  <c r="A569" i="37"/>
  <c r="A568" i="37"/>
  <c r="A567" i="37"/>
  <c r="C567" i="37" s="1"/>
  <c r="A566" i="37"/>
  <c r="A565" i="37"/>
  <c r="A564" i="37"/>
  <c r="A563" i="37"/>
  <c r="C563" i="37" s="1"/>
  <c r="A562" i="37"/>
  <c r="A561" i="37"/>
  <c r="A560" i="37"/>
  <c r="A559" i="37"/>
  <c r="C559" i="37" s="1"/>
  <c r="A558" i="37"/>
  <c r="B558" i="37" s="1"/>
  <c r="A557" i="37"/>
  <c r="A556" i="37"/>
  <c r="B556" i="37" s="1"/>
  <c r="A555" i="37"/>
  <c r="A554" i="37"/>
  <c r="F554" i="37" s="1"/>
  <c r="A553" i="37"/>
  <c r="A552" i="37"/>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A533" i="37"/>
  <c r="F533" i="37" s="1"/>
  <c r="A532" i="37"/>
  <c r="B532" i="37" s="1"/>
  <c r="A531" i="37"/>
  <c r="A530" i="37"/>
  <c r="F530" i="37" s="1"/>
  <c r="A529" i="37"/>
  <c r="B529" i="37" s="1"/>
  <c r="A528" i="37"/>
  <c r="B528" i="37" s="1"/>
  <c r="A527" i="37"/>
  <c r="F527" i="37" s="1"/>
  <c r="A526" i="37"/>
  <c r="A525" i="37"/>
  <c r="A524" i="37"/>
  <c r="F524" i="37" s="1"/>
  <c r="A523" i="37"/>
  <c r="B523" i="37" s="1"/>
  <c r="A522" i="37"/>
  <c r="C522" i="37" s="1"/>
  <c r="A521" i="37"/>
  <c r="A520" i="37"/>
  <c r="A519" i="37"/>
  <c r="A518" i="37"/>
  <c r="A517" i="37"/>
  <c r="B517" i="37" s="1"/>
  <c r="A516" i="37"/>
  <c r="A515" i="37"/>
  <c r="A514" i="37"/>
  <c r="A513" i="37"/>
  <c r="A512" i="37"/>
  <c r="A511" i="37"/>
  <c r="A510" i="37"/>
  <c r="A509" i="37"/>
  <c r="B509" i="37" s="1"/>
  <c r="A508" i="37"/>
  <c r="B508" i="37" s="1"/>
  <c r="A507" i="37"/>
  <c r="B507" i="37" s="1"/>
  <c r="A506" i="37"/>
  <c r="C506" i="37" s="1"/>
  <c r="A505" i="37"/>
  <c r="A504" i="37"/>
  <c r="C504" i="37" s="1"/>
  <c r="A503" i="37"/>
  <c r="A502" i="37"/>
  <c r="A501" i="37"/>
  <c r="A500" i="37"/>
  <c r="A499" i="37"/>
  <c r="F499" i="37" s="1"/>
  <c r="A498" i="37"/>
  <c r="F498" i="37" s="1"/>
  <c r="A497" i="37"/>
  <c r="A496" i="37"/>
  <c r="B496" i="37" s="1"/>
  <c r="A495" i="37"/>
  <c r="B495" i="37" s="1"/>
  <c r="A494" i="37"/>
  <c r="A493" i="37"/>
  <c r="C493" i="37" s="1"/>
  <c r="A492" i="37"/>
  <c r="A491" i="37"/>
  <c r="F491" i="37" s="1"/>
  <c r="A490" i="37"/>
  <c r="F490" i="37" s="1"/>
  <c r="A489" i="37"/>
  <c r="A488" i="37"/>
  <c r="B488" i="37" s="1"/>
  <c r="A487" i="37"/>
  <c r="A486" i="37"/>
  <c r="B486" i="37" s="1"/>
  <c r="A485" i="37"/>
  <c r="A484" i="37"/>
  <c r="B484" i="37" s="1"/>
  <c r="A483" i="37"/>
  <c r="A482" i="37"/>
  <c r="A481" i="37"/>
  <c r="C481" i="37" s="1"/>
  <c r="A480" i="37"/>
  <c r="A479" i="37"/>
  <c r="A478" i="37"/>
  <c r="A477" i="37"/>
  <c r="A476" i="37"/>
  <c r="A475" i="37"/>
  <c r="A474" i="37"/>
  <c r="A473" i="37"/>
  <c r="C473" i="37" s="1"/>
  <c r="A472" i="37"/>
  <c r="B472" i="37" s="1"/>
  <c r="A471" i="37"/>
  <c r="A470" i="37"/>
  <c r="B470" i="37" s="1"/>
  <c r="A469" i="37"/>
  <c r="F469" i="37" s="1"/>
  <c r="A468" i="37"/>
  <c r="C468" i="37" s="1"/>
  <c r="E468" i="37" s="1"/>
  <c r="A467" i="37"/>
  <c r="F467" i="37" s="1"/>
  <c r="A466" i="37"/>
  <c r="F466" i="37" s="1"/>
  <c r="A465" i="37"/>
  <c r="A464" i="37"/>
  <c r="A463" i="37"/>
  <c r="F463" i="37" s="1"/>
  <c r="A462" i="37"/>
  <c r="A461" i="37"/>
  <c r="B461" i="37" s="1"/>
  <c r="A460" i="37"/>
  <c r="F460" i="37" s="1"/>
  <c r="A459" i="37"/>
  <c r="B459" i="37" s="1"/>
  <c r="A458" i="37"/>
  <c r="F458" i="37" s="1"/>
  <c r="A457" i="37"/>
  <c r="A456" i="37"/>
  <c r="A455" i="37"/>
  <c r="B455" i="37" s="1"/>
  <c r="A454" i="37"/>
  <c r="F454" i="37" s="1"/>
  <c r="A453" i="37"/>
  <c r="F453" i="37" s="1"/>
  <c r="A452" i="37"/>
  <c r="A451" i="37"/>
  <c r="F451" i="37" s="1"/>
  <c r="A450" i="37"/>
  <c r="A449" i="37"/>
  <c r="B449" i="37" s="1"/>
  <c r="A448" i="37"/>
  <c r="A447" i="37"/>
  <c r="A446" i="37"/>
  <c r="A445" i="37"/>
  <c r="C445" i="37" s="1"/>
  <c r="A444" i="37"/>
  <c r="A443" i="37"/>
  <c r="A442" i="37"/>
  <c r="D442" i="37" s="1"/>
  <c r="A441" i="37"/>
  <c r="A440" i="37"/>
  <c r="A439" i="37"/>
  <c r="F439" i="37" s="1"/>
  <c r="A438" i="37"/>
  <c r="A437" i="37"/>
  <c r="F437" i="37" s="1"/>
  <c r="A436" i="37"/>
  <c r="A435" i="37"/>
  <c r="A434" i="37"/>
  <c r="F434" i="37" s="1"/>
  <c r="A433" i="37"/>
  <c r="A432" i="37"/>
  <c r="F432" i="37" s="1"/>
  <c r="A431" i="37"/>
  <c r="A430" i="37"/>
  <c r="B430" i="37" s="1"/>
  <c r="A429" i="37"/>
  <c r="A428" i="37"/>
  <c r="C428" i="37" s="1"/>
  <c r="A427" i="37"/>
  <c r="A426" i="37"/>
  <c r="A425" i="37"/>
  <c r="A424" i="37"/>
  <c r="A423" i="37"/>
  <c r="A422" i="37"/>
  <c r="B422" i="37" s="1"/>
  <c r="A421" i="37"/>
  <c r="C421" i="37" s="1"/>
  <c r="A420" i="37"/>
  <c r="B420" i="37" s="1"/>
  <c r="A419" i="37"/>
  <c r="A418" i="37"/>
  <c r="F418" i="37" s="1"/>
  <c r="A417" i="37"/>
  <c r="F417" i="37" s="1"/>
  <c r="A416" i="37"/>
  <c r="F416" i="37" s="1"/>
  <c r="A415" i="37"/>
  <c r="A414" i="37"/>
  <c r="A413" i="37"/>
  <c r="A412" i="37"/>
  <c r="C412" i="37" s="1"/>
  <c r="A411" i="37"/>
  <c r="A410" i="37"/>
  <c r="C410" i="37" s="1"/>
  <c r="A409" i="37"/>
  <c r="C409" i="37" s="1"/>
  <c r="A408" i="37"/>
  <c r="A407" i="37"/>
  <c r="A406" i="37"/>
  <c r="A405" i="37"/>
  <c r="A404" i="37"/>
  <c r="F404" i="37" s="1"/>
  <c r="A403" i="37"/>
  <c r="F403" i="37" s="1"/>
  <c r="A402" i="37"/>
  <c r="F402" i="37" s="1"/>
  <c r="A401" i="37"/>
  <c r="F401" i="37" s="1"/>
  <c r="A400" i="37"/>
  <c r="A399" i="37"/>
  <c r="F399" i="37" s="1"/>
  <c r="A398" i="37"/>
  <c r="A397" i="37"/>
  <c r="A396" i="37"/>
  <c r="F396" i="37" s="1"/>
  <c r="A395" i="37"/>
  <c r="C395" i="37" s="1"/>
  <c r="A394" i="37"/>
  <c r="A393" i="37"/>
  <c r="A392" i="37"/>
  <c r="C392" i="37" s="1"/>
  <c r="A391" i="37"/>
  <c r="A390" i="37"/>
  <c r="F390" i="37" s="1"/>
  <c r="A389" i="37"/>
  <c r="F389" i="37" s="1"/>
  <c r="A388" i="37"/>
  <c r="A387" i="37"/>
  <c r="A386" i="37"/>
  <c r="A385" i="37"/>
  <c r="F385" i="37" s="1"/>
  <c r="A384" i="37"/>
  <c r="A383" i="37"/>
  <c r="A382" i="37"/>
  <c r="C382" i="37" s="1"/>
  <c r="A381" i="37"/>
  <c r="A380" i="37"/>
  <c r="A379" i="37"/>
  <c r="A378" i="37"/>
  <c r="F378" i="37" s="1"/>
  <c r="A377" i="37"/>
  <c r="A376" i="37"/>
  <c r="B376" i="37" s="1"/>
  <c r="A375" i="37"/>
  <c r="B375" i="37" s="1"/>
  <c r="A374" i="37"/>
  <c r="A373" i="37"/>
  <c r="D373" i="37" s="1"/>
  <c r="A372" i="37"/>
  <c r="D372" i="37" s="1"/>
  <c r="A371" i="37"/>
  <c r="A370" i="37"/>
  <c r="B370" i="37" s="1"/>
  <c r="A369" i="37"/>
  <c r="C369" i="37" s="1"/>
  <c r="A368" i="37"/>
  <c r="C368" i="37" s="1"/>
  <c r="A367" i="37"/>
  <c r="A366" i="37"/>
  <c r="A365" i="37"/>
  <c r="A364" i="37"/>
  <c r="A363" i="37"/>
  <c r="A362" i="37"/>
  <c r="A361" i="37"/>
  <c r="C361" i="37" s="1"/>
  <c r="A360" i="37"/>
  <c r="A359" i="37"/>
  <c r="A358" i="37"/>
  <c r="A357" i="37"/>
  <c r="F357" i="37" s="1"/>
  <c r="A356" i="37"/>
  <c r="A355" i="37"/>
  <c r="A354" i="37"/>
  <c r="B354" i="37" s="1"/>
  <c r="A353" i="37"/>
  <c r="A352" i="37"/>
  <c r="A351" i="37"/>
  <c r="A350" i="37"/>
  <c r="B350" i="37" s="1"/>
  <c r="A349" i="37"/>
  <c r="B349" i="37" s="1"/>
  <c r="A348" i="37"/>
  <c r="B348" i="37" s="1"/>
  <c r="A347" i="37"/>
  <c r="B347" i="37" s="1"/>
  <c r="A346" i="37"/>
  <c r="A345" i="37"/>
  <c r="A344" i="37"/>
  <c r="F344" i="37" s="1"/>
  <c r="A343" i="37"/>
  <c r="A342" i="37"/>
  <c r="F342" i="37" s="1"/>
  <c r="A341" i="37"/>
  <c r="F341" i="37" s="1"/>
  <c r="A340" i="37"/>
  <c r="F340" i="37" s="1"/>
  <c r="A339" i="37"/>
  <c r="B339" i="37" s="1"/>
  <c r="A338" i="37"/>
  <c r="F338" i="37" s="1"/>
  <c r="A337" i="37"/>
  <c r="F337" i="37" s="1"/>
  <c r="A336" i="37"/>
  <c r="A335" i="37"/>
  <c r="A334" i="37"/>
  <c r="A333" i="37"/>
  <c r="A332" i="37"/>
  <c r="F332" i="37" s="1"/>
  <c r="A331" i="37"/>
  <c r="F331" i="37" s="1"/>
  <c r="A330" i="37"/>
  <c r="A329" i="37"/>
  <c r="B329" i="37" s="1"/>
  <c r="A328" i="37"/>
  <c r="F328" i="37" s="1"/>
  <c r="A327" i="37"/>
  <c r="A326" i="37"/>
  <c r="F326" i="37" s="1"/>
  <c r="A325" i="37"/>
  <c r="B325" i="37" s="1"/>
  <c r="A324" i="37"/>
  <c r="F324" i="37" s="1"/>
  <c r="A323" i="37"/>
  <c r="A322" i="37"/>
  <c r="F322" i="37" s="1"/>
  <c r="A321" i="37"/>
  <c r="A320" i="37"/>
  <c r="F320" i="37" s="1"/>
  <c r="A319" i="37"/>
  <c r="A318" i="37"/>
  <c r="F318" i="37" s="1"/>
  <c r="A317" i="37"/>
  <c r="A316" i="37"/>
  <c r="A315" i="37"/>
  <c r="F315" i="37" s="1"/>
  <c r="A314" i="37"/>
  <c r="A313" i="37"/>
  <c r="C313" i="37" s="1"/>
  <c r="E313" i="37" s="1"/>
  <c r="A312" i="37"/>
  <c r="A311" i="37"/>
  <c r="B311" i="37" s="1"/>
  <c r="A310" i="37"/>
  <c r="A309" i="37"/>
  <c r="F309" i="37" s="1"/>
  <c r="A308" i="37"/>
  <c r="F308" i="37" s="1"/>
  <c r="A307" i="37"/>
  <c r="A306" i="37"/>
  <c r="C306" i="37" s="1"/>
  <c r="A305" i="37"/>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A292" i="37"/>
  <c r="B292" i="37" s="1"/>
  <c r="A291" i="37"/>
  <c r="F291" i="37" s="1"/>
  <c r="A290" i="37"/>
  <c r="C290" i="37" s="1"/>
  <c r="A289" i="37"/>
  <c r="A288" i="37"/>
  <c r="A287" i="37"/>
  <c r="B287" i="37" s="1"/>
  <c r="A286" i="37"/>
  <c r="A285" i="37"/>
  <c r="A284" i="37"/>
  <c r="F284" i="37" s="1"/>
  <c r="A283" i="37"/>
  <c r="A282" i="37"/>
  <c r="C282" i="37" s="1"/>
  <c r="A281" i="37"/>
  <c r="A280" i="37"/>
  <c r="C280" i="37" s="1"/>
  <c r="A279" i="37"/>
  <c r="C279" i="37" s="1"/>
  <c r="A278" i="37"/>
  <c r="A277" i="37"/>
  <c r="B277" i="37" s="1"/>
  <c r="A276" i="37"/>
  <c r="F276" i="37" s="1"/>
  <c r="A275" i="37"/>
  <c r="A274" i="37"/>
  <c r="A273" i="37"/>
  <c r="A272" i="37"/>
  <c r="F272" i="37" s="1"/>
  <c r="A271" i="37"/>
  <c r="C271" i="37" s="1"/>
  <c r="A270" i="37"/>
  <c r="A269" i="37"/>
  <c r="F269" i="37" s="1"/>
  <c r="A268" i="37"/>
  <c r="B268" i="37" s="1"/>
  <c r="A267" i="37"/>
  <c r="A266" i="37"/>
  <c r="C266" i="37" s="1"/>
  <c r="A265" i="37"/>
  <c r="C265" i="37" s="1"/>
  <c r="A264" i="37"/>
  <c r="A263" i="37"/>
  <c r="B263" i="37" s="1"/>
  <c r="A262" i="37"/>
  <c r="F262" i="37" s="1"/>
  <c r="A261" i="37"/>
  <c r="A260" i="37"/>
  <c r="A259" i="37"/>
  <c r="A258" i="37"/>
  <c r="A257" i="37"/>
  <c r="C257" i="37" s="1"/>
  <c r="A256" i="37"/>
  <c r="B256" i="37" s="1"/>
  <c r="A255" i="37"/>
  <c r="B255" i="37" s="1"/>
  <c r="A254" i="37"/>
  <c r="A253" i="37"/>
  <c r="A252" i="37"/>
  <c r="F252" i="37" s="1"/>
  <c r="A251" i="37"/>
  <c r="F251" i="37" s="1"/>
  <c r="A250" i="37"/>
  <c r="B250" i="37" s="1"/>
  <c r="A249" i="37"/>
  <c r="A248" i="37"/>
  <c r="F248" i="37" s="1"/>
  <c r="A247" i="37"/>
  <c r="F247" i="37" s="1"/>
  <c r="A246" i="37"/>
  <c r="B246" i="37" s="1"/>
  <c r="A245" i="37"/>
  <c r="A244" i="37"/>
  <c r="A243" i="37"/>
  <c r="A242" i="37"/>
  <c r="A241" i="37"/>
  <c r="A240" i="37"/>
  <c r="A239" i="37"/>
  <c r="B239" i="37" s="1"/>
  <c r="A238" i="37"/>
  <c r="A237" i="37"/>
  <c r="A236" i="37"/>
  <c r="F236" i="37" s="1"/>
  <c r="A235" i="37"/>
  <c r="F235" i="37" s="1"/>
  <c r="A234" i="37"/>
  <c r="F234" i="37" s="1"/>
  <c r="A233" i="37"/>
  <c r="D233" i="37" s="1"/>
  <c r="A232" i="37"/>
  <c r="A231" i="37"/>
  <c r="F231" i="37" s="1"/>
  <c r="A230" i="37"/>
  <c r="A229" i="37"/>
  <c r="B229" i="37" s="1"/>
  <c r="A228" i="37"/>
  <c r="A227" i="37"/>
  <c r="F227" i="37" s="1"/>
  <c r="A226" i="37"/>
  <c r="B226" i="37" s="1"/>
  <c r="A225" i="37"/>
  <c r="A224" i="37"/>
  <c r="F224" i="37" s="1"/>
  <c r="A223" i="37"/>
  <c r="A222" i="37"/>
  <c r="A221" i="37"/>
  <c r="D221" i="37" s="1"/>
  <c r="A220" i="37"/>
  <c r="C220" i="37" s="1"/>
  <c r="A219" i="37"/>
  <c r="A218" i="37"/>
  <c r="A217" i="37"/>
  <c r="B217" i="37" s="1"/>
  <c r="A216" i="37"/>
  <c r="F216" i="37" s="1"/>
  <c r="A215" i="37"/>
  <c r="B215" i="37" s="1"/>
  <c r="A214" i="37"/>
  <c r="F214" i="37" s="1"/>
  <c r="A213" i="37"/>
  <c r="A212" i="37"/>
  <c r="A211" i="37"/>
  <c r="F211" i="37" s="1"/>
  <c r="A210" i="37"/>
  <c r="A209" i="37"/>
  <c r="A208" i="37"/>
  <c r="A207" i="37"/>
  <c r="A206" i="37"/>
  <c r="A205" i="37"/>
  <c r="B205" i="37" s="1"/>
  <c r="A204" i="37"/>
  <c r="B204" i="37" s="1"/>
  <c r="A203" i="37"/>
  <c r="A202" i="37"/>
  <c r="A201" i="37"/>
  <c r="A200" i="37"/>
  <c r="C200" i="37" s="1"/>
  <c r="E200" i="37" s="1"/>
  <c r="A199" i="37"/>
  <c r="C199" i="37" s="1"/>
  <c r="I199" i="37" s="1"/>
  <c r="A198" i="37"/>
  <c r="C198" i="37" s="1"/>
  <c r="A197" i="37"/>
  <c r="A196" i="37"/>
  <c r="F196" i="37" s="1"/>
  <c r="A195" i="37"/>
  <c r="A194" i="37"/>
  <c r="F194" i="37" s="1"/>
  <c r="A193" i="37"/>
  <c r="A192" i="37"/>
  <c r="F192" i="37" s="1"/>
  <c r="A191" i="37"/>
  <c r="B191" i="37" s="1"/>
  <c r="A190" i="37"/>
  <c r="B190" i="37" s="1"/>
  <c r="A189" i="37"/>
  <c r="A188" i="37"/>
  <c r="B188" i="37" s="1"/>
  <c r="A187" i="37"/>
  <c r="A186" i="37"/>
  <c r="A185" i="37"/>
  <c r="B185" i="37" s="1"/>
  <c r="A184" i="37"/>
  <c r="A183" i="37"/>
  <c r="F183" i="37" s="1"/>
  <c r="A182" i="37"/>
  <c r="A181" i="37"/>
  <c r="A180" i="37"/>
  <c r="A179" i="37"/>
  <c r="A178" i="37"/>
  <c r="C178" i="37" s="1"/>
  <c r="A177" i="37"/>
  <c r="A176" i="37"/>
  <c r="A175" i="37"/>
  <c r="B175" i="37" s="1"/>
  <c r="A174" i="37"/>
  <c r="A173" i="37"/>
  <c r="A172" i="37"/>
  <c r="F172" i="37" s="1"/>
  <c r="A171" i="37"/>
  <c r="B171" i="37" s="1"/>
  <c r="A170" i="37"/>
  <c r="A169" i="37"/>
  <c r="F169" i="37" s="1"/>
  <c r="A168" i="37"/>
  <c r="A167" i="37"/>
  <c r="A166" i="37"/>
  <c r="F166" i="37" s="1"/>
  <c r="A165" i="37"/>
  <c r="A164" i="37"/>
  <c r="A163" i="37"/>
  <c r="C163" i="37" s="1"/>
  <c r="A162" i="37"/>
  <c r="A161" i="37"/>
  <c r="B161" i="37" s="1"/>
  <c r="A160" i="37"/>
  <c r="A159" i="37"/>
  <c r="F159" i="37" s="1"/>
  <c r="A158" i="37"/>
  <c r="F158" i="37" s="1"/>
  <c r="A157" i="37"/>
  <c r="C157" i="37" s="1"/>
  <c r="E157" i="37" s="1"/>
  <c r="A156" i="37"/>
  <c r="A155" i="37"/>
  <c r="C155" i="37" s="1"/>
  <c r="A154" i="37"/>
  <c r="B154" i="37" s="1"/>
  <c r="A153" i="37"/>
  <c r="B153" i="37" s="1"/>
  <c r="A152" i="37"/>
  <c r="A151" i="37"/>
  <c r="F151" i="37" s="1"/>
  <c r="A150" i="37"/>
  <c r="F150" i="37" s="1"/>
  <c r="A149" i="37"/>
  <c r="F149" i="37" s="1"/>
  <c r="A148" i="37"/>
  <c r="A147" i="37"/>
  <c r="A146" i="37"/>
  <c r="C146" i="37" s="1"/>
  <c r="A145" i="37"/>
  <c r="A144" i="37"/>
  <c r="F144" i="37" s="1"/>
  <c r="A143" i="37"/>
  <c r="A142" i="37"/>
  <c r="F142" i="37" s="1"/>
  <c r="A141" i="37"/>
  <c r="A140" i="37"/>
  <c r="A139" i="37"/>
  <c r="C139" i="37" s="1"/>
  <c r="A138" i="37"/>
  <c r="A137" i="37"/>
  <c r="A136" i="37"/>
  <c r="A135" i="37"/>
  <c r="A134" i="37"/>
  <c r="A133" i="37"/>
  <c r="F133" i="37" s="1"/>
  <c r="A132" i="37"/>
  <c r="A131" i="37"/>
  <c r="A130" i="37"/>
  <c r="B130" i="37" s="1"/>
  <c r="A129" i="37"/>
  <c r="A128" i="37"/>
  <c r="F128" i="37" s="1"/>
  <c r="A127" i="37"/>
  <c r="A126" i="37"/>
  <c r="F126" i="37" s="1"/>
  <c r="A125" i="37"/>
  <c r="F125" i="37" s="1"/>
  <c r="A124" i="37"/>
  <c r="A123" i="37"/>
  <c r="A122" i="37"/>
  <c r="B122" i="37" s="1"/>
  <c r="A121" i="37"/>
  <c r="C121" i="37" s="1"/>
  <c r="A120" i="37"/>
  <c r="B120" i="37" s="1"/>
  <c r="A119" i="37"/>
  <c r="F119" i="37" s="1"/>
  <c r="A118" i="37"/>
  <c r="F118" i="37" s="1"/>
  <c r="A117" i="37"/>
  <c r="C117" i="37" s="1"/>
  <c r="A116" i="37"/>
  <c r="C116" i="37" s="1"/>
  <c r="A115" i="37"/>
  <c r="A114" i="37"/>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A101" i="37"/>
  <c r="A100" i="37"/>
  <c r="A99" i="37"/>
  <c r="F99" i="37" s="1"/>
  <c r="A98" i="37"/>
  <c r="F98" i="37" s="1"/>
  <c r="A97" i="37"/>
  <c r="A96" i="37"/>
  <c r="A95" i="37"/>
  <c r="F95" i="37" s="1"/>
  <c r="A94" i="37"/>
  <c r="F94" i="37" s="1"/>
  <c r="A93" i="37"/>
  <c r="C93" i="37" s="1"/>
  <c r="A92" i="37"/>
  <c r="A91" i="37"/>
  <c r="A90" i="37"/>
  <c r="A89" i="37"/>
  <c r="A88" i="37"/>
  <c r="A87" i="37"/>
  <c r="F87" i="37" s="1"/>
  <c r="A86" i="37"/>
  <c r="C86" i="37" s="1"/>
  <c r="A85" i="37"/>
  <c r="F85" i="37" s="1"/>
  <c r="A84" i="37"/>
  <c r="A83" i="37"/>
  <c r="A82" i="37"/>
  <c r="A81" i="37"/>
  <c r="F81" i="37" s="1"/>
  <c r="A80" i="37"/>
  <c r="A79" i="37"/>
  <c r="A78" i="37"/>
  <c r="A77" i="37"/>
  <c r="C77" i="37" s="1"/>
  <c r="N77" i="37" s="1"/>
  <c r="A76" i="37"/>
  <c r="C76" i="37" s="1"/>
  <c r="A75" i="37"/>
  <c r="A74" i="37"/>
  <c r="A73" i="37"/>
  <c r="C73" i="37" s="1"/>
  <c r="A72" i="37"/>
  <c r="C72" i="37" s="1"/>
  <c r="M72" i="37" s="1"/>
  <c r="A71" i="37"/>
  <c r="A70" i="37"/>
  <c r="F70" i="37" s="1"/>
  <c r="A69" i="37"/>
  <c r="B69" i="37" s="1"/>
  <c r="A68" i="37"/>
  <c r="C68" i="37" s="1"/>
  <c r="A67" i="37"/>
  <c r="A66" i="37"/>
  <c r="F66" i="37" s="1"/>
  <c r="A65" i="37"/>
  <c r="A64" i="37"/>
  <c r="A63" i="37"/>
  <c r="A62" i="37"/>
  <c r="A61" i="37"/>
  <c r="A60" i="37"/>
  <c r="C60" i="37" s="1"/>
  <c r="A59" i="37"/>
  <c r="A58" i="37"/>
  <c r="F58" i="37" s="1"/>
  <c r="A57" i="37"/>
  <c r="A56" i="37"/>
  <c r="A55" i="37"/>
  <c r="A54" i="37"/>
  <c r="A53" i="37"/>
  <c r="A52" i="37"/>
  <c r="C52" i="37" s="1"/>
  <c r="A51" i="37"/>
  <c r="B51" i="37" s="1"/>
  <c r="A50" i="37"/>
  <c r="F50" i="37" s="1"/>
  <c r="A49" i="37"/>
  <c r="A48" i="37"/>
  <c r="C48" i="37" s="1"/>
  <c r="H48" i="37" s="1"/>
  <c r="A47" i="37"/>
  <c r="A46" i="37"/>
  <c r="A45" i="37"/>
  <c r="A44" i="37"/>
  <c r="A43" i="37"/>
  <c r="A42" i="37"/>
  <c r="A41" i="37"/>
  <c r="A40" i="37"/>
  <c r="A39" i="37"/>
  <c r="C39" i="37" s="1"/>
  <c r="A38" i="37"/>
  <c r="A37" i="37"/>
  <c r="A36" i="37"/>
  <c r="A35" i="37"/>
  <c r="F35" i="37" s="1"/>
  <c r="A34" i="37"/>
  <c r="A33" i="37"/>
  <c r="B33" i="37" s="1"/>
  <c r="A32" i="37"/>
  <c r="A31" i="37"/>
  <c r="F31" i="37" s="1"/>
  <c r="A30" i="37"/>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A15" i="37"/>
  <c r="A14" i="37"/>
  <c r="A13" i="37"/>
  <c r="A12" i="37"/>
  <c r="C12" i="37" s="1"/>
  <c r="A11" i="37"/>
  <c r="F11" i="37" s="1"/>
  <c r="A10" i="37"/>
  <c r="B10" i="37" s="1"/>
  <c r="A9" i="37"/>
  <c r="C9" i="37" s="1"/>
  <c r="E9" i="37" s="1"/>
  <c r="A8" i="37"/>
  <c r="F8" i="37" s="1"/>
  <c r="A7" i="37"/>
  <c r="A6" i="37"/>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66" i="37" l="1"/>
  <c r="O266" i="37" s="1"/>
  <c r="D536" i="37"/>
  <c r="O536" i="37" s="1"/>
  <c r="D537" i="37"/>
  <c r="O537" i="37" s="1"/>
  <c r="O220" i="37"/>
  <c r="O755" i="37"/>
  <c r="O629" i="37"/>
  <c r="O262" i="37"/>
  <c r="O60" i="37"/>
  <c r="O463" i="37"/>
  <c r="O495" i="37"/>
  <c r="O300" i="37"/>
  <c r="O612" i="37"/>
  <c r="O229" i="37"/>
  <c r="O178" i="37"/>
  <c r="O655" i="37"/>
  <c r="O660" i="37"/>
  <c r="O104" i="37"/>
  <c r="O493" i="37"/>
  <c r="O742" i="37"/>
  <c r="O214" i="37"/>
  <c r="O248" i="37"/>
  <c r="O404" i="37"/>
  <c r="O402" i="37"/>
  <c r="O328" i="37"/>
  <c r="O36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<sst xmlns="http://schemas.openxmlformats.org/spreadsheetml/2006/main" count="18706" uniqueCount="6926">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</sst>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68</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319</c:v>
                </c:pt>
                <c:pt idx="2">
                  <c:v>196</c:v>
                </c:pt>
                <c:pt idx="3">
                  <c:v>99</c:v>
                </c:pt>
                <c:pt idx="4">
                  <c:v>42</c:v>
                </c:pt>
                <c:pt idx="5">
                  <c:v>24</c:v>
                </c:pt>
                <c:pt idx="6">
                  <c:v>27</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29</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162</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6" totalsRowShown="0">
  <autoFilter ref="A1:J846"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5" totalsRowShown="0">
  <autoFilter ref="A1:E1205"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D9" totalsRowShown="0">
  <autoFilter ref="A1:AD9" xr:uid="{FF48E19F-F6A5-4A44-B306-0E88CA04283B}"/>
  <tableColumns count="30">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3" totalsRowShown="0">
  <autoFilter ref="A1:F3" xr:uid="{38FB8565-130B-45FF-BEF5-33576440FFA4}"/>
  <tableColumns count="6">
    <tableColumn id="1" xr3:uid="{B83829E8-A81B-479E-B3B2-55E28DF0108F}" name="Curse"/>
    <tableColumn id="2" xr3:uid="{59411F90-9ECF-4509-8491-4DC6A1307032}" name="Game"/>
    <tableColumn id="3" xr3:uid="{4D85A086-B536-444D-8EA3-48837EA2960C}" name="Condition"/>
    <tableColumn id="4" xr3:uid="{0A422837-F8C8-42C9-8D76-F46081DA76A8}" name="Penalty"/>
    <tableColumn id="5" xr3:uid="{DD457940-F545-488B-AA1B-170E969132D9}" name="Timer"/>
    <tableColumn id="6" xr3:uid="{7A8395D1-ABD9-45D2-BF4E-9DC2EE5393CC}"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6"/>
  <sheetViews>
    <sheetView topLeftCell="A210" zoomScaleNormal="100" workbookViewId="0">
      <selection activeCell="H235" sqref="H2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6887</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6923</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6917</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6890</v>
      </c>
    </row>
    <row r="120" spans="1:10" ht="15" customHeight="1" x14ac:dyDescent="0.25">
      <c r="A120" t="s">
        <v>421</v>
      </c>
      <c r="B120">
        <v>1997</v>
      </c>
      <c r="C120" t="s">
        <v>26</v>
      </c>
      <c r="D120" t="b">
        <f>TRUE()</f>
        <v>1</v>
      </c>
      <c r="E120" t="b">
        <f>COUNTIF(connections!A:A, A120) &gt; 0</f>
        <v>1</v>
      </c>
      <c r="G120" t="s">
        <v>422</v>
      </c>
      <c r="H120" t="s">
        <v>70</v>
      </c>
      <c r="I120" t="s">
        <v>6889</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c r="H195" t="s">
        <v>70</v>
      </c>
      <c r="I195" t="s">
        <v>6913</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c r="H220" t="s">
        <v>70</v>
      </c>
      <c r="I220" t="s">
        <v>6895</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c r="H233" t="s">
        <v>70</v>
      </c>
      <c r="I233" t="s">
        <v>6925</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1</v>
      </c>
      <c r="G262" t="s">
        <v>860</v>
      </c>
      <c r="H262" t="s">
        <v>70</v>
      </c>
      <c r="I262" t="s">
        <v>6882</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c r="H266" t="s">
        <v>70</v>
      </c>
      <c r="I266" t="s">
        <v>6924</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c r="H372" t="s">
        <v>70</v>
      </c>
      <c r="I372" t="s">
        <v>6915</v>
      </c>
    </row>
    <row r="373" spans="1:10" ht="15" customHeight="1" x14ac:dyDescent="0.25">
      <c r="A373" t="s">
        <v>1187</v>
      </c>
      <c r="B373">
        <v>2006</v>
      </c>
      <c r="C373" t="s">
        <v>26</v>
      </c>
      <c r="D373" t="b">
        <f>TRUE()</f>
        <v>1</v>
      </c>
      <c r="E373" t="b">
        <f>COUNTIF(connections!A:A, A373) &gt; 0</f>
        <v>1</v>
      </c>
      <c r="G373" t="s">
        <v>1188</v>
      </c>
      <c r="H373" t="s">
        <v>70</v>
      </c>
      <c r="I373" t="s">
        <v>6914</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c r="H389" t="s">
        <v>70</v>
      </c>
      <c r="I389" t="s">
        <v>6877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H420" t="s">
        <v>70</v>
      </c>
      <c r="I420" t="s">
        <v>6875</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c r="H441" t="s">
        <v>70</v>
      </c>
      <c r="I441" t="s">
        <v>6911</v>
      </c>
    </row>
    <row r="442" spans="1:10" ht="15" customHeight="1" x14ac:dyDescent="0.25">
      <c r="A442" t="s">
        <v>6480</v>
      </c>
      <c r="B442">
        <v>2003</v>
      </c>
      <c r="C442" t="s">
        <v>26</v>
      </c>
      <c r="D442" t="b">
        <f>TRUE()</f>
        <v>1</v>
      </c>
      <c r="E442" t="b">
        <f>COUNTIF(connections!A:A, A442) &gt; 0</f>
        <v>0</v>
      </c>
      <c r="G442" t="s">
        <v>6481</v>
      </c>
      <c r="H442" t="s">
        <v>70</v>
      </c>
      <c r="I442" t="s">
        <v>6912</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c r="H468" t="s">
        <v>70</v>
      </c>
      <c r="I468" t="s">
        <v>6884</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H504" t="s">
        <v>70</v>
      </c>
      <c r="I504" t="s">
        <v>6876</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c r="H536" t="s">
        <v>70</v>
      </c>
      <c r="I536" t="s">
        <v>6920</v>
      </c>
    </row>
    <row r="537" spans="1:10" ht="15" customHeight="1" x14ac:dyDescent="0.25">
      <c r="A537" t="s">
        <v>1660</v>
      </c>
      <c r="B537">
        <v>2007</v>
      </c>
      <c r="C537" t="s">
        <v>26</v>
      </c>
      <c r="D537" t="b">
        <f>TRUE()</f>
        <v>1</v>
      </c>
      <c r="E537" t="b">
        <f>COUNTIF(connections!A:A, A537) &gt; 0</f>
        <v>1</v>
      </c>
      <c r="F537" t="s">
        <v>1642</v>
      </c>
      <c r="G537" t="s">
        <v>1661</v>
      </c>
      <c r="H537" t="s">
        <v>70</v>
      </c>
      <c r="I537" t="s">
        <v>6919</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c r="H539" t="s">
        <v>70</v>
      </c>
      <c r="I539" t="s">
        <v>6918</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c r="H626" t="s">
        <v>70</v>
      </c>
      <c r="I626" t="s">
        <v>6893</v>
      </c>
    </row>
    <row r="627" spans="1:10" ht="15" customHeight="1" x14ac:dyDescent="0.25">
      <c r="A627" t="s">
        <v>1905</v>
      </c>
      <c r="B627">
        <v>2000</v>
      </c>
      <c r="C627" t="s">
        <v>26</v>
      </c>
      <c r="D627" t="b">
        <f>TRUE()</f>
        <v>1</v>
      </c>
      <c r="E627" t="b">
        <f>COUNTIF(connections!A:A, A627) &gt; 0</f>
        <v>1</v>
      </c>
      <c r="G627" t="s">
        <v>1906</v>
      </c>
      <c r="H627" t="s">
        <v>70</v>
      </c>
      <c r="I627" t="s">
        <v>6891</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c r="H629" t="s">
        <v>70</v>
      </c>
      <c r="I629" t="s">
        <v>6892</v>
      </c>
    </row>
    <row r="630" spans="1:10" ht="15" customHeight="1" x14ac:dyDescent="0.25">
      <c r="A630" t="s">
        <v>1911</v>
      </c>
      <c r="B630">
        <v>1996</v>
      </c>
      <c r="C630" t="s">
        <v>26</v>
      </c>
      <c r="D630" t="b">
        <f>TRUE()</f>
        <v>1</v>
      </c>
      <c r="E630" t="b">
        <f>COUNTIF(connections!A:A, A630) &gt; 0</f>
        <v>1</v>
      </c>
      <c r="G630" t="s">
        <v>1912</v>
      </c>
      <c r="H630" t="s">
        <v>70</v>
      </c>
      <c r="I630" t="s">
        <v>6885</v>
      </c>
    </row>
    <row r="631" spans="1:10" ht="15" customHeight="1" x14ac:dyDescent="0.25">
      <c r="A631" t="s">
        <v>1913</v>
      </c>
      <c r="B631">
        <v>2001</v>
      </c>
      <c r="C631" t="s">
        <v>26</v>
      </c>
      <c r="D631" t="b">
        <f>TRUE()</f>
        <v>1</v>
      </c>
      <c r="E631" t="b">
        <f>COUNTIF(connections!A:A, A631) &gt; 0</f>
        <v>0</v>
      </c>
      <c r="G631" t="s">
        <v>1914</v>
      </c>
      <c r="H631" t="s">
        <v>70</v>
      </c>
      <c r="I631" t="s">
        <v>6886</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H662" t="s">
        <v>70</v>
      </c>
      <c r="I662" t="s">
        <v>6873</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H689" t="s">
        <v>70</v>
      </c>
      <c r="I689" t="s">
        <v>6874</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c r="H713" t="s">
        <v>70</v>
      </c>
      <c r="I713" t="s">
        <v>6922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c r="H735" t="s">
        <v>70</v>
      </c>
      <c r="I735" t="s">
        <v>6896</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c r="H751" t="s">
        <v>70</v>
      </c>
      <c r="I751" t="s">
        <v>6916</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c r="H754" t="s">
        <v>70</v>
      </c>
      <c r="I754" t="s">
        <v>6888</v>
      </c>
    </row>
    <row r="755" spans="1:10" x14ac:dyDescent="0.25">
      <c r="A755" t="s">
        <v>2284</v>
      </c>
      <c r="B755">
        <v>2002</v>
      </c>
      <c r="C755" t="s">
        <v>26</v>
      </c>
      <c r="D755" t="b">
        <f>TRUE()</f>
        <v>1</v>
      </c>
      <c r="E755" t="b">
        <f>COUNTIF(connections!A:A, A755) &gt; 0</f>
        <v>0</v>
      </c>
      <c r="G755" t="s">
        <v>2285</v>
      </c>
      <c r="H755" t="s">
        <v>70</v>
      </c>
      <c r="I755" t="s">
        <v>6894</v>
      </c>
    </row>
    <row r="756" spans="1:10" x14ac:dyDescent="0.25">
      <c r="A756" t="s">
        <v>2286</v>
      </c>
      <c r="B756">
        <v>1993</v>
      </c>
      <c r="C756" t="s">
        <v>26</v>
      </c>
      <c r="D756" t="b">
        <f>TRUE()</f>
        <v>1</v>
      </c>
      <c r="E756" t="b">
        <f>COUNTIF(connections!A:A, A756) &gt; 0</f>
        <v>1</v>
      </c>
      <c r="G756" t="s">
        <v>2287</v>
      </c>
      <c r="H756" t="s">
        <v>70</v>
      </c>
      <c r="I756" t="s">
        <v>6883</v>
      </c>
    </row>
    <row r="757" spans="1:10" x14ac:dyDescent="0.25">
      <c r="A757" t="s">
        <v>2288</v>
      </c>
      <c r="B757">
        <v>2025</v>
      </c>
      <c r="C757" t="s">
        <v>26</v>
      </c>
      <c r="D757" t="b">
        <f>TRUE()</f>
        <v>1</v>
      </c>
      <c r="E757" t="b">
        <f>COUNTIF(connections!A:A, A757) &gt; 0</f>
        <v>0</v>
      </c>
      <c r="F757" t="s">
        <v>6525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6525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H828" t="s">
        <v>70</v>
      </c>
      <c r="I828" t="s">
        <v>6921</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row r="837" spans="1:10" x14ac:dyDescent="0.25">
      <c r="A837" t="s">
        <v>6824</v>
      </c>
      <c r="B837">
        <v>2026</v>
      </c>
      <c r="C837" t="s">
        <v>18</v>
      </c>
      <c r="D837" t="b">
        <f>TRUE()</f>
        <v>1</v>
      </c>
      <c r="E837" t="b">
        <f>COUNTIF(connections!A:A, A837) &gt; 0</f>
        <v>0</v>
      </c>
      <c r="G837" t="s">
        <v>6825</v>
      </c>
      <c r="J837" s="11" t="s">
        <v>6826</v>
      </c>
    </row>
    <row r="838" spans="1:10" x14ac:dyDescent="0.25">
      <c r="A838" t="s">
        <v>6828</v>
      </c>
      <c r="B838">
        <v>2015</v>
      </c>
      <c r="C838" t="s">
        <v>18</v>
      </c>
      <c r="D838" t="b">
        <f>TRUE()</f>
        <v>1</v>
      </c>
      <c r="E838" t="b">
        <f>COUNTIF(connections!A:A, A838) &gt; 0</f>
        <v>1</v>
      </c>
      <c r="G838" t="s">
        <v>6830</v>
      </c>
      <c r="H838" t="s">
        <v>70</v>
      </c>
      <c r="I838" t="s">
        <v>6831</v>
      </c>
      <c r="J838" s="11" t="s">
        <v>6829</v>
      </c>
    </row>
    <row r="839" spans="1:10" x14ac:dyDescent="0.25">
      <c r="A839" t="s">
        <v>6832</v>
      </c>
      <c r="B839">
        <v>2026</v>
      </c>
      <c r="C839" t="s">
        <v>22</v>
      </c>
      <c r="D839" t="b">
        <f>TRUE()</f>
        <v>1</v>
      </c>
      <c r="E839" t="b">
        <f>COUNTIF(connections!A:A, A839) &gt; 0</f>
        <v>0</v>
      </c>
      <c r="G839" t="s">
        <v>6833</v>
      </c>
      <c r="J839" s="11" t="s">
        <v>6834</v>
      </c>
    </row>
    <row r="840" spans="1:10" x14ac:dyDescent="0.25">
      <c r="A840" t="s">
        <v>6835</v>
      </c>
      <c r="B840">
        <v>2026</v>
      </c>
      <c r="C840" t="s">
        <v>22</v>
      </c>
      <c r="D840" t="b">
        <f>TRUE()</f>
        <v>1</v>
      </c>
      <c r="E840" t="b">
        <f>COUNTIF(connections!A:A, A840) &gt; 0</f>
        <v>0</v>
      </c>
      <c r="G840" t="s">
        <v>6836</v>
      </c>
      <c r="J840" s="11" t="s">
        <v>6837</v>
      </c>
    </row>
    <row r="841" spans="1:10" x14ac:dyDescent="0.25">
      <c r="A841" t="s">
        <v>6869</v>
      </c>
      <c r="B841">
        <v>2025</v>
      </c>
      <c r="C841" t="s">
        <v>22</v>
      </c>
      <c r="D841" t="b">
        <f>TRUE()</f>
        <v>1</v>
      </c>
      <c r="E841" t="b">
        <f>COUNTIF(connections!A:A, A841) &gt; 0</f>
        <v>0</v>
      </c>
      <c r="G841" t="s">
        <v>6870</v>
      </c>
      <c r="J841" s="11" t="s">
        <v>6871</v>
      </c>
    </row>
    <row r="842" spans="1:10" x14ac:dyDescent="0.25">
      <c r="A842" t="s">
        <v>6879</v>
      </c>
      <c r="B842">
        <v>1990</v>
      </c>
      <c r="C842" t="s">
        <v>26</v>
      </c>
      <c r="D842" t="b">
        <f>TRUE()</f>
        <v>1</v>
      </c>
      <c r="E842" t="b">
        <f>COUNTIF(connections!A:A, A842) &gt; 0</f>
        <v>0</v>
      </c>
      <c r="G842" t="s">
        <v>6880</v>
      </c>
      <c r="H842" t="s">
        <v>70</v>
      </c>
      <c r="I842" t="s">
        <v>6881</v>
      </c>
    </row>
    <row r="843" spans="1:10" x14ac:dyDescent="0.25">
      <c r="A843" t="s">
        <v>6897</v>
      </c>
      <c r="B843">
        <v>2007</v>
      </c>
      <c r="C843" t="s">
        <v>26</v>
      </c>
      <c r="D843" t="b">
        <f>TRUE()</f>
        <v>1</v>
      </c>
      <c r="E843" t="b">
        <f>COUNTIF(connections!A:A, A843) &gt; 0</f>
        <v>0</v>
      </c>
      <c r="G843" t="s">
        <v>6898</v>
      </c>
      <c r="H843" t="s">
        <v>70</v>
      </c>
      <c r="I843" t="s">
        <v>6905</v>
      </c>
    </row>
    <row r="844" spans="1:10" x14ac:dyDescent="0.25">
      <c r="A844" t="s">
        <v>6900</v>
      </c>
      <c r="B844">
        <v>2000</v>
      </c>
      <c r="C844" t="s">
        <v>26</v>
      </c>
      <c r="D844" t="b">
        <f>TRUE()</f>
        <v>1</v>
      </c>
      <c r="E844" t="b">
        <f>COUNTIF(connections!A:A, A844) &gt; 0</f>
        <v>1</v>
      </c>
      <c r="G844" t="s">
        <v>6901</v>
      </c>
      <c r="H844" t="s">
        <v>70</v>
      </c>
      <c r="I844" t="s">
        <v>6906</v>
      </c>
    </row>
    <row r="845" spans="1:10" x14ac:dyDescent="0.25">
      <c r="A845" t="s">
        <v>6903</v>
      </c>
      <c r="B845">
        <v>2004</v>
      </c>
      <c r="C845" t="s">
        <v>26</v>
      </c>
      <c r="D845" t="b">
        <f>TRUE()</f>
        <v>1</v>
      </c>
      <c r="E845" t="b">
        <f>COUNTIF(connections!A:A, A845) &gt; 0</f>
        <v>0</v>
      </c>
      <c r="G845" t="s">
        <v>6904</v>
      </c>
      <c r="H845" t="s">
        <v>70</v>
      </c>
      <c r="I845" t="s">
        <v>6907</v>
      </c>
    </row>
    <row r="846" spans="1:10" x14ac:dyDescent="0.25">
      <c r="A846" t="s">
        <v>6908</v>
      </c>
      <c r="B846">
        <v>1998</v>
      </c>
      <c r="C846" t="s">
        <v>26</v>
      </c>
      <c r="D846" t="b">
        <f>TRUE()</f>
        <v>1</v>
      </c>
      <c r="E846" t="b">
        <f>COUNTIF(connections!A:A, A846) &gt; 0</f>
        <v>0</v>
      </c>
      <c r="G846" t="s">
        <v>6909</v>
      </c>
      <c r="H846" t="s">
        <v>70</v>
      </c>
      <c r="I846" t="s">
        <v>6910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 ref="J837" r:id="rId524" xr:uid="{31DADD7D-4D56-4C38-9A60-9BFF25BDD442}"/>
    <hyperlink ref="J838" r:id="rId525" xr:uid="{16905525-9E07-450B-ACDB-3BB909C3DF43}"/>
    <hyperlink ref="J839" r:id="rId526" xr:uid="{2425EB51-395D-4407-8FDA-6F0AB6A46427}"/>
    <hyperlink ref="J840" r:id="rId527" xr:uid="{F6E05915-E94C-4F72-A2DD-A260762B99FF}"/>
    <hyperlink ref="J841"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5"/>
  <sheetViews>
    <sheetView tabSelected="1" topLeftCell="A1166" zoomScaleNormal="100" workbookViewId="0">
      <selection activeCell="B1210" sqref="B12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row r="1193" spans="1:5" x14ac:dyDescent="0.25">
      <c r="A1193" t="s">
        <v>442</v>
      </c>
      <c r="B1193" t="s">
        <v>6824</v>
      </c>
      <c r="C1193">
        <v>2025</v>
      </c>
      <c r="E1193" t="s">
        <v>2519</v>
      </c>
    </row>
    <row r="1194" spans="1:5" x14ac:dyDescent="0.25">
      <c r="A1194" t="s">
        <v>914</v>
      </c>
      <c r="B1194" t="s">
        <v>6828</v>
      </c>
      <c r="C1194">
        <v>2012</v>
      </c>
      <c r="E1194" s="11" t="s">
        <v>6827</v>
      </c>
    </row>
    <row r="1195" spans="1:5" x14ac:dyDescent="0.25">
      <c r="A1195" t="s">
        <v>6828</v>
      </c>
      <c r="B1195" t="s">
        <v>6832</v>
      </c>
      <c r="C1195">
        <v>2015</v>
      </c>
      <c r="E1195" t="s">
        <v>2519</v>
      </c>
    </row>
    <row r="1196" spans="1:5" x14ac:dyDescent="0.25">
      <c r="A1196" t="s">
        <v>213</v>
      </c>
      <c r="B1196" t="s">
        <v>6835</v>
      </c>
      <c r="C1196">
        <v>2023</v>
      </c>
      <c r="E1196" s="11" t="s">
        <v>6838</v>
      </c>
    </row>
    <row r="1197" spans="1:5" x14ac:dyDescent="0.25">
      <c r="A1197" t="s">
        <v>1612</v>
      </c>
      <c r="B1197" t="s">
        <v>6835</v>
      </c>
      <c r="C1197">
        <v>2022</v>
      </c>
      <c r="E1197" s="11" t="s">
        <v>6838</v>
      </c>
    </row>
    <row r="1198" spans="1:5" x14ac:dyDescent="0.25">
      <c r="A1198" t="s">
        <v>1954</v>
      </c>
      <c r="B1198" t="s">
        <v>6869</v>
      </c>
      <c r="C1198">
        <v>2017</v>
      </c>
      <c r="E1198" s="11" t="s">
        <v>6872</v>
      </c>
    </row>
    <row r="1199" spans="1:5" x14ac:dyDescent="0.25">
      <c r="A1199" t="s">
        <v>859</v>
      </c>
      <c r="B1199" t="s">
        <v>6879</v>
      </c>
      <c r="C1199">
        <v>1990</v>
      </c>
      <c r="D1199" t="s">
        <v>70</v>
      </c>
      <c r="E1199" s="11" t="s">
        <v>6878</v>
      </c>
    </row>
    <row r="1200" spans="1:5" x14ac:dyDescent="0.25">
      <c r="A1200" t="s">
        <v>1794</v>
      </c>
      <c r="B1200" t="s">
        <v>6897</v>
      </c>
      <c r="C1200">
        <v>1980</v>
      </c>
      <c r="E1200" s="11" t="s">
        <v>6899</v>
      </c>
    </row>
    <row r="1201" spans="1:5" x14ac:dyDescent="0.25">
      <c r="A1201" t="s">
        <v>2286</v>
      </c>
      <c r="B1201" t="s">
        <v>6900</v>
      </c>
      <c r="C1201">
        <v>1993</v>
      </c>
      <c r="E1201" s="11" t="s">
        <v>6902</v>
      </c>
    </row>
    <row r="1202" spans="1:5" x14ac:dyDescent="0.25">
      <c r="A1202" t="s">
        <v>1794</v>
      </c>
      <c r="B1202" t="s">
        <v>6900</v>
      </c>
      <c r="C1202">
        <v>1980</v>
      </c>
      <c r="E1202" s="11" t="s">
        <v>6899</v>
      </c>
    </row>
    <row r="1203" spans="1:5" x14ac:dyDescent="0.25">
      <c r="A1203" t="s">
        <v>6900</v>
      </c>
      <c r="B1203" t="s">
        <v>6897</v>
      </c>
      <c r="C1203">
        <v>2000</v>
      </c>
      <c r="D1203" t="s">
        <v>70</v>
      </c>
    </row>
    <row r="1204" spans="1:5" x14ac:dyDescent="0.25">
      <c r="A1204" t="s">
        <v>6900</v>
      </c>
      <c r="B1204" t="s">
        <v>6903</v>
      </c>
      <c r="C1204">
        <v>2000</v>
      </c>
      <c r="D1204" t="s">
        <v>70</v>
      </c>
      <c r="E1204" s="11" t="s">
        <v>6899</v>
      </c>
    </row>
    <row r="1205" spans="1:5" x14ac:dyDescent="0.25">
      <c r="A1205" t="s">
        <v>2286</v>
      </c>
      <c r="B1205" t="s">
        <v>6908</v>
      </c>
      <c r="C1205">
        <v>1993</v>
      </c>
      <c r="E1205" t="s">
        <v>2538</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6344</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2995</v>
      </c>
      <c r="E10" t="s">
        <v>2996</v>
      </c>
      <c r="F10" t="s">
        <v>2356</v>
      </c>
      <c r="G10" t="s">
        <v>2997</v>
      </c>
      <c r="H10" t="s">
        <v>2998</v>
      </c>
      <c r="I10" t="s">
        <v>2889</v>
      </c>
    </row>
    <row r="11" spans="1:9" x14ac:dyDescent="0.25">
      <c r="A11" t="s">
        <v>2999</v>
      </c>
      <c r="B11" t="s">
        <v>2958</v>
      </c>
      <c r="C11" t="s">
        <v>2994</v>
      </c>
      <c r="D11" t="s">
        <v>3000</v>
      </c>
      <c r="E11" t="s">
        <v>3001</v>
      </c>
      <c r="F11" t="s">
        <v>2199</v>
      </c>
      <c r="G11" t="s">
        <v>139</v>
      </c>
      <c r="H11" t="s">
        <v>2999</v>
      </c>
      <c r="I11" t="s">
        <v>2889</v>
      </c>
    </row>
    <row r="12" spans="1:9" x14ac:dyDescent="0.25">
      <c r="A12" t="s">
        <v>3002</v>
      </c>
      <c r="B12" t="s">
        <v>2951</v>
      </c>
      <c r="C12" t="s">
        <v>2994</v>
      </c>
      <c r="D12" t="s">
        <v>3003</v>
      </c>
      <c r="E12" t="s">
        <v>3004</v>
      </c>
      <c r="F12" t="s">
        <v>1954</v>
      </c>
      <c r="G12" t="s">
        <v>3005</v>
      </c>
      <c r="H12" t="s">
        <v>3002</v>
      </c>
      <c r="I12" t="s">
        <v>2889</v>
      </c>
    </row>
    <row r="13" spans="1:9" x14ac:dyDescent="0.25">
      <c r="A13" t="s">
        <v>3006</v>
      </c>
      <c r="B13" t="s">
        <v>2970</v>
      </c>
      <c r="C13" t="s">
        <v>2959</v>
      </c>
      <c r="D13" t="s">
        <v>3007</v>
      </c>
      <c r="E13" t="s">
        <v>3008</v>
      </c>
      <c r="F13" t="s">
        <v>1954</v>
      </c>
      <c r="G13" t="s">
        <v>3009</v>
      </c>
      <c r="H13" t="s">
        <v>3010</v>
      </c>
      <c r="I13" t="s">
        <v>2889</v>
      </c>
    </row>
    <row r="14" spans="1:9" x14ac:dyDescent="0.25">
      <c r="A14" t="s">
        <v>6340</v>
      </c>
      <c r="B14" t="s">
        <v>2970</v>
      </c>
      <c r="C14" t="s">
        <v>3283</v>
      </c>
      <c r="D14" t="s">
        <v>6341</v>
      </c>
      <c r="E14" t="s">
        <v>6542</v>
      </c>
      <c r="F14" t="s">
        <v>343</v>
      </c>
      <c r="H14" t="s">
        <v>6342</v>
      </c>
      <c r="I14" t="s">
        <v>6343</v>
      </c>
    </row>
    <row r="15" spans="1:9" x14ac:dyDescent="0.25">
      <c r="A15" t="s">
        <v>3599</v>
      </c>
      <c r="B15" t="s">
        <v>2958</v>
      </c>
      <c r="C15" t="s">
        <v>4688</v>
      </c>
      <c r="D15" t="s">
        <v>6702</v>
      </c>
      <c r="E15" t="s">
        <v>6703</v>
      </c>
      <c r="F15" t="s">
        <v>1954</v>
      </c>
      <c r="G15" t="s">
        <v>3602</v>
      </c>
      <c r="H15" t="s">
        <v>3603</v>
      </c>
      <c r="I15" t="s">
        <v>2968</v>
      </c>
    </row>
    <row r="16" spans="1:9" x14ac:dyDescent="0.25">
      <c r="A16" t="s">
        <v>2931</v>
      </c>
      <c r="B16" t="s">
        <v>2970</v>
      </c>
      <c r="C16" t="s">
        <v>2959</v>
      </c>
      <c r="D16" t="s">
        <v>2983</v>
      </c>
      <c r="E16" t="s">
        <v>2984</v>
      </c>
      <c r="F16" t="s">
        <v>2356</v>
      </c>
      <c r="G16" t="s">
        <v>2997</v>
      </c>
      <c r="H16" t="s">
        <v>2931</v>
      </c>
      <c r="I16" t="s">
        <v>2889</v>
      </c>
    </row>
    <row r="17" spans="1:9" x14ac:dyDescent="0.25">
      <c r="A17" t="s">
        <v>3011</v>
      </c>
      <c r="B17" t="s">
        <v>2970</v>
      </c>
      <c r="C17" t="s">
        <v>3012</v>
      </c>
      <c r="D17" t="s">
        <v>3013</v>
      </c>
      <c r="E17" t="s">
        <v>3014</v>
      </c>
      <c r="F17" t="s">
        <v>213</v>
      </c>
      <c r="G17" t="s">
        <v>2967</v>
      </c>
      <c r="H17" t="s">
        <v>3015</v>
      </c>
      <c r="I17" t="s">
        <v>3016</v>
      </c>
    </row>
    <row r="18" spans="1:9" x14ac:dyDescent="0.25">
      <c r="A18" t="s">
        <v>3017</v>
      </c>
      <c r="B18" t="s">
        <v>2970</v>
      </c>
      <c r="C18" t="s">
        <v>2959</v>
      </c>
      <c r="D18" t="s">
        <v>3018</v>
      </c>
      <c r="E18" t="s">
        <v>3019</v>
      </c>
      <c r="F18" t="s">
        <v>347</v>
      </c>
      <c r="G18" t="s">
        <v>3020</v>
      </c>
      <c r="H18" t="s">
        <v>3017</v>
      </c>
      <c r="I18" t="s">
        <v>2968</v>
      </c>
    </row>
    <row r="19" spans="1:9" x14ac:dyDescent="0.25">
      <c r="A19" t="s">
        <v>3021</v>
      </c>
      <c r="B19" t="s">
        <v>2970</v>
      </c>
      <c r="C19" t="s">
        <v>2952</v>
      </c>
      <c r="D19" t="s">
        <v>3022</v>
      </c>
      <c r="E19" t="s">
        <v>3023</v>
      </c>
      <c r="F19" t="s">
        <v>2199</v>
      </c>
      <c r="G19" t="s">
        <v>3024</v>
      </c>
      <c r="H19" t="s">
        <v>3025</v>
      </c>
      <c r="I19" t="s">
        <v>2975</v>
      </c>
    </row>
    <row r="20" spans="1:9" x14ac:dyDescent="0.25">
      <c r="A20" t="s">
        <v>3026</v>
      </c>
      <c r="B20" t="s">
        <v>2970</v>
      </c>
      <c r="C20" t="s">
        <v>2959</v>
      </c>
      <c r="D20" t="s">
        <v>3027</v>
      </c>
      <c r="E20" t="s">
        <v>3028</v>
      </c>
      <c r="F20" t="s">
        <v>397</v>
      </c>
      <c r="G20" t="s">
        <v>3029</v>
      </c>
      <c r="H20" t="s">
        <v>3030</v>
      </c>
      <c r="I20" t="s">
        <v>2990</v>
      </c>
    </row>
    <row r="21" spans="1:9" x14ac:dyDescent="0.25">
      <c r="A21" t="s">
        <v>3031</v>
      </c>
      <c r="B21" t="s">
        <v>2958</v>
      </c>
      <c r="C21" t="s">
        <v>4688</v>
      </c>
      <c r="D21" t="s">
        <v>6704</v>
      </c>
      <c r="E21" t="s">
        <v>6705</v>
      </c>
      <c r="F21" t="s">
        <v>1954</v>
      </c>
      <c r="H21" t="s">
        <v>3031</v>
      </c>
      <c r="I21" t="s">
        <v>2968</v>
      </c>
    </row>
    <row r="22" spans="1:9" x14ac:dyDescent="0.25">
      <c r="A22" t="s">
        <v>3032</v>
      </c>
      <c r="B22" t="s">
        <v>3033</v>
      </c>
      <c r="C22" t="s">
        <v>3034</v>
      </c>
      <c r="D22" t="s">
        <v>3035</v>
      </c>
      <c r="E22" t="s">
        <v>3036</v>
      </c>
      <c r="F22" t="s">
        <v>1482</v>
      </c>
      <c r="G22" t="s">
        <v>3037</v>
      </c>
      <c r="H22" t="s">
        <v>3038</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D9"/>
  <sheetViews>
    <sheetView workbookViewId="0">
      <selection activeCell="L41" sqref="L41"/>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0" x14ac:dyDescent="0.25">
      <c r="A1" t="s">
        <v>6719</v>
      </c>
      <c r="B1" t="s">
        <v>9</v>
      </c>
      <c r="C1" t="s">
        <v>6720</v>
      </c>
      <c r="D1" t="s">
        <v>6721</v>
      </c>
      <c r="E1" t="s">
        <v>3271</v>
      </c>
      <c r="F1" t="s">
        <v>6722</v>
      </c>
      <c r="G1" t="s">
        <v>3794</v>
      </c>
      <c r="H1" t="s">
        <v>6599</v>
      </c>
      <c r="I1" t="s">
        <v>5819</v>
      </c>
      <c r="J1" t="s">
        <v>6723</v>
      </c>
      <c r="K1" t="s">
        <v>6724</v>
      </c>
      <c r="L1" t="s">
        <v>6725</v>
      </c>
      <c r="M1" t="s">
        <v>6809</v>
      </c>
      <c r="N1" t="s">
        <v>6810</v>
      </c>
      <c r="O1" t="s">
        <v>6726</v>
      </c>
      <c r="P1" t="s">
        <v>6727</v>
      </c>
      <c r="Q1" t="s">
        <v>6728</v>
      </c>
      <c r="R1" t="s">
        <v>6729</v>
      </c>
      <c r="S1" t="s">
        <v>6730</v>
      </c>
      <c r="T1" t="s">
        <v>6731</v>
      </c>
      <c r="U1" t="s">
        <v>6732</v>
      </c>
      <c r="V1" t="s">
        <v>6733</v>
      </c>
      <c r="W1" t="s">
        <v>6734</v>
      </c>
      <c r="X1" t="s">
        <v>6735</v>
      </c>
      <c r="Y1" t="s">
        <v>6736</v>
      </c>
      <c r="Z1" t="s">
        <v>6737</v>
      </c>
      <c r="AA1" t="s">
        <v>6738</v>
      </c>
      <c r="AB1" t="s">
        <v>6739</v>
      </c>
      <c r="AC1" t="s">
        <v>6740</v>
      </c>
      <c r="AD1" t="s">
        <v>6741</v>
      </c>
    </row>
    <row r="2" spans="1:30" x14ac:dyDescent="0.25">
      <c r="A2" t="s">
        <v>6742</v>
      </c>
      <c r="B2" t="s">
        <v>1958</v>
      </c>
      <c r="C2">
        <v>1</v>
      </c>
      <c r="D2" t="s">
        <v>6743</v>
      </c>
      <c r="F2" t="s">
        <v>6744</v>
      </c>
      <c r="G2" t="s">
        <v>2958</v>
      </c>
      <c r="H2">
        <v>1</v>
      </c>
      <c r="I2" t="s">
        <v>6745</v>
      </c>
      <c r="J2" t="s">
        <v>6746</v>
      </c>
      <c r="O2" t="s">
        <v>6747</v>
      </c>
      <c r="P2" t="s">
        <v>6748</v>
      </c>
      <c r="Q2" t="s">
        <v>6749</v>
      </c>
      <c r="R2" t="s">
        <v>6750</v>
      </c>
      <c r="S2" t="s">
        <v>6751</v>
      </c>
      <c r="T2" t="s">
        <v>6752</v>
      </c>
      <c r="U2" t="s">
        <v>6811</v>
      </c>
      <c r="V2" t="s">
        <v>6753</v>
      </c>
      <c r="W2" t="s">
        <v>6754</v>
      </c>
      <c r="Y2" t="s">
        <v>6755</v>
      </c>
      <c r="Z2" t="s">
        <v>6756</v>
      </c>
      <c r="AA2" t="s">
        <v>6757</v>
      </c>
      <c r="AC2" t="s">
        <v>6812</v>
      </c>
      <c r="AD2" t="s">
        <v>6758</v>
      </c>
    </row>
    <row r="3" spans="1:30" x14ac:dyDescent="0.25">
      <c r="A3" t="s">
        <v>6759</v>
      </c>
      <c r="B3" t="s">
        <v>1958</v>
      </c>
      <c r="C3">
        <v>3</v>
      </c>
      <c r="D3" t="s">
        <v>6743</v>
      </c>
      <c r="F3" t="s">
        <v>6744</v>
      </c>
      <c r="G3" t="s">
        <v>2958</v>
      </c>
      <c r="H3">
        <v>1</v>
      </c>
      <c r="I3" t="s">
        <v>6760</v>
      </c>
      <c r="J3" t="s">
        <v>6761</v>
      </c>
      <c r="K3" t="s">
        <v>6762</v>
      </c>
      <c r="L3" t="s">
        <v>6763</v>
      </c>
      <c r="O3" t="s">
        <v>6764</v>
      </c>
      <c r="R3" t="s">
        <v>6765</v>
      </c>
      <c r="S3" t="s">
        <v>6766</v>
      </c>
      <c r="V3" t="s">
        <v>6767</v>
      </c>
      <c r="W3" t="s">
        <v>6768</v>
      </c>
      <c r="Z3" t="s">
        <v>6769</v>
      </c>
    </row>
    <row r="4" spans="1:30" x14ac:dyDescent="0.25">
      <c r="A4" t="s">
        <v>6770</v>
      </c>
      <c r="B4" t="s">
        <v>1958</v>
      </c>
      <c r="C4">
        <v>1</v>
      </c>
      <c r="D4" t="s">
        <v>6743</v>
      </c>
      <c r="E4" t="s">
        <v>6771</v>
      </c>
      <c r="F4" t="s">
        <v>6744</v>
      </c>
      <c r="G4" t="s">
        <v>2958</v>
      </c>
      <c r="H4">
        <v>1</v>
      </c>
      <c r="I4" t="s">
        <v>6772</v>
      </c>
      <c r="J4" t="s">
        <v>6773</v>
      </c>
      <c r="O4" t="s">
        <v>6774</v>
      </c>
      <c r="Q4" t="s">
        <v>6775</v>
      </c>
      <c r="R4" t="s">
        <v>6776</v>
      </c>
      <c r="S4" t="s">
        <v>6777</v>
      </c>
      <c r="U4" t="s">
        <v>6778</v>
      </c>
      <c r="V4" t="s">
        <v>6779</v>
      </c>
    </row>
    <row r="5" spans="1:30" x14ac:dyDescent="0.25">
      <c r="A5" t="s">
        <v>6780</v>
      </c>
      <c r="B5" t="s">
        <v>1958</v>
      </c>
      <c r="C5">
        <v>1</v>
      </c>
      <c r="D5" t="s">
        <v>6743</v>
      </c>
      <c r="E5" t="s">
        <v>6781</v>
      </c>
      <c r="F5" t="s">
        <v>6744</v>
      </c>
      <c r="G5" t="s">
        <v>2958</v>
      </c>
      <c r="H5">
        <v>1</v>
      </c>
      <c r="I5" t="s">
        <v>6782</v>
      </c>
      <c r="J5" t="s">
        <v>6783</v>
      </c>
      <c r="O5" t="s">
        <v>6784</v>
      </c>
      <c r="Q5" t="s">
        <v>6785</v>
      </c>
      <c r="R5" t="s">
        <v>6786</v>
      </c>
      <c r="S5" t="s">
        <v>6787</v>
      </c>
      <c r="U5" t="s">
        <v>6788</v>
      </c>
      <c r="V5" t="s">
        <v>6789</v>
      </c>
    </row>
    <row r="6" spans="1:30" x14ac:dyDescent="0.25">
      <c r="A6" t="s">
        <v>6813</v>
      </c>
      <c r="B6" t="s">
        <v>1954</v>
      </c>
      <c r="C6">
        <v>1</v>
      </c>
      <c r="D6" t="s">
        <v>6743</v>
      </c>
      <c r="F6" t="s">
        <v>6744</v>
      </c>
      <c r="G6" t="s">
        <v>2958</v>
      </c>
      <c r="H6">
        <v>1</v>
      </c>
      <c r="I6" t="s">
        <v>6814</v>
      </c>
      <c r="J6" t="s">
        <v>6815</v>
      </c>
      <c r="M6" t="s">
        <v>6816</v>
      </c>
      <c r="N6" t="s">
        <v>6817</v>
      </c>
      <c r="O6" t="s">
        <v>6818</v>
      </c>
      <c r="P6" t="s">
        <v>6748</v>
      </c>
      <c r="R6" t="s">
        <v>6819</v>
      </c>
      <c r="S6" t="s">
        <v>6820</v>
      </c>
      <c r="T6" t="s">
        <v>6752</v>
      </c>
      <c r="V6" t="s">
        <v>6821</v>
      </c>
      <c r="W6" t="s">
        <v>6822</v>
      </c>
      <c r="Y6" t="s">
        <v>6823</v>
      </c>
      <c r="Z6" t="s">
        <v>4441</v>
      </c>
    </row>
    <row r="7" spans="1:30" x14ac:dyDescent="0.25">
      <c r="A7" t="s">
        <v>6839</v>
      </c>
      <c r="B7" t="s">
        <v>1958</v>
      </c>
      <c r="C7">
        <v>1</v>
      </c>
      <c r="D7" t="s">
        <v>6743</v>
      </c>
      <c r="F7" t="s">
        <v>6744</v>
      </c>
      <c r="G7" t="s">
        <v>2958</v>
      </c>
      <c r="H7">
        <v>1</v>
      </c>
      <c r="I7" t="s">
        <v>6840</v>
      </c>
      <c r="J7" t="s">
        <v>6841</v>
      </c>
      <c r="O7" t="s">
        <v>6842</v>
      </c>
      <c r="Q7" t="s">
        <v>6843</v>
      </c>
      <c r="R7" t="s">
        <v>6844</v>
      </c>
      <c r="S7" t="s">
        <v>6845</v>
      </c>
      <c r="U7" t="s">
        <v>6846</v>
      </c>
      <c r="V7" t="s">
        <v>6847</v>
      </c>
    </row>
    <row r="8" spans="1:30" x14ac:dyDescent="0.25">
      <c r="A8" t="s">
        <v>6848</v>
      </c>
      <c r="B8" t="s">
        <v>1958</v>
      </c>
      <c r="C8">
        <v>1</v>
      </c>
      <c r="D8" t="s">
        <v>6743</v>
      </c>
      <c r="E8" t="s">
        <v>6849</v>
      </c>
      <c r="F8" t="s">
        <v>6744</v>
      </c>
      <c r="G8" t="s">
        <v>2958</v>
      </c>
      <c r="H8">
        <v>1</v>
      </c>
      <c r="I8" t="s">
        <v>6850</v>
      </c>
      <c r="J8" t="s">
        <v>6851</v>
      </c>
      <c r="O8" t="s">
        <v>6852</v>
      </c>
      <c r="Q8" t="s">
        <v>6854</v>
      </c>
      <c r="R8" t="s">
        <v>6855</v>
      </c>
      <c r="S8" t="s">
        <v>6853</v>
      </c>
      <c r="U8" t="s">
        <v>6856</v>
      </c>
      <c r="V8" t="s">
        <v>6857</v>
      </c>
    </row>
    <row r="9" spans="1:30" x14ac:dyDescent="0.25">
      <c r="A9" t="s">
        <v>6858</v>
      </c>
      <c r="B9" t="s">
        <v>6860</v>
      </c>
      <c r="C9">
        <v>1</v>
      </c>
      <c r="D9" t="s">
        <v>6743</v>
      </c>
      <c r="E9" t="s">
        <v>6861</v>
      </c>
      <c r="F9" t="s">
        <v>6744</v>
      </c>
      <c r="G9" t="s">
        <v>2958</v>
      </c>
      <c r="H9">
        <v>2</v>
      </c>
      <c r="I9" t="s">
        <v>6859</v>
      </c>
      <c r="J9" t="s">
        <v>6862</v>
      </c>
      <c r="O9" t="s">
        <v>6863</v>
      </c>
      <c r="Q9" t="s">
        <v>6864</v>
      </c>
      <c r="R9" t="s">
        <v>6865</v>
      </c>
      <c r="S9" t="s">
        <v>6866</v>
      </c>
      <c r="U9" t="s">
        <v>6867</v>
      </c>
      <c r="V9" t="s">
        <v>6868</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election activeCell="A4" sqref="A4"/>
    </sheetView>
  </sheetViews>
  <sheetFormatPr defaultRowHeight="15" x14ac:dyDescent="0.25"/>
  <cols>
    <col min="1" max="1" width="10.5703125" bestFit="1" customWidth="1"/>
    <col min="2" max="2" width="14.5703125" bestFit="1" customWidth="1"/>
    <col min="3" max="3" width="35" bestFit="1" customWidth="1"/>
    <col min="4" max="4" width="10" bestFit="1" customWidth="1"/>
    <col min="6" max="6" width="10.140625" bestFit="1" customWidth="1"/>
  </cols>
  <sheetData>
    <row r="1" spans="1:6" x14ac:dyDescent="0.25">
      <c r="A1" t="s">
        <v>4767</v>
      </c>
      <c r="B1" t="s">
        <v>9</v>
      </c>
      <c r="C1" t="s">
        <v>6790</v>
      </c>
      <c r="D1" t="s">
        <v>6791</v>
      </c>
      <c r="E1" t="s">
        <v>6792</v>
      </c>
      <c r="F1" t="s">
        <v>5819</v>
      </c>
    </row>
    <row r="2" spans="1:6" x14ac:dyDescent="0.25">
      <c r="A2" t="s">
        <v>6793</v>
      </c>
      <c r="B2" t="s">
        <v>1958</v>
      </c>
      <c r="C2" t="s">
        <v>6794</v>
      </c>
      <c r="D2" t="s">
        <v>6795</v>
      </c>
      <c r="E2">
        <v>3</v>
      </c>
      <c r="F2" t="s">
        <v>6796</v>
      </c>
    </row>
    <row r="3" spans="1:6" x14ac:dyDescent="0.25">
      <c r="A3" t="s">
        <v>4013</v>
      </c>
      <c r="B3" t="s">
        <v>1958</v>
      </c>
      <c r="C3" t="s">
        <v>6797</v>
      </c>
      <c r="D3" t="s">
        <v>6795</v>
      </c>
      <c r="E3">
        <v>3</v>
      </c>
      <c r="F3" t="s">
        <v>4013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L28" sqref="L2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COUNTA(games!$A$2:$A$846)</f>
        <v>845</v>
      </c>
      <c r="C5" s="17" t="s">
        <v>13</v>
      </c>
      <c r="E5" t="s">
        <v>14</v>
      </c>
      <c r="F5">
        <f>COUNTIF('Map Calc'!$D$2:$D$820,0)</f>
        <v>81</v>
      </c>
      <c r="H5" t="s">
        <v>15</v>
      </c>
      <c r="I5">
        <f>COUNTIF(games!$C$2:$C$846,$H5)</f>
        <v>361</v>
      </c>
      <c r="K5">
        <v>1</v>
      </c>
      <c r="L5" t="str">
        <f>IFERROR(INDEX('Map Calc'!$A$2:$A$820,MATCH(LARGE('Map Calc'!$O$2:$O$820,1),'Map Calc'!$O$2:$O$820,0)),"")</f>
        <v>Slay the Spire</v>
      </c>
      <c r="M5">
        <f>IFERROR(INDEX('Map Calc'!$D$2:$D$820,MATCH(LARGE('Map Calc'!$O$2:$O$820,1),'Map Calc'!$O$2:$O$820,0)),"")</f>
        <v>144</v>
      </c>
      <c r="O5">
        <v>1978</v>
      </c>
      <c r="P5">
        <f>COUNTIF(games!$B$2:$B$846,$O5)</f>
        <v>1</v>
      </c>
      <c r="Q5">
        <f>COUNTIF('Map Calc'!$T$2:$T$1060,$O5)</f>
        <v>0</v>
      </c>
      <c r="S5">
        <v>0</v>
      </c>
      <c r="T5">
        <f>COUNTIF('Map Calc'!$V$2:$V$1060,$S5)</f>
        <v>9</v>
      </c>
    </row>
    <row r="6" spans="1:20" x14ac:dyDescent="0.25">
      <c r="A6" s="15" t="s">
        <v>11</v>
      </c>
      <c r="B6" s="22">
        <f>COUNTA(connections!$A$2:$A$1205)</f>
        <v>1204</v>
      </c>
      <c r="C6" s="17" t="s">
        <v>16</v>
      </c>
      <c r="E6" t="s">
        <v>17</v>
      </c>
      <c r="F6">
        <f>COUNTIF('Map Calc'!$D$2:$D$820,1)</f>
        <v>319</v>
      </c>
      <c r="H6" t="s">
        <v>18</v>
      </c>
      <c r="I6">
        <f>COUNTIF(games!$C$2:$C$846,$H6)</f>
        <v>148</v>
      </c>
      <c r="K6">
        <v>2</v>
      </c>
      <c r="L6" t="str">
        <f>IFERROR(INDEX('Map Calc'!$A$2:$A$820,MATCH(LARGE('Map Calc'!$O$2:$O$820,2),'Map Calc'!$O$2:$O$820,0)),"")</f>
        <v>Vampire Survivors</v>
      </c>
      <c r="M6">
        <f>IFERROR(INDEX('Map Calc'!$D$2:$D$820,MATCH(LARGE('Map Calc'!$O$2:$O$820,2),'Map Calc'!$O$2:$O$820,0)),"")</f>
        <v>85</v>
      </c>
      <c r="O6">
        <v>1979</v>
      </c>
      <c r="P6">
        <f>COUNTIF(games!$B$2:$B$846,$O6)</f>
        <v>0</v>
      </c>
      <c r="Q6">
        <f>COUNTIF('Map Calc'!$T$2:$T$1060,$O6)</f>
        <v>0</v>
      </c>
      <c r="S6">
        <v>1</v>
      </c>
      <c r="T6">
        <f>COUNTIF('Map Calc'!$V$2:$V$1060,$S6)</f>
        <v>59</v>
      </c>
    </row>
    <row r="7" spans="1:20" x14ac:dyDescent="0.25">
      <c r="A7" s="15" t="s">
        <v>19</v>
      </c>
      <c r="B7" s="18">
        <f>IF(B5=0,0,2*B6/B5)</f>
        <v>2.8497041420118343</v>
      </c>
      <c r="C7" s="17" t="s">
        <v>20</v>
      </c>
      <c r="E7" t="s">
        <v>21</v>
      </c>
      <c r="F7">
        <f>COUNTIF('Map Calc'!$D$2:$D$820,2)</f>
        <v>196</v>
      </c>
      <c r="H7" t="s">
        <v>22</v>
      </c>
      <c r="I7">
        <f>COUNTIF(games!$C$2:$C$846,$H7)</f>
        <v>174</v>
      </c>
      <c r="K7">
        <v>3</v>
      </c>
      <c r="L7" t="str">
        <f>IFERROR(INDEX('Map Calc'!$A$2:$A$820,MATCH(LARGE('Map Calc'!$O$2:$O$820,3),'Map Calc'!$O$2:$O$820,0)),"")</f>
        <v>The Binding of Isaac</v>
      </c>
      <c r="M7">
        <f>IFERROR(INDEX('Map Calc'!$D$2:$D$820,MATCH(LARGE('Map Calc'!$O$2:$O$820,3),'Map Calc'!$O$2:$O$820,0)),"")</f>
        <v>69</v>
      </c>
      <c r="O7">
        <v>1980</v>
      </c>
      <c r="P7">
        <f>COUNTIF(games!$B$2:$B$846,$O7)</f>
        <v>1</v>
      </c>
      <c r="Q7">
        <f>COUNTIF('Map Calc'!$T$2:$T$1060,$O7)</f>
        <v>21</v>
      </c>
      <c r="S7">
        <v>2</v>
      </c>
      <c r="T7">
        <f>COUNTIF('Map Calc'!$V$2:$V$1060,$S7)</f>
        <v>130</v>
      </c>
    </row>
    <row r="8" spans="1:20" x14ac:dyDescent="0.25">
      <c r="A8" s="15" t="s">
        <v>23</v>
      </c>
      <c r="B8" s="16">
        <f>MEDIAN('Map Calc'!$D$2:$D$820)</f>
        <v>2</v>
      </c>
      <c r="C8" s="17" t="s">
        <v>24</v>
      </c>
      <c r="E8" t="s">
        <v>25</v>
      </c>
      <c r="F8">
        <f>COUNTIF('Map Calc'!$D$2:$D$820,3)</f>
        <v>99</v>
      </c>
      <c r="H8" t="s">
        <v>26</v>
      </c>
      <c r="I8">
        <f>COUNTIF(games!$C$2:$C$846,$H8)</f>
        <v>162</v>
      </c>
      <c r="K8">
        <v>4</v>
      </c>
      <c r="L8" t="str">
        <f>IFERROR(INDEX('Map Calc'!$A$2:$A$820,MATCH(LARGE('Map Calc'!$O$2:$O$820,4),'Map Calc'!$O$2:$O$820,0)),"")</f>
        <v>Balatro</v>
      </c>
      <c r="M8">
        <f>IFERROR(INDEX('Map Calc'!$D$2:$D$820,MATCH(LARGE('Map Calc'!$O$2:$O$820,4),'Map Calc'!$O$2:$O$820,0)),"")</f>
        <v>47</v>
      </c>
      <c r="O8">
        <v>1981</v>
      </c>
      <c r="P8">
        <f>COUNTIF(games!$B$2:$B$846,$O8)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COUNTIF(games!$B$2:$B$846,$O9)</f>
        <v>1</v>
      </c>
      <c r="Q9">
        <f>COUNTIF('Map Calc'!$T$2:$T$1060,$O9)</f>
        <v>1</v>
      </c>
      <c r="S9">
        <v>4</v>
      </c>
      <c r="T9">
        <f>COUNTIF('Map Calc'!$V$2:$V$1060,$S9)</f>
        <v>108</v>
      </c>
    </row>
    <row r="10" spans="1:20" x14ac:dyDescent="0.25">
      <c r="A10" s="15" t="s">
        <v>30</v>
      </c>
      <c r="B10" s="16">
        <f>COUNTIF('Map Calc'!$D$2:$D$820,1)</f>
        <v>319</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COUNTIF(games!$B$2:$B$846,$O10)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27</v>
      </c>
      <c r="K11">
        <v>7</v>
      </c>
      <c r="L11" t="str">
        <f>IFERROR(INDEX('Map Calc'!$A$2:$A$820,MATCH(LARGE('Map Calc'!$O$2:$O$820,7),'Map Calc'!$O$2:$O$820,0)),"")</f>
        <v>FTL</v>
      </c>
      <c r="M11">
        <f>IFERROR(INDEX('Map Calc'!$D$2:$D$820,MATCH(LARGE('Map Calc'!$O$2:$O$820,7),'Map Calc'!$O$2:$O$820,0)),"")</f>
        <v>37</v>
      </c>
      <c r="O11">
        <v>1984</v>
      </c>
      <c r="P11">
        <f>COUNTIF(games!$B$2:$B$846,$O11)</f>
        <v>1</v>
      </c>
      <c r="Q11">
        <f>COUNTIF('Map Calc'!$T$2:$T$1060,$O11)</f>
        <v>6</v>
      </c>
      <c r="S11">
        <v>6</v>
      </c>
      <c r="T11">
        <f>COUNTIF('Map Calc'!$V$2:$V$1060,$S11)</f>
        <v>84</v>
      </c>
    </row>
    <row r="12" spans="1:20" x14ac:dyDescent="0.25">
      <c r="A12" s="15" t="s">
        <v>36</v>
      </c>
      <c r="B12" s="16">
        <f>B10+B11</f>
        <v>400</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29</v>
      </c>
      <c r="O12">
        <v>1985</v>
      </c>
      <c r="P12">
        <f>COUNTIF(games!$B$2:$B$846,$O12)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COUNTIF(games!$B$2:$B$846,$O13)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COUNTIF(games!$B$2:$B$846,$O14)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COUNTIF(games!$B$2:$B$846,$O15)</f>
        <v>0</v>
      </c>
      <c r="Q15">
        <f>COUNTIF('Map Calc'!$T$2:$T$1060,$O15)</f>
        <v>0</v>
      </c>
      <c r="S15">
        <v>10</v>
      </c>
      <c r="T15">
        <f>COUNTIF('Map Calc'!$V$2:$V$1060,$S15)</f>
        <v>27</v>
      </c>
    </row>
    <row r="16" spans="1:20" x14ac:dyDescent="0.25">
      <c r="A16" s="15" t="s">
        <v>46</v>
      </c>
      <c r="B16" s="22">
        <f>COUNTIF(connections!$D$2:$D$1205,"Yes")</f>
        <v>137</v>
      </c>
      <c r="C16" s="17" t="s">
        <v>47</v>
      </c>
      <c r="K16">
        <v>12</v>
      </c>
      <c r="L16" t="str">
        <f>IFERROR(INDEX('Map Calc'!$A$2:$A$820,MATCH(LARGE('Map Calc'!$O$2:$O$820,12),'Map Calc'!$O$2:$O$820,0)),"")</f>
        <v>Darkest Dungeon</v>
      </c>
      <c r="M16">
        <f>IFERROR(INDEX('Map Calc'!$D$2:$D$820,MATCH(LARGE('Map Calc'!$O$2:$O$820,12),'Map Calc'!$O$2:$O$820,0)),"")</f>
        <v>24</v>
      </c>
      <c r="O16">
        <v>1989</v>
      </c>
      <c r="P16">
        <f>COUNTIF(games!$B$2:$B$846,$O16)</f>
        <v>0</v>
      </c>
      <c r="Q16">
        <f>COUNTIF('Map Calc'!$T$2:$T$1060,$O16)</f>
        <v>0</v>
      </c>
      <c r="S16" t="s">
        <v>48</v>
      </c>
      <c r="T16">
        <f>COUNTIFS('Map Calc'!$V$2:$V$1060,"&gt;=11",'Map Calc'!$V$2:$V$1060,"&lt;=20")</f>
        <v>135</v>
      </c>
    </row>
    <row r="17" spans="1:20" x14ac:dyDescent="0.25">
      <c r="A17" s="15" t="s">
        <v>49</v>
      </c>
      <c r="B17" s="22">
        <f>COUNTA(connections!$E$2:$E$1205)</f>
        <v>1065</v>
      </c>
      <c r="C17" s="17" t="s">
        <v>50</v>
      </c>
      <c r="K17">
        <v>13</v>
      </c>
      <c r="L17" t="str">
        <f>IFERROR(INDEX('Map Calc'!$A$2:$A$820,MATCH(LARGE('Map Calc'!$O$2:$O$820,13),'Map Calc'!$O$2:$O$820,0)),"")</f>
        <v>Rogue</v>
      </c>
      <c r="M17">
        <f>IFERROR(INDEX('Map Calc'!$D$2:$D$820,MATCH(LARGE('Map Calc'!$O$2:$O$820,13),'Map Calc'!$O$2:$O$820,0)),"")</f>
        <v>23</v>
      </c>
      <c r="O17">
        <v>1990</v>
      </c>
      <c r="P17">
        <f>COUNTIF(games!$B$2:$B$846,$O17)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COUNTIF(games!$B$2:$B$846,$O18)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COUNTIF(games!$B$2:$B$846,$O19)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COUNTIF(games!$B$2:$B$846,$O20)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COUNTIF(games!$B$2:$B$846,$O21)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COUNTIF(games!$B$2:$B$846,$O22)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COUNTIF(games!$B$2:$B$846,$O23)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COUNTIF(games!$B$2:$B$846,$O24)</f>
        <v>2</v>
      </c>
      <c r="Q24">
        <f>COUNTIF('Map Calc'!$T$2:$T$1060,$O24)</f>
        <v>3</v>
      </c>
    </row>
    <row r="25" spans="1:20" x14ac:dyDescent="0.25">
      <c r="O25">
        <v>1998</v>
      </c>
      <c r="P25">
        <f>COUNTIF(games!$B$2:$B$846,$O25)</f>
        <v>5</v>
      </c>
      <c r="Q25">
        <f>COUNTIF('Map Calc'!$T$2:$T$1060,$O25)</f>
        <v>10</v>
      </c>
    </row>
    <row r="26" spans="1:20" x14ac:dyDescent="0.25">
      <c r="O26">
        <v>1999</v>
      </c>
      <c r="P26">
        <f>COUNTIF(games!$B$2:$B$846,$O26)</f>
        <v>1</v>
      </c>
      <c r="Q26">
        <f>COUNTIF('Map Calc'!$T$2:$T$1060,$O26)</f>
        <v>1</v>
      </c>
    </row>
    <row r="27" spans="1:20" x14ac:dyDescent="0.25">
      <c r="O27">
        <v>2000</v>
      </c>
      <c r="P27">
        <f>COUNTIF(games!$B$2:$B$846,$O27)</f>
        <v>2</v>
      </c>
      <c r="Q27">
        <f>COUNTIF('Map Calc'!$T$2:$T$1060,$O27)</f>
        <v>2</v>
      </c>
    </row>
    <row r="28" spans="1:20" x14ac:dyDescent="0.25">
      <c r="O28">
        <v>2001</v>
      </c>
      <c r="P28">
        <f>COUNTIF(games!$B$2:$B$846,$O28)</f>
        <v>3</v>
      </c>
      <c r="Q28">
        <f>COUNTIF('Map Calc'!$T$2:$T$1060,$O28)</f>
        <v>2</v>
      </c>
    </row>
    <row r="29" spans="1:20" x14ac:dyDescent="0.25">
      <c r="O29">
        <v>2002</v>
      </c>
      <c r="P29">
        <f>COUNTIF(games!$B$2:$B$846,$O29)</f>
        <v>6</v>
      </c>
      <c r="Q29">
        <f>COUNTIF('Map Calc'!$T$2:$T$1060,$O29)</f>
        <v>12</v>
      </c>
    </row>
    <row r="30" spans="1:20" x14ac:dyDescent="0.25">
      <c r="O30">
        <v>2003</v>
      </c>
      <c r="P30">
        <f>COUNTIF(games!$B$2:$B$846,$O30)</f>
        <v>3</v>
      </c>
      <c r="Q30">
        <f>COUNTIF('Map Calc'!$T$2:$T$1060,$O30)</f>
        <v>5</v>
      </c>
    </row>
    <row r="31" spans="1:20" x14ac:dyDescent="0.25">
      <c r="O31">
        <v>2004</v>
      </c>
      <c r="P31">
        <f>COUNTIF(games!$B$2:$B$846,$O31)</f>
        <v>2</v>
      </c>
      <c r="Q31">
        <f>COUNTIF('Map Calc'!$T$2:$T$1060,$O31)</f>
        <v>0</v>
      </c>
    </row>
    <row r="32" spans="1:20" x14ac:dyDescent="0.25">
      <c r="O32">
        <v>2005</v>
      </c>
      <c r="P32">
        <f>COUNTIF(games!$B$2:$B$846,$O32)</f>
        <v>3</v>
      </c>
      <c r="Q32">
        <f>COUNTIF('Map Calc'!$T$2:$T$1060,$O32)</f>
        <v>6</v>
      </c>
    </row>
    <row r="33" spans="15:17" x14ac:dyDescent="0.25">
      <c r="O33">
        <v>2006</v>
      </c>
      <c r="P33">
        <f>COUNTIF(games!$B$2:$B$846,$O33)</f>
        <v>8</v>
      </c>
      <c r="Q33">
        <f>COUNTIF('Map Calc'!$T$2:$T$1060,$O33)</f>
        <v>21</v>
      </c>
    </row>
    <row r="34" spans="15:17" x14ac:dyDescent="0.25">
      <c r="O34">
        <v>2007</v>
      </c>
      <c r="P34">
        <f>COUNTIF(games!$B$2:$B$846,$O34)</f>
        <v>7</v>
      </c>
      <c r="Q34">
        <f>COUNTIF('Map Calc'!$T$2:$T$1060,$O34)</f>
        <v>4</v>
      </c>
    </row>
    <row r="35" spans="15:17" x14ac:dyDescent="0.25">
      <c r="O35">
        <v>2008</v>
      </c>
      <c r="P35">
        <f>COUNTIF(games!$B$2:$B$846,$O35)</f>
        <v>4</v>
      </c>
      <c r="Q35">
        <f>COUNTIF('Map Calc'!$T$2:$T$1060,$O35)</f>
        <v>37</v>
      </c>
    </row>
    <row r="36" spans="15:17" x14ac:dyDescent="0.25">
      <c r="O36">
        <v>2009</v>
      </c>
      <c r="P36">
        <f>COUNTIF(games!$B$2:$B$846,$O36)</f>
        <v>2</v>
      </c>
      <c r="Q36">
        <f>COUNTIF('Map Calc'!$T$2:$T$1060,$O36)</f>
        <v>8</v>
      </c>
    </row>
    <row r="37" spans="15:17" x14ac:dyDescent="0.25">
      <c r="O37">
        <v>2010</v>
      </c>
      <c r="P37">
        <f>COUNTIF(games!$B$2:$B$846,$O37)</f>
        <v>14</v>
      </c>
      <c r="Q37">
        <f>COUNTIF('Map Calc'!$T$2:$T$1060,$O37)</f>
        <v>18</v>
      </c>
    </row>
    <row r="38" spans="15:17" x14ac:dyDescent="0.25">
      <c r="O38">
        <v>2011</v>
      </c>
      <c r="P38">
        <f>COUNTIF(games!$B$2:$B$846,$O38)</f>
        <v>6</v>
      </c>
      <c r="Q38">
        <f>COUNTIF('Map Calc'!$T$2:$T$1060,$O38)</f>
        <v>71</v>
      </c>
    </row>
    <row r="39" spans="15:17" x14ac:dyDescent="0.25">
      <c r="O39">
        <v>2012</v>
      </c>
      <c r="P39">
        <f>COUNTIF(games!$B$2:$B$846,$O39)</f>
        <v>11</v>
      </c>
      <c r="Q39">
        <f>COUNTIF('Map Calc'!$T$2:$T$1060,$O39)</f>
        <v>39</v>
      </c>
    </row>
    <row r="40" spans="15:17" x14ac:dyDescent="0.25">
      <c r="O40">
        <v>2013</v>
      </c>
      <c r="P40">
        <f>COUNTIF(games!$B$2:$B$846,$O40)</f>
        <v>12</v>
      </c>
      <c r="Q40">
        <f>COUNTIF('Map Calc'!$T$2:$T$1060,$O40)</f>
        <v>29</v>
      </c>
    </row>
    <row r="41" spans="15:17" x14ac:dyDescent="0.25">
      <c r="O41">
        <v>2014</v>
      </c>
      <c r="P41">
        <f>COUNTIF(games!$B$2:$B$846,$O41)</f>
        <v>23</v>
      </c>
      <c r="Q41">
        <f>COUNTIF('Map Calc'!$T$2:$T$1060,$O41)</f>
        <v>12</v>
      </c>
    </row>
    <row r="42" spans="15:17" x14ac:dyDescent="0.25">
      <c r="O42">
        <v>2015</v>
      </c>
      <c r="P42">
        <f>COUNTIF(games!$B$2:$B$846,$O42)</f>
        <v>21</v>
      </c>
      <c r="Q42">
        <f>COUNTIF('Map Calc'!$T$2:$T$1060,$O42)</f>
        <v>63</v>
      </c>
    </row>
    <row r="43" spans="15:17" x14ac:dyDescent="0.25">
      <c r="O43">
        <v>2016</v>
      </c>
      <c r="P43">
        <f>COUNTIF(games!$B$2:$B$846,$O43)</f>
        <v>15</v>
      </c>
      <c r="Q43">
        <f>COUNTIF('Map Calc'!$T$2:$T$1060,$O43)</f>
        <v>28</v>
      </c>
    </row>
    <row r="44" spans="15:17" x14ac:dyDescent="0.25">
      <c r="O44">
        <v>2017</v>
      </c>
      <c r="P44">
        <f>COUNTIF(games!$B$2:$B$846,$O44)</f>
        <v>32</v>
      </c>
      <c r="Q44">
        <f>COUNTIF('Map Calc'!$T$2:$T$1060,$O44)</f>
        <v>143</v>
      </c>
    </row>
    <row r="45" spans="15:17" x14ac:dyDescent="0.25">
      <c r="O45">
        <v>2018</v>
      </c>
      <c r="P45">
        <f>COUNTIF(games!$B$2:$B$846,$O45)</f>
        <v>22</v>
      </c>
      <c r="Q45">
        <f>COUNTIF('Map Calc'!$T$2:$T$1060,$O45)</f>
        <v>54</v>
      </c>
    </row>
    <row r="46" spans="15:17" x14ac:dyDescent="0.25">
      <c r="O46">
        <v>2019</v>
      </c>
      <c r="P46">
        <f>COUNTIF(games!$B$2:$B$846,$O46)</f>
        <v>37</v>
      </c>
      <c r="Q46">
        <f>COUNTIF('Map Calc'!$T$2:$T$1060,$O46)</f>
        <v>76</v>
      </c>
    </row>
    <row r="47" spans="15:17" x14ac:dyDescent="0.25">
      <c r="O47">
        <v>2020</v>
      </c>
      <c r="P47">
        <f>COUNTIF(games!$B$2:$B$846,$O47)</f>
        <v>50</v>
      </c>
      <c r="Q47">
        <f>COUNTIF('Map Calc'!$T$2:$T$1060,$O47)</f>
        <v>45</v>
      </c>
    </row>
    <row r="48" spans="15:17" x14ac:dyDescent="0.25">
      <c r="O48">
        <v>2021</v>
      </c>
      <c r="P48">
        <f>COUNTIF(games!$B$2:$B$846,$O48)</f>
        <v>44</v>
      </c>
      <c r="Q48">
        <f>COUNTIF('Map Calc'!$T$2:$T$1060,$O48)</f>
        <v>92</v>
      </c>
    </row>
    <row r="49" spans="15:17" x14ac:dyDescent="0.25">
      <c r="O49">
        <v>2022</v>
      </c>
      <c r="P49">
        <f>COUNTIF(games!$B$2:$B$846,$O49)</f>
        <v>68</v>
      </c>
      <c r="Q49">
        <f>COUNTIF('Map Calc'!$T$2:$T$1060,$O49)</f>
        <v>46</v>
      </c>
    </row>
    <row r="50" spans="15:17" x14ac:dyDescent="0.25">
      <c r="O50">
        <v>2023</v>
      </c>
      <c r="P50">
        <f>COUNTIF(games!$B$2:$B$846,$O50)</f>
        <v>96</v>
      </c>
      <c r="Q50">
        <f>COUNTIF('Map Calc'!$T$2:$T$1060,$O50)</f>
        <v>69</v>
      </c>
    </row>
    <row r="51" spans="15:17" x14ac:dyDescent="0.25">
      <c r="O51">
        <v>2024</v>
      </c>
      <c r="P51">
        <f>COUNTIF(games!$B$2:$B$846,$O51)</f>
        <v>96</v>
      </c>
      <c r="Q51">
        <f>COUNTIF('Map Calc'!$T$2:$T$1060,$O51)</f>
        <v>12</v>
      </c>
    </row>
    <row r="52" spans="15:17" x14ac:dyDescent="0.25">
      <c r="O52">
        <v>2025</v>
      </c>
      <c r="P52">
        <f>COUNTIF(games!$B$2:$B$846,$O52)</f>
        <v>149</v>
      </c>
      <c r="Q52">
        <f>COUNTIF('Map Calc'!$T$2:$T$1060,$O52)</f>
        <v>4</v>
      </c>
    </row>
    <row r="53" spans="15:17" x14ac:dyDescent="0.25">
      <c r="O53">
        <v>2026</v>
      </c>
      <c r="P53">
        <f>COUNTIF(games!$B$2:$B$846,$O53)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IF($A2="","",COUNTIF(connections!$A$2:$A$1205,$A2)+COUNTIF(connections!$B$2:$B$1205,$A2))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IF(connections!$A2="","",IFERROR(INDEX(games!$B$2:$B$846,MATCH(connections!$A2,games!$A$2:$A$846,0)),""))</f>
        <v>2010</v>
      </c>
      <c r="U2">
        <f>IF(connections!$A2="","",IFERROR(INDEX(games!$B$2:$B$846,MATCH(connections!$B2,games!$A$2:$A$846,0)),""))</f>
        <v>2014</v>
      </c>
      <c r="V2">
        <f t="shared" ref="V2:V65" si="11">IF(OR($T2="",$U2=""),"",$U2-$T2)</f>
        <v>4</v>
      </c>
    </row>
    <row r="3" spans="1:22" x14ac:dyDescent="0.25">
      <c r="A3" t="str">
        <f>IF(games!$A3="","",games!$A3)</f>
        <v>100 Rogues</v>
      </c>
      <c r="B3">
        <f>IF($A3="","",games!$B3)</f>
        <v>2010</v>
      </c>
      <c r="C3" t="str">
        <f>IF($A3="","",games!$C3)</f>
        <v>Traditional</v>
      </c>
      <c r="D3">
        <f>IF($A3="","",COUNTIF(connections!$A$2:$A$1205,$A3)+COUNTIF(connections!$B$2:$B$1205,$A3))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IF(connections!$A3="","",IFERROR(INDEX(games!$B$2:$B$846,MATCH(connections!$A3,games!$A$2:$A$846,0)),""))</f>
        <v>2010</v>
      </c>
      <c r="U3">
        <f>IF(connections!$A3="","",IFERROR(INDEX(games!$B$2:$B$846,MATCH(connections!$B3,games!$A$2:$A$846,0)),""))</f>
        <v>2014</v>
      </c>
      <c r="V3">
        <f t="shared" si="11"/>
        <v>4</v>
      </c>
    </row>
    <row r="4" spans="1:22" x14ac:dyDescent="0.25">
      <c r="A4" t="str">
        <f>IF(games!$A4="","",games!$A4)</f>
        <v>2 Fights in 2 Tight Spaces</v>
      </c>
      <c r="B4">
        <f>IF($A4="","",games!$B4)</f>
        <v>2026</v>
      </c>
      <c r="C4" t="str">
        <f>IF($A4="","",games!$C4)</f>
        <v>Deckbuilder</v>
      </c>
      <c r="D4">
        <f>IF($A4="","",COUNTIF(connections!$A$2:$A$1205,$A4)+COUNTIF(connections!$B$2:$B$1205,$A4))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IF(connections!$A4="","",IFERROR(INDEX(games!$B$2:$B$846,MATCH(connections!$A4,games!$A$2:$A$846,0)),""))</f>
        <v>2022</v>
      </c>
      <c r="U4">
        <f>IF(connections!$A4="","",IFERROR(INDEX(games!$B$2:$B$846,MATCH(connections!$B4,games!$A$2:$A$846,0)),""))</f>
        <v>2023</v>
      </c>
      <c r="V4">
        <f t="shared" si="11"/>
        <v>1</v>
      </c>
    </row>
    <row r="5" spans="1:22" x14ac:dyDescent="0.25">
      <c r="A5" t="str">
        <f>IF(games!$A5="","",games!$A5)</f>
        <v>20 Minutes Till Dawn</v>
      </c>
      <c r="B5">
        <f>IF($A5="","",games!$B5)</f>
        <v>2022</v>
      </c>
      <c r="C5" t="str">
        <f>IF($A5="","",games!$C5)</f>
        <v>Action</v>
      </c>
      <c r="D5">
        <f>IF($A5="","",COUNTIF(connections!$A$2:$A$1205,$A5)+COUNTIF(connections!$B$2:$B$1205,$A5))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IF(connections!$A5="","",IFERROR(INDEX(games!$B$2:$B$846,MATCH(connections!$A5,games!$A$2:$A$846,0)),""))</f>
        <v>2022</v>
      </c>
      <c r="U5">
        <f>IF(connections!$A5="","",IFERROR(INDEX(games!$B$2:$B$846,MATCH(connections!$B5,games!$A$2:$A$846,0)),""))</f>
        <v>2024</v>
      </c>
      <c r="V5">
        <f t="shared" si="11"/>
        <v>2</v>
      </c>
    </row>
    <row r="6" spans="1:22" x14ac:dyDescent="0.25">
      <c r="A6" t="str">
        <f>IF(games!$A6="","",games!$A6)</f>
        <v>20XX</v>
      </c>
      <c r="B6">
        <f>IF($A6="","",games!$B6)</f>
        <v>2017</v>
      </c>
      <c r="C6" t="str">
        <f>IF($A6="","",games!$C6)</f>
        <v>Action</v>
      </c>
      <c r="D6">
        <f>IF($A6="","",COUNTIF(connections!$A$2:$A$1205,$A6)+COUNTIF(connections!$B$2:$B$1205,$A6))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IF(connections!$A6="","",IFERROR(INDEX(games!$B$2:$B$846,MATCH(connections!$A6,games!$A$2:$A$846,0)),""))</f>
        <v>2017</v>
      </c>
      <c r="U6">
        <f>IF(connections!$A6="","",IFERROR(INDEX(games!$B$2:$B$846,MATCH(connections!$B6,games!$A$2:$A$846,0)),""))</f>
        <v>2021</v>
      </c>
      <c r="V6">
        <f t="shared" si="11"/>
        <v>4</v>
      </c>
    </row>
    <row r="7" spans="1:22" x14ac:dyDescent="0.25">
      <c r="A7" t="str">
        <f>IF(games!$A7="","",games!$A7)</f>
        <v>30XX</v>
      </c>
      <c r="B7">
        <f>IF($A7="","",games!$B7)</f>
        <v>2021</v>
      </c>
      <c r="C7" t="str">
        <f>IF($A7="","",games!$C7)</f>
        <v>Action</v>
      </c>
      <c r="D7">
        <f>IF($A7="","",COUNTIF(connections!$A$2:$A$1205,$A7)+COUNTIF(connections!$B$2:$B$1205,$A7))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IF(connections!$A7="","",IFERROR(INDEX(games!$B$2:$B$846,MATCH(connections!$A7,games!$A$2:$A$846,0)),""))</f>
        <v>2015</v>
      </c>
      <c r="U7">
        <f>IF(connections!$A7="","",IFERROR(INDEX(games!$B$2:$B$846,MATCH(connections!$B7,games!$A$2:$A$846,0)),""))</f>
        <v>2026</v>
      </c>
      <c r="V7">
        <f t="shared" si="11"/>
        <v>11</v>
      </c>
    </row>
    <row r="8" spans="1:22" x14ac:dyDescent="0.25">
      <c r="A8" t="str">
        <f>IF(games!$A8="","",games!$A8)</f>
        <v>33 Immortals</v>
      </c>
      <c r="B8">
        <f>IF($A8="","",games!$B8)</f>
        <v>2026</v>
      </c>
      <c r="C8" t="str">
        <f>IF($A8="","",games!$C8)</f>
        <v>Action</v>
      </c>
      <c r="D8">
        <f>IF($A8="","",COUNTIF(connections!$A$2:$A$1205,$A8)+COUNTIF(connections!$B$2:$B$1205,$A8))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IF(connections!$A8="","",IFERROR(INDEX(games!$B$2:$B$846,MATCH(connections!$A8,games!$A$2:$A$846,0)),""))</f>
        <v>2021</v>
      </c>
      <c r="U8">
        <f>IF(connections!$A8="","",IFERROR(INDEX(games!$B$2:$B$846,MATCH(connections!$B8,games!$A$2:$A$846,0)),""))</f>
        <v>2025</v>
      </c>
      <c r="V8">
        <f t="shared" si="11"/>
        <v>4</v>
      </c>
    </row>
    <row r="9" spans="1:22" x14ac:dyDescent="0.25">
      <c r="A9" t="str">
        <f>IF(games!$A9="","",games!$A9)</f>
        <v>868-Back</v>
      </c>
      <c r="B9">
        <f>IF($A9="","",games!$B9)</f>
        <v>2026</v>
      </c>
      <c r="C9" t="str">
        <f>IF($A9="","",games!$C9)</f>
        <v>Traditional</v>
      </c>
      <c r="D9">
        <f>IF($A9="","",COUNTIF(connections!$A$2:$A$1205,$A9)+COUNTIF(connections!$B$2:$B$1205,$A9))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IF(connections!$A9="","",IFERROR(INDEX(games!$B$2:$B$846,MATCH(connections!$A9,games!$A$2:$A$846,0)),""))</f>
        <v>1994</v>
      </c>
      <c r="U9">
        <f>IF(connections!$A9="","",IFERROR(INDEX(games!$B$2:$B$846,MATCH(connections!$B9,games!$A$2:$A$846,0)),""))</f>
        <v>2010</v>
      </c>
      <c r="V9">
        <f t="shared" si="11"/>
        <v>16</v>
      </c>
    </row>
    <row r="10" spans="1:22" x14ac:dyDescent="0.25">
      <c r="A10" t="str">
        <f>IF(games!$A10="","",games!$A10)</f>
        <v>868-Hack</v>
      </c>
      <c r="B10">
        <f>IF($A10="","",games!$B10)</f>
        <v>2015</v>
      </c>
      <c r="C10" t="str">
        <f>IF($A10="","",games!$C10)</f>
        <v>Traditional</v>
      </c>
      <c r="D10">
        <f>IF($A10="","",COUNTIF(connections!$A$2:$A$1205,$A10)+COUNTIF(connections!$B$2:$B$1205,$A10))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IF(connections!$A10="","",IFERROR(INDEX(games!$B$2:$B$846,MATCH(connections!$A10,games!$A$2:$A$846,0)),""))</f>
        <v>1994</v>
      </c>
      <c r="U10">
        <f>IF(connections!$A10="","",IFERROR(INDEX(games!$B$2:$B$846,MATCH(connections!$B10,games!$A$2:$A$846,0)),""))</f>
        <v>2025</v>
      </c>
      <c r="V10">
        <f t="shared" si="11"/>
        <v>31</v>
      </c>
    </row>
    <row r="11" spans="1:22" x14ac:dyDescent="0.25">
      <c r="A11" t="str">
        <f>IF(games!$A11="","",games!$A11)</f>
        <v>9 Kings</v>
      </c>
      <c r="B11">
        <f>IF($A11="","",games!$B11)</f>
        <v>2024</v>
      </c>
      <c r="C11" t="str">
        <f>IF($A11="","",games!$C11)</f>
        <v>Deckbuilder</v>
      </c>
      <c r="D11">
        <f>IF($A11="","",COUNTIF(connections!$A$2:$A$1205,$A11)+COUNTIF(connections!$B$2:$B$1205,$A11))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IF(connections!$A11="","",IFERROR(INDEX(games!$B$2:$B$846,MATCH(connections!$A11,games!$A$2:$A$846,0)),""))</f>
        <v>1994</v>
      </c>
      <c r="U11">
        <f>IF(connections!$A11="","",IFERROR(INDEX(games!$B$2:$B$846,MATCH(connections!$B11,games!$A$2:$A$846,0)),""))</f>
        <v>2010</v>
      </c>
      <c r="V11">
        <f t="shared" si="11"/>
        <v>16</v>
      </c>
    </row>
    <row r="12" spans="1:22" x14ac:dyDescent="0.25">
      <c r="A12" t="str">
        <f>IF(games!$A12="","",games!$A12)</f>
        <v>99 Levels to Hell</v>
      </c>
      <c r="B12">
        <f>IF($A12="","",games!$B12)</f>
        <v>2013</v>
      </c>
      <c r="C12" t="str">
        <f>IF($A12="","",games!$C12)</f>
        <v>Action</v>
      </c>
      <c r="D12">
        <f>IF($A12="","",COUNTIF(connections!$A$2:$A$1205,$A12)+COUNTIF(connections!$B$2:$B$1205,$A12))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IF(connections!$A12="","",IFERROR(INDEX(games!$B$2:$B$846,MATCH(connections!$A12,games!$A$2:$A$846,0)),""))</f>
        <v>1994</v>
      </c>
      <c r="U12">
        <f>IF(connections!$A12="","",IFERROR(INDEX(games!$B$2:$B$846,MATCH(connections!$B12,games!$A$2:$A$846,0)),""))</f>
        <v>2008</v>
      </c>
      <c r="V12">
        <f t="shared" si="11"/>
        <v>14</v>
      </c>
    </row>
    <row r="13" spans="1:22" x14ac:dyDescent="0.25">
      <c r="A13" t="str">
        <f>IF(games!$A13="","",games!$A13)</f>
        <v>A la Card</v>
      </c>
      <c r="B13">
        <f>IF($A13="","",games!$B13)</f>
        <v>2025</v>
      </c>
      <c r="C13" t="str">
        <f>IF($A13="","",games!$C13)</f>
        <v>Deckbuilder</v>
      </c>
      <c r="D13">
        <f>IF($A13="","",COUNTIF(connections!$A$2:$A$1205,$A13)+COUNTIF(connections!$B$2:$B$1205,$A13))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IF(connections!$A13="","",IFERROR(INDEX(games!$B$2:$B$846,MATCH(connections!$A13,games!$A$2:$A$846,0)),""))</f>
        <v>1994</v>
      </c>
      <c r="U13">
        <f>IF(connections!$A13="","",IFERROR(INDEX(games!$B$2:$B$846,MATCH(connections!$B13,games!$A$2:$A$846,0)),""))</f>
        <v>2006</v>
      </c>
      <c r="V13">
        <f t="shared" si="11"/>
        <v>12</v>
      </c>
    </row>
    <row r="14" spans="1:22" x14ac:dyDescent="0.25">
      <c r="A14" t="str">
        <f>IF(games!$A14="","",games!$A14)</f>
        <v>A Robot Named Fight!</v>
      </c>
      <c r="B14">
        <f>IF($A14="","",games!$B14)</f>
        <v>2017</v>
      </c>
      <c r="C14" t="str">
        <f>IF($A14="","",games!$C14)</f>
        <v>Action</v>
      </c>
      <c r="D14">
        <f>IF($A14="","",COUNTIF(connections!$A$2:$A$1205,$A14)+COUNTIF(connections!$B$2:$B$1205,$A14))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IF(connections!$A14="","",IFERROR(INDEX(games!$B$2:$B$846,MATCH(connections!$A14,games!$A$2:$A$846,0)),""))</f>
        <v>1994</v>
      </c>
      <c r="U14">
        <f>IF(connections!$A14="","",IFERROR(INDEX(games!$B$2:$B$846,MATCH(connections!$B14,games!$A$2:$A$846,0)),""))</f>
        <v>2022</v>
      </c>
      <c r="V14">
        <f t="shared" si="11"/>
        <v>28</v>
      </c>
    </row>
    <row r="15" spans="1:22" x14ac:dyDescent="0.25">
      <c r="A15" t="str">
        <f>IF(games!$A15="","",games!$A15)</f>
        <v>Abandon Ship</v>
      </c>
      <c r="B15">
        <f>IF($A15="","",games!$B15)</f>
        <v>2019</v>
      </c>
      <c r="C15" t="str">
        <f>IF($A15="","",games!$C15)</f>
        <v>Strategy</v>
      </c>
      <c r="D15">
        <f>IF($A15="","",COUNTIF(connections!$A$2:$A$1205,$A15)+COUNTIF(connections!$B$2:$B$1205,$A15))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IF(connections!$A15="","",IFERROR(INDEX(games!$B$2:$B$846,MATCH(connections!$A15,games!$A$2:$A$846,0)),""))</f>
        <v>1994</v>
      </c>
      <c r="U15">
        <f>IF(connections!$A15="","",IFERROR(INDEX(games!$B$2:$B$846,MATCH(connections!$B15,games!$A$2:$A$846,0)),""))</f>
        <v>2012</v>
      </c>
      <c r="V15">
        <f t="shared" si="11"/>
        <v>18</v>
      </c>
    </row>
    <row r="16" spans="1:22" x14ac:dyDescent="0.25">
      <c r="A16" t="str">
        <f>IF(games!$A16="","",games!$A16)</f>
        <v>Abandoned Archive</v>
      </c>
      <c r="B16">
        <f>IF($A16="","",games!$B16)</f>
        <v>2025</v>
      </c>
      <c r="C16" t="str">
        <f>IF($A16="","",games!$C16)</f>
        <v>Action</v>
      </c>
      <c r="D16">
        <f>IF($A16="","",COUNTIF(connections!$A$2:$A$1205,$A16)+COUNTIF(connections!$B$2:$B$1205,$A16))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IF(connections!$A16="","",IFERROR(INDEX(games!$B$2:$B$846,MATCH(connections!$A16,games!$A$2:$A$846,0)),""))</f>
        <v>1994</v>
      </c>
      <c r="U16">
        <f>IF(connections!$A16="","",IFERROR(INDEX(games!$B$2:$B$846,MATCH(connections!$B16,games!$A$2:$A$846,0)),""))</f>
        <v>2007</v>
      </c>
      <c r="V16">
        <f t="shared" si="11"/>
        <v>13</v>
      </c>
    </row>
    <row r="17" spans="1:22" x14ac:dyDescent="0.25">
      <c r="A17" t="str">
        <f>IF(games!$A17="","",games!$A17)</f>
        <v>Absolum</v>
      </c>
      <c r="B17">
        <f>IF($A17="","",games!$B17)</f>
        <v>2025</v>
      </c>
      <c r="C17" t="str">
        <f>IF($A17="","",games!$C17)</f>
        <v>Action</v>
      </c>
      <c r="D17">
        <f>IF($A17="","",COUNTIF(connections!$A$2:$A$1205,$A17)+COUNTIF(connections!$B$2:$B$1205,$A17))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IF(connections!$A17="","",IFERROR(INDEX(games!$B$2:$B$846,MATCH(connections!$A17,games!$A$2:$A$846,0)),""))</f>
        <v>1994</v>
      </c>
      <c r="U17">
        <f>IF(connections!$A17="","",IFERROR(INDEX(games!$B$2:$B$846,MATCH(connections!$B17,games!$A$2:$A$846,0)),""))</f>
        <v>2015</v>
      </c>
      <c r="V17">
        <f t="shared" si="11"/>
        <v>21</v>
      </c>
    </row>
    <row r="18" spans="1:22" x14ac:dyDescent="0.25">
      <c r="A18" t="str">
        <f>IF(games!$A18="","",games!$A18)</f>
        <v>Aces &amp; Adventures</v>
      </c>
      <c r="B18">
        <f>IF($A18="","",games!$B18)</f>
        <v>2023</v>
      </c>
      <c r="C18" t="str">
        <f>IF($A18="","",games!$C18)</f>
        <v>Deckbuilder</v>
      </c>
      <c r="D18">
        <f>IF($A18="","",COUNTIF(connections!$A$2:$A$1205,$A18)+COUNTIF(connections!$B$2:$B$1205,$A18))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IF(connections!$A18="","",IFERROR(INDEX(games!$B$2:$B$846,MATCH(connections!$A18,games!$A$2:$A$846,0)),""))</f>
        <v>1994</v>
      </c>
      <c r="U18">
        <f>IF(connections!$A18="","",IFERROR(INDEX(games!$B$2:$B$846,MATCH(connections!$B18,games!$A$2:$A$846,0)),""))</f>
        <v>2006</v>
      </c>
      <c r="V18">
        <f t="shared" si="11"/>
        <v>12</v>
      </c>
    </row>
    <row r="19" spans="1:22" x14ac:dyDescent="0.25">
      <c r="A19" t="str">
        <f>IF(games!$A19="","",games!$A19)</f>
        <v>Across the Obelisk</v>
      </c>
      <c r="B19">
        <f>IF($A19="","",games!$B19)</f>
        <v>2021</v>
      </c>
      <c r="C19" t="str">
        <f>IF($A19="","",games!$C19)</f>
        <v>Deckbuilder</v>
      </c>
      <c r="D19">
        <f>IF($A19="","",COUNTIF(connections!$A$2:$A$1205,$A19)+COUNTIF(connections!$B$2:$B$1205,$A19))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IF(connections!$A19="","",IFERROR(INDEX(games!$B$2:$B$846,MATCH(connections!$A19,games!$A$2:$A$846,0)),""))</f>
        <v>1994</v>
      </c>
      <c r="U19">
        <f>IF(connections!$A19="","",IFERROR(INDEX(games!$B$2:$B$846,MATCH(connections!$B19,games!$A$2:$A$846,0)),""))</f>
        <v>2023</v>
      </c>
      <c r="V19">
        <f t="shared" si="11"/>
        <v>29</v>
      </c>
    </row>
    <row r="20" spans="1:22" x14ac:dyDescent="0.25">
      <c r="A20" t="str">
        <f>IF(games!$A20="","",games!$A20)</f>
        <v>Aethermancer</v>
      </c>
      <c r="B20">
        <f>IF($A20="","",games!$B20)</f>
        <v>2025</v>
      </c>
      <c r="C20" t="str">
        <f>IF($A20="","",games!$C20)</f>
        <v>Strategy</v>
      </c>
      <c r="D20">
        <f>IF($A20="","",COUNTIF(connections!$A$2:$A$1205,$A20)+COUNTIF(connections!$B$2:$B$1205,$A20))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IF(connections!$A20="","",IFERROR(INDEX(games!$B$2:$B$846,MATCH(connections!$A20,games!$A$2:$A$846,0)),""))</f>
        <v>1994</v>
      </c>
      <c r="U20">
        <f>IF(connections!$A20="","",IFERROR(INDEX(games!$B$2:$B$846,MATCH(connections!$B20,games!$A$2:$A$846,0)),""))</f>
        <v>2003</v>
      </c>
      <c r="V20">
        <f t="shared" si="11"/>
        <v>9</v>
      </c>
    </row>
    <row r="21" spans="1:22" x14ac:dyDescent="0.25">
      <c r="A21" t="str">
        <f>IF(games!$A21="","",games!$A21)</f>
        <v>AK-xolotl</v>
      </c>
      <c r="B21">
        <f>IF($A21="","",games!$B21)</f>
        <v>2023</v>
      </c>
      <c r="C21" t="str">
        <f>IF($A21="","",games!$C21)</f>
        <v>Action</v>
      </c>
      <c r="D21">
        <f>IF($A21="","",COUNTIF(connections!$A$2:$A$1205,$A21)+COUNTIF(connections!$B$2:$B$1205,$A21))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IF(connections!$A21="","",IFERROR(INDEX(games!$B$2:$B$846,MATCH(connections!$A21,games!$A$2:$A$846,0)),""))</f>
        <v>1994</v>
      </c>
      <c r="U21">
        <f>IF(connections!$A21="","",IFERROR(INDEX(games!$B$2:$B$846,MATCH(connections!$B21,games!$A$2:$A$846,0)),""))</f>
        <v>2019</v>
      </c>
      <c r="V21">
        <f t="shared" si="11"/>
        <v>25</v>
      </c>
    </row>
    <row r="22" spans="1:22" x14ac:dyDescent="0.25">
      <c r="A22" t="str">
        <f>IF(games!$A22="","",games!$A22)</f>
        <v>Alina of the Arena</v>
      </c>
      <c r="B22">
        <f>IF($A22="","",games!$B22)</f>
        <v>2022</v>
      </c>
      <c r="C22" t="str">
        <f>IF($A22="","",games!$C22)</f>
        <v>Deckbuilder</v>
      </c>
      <c r="D22">
        <f>IF($A22="","",COUNTIF(connections!$A$2:$A$1205,$A22)+COUNTIF(connections!$B$2:$B$1205,$A22))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IF(connections!$A22="","",IFERROR(INDEX(games!$B$2:$B$846,MATCH(connections!$A22,games!$A$2:$A$846,0)),""))</f>
        <v>1994</v>
      </c>
      <c r="U22">
        <f>IF(connections!$A22="","",IFERROR(INDEX(games!$B$2:$B$846,MATCH(connections!$B22,games!$A$2:$A$846,0)),""))</f>
        <v>2015</v>
      </c>
      <c r="V22">
        <f t="shared" si="11"/>
        <v>21</v>
      </c>
    </row>
    <row r="23" spans="1:22" x14ac:dyDescent="0.25">
      <c r="A23" t="str">
        <f>IF(games!$A23="","",games!$A23)</f>
        <v>An Amazing Wizard</v>
      </c>
      <c r="B23">
        <f>IF($A23="","",games!$B23)</f>
        <v>2025</v>
      </c>
      <c r="C23" t="str">
        <f>IF($A23="","",games!$C23)</f>
        <v>Action</v>
      </c>
      <c r="D23">
        <f>IF($A23="","",COUNTIF(connections!$A$2:$A$1205,$A23)+COUNTIF(connections!$B$2:$B$1205,$A23))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IF(connections!$A23="","",IFERROR(INDEX(games!$B$2:$B$846,MATCH(connections!$A23,games!$A$2:$A$846,0)),""))</f>
        <v>1994</v>
      </c>
      <c r="U23">
        <f>IF(connections!$A23="","",IFERROR(INDEX(games!$B$2:$B$846,MATCH(connections!$B23,games!$A$2:$A$846,0)),""))</f>
        <v>2022</v>
      </c>
      <c r="V23">
        <f t="shared" si="11"/>
        <v>28</v>
      </c>
    </row>
    <row r="24" spans="1:22" x14ac:dyDescent="0.25">
      <c r="A24" t="str">
        <f>IF(games!$A24="","",games!$A24)</f>
        <v>Ancient Domains of Mystery</v>
      </c>
      <c r="B24">
        <f>IF($A24="","",games!$B24)</f>
        <v>1994</v>
      </c>
      <c r="C24" t="str">
        <f>IF($A24="","",games!$C24)</f>
        <v>Traditional</v>
      </c>
      <c r="D24">
        <f>IF($A24="","",COUNTIF(connections!$A$2:$A$1205,$A24)+COUNTIF(connections!$B$2:$B$1205,$A24))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IF(connections!$A24="","",IFERROR(INDEX(games!$B$2:$B$846,MATCH(connections!$A24,games!$A$2:$A$846,0)),""))</f>
        <v>1994</v>
      </c>
      <c r="U24">
        <f>IF(connections!$A24="","",IFERROR(INDEX(games!$B$2:$B$846,MATCH(connections!$B24,games!$A$2:$A$846,0)),""))</f>
        <v>2014</v>
      </c>
      <c r="V24">
        <f t="shared" si="11"/>
        <v>20</v>
      </c>
    </row>
    <row r="25" spans="1:22" x14ac:dyDescent="0.25">
      <c r="A25" t="str">
        <f>IF(games!$A25="","",games!$A25)</f>
        <v>Angband</v>
      </c>
      <c r="B25">
        <f>IF($A25="","",games!$B25)</f>
        <v>1990</v>
      </c>
      <c r="C25" t="str">
        <f>IF($A25="","",games!$C25)</f>
        <v>Traditional</v>
      </c>
      <c r="D25">
        <f>IF($A25="","",COUNTIF(connections!$A$2:$A$1205,$A25)+COUNTIF(connections!$B$2:$B$1205,$A25))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IF(connections!$A25="","",IFERROR(INDEX(games!$B$2:$B$846,MATCH(connections!$A25,games!$A$2:$A$846,0)),""))</f>
        <v>1994</v>
      </c>
      <c r="U25">
        <f>IF(connections!$A25="","",IFERROR(INDEX(games!$B$2:$B$846,MATCH(connections!$B25,games!$A$2:$A$846,0)),""))</f>
        <v>2020</v>
      </c>
      <c r="V25">
        <f t="shared" si="11"/>
        <v>26</v>
      </c>
    </row>
    <row r="26" spans="1:22" x14ac:dyDescent="0.25">
      <c r="A26" t="str">
        <f>IF(games!$A26="","",games!$A26)</f>
        <v>Another Farm Roguelike</v>
      </c>
      <c r="B26">
        <f>IF($A26="","",games!$B26)</f>
        <v>2022</v>
      </c>
      <c r="C26" t="str">
        <f>IF($A26="","",games!$C26)</f>
        <v>Strategy</v>
      </c>
      <c r="D26">
        <f>IF($A26="","",COUNTIF(connections!$A$2:$A$1205,$A26)+COUNTIF(connections!$B$2:$B$1205,$A26))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IF(connections!$A26="","",IFERROR(INDEX(games!$B$2:$B$846,MATCH(connections!$A26,games!$A$2:$A$846,0)),""))</f>
        <v>1994</v>
      </c>
      <c r="U26">
        <f>IF(connections!$A26="","",IFERROR(INDEX(games!$B$2:$B$846,MATCH(connections!$B26,games!$A$2:$A$846,0)),""))</f>
        <v>2021</v>
      </c>
      <c r="V26">
        <f t="shared" si="11"/>
        <v>27</v>
      </c>
    </row>
    <row r="27" spans="1:22" x14ac:dyDescent="0.25">
      <c r="A27" t="str">
        <f>IF(games!$A27="","",games!$A27)</f>
        <v>Another Farm Roguelike: Rebirth</v>
      </c>
      <c r="B27">
        <f>IF($A27="","",games!$B27)</f>
        <v>2025</v>
      </c>
      <c r="C27" t="str">
        <f>IF($A27="","",games!$C27)</f>
        <v>Strategy</v>
      </c>
      <c r="D27">
        <f>IF($A27="","",COUNTIF(connections!$A$2:$A$1205,$A27)+COUNTIF(connections!$B$2:$B$1205,$A27))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IF(connections!$A27="","",IFERROR(INDEX(games!$B$2:$B$846,MATCH(connections!$A27,games!$A$2:$A$846,0)),""))</f>
        <v>1990</v>
      </c>
      <c r="U27">
        <f>IF(connections!$A27="","",IFERROR(INDEX(games!$B$2:$B$846,MATCH(connections!$B27,games!$A$2:$A$846,0)),""))</f>
        <v>2010</v>
      </c>
      <c r="V27">
        <f t="shared" si="11"/>
        <v>20</v>
      </c>
    </row>
    <row r="28" spans="1:22" x14ac:dyDescent="0.25">
      <c r="A28" t="str">
        <f>IF(games!$A28="","",games!$A28)</f>
        <v>Aotenjo: Infinite Hands</v>
      </c>
      <c r="B28">
        <f>IF($A28="","",games!$B28)</f>
        <v>2024</v>
      </c>
      <c r="C28" t="str">
        <f>IF($A28="","",games!$C28)</f>
        <v>Deckbuilder</v>
      </c>
      <c r="D28">
        <f>IF($A28="","",COUNTIF(connections!$A$2:$A$1205,$A28)+COUNTIF(connections!$B$2:$B$1205,$A28))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IF(connections!$A28="","",IFERROR(INDEX(games!$B$2:$B$846,MATCH(connections!$A28,games!$A$2:$A$846,0)),""))</f>
        <v>1990</v>
      </c>
      <c r="U28">
        <f>IF(connections!$A28="","",IFERROR(INDEX(games!$B$2:$B$846,MATCH(connections!$B28,games!$A$2:$A$846,0)),""))</f>
        <v>2025</v>
      </c>
      <c r="V28">
        <f t="shared" si="11"/>
        <v>35</v>
      </c>
    </row>
    <row r="29" spans="1:22" x14ac:dyDescent="0.25">
      <c r="A29" t="str">
        <f>IF(games!$A29="","",games!$A29)</f>
        <v>Approaching Infinity</v>
      </c>
      <c r="B29">
        <f>IF($A29="","",games!$B29)</f>
        <v>2020</v>
      </c>
      <c r="C29" t="str">
        <f>IF($A29="","",games!$C29)</f>
        <v>Traditional</v>
      </c>
      <c r="D29">
        <f>IF($A29="","",COUNTIF(connections!$A$2:$A$1205,$A29)+COUNTIF(connections!$B$2:$B$1205,$A29))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IF(connections!$A29="","",IFERROR(INDEX(games!$B$2:$B$846,MATCH(connections!$A29,games!$A$2:$A$846,0)),""))</f>
        <v>1990</v>
      </c>
      <c r="U29">
        <f>IF(connections!$A29="","",IFERROR(INDEX(games!$B$2:$B$846,MATCH(connections!$B29,games!$A$2:$A$846,0)),""))</f>
        <v>1996</v>
      </c>
      <c r="V29">
        <f t="shared" si="11"/>
        <v>6</v>
      </c>
    </row>
    <row r="30" spans="1:22" x14ac:dyDescent="0.25">
      <c r="A30" t="str">
        <f>IF(games!$A30="","",games!$A30)</f>
        <v>Arc Seed</v>
      </c>
      <c r="B30">
        <f>IF($A30="","",games!$B30)</f>
        <v>2024</v>
      </c>
      <c r="C30" t="str">
        <f>IF($A30="","",games!$C30)</f>
        <v>Deckbuilder</v>
      </c>
      <c r="D30">
        <f>IF($A30="","",COUNTIF(connections!$A$2:$A$1205,$A30)+COUNTIF(connections!$B$2:$B$1205,$A30))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IF(connections!$A30="","",IFERROR(INDEX(games!$B$2:$B$846,MATCH(connections!$A30,games!$A$2:$A$846,0)),""))</f>
        <v>1990</v>
      </c>
      <c r="U30">
        <f>IF(connections!$A30="","",IFERROR(INDEX(games!$B$2:$B$846,MATCH(connections!$B30,games!$A$2:$A$846,0)),""))</f>
        <v>2010</v>
      </c>
      <c r="V30">
        <f t="shared" si="11"/>
        <v>20</v>
      </c>
    </row>
    <row r="31" spans="1:22" x14ac:dyDescent="0.25">
      <c r="A31" t="str">
        <f>IF(games!$A31="","",games!$A31)</f>
        <v>Arcane Trigger</v>
      </c>
      <c r="B31">
        <f>IF($A31="","",games!$B31)</f>
        <v>2025</v>
      </c>
      <c r="C31" t="str">
        <f>IF($A31="","",games!$C31)</f>
        <v>Action</v>
      </c>
      <c r="D31">
        <f>IF($A31="","",COUNTIF(connections!$A$2:$A$1205,$A31)+COUNTIF(connections!$B$2:$B$1205,$A31))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IF(connections!$A31="","",IFERROR(INDEX(games!$B$2:$B$846,MATCH(connections!$A31,games!$A$2:$A$846,0)),""))</f>
        <v>1990</v>
      </c>
      <c r="U31">
        <f>IF(connections!$A31="","",IFERROR(INDEX(games!$B$2:$B$846,MATCH(connections!$B31,games!$A$2:$A$846,0)),""))</f>
        <v>2008</v>
      </c>
      <c r="V31">
        <f t="shared" si="11"/>
        <v>18</v>
      </c>
    </row>
    <row r="32" spans="1:22" x14ac:dyDescent="0.25">
      <c r="A32" t="str">
        <f>IF(games!$A32="","",games!$A32)</f>
        <v>Arcanium: Rise of Akhan</v>
      </c>
      <c r="B32">
        <f>IF($A32="","",games!$B32)</f>
        <v>2020</v>
      </c>
      <c r="C32" t="str">
        <f>IF($A32="","",games!$C32)</f>
        <v>Deckbuilder</v>
      </c>
      <c r="D32">
        <f>IF($A32="","",COUNTIF(connections!$A$2:$A$1205,$A32)+COUNTIF(connections!$B$2:$B$1205,$A32))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IF(connections!$A32="","",IFERROR(INDEX(games!$B$2:$B$846,MATCH(connections!$A32,games!$A$2:$A$846,0)),""))</f>
        <v>1990</v>
      </c>
      <c r="U32">
        <f>IF(connections!$A32="","",IFERROR(INDEX(games!$B$2:$B$846,MATCH(connections!$B32,games!$A$2:$A$846,0)),""))</f>
        <v>2007</v>
      </c>
      <c r="V32">
        <f t="shared" si="11"/>
        <v>17</v>
      </c>
    </row>
    <row r="33" spans="1:22" x14ac:dyDescent="0.25">
      <c r="A33" t="str">
        <f>IF(games!$A33="","",games!$A33)</f>
        <v>Archon Soul</v>
      </c>
      <c r="B33">
        <f>IF($A33="","",games!$B33)</f>
        <v>2026</v>
      </c>
      <c r="C33" t="str">
        <f>IF($A33="","",games!$C33)</f>
        <v>Deckbuilder</v>
      </c>
      <c r="D33">
        <f>IF($A33="","",COUNTIF(connections!$A$2:$A$1205,$A33)+COUNTIF(connections!$B$2:$B$1205,$A33))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IF(connections!$A33="","",IFERROR(INDEX(games!$B$2:$B$846,MATCH(connections!$A33,games!$A$2:$A$846,0)),""))</f>
        <v>1990</v>
      </c>
      <c r="U33">
        <f>IF(connections!$A33="","",IFERROR(INDEX(games!$B$2:$B$846,MATCH(connections!$B33,games!$A$2:$A$846,0)),""))</f>
        <v>2011</v>
      </c>
      <c r="V33">
        <f t="shared" si="11"/>
        <v>21</v>
      </c>
    </row>
    <row r="34" spans="1:22" x14ac:dyDescent="0.25">
      <c r="A34" t="str">
        <f>IF(games!$A34="","",games!$A34)</f>
        <v>Archons</v>
      </c>
      <c r="B34">
        <f>IF($A34="","",games!$B34)</f>
        <v>2024</v>
      </c>
      <c r="C34" t="str">
        <f>IF($A34="","",games!$C34)</f>
        <v>Action</v>
      </c>
      <c r="D34">
        <f>IF($A34="","",COUNTIF(connections!$A$2:$A$1205,$A34)+COUNTIF(connections!$B$2:$B$1205,$A34))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IF(connections!$A34="","",IFERROR(INDEX(games!$B$2:$B$846,MATCH(connections!$A34,games!$A$2:$A$846,0)),""))</f>
        <v>1990</v>
      </c>
      <c r="U34">
        <f>IF(connections!$A34="","",IFERROR(INDEX(games!$B$2:$B$846,MATCH(connections!$B34,games!$A$2:$A$846,0)),""))</f>
        <v>2006</v>
      </c>
      <c r="V34">
        <f t="shared" si="11"/>
        <v>16</v>
      </c>
    </row>
    <row r="35" spans="1:22" x14ac:dyDescent="0.25">
      <c r="A35" t="str">
        <f>IF(games!$A35="","",games!$A35)</f>
        <v>Army of Ruin</v>
      </c>
      <c r="B35">
        <f>IF($A35="","",games!$B35)</f>
        <v>2022</v>
      </c>
      <c r="C35" t="str">
        <f>IF($A35="","",games!$C35)</f>
        <v>Action</v>
      </c>
      <c r="D35">
        <f>IF($A35="","",COUNTIF(connections!$A$2:$A$1205,$A35)+COUNTIF(connections!$B$2:$B$1205,$A35))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IF(connections!$A35="","",IFERROR(INDEX(games!$B$2:$B$846,MATCH(connections!$A35,games!$A$2:$A$846,0)),""))</f>
        <v>1990</v>
      </c>
      <c r="U35">
        <f>IF(connections!$A35="","",IFERROR(INDEX(games!$B$2:$B$846,MATCH(connections!$B35,games!$A$2:$A$846,0)),""))</f>
        <v>2003</v>
      </c>
      <c r="V35">
        <f t="shared" si="11"/>
        <v>13</v>
      </c>
    </row>
    <row r="36" spans="1:22" x14ac:dyDescent="0.25">
      <c r="A36" t="str">
        <f>IF(games!$A36="","",games!$A36)</f>
        <v>Arrogue</v>
      </c>
      <c r="B36">
        <f>IF($A36="","",games!$B36)</f>
        <v>2025</v>
      </c>
      <c r="C36" t="str">
        <f>IF($A36="","",games!$C36)</f>
        <v>Deckbuilder</v>
      </c>
      <c r="D36">
        <f>IF($A36="","",COUNTIF(connections!$A$2:$A$1205,$A36)+COUNTIF(connections!$B$2:$B$1205,$A36))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IF(connections!$A36="","",IFERROR(INDEX(games!$B$2:$B$846,MATCH(connections!$A36,games!$A$2:$A$846,0)),""))</f>
        <v>1990</v>
      </c>
      <c r="U36">
        <f>IF(connections!$A36="","",IFERROR(INDEX(games!$B$2:$B$846,MATCH(connections!$B36,games!$A$2:$A$846,0)),""))</f>
        <v>2012</v>
      </c>
      <c r="V36">
        <f t="shared" si="11"/>
        <v>22</v>
      </c>
    </row>
    <row r="37" spans="1:22" x14ac:dyDescent="0.25">
      <c r="A37" t="str">
        <f>IF(games!$A37="","",games!$A37)</f>
        <v>As We Descend</v>
      </c>
      <c r="B37">
        <f>IF($A37="","",games!$B37)</f>
        <v>2025</v>
      </c>
      <c r="C37" t="str">
        <f>IF($A37="","",games!$C37)</f>
        <v>Deckbuilder</v>
      </c>
      <c r="D37">
        <f>IF($A37="","",COUNTIF(connections!$A$2:$A$1205,$A37)+COUNTIF(connections!$B$2:$B$1205,$A37))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IF(connections!$A37="","",IFERROR(INDEX(games!$B$2:$B$846,MATCH(connections!$A37,games!$A$2:$A$846,0)),""))</f>
        <v>1990</v>
      </c>
      <c r="U37">
        <f>IF(connections!$A37="","",IFERROR(INDEX(games!$B$2:$B$846,MATCH(connections!$B37,games!$A$2:$A$846,0)),""))</f>
        <v>2014</v>
      </c>
      <c r="V37">
        <f t="shared" si="11"/>
        <v>24</v>
      </c>
    </row>
    <row r="38" spans="1:22" x14ac:dyDescent="0.25">
      <c r="A38" t="str">
        <f>IF(games!$A38="","",games!$A38)</f>
        <v>Asgard's Fall: Viking Survivors</v>
      </c>
      <c r="B38">
        <f>IF($A38="","",games!$B38)</f>
        <v>2025</v>
      </c>
      <c r="C38" t="str">
        <f>IF($A38="","",games!$C38)</f>
        <v>Action</v>
      </c>
      <c r="D38">
        <f>IF($A38="","",COUNTIF(connections!$A$2:$A$1205,$A38)+COUNTIF(connections!$B$2:$B$1205,$A38))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IF(connections!$A38="","",IFERROR(INDEX(games!$B$2:$B$846,MATCH(connections!$A38,games!$A$2:$A$846,0)),""))</f>
        <v>1990</v>
      </c>
      <c r="U38">
        <f>IF(connections!$A38="","",IFERROR(INDEX(games!$B$2:$B$846,MATCH(connections!$B38,games!$A$2:$A$846,0)),""))</f>
        <v>1994</v>
      </c>
      <c r="V38">
        <f t="shared" si="11"/>
        <v>4</v>
      </c>
    </row>
    <row r="39" spans="1:22" x14ac:dyDescent="0.25">
      <c r="A39" t="str">
        <f>IF(games!$A39="","",games!$A39)</f>
        <v>Asterogues</v>
      </c>
      <c r="B39">
        <f>IF($A39="","",games!$B39)</f>
        <v>2023</v>
      </c>
      <c r="C39" t="str">
        <f>IF($A39="","",games!$C39)</f>
        <v>Action</v>
      </c>
      <c r="D39">
        <f>IF($A39="","",COUNTIF(connections!$A$2:$A$1205,$A39)+COUNTIF(connections!$B$2:$B$1205,$A39))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IF(connections!$A39="","",IFERROR(INDEX(games!$B$2:$B$846,MATCH(connections!$A39,games!$A$2:$A$846,0)),""))</f>
        <v>1990</v>
      </c>
      <c r="U39">
        <f>IF(connections!$A39="","",IFERROR(INDEX(games!$B$2:$B$846,MATCH(connections!$B39,games!$A$2:$A$846,0)),""))</f>
        <v>2025</v>
      </c>
      <c r="V39">
        <f t="shared" si="11"/>
        <v>35</v>
      </c>
    </row>
    <row r="40" spans="1:22" x14ac:dyDescent="0.25">
      <c r="A40" t="str">
        <f>IF(games!$A40="","",games!$A40)</f>
        <v>Astral Ascent</v>
      </c>
      <c r="B40">
        <f>IF($A40="","",games!$B40)</f>
        <v>2022</v>
      </c>
      <c r="C40" t="str">
        <f>IF($A40="","",games!$C40)</f>
        <v>Action</v>
      </c>
      <c r="D40">
        <f>IF($A40="","",COUNTIF(connections!$A$2:$A$1205,$A40)+COUNTIF(connections!$B$2:$B$1205,$A40))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IF(connections!$A40="","",IFERROR(INDEX(games!$B$2:$B$846,MATCH(connections!$A40,games!$A$2:$A$846,0)),""))</f>
        <v>1990</v>
      </c>
      <c r="U40">
        <f>IF(connections!$A40="","",IFERROR(INDEX(games!$B$2:$B$846,MATCH(connections!$B40,games!$A$2:$A$846,0)),""))</f>
        <v>2022</v>
      </c>
      <c r="V40">
        <f t="shared" si="11"/>
        <v>32</v>
      </c>
    </row>
    <row r="41" spans="1:22" x14ac:dyDescent="0.25">
      <c r="A41" t="str">
        <f>IF(games!$A41="","",games!$A41)</f>
        <v>Astrea: Six-Sided Oracles</v>
      </c>
      <c r="B41">
        <f>IF($A41="","",games!$B41)</f>
        <v>2023</v>
      </c>
      <c r="C41" t="str">
        <f>IF($A41="","",games!$C41)</f>
        <v>Deckbuilder</v>
      </c>
      <c r="D41">
        <f>IF($A41="","",COUNTIF(connections!$A$2:$A$1205,$A41)+COUNTIF(connections!$B$2:$B$1205,$A41))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IF(connections!$A41="","",IFERROR(INDEX(games!$B$2:$B$846,MATCH(connections!$A41,games!$A$2:$A$846,0)),""))</f>
        <v>2022</v>
      </c>
      <c r="U41">
        <f>IF(connections!$A41="","",IFERROR(INDEX(games!$B$2:$B$846,MATCH(connections!$B41,games!$A$2:$A$846,0)),""))</f>
        <v>2025</v>
      </c>
      <c r="V41">
        <f t="shared" si="11"/>
        <v>3</v>
      </c>
    </row>
    <row r="42" spans="1:22" x14ac:dyDescent="0.25">
      <c r="A42" t="str">
        <f>IF(games!$A42="","",games!$A42)</f>
        <v>Astro Prospector</v>
      </c>
      <c r="B42">
        <f>IF($A42="","",games!$B42)</f>
        <v>2025</v>
      </c>
      <c r="C42" t="str">
        <f>IF($A42="","",games!$C42)</f>
        <v>Action</v>
      </c>
      <c r="D42">
        <f>IF($A42="","",COUNTIF(connections!$A$2:$A$1205,$A42)+COUNTIF(connections!$B$2:$B$1205,$A42))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IF(connections!$A42="","",IFERROR(INDEX(games!$B$2:$B$846,MATCH(connections!$A42,games!$A$2:$A$846,0)),""))</f>
        <v>2020</v>
      </c>
      <c r="U42">
        <f>IF(connections!$A42="","",IFERROR(INDEX(games!$B$2:$B$846,MATCH(connections!$B42,games!$A$2:$A$846,0)),""))</f>
        <v>2024</v>
      </c>
      <c r="V42">
        <f t="shared" si="11"/>
        <v>4</v>
      </c>
    </row>
    <row r="43" spans="1:22" x14ac:dyDescent="0.25">
      <c r="A43" t="str">
        <f>IF(games!$A43="","",games!$A43)</f>
        <v>Astronarch</v>
      </c>
      <c r="B43">
        <f>IF($A43="","",games!$B43)</f>
        <v>2020</v>
      </c>
      <c r="C43" t="str">
        <f>IF($A43="","",games!$C43)</f>
        <v>Strategy</v>
      </c>
      <c r="D43">
        <f>IF($A43="","",COUNTIF(connections!$A$2:$A$1205,$A43)+COUNTIF(connections!$B$2:$B$1205,$A43))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IF(connections!$A43="","",IFERROR(INDEX(games!$B$2:$B$846,MATCH(connections!$A43,games!$A$2:$A$846,0)),""))</f>
        <v>2020</v>
      </c>
      <c r="U43">
        <f>IF(connections!$A43="","",IFERROR(INDEX(games!$B$2:$B$846,MATCH(connections!$B43,games!$A$2:$A$846,0)),""))</f>
        <v>2024</v>
      </c>
      <c r="V43">
        <f t="shared" si="11"/>
        <v>4</v>
      </c>
    </row>
    <row r="44" spans="1:22" x14ac:dyDescent="0.25">
      <c r="A44" t="str">
        <f>IF(games!$A44="","",games!$A44)</f>
        <v>Atai no Gensoukyou</v>
      </c>
      <c r="B44">
        <f>IF($A44="","",games!$B44)</f>
        <v>2010</v>
      </c>
      <c r="C44" t="str">
        <f>IF($A44="","",games!$C44)</f>
        <v>Traditional</v>
      </c>
      <c r="D44">
        <f>IF($A44="","",COUNTIF(connections!$A$2:$A$1205,$A44)+COUNTIF(connections!$B$2:$B$1205,$A44))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IF(connections!$A44="","",IFERROR(INDEX(games!$B$2:$B$846,MATCH(connections!$A44,games!$A$2:$A$846,0)),""))</f>
        <v>2014</v>
      </c>
      <c r="U44">
        <f>IF(connections!$A44="","",IFERROR(INDEX(games!$B$2:$B$846,MATCH(connections!$B44,games!$A$2:$A$846,0)),""))</f>
        <v>2024</v>
      </c>
      <c r="V44">
        <f t="shared" si="11"/>
        <v>10</v>
      </c>
    </row>
    <row r="45" spans="1:22" x14ac:dyDescent="0.25">
      <c r="A45" t="str">
        <f>IF(games!$A45="","",games!$A45)</f>
        <v>Atomic Owl</v>
      </c>
      <c r="B45">
        <f>IF($A45="","",games!$B45)</f>
        <v>2025</v>
      </c>
      <c r="C45" t="str">
        <f>IF($A45="","",games!$C45)</f>
        <v>Action</v>
      </c>
      <c r="D45">
        <f>IF($A45="","",COUNTIF(connections!$A$2:$A$1205,$A45)+COUNTIF(connections!$B$2:$B$1205,$A45))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IF(connections!$A45="","",IFERROR(INDEX(games!$B$2:$B$846,MATCH(connections!$A45,games!$A$2:$A$846,0)),""))</f>
        <v>1997</v>
      </c>
      <c r="U45">
        <f>IF(connections!$A45="","",IFERROR(INDEX(games!$B$2:$B$846,MATCH(connections!$B45,games!$A$2:$A$846,0)),""))</f>
        <v>2017</v>
      </c>
      <c r="V45">
        <f t="shared" si="11"/>
        <v>20</v>
      </c>
    </row>
    <row r="46" spans="1:22" x14ac:dyDescent="0.25">
      <c r="A46" t="str">
        <f>IF(games!$A46="","",games!$A46)</f>
        <v>Atomicrops</v>
      </c>
      <c r="B46">
        <f>IF($A46="","",games!$B46)</f>
        <v>2020</v>
      </c>
      <c r="C46" t="str">
        <f>IF($A46="","",games!$C46)</f>
        <v>Action</v>
      </c>
      <c r="D46">
        <f>IF($A46="","",COUNTIF(connections!$A$2:$A$1205,$A46)+COUNTIF(connections!$B$2:$B$1205,$A46))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IF(connections!$A46="","",IFERROR(INDEX(games!$B$2:$B$846,MATCH(connections!$A46,games!$A$2:$A$846,0)),""))</f>
        <v>1997</v>
      </c>
      <c r="U46">
        <f>IF(connections!$A46="","",IFERROR(INDEX(games!$B$2:$B$846,MATCH(connections!$B46,games!$A$2:$A$846,0)),""))</f>
        <v>2006</v>
      </c>
      <c r="V46">
        <f t="shared" si="11"/>
        <v>9</v>
      </c>
    </row>
    <row r="47" spans="1:22" x14ac:dyDescent="0.25">
      <c r="A47" t="str">
        <f>IF(games!$A47="","",games!$A47)</f>
        <v>Auro: A Monster-Bumping Adventure</v>
      </c>
      <c r="B47">
        <f>IF($A47="","",games!$B47)</f>
        <v>2014</v>
      </c>
      <c r="C47" t="str">
        <f>IF($A47="","",games!$C47)</f>
        <v>Strategy</v>
      </c>
      <c r="D47">
        <f>IF($A47="","",COUNTIF(connections!$A$2:$A$1205,$A47)+COUNTIF(connections!$B$2:$B$1205,$A47))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IF(connections!$A47="","",IFERROR(INDEX(games!$B$2:$B$846,MATCH(connections!$A47,games!$A$2:$A$846,0)),""))</f>
        <v>2023</v>
      </c>
      <c r="U47">
        <f>IF(connections!$A47="","",IFERROR(INDEX(games!$B$2:$B$846,MATCH(connections!$B47,games!$A$2:$A$846,0)),""))</f>
        <v>2025</v>
      </c>
      <c r="V47">
        <f t="shared" si="11"/>
        <v>2</v>
      </c>
    </row>
    <row r="48" spans="1:22" x14ac:dyDescent="0.25">
      <c r="A48" t="str">
        <f>IF(games!$A48="","",games!$A48)</f>
        <v>Auto Rogue</v>
      </c>
      <c r="B48">
        <f>IF($A48="","",games!$B48)</f>
        <v>2025</v>
      </c>
      <c r="C48" t="str">
        <f>IF($A48="","",games!$C48)</f>
        <v>Strategy</v>
      </c>
      <c r="D48">
        <f>IF($A48="","",COUNTIF(connections!$A$2:$A$1205,$A48)+COUNTIF(connections!$B$2:$B$1205,$A48))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IF(connections!$A48="","",IFERROR(INDEX(games!$B$2:$B$846,MATCH(connections!$A48,games!$A$2:$A$846,0)),""))</f>
        <v>2023</v>
      </c>
      <c r="U48">
        <f>IF(connections!$A48="","",IFERROR(INDEX(games!$B$2:$B$846,MATCH(connections!$B48,games!$A$2:$A$846,0)),""))</f>
        <v>2025</v>
      </c>
      <c r="V48">
        <f t="shared" si="11"/>
        <v>2</v>
      </c>
    </row>
    <row r="49" spans="1:22" x14ac:dyDescent="0.25">
      <c r="A49" t="str">
        <f>IF(games!$A49="","",games!$A49)</f>
        <v>Azure Dreams</v>
      </c>
      <c r="B49">
        <f>IF($A49="","",games!$B49)</f>
        <v>1997</v>
      </c>
      <c r="C49" t="str">
        <f>IF($A49="","",games!$C49)</f>
        <v>Traditional</v>
      </c>
      <c r="D49">
        <f>IF($A49="","",COUNTIF(connections!$A$2:$A$1205,$A49)+COUNTIF(connections!$B$2:$B$1205,$A49))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IF(connections!$A49="","",IFERROR(INDEX(games!$B$2:$B$846,MATCH(connections!$A49,games!$A$2:$A$846,0)),""))</f>
        <v>2023</v>
      </c>
      <c r="U49">
        <f>IF(connections!$A49="","",IFERROR(INDEX(games!$B$2:$B$846,MATCH(connections!$B49,games!$A$2:$A$846,0)),""))</f>
        <v>2025</v>
      </c>
      <c r="V49">
        <f t="shared" si="11"/>
        <v>2</v>
      </c>
    </row>
    <row r="50" spans="1:22" x14ac:dyDescent="0.25">
      <c r="A50" t="str">
        <f>IF(games!$A50="","",games!$A50)</f>
        <v>Backpack Battles</v>
      </c>
      <c r="B50">
        <f>IF($A50="","",games!$B50)</f>
        <v>2023</v>
      </c>
      <c r="C50" t="str">
        <f>IF($A50="","",games!$C50)</f>
        <v>Strategy</v>
      </c>
      <c r="D50">
        <f>IF($A50="","",COUNTIF(connections!$A$2:$A$1205,$A50)+COUNTIF(connections!$B$2:$B$1205,$A50))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IF(connections!$A50="","",IFERROR(INDEX(games!$B$2:$B$846,MATCH(connections!$A50,games!$A$2:$A$846,0)),""))</f>
        <v>2023</v>
      </c>
      <c r="U50">
        <f>IF(connections!$A50="","",IFERROR(INDEX(games!$B$2:$B$846,MATCH(connections!$B50,games!$A$2:$A$846,0)),""))</f>
        <v>2026</v>
      </c>
      <c r="V50">
        <f t="shared" si="11"/>
        <v>3</v>
      </c>
    </row>
    <row r="51" spans="1:22" x14ac:dyDescent="0.25">
      <c r="A51" t="str">
        <f>IF(games!$A51="","",games!$A51)</f>
        <v>Backpack Hero</v>
      </c>
      <c r="B51">
        <f>IF($A51="","",games!$B51)</f>
        <v>2022</v>
      </c>
      <c r="C51" t="str">
        <f>IF($A51="","",games!$C51)</f>
        <v>Deckbuilder</v>
      </c>
      <c r="D51">
        <f>IF($A51="","",COUNTIF(connections!$A$2:$A$1205,$A51)+COUNTIF(connections!$B$2:$B$1205,$A51))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IF(connections!$A51="","",IFERROR(INDEX(games!$B$2:$B$846,MATCH(connections!$A51,games!$A$2:$A$846,0)),""))</f>
        <v>2023</v>
      </c>
      <c r="U51">
        <f>IF(connections!$A51="","",IFERROR(INDEX(games!$B$2:$B$846,MATCH(connections!$B51,games!$A$2:$A$846,0)),""))</f>
        <v>2025</v>
      </c>
      <c r="V51">
        <f t="shared" si="11"/>
        <v>2</v>
      </c>
    </row>
    <row r="52" spans="1:22" x14ac:dyDescent="0.25">
      <c r="A52" t="str">
        <f>IF(games!$A52="","",games!$A52)</f>
        <v>Bad North</v>
      </c>
      <c r="B52">
        <f>IF($A52="","",games!$B52)</f>
        <v>2018</v>
      </c>
      <c r="C52" t="str">
        <f>IF($A52="","",games!$C52)</f>
        <v>Strategy</v>
      </c>
      <c r="D52">
        <f>IF($A52="","",COUNTIF(connections!$A$2:$A$1205,$A52)+COUNTIF(connections!$B$2:$B$1205,$A52))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IF(connections!$A52="","",IFERROR(INDEX(games!$B$2:$B$846,MATCH(connections!$A52,games!$A$2:$A$846,0)),""))</f>
        <v>2023</v>
      </c>
      <c r="U52">
        <f>IF(connections!$A52="","",IFERROR(INDEX(games!$B$2:$B$846,MATCH(connections!$B52,games!$A$2:$A$846,0)),""))</f>
        <v>2026</v>
      </c>
      <c r="V52">
        <f t="shared" si="11"/>
        <v>3</v>
      </c>
    </row>
    <row r="53" spans="1:22" x14ac:dyDescent="0.25">
      <c r="A53" t="str">
        <f>IF(games!$A53="","",games!$A53)</f>
        <v>Balatro</v>
      </c>
      <c r="B53">
        <f>IF($A53="","",games!$B53)</f>
        <v>2023</v>
      </c>
      <c r="C53" t="str">
        <f>IF($A53="","",games!$C53)</f>
        <v>Deckbuilder</v>
      </c>
      <c r="D53">
        <f>IF($A53="","",COUNTIF(connections!$A$2:$A$1205,$A53)+COUNTIF(connections!$B$2:$B$1205,$A53))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IF(connections!$A53="","",IFERROR(INDEX(games!$B$2:$B$846,MATCH(connections!$A53,games!$A$2:$A$846,0)),""))</f>
        <v>2022</v>
      </c>
      <c r="U53">
        <f>IF(connections!$A53="","",IFERROR(INDEX(games!$B$2:$B$846,MATCH(connections!$B53,games!$A$2:$A$846,0)),""))</f>
        <v>2023</v>
      </c>
      <c r="V53">
        <f t="shared" si="11"/>
        <v>1</v>
      </c>
    </row>
    <row r="54" spans="1:22" x14ac:dyDescent="0.25">
      <c r="A54" t="str">
        <f>IF(games!$A54="","",games!$A54)</f>
        <v>Baldi's Basics Plus</v>
      </c>
      <c r="B54">
        <f>IF($A54="","",games!$B54)</f>
        <v>2020</v>
      </c>
      <c r="C54" t="str">
        <f>IF($A54="","",games!$C54)</f>
        <v>Strategy</v>
      </c>
      <c r="D54">
        <f>IF($A54="","",COUNTIF(connections!$A$2:$A$1205,$A54)+COUNTIF(connections!$B$2:$B$1205,$A54))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IF(connections!$A54="","",IFERROR(INDEX(games!$B$2:$B$846,MATCH(connections!$A54,games!$A$2:$A$846,0)),""))</f>
        <v>2022</v>
      </c>
      <c r="U54">
        <f>IF(connections!$A54="","",IFERROR(INDEX(games!$B$2:$B$846,MATCH(connections!$B54,games!$A$2:$A$846,0)),""))</f>
        <v>2024</v>
      </c>
      <c r="V54">
        <f t="shared" si="11"/>
        <v>2</v>
      </c>
    </row>
    <row r="55" spans="1:22" x14ac:dyDescent="0.25">
      <c r="A55" t="str">
        <f>IF(games!$A55="","",games!$A55)</f>
        <v>Ball x Pit</v>
      </c>
      <c r="B55">
        <f>IF($A55="","",games!$B55)</f>
        <v>2025</v>
      </c>
      <c r="C55" t="str">
        <f>IF($A55="","",games!$C55)</f>
        <v>Action</v>
      </c>
      <c r="D55">
        <f>IF($A55="","",COUNTIF(connections!$A$2:$A$1205,$A55)+COUNTIF(connections!$B$2:$B$1205,$A55))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IF(connections!$A55="","",IFERROR(INDEX(games!$B$2:$B$846,MATCH(connections!$A55,games!$A$2:$A$846,0)),""))</f>
        <v>2022</v>
      </c>
      <c r="U55">
        <f>IF(connections!$A55="","",IFERROR(INDEX(games!$B$2:$B$846,MATCH(connections!$B55,games!$A$2:$A$846,0)),""))</f>
        <v>2024</v>
      </c>
      <c r="V55">
        <f t="shared" si="11"/>
        <v>2</v>
      </c>
    </row>
    <row r="56" spans="1:22" x14ac:dyDescent="0.25">
      <c r="A56" t="str">
        <f>IF(games!$A56="","",games!$A56)</f>
        <v>Ballionaire</v>
      </c>
      <c r="B56">
        <f>IF($A56="","",games!$B56)</f>
        <v>2024</v>
      </c>
      <c r="C56" t="str">
        <f>IF($A56="","",games!$C56)</f>
        <v>Deckbuilder</v>
      </c>
      <c r="D56">
        <f>IF($A56="","",COUNTIF(connections!$A$2:$A$1205,$A56)+COUNTIF(connections!$B$2:$B$1205,$A56))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IF(connections!$A56="","",IFERROR(INDEX(games!$B$2:$B$846,MATCH(connections!$A56,games!$A$2:$A$846,0)),""))</f>
        <v>2022</v>
      </c>
      <c r="U56">
        <f>IF(connections!$A56="","",IFERROR(INDEX(games!$B$2:$B$846,MATCH(connections!$B56,games!$A$2:$A$846,0)),""))</f>
        <v>2024</v>
      </c>
      <c r="V56">
        <f t="shared" si="11"/>
        <v>2</v>
      </c>
    </row>
    <row r="57" spans="1:22" x14ac:dyDescent="0.25">
      <c r="A57" t="str">
        <f>IF(games!$A57="","",games!$A57)</f>
        <v>Banners of Ruin</v>
      </c>
      <c r="B57">
        <f>IF($A57="","",games!$B57)</f>
        <v>2020</v>
      </c>
      <c r="C57" t="str">
        <f>IF($A57="","",games!$C57)</f>
        <v>Deckbuilder</v>
      </c>
      <c r="D57">
        <f>IF($A57="","",COUNTIF(connections!$A$2:$A$1205,$A57)+COUNTIF(connections!$B$2:$B$1205,$A57))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IF(connections!$A57="","",IFERROR(INDEX(games!$B$2:$B$846,MATCH(connections!$A57,games!$A$2:$A$846,0)),""))</f>
        <v>2018</v>
      </c>
      <c r="U57">
        <f>IF(connections!$A57="","",IFERROR(INDEX(games!$B$2:$B$846,MATCH(connections!$B57,games!$A$2:$A$846,0)),""))</f>
        <v>2026</v>
      </c>
      <c r="V57">
        <f t="shared" si="11"/>
        <v>8</v>
      </c>
    </row>
    <row r="58" spans="1:22" x14ac:dyDescent="0.25">
      <c r="A58" t="str">
        <f>IF(games!$A58="","",games!$A58)</f>
        <v>Barda</v>
      </c>
      <c r="B58">
        <f>IF($A58="","",games!$B58)</f>
        <v>2026</v>
      </c>
      <c r="C58" t="str">
        <f>IF($A58="","",games!$C58)</f>
        <v>Strategy</v>
      </c>
      <c r="D58">
        <f>IF($A58="","",COUNTIF(connections!$A$2:$A$1205,$A58)+COUNTIF(connections!$B$2:$B$1205,$A58))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IF(connections!$A58="","",IFERROR(INDEX(games!$B$2:$B$846,MATCH(connections!$A58,games!$A$2:$A$846,0)),""))</f>
        <v>2023</v>
      </c>
      <c r="U58">
        <f>IF(connections!$A58="","",IFERROR(INDEX(games!$B$2:$B$846,MATCH(connections!$B58,games!$A$2:$A$846,0)),""))</f>
        <v>2024</v>
      </c>
      <c r="V58">
        <f t="shared" si="11"/>
        <v>1</v>
      </c>
    </row>
    <row r="59" spans="1:22" x14ac:dyDescent="0.25">
      <c r="A59" t="str">
        <f>IF(games!$A59="","",games!$A59)</f>
        <v>Barony</v>
      </c>
      <c r="B59">
        <f>IF($A59="","",games!$B59)</f>
        <v>2015</v>
      </c>
      <c r="C59" t="str">
        <f>IF($A59="","",games!$C59)</f>
        <v>Action</v>
      </c>
      <c r="D59">
        <f>IF($A59="","",COUNTIF(connections!$A$2:$A$1205,$A59)+COUNTIF(connections!$B$2:$B$1205,$A59))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IF(connections!$A59="","",IFERROR(INDEX(games!$B$2:$B$846,MATCH(connections!$A59,games!$A$2:$A$846,0)),""))</f>
        <v>2023</v>
      </c>
      <c r="U59">
        <f>IF(connections!$A59="","",IFERROR(INDEX(games!$B$2:$B$846,MATCH(connections!$B59,games!$A$2:$A$846,0)),""))</f>
        <v>2025</v>
      </c>
      <c r="V59">
        <f t="shared" si="11"/>
        <v>2</v>
      </c>
    </row>
    <row r="60" spans="1:22" x14ac:dyDescent="0.25">
      <c r="A60" t="str">
        <f>IF(games!$A60="","",games!$A60)</f>
        <v>Baroque</v>
      </c>
      <c r="B60">
        <f>IF($A60="","",games!$B60)</f>
        <v>1998</v>
      </c>
      <c r="C60" t="str">
        <f>IF($A60="","",games!$C60)</f>
        <v>Action</v>
      </c>
      <c r="D60">
        <f>IF($A60="","",COUNTIF(connections!$A$2:$A$1205,$A60)+COUNTIF(connections!$B$2:$B$1205,$A60))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IF(connections!$A60="","",IFERROR(INDEX(games!$B$2:$B$846,MATCH(connections!$A60,games!$A$2:$A$846,0)),""))</f>
        <v>2023</v>
      </c>
      <c r="U60">
        <f>IF(connections!$A60="","",IFERROR(INDEX(games!$B$2:$B$846,MATCH(connections!$B60,games!$A$2:$A$846,0)),""))</f>
        <v>2026</v>
      </c>
      <c r="V60">
        <f t="shared" si="11"/>
        <v>3</v>
      </c>
    </row>
    <row r="61" spans="1:22" x14ac:dyDescent="0.25">
      <c r="A61" t="str">
        <f>IF(games!$A61="","",games!$A61)</f>
        <v>Baroque (2007)</v>
      </c>
      <c r="B61">
        <f>IF($A61="","",games!$B61)</f>
        <v>2007</v>
      </c>
      <c r="C61" t="str">
        <f>IF($A61="","",games!$C61)</f>
        <v>Action</v>
      </c>
      <c r="D61">
        <f>IF($A61="","",COUNTIF(connections!$A$2:$A$1205,$A61)+COUNTIF(connections!$B$2:$B$1205,$A61))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IF(connections!$A61="","",IFERROR(INDEX(games!$B$2:$B$846,MATCH(connections!$A61,games!$A$2:$A$846,0)),""))</f>
        <v>2023</v>
      </c>
      <c r="U61">
        <f>IF(connections!$A61="","",IFERROR(INDEX(games!$B$2:$B$846,MATCH(connections!$B61,games!$A$2:$A$846,0)),""))</f>
        <v>2024</v>
      </c>
      <c r="V61">
        <f t="shared" si="11"/>
        <v>1</v>
      </c>
    </row>
    <row r="62" spans="1:22" x14ac:dyDescent="0.25">
      <c r="A62" t="str">
        <f>IF(games!$A62="","",games!$A62)</f>
        <v>Battle Brothers</v>
      </c>
      <c r="B62">
        <f>IF($A62="","",games!$B62)</f>
        <v>2017</v>
      </c>
      <c r="C62" t="str">
        <f>IF($A62="","",games!$C62)</f>
        <v>Strategy</v>
      </c>
      <c r="D62">
        <f>IF($A62="","",COUNTIF(connections!$A$2:$A$1205,$A62)+COUNTIF(connections!$B$2:$B$1205,$A62))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IF(connections!$A62="","",IFERROR(INDEX(games!$B$2:$B$846,MATCH(connections!$A62,games!$A$2:$A$846,0)),""))</f>
        <v>2023</v>
      </c>
      <c r="U62">
        <f>IF(connections!$A62="","",IFERROR(INDEX(games!$B$2:$B$846,MATCH(connections!$B62,games!$A$2:$A$846,0)),""))</f>
        <v>2026</v>
      </c>
      <c r="V62">
        <f t="shared" si="11"/>
        <v>3</v>
      </c>
    </row>
    <row r="63" spans="1:22" x14ac:dyDescent="0.25">
      <c r="A63" t="str">
        <f>IF(games!$A63="","",games!$A63)</f>
        <v>Battle Shapers</v>
      </c>
      <c r="B63">
        <f>IF($A63="","",games!$B63)</f>
        <v>2023</v>
      </c>
      <c r="C63" t="str">
        <f>IF($A63="","",games!$C63)</f>
        <v>Action</v>
      </c>
      <c r="D63">
        <f>IF($A63="","",COUNTIF(connections!$A$2:$A$1205,$A63)+COUNTIF(connections!$B$2:$B$1205,$A63))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IF(connections!$A63="","",IFERROR(INDEX(games!$B$2:$B$846,MATCH(connections!$A63,games!$A$2:$A$846,0)),""))</f>
        <v>2023</v>
      </c>
      <c r="U63">
        <f>IF(connections!$A63="","",IFERROR(INDEX(games!$B$2:$B$846,MATCH(connections!$B63,games!$A$2:$A$846,0)),""))</f>
        <v>2025</v>
      </c>
      <c r="V63">
        <f t="shared" si="11"/>
        <v>2</v>
      </c>
    </row>
    <row r="64" spans="1:22" x14ac:dyDescent="0.25">
      <c r="A64" t="str">
        <f>IF(games!$A64="","",games!$A64)</f>
        <v>BAZR</v>
      </c>
      <c r="B64">
        <f>IF($A64="","",games!$B64)</f>
        <v>2025</v>
      </c>
      <c r="C64" t="str">
        <f>IF($A64="","",games!$C64)</f>
        <v>Deckbuilder</v>
      </c>
      <c r="D64">
        <f>IF($A64="","",COUNTIF(connections!$A$2:$A$1205,$A64)+COUNTIF(connections!$B$2:$B$1205,$A64))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IF(connections!$A64="","",IFERROR(INDEX(games!$B$2:$B$846,MATCH(connections!$A64,games!$A$2:$A$846,0)),""))</f>
        <v>2023</v>
      </c>
      <c r="U64">
        <f>IF(connections!$A64="","",IFERROR(INDEX(games!$B$2:$B$846,MATCH(connections!$B64,games!$A$2:$A$846,0)),""))</f>
        <v>2025</v>
      </c>
      <c r="V64">
        <f t="shared" si="11"/>
        <v>2</v>
      </c>
    </row>
    <row r="65" spans="1:22" x14ac:dyDescent="0.25">
      <c r="A65" t="str">
        <f>IF(games!$A65="","",games!$A65)</f>
        <v>Be My Horde</v>
      </c>
      <c r="B65">
        <f>IF($A65="","",games!$B65)</f>
        <v>2024</v>
      </c>
      <c r="C65" t="str">
        <f>IF($A65="","",games!$C65)</f>
        <v>Action</v>
      </c>
      <c r="D65">
        <f>IF($A65="","",COUNTIF(connections!$A$2:$A$1205,$A65)+COUNTIF(connections!$B$2:$B$1205,$A65))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IF(connections!$A65="","",IFERROR(INDEX(games!$B$2:$B$846,MATCH(connections!$A65,games!$A$2:$A$846,0)),""))</f>
        <v>2023</v>
      </c>
      <c r="U65">
        <f>IF(connections!$A65="","",IFERROR(INDEX(games!$B$2:$B$846,MATCH(connections!$B65,games!$A$2:$A$846,0)),""))</f>
        <v>2025</v>
      </c>
      <c r="V65">
        <f t="shared" si="11"/>
        <v>2</v>
      </c>
    </row>
    <row r="66" spans="1:22" x14ac:dyDescent="0.25">
      <c r="A66" t="str">
        <f>IF(games!$A66="","",games!$A66)</f>
        <v>Beat Blast</v>
      </c>
      <c r="B66">
        <f>IF($A66="","",games!$B66)</f>
        <v>2020</v>
      </c>
      <c r="C66" t="str">
        <f>IF($A66="","",games!$C66)</f>
        <v>Action</v>
      </c>
      <c r="D66">
        <f>IF($A66="","",COUNTIF(connections!$A$2:$A$1205,$A66)+COUNTIF(connections!$B$2:$B$1205,$A66))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IF(connections!$A66="","",IFERROR(INDEX(games!$B$2:$B$846,MATCH(connections!$A66,games!$A$2:$A$846,0)),""))</f>
        <v>2023</v>
      </c>
      <c r="U66">
        <f>IF(connections!$A66="","",IFERROR(INDEX(games!$B$2:$B$846,MATCH(connections!$B66,games!$A$2:$A$846,0)),""))</f>
        <v>2026</v>
      </c>
      <c r="V66">
        <f t="shared" ref="V66:V129" si="23">IF(OR($T66="",$U66=""),"",$U66-$T66)</f>
        <v>3</v>
      </c>
    </row>
    <row r="67" spans="1:22" x14ac:dyDescent="0.25">
      <c r="A67" t="str">
        <f>IF(games!$A67="","",games!$A67)</f>
        <v>Bella Wants Blood</v>
      </c>
      <c r="B67">
        <f>IF($A67="","",games!$B67)</f>
        <v>2024</v>
      </c>
      <c r="C67" t="str">
        <f>IF($A67="","",games!$C67)</f>
        <v>Strategy</v>
      </c>
      <c r="D67">
        <f>IF($A67="","",COUNTIF(connections!$A$2:$A$1205,$A67)+COUNTIF(connections!$B$2:$B$1205,$A67))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IF(connections!$A67="","",IFERROR(INDEX(games!$B$2:$B$846,MATCH(connections!$A67,games!$A$2:$A$846,0)),""))</f>
        <v>2023</v>
      </c>
      <c r="U67">
        <f>IF(connections!$A67="","",IFERROR(INDEX(games!$B$2:$B$846,MATCH(connections!$B67,games!$A$2:$A$846,0)),""))</f>
        <v>2026</v>
      </c>
      <c r="V67">
        <f t="shared" si="23"/>
        <v>3</v>
      </c>
    </row>
    <row r="68" spans="1:22" x14ac:dyDescent="0.25">
      <c r="A68" t="str">
        <f>IF(games!$A68="","",games!$A68)</f>
        <v>Beneath Apple Manor</v>
      </c>
      <c r="B68">
        <f>IF($A68="","",games!$B68)</f>
        <v>1978</v>
      </c>
      <c r="C68" t="str">
        <f>IF($A68="","",games!$C68)</f>
        <v>Traditional</v>
      </c>
      <c r="D68">
        <f>IF($A68="","",COUNTIF(connections!$A$2:$A$1205,$A68)+COUNTIF(connections!$B$2:$B$1205,$A68))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IF(connections!$A68="","",IFERROR(INDEX(games!$B$2:$B$846,MATCH(connections!$A68,games!$A$2:$A$846,0)),""))</f>
        <v>2023</v>
      </c>
      <c r="U68">
        <f>IF(connections!$A68="","",IFERROR(INDEX(games!$B$2:$B$846,MATCH(connections!$B68,games!$A$2:$A$846,0)),""))</f>
        <v>2025</v>
      </c>
      <c r="V68">
        <f t="shared" si="23"/>
        <v>2</v>
      </c>
    </row>
    <row r="69" spans="1:22" x14ac:dyDescent="0.25">
      <c r="A69" t="str">
        <f>IF(games!$A69="","",games!$A69)</f>
        <v>Beneath Oresa</v>
      </c>
      <c r="B69">
        <f>IF($A69="","",games!$B69)</f>
        <v>2022</v>
      </c>
      <c r="C69" t="str">
        <f>IF($A69="","",games!$C69)</f>
        <v>Deckbuilder</v>
      </c>
      <c r="D69">
        <f>IF($A69="","",COUNTIF(connections!$A$2:$A$1205,$A69)+COUNTIF(connections!$B$2:$B$1205,$A69))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IF(connections!$A69="","",IFERROR(INDEX(games!$B$2:$B$846,MATCH(connections!$A69,games!$A$2:$A$846,0)),""))</f>
        <v>2023</v>
      </c>
      <c r="U69">
        <f>IF(connections!$A69="","",IFERROR(INDEX(games!$B$2:$B$846,MATCH(connections!$B69,games!$A$2:$A$846,0)),""))</f>
        <v>2026</v>
      </c>
      <c r="V69">
        <f t="shared" si="23"/>
        <v>3</v>
      </c>
    </row>
    <row r="70" spans="1:22" x14ac:dyDescent="0.25">
      <c r="A70" t="str">
        <f>IF(games!$A70="","",games!$A70)</f>
        <v>Beyond the Long Night</v>
      </c>
      <c r="B70">
        <f>IF($A70="","",games!$B70)</f>
        <v>2023</v>
      </c>
      <c r="C70" t="str">
        <f>IF($A70="","",games!$C70)</f>
        <v>Action</v>
      </c>
      <c r="D70">
        <f>IF($A70="","",COUNTIF(connections!$A$2:$A$1205,$A70)+COUNTIF(connections!$B$2:$B$1205,$A70))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IF(connections!$A70="","",IFERROR(INDEX(games!$B$2:$B$846,MATCH(connections!$A70,games!$A$2:$A$846,0)),""))</f>
        <v>2023</v>
      </c>
      <c r="U70">
        <f>IF(connections!$A70="","",IFERROR(INDEX(games!$B$2:$B$846,MATCH(connections!$B70,games!$A$2:$A$846,0)),""))</f>
        <v>2025</v>
      </c>
      <c r="V70">
        <f t="shared" si="23"/>
        <v>2</v>
      </c>
    </row>
    <row r="71" spans="1:22" x14ac:dyDescent="0.25">
      <c r="A71" t="str">
        <f>IF(games!$A71="","",games!$A71)</f>
        <v>Beyond Words</v>
      </c>
      <c r="B71">
        <f>IF($A71="","",games!$B71)</f>
        <v>2026</v>
      </c>
      <c r="C71" t="str">
        <f>IF($A71="","",games!$C71)</f>
        <v>Deckbuilder</v>
      </c>
      <c r="D71">
        <f>IF($A71="","",COUNTIF(connections!$A$2:$A$1205,$A71)+COUNTIF(connections!$B$2:$B$1205,$A71))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IF(connections!$A71="","",IFERROR(INDEX(games!$B$2:$B$846,MATCH(connections!$A71,games!$A$2:$A$846,0)),""))</f>
        <v>2023</v>
      </c>
      <c r="U71">
        <f>IF(connections!$A71="","",IFERROR(INDEX(games!$B$2:$B$846,MATCH(connections!$B71,games!$A$2:$A$846,0)),""))</f>
        <v>2025</v>
      </c>
      <c r="V71">
        <f t="shared" si="23"/>
        <v>2</v>
      </c>
    </row>
    <row r="72" spans="1:22" x14ac:dyDescent="0.25">
      <c r="A72" t="str">
        <f>IF(games!$A72="","",games!$A72)</f>
        <v>Bingle Bingle</v>
      </c>
      <c r="B72">
        <f>IF($A72="","",games!$B72)</f>
        <v>2024</v>
      </c>
      <c r="C72" t="str">
        <f>IF($A72="","",games!$C72)</f>
        <v>Deckbuilder</v>
      </c>
      <c r="D72">
        <f>IF($A72="","",COUNTIF(connections!$A$2:$A$1205,$A72)+COUNTIF(connections!$B$2:$B$1205,$A72))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IF(connections!$A72="","",IFERROR(INDEX(games!$B$2:$B$846,MATCH(connections!$A72,games!$A$2:$A$846,0)),""))</f>
        <v>2023</v>
      </c>
      <c r="U72">
        <f>IF(connections!$A72="","",IFERROR(INDEX(games!$B$2:$B$846,MATCH(connections!$B72,games!$A$2:$A$846,0)),""))</f>
        <v>2025</v>
      </c>
      <c r="V72">
        <f t="shared" si="23"/>
        <v>2</v>
      </c>
    </row>
    <row r="73" spans="1:22" x14ac:dyDescent="0.25">
      <c r="A73" t="str">
        <f>IF(games!$A73="","",games!$A73)</f>
        <v>Bioprototype</v>
      </c>
      <c r="B73">
        <f>IF($A73="","",games!$B73)</f>
        <v>2022</v>
      </c>
      <c r="C73" t="str">
        <f>IF($A73="","",games!$C73)</f>
        <v>Action</v>
      </c>
      <c r="D73">
        <f>IF($A73="","",COUNTIF(connections!$A$2:$A$1205,$A73)+COUNTIF(connections!$B$2:$B$1205,$A73))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IF(connections!$A73="","",IFERROR(INDEX(games!$B$2:$B$846,MATCH(connections!$A73,games!$A$2:$A$846,0)),""))</f>
        <v>2023</v>
      </c>
      <c r="U73">
        <f>IF(connections!$A73="","",IFERROR(INDEX(games!$B$2:$B$846,MATCH(connections!$B73,games!$A$2:$A$846,0)),""))</f>
        <v>2025</v>
      </c>
      <c r="V73">
        <f t="shared" si="23"/>
        <v>2</v>
      </c>
    </row>
    <row r="74" spans="1:22" x14ac:dyDescent="0.25">
      <c r="A74" t="str">
        <f>IF(games!$A74="","",games!$A74)</f>
        <v>Black Jacket</v>
      </c>
      <c r="B74">
        <f>IF($A74="","",games!$B74)</f>
        <v>2026</v>
      </c>
      <c r="C74" t="str">
        <f>IF($A74="","",games!$C74)</f>
        <v>Deckbuilder</v>
      </c>
      <c r="D74">
        <f>IF($A74="","",COUNTIF(connections!$A$2:$A$1205,$A74)+COUNTIF(connections!$B$2:$B$1205,$A74))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IF(connections!$A74="","",IFERROR(INDEX(games!$B$2:$B$846,MATCH(connections!$A74,games!$A$2:$A$846,0)),""))</f>
        <v>2023</v>
      </c>
      <c r="U74">
        <f>IF(connections!$A74="","",IFERROR(INDEX(games!$B$2:$B$846,MATCH(connections!$B74,games!$A$2:$A$846,0)),""))</f>
        <v>2026</v>
      </c>
      <c r="V74">
        <f t="shared" si="23"/>
        <v>3</v>
      </c>
    </row>
    <row r="75" spans="1:22" x14ac:dyDescent="0.25">
      <c r="A75" t="str">
        <f>IF(games!$A75="","",games!$A75)</f>
        <v>Blazing Beaks</v>
      </c>
      <c r="B75">
        <f>IF($A75="","",games!$B75)</f>
        <v>2019</v>
      </c>
      <c r="C75" t="str">
        <f>IF($A75="","",games!$C75)</f>
        <v>Action</v>
      </c>
      <c r="D75">
        <f>IF($A75="","",COUNTIF(connections!$A$2:$A$1205,$A75)+COUNTIF(connections!$B$2:$B$1205,$A75))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IF(connections!$A75="","",IFERROR(INDEX(games!$B$2:$B$846,MATCH(connections!$A75,games!$A$2:$A$846,0)),""))</f>
        <v>2023</v>
      </c>
      <c r="U75">
        <f>IF(connections!$A75="","",IFERROR(INDEX(games!$B$2:$B$846,MATCH(connections!$B75,games!$A$2:$A$846,0)),""))</f>
        <v>2026</v>
      </c>
      <c r="V75">
        <f t="shared" si="23"/>
        <v>3</v>
      </c>
    </row>
    <row r="76" spans="1:22" x14ac:dyDescent="0.25">
      <c r="A76" t="str">
        <f>IF(games!$A76="","",games!$A76)</f>
        <v>Bleak Sword</v>
      </c>
      <c r="B76">
        <f>IF($A76="","",games!$B76)</f>
        <v>2019</v>
      </c>
      <c r="C76" t="str">
        <f>IF($A76="","",games!$C76)</f>
        <v>Action</v>
      </c>
      <c r="D76">
        <f>IF($A76="","",COUNTIF(connections!$A$2:$A$1205,$A76)+COUNTIF(connections!$B$2:$B$1205,$A76))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IF(connections!$A76="","",IFERROR(INDEX(games!$B$2:$B$846,MATCH(connections!$A76,games!$A$2:$A$846,0)),""))</f>
        <v>2023</v>
      </c>
      <c r="U76">
        <f>IF(connections!$A76="","",IFERROR(INDEX(games!$B$2:$B$846,MATCH(connections!$B76,games!$A$2:$A$846,0)),""))</f>
        <v>2026</v>
      </c>
      <c r="V76">
        <f t="shared" si="23"/>
        <v>3</v>
      </c>
    </row>
    <row r="77" spans="1:22" x14ac:dyDescent="0.25">
      <c r="A77" t="str">
        <f>IF(games!$A77="","",games!$A77)</f>
        <v>Block Tower TD</v>
      </c>
      <c r="B77">
        <f>IF($A77="","",games!$B77)</f>
        <v>2023</v>
      </c>
      <c r="C77" t="str">
        <f>IF($A77="","",games!$C77)</f>
        <v>Strategy</v>
      </c>
      <c r="D77">
        <f>IF($A77="","",COUNTIF(connections!$A$2:$A$1205,$A77)+COUNTIF(connections!$B$2:$B$1205,$A77))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IF(connections!$A77="","",IFERROR(INDEX(games!$B$2:$B$846,MATCH(connections!$A77,games!$A$2:$A$846,0)),""))</f>
        <v>2023</v>
      </c>
      <c r="U77">
        <f>IF(connections!$A77="","",IFERROR(INDEX(games!$B$2:$B$846,MATCH(connections!$B77,games!$A$2:$A$846,0)),""))</f>
        <v>2025</v>
      </c>
      <c r="V77">
        <f t="shared" si="23"/>
        <v>2</v>
      </c>
    </row>
    <row r="78" spans="1:22" x14ac:dyDescent="0.25">
      <c r="A78" t="str">
        <f>IF(games!$A78="","",games!$A78)</f>
        <v>Block Tower TD 2</v>
      </c>
      <c r="B78">
        <f>IF($A78="","",games!$B78)</f>
        <v>2024</v>
      </c>
      <c r="C78" t="str">
        <f>IF($A78="","",games!$C78)</f>
        <v>Strategy</v>
      </c>
      <c r="D78">
        <f>IF($A78="","",COUNTIF(connections!$A$2:$A$1205,$A78)+COUNTIF(connections!$B$2:$B$1205,$A78))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IF(connections!$A78="","",IFERROR(INDEX(games!$B$2:$B$846,MATCH(connections!$A78,games!$A$2:$A$846,0)),""))</f>
        <v>2023</v>
      </c>
      <c r="U78">
        <f>IF(connections!$A78="","",IFERROR(INDEX(games!$B$2:$B$846,MATCH(connections!$B78,games!$A$2:$A$846,0)),""))</f>
        <v>2026</v>
      </c>
      <c r="V78">
        <f t="shared" si="23"/>
        <v>3</v>
      </c>
    </row>
    <row r="79" spans="1:22" x14ac:dyDescent="0.25">
      <c r="A79" t="str">
        <f>IF(games!$A79="","",games!$A79)</f>
        <v>BloodDome99</v>
      </c>
      <c r="B79">
        <f>IF($A79="","",games!$B79)</f>
        <v>2023</v>
      </c>
      <c r="C79" t="str">
        <f>IF($A79="","",games!$C79)</f>
        <v>Action</v>
      </c>
      <c r="D79">
        <f>IF($A79="","",COUNTIF(connections!$A$2:$A$1205,$A79)+COUNTIF(connections!$B$2:$B$1205,$A79))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IF(connections!$A79="","",IFERROR(INDEX(games!$B$2:$B$846,MATCH(connections!$A79,games!$A$2:$A$846,0)),""))</f>
        <v>2023</v>
      </c>
      <c r="U79">
        <f>IF(connections!$A79="","",IFERROR(INDEX(games!$B$2:$B$846,MATCH(connections!$B79,games!$A$2:$A$846,0)),""))</f>
        <v>2025</v>
      </c>
      <c r="V79">
        <f t="shared" si="23"/>
        <v>2</v>
      </c>
    </row>
    <row r="80" spans="1:22" x14ac:dyDescent="0.25">
      <c r="A80" t="str">
        <f>IF(games!$A80="","",games!$A80)</f>
        <v>Bloodshed</v>
      </c>
      <c r="B80">
        <f>IF($A80="","",games!$B80)</f>
        <v>2024</v>
      </c>
      <c r="C80" t="str">
        <f>IF($A80="","",games!$C80)</f>
        <v>Action</v>
      </c>
      <c r="D80">
        <f>IF($A80="","",COUNTIF(connections!$A$2:$A$1205,$A80)+COUNTIF(connections!$B$2:$B$1205,$A80))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IF(connections!$A80="","",IFERROR(INDEX(games!$B$2:$B$846,MATCH(connections!$A80,games!$A$2:$A$846,0)),""))</f>
        <v>2023</v>
      </c>
      <c r="U80">
        <f>IF(connections!$A80="","",IFERROR(INDEX(games!$B$2:$B$846,MATCH(connections!$B80,games!$A$2:$A$846,0)),""))</f>
        <v>2025</v>
      </c>
      <c r="V80">
        <f t="shared" si="23"/>
        <v>2</v>
      </c>
    </row>
    <row r="81" spans="1:22" x14ac:dyDescent="0.25">
      <c r="A81" t="str">
        <f>IF(games!$A81="","",games!$A81)</f>
        <v>Bloons TD 6: Rogue Legends</v>
      </c>
      <c r="B81">
        <f>IF($A81="","",games!$B81)</f>
        <v>2025</v>
      </c>
      <c r="C81" t="str">
        <f>IF($A81="","",games!$C81)</f>
        <v>Strategy</v>
      </c>
      <c r="D81">
        <f>IF($A81="","",COUNTIF(connections!$A$2:$A$1205,$A81)+COUNTIF(connections!$B$2:$B$1205,$A81))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IF(connections!$A81="","",IFERROR(INDEX(games!$B$2:$B$846,MATCH(connections!$A81,games!$A$2:$A$846,0)),""))</f>
        <v>2023</v>
      </c>
      <c r="U81">
        <f>IF(connections!$A81="","",IFERROR(INDEX(games!$B$2:$B$846,MATCH(connections!$B81,games!$A$2:$A$846,0)),""))</f>
        <v>2025</v>
      </c>
      <c r="V81">
        <f t="shared" si="23"/>
        <v>2</v>
      </c>
    </row>
    <row r="82" spans="1:22" x14ac:dyDescent="0.25">
      <c r="A82" t="str">
        <f>IF(games!$A82="","",games!$A82)</f>
        <v>Blue Prince</v>
      </c>
      <c r="B82">
        <f>IF($A82="","",games!$B82)</f>
        <v>2025</v>
      </c>
      <c r="C82" t="str">
        <f>IF($A82="","",games!$C82)</f>
        <v>Strategy</v>
      </c>
      <c r="D82">
        <f>IF($A82="","",COUNTIF(connections!$A$2:$A$1205,$A82)+COUNTIF(connections!$B$2:$B$1205,$A82))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IF(connections!$A82="","",IFERROR(INDEX(games!$B$2:$B$846,MATCH(connections!$A82,games!$A$2:$A$846,0)),""))</f>
        <v>2023</v>
      </c>
      <c r="U82">
        <f>IF(connections!$A82="","",IFERROR(INDEX(games!$B$2:$B$846,MATCH(connections!$B82,games!$A$2:$A$846,0)),""))</f>
        <v>2026</v>
      </c>
      <c r="V82">
        <f t="shared" si="23"/>
        <v>3</v>
      </c>
    </row>
    <row r="83" spans="1:22" x14ac:dyDescent="0.25">
      <c r="A83" t="str">
        <f>IF(games!$A83="","",games!$A83)</f>
        <v>Boneraiser Minions</v>
      </c>
      <c r="B83">
        <f>IF($A83="","",games!$B83)</f>
        <v>2022</v>
      </c>
      <c r="C83" t="str">
        <f>IF($A83="","",games!$C83)</f>
        <v>Action</v>
      </c>
      <c r="D83">
        <f>IF($A83="","",COUNTIF(connections!$A$2:$A$1205,$A83)+COUNTIF(connections!$B$2:$B$1205,$A83))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IF(connections!$A83="","",IFERROR(INDEX(games!$B$2:$B$846,MATCH(connections!$A83,games!$A$2:$A$846,0)),""))</f>
        <v>2023</v>
      </c>
      <c r="U83">
        <f>IF(connections!$A83="","",IFERROR(INDEX(games!$B$2:$B$846,MATCH(connections!$B83,games!$A$2:$A$846,0)),""))</f>
        <v>2026</v>
      </c>
      <c r="V83">
        <f t="shared" si="23"/>
        <v>3</v>
      </c>
    </row>
    <row r="84" spans="1:22" x14ac:dyDescent="0.25">
      <c r="A84" t="str">
        <f>IF(games!$A84="","",games!$A84)</f>
        <v>Book of Demons</v>
      </c>
      <c r="B84">
        <f>IF($A84="","",games!$B84)</f>
        <v>2018</v>
      </c>
      <c r="C84" t="str">
        <f>IF($A84="","",games!$C84)</f>
        <v>Deckbuilder</v>
      </c>
      <c r="D84">
        <f>IF($A84="","",COUNTIF(connections!$A$2:$A$1205,$A84)+COUNTIF(connections!$B$2:$B$1205,$A84))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IF(connections!$A84="","",IFERROR(INDEX(games!$B$2:$B$846,MATCH(connections!$A84,games!$A$2:$A$846,0)),""))</f>
        <v>2023</v>
      </c>
      <c r="U84">
        <f>IF(connections!$A84="","",IFERROR(INDEX(games!$B$2:$B$846,MATCH(connections!$B84,games!$A$2:$A$846,0)),""))</f>
        <v>2026</v>
      </c>
      <c r="V84">
        <f t="shared" si="23"/>
        <v>3</v>
      </c>
    </row>
    <row r="85" spans="1:22" x14ac:dyDescent="0.25">
      <c r="A85" t="str">
        <f>IF(games!$A85="","",games!$A85)</f>
        <v>Bounty of One</v>
      </c>
      <c r="B85">
        <f>IF($A85="","",games!$B85)</f>
        <v>2022</v>
      </c>
      <c r="C85" t="str">
        <f>IF($A85="","",games!$C85)</f>
        <v>Action</v>
      </c>
      <c r="D85">
        <f>IF($A85="","",COUNTIF(connections!$A$2:$A$1205,$A85)+COUNTIF(connections!$B$2:$B$1205,$A85))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IF(connections!$A85="","",IFERROR(INDEX(games!$B$2:$B$846,MATCH(connections!$A85,games!$A$2:$A$846,0)),""))</f>
        <v>2023</v>
      </c>
      <c r="U85">
        <f>IF(connections!$A85="","",IFERROR(INDEX(games!$B$2:$B$846,MATCH(connections!$B85,games!$A$2:$A$846,0)),""))</f>
        <v>2026</v>
      </c>
      <c r="V85">
        <f t="shared" si="23"/>
        <v>3</v>
      </c>
    </row>
    <row r="86" spans="1:22" x14ac:dyDescent="0.25">
      <c r="A86" t="str">
        <f>IF(games!$A86="","",games!$A86)</f>
        <v>Boyfriend Dungeon</v>
      </c>
      <c r="B86">
        <f>IF($A86="","",games!$B86)</f>
        <v>2021</v>
      </c>
      <c r="C86" t="str">
        <f>IF($A86="","",games!$C86)</f>
        <v>Action</v>
      </c>
      <c r="D86">
        <f>IF($A86="","",COUNTIF(connections!$A$2:$A$1205,$A86)+COUNTIF(connections!$B$2:$B$1205,$A86))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IF(connections!$A86="","",IFERROR(INDEX(games!$B$2:$B$846,MATCH(connections!$A86,games!$A$2:$A$846,0)),""))</f>
        <v>2023</v>
      </c>
      <c r="U86">
        <f>IF(connections!$A86="","",IFERROR(INDEX(games!$B$2:$B$846,MATCH(connections!$B86,games!$A$2:$A$846,0)),""))</f>
        <v>2024</v>
      </c>
      <c r="V86">
        <f t="shared" si="23"/>
        <v>1</v>
      </c>
    </row>
    <row r="87" spans="1:22" x14ac:dyDescent="0.25">
      <c r="A87" t="str">
        <f>IF(games!$A87="","",games!$A87)</f>
        <v>BPM: Bullets Per Minute</v>
      </c>
      <c r="B87">
        <f>IF($A87="","",games!$B87)</f>
        <v>2020</v>
      </c>
      <c r="C87" t="str">
        <f>IF($A87="","",games!$C87)</f>
        <v>Action</v>
      </c>
      <c r="D87">
        <f>IF($A87="","",COUNTIF(connections!$A$2:$A$1205,$A87)+COUNTIF(connections!$B$2:$B$1205,$A87))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IF(connections!$A87="","",IFERROR(INDEX(games!$B$2:$B$846,MATCH(connections!$A87,games!$A$2:$A$846,0)),""))</f>
        <v>2023</v>
      </c>
      <c r="U87">
        <f>IF(connections!$A87="","",IFERROR(INDEX(games!$B$2:$B$846,MATCH(connections!$B87,games!$A$2:$A$846,0)),""))</f>
        <v>2025</v>
      </c>
      <c r="V87">
        <f t="shared" si="23"/>
        <v>2</v>
      </c>
    </row>
    <row r="88" spans="1:22" x14ac:dyDescent="0.25">
      <c r="A88" t="str">
        <f>IF(games!$A88="","",games!$A88)</f>
        <v>Brawl Tactics: Origins</v>
      </c>
      <c r="B88">
        <f>IF($A88="","",games!$B88)</f>
        <v>2023</v>
      </c>
      <c r="C88" t="str">
        <f>IF($A88="","",games!$C88)</f>
        <v>Deckbuilder</v>
      </c>
      <c r="D88">
        <f>IF($A88="","",COUNTIF(connections!$A$2:$A$1205,$A88)+COUNTIF(connections!$B$2:$B$1205,$A88))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IF(connections!$A88="","",IFERROR(INDEX(games!$B$2:$B$846,MATCH(connections!$A88,games!$A$2:$A$846,0)),""))</f>
        <v>2023</v>
      </c>
      <c r="U88">
        <f>IF(connections!$A88="","",IFERROR(INDEX(games!$B$2:$B$846,MATCH(connections!$B88,games!$A$2:$A$846,0)),""))</f>
        <v>2026</v>
      </c>
      <c r="V88">
        <f t="shared" si="23"/>
        <v>3</v>
      </c>
    </row>
    <row r="89" spans="1:22" x14ac:dyDescent="0.25">
      <c r="A89" t="str">
        <f>IF(games!$A89="","",games!$A89)</f>
        <v>Breach Wanderers</v>
      </c>
      <c r="B89">
        <f>IF($A89="","",games!$B89)</f>
        <v>2021</v>
      </c>
      <c r="C89" t="str">
        <f>IF($A89="","",games!$C89)</f>
        <v>Deckbuilder</v>
      </c>
      <c r="D89">
        <f>IF($A89="","",COUNTIF(connections!$A$2:$A$1205,$A89)+COUNTIF(connections!$B$2:$B$1205,$A89))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IF(connections!$A89="","",IFERROR(INDEX(games!$B$2:$B$846,MATCH(connections!$A89,games!$A$2:$A$846,0)),""))</f>
        <v>2023</v>
      </c>
      <c r="U89">
        <f>IF(connections!$A89="","",IFERROR(INDEX(games!$B$2:$B$846,MATCH(connections!$B89,games!$A$2:$A$846,0)),""))</f>
        <v>2023</v>
      </c>
      <c r="V89">
        <f t="shared" si="23"/>
        <v>0</v>
      </c>
    </row>
    <row r="90" spans="1:22" x14ac:dyDescent="0.25">
      <c r="A90" t="str">
        <f>IF(games!$A90="","",games!$A90)</f>
        <v>Breachway</v>
      </c>
      <c r="B90">
        <f>IF($A90="","",games!$B90)</f>
        <v>2024</v>
      </c>
      <c r="C90" t="str">
        <f>IF($A90="","",games!$C90)</f>
        <v>Deckbuilder</v>
      </c>
      <c r="D90">
        <f>IF($A90="","",COUNTIF(connections!$A$2:$A$1205,$A90)+COUNTIF(connections!$B$2:$B$1205,$A90))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IF(connections!$A90="","",IFERROR(INDEX(games!$B$2:$B$846,MATCH(connections!$A90,games!$A$2:$A$846,0)),""))</f>
        <v>2023</v>
      </c>
      <c r="U90">
        <f>IF(connections!$A90="","",IFERROR(INDEX(games!$B$2:$B$846,MATCH(connections!$B90,games!$A$2:$A$846,0)),""))</f>
        <v>2024</v>
      </c>
      <c r="V90">
        <f t="shared" si="23"/>
        <v>1</v>
      </c>
    </row>
    <row r="91" spans="1:22" x14ac:dyDescent="0.25">
      <c r="A91" t="str">
        <f>IF(games!$A91="","",games!$A91)</f>
        <v>Brew</v>
      </c>
      <c r="B91">
        <f>IF($A91="","",games!$B91)</f>
        <v>2025</v>
      </c>
      <c r="C91" t="str">
        <f>IF($A91="","",games!$C91)</f>
        <v>Action</v>
      </c>
      <c r="D91">
        <f>IF($A91="","",COUNTIF(connections!$A$2:$A$1205,$A91)+COUNTIF(connections!$B$2:$B$1205,$A91))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IF(connections!$A91="","",IFERROR(INDEX(games!$B$2:$B$846,MATCH(connections!$A91,games!$A$2:$A$846,0)),""))</f>
        <v>2023</v>
      </c>
      <c r="U91">
        <f>IF(connections!$A91="","",IFERROR(INDEX(games!$B$2:$B$846,MATCH(connections!$B91,games!$A$2:$A$846,0)),""))</f>
        <v>2026</v>
      </c>
      <c r="V91">
        <f t="shared" si="23"/>
        <v>3</v>
      </c>
    </row>
    <row r="92" spans="1:22" x14ac:dyDescent="0.25">
      <c r="A92" t="str">
        <f>IF(games!$A92="","",games!$A92)</f>
        <v>Brogue</v>
      </c>
      <c r="B92">
        <f>IF($A92="","",games!$B92)</f>
        <v>2009</v>
      </c>
      <c r="C92" t="str">
        <f>IF($A92="","",games!$C92)</f>
        <v>Traditional</v>
      </c>
      <c r="D92">
        <f>IF($A92="","",COUNTIF(connections!$A$2:$A$1205,$A92)+COUNTIF(connections!$B$2:$B$1205,$A92))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IF(connections!$A92="","",IFERROR(INDEX(games!$B$2:$B$846,MATCH(connections!$A92,games!$A$2:$A$846,0)),""))</f>
        <v>2023</v>
      </c>
      <c r="U92">
        <f>IF(connections!$A92="","",IFERROR(INDEX(games!$B$2:$B$846,MATCH(connections!$B92,games!$A$2:$A$846,0)),""))</f>
        <v>2025</v>
      </c>
      <c r="V92">
        <f t="shared" si="23"/>
        <v>2</v>
      </c>
    </row>
    <row r="93" spans="1:22" x14ac:dyDescent="0.25">
      <c r="A93" t="str">
        <f>IF(games!$A93="","",games!$A93)</f>
        <v>BroomSweeper</v>
      </c>
      <c r="B93">
        <f>IF($A93="","",games!$B93)</f>
        <v>2026</v>
      </c>
      <c r="C93" t="str">
        <f>IF($A93="","",games!$C93)</f>
        <v>Strategy</v>
      </c>
      <c r="D93">
        <f>IF($A93="","",COUNTIF(connections!$A$2:$A$1205,$A93)+COUNTIF(connections!$B$2:$B$1205,$A93))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IF(connections!$A93="","",IFERROR(INDEX(games!$B$2:$B$846,MATCH(connections!$A93,games!$A$2:$A$846,0)),""))</f>
        <v>2023</v>
      </c>
      <c r="U93">
        <f>IF(connections!$A93="","",IFERROR(INDEX(games!$B$2:$B$846,MATCH(connections!$B93,games!$A$2:$A$846,0)),""))</f>
        <v>2025</v>
      </c>
      <c r="V93">
        <f t="shared" si="23"/>
        <v>2</v>
      </c>
    </row>
    <row r="94" spans="1:22" x14ac:dyDescent="0.25">
      <c r="A94" t="str">
        <f>IF(games!$A94="","",games!$A94)</f>
        <v>Brotato</v>
      </c>
      <c r="B94">
        <f>IF($A94="","",games!$B94)</f>
        <v>2022</v>
      </c>
      <c r="C94" t="str">
        <f>IF($A94="","",games!$C94)</f>
        <v>Action</v>
      </c>
      <c r="D94">
        <f>IF($A94="","",COUNTIF(connections!$A$2:$A$1205,$A94)+COUNTIF(connections!$B$2:$B$1205,$A94))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IF(connections!$A94="","",IFERROR(INDEX(games!$B$2:$B$846,MATCH(connections!$A94,games!$A$2:$A$846,0)),""))</f>
        <v>2023</v>
      </c>
      <c r="U94">
        <f>IF(connections!$A94="","",IFERROR(INDEX(games!$B$2:$B$846,MATCH(connections!$B94,games!$A$2:$A$846,0)),""))</f>
        <v>2025</v>
      </c>
      <c r="V94">
        <f t="shared" si="23"/>
        <v>2</v>
      </c>
    </row>
    <row r="95" spans="1:22" x14ac:dyDescent="0.25">
      <c r="A95" t="str">
        <f>IF(games!$A95="","",games!$A95)</f>
        <v>Brutal Orchestra</v>
      </c>
      <c r="B95">
        <f>IF($A95="","",games!$B95)</f>
        <v>2021</v>
      </c>
      <c r="C95" t="str">
        <f>IF($A95="","",games!$C95)</f>
        <v>Strategy</v>
      </c>
      <c r="D95">
        <f>IF($A95="","",COUNTIF(connections!$A$2:$A$1205,$A95)+COUNTIF(connections!$B$2:$B$1205,$A95))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IF(connections!$A95="","",IFERROR(INDEX(games!$B$2:$B$846,MATCH(connections!$A95,games!$A$2:$A$846,0)),""))</f>
        <v>2023</v>
      </c>
      <c r="U95">
        <f>IF(connections!$A95="","",IFERROR(INDEX(games!$B$2:$B$846,MATCH(connections!$B95,games!$A$2:$A$846,0)),""))</f>
        <v>2025</v>
      </c>
      <c r="V95">
        <f t="shared" si="23"/>
        <v>2</v>
      </c>
    </row>
    <row r="96" spans="1:22" x14ac:dyDescent="0.25">
      <c r="A96" t="str">
        <f>IF(games!$A96="","",games!$A96)</f>
        <v>Buckshot Roulette</v>
      </c>
      <c r="B96">
        <f>IF($A96="","",games!$B96)</f>
        <v>2023</v>
      </c>
      <c r="C96" t="str">
        <f>IF($A96="","",games!$C96)</f>
        <v>Strategy</v>
      </c>
      <c r="D96">
        <f>IF($A96="","",COUNTIF(connections!$A$2:$A$1205,$A96)+COUNTIF(connections!$B$2:$B$1205,$A96))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IF(connections!$A96="","",IFERROR(INDEX(games!$B$2:$B$846,MATCH(connections!$A96,games!$A$2:$A$846,0)),""))</f>
        <v>2023</v>
      </c>
      <c r="U96">
        <f>IF(connections!$A96="","",IFERROR(INDEX(games!$B$2:$B$846,MATCH(connections!$B96,games!$A$2:$A$846,0)),""))</f>
        <v>2025</v>
      </c>
      <c r="V96">
        <f t="shared" si="23"/>
        <v>2</v>
      </c>
    </row>
    <row r="97" spans="1:22" x14ac:dyDescent="0.25">
      <c r="A97" t="str">
        <f>IF(games!$A97="","",games!$A97)</f>
        <v>Candies 'n Curses</v>
      </c>
      <c r="B97">
        <f>IF($A97="","",games!$B97)</f>
        <v>2018</v>
      </c>
      <c r="C97" t="str">
        <f>IF($A97="","",games!$C97)</f>
        <v>Action</v>
      </c>
      <c r="D97">
        <f>IF($A97="","",COUNTIF(connections!$A$2:$A$1205,$A97)+COUNTIF(connections!$B$2:$B$1205,$A97))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IF(connections!$A97="","",IFERROR(INDEX(games!$B$2:$B$846,MATCH(connections!$A97,games!$A$2:$A$846,0)),""))</f>
        <v>2023</v>
      </c>
      <c r="U97">
        <f>IF(connections!$A97="","",IFERROR(INDEX(games!$B$2:$B$846,MATCH(connections!$B97,games!$A$2:$A$846,0)),""))</f>
        <v>2025</v>
      </c>
      <c r="V97">
        <f t="shared" si="23"/>
        <v>2</v>
      </c>
    </row>
    <row r="98" spans="1:22" x14ac:dyDescent="0.25">
      <c r="A98" t="str">
        <f>IF(games!$A98="","",games!$A98)</f>
        <v>Captain Forever Remix</v>
      </c>
      <c r="B98">
        <f>IF($A98="","",games!$B98)</f>
        <v>2016</v>
      </c>
      <c r="C98" t="str">
        <f>IF($A98="","",games!$C98)</f>
        <v>Action</v>
      </c>
      <c r="D98">
        <f>IF($A98="","",COUNTIF(connections!$A$2:$A$1205,$A98)+COUNTIF(connections!$B$2:$B$1205,$A98))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IF(connections!$A98="","",IFERROR(INDEX(games!$B$2:$B$846,MATCH(connections!$A98,games!$A$2:$A$846,0)),""))</f>
        <v>2023</v>
      </c>
      <c r="U98">
        <f>IF(connections!$A98="","",IFERROR(INDEX(games!$B$2:$B$846,MATCH(connections!$B98,games!$A$2:$A$846,0)),""))</f>
        <v>2025</v>
      </c>
      <c r="V98">
        <f t="shared" si="23"/>
        <v>2</v>
      </c>
    </row>
    <row r="99" spans="1:22" x14ac:dyDescent="0.25">
      <c r="A99" t="str">
        <f>IF(games!$A99="","",games!$A99)</f>
        <v>Cardinal Quest</v>
      </c>
      <c r="B99">
        <f>IF($A99="","",games!$B99)</f>
        <v>2010</v>
      </c>
      <c r="C99" t="str">
        <f>IF($A99="","",games!$C99)</f>
        <v>Traditional</v>
      </c>
      <c r="D99">
        <f>IF($A99="","",COUNTIF(connections!$A$2:$A$1205,$A99)+COUNTIF(connections!$B$2:$B$1205,$A99))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IF(connections!$A99="","",IFERROR(INDEX(games!$B$2:$B$846,MATCH(connections!$A99,games!$A$2:$A$846,0)),""))</f>
        <v>2023</v>
      </c>
      <c r="U99">
        <f>IF(connections!$A99="","",IFERROR(INDEX(games!$B$2:$B$846,MATCH(connections!$B99,games!$A$2:$A$846,0)),""))</f>
        <v>2025</v>
      </c>
      <c r="V99">
        <f t="shared" si="23"/>
        <v>2</v>
      </c>
    </row>
    <row r="100" spans="1:22" x14ac:dyDescent="0.25">
      <c r="A100" t="str">
        <f>IF(games!$A100="","",games!$A100)</f>
        <v>Cardinal Quest 2</v>
      </c>
      <c r="B100">
        <f>IF($A100="","",games!$B100)</f>
        <v>2014</v>
      </c>
      <c r="C100" t="str">
        <f>IF($A100="","",games!$C100)</f>
        <v>Traditional</v>
      </c>
      <c r="D100">
        <f>IF($A100="","",COUNTIF(connections!$A$2:$A$1205,$A100)+COUNTIF(connections!$B$2:$B$1205,$A100))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IF(connections!$A100="","",IFERROR(INDEX(games!$B$2:$B$846,MATCH(connections!$A100,games!$A$2:$A$846,0)),""))</f>
        <v>2023</v>
      </c>
      <c r="U100">
        <f>IF(connections!$A100="","",IFERROR(INDEX(games!$B$2:$B$846,MATCH(connections!$B100,games!$A$2:$A$846,0)),""))</f>
        <v>2026</v>
      </c>
      <c r="V100">
        <f t="shared" si="23"/>
        <v>3</v>
      </c>
    </row>
    <row r="101" spans="1:22" x14ac:dyDescent="0.25">
      <c r="A101" t="str">
        <f>IF(games!$A101="","",games!$A101)</f>
        <v>Castle of the Winds</v>
      </c>
      <c r="B101">
        <f>IF($A101="","",games!$B101)</f>
        <v>1994</v>
      </c>
      <c r="C101" t="str">
        <f>IF($A101="","",games!$C101)</f>
        <v>Traditional</v>
      </c>
      <c r="D101">
        <f>IF($A101="","",COUNTIF(connections!$A$2:$A$1205,$A101)+COUNTIF(connections!$B$2:$B$1205,$A101))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IF(connections!$A101="","",IFERROR(INDEX(games!$B$2:$B$846,MATCH(connections!$A101,games!$A$2:$A$846,0)),""))</f>
        <v>2024</v>
      </c>
      <c r="U101">
        <f>IF(connections!$A101="","",IFERROR(INDEX(games!$B$2:$B$846,MATCH(connections!$B101,games!$A$2:$A$846,0)),""))</f>
        <v>2026</v>
      </c>
      <c r="V101">
        <f t="shared" si="23"/>
        <v>2</v>
      </c>
    </row>
    <row r="102" spans="1:22" x14ac:dyDescent="0.25">
      <c r="A102" t="str">
        <f>IF(games!$A102="","",games!$A102)</f>
        <v>CastlevaniaRL</v>
      </c>
      <c r="B102">
        <f>IF($A102="","",games!$B102)</f>
        <v>2005</v>
      </c>
      <c r="C102" t="str">
        <f>IF($A102="","",games!$C102)</f>
        <v>Traditional</v>
      </c>
      <c r="D102">
        <f>IF($A102="","",COUNTIF(connections!$A$2:$A$1205,$A102)+COUNTIF(connections!$B$2:$B$1205,$A102))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IF(connections!$A102="","",IFERROR(INDEX(games!$B$2:$B$846,MATCH(connections!$A102,games!$A$2:$A$846,0)),""))</f>
        <v>2024</v>
      </c>
      <c r="U102">
        <f>IF(connections!$A102="","",IFERROR(INDEX(games!$B$2:$B$846,MATCH(connections!$B102,games!$A$2:$A$846,0)),""))</f>
        <v>2025</v>
      </c>
      <c r="V102">
        <f t="shared" si="23"/>
        <v>1</v>
      </c>
    </row>
    <row r="103" spans="1:22" x14ac:dyDescent="0.25">
      <c r="A103" t="str">
        <f>IF(games!$A103="","",games!$A103)</f>
        <v>Cat God Ranch</v>
      </c>
      <c r="B103">
        <f>IF($A103="","",games!$B103)</f>
        <v>2024</v>
      </c>
      <c r="C103" t="str">
        <f>IF($A103="","",games!$C103)</f>
        <v>Deckbuilder</v>
      </c>
      <c r="D103">
        <f>IF($A103="","",COUNTIF(connections!$A$2:$A$1205,$A103)+COUNTIF(connections!$B$2:$B$1205,$A103))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IF(connections!$A103="","",IFERROR(INDEX(games!$B$2:$B$846,MATCH(connections!$A103,games!$A$2:$A$846,0)),""))</f>
        <v>1998</v>
      </c>
      <c r="U103">
        <f>IF(connections!$A103="","",IFERROR(INDEX(games!$B$2:$B$846,MATCH(connections!$B103,games!$A$2:$A$846,0)),""))</f>
        <v>2007</v>
      </c>
      <c r="V103">
        <f t="shared" si="23"/>
        <v>9</v>
      </c>
    </row>
    <row r="104" spans="1:22" x14ac:dyDescent="0.25">
      <c r="A104" t="str">
        <f>IF(games!$A104="","",games!$A104)</f>
        <v>Cataclysm</v>
      </c>
      <c r="B104">
        <f>IF($A104="","",games!$B104)</f>
        <v>2010</v>
      </c>
      <c r="C104" t="str">
        <f>IF($A104="","",games!$C104)</f>
        <v>Traditional</v>
      </c>
      <c r="D104">
        <f>IF($A104="","",COUNTIF(connections!$A$2:$A$1205,$A104)+COUNTIF(connections!$B$2:$B$1205,$A104))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IF(connections!$A104="","",IFERROR(INDEX(games!$B$2:$B$846,MATCH(connections!$A104,games!$A$2:$A$846,0)),""))</f>
        <v>2017</v>
      </c>
      <c r="U104">
        <f>IF(connections!$A104="","",IFERROR(INDEX(games!$B$2:$B$846,MATCH(connections!$B104,games!$A$2:$A$846,0)),""))</f>
        <v>2019</v>
      </c>
      <c r="V104">
        <f t="shared" si="23"/>
        <v>2</v>
      </c>
    </row>
    <row r="105" spans="1:22" x14ac:dyDescent="0.25">
      <c r="A105" t="str">
        <f>IF(games!$A105="","",games!$A105)</f>
        <v>Cataclysm: Bright Nights</v>
      </c>
      <c r="B105">
        <f>IF($A105="","",games!$B105)</f>
        <v>2020</v>
      </c>
      <c r="C105" t="str">
        <f>IF($A105="","",games!$C105)</f>
        <v>Traditional</v>
      </c>
      <c r="D105">
        <f>IF($A105="","",COUNTIF(connections!$A$2:$A$1205,$A105)+COUNTIF(connections!$B$2:$B$1205,$A105))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IF(connections!$A105="","",IFERROR(INDEX(games!$B$2:$B$846,MATCH(connections!$A105,games!$A$2:$A$846,0)),""))</f>
        <v>2017</v>
      </c>
      <c r="U105">
        <f>IF(connections!$A105="","",IFERROR(INDEX(games!$B$2:$B$846,MATCH(connections!$B105,games!$A$2:$A$846,0)),""))</f>
        <v>2021</v>
      </c>
      <c r="V105">
        <f t="shared" si="23"/>
        <v>4</v>
      </c>
    </row>
    <row r="106" spans="1:22" x14ac:dyDescent="0.25">
      <c r="A106" t="str">
        <f>IF(games!$A106="","",games!$A106)</f>
        <v>Cataclysm: Dark Days Ahead</v>
      </c>
      <c r="B106">
        <f>IF($A106="","",games!$B106)</f>
        <v>2013</v>
      </c>
      <c r="C106" t="str">
        <f>IF($A106="","",games!$C106)</f>
        <v>Traditional</v>
      </c>
      <c r="D106">
        <f>IF($A106="","",COUNTIF(connections!$A$2:$A$1205,$A106)+COUNTIF(connections!$B$2:$B$1205,$A106))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IF(connections!$A106="","",IFERROR(INDEX(games!$B$2:$B$846,MATCH(connections!$A106,games!$A$2:$A$846,0)),""))</f>
        <v>2019</v>
      </c>
      <c r="U106">
        <f>IF(connections!$A106="","",IFERROR(INDEX(games!$B$2:$B$846,MATCH(connections!$B106,games!$A$2:$A$846,0)),""))</f>
        <v>2020</v>
      </c>
      <c r="V106">
        <f t="shared" si="23"/>
        <v>1</v>
      </c>
    </row>
    <row r="107" spans="1:22" x14ac:dyDescent="0.25">
      <c r="A107" t="str">
        <f>IF(games!$A107="","",games!$A107)</f>
        <v>Cataclysm: The Last Generation</v>
      </c>
      <c r="B107">
        <f>IF($A107="","",games!$B107)</f>
        <v>2025</v>
      </c>
      <c r="C107" t="str">
        <f>IF($A107="","",games!$C107)</f>
        <v>Traditional</v>
      </c>
      <c r="D107">
        <f>IF($A107="","",COUNTIF(connections!$A$2:$A$1205,$A107)+COUNTIF(connections!$B$2:$B$1205,$A107))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IF(connections!$A107="","",IFERROR(INDEX(games!$B$2:$B$846,MATCH(connections!$A107,games!$A$2:$A$846,0)),""))</f>
        <v>2023</v>
      </c>
      <c r="U107">
        <f>IF(connections!$A107="","",IFERROR(INDEX(games!$B$2:$B$846,MATCH(connections!$B107,games!$A$2:$A$846,0)),""))</f>
        <v>2024</v>
      </c>
      <c r="V107">
        <f t="shared" si="23"/>
        <v>1</v>
      </c>
    </row>
    <row r="108" spans="1:22" x14ac:dyDescent="0.25">
      <c r="A108" t="str">
        <f>IF(games!$A108="","",games!$A108)</f>
        <v>Catacomb Kids</v>
      </c>
      <c r="B108">
        <f>IF($A108="","",games!$B108)</f>
        <v>2015</v>
      </c>
      <c r="C108" t="str">
        <f>IF($A108="","",games!$C108)</f>
        <v>Action</v>
      </c>
      <c r="D108">
        <f>IF($A108="","",COUNTIF(connections!$A$2:$A$1205,$A108)+COUNTIF(connections!$B$2:$B$1205,$A108))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IF(connections!$A108="","",IFERROR(INDEX(games!$B$2:$B$846,MATCH(connections!$A108,games!$A$2:$A$846,0)),""))</f>
        <v>2022</v>
      </c>
      <c r="U108">
        <f>IF(connections!$A108="","",IFERROR(INDEX(games!$B$2:$B$846,MATCH(connections!$B108,games!$A$2:$A$846,0)),""))</f>
        <v>2024</v>
      </c>
      <c r="V108">
        <f t="shared" si="23"/>
        <v>2</v>
      </c>
    </row>
    <row r="109" spans="1:22" x14ac:dyDescent="0.25">
      <c r="A109" t="str">
        <f>IF(games!$A109="","",games!$A109)</f>
        <v>Cats &amp; Dice</v>
      </c>
      <c r="B109">
        <f>IF($A109="","",games!$B109)</f>
        <v>2025</v>
      </c>
      <c r="C109" t="str">
        <f>IF($A109="","",games!$C109)</f>
        <v>Deckbuilder</v>
      </c>
      <c r="D109">
        <f>IF($A109="","",COUNTIF(connections!$A$2:$A$1205,$A109)+COUNTIF(connections!$B$2:$B$1205,$A109))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IF(connections!$A109="","",IFERROR(INDEX(games!$B$2:$B$846,MATCH(connections!$A109,games!$A$2:$A$846,0)),""))</f>
        <v>2022</v>
      </c>
      <c r="U109">
        <f>IF(connections!$A109="","",IFERROR(INDEX(games!$B$2:$B$846,MATCH(connections!$B109,games!$A$2:$A$846,0)),""))</f>
        <v>2024</v>
      </c>
      <c r="V109">
        <f t="shared" si="23"/>
        <v>2</v>
      </c>
    </row>
    <row r="110" spans="1:22" x14ac:dyDescent="0.25">
      <c r="A110" t="str">
        <f>IF(games!$A110="","",games!$A110)</f>
        <v>Cave Noire</v>
      </c>
      <c r="B110">
        <f>IF($A110="","",games!$B110)</f>
        <v>1991</v>
      </c>
      <c r="C110" t="str">
        <f>IF($A110="","",games!$C110)</f>
        <v>Traditional</v>
      </c>
      <c r="D110">
        <f>IF($A110="","",COUNTIF(connections!$A$2:$A$1205,$A110)+COUNTIF(connections!$B$2:$B$1205,$A110))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IF(connections!$A110="","",IFERROR(INDEX(games!$B$2:$B$846,MATCH(connections!$A110,games!$A$2:$A$846,0)),""))</f>
        <v>2018</v>
      </c>
      <c r="U110">
        <f>IF(connections!$A110="","",IFERROR(INDEX(games!$B$2:$B$846,MATCH(connections!$B110,games!$A$2:$A$846,0)),""))</f>
        <v>2023</v>
      </c>
      <c r="V110">
        <f t="shared" si="23"/>
        <v>5</v>
      </c>
    </row>
    <row r="111" spans="1:22" x14ac:dyDescent="0.25">
      <c r="A111" t="str">
        <f>IF(games!$A111="","",games!$A111)</f>
        <v>Caveblazers</v>
      </c>
      <c r="B111">
        <f>IF($A111="","",games!$B111)</f>
        <v>2017</v>
      </c>
      <c r="C111" t="str">
        <f>IF($A111="","",games!$C111)</f>
        <v>Action</v>
      </c>
      <c r="D111">
        <f>IF($A111="","",COUNTIF(connections!$A$2:$A$1205,$A111)+COUNTIF(connections!$B$2:$B$1205,$A111))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IF(connections!$A111="","",IFERROR(INDEX(games!$B$2:$B$846,MATCH(connections!$A111,games!$A$2:$A$846,0)),""))</f>
        <v>2022</v>
      </c>
      <c r="U111">
        <f>IF(connections!$A111="","",IFERROR(INDEX(games!$B$2:$B$846,MATCH(connections!$B111,games!$A$2:$A$846,0)),""))</f>
        <v>2026</v>
      </c>
      <c r="V111">
        <f t="shared" si="23"/>
        <v>4</v>
      </c>
    </row>
    <row r="112" spans="1:22" x14ac:dyDescent="0.25">
      <c r="A112" t="str">
        <f>IF(games!$A112="","",games!$A112)</f>
        <v>Caves of Qud</v>
      </c>
      <c r="B112">
        <f>IF($A112="","",games!$B112)</f>
        <v>2010</v>
      </c>
      <c r="C112" t="str">
        <f>IF($A112="","",games!$C112)</f>
        <v>Traditional</v>
      </c>
      <c r="D112">
        <f>IF($A112="","",COUNTIF(connections!$A$2:$A$1205,$A112)+COUNTIF(connections!$B$2:$B$1205,$A112))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IF(connections!$A112="","",IFERROR(INDEX(games!$B$2:$B$846,MATCH(connections!$A112,games!$A$2:$A$846,0)),""))</f>
        <v>2009</v>
      </c>
      <c r="U112">
        <f>IF(connections!$A112="","",IFERROR(INDEX(games!$B$2:$B$846,MATCH(connections!$B112,games!$A$2:$A$846,0)),""))</f>
        <v>2025</v>
      </c>
      <c r="V112">
        <f t="shared" si="23"/>
        <v>16</v>
      </c>
    </row>
    <row r="113" spans="1:22" x14ac:dyDescent="0.25">
      <c r="A113" t="str">
        <f>IF(games!$A113="","",games!$A113)</f>
        <v>Cavity Busters</v>
      </c>
      <c r="B113">
        <f>IF($A113="","",games!$B113)</f>
        <v>2020</v>
      </c>
      <c r="C113" t="str">
        <f>IF($A113="","",games!$C113)</f>
        <v>Action</v>
      </c>
      <c r="D113">
        <f>IF($A113="","",COUNTIF(connections!$A$2:$A$1205,$A113)+COUNTIF(connections!$B$2:$B$1205,$A113))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IF(connections!$A113="","",IFERROR(INDEX(games!$B$2:$B$846,MATCH(connections!$A113,games!$A$2:$A$846,0)),""))</f>
        <v>2009</v>
      </c>
      <c r="U113">
        <f>IF(connections!$A113="","",IFERROR(INDEX(games!$B$2:$B$846,MATCH(connections!$B113,games!$A$2:$A$846,0)),""))</f>
        <v>2020</v>
      </c>
      <c r="V113">
        <f t="shared" si="23"/>
        <v>11</v>
      </c>
    </row>
    <row r="114" spans="1:22" x14ac:dyDescent="0.25">
      <c r="A114" t="str">
        <f>IF(games!$A114="","",games!$A114)</f>
        <v>Cell Command</v>
      </c>
      <c r="B114">
        <f>IF($A114="","",games!$B114)</f>
        <v>2025</v>
      </c>
      <c r="C114" t="str">
        <f>IF($A114="","",games!$C114)</f>
        <v>Strategy</v>
      </c>
      <c r="D114">
        <f>IF($A114="","",COUNTIF(connections!$A$2:$A$1205,$A114)+COUNTIF(connections!$B$2:$B$1205,$A114))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IF(connections!$A114="","",IFERROR(INDEX(games!$B$2:$B$846,MATCH(connections!$A114,games!$A$2:$A$846,0)),""))</f>
        <v>2009</v>
      </c>
      <c r="U114">
        <f>IF(connections!$A114="","",IFERROR(INDEX(games!$B$2:$B$846,MATCH(connections!$B114,games!$A$2:$A$846,0)),""))</f>
        <v>2023</v>
      </c>
      <c r="V114">
        <f t="shared" si="23"/>
        <v>14</v>
      </c>
    </row>
    <row r="115" spans="1:22" x14ac:dyDescent="0.25">
      <c r="A115" t="str">
        <f>IF(games!$A115="","",games!$A115)</f>
        <v>Centipede Gun</v>
      </c>
      <c r="B115">
        <f>IF($A115="","",games!$B115)</f>
        <v>2023</v>
      </c>
      <c r="C115" t="str">
        <f>IF($A115="","",games!$C115)</f>
        <v>Action</v>
      </c>
      <c r="D115">
        <f>IF($A115="","",COUNTIF(connections!$A$2:$A$1205,$A115)+COUNTIF(connections!$B$2:$B$1205,$A115))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IF(connections!$A115="","",IFERROR(INDEX(games!$B$2:$B$846,MATCH(connections!$A115,games!$A$2:$A$846,0)),""))</f>
        <v>2009</v>
      </c>
      <c r="U115">
        <f>IF(connections!$A115="","",IFERROR(INDEX(games!$B$2:$B$846,MATCH(connections!$B115,games!$A$2:$A$846,0)),""))</f>
        <v>2012</v>
      </c>
      <c r="V115">
        <f t="shared" si="23"/>
        <v>3</v>
      </c>
    </row>
    <row r="116" spans="1:22" x14ac:dyDescent="0.25">
      <c r="A116" t="str">
        <f>IF(games!$A116="","",games!$A116)</f>
        <v>Chaos Zero Nightmare</v>
      </c>
      <c r="B116">
        <f>IF($A116="","",games!$B116)</f>
        <v>2025</v>
      </c>
      <c r="C116" t="str">
        <f>IF($A116="","",games!$C116)</f>
        <v>Deckbuilder</v>
      </c>
      <c r="D116">
        <f>IF($A116="","",COUNTIF(connections!$A$2:$A$1205,$A116)+COUNTIF(connections!$B$2:$B$1205,$A116))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IF(connections!$A116="","",IFERROR(INDEX(games!$B$2:$B$846,MATCH(connections!$A116,games!$A$2:$A$846,0)),""))</f>
        <v>2009</v>
      </c>
      <c r="U116">
        <f>IF(connections!$A116="","",IFERROR(INDEX(games!$B$2:$B$846,MATCH(connections!$B116,games!$A$2:$A$846,0)),""))</f>
        <v>2023</v>
      </c>
      <c r="V116">
        <f t="shared" si="23"/>
        <v>14</v>
      </c>
    </row>
    <row r="117" spans="1:22" x14ac:dyDescent="0.25">
      <c r="A117" t="str">
        <f>IF(games!$A117="","",games!$A117)</f>
        <v>Chess Survivors</v>
      </c>
      <c r="B117">
        <f>IF($A117="","",games!$B117)</f>
        <v>2022</v>
      </c>
      <c r="C117" t="str">
        <f>IF($A117="","",games!$C117)</f>
        <v>Action</v>
      </c>
      <c r="D117">
        <f>IF($A117="","",COUNTIF(connections!$A$2:$A$1205,$A117)+COUNTIF(connections!$B$2:$B$1205,$A117))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IF(connections!$A117="","",IFERROR(INDEX(games!$B$2:$B$846,MATCH(connections!$A117,games!$A$2:$A$846,0)),""))</f>
        <v>2009</v>
      </c>
      <c r="U117">
        <f>IF(connections!$A117="","",IFERROR(INDEX(games!$B$2:$B$846,MATCH(connections!$B117,games!$A$2:$A$846,0)),""))</f>
        <v>2016</v>
      </c>
      <c r="V117">
        <f t="shared" si="23"/>
        <v>7</v>
      </c>
    </row>
    <row r="118" spans="1:22" x14ac:dyDescent="0.25">
      <c r="A118" t="str">
        <f>IF(games!$A118="","",games!$A118)</f>
        <v>Children of Morta</v>
      </c>
      <c r="B118">
        <f>IF($A118="","",games!$B118)</f>
        <v>2019</v>
      </c>
      <c r="C118" t="str">
        <f>IF($A118="","",games!$C118)</f>
        <v>Action</v>
      </c>
      <c r="D118">
        <f>IF($A118="","",COUNTIF(connections!$A$2:$A$1205,$A118)+COUNTIF(connections!$B$2:$B$1205,$A118))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IF(connections!$A118="","",IFERROR(INDEX(games!$B$2:$B$846,MATCH(connections!$A118,games!$A$2:$A$846,0)),""))</f>
        <v>2009</v>
      </c>
      <c r="U118">
        <f>IF(connections!$A118="","",IFERROR(INDEX(games!$B$2:$B$846,MATCH(connections!$B118,games!$A$2:$A$846,0)),""))</f>
        <v>2017</v>
      </c>
      <c r="V118">
        <f t="shared" si="23"/>
        <v>8</v>
      </c>
    </row>
    <row r="119" spans="1:22" x14ac:dyDescent="0.25">
      <c r="A119" t="str">
        <f>IF(games!$A119="","",games!$A119)</f>
        <v>Chocobo's Dungeon 2</v>
      </c>
      <c r="B119">
        <f>IF($A119="","",games!$B119)</f>
        <v>1998</v>
      </c>
      <c r="C119" t="str">
        <f>IF($A119="","",games!$C119)</f>
        <v>Traditional</v>
      </c>
      <c r="D119">
        <f>IF($A119="","",COUNTIF(connections!$A$2:$A$1205,$A119)+COUNTIF(connections!$B$2:$B$1205,$A119))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IF(connections!$A119="","",IFERROR(INDEX(games!$B$2:$B$846,MATCH(connections!$A119,games!$A$2:$A$846,0)),""))</f>
        <v>2009</v>
      </c>
      <c r="U119">
        <f>IF(connections!$A119="","",IFERROR(INDEX(games!$B$2:$B$846,MATCH(connections!$B119,games!$A$2:$A$846,0)),""))</f>
        <v>2023</v>
      </c>
      <c r="V119">
        <f t="shared" si="23"/>
        <v>14</v>
      </c>
    </row>
    <row r="120" spans="1:22" x14ac:dyDescent="0.25">
      <c r="A120" t="str">
        <f>IF(games!$A120="","",games!$A120)</f>
        <v>Chocobo's Mysterious Dungeon</v>
      </c>
      <c r="B120">
        <f>IF($A120="","",games!$B120)</f>
        <v>1997</v>
      </c>
      <c r="C120" t="str">
        <f>IF($A120="","",games!$C120)</f>
        <v>Traditional</v>
      </c>
      <c r="D120">
        <f>IF($A120="","",COUNTIF(connections!$A$2:$A$1205,$A120)+COUNTIF(connections!$B$2:$B$1205,$A120))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IF(connections!$A120="","",IFERROR(INDEX(games!$B$2:$B$846,MATCH(connections!$A120,games!$A$2:$A$846,0)),""))</f>
        <v>2022</v>
      </c>
      <c r="U120">
        <f>IF(connections!$A120="","",IFERROR(INDEX(games!$B$2:$B$846,MATCH(connections!$B120,games!$A$2:$A$846,0)),""))</f>
        <v>2025</v>
      </c>
      <c r="V120">
        <f t="shared" si="23"/>
        <v>3</v>
      </c>
    </row>
    <row r="121" spans="1:22" x14ac:dyDescent="0.25">
      <c r="A121" t="str">
        <f>IF(games!$A121="","",games!$A121)</f>
        <v>Chocobo's Mystery Dungeon Every Buddy!</v>
      </c>
      <c r="B121">
        <f>IF($A121="","",games!$B121)</f>
        <v>2019</v>
      </c>
      <c r="C121" t="str">
        <f>IF($A121="","",games!$C121)</f>
        <v>Traditional</v>
      </c>
      <c r="D121">
        <f>IF($A121="","",COUNTIF(connections!$A$2:$A$1205,$A121)+COUNTIF(connections!$B$2:$B$1205,$A121))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IF(connections!$A121="","",IFERROR(INDEX(games!$B$2:$B$846,MATCH(connections!$A121,games!$A$2:$A$846,0)),""))</f>
        <v>2022</v>
      </c>
      <c r="U121">
        <f>IF(connections!$A121="","",IFERROR(INDEX(games!$B$2:$B$846,MATCH(connections!$B121,games!$A$2:$A$846,0)),""))</f>
        <v>2024</v>
      </c>
      <c r="V121">
        <f t="shared" si="23"/>
        <v>2</v>
      </c>
    </row>
    <row r="122" spans="1:22" x14ac:dyDescent="0.25">
      <c r="A122" t="str">
        <f>IF(games!$A122="","",games!$A122)</f>
        <v>Choo Choo Survivor</v>
      </c>
      <c r="B122">
        <f>IF($A122="","",games!$B122)</f>
        <v>2023</v>
      </c>
      <c r="C122" t="str">
        <f>IF($A122="","",games!$C122)</f>
        <v>Action</v>
      </c>
      <c r="D122">
        <f>IF($A122="","",COUNTIF(connections!$A$2:$A$1205,$A122)+COUNTIF(connections!$B$2:$B$1205,$A122))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IF(connections!$A122="","",IFERROR(INDEX(games!$B$2:$B$846,MATCH(connections!$A122,games!$A$2:$A$846,0)),""))</f>
        <v>2022</v>
      </c>
      <c r="U122">
        <f>IF(connections!$A122="","",IFERROR(INDEX(games!$B$2:$B$846,MATCH(connections!$B122,games!$A$2:$A$846,0)),""))</f>
        <v>2026</v>
      </c>
      <c r="V122">
        <f t="shared" si="23"/>
        <v>4</v>
      </c>
    </row>
    <row r="123" spans="1:22" x14ac:dyDescent="0.25">
      <c r="A123" t="str">
        <f>IF(games!$A123="","",games!$A123)</f>
        <v>Choo Choo Survivor 2</v>
      </c>
      <c r="B123">
        <f>IF($A123="","",games!$B123)</f>
        <v>2025</v>
      </c>
      <c r="C123" t="str">
        <f>IF($A123="","",games!$C123)</f>
        <v>Action</v>
      </c>
      <c r="D123">
        <f>IF($A123="","",COUNTIF(connections!$A$2:$A$1205,$A123)+COUNTIF(connections!$B$2:$B$1205,$A123))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IF(connections!$A123="","",IFERROR(INDEX(games!$B$2:$B$846,MATCH(connections!$A123,games!$A$2:$A$846,0)),""))</f>
        <v>2022</v>
      </c>
      <c r="U123">
        <f>IF(connections!$A123="","",IFERROR(INDEX(games!$B$2:$B$846,MATCH(connections!$B123,games!$A$2:$A$846,0)),""))</f>
        <v>2025</v>
      </c>
      <c r="V123">
        <f t="shared" si="23"/>
        <v>3</v>
      </c>
    </row>
    <row r="124" spans="1:22" x14ac:dyDescent="0.25">
      <c r="A124" t="str">
        <f>IF(games!$A124="","",games!$A124)</f>
        <v>Chrono Ark</v>
      </c>
      <c r="B124">
        <f>IF($A124="","",games!$B124)</f>
        <v>2019</v>
      </c>
      <c r="C124" t="str">
        <f>IF($A124="","",games!$C124)</f>
        <v>Deckbuilder</v>
      </c>
      <c r="D124">
        <f>IF($A124="","",COUNTIF(connections!$A$2:$A$1205,$A124)+COUNTIF(connections!$B$2:$B$1205,$A124))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IF(connections!$A124="","",IFERROR(INDEX(games!$B$2:$B$846,MATCH(connections!$A124,games!$A$2:$A$846,0)),""))</f>
        <v>2022</v>
      </c>
      <c r="U124">
        <f>IF(connections!$A124="","",IFERROR(INDEX(games!$B$2:$B$846,MATCH(connections!$B124,games!$A$2:$A$846,0)),""))</f>
        <v>2025</v>
      </c>
      <c r="V124">
        <f t="shared" si="23"/>
        <v>3</v>
      </c>
    </row>
    <row r="125" spans="1:22" x14ac:dyDescent="0.25">
      <c r="A125" t="str">
        <f>IF(games!$A125="","",games!$A125)</f>
        <v>Cinderia</v>
      </c>
      <c r="B125">
        <f>IF($A125="","",games!$B125)</f>
        <v>2026</v>
      </c>
      <c r="C125" t="str">
        <f>IF($A125="","",games!$C125)</f>
        <v>Action</v>
      </c>
      <c r="D125">
        <f>IF($A125="","",COUNTIF(connections!$A$2:$A$1205,$A125)+COUNTIF(connections!$B$2:$B$1205,$A125))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IF(connections!$A125="","",IFERROR(INDEX(games!$B$2:$B$846,MATCH(connections!$A125,games!$A$2:$A$846,0)),""))</f>
        <v>2022</v>
      </c>
      <c r="U125">
        <f>IF(connections!$A125="","",IFERROR(INDEX(games!$B$2:$B$846,MATCH(connections!$B125,games!$A$2:$A$846,0)),""))</f>
        <v>2025</v>
      </c>
      <c r="V125">
        <f t="shared" si="23"/>
        <v>3</v>
      </c>
    </row>
    <row r="126" spans="1:22" x14ac:dyDescent="0.25">
      <c r="A126" t="str">
        <f>IF(games!$A126="","",games!$A126)</f>
        <v>CleanFall</v>
      </c>
      <c r="B126">
        <f>IF($A126="","",games!$B126)</f>
        <v>2025</v>
      </c>
      <c r="C126" t="str">
        <f>IF($A126="","",games!$C126)</f>
        <v>Action</v>
      </c>
      <c r="D126">
        <f>IF($A126="","",COUNTIF(connections!$A$2:$A$1205,$A126)+COUNTIF(connections!$B$2:$B$1205,$A126))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IF(connections!$A126="","",IFERROR(INDEX(games!$B$2:$B$846,MATCH(connections!$A126,games!$A$2:$A$846,0)),""))</f>
        <v>2022</v>
      </c>
      <c r="U126">
        <f>IF(connections!$A126="","",IFERROR(INDEX(games!$B$2:$B$846,MATCH(connections!$B126,games!$A$2:$A$846,0)),""))</f>
        <v>2024</v>
      </c>
      <c r="V126">
        <f t="shared" si="23"/>
        <v>2</v>
      </c>
    </row>
    <row r="127" spans="1:22" x14ac:dyDescent="0.25">
      <c r="A127" t="str">
        <f>IF(games!$A127="","",games!$A127)</f>
        <v>CloverPit</v>
      </c>
      <c r="B127">
        <f>IF($A127="","",games!$B127)</f>
        <v>2025</v>
      </c>
      <c r="C127" t="str">
        <f>IF($A127="","",games!$C127)</f>
        <v>Strategy</v>
      </c>
      <c r="D127">
        <f>IF($A127="","",COUNTIF(connections!$A$2:$A$1205,$A127)+COUNTIF(connections!$B$2:$B$1205,$A127))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IF(connections!$A127="","",IFERROR(INDEX(games!$B$2:$B$846,MATCH(connections!$A127,games!$A$2:$A$846,0)),""))</f>
        <v>2022</v>
      </c>
      <c r="U127">
        <f>IF(connections!$A127="","",IFERROR(INDEX(games!$B$2:$B$846,MATCH(connections!$B127,games!$A$2:$A$846,0)),""))</f>
        <v>2024</v>
      </c>
      <c r="V127">
        <f t="shared" si="23"/>
        <v>2</v>
      </c>
    </row>
    <row r="128" spans="1:22" x14ac:dyDescent="0.25">
      <c r="A128" t="str">
        <f>IF(games!$A128="","",games!$A128)</f>
        <v>Cluckmech Oasis</v>
      </c>
      <c r="B128">
        <f>IF($A128="","",games!$B128)</f>
        <v>2024</v>
      </c>
      <c r="C128" t="str">
        <f>IF($A128="","",games!$C128)</f>
        <v>Strategy</v>
      </c>
      <c r="D128">
        <f>IF($A128="","",COUNTIF(connections!$A$2:$A$1205,$A128)+COUNTIF(connections!$B$2:$B$1205,$A128))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IF(connections!$A128="","",IFERROR(INDEX(games!$B$2:$B$846,MATCH(connections!$A128,games!$A$2:$A$846,0)),""))</f>
        <v>2022</v>
      </c>
      <c r="U128">
        <f>IF(connections!$A128="","",IFERROR(INDEX(games!$B$2:$B$846,MATCH(connections!$B128,games!$A$2:$A$846,0)),""))</f>
        <v>2023</v>
      </c>
      <c r="V128">
        <f t="shared" si="23"/>
        <v>1</v>
      </c>
    </row>
    <row r="129" spans="1:22" x14ac:dyDescent="0.25">
      <c r="A129" t="str">
        <f>IF(games!$A129="","",games!$A129)</f>
        <v>Clutchtime: Basketball Deckbuilder</v>
      </c>
      <c r="B129">
        <f>IF($A129="","",games!$B129)</f>
        <v>2025</v>
      </c>
      <c r="C129" t="str">
        <f>IF($A129="","",games!$C129)</f>
        <v>Deckbuilder</v>
      </c>
      <c r="D129">
        <f>IF($A129="","",COUNTIF(connections!$A$2:$A$1205,$A129)+COUNTIF(connections!$B$2:$B$1205,$A129))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IF(connections!$A129="","",IFERROR(INDEX(games!$B$2:$B$846,MATCH(connections!$A129,games!$A$2:$A$846,0)),""))</f>
        <v>2022</v>
      </c>
      <c r="U129">
        <f>IF(connections!$A129="","",IFERROR(INDEX(games!$B$2:$B$846,MATCH(connections!$B129,games!$A$2:$A$846,0)),""))</f>
        <v>2024</v>
      </c>
      <c r="V129">
        <f t="shared" si="23"/>
        <v>2</v>
      </c>
    </row>
    <row r="130" spans="1:22" x14ac:dyDescent="0.25">
      <c r="A130" t="str">
        <f>IF(games!$A130="","",games!$A130)</f>
        <v>Coal LLC</v>
      </c>
      <c r="B130">
        <f>IF($A130="","",games!$B130)</f>
        <v>2025</v>
      </c>
      <c r="C130" t="str">
        <f>IF($A130="","",games!$C130)</f>
        <v>Strategy</v>
      </c>
      <c r="D130">
        <f>IF($A130="","",COUNTIF(connections!$A$2:$A$1205,$A130)+COUNTIF(connections!$B$2:$B$1205,$A130))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IF(connections!$A130="","",IFERROR(INDEX(games!$B$2:$B$846,MATCH(connections!$A130,games!$A$2:$A$846,0)),""))</f>
        <v>2023</v>
      </c>
      <c r="U130">
        <f>IF(connections!$A130="","",IFERROR(INDEX(games!$B$2:$B$846,MATCH(connections!$B130,games!$A$2:$A$846,0)),""))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IF($A131="","",COUNTIF(connections!$A$2:$A$1205,$A131)+COUNTIF(connections!$B$2:$B$1205,$A131))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IF(connections!$A131="","",IFERROR(INDEX(games!$B$2:$B$846,MATCH(connections!$A131,games!$A$2:$A$846,0)),""))</f>
        <v>2018</v>
      </c>
      <c r="U131">
        <f>IF(connections!$A131="","",IFERROR(INDEX(games!$B$2:$B$846,MATCH(connections!$B131,games!$A$2:$A$846,0)),""))</f>
        <v>2023</v>
      </c>
      <c r="V131">
        <f t="shared" si="35"/>
        <v>5</v>
      </c>
    </row>
    <row r="132" spans="1:22" x14ac:dyDescent="0.25">
      <c r="A132" t="str">
        <f>IF(games!$A132="","",games!$A132)</f>
        <v>Cogmind</v>
      </c>
      <c r="B132">
        <f>IF($A132="","",games!$B132)</f>
        <v>2017</v>
      </c>
      <c r="C132" t="str">
        <f>IF($A132="","",games!$C132)</f>
        <v>Traditional</v>
      </c>
      <c r="D132">
        <f>IF($A132="","",COUNTIF(connections!$A$2:$A$1205,$A132)+COUNTIF(connections!$B$2:$B$1205,$A132))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IF(connections!$A132="","",IFERROR(INDEX(games!$B$2:$B$846,MATCH(connections!$A132,games!$A$2:$A$846,0)),""))</f>
        <v>2010</v>
      </c>
      <c r="U132">
        <f>IF(connections!$A132="","",IFERROR(INDEX(games!$B$2:$B$846,MATCH(connections!$B132,games!$A$2:$A$846,0)),""))</f>
        <v>2014</v>
      </c>
      <c r="V132">
        <f t="shared" si="35"/>
        <v>4</v>
      </c>
    </row>
    <row r="133" spans="1:22" x14ac:dyDescent="0.25">
      <c r="A133" t="str">
        <f>IF(games!$A133="","",games!$A133)</f>
        <v>Coin Crypt</v>
      </c>
      <c r="B133">
        <f>IF($A133="","",games!$B133)</f>
        <v>2013</v>
      </c>
      <c r="C133" t="str">
        <f>IF($A133="","",games!$C133)</f>
        <v>Deckbuilder</v>
      </c>
      <c r="D133">
        <f>IF($A133="","",COUNTIF(connections!$A$2:$A$1205,$A133)+COUNTIF(connections!$B$2:$B$1205,$A133))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IF(connections!$A133="","",IFERROR(INDEX(games!$B$2:$B$846,MATCH(connections!$A133,games!$A$2:$A$846,0)),""))</f>
        <v>1994</v>
      </c>
      <c r="U133">
        <f>IF(connections!$A133="","",IFERROR(INDEX(games!$B$2:$B$846,MATCH(connections!$B133,games!$A$2:$A$846,0)),""))</f>
        <v>2010</v>
      </c>
      <c r="V133">
        <f t="shared" si="35"/>
        <v>16</v>
      </c>
    </row>
    <row r="134" spans="1:22" x14ac:dyDescent="0.25">
      <c r="A134" t="str">
        <f>IF(games!$A134="","",games!$A134)</f>
        <v>Colt Canyon</v>
      </c>
      <c r="B134">
        <f>IF($A134="","",games!$B134)</f>
        <v>2020</v>
      </c>
      <c r="C134" t="str">
        <f>IF($A134="","",games!$C134)</f>
        <v>Action</v>
      </c>
      <c r="D134">
        <f>IF($A134="","",COUNTIF(connections!$A$2:$A$1205,$A134)+COUNTIF(connections!$B$2:$B$1205,$A134))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IF(connections!$A134="","",IFERROR(INDEX(games!$B$2:$B$846,MATCH(connections!$A134,games!$A$2:$A$846,0)),""))</f>
        <v>2005</v>
      </c>
      <c r="U134">
        <f>IF(connections!$A134="","",IFERROR(INDEX(games!$B$2:$B$846,MATCH(connections!$B134,games!$A$2:$A$846,0)),""))</f>
        <v>2025</v>
      </c>
      <c r="V134">
        <f t="shared" si="35"/>
        <v>20</v>
      </c>
    </row>
    <row r="135" spans="1:22" x14ac:dyDescent="0.25">
      <c r="A135" t="str">
        <f>IF(games!$A135="","",games!$A135)</f>
        <v>Commander Quest</v>
      </c>
      <c r="B135">
        <f>IF($A135="","",games!$B135)</f>
        <v>2025</v>
      </c>
      <c r="C135" t="str">
        <f>IF($A135="","",games!$C135)</f>
        <v>Deckbuilder</v>
      </c>
      <c r="D135">
        <f>IF($A135="","",COUNTIF(connections!$A$2:$A$1205,$A135)+COUNTIF(connections!$B$2:$B$1205,$A135))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IF(connections!$A135="","",IFERROR(INDEX(games!$B$2:$B$846,MATCH(connections!$A135,games!$A$2:$A$846,0)),""))</f>
        <v>2010</v>
      </c>
      <c r="U135">
        <f>IF(connections!$A135="","",IFERROR(INDEX(games!$B$2:$B$846,MATCH(connections!$B135,games!$A$2:$A$846,0)),""))</f>
        <v>2020</v>
      </c>
      <c r="V135">
        <f t="shared" si="35"/>
        <v>10</v>
      </c>
    </row>
    <row r="136" spans="1:22" x14ac:dyDescent="0.25">
      <c r="A136" t="str">
        <f>IF(games!$A136="","",games!$A136)</f>
        <v>Conan Chop Chop</v>
      </c>
      <c r="B136">
        <f>IF($A136="","",games!$B136)</f>
        <v>2022</v>
      </c>
      <c r="C136" t="str">
        <f>IF($A136="","",games!$C136)</f>
        <v>Action</v>
      </c>
      <c r="D136">
        <f>IF($A136="","",COUNTIF(connections!$A$2:$A$1205,$A136)+COUNTIF(connections!$B$2:$B$1205,$A136))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IF(connections!$A136="","",IFERROR(INDEX(games!$B$2:$B$846,MATCH(connections!$A136,games!$A$2:$A$846,0)),""))</f>
        <v>2010</v>
      </c>
      <c r="U136">
        <f>IF(connections!$A136="","",IFERROR(INDEX(games!$B$2:$B$846,MATCH(connections!$B136,games!$A$2:$A$846,0)),""))</f>
        <v>2013</v>
      </c>
      <c r="V136">
        <f t="shared" si="35"/>
        <v>3</v>
      </c>
    </row>
    <row r="137" spans="1:22" x14ac:dyDescent="0.25">
      <c r="A137" t="str">
        <f>IF(games!$A137="","",games!$A137)</f>
        <v>Convoy</v>
      </c>
      <c r="B137">
        <f>IF($A137="","",games!$B137)</f>
        <v>2015</v>
      </c>
      <c r="C137" t="str">
        <f>IF($A137="","",games!$C137)</f>
        <v>Strategy</v>
      </c>
      <c r="D137">
        <f>IF($A137="","",COUNTIF(connections!$A$2:$A$1205,$A137)+COUNTIF(connections!$B$2:$B$1205,$A137))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IF(connections!$A137="","",IFERROR(INDEX(games!$B$2:$B$846,MATCH(connections!$A137,games!$A$2:$A$846,0)),""))</f>
        <v>2013</v>
      </c>
      <c r="U137">
        <f>IF(connections!$A137="","",IFERROR(INDEX(games!$B$2:$B$846,MATCH(connections!$B137,games!$A$2:$A$846,0)),""))</f>
        <v>2025</v>
      </c>
      <c r="V137">
        <f t="shared" si="35"/>
        <v>12</v>
      </c>
    </row>
    <row r="138" spans="1:22" x14ac:dyDescent="0.25">
      <c r="A138" t="str">
        <f>IF(games!$A138="","",games!$A138)</f>
        <v>Core Defense</v>
      </c>
      <c r="B138">
        <f>IF($A138="","",games!$B138)</f>
        <v>2020</v>
      </c>
      <c r="C138" t="str">
        <f>IF($A138="","",games!$C138)</f>
        <v>Strategy</v>
      </c>
      <c r="D138">
        <f>IF($A138="","",COUNTIF(connections!$A$2:$A$1205,$A138)+COUNTIF(connections!$B$2:$B$1205,$A138))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IF(connections!$A138="","",IFERROR(INDEX(games!$B$2:$B$846,MATCH(connections!$A138,games!$A$2:$A$846,0)),""))</f>
        <v>2015</v>
      </c>
      <c r="U138">
        <f>IF(connections!$A138="","",IFERROR(INDEX(games!$B$2:$B$846,MATCH(connections!$B138,games!$A$2:$A$846,0)),""))</f>
        <v>2012</v>
      </c>
      <c r="V138">
        <f t="shared" si="35"/>
        <v>-3</v>
      </c>
    </row>
    <row r="139" spans="1:22" x14ac:dyDescent="0.25">
      <c r="A139" t="str">
        <f>IF(games!$A139="","",games!$A139)</f>
        <v>Corpse Keeper</v>
      </c>
      <c r="B139">
        <f>IF($A139="","",games!$B139)</f>
        <v>2023</v>
      </c>
      <c r="C139" t="str">
        <f>IF($A139="","",games!$C139)</f>
        <v>Action</v>
      </c>
      <c r="D139">
        <f>IF($A139="","",COUNTIF(connections!$A$2:$A$1205,$A139)+COUNTIF(connections!$B$2:$B$1205,$A139))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IF(connections!$A139="","",IFERROR(INDEX(games!$B$2:$B$846,MATCH(connections!$A139,games!$A$2:$A$846,0)),""))</f>
        <v>2017</v>
      </c>
      <c r="U139">
        <f>IF(connections!$A139="","",IFERROR(INDEX(games!$B$2:$B$846,MATCH(connections!$B139,games!$A$2:$A$846,0)),""))</f>
        <v>2023</v>
      </c>
      <c r="V139">
        <f t="shared" si="35"/>
        <v>6</v>
      </c>
    </row>
    <row r="140" spans="1:22" x14ac:dyDescent="0.25">
      <c r="A140" t="str">
        <f>IF(games!$A140="","",games!$A140)</f>
        <v>Crab Champions</v>
      </c>
      <c r="B140">
        <f>IF($A140="","",games!$B140)</f>
        <v>2023</v>
      </c>
      <c r="C140" t="str">
        <f>IF($A140="","",games!$C140)</f>
        <v>Action</v>
      </c>
      <c r="D140">
        <f>IF($A140="","",COUNTIF(connections!$A$2:$A$1205,$A140)+COUNTIF(connections!$B$2:$B$1205,$A140))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IF(connections!$A140="","",IFERROR(INDEX(games!$B$2:$B$846,MATCH(connections!$A140,games!$A$2:$A$846,0)),""))</f>
        <v>2010</v>
      </c>
      <c r="U140">
        <f>IF(connections!$A140="","",IFERROR(INDEX(games!$B$2:$B$846,MATCH(connections!$B140,games!$A$2:$A$846,0)),""))</f>
        <v>2020</v>
      </c>
      <c r="V140">
        <f t="shared" si="35"/>
        <v>10</v>
      </c>
    </row>
    <row r="141" spans="1:22" x14ac:dyDescent="0.25">
      <c r="A141" t="str">
        <f>IF(games!$A141="","",games!$A141)</f>
        <v>Crablike</v>
      </c>
      <c r="B141">
        <f>IF($A141="","",games!$B141)</f>
        <v>2025</v>
      </c>
      <c r="C141" t="str">
        <f>IF($A141="","",games!$C141)</f>
        <v>Traditional</v>
      </c>
      <c r="D141">
        <f>IF($A141="","",COUNTIF(connections!$A$2:$A$1205,$A141)+COUNTIF(connections!$B$2:$B$1205,$A141))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IF(connections!$A141="","",IFERROR(INDEX(games!$B$2:$B$846,MATCH(connections!$A141,games!$A$2:$A$846,0)),""))</f>
        <v>2010</v>
      </c>
      <c r="U141">
        <f>IF(connections!$A141="","",IFERROR(INDEX(games!$B$2:$B$846,MATCH(connections!$B141,games!$A$2:$A$846,0)),""))</f>
        <v>2014</v>
      </c>
      <c r="V141">
        <f t="shared" si="35"/>
        <v>4</v>
      </c>
    </row>
    <row r="142" spans="1:22" x14ac:dyDescent="0.25">
      <c r="A142" t="str">
        <f>IF(games!$A142="","",games!$A142)</f>
        <v>Crafty Survivors</v>
      </c>
      <c r="B142">
        <f>IF($A142="","",games!$B142)</f>
        <v>2023</v>
      </c>
      <c r="C142" t="str">
        <f>IF($A142="","",games!$C142)</f>
        <v>Action</v>
      </c>
      <c r="D142">
        <f>IF($A142="","",COUNTIF(connections!$A$2:$A$1205,$A142)+COUNTIF(connections!$B$2:$B$1205,$A142))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IF(connections!$A142="","",IFERROR(INDEX(games!$B$2:$B$846,MATCH(connections!$A142,games!$A$2:$A$846,0)),""))</f>
        <v>2022</v>
      </c>
      <c r="U142">
        <f>IF(connections!$A142="","",IFERROR(INDEX(games!$B$2:$B$846,MATCH(connections!$B142,games!$A$2:$A$846,0)),""))</f>
        <v>2025</v>
      </c>
      <c r="V142">
        <f t="shared" si="35"/>
        <v>3</v>
      </c>
    </row>
    <row r="143" spans="1:22" x14ac:dyDescent="0.25">
      <c r="A143" t="str">
        <f>IF(games!$A143="","",games!$A143)</f>
        <v>Crawl</v>
      </c>
      <c r="B143">
        <f>IF($A143="","",games!$B143)</f>
        <v>2017</v>
      </c>
      <c r="C143" t="str">
        <f>IF($A143="","",games!$C143)</f>
        <v>Action</v>
      </c>
      <c r="D143">
        <f>IF($A143="","",COUNTIF(connections!$A$2:$A$1205,$A143)+COUNTIF(connections!$B$2:$B$1205,$A143))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IF(connections!$A143="","",IFERROR(INDEX(games!$B$2:$B$846,MATCH(connections!$A143,games!$A$2:$A$846,0)),""))</f>
        <v>2019</v>
      </c>
      <c r="U143">
        <f>IF(connections!$A143="","",IFERROR(INDEX(games!$B$2:$B$846,MATCH(connections!$B143,games!$A$2:$A$846,0)),""))</f>
        <v>2022</v>
      </c>
      <c r="V143">
        <f t="shared" si="35"/>
        <v>3</v>
      </c>
    </row>
    <row r="144" spans="1:22" x14ac:dyDescent="0.25">
      <c r="A144" t="str">
        <f>IF(games!$A144="","",games!$A144)</f>
        <v>Crop Rotation</v>
      </c>
      <c r="B144">
        <f>IF($A144="","",games!$B144)</f>
        <v>2023</v>
      </c>
      <c r="C144" t="str">
        <f>IF($A144="","",games!$C144)</f>
        <v>Deckbuilder</v>
      </c>
      <c r="D144">
        <f>IF($A144="","",COUNTIF(connections!$A$2:$A$1205,$A144)+COUNTIF(connections!$B$2:$B$1205,$A144))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IF(connections!$A144="","",IFERROR(INDEX(games!$B$2:$B$846,MATCH(connections!$A144,games!$A$2:$A$846,0)),""))</f>
        <v>1998</v>
      </c>
      <c r="U144">
        <f>IF(connections!$A144="","",IFERROR(INDEX(games!$B$2:$B$846,MATCH(connections!$B144,games!$A$2:$A$846,0)),""))</f>
        <v>2007</v>
      </c>
      <c r="V144">
        <f t="shared" si="35"/>
        <v>9</v>
      </c>
    </row>
    <row r="145" spans="1:22" x14ac:dyDescent="0.25">
      <c r="A145" t="str">
        <f>IF(games!$A145="","",games!$A145)</f>
        <v>Cropdeck</v>
      </c>
      <c r="B145">
        <f>IF($A145="","",games!$B145)</f>
        <v>2026</v>
      </c>
      <c r="C145" t="str">
        <f>IF($A145="","",games!$C145)</f>
        <v>Deckbuilder</v>
      </c>
      <c r="D145">
        <f>IF($A145="","",COUNTIF(connections!$A$2:$A$1205,$A145)+COUNTIF(connections!$B$2:$B$1205,$A145))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IF(connections!$A145="","",IFERROR(INDEX(games!$B$2:$B$846,MATCH(connections!$A145,games!$A$2:$A$846,0)),""))</f>
        <v>1997</v>
      </c>
      <c r="U145">
        <f>IF(connections!$A145="","",IFERROR(INDEX(games!$B$2:$B$846,MATCH(connections!$B145,games!$A$2:$A$846,0)),""))</f>
        <v>1998</v>
      </c>
      <c r="V145">
        <f t="shared" si="35"/>
        <v>1</v>
      </c>
    </row>
    <row r="146" spans="1:22" x14ac:dyDescent="0.25">
      <c r="A146" t="str">
        <f>IF(games!$A146="","",games!$A146)</f>
        <v>Cross Blitz</v>
      </c>
      <c r="B146">
        <f>IF($A146="","",games!$B146)</f>
        <v>2023</v>
      </c>
      <c r="C146" t="str">
        <f>IF($A146="","",games!$C146)</f>
        <v>Deckbuilder</v>
      </c>
      <c r="D146">
        <f>IF($A146="","",COUNTIF(connections!$A$2:$A$1205,$A146)+COUNTIF(connections!$B$2:$B$1205,$A146))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IF(connections!$A146="","",IFERROR(INDEX(games!$B$2:$B$846,MATCH(connections!$A146,games!$A$2:$A$846,0)),""))</f>
        <v>2023</v>
      </c>
      <c r="U146">
        <f>IF(connections!$A146="","",IFERROR(INDEX(games!$B$2:$B$846,MATCH(connections!$B146,games!$A$2:$A$846,0)),""))</f>
        <v>2025</v>
      </c>
      <c r="V146">
        <f t="shared" si="35"/>
        <v>2</v>
      </c>
    </row>
    <row r="147" spans="1:22" x14ac:dyDescent="0.25">
      <c r="A147" t="str">
        <f>IF(games!$A147="","",games!$A147)</f>
        <v>Crown Trick</v>
      </c>
      <c r="B147">
        <f>IF($A147="","",games!$B147)</f>
        <v>2020</v>
      </c>
      <c r="C147" t="str">
        <f>IF($A147="","",games!$C147)</f>
        <v>Strategy</v>
      </c>
      <c r="D147">
        <f>IF($A147="","",COUNTIF(connections!$A$2:$A$1205,$A147)+COUNTIF(connections!$B$2:$B$1205,$A147))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IF(connections!$A147="","",IFERROR(INDEX(games!$B$2:$B$846,MATCH(connections!$A147,games!$A$2:$A$846,0)),""))</f>
        <v>2017</v>
      </c>
      <c r="U147">
        <f>IF(connections!$A147="","",IFERROR(INDEX(games!$B$2:$B$846,MATCH(connections!$B147,games!$A$2:$A$846,0)),""))</f>
        <v>2020</v>
      </c>
      <c r="V147">
        <f t="shared" si="35"/>
        <v>3</v>
      </c>
    </row>
    <row r="148" spans="1:22" x14ac:dyDescent="0.25">
      <c r="A148" t="str">
        <f>IF(games!$A148="","",games!$A148)</f>
        <v>Crush the Industry</v>
      </c>
      <c r="B148">
        <f>IF($A148="","",games!$B148)</f>
        <v>2025</v>
      </c>
      <c r="C148" t="str">
        <f>IF($A148="","",games!$C148)</f>
        <v>Deckbuilder</v>
      </c>
      <c r="D148">
        <f>IF($A148="","",COUNTIF(connections!$A$2:$A$1205,$A148)+COUNTIF(connections!$B$2:$B$1205,$A148))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IF(connections!$A148="","",IFERROR(INDEX(games!$B$2:$B$846,MATCH(connections!$A148,games!$A$2:$A$846,0)),""))</f>
        <v>2017</v>
      </c>
      <c r="U148">
        <f>IF(connections!$A148="","",IFERROR(INDEX(games!$B$2:$B$846,MATCH(connections!$B148,games!$A$2:$A$846,0)),""))</f>
        <v>2021</v>
      </c>
      <c r="V148">
        <f t="shared" si="35"/>
        <v>4</v>
      </c>
    </row>
    <row r="149" spans="1:22" x14ac:dyDescent="0.25">
      <c r="A149" t="str">
        <f>IF(games!$A149="","",games!$A149)</f>
        <v>Crying Suns</v>
      </c>
      <c r="B149">
        <f>IF($A149="","",games!$B149)</f>
        <v>2019</v>
      </c>
      <c r="C149" t="str">
        <f>IF($A149="","",games!$C149)</f>
        <v>Strategy</v>
      </c>
      <c r="D149">
        <f>IF($A149="","",COUNTIF(connections!$A$2:$A$1205,$A149)+COUNTIF(connections!$B$2:$B$1205,$A149))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IF(connections!$A149="","",IFERROR(INDEX(games!$B$2:$B$846,MATCH(connections!$A149,games!$A$2:$A$846,0)),""))</f>
        <v>2020</v>
      </c>
      <c r="U149">
        <f>IF(connections!$A149="","",IFERROR(INDEX(games!$B$2:$B$846,MATCH(connections!$B149,games!$A$2:$A$846,0)),""))</f>
        <v>2024</v>
      </c>
      <c r="V149">
        <f t="shared" si="35"/>
        <v>4</v>
      </c>
    </row>
    <row r="150" spans="1:22" x14ac:dyDescent="0.25">
      <c r="A150" t="str">
        <f>IF(games!$A150="","",games!$A150)</f>
        <v>Crypt of the NecroDancer</v>
      </c>
      <c r="B150">
        <f>IF($A150="","",games!$B150)</f>
        <v>2015</v>
      </c>
      <c r="C150" t="str">
        <f>IF($A150="","",games!$C150)</f>
        <v>Traditional</v>
      </c>
      <c r="D150">
        <f>IF($A150="","",COUNTIF(connections!$A$2:$A$1205,$A150)+COUNTIF(connections!$B$2:$B$1205,$A150))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IF(connections!$A150="","",IFERROR(INDEX(games!$B$2:$B$846,MATCH(connections!$A150,games!$A$2:$A$846,0)),""))</f>
        <v>2023</v>
      </c>
      <c r="U150">
        <f>IF(connections!$A150="","",IFERROR(INDEX(games!$B$2:$B$846,MATCH(connections!$B150,games!$A$2:$A$846,0)),""))</f>
        <v>2026</v>
      </c>
      <c r="V150">
        <f t="shared" si="35"/>
        <v>3</v>
      </c>
    </row>
    <row r="151" spans="1:22" x14ac:dyDescent="0.25">
      <c r="A151" t="str">
        <f>IF(games!$A151="","",games!$A151)</f>
        <v>Cryptark</v>
      </c>
      <c r="B151">
        <f>IF($A151="","",games!$B151)</f>
        <v>2017</v>
      </c>
      <c r="C151" t="str">
        <f>IF($A151="","",games!$C151)</f>
        <v>Action</v>
      </c>
      <c r="D151">
        <f>IF($A151="","",COUNTIF(connections!$A$2:$A$1205,$A151)+COUNTIF(connections!$B$2:$B$1205,$A151))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IF(connections!$A151="","",IFERROR(INDEX(games!$B$2:$B$846,MATCH(connections!$A151,games!$A$2:$A$846,0)),""))</f>
        <v>2023</v>
      </c>
      <c r="U151">
        <f>IF(connections!$A151="","",IFERROR(INDEX(games!$B$2:$B$846,MATCH(connections!$B151,games!$A$2:$A$846,0)),""))</f>
        <v>2024</v>
      </c>
      <c r="V151">
        <f t="shared" si="35"/>
        <v>1</v>
      </c>
    </row>
    <row r="152" spans="1:22" x14ac:dyDescent="0.25">
      <c r="A152" t="str">
        <f>IF(games!$A152="","",games!$A152)</f>
        <v>Cthangband</v>
      </c>
      <c r="B152">
        <f>IF($A152="","",games!$B152)</f>
        <v>1998</v>
      </c>
      <c r="C152" t="str">
        <f>IF($A152="","",games!$C152)</f>
        <v>Traditional</v>
      </c>
      <c r="D152">
        <f>IF($A152="","",COUNTIF(connections!$A$2:$A$1205,$A152)+COUNTIF(connections!$B$2:$B$1205,$A152))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IF(connections!$A152="","",IFERROR(INDEX(games!$B$2:$B$846,MATCH(connections!$A152,games!$A$2:$A$846,0)),""))</f>
        <v>2015</v>
      </c>
      <c r="U152">
        <f>IF(connections!$A152="","",IFERROR(INDEX(games!$B$2:$B$846,MATCH(connections!$B152,games!$A$2:$A$846,0)),""))</f>
        <v>2017</v>
      </c>
      <c r="V152">
        <f t="shared" si="35"/>
        <v>2</v>
      </c>
    </row>
    <row r="153" spans="1:22" x14ac:dyDescent="0.25">
      <c r="A153" t="str">
        <f>IF(games!$A153="","",games!$A153)</f>
        <v>Cube Chaos</v>
      </c>
      <c r="B153">
        <f>IF($A153="","",games!$B153)</f>
        <v>2023</v>
      </c>
      <c r="C153" t="str">
        <f>IF($A153="","",games!$C153)</f>
        <v>Deckbuilder</v>
      </c>
      <c r="D153">
        <f>IF($A153="","",COUNTIF(connections!$A$2:$A$1205,$A153)+COUNTIF(connections!$B$2:$B$1205,$A153))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IF(connections!$A153="","",IFERROR(INDEX(games!$B$2:$B$846,MATCH(connections!$A153,games!$A$2:$A$846,0)),""))</f>
        <v>2015</v>
      </c>
      <c r="U153">
        <f>IF(connections!$A153="","",IFERROR(INDEX(games!$B$2:$B$846,MATCH(connections!$B153,games!$A$2:$A$846,0)),""))</f>
        <v>2020</v>
      </c>
      <c r="V153">
        <f t="shared" si="35"/>
        <v>5</v>
      </c>
    </row>
    <row r="154" spans="1:22" x14ac:dyDescent="0.25">
      <c r="A154" t="str">
        <f>IF(games!$A154="","",games!$A154)</f>
        <v>Cubic Cosmos</v>
      </c>
      <c r="B154">
        <f>IF($A154="","",games!$B154)</f>
        <v>2025</v>
      </c>
      <c r="C154" t="str">
        <f>IF($A154="","",games!$C154)</f>
        <v>Deckbuilder</v>
      </c>
      <c r="D154">
        <f>IF($A154="","",COUNTIF(connections!$A$2:$A$1205,$A154)+COUNTIF(connections!$B$2:$B$1205,$A154))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IF(connections!$A154="","",IFERROR(INDEX(games!$B$2:$B$846,MATCH(connections!$A154,games!$A$2:$A$846,0)),""))</f>
        <v>2015</v>
      </c>
      <c r="U154">
        <f>IF(connections!$A154="","",IFERROR(INDEX(games!$B$2:$B$846,MATCH(connections!$B154,games!$A$2:$A$846,0)),""))</f>
        <v>2022</v>
      </c>
      <c r="V154">
        <f t="shared" si="35"/>
        <v>7</v>
      </c>
    </row>
    <row r="155" spans="1:22" x14ac:dyDescent="0.25">
      <c r="A155" t="str">
        <f>IF(games!$A155="","",games!$A155)</f>
        <v>Cult of the Lamb</v>
      </c>
      <c r="B155">
        <f>IF($A155="","",games!$B155)</f>
        <v>2022</v>
      </c>
      <c r="C155" t="str">
        <f>IF($A155="","",games!$C155)</f>
        <v>Action</v>
      </c>
      <c r="D155">
        <f>IF($A155="","",COUNTIF(connections!$A$2:$A$1205,$A155)+COUNTIF(connections!$B$2:$B$1205,$A155))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IF(connections!$A155="","",IFERROR(INDEX(games!$B$2:$B$846,MATCH(connections!$A155,games!$A$2:$A$846,0)),""))</f>
        <v>2015</v>
      </c>
      <c r="U155">
        <f>IF(connections!$A155="","",IFERROR(INDEX(games!$B$2:$B$846,MATCH(connections!$B155,games!$A$2:$A$846,0)),""))</f>
        <v>2026</v>
      </c>
      <c r="V155">
        <f t="shared" si="35"/>
        <v>11</v>
      </c>
    </row>
    <row r="156" spans="1:22" x14ac:dyDescent="0.25">
      <c r="A156" t="str">
        <f>IF(games!$A156="","",games!$A156)</f>
        <v>Cultist Simulator</v>
      </c>
      <c r="B156">
        <f>IF($A156="","",games!$B156)</f>
        <v>2018</v>
      </c>
      <c r="C156" t="str">
        <f>IF($A156="","",games!$C156)</f>
        <v>Strategy</v>
      </c>
      <c r="D156">
        <f>IF($A156="","",COUNTIF(connections!$A$2:$A$1205,$A156)+COUNTIF(connections!$B$2:$B$1205,$A156))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IF(connections!$A156="","",IFERROR(INDEX(games!$B$2:$B$846,MATCH(connections!$A156,games!$A$2:$A$846,0)),""))</f>
        <v>2015</v>
      </c>
      <c r="U156">
        <f>IF(connections!$A156="","",IFERROR(INDEX(games!$B$2:$B$846,MATCH(connections!$B156,games!$A$2:$A$846,0)),""))</f>
        <v>2021</v>
      </c>
      <c r="V156">
        <f t="shared" si="35"/>
        <v>6</v>
      </c>
    </row>
    <row r="157" spans="1:22" x14ac:dyDescent="0.25">
      <c r="A157" t="str">
        <f>IF(games!$A157="","",games!$A157)</f>
        <v>Cupiclaw</v>
      </c>
      <c r="B157">
        <f>IF($A157="","",games!$B157)</f>
        <v>2024</v>
      </c>
      <c r="C157" t="str">
        <f>IF($A157="","",games!$C157)</f>
        <v>Deckbuilder</v>
      </c>
      <c r="D157">
        <f>IF($A157="","",COUNTIF(connections!$A$2:$A$1205,$A157)+COUNTIF(connections!$B$2:$B$1205,$A157))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IF(connections!$A157="","",IFERROR(INDEX(games!$B$2:$B$846,MATCH(connections!$A157,games!$A$2:$A$846,0)),""))</f>
        <v>2015</v>
      </c>
      <c r="U157">
        <f>IF(connections!$A157="","",IFERROR(INDEX(games!$B$2:$B$846,MATCH(connections!$B157,games!$A$2:$A$846,0)),""))</f>
        <v>2012</v>
      </c>
      <c r="V157">
        <f t="shared" si="35"/>
        <v>-3</v>
      </c>
    </row>
    <row r="158" spans="1:22" x14ac:dyDescent="0.25">
      <c r="A158" t="str">
        <f>IF(games!$A158="","",games!$A158)</f>
        <v>Curious Expedition</v>
      </c>
      <c r="B158">
        <f>IF($A158="","",games!$B158)</f>
        <v>2016</v>
      </c>
      <c r="C158" t="str">
        <f>IF($A158="","",games!$C158)</f>
        <v>Strategy</v>
      </c>
      <c r="D158">
        <f>IF($A158="","",COUNTIF(connections!$A$2:$A$1205,$A158)+COUNTIF(connections!$B$2:$B$1205,$A158))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IF(connections!$A158="","",IFERROR(INDEX(games!$B$2:$B$846,MATCH(connections!$A158,games!$A$2:$A$846,0)),""))</f>
        <v>2015</v>
      </c>
      <c r="U158">
        <f>IF(connections!$A158="","",IFERROR(INDEX(games!$B$2:$B$846,MATCH(connections!$B158,games!$A$2:$A$846,0)),""))</f>
        <v>2025</v>
      </c>
      <c r="V158">
        <f t="shared" si="35"/>
        <v>10</v>
      </c>
    </row>
    <row r="159" spans="1:22" x14ac:dyDescent="0.25">
      <c r="A159" t="str">
        <f>IF(games!$A159="","",games!$A159)</f>
        <v>Curious Expedition 2</v>
      </c>
      <c r="B159">
        <f>IF($A159="","",games!$B159)</f>
        <v>2020</v>
      </c>
      <c r="C159" t="str">
        <f>IF($A159="","",games!$C159)</f>
        <v>Strategy</v>
      </c>
      <c r="D159">
        <f>IF($A159="","",COUNTIF(connections!$A$2:$A$1205,$A159)+COUNTIF(connections!$B$2:$B$1205,$A159))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IF(connections!$A159="","",IFERROR(INDEX(games!$B$2:$B$846,MATCH(connections!$A159,games!$A$2:$A$846,0)),""))</f>
        <v>2015</v>
      </c>
      <c r="U159">
        <f>IF(connections!$A159="","",IFERROR(INDEX(games!$B$2:$B$846,MATCH(connections!$B159,games!$A$2:$A$846,0)),""))</f>
        <v>2023</v>
      </c>
      <c r="V159">
        <f t="shared" si="35"/>
        <v>8</v>
      </c>
    </row>
    <row r="160" spans="1:22" x14ac:dyDescent="0.25">
      <c r="A160" t="str">
        <f>IF(games!$A160="","",games!$A160)</f>
        <v>Curse of the Dead Gods</v>
      </c>
      <c r="B160">
        <f>IF($A160="","",games!$B160)</f>
        <v>2020</v>
      </c>
      <c r="C160" t="str">
        <f>IF($A160="","",games!$C160)</f>
        <v>Action</v>
      </c>
      <c r="D160">
        <f>IF($A160="","",COUNTIF(connections!$A$2:$A$1205,$A160)+COUNTIF(connections!$B$2:$B$1205,$A160))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IF(connections!$A160="","",IFERROR(INDEX(games!$B$2:$B$846,MATCH(connections!$A160,games!$A$2:$A$846,0)),""))</f>
        <v>2022</v>
      </c>
      <c r="U160">
        <f>IF(connections!$A160="","",IFERROR(INDEX(games!$B$2:$B$846,MATCH(connections!$B160,games!$A$2:$A$846,0)),""))</f>
        <v>2026</v>
      </c>
      <c r="V160">
        <f t="shared" si="35"/>
        <v>4</v>
      </c>
    </row>
    <row r="161" spans="1:22" x14ac:dyDescent="0.25">
      <c r="A161" t="str">
        <f>IF(games!$A161="","",games!$A161)</f>
        <v>Cursed Words</v>
      </c>
      <c r="B161">
        <f>IF($A161="","",games!$B161)</f>
        <v>2026</v>
      </c>
      <c r="C161" t="str">
        <f>IF($A161="","",games!$C161)</f>
        <v>Strategy</v>
      </c>
      <c r="D161">
        <f>IF($A161="","",COUNTIF(connections!$A$2:$A$1205,$A161)+COUNTIF(connections!$B$2:$B$1205,$A161))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IF(connections!$A161="","",IFERROR(INDEX(games!$B$2:$B$846,MATCH(connections!$A161,games!$A$2:$A$846,0)),""))</f>
        <v>2022</v>
      </c>
      <c r="U161">
        <f>IF(connections!$A161="","",IFERROR(INDEX(games!$B$2:$B$846,MATCH(connections!$B161,games!$A$2:$A$846,0)),""))</f>
        <v>2025</v>
      </c>
      <c r="V161">
        <f t="shared" si="35"/>
        <v>3</v>
      </c>
    </row>
    <row r="162" spans="1:22" x14ac:dyDescent="0.25">
      <c r="A162" t="str">
        <f>IF(games!$A162="","",games!$A162)</f>
        <v>Cursorblade</v>
      </c>
      <c r="B162">
        <f>IF($A162="","",games!$B162)</f>
        <v>2023</v>
      </c>
      <c r="C162" t="str">
        <f>IF($A162="","",games!$C162)</f>
        <v>Action</v>
      </c>
      <c r="D162">
        <f>IF($A162="","",COUNTIF(connections!$A$2:$A$1205,$A162)+COUNTIF(connections!$B$2:$B$1205,$A162))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IF(connections!$A162="","",IFERROR(INDEX(games!$B$2:$B$846,MATCH(connections!$A162,games!$A$2:$A$846,0)),""))</f>
        <v>2024</v>
      </c>
      <c r="U162">
        <f>IF(connections!$A162="","",IFERROR(INDEX(games!$B$2:$B$846,MATCH(connections!$B162,games!$A$2:$A$846,0)),""))</f>
        <v>2026</v>
      </c>
      <c r="V162">
        <f t="shared" si="35"/>
        <v>2</v>
      </c>
    </row>
    <row r="163" spans="1:22" x14ac:dyDescent="0.25">
      <c r="A163" t="str">
        <f>IF(games!$A163="","",games!$A163)</f>
        <v>Dark Devotion</v>
      </c>
      <c r="B163">
        <f>IF($A163="","",games!$B163)</f>
        <v>2019</v>
      </c>
      <c r="C163" t="str">
        <f>IF($A163="","",games!$C163)</f>
        <v>Action</v>
      </c>
      <c r="D163">
        <f>IF($A163="","",COUNTIF(connections!$A$2:$A$1205,$A163)+COUNTIF(connections!$B$2:$B$1205,$A163))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IF(connections!$A163="","",IFERROR(INDEX(games!$B$2:$B$846,MATCH(connections!$A163,games!$A$2:$A$846,0)),""))</f>
        <v>2016</v>
      </c>
      <c r="U163">
        <f>IF(connections!$A163="","",IFERROR(INDEX(games!$B$2:$B$846,MATCH(connections!$B163,games!$A$2:$A$846,0)),""))</f>
        <v>2020</v>
      </c>
      <c r="V163">
        <f t="shared" si="35"/>
        <v>4</v>
      </c>
    </row>
    <row r="164" spans="1:22" x14ac:dyDescent="0.25">
      <c r="A164" t="str">
        <f>IF(games!$A164="","",games!$A164)</f>
        <v>Dark Light: Survivor</v>
      </c>
      <c r="B164">
        <f>IF($A164="","",games!$B164)</f>
        <v>2026</v>
      </c>
      <c r="C164" t="str">
        <f>IF($A164="","",games!$C164)</f>
        <v>Action</v>
      </c>
      <c r="D164">
        <f>IF($A164="","",COUNTIF(connections!$A$2:$A$1205,$A164)+COUNTIF(connections!$B$2:$B$1205,$A164))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IF(connections!$A164="","",IFERROR(INDEX(games!$B$2:$B$846,MATCH(connections!$A164,games!$A$2:$A$846,0)),""))</f>
        <v>2016</v>
      </c>
      <c r="U164">
        <f>IF(connections!$A164="","",IFERROR(INDEX(games!$B$2:$B$846,MATCH(connections!$B164,games!$A$2:$A$846,0)),""))</f>
        <v>2021</v>
      </c>
      <c r="V164">
        <f t="shared" si="35"/>
        <v>5</v>
      </c>
    </row>
    <row r="165" spans="1:22" x14ac:dyDescent="0.25">
      <c r="A165" t="str">
        <f>IF(games!$A165="","",games!$A165)</f>
        <v>Darkblade Ascent</v>
      </c>
      <c r="B165">
        <f>IF($A165="","",games!$B165)</f>
        <v>2025</v>
      </c>
      <c r="C165" t="str">
        <f>IF($A165="","",games!$C165)</f>
        <v>Action</v>
      </c>
      <c r="D165">
        <f>IF($A165="","",COUNTIF(connections!$A$2:$A$1205,$A165)+COUNTIF(connections!$B$2:$B$1205,$A165))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IF(connections!$A165="","",IFERROR(INDEX(games!$B$2:$B$846,MATCH(connections!$A165,games!$A$2:$A$846,0)),""))</f>
        <v>2020</v>
      </c>
      <c r="U165">
        <f>IF(connections!$A165="","",IFERROR(INDEX(games!$B$2:$B$846,MATCH(connections!$B165,games!$A$2:$A$846,0)),""))</f>
        <v>2023</v>
      </c>
      <c r="V165">
        <f t="shared" si="35"/>
        <v>3</v>
      </c>
    </row>
    <row r="166" spans="1:22" x14ac:dyDescent="0.25">
      <c r="A166" t="str">
        <f>IF(games!$A166="","",games!$A166)</f>
        <v>Darkest Dungeon</v>
      </c>
      <c r="B166">
        <f>IF($A166="","",games!$B166)</f>
        <v>2015</v>
      </c>
      <c r="C166" t="str">
        <f>IF($A166="","",games!$C166)</f>
        <v>Strategy</v>
      </c>
      <c r="D166">
        <f>IF($A166="","",COUNTIF(connections!$A$2:$A$1205,$A166)+COUNTIF(connections!$B$2:$B$1205,$A166))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IF(connections!$A166="","",IFERROR(INDEX(games!$B$2:$B$846,MATCH(connections!$A166,games!$A$2:$A$846,0)),""))</f>
        <v>2019</v>
      </c>
      <c r="U166">
        <f>IF(connections!$A166="","",IFERROR(INDEX(games!$B$2:$B$846,MATCH(connections!$B166,games!$A$2:$A$846,0)),""))</f>
        <v>2022</v>
      </c>
      <c r="V166">
        <f t="shared" si="35"/>
        <v>3</v>
      </c>
    </row>
    <row r="167" spans="1:22" x14ac:dyDescent="0.25">
      <c r="A167" t="str">
        <f>IF(games!$A167="","",games!$A167)</f>
        <v>Darkest Dungeon 2</v>
      </c>
      <c r="B167">
        <f>IF($A167="","",games!$B167)</f>
        <v>2023</v>
      </c>
      <c r="C167" t="str">
        <f>IF($A167="","",games!$C167)</f>
        <v>Strategy</v>
      </c>
      <c r="D167">
        <f>IF($A167="","",COUNTIF(connections!$A$2:$A$1205,$A167)+COUNTIF(connections!$B$2:$B$1205,$A167))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IF(connections!$A167="","",IFERROR(INDEX(games!$B$2:$B$846,MATCH(connections!$A167,games!$A$2:$A$846,0)),""))</f>
        <v>2015</v>
      </c>
      <c r="U167">
        <f>IF(connections!$A167="","",IFERROR(INDEX(games!$B$2:$B$846,MATCH(connections!$B167,games!$A$2:$A$846,0)),""))</f>
        <v>2021</v>
      </c>
      <c r="V167">
        <f t="shared" si="35"/>
        <v>6</v>
      </c>
    </row>
    <row r="168" spans="1:22" x14ac:dyDescent="0.25">
      <c r="A168" t="str">
        <f>IF(games!$A168="","",games!$A168)</f>
        <v>Dave the Diver</v>
      </c>
      <c r="B168">
        <f>IF($A168="","",games!$B168)</f>
        <v>2022</v>
      </c>
      <c r="C168" t="str">
        <f>IF($A168="","",games!$C168)</f>
        <v>Action</v>
      </c>
      <c r="D168">
        <f>IF($A168="","",COUNTIF(connections!$A$2:$A$1205,$A168)+COUNTIF(connections!$B$2:$B$1205,$A168))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IF(connections!$A168="","",IFERROR(INDEX(games!$B$2:$B$846,MATCH(connections!$A168,games!$A$2:$A$846,0)),""))</f>
        <v>2015</v>
      </c>
      <c r="U168">
        <f>IF(connections!$A168="","",IFERROR(INDEX(games!$B$2:$B$846,MATCH(connections!$B168,games!$A$2:$A$846,0)),""))</f>
        <v>2025</v>
      </c>
      <c r="V168">
        <f t="shared" si="35"/>
        <v>10</v>
      </c>
    </row>
    <row r="169" spans="1:22" x14ac:dyDescent="0.25">
      <c r="A169" t="str">
        <f>IF(games!$A169="","",games!$A169)</f>
        <v>Dead Cells</v>
      </c>
      <c r="B169">
        <f>IF($A169="","",games!$B169)</f>
        <v>2018</v>
      </c>
      <c r="C169" t="str">
        <f>IF($A169="","",games!$C169)</f>
        <v>Action</v>
      </c>
      <c r="D169">
        <f>IF($A169="","",COUNTIF(connections!$A$2:$A$1205,$A169)+COUNTIF(connections!$B$2:$B$1205,$A169))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IF(connections!$A169="","",IFERROR(INDEX(games!$B$2:$B$846,MATCH(connections!$A169,games!$A$2:$A$846,0)),""))</f>
        <v>2015</v>
      </c>
      <c r="U169">
        <f>IF(connections!$A169="","",IFERROR(INDEX(games!$B$2:$B$846,MATCH(connections!$B169,games!$A$2:$A$846,0)),""))</f>
        <v>2019</v>
      </c>
      <c r="V169">
        <f t="shared" si="35"/>
        <v>4</v>
      </c>
    </row>
    <row r="170" spans="1:22" x14ac:dyDescent="0.25">
      <c r="A170" t="str">
        <f>IF(games!$A170="","",games!$A170)</f>
        <v>Dead Estate</v>
      </c>
      <c r="B170">
        <f>IF($A170="","",games!$B170)</f>
        <v>2020</v>
      </c>
      <c r="C170" t="str">
        <f>IF($A170="","",games!$C170)</f>
        <v>Action</v>
      </c>
      <c r="D170">
        <f>IF($A170="","",COUNTIF(connections!$A$2:$A$1205,$A170)+COUNTIF(connections!$B$2:$B$1205,$A170))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IF(connections!$A170="","",IFERROR(INDEX(games!$B$2:$B$846,MATCH(connections!$A170,games!$A$2:$A$846,0)),""))</f>
        <v>2015</v>
      </c>
      <c r="U170">
        <f>IF(connections!$A170="","",IFERROR(INDEX(games!$B$2:$B$846,MATCH(connections!$B170,games!$A$2:$A$846,0)),""))</f>
        <v>2023</v>
      </c>
      <c r="V170">
        <f t="shared" si="35"/>
        <v>8</v>
      </c>
    </row>
    <row r="171" spans="1:22" x14ac:dyDescent="0.25">
      <c r="A171" t="str">
        <f>IF(games!$A171="","",games!$A171)</f>
        <v>Dead Finger Dice</v>
      </c>
      <c r="B171">
        <f>IF($A171="","",games!$B171)</f>
        <v>2025</v>
      </c>
      <c r="C171" t="str">
        <f>IF($A171="","",games!$C171)</f>
        <v>Deckbuilder</v>
      </c>
      <c r="D171">
        <f>IF($A171="","",COUNTIF(connections!$A$2:$A$1205,$A171)+COUNTIF(connections!$B$2:$B$1205,$A171))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IF(connections!$A171="","",IFERROR(INDEX(games!$B$2:$B$846,MATCH(connections!$A171,games!$A$2:$A$846,0)),""))</f>
        <v>2015</v>
      </c>
      <c r="U171">
        <f>IF(connections!$A171="","",IFERROR(INDEX(games!$B$2:$B$846,MATCH(connections!$B171,games!$A$2:$A$846,0)),""))</f>
        <v>2020</v>
      </c>
      <c r="V171">
        <f t="shared" si="35"/>
        <v>5</v>
      </c>
    </row>
    <row r="172" spans="1:22" x14ac:dyDescent="0.25">
      <c r="A172" t="str">
        <f>IF(games!$A172="","",games!$A172)</f>
        <v>Dead Weight</v>
      </c>
      <c r="B172">
        <f>IF($A172="","",games!$B172)</f>
        <v>2026</v>
      </c>
      <c r="C172" t="str">
        <f>IF($A172="","",games!$C172)</f>
        <v>Strategy</v>
      </c>
      <c r="D172">
        <f>IF($A172="","",COUNTIF(connections!$A$2:$A$1205,$A172)+COUNTIF(connections!$B$2:$B$1205,$A172))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IF(connections!$A172="","",IFERROR(INDEX(games!$B$2:$B$846,MATCH(connections!$A172,games!$A$2:$A$846,0)),""))</f>
        <v>2015</v>
      </c>
      <c r="U172">
        <f>IF(connections!$A172="","",IFERROR(INDEX(games!$B$2:$B$846,MATCH(connections!$B172,games!$A$2:$A$846,0)),""))</f>
        <v>2019</v>
      </c>
      <c r="V172">
        <f t="shared" si="35"/>
        <v>4</v>
      </c>
    </row>
    <row r="173" spans="1:22" x14ac:dyDescent="0.25">
      <c r="A173" t="str">
        <f>IF(games!$A173="","",games!$A173)</f>
        <v>Deadzone: Rogue</v>
      </c>
      <c r="B173">
        <f>IF($A173="","",games!$B173)</f>
        <v>2025</v>
      </c>
      <c r="C173" t="str">
        <f>IF($A173="","",games!$C173)</f>
        <v>Action</v>
      </c>
      <c r="D173">
        <f>IF($A173="","",COUNTIF(connections!$A$2:$A$1205,$A173)+COUNTIF(connections!$B$2:$B$1205,$A173))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IF(connections!$A173="","",IFERROR(INDEX(games!$B$2:$B$846,MATCH(connections!$A173,games!$A$2:$A$846,0)),""))</f>
        <v>2015</v>
      </c>
      <c r="U173">
        <f>IF(connections!$A173="","",IFERROR(INDEX(games!$B$2:$B$846,MATCH(connections!$B173,games!$A$2:$A$846,0)),""))</f>
        <v>2023</v>
      </c>
      <c r="V173">
        <f t="shared" si="35"/>
        <v>8</v>
      </c>
    </row>
    <row r="174" spans="1:22" x14ac:dyDescent="0.25">
      <c r="A174" t="str">
        <f>IF(games!$A174="","",games!$A174)</f>
        <v>Death by Scrolling</v>
      </c>
      <c r="B174">
        <f>IF($A174="","",games!$B174)</f>
        <v>2025</v>
      </c>
      <c r="C174" t="str">
        <f>IF($A174="","",games!$C174)</f>
        <v>Action</v>
      </c>
      <c r="D174">
        <f>IF($A174="","",COUNTIF(connections!$A$2:$A$1205,$A174)+COUNTIF(connections!$B$2:$B$1205,$A174))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IF(connections!$A174="","",IFERROR(INDEX(games!$B$2:$B$846,MATCH(connections!$A174,games!$A$2:$A$846,0)),""))</f>
        <v>2015</v>
      </c>
      <c r="U174">
        <f>IF(connections!$A174="","",IFERROR(INDEX(games!$B$2:$B$846,MATCH(connections!$B174,games!$A$2:$A$846,0)),""))</f>
        <v>2019</v>
      </c>
      <c r="V174">
        <f t="shared" si="35"/>
        <v>4</v>
      </c>
    </row>
    <row r="175" spans="1:22" x14ac:dyDescent="0.25">
      <c r="A175" t="str">
        <f>IF(games!$A175="","",games!$A175)</f>
        <v>Death Must Die</v>
      </c>
      <c r="B175">
        <f>IF($A175="","",games!$B175)</f>
        <v>2023</v>
      </c>
      <c r="C175" t="str">
        <f>IF($A175="","",games!$C175)</f>
        <v>Action</v>
      </c>
      <c r="D175">
        <f>IF($A175="","",COUNTIF(connections!$A$2:$A$1205,$A175)+COUNTIF(connections!$B$2:$B$1205,$A175))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IF(connections!$A175="","",IFERROR(INDEX(games!$B$2:$B$846,MATCH(connections!$A175,games!$A$2:$A$846,0)),""))</f>
        <v>2015</v>
      </c>
      <c r="U175">
        <f>IF(connections!$A175="","",IFERROR(INDEX(games!$B$2:$B$846,MATCH(connections!$B175,games!$A$2:$A$846,0)),""))</f>
        <v>2018</v>
      </c>
      <c r="V175">
        <f t="shared" si="35"/>
        <v>3</v>
      </c>
    </row>
    <row r="176" spans="1:22" x14ac:dyDescent="0.25">
      <c r="A176" t="str">
        <f>IF(games!$A176="","",games!$A176)</f>
        <v>Death Road to Canada</v>
      </c>
      <c r="B176">
        <f>IF($A176="","",games!$B176)</f>
        <v>2016</v>
      </c>
      <c r="C176" t="str">
        <f>IF($A176="","",games!$C176)</f>
        <v>Action</v>
      </c>
      <c r="D176">
        <f>IF($A176="","",COUNTIF(connections!$A$2:$A$1205,$A176)+COUNTIF(connections!$B$2:$B$1205,$A176))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IF(connections!$A176="","",IFERROR(INDEX(games!$B$2:$B$846,MATCH(connections!$A176,games!$A$2:$A$846,0)),""))</f>
        <v>2015</v>
      </c>
      <c r="U176">
        <f>IF(connections!$A176="","",IFERROR(INDEX(games!$B$2:$B$846,MATCH(connections!$B176,games!$A$2:$A$846,0)),""))</f>
        <v>2025</v>
      </c>
      <c r="V176">
        <f t="shared" si="35"/>
        <v>10</v>
      </c>
    </row>
    <row r="177" spans="1:22" x14ac:dyDescent="0.25">
      <c r="A177" t="str">
        <f>IF(games!$A177="","",games!$A177)</f>
        <v>Death Roads: Tournament</v>
      </c>
      <c r="B177">
        <f>IF($A177="","",games!$B177)</f>
        <v>2023</v>
      </c>
      <c r="C177" t="str">
        <f>IF($A177="","",games!$C177)</f>
        <v>Deckbuilder</v>
      </c>
      <c r="D177">
        <f>IF($A177="","",COUNTIF(connections!$A$2:$A$1205,$A177)+COUNTIF(connections!$B$2:$B$1205,$A177))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IF(connections!$A177="","",IFERROR(INDEX(games!$B$2:$B$846,MATCH(connections!$A177,games!$A$2:$A$846,0)),""))</f>
        <v>2015</v>
      </c>
      <c r="U177">
        <f>IF(connections!$A177="","",IFERROR(INDEX(games!$B$2:$B$846,MATCH(connections!$B177,games!$A$2:$A$846,0)),""))</f>
        <v>2016</v>
      </c>
      <c r="V177">
        <f t="shared" si="35"/>
        <v>1</v>
      </c>
    </row>
    <row r="178" spans="1:22" x14ac:dyDescent="0.25">
      <c r="A178" t="str">
        <f>IF(games!$A178="","",games!$A178)</f>
        <v>Death Skid Marks</v>
      </c>
      <c r="B178">
        <f>IF($A178="","",games!$B178)</f>
        <v>2014</v>
      </c>
      <c r="C178" t="str">
        <f>IF($A178="","",games!$C178)</f>
        <v>Action</v>
      </c>
      <c r="D178">
        <f>IF($A178="","",COUNTIF(connections!$A$2:$A$1205,$A178)+COUNTIF(connections!$B$2:$B$1205,$A178))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IF(connections!$A178="","",IFERROR(INDEX(games!$B$2:$B$846,MATCH(connections!$A178,games!$A$2:$A$846,0)),""))</f>
        <v>2015</v>
      </c>
      <c r="U178">
        <f>IF(connections!$A178="","",IFERROR(INDEX(games!$B$2:$B$846,MATCH(connections!$B178,games!$A$2:$A$846,0)),""))</f>
        <v>2025</v>
      </c>
      <c r="V178">
        <f t="shared" si="35"/>
        <v>10</v>
      </c>
    </row>
    <row r="179" spans="1:22" x14ac:dyDescent="0.25">
      <c r="A179" t="str">
        <f>IF(games!$A179="","",games!$A179)</f>
        <v>Deck of Ashes</v>
      </c>
      <c r="B179">
        <f>IF($A179="","",games!$B179)</f>
        <v>2019</v>
      </c>
      <c r="C179" t="str">
        <f>IF($A179="","",games!$C179)</f>
        <v>Deckbuilder</v>
      </c>
      <c r="D179">
        <f>IF($A179="","",COUNTIF(connections!$A$2:$A$1205,$A179)+COUNTIF(connections!$B$2:$B$1205,$A179))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IF(connections!$A179="","",IFERROR(INDEX(games!$B$2:$B$846,MATCH(connections!$A179,games!$A$2:$A$846,0)),""))</f>
        <v>2015</v>
      </c>
      <c r="U179">
        <f>IF(connections!$A179="","",IFERROR(INDEX(games!$B$2:$B$846,MATCH(connections!$B179,games!$A$2:$A$846,0)),""))</f>
        <v>2025</v>
      </c>
      <c r="V179">
        <f t="shared" si="35"/>
        <v>10</v>
      </c>
    </row>
    <row r="180" spans="1:22" x14ac:dyDescent="0.25">
      <c r="A180" t="str">
        <f>IF(games!$A180="","",games!$A180)</f>
        <v>Deck of Haunts</v>
      </c>
      <c r="B180">
        <f>IF($A180="","",games!$B180)</f>
        <v>2025</v>
      </c>
      <c r="C180" t="str">
        <f>IF($A180="","",games!$C180)</f>
        <v>Deckbuilder</v>
      </c>
      <c r="D180">
        <f>IF($A180="","",COUNTIF(connections!$A$2:$A$1205,$A180)+COUNTIF(connections!$B$2:$B$1205,$A180))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IF(connections!$A180="","",IFERROR(INDEX(games!$B$2:$B$846,MATCH(connections!$A180,games!$A$2:$A$846,0)),""))</f>
        <v>2015</v>
      </c>
      <c r="U180">
        <f>IF(connections!$A180="","",IFERROR(INDEX(games!$B$2:$B$846,MATCH(connections!$B180,games!$A$2:$A$846,0)),""))</f>
        <v>2019</v>
      </c>
      <c r="V180">
        <f t="shared" si="35"/>
        <v>4</v>
      </c>
    </row>
    <row r="181" spans="1:22" x14ac:dyDescent="0.25">
      <c r="A181" t="str">
        <f>IF(games!$A181="","",games!$A181)</f>
        <v>Decktamer</v>
      </c>
      <c r="B181">
        <f>IF($A181="","",games!$B181)</f>
        <v>2025</v>
      </c>
      <c r="C181" t="str">
        <f>IF($A181="","",games!$C181)</f>
        <v>Deckbuilder</v>
      </c>
      <c r="D181">
        <f>IF($A181="","",COUNTIF(connections!$A$2:$A$1205,$A181)+COUNTIF(connections!$B$2:$B$1205,$A181))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IF(connections!$A181="","",IFERROR(INDEX(games!$B$2:$B$846,MATCH(connections!$A181,games!$A$2:$A$846,0)),""))</f>
        <v>2015</v>
      </c>
      <c r="U181">
        <f>IF(connections!$A181="","",IFERROR(INDEX(games!$B$2:$B$846,MATCH(connections!$B181,games!$A$2:$A$846,0)),""))</f>
        <v>2019</v>
      </c>
      <c r="V181">
        <f t="shared" si="35"/>
        <v>4</v>
      </c>
    </row>
    <row r="182" spans="1:22" x14ac:dyDescent="0.25">
      <c r="A182" t="str">
        <f>IF(games!$A182="","",games!$A182)</f>
        <v>Deep Dungeons of Doom</v>
      </c>
      <c r="B182">
        <f>IF($A182="","",games!$B182)</f>
        <v>2014</v>
      </c>
      <c r="C182" t="str">
        <f>IF($A182="","",games!$C182)</f>
        <v>Action</v>
      </c>
      <c r="D182">
        <f>IF($A182="","",COUNTIF(connections!$A$2:$A$1205,$A182)+COUNTIF(connections!$B$2:$B$1205,$A182))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IF(connections!$A182="","",IFERROR(INDEX(games!$B$2:$B$846,MATCH(connections!$A182,games!$A$2:$A$846,0)),""))</f>
        <v>2015</v>
      </c>
      <c r="U182">
        <f>IF(connections!$A182="","",IFERROR(INDEX(games!$B$2:$B$846,MATCH(connections!$B182,games!$A$2:$A$846,0)),""))</f>
        <v>2024</v>
      </c>
      <c r="V182">
        <f t="shared" si="35"/>
        <v>9</v>
      </c>
    </row>
    <row r="183" spans="1:22" x14ac:dyDescent="0.25">
      <c r="A183" t="str">
        <f>IF(games!$A183="","",games!$A183)</f>
        <v>Deep Rock Galactic: Survivor</v>
      </c>
      <c r="B183">
        <f>IF($A183="","",games!$B183)</f>
        <v>2024</v>
      </c>
      <c r="C183" t="str">
        <f>IF($A183="","",games!$C183)</f>
        <v>Action</v>
      </c>
      <c r="D183">
        <f>IF($A183="","",COUNTIF(connections!$A$2:$A$1205,$A183)+COUNTIF(connections!$B$2:$B$1205,$A183))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IF(connections!$A183="","",IFERROR(INDEX(games!$B$2:$B$846,MATCH(connections!$A183,games!$A$2:$A$846,0)),""))</f>
        <v>2015</v>
      </c>
      <c r="U183">
        <f>IF(connections!$A183="","",IFERROR(INDEX(games!$B$2:$B$846,MATCH(connections!$B183,games!$A$2:$A$846,0)),""))</f>
        <v>2025</v>
      </c>
      <c r="V183">
        <f t="shared" si="35"/>
        <v>10</v>
      </c>
    </row>
    <row r="184" spans="1:22" x14ac:dyDescent="0.25">
      <c r="A184" t="str">
        <f>IF(games!$A184="","",games!$A184)</f>
        <v>Deep Sky Derelicts</v>
      </c>
      <c r="B184">
        <f>IF($A184="","",games!$B184)</f>
        <v>2018</v>
      </c>
      <c r="C184" t="str">
        <f>IF($A184="","",games!$C184)</f>
        <v>Deckbuilder</v>
      </c>
      <c r="D184">
        <f>IF($A184="","",COUNTIF(connections!$A$2:$A$1205,$A184)+COUNTIF(connections!$B$2:$B$1205,$A184))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IF(connections!$A184="","",IFERROR(INDEX(games!$B$2:$B$846,MATCH(connections!$A184,games!$A$2:$A$846,0)),""))</f>
        <v>2015</v>
      </c>
      <c r="U184">
        <f>IF(connections!$A184="","",IFERROR(INDEX(games!$B$2:$B$846,MATCH(connections!$B184,games!$A$2:$A$846,0)),""))</f>
        <v>2023</v>
      </c>
      <c r="V184">
        <f t="shared" si="35"/>
        <v>8</v>
      </c>
    </row>
    <row r="185" spans="1:22" x14ac:dyDescent="0.25">
      <c r="A185" t="str">
        <f>IF(games!$A185="","",games!$A185)</f>
        <v>Deepest Chamber: Resurrection</v>
      </c>
      <c r="B185">
        <f>IF($A185="","",games!$B185)</f>
        <v>2021</v>
      </c>
      <c r="C185" t="str">
        <f>IF($A185="","",games!$C185)</f>
        <v>Deckbuilder</v>
      </c>
      <c r="D185">
        <f>IF($A185="","",COUNTIF(connections!$A$2:$A$1205,$A185)+COUNTIF(connections!$B$2:$B$1205,$A185))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IF(connections!$A185="","",IFERROR(INDEX(games!$B$2:$B$846,MATCH(connections!$A185,games!$A$2:$A$846,0)),""))</f>
        <v>2015</v>
      </c>
      <c r="U185">
        <f>IF(connections!$A185="","",IFERROR(INDEX(games!$B$2:$B$846,MATCH(connections!$B185,games!$A$2:$A$846,0)),""))</f>
        <v>2017</v>
      </c>
      <c r="V185">
        <f t="shared" si="35"/>
        <v>2</v>
      </c>
    </row>
    <row r="186" spans="1:22" x14ac:dyDescent="0.25">
      <c r="A186" t="str">
        <f>IF(games!$A186="","",games!$A186)</f>
        <v>Delver</v>
      </c>
      <c r="B186">
        <f>IF($A186="","",games!$B186)</f>
        <v>2012</v>
      </c>
      <c r="C186" t="str">
        <f>IF($A186="","",games!$C186)</f>
        <v>Action</v>
      </c>
      <c r="D186">
        <f>IF($A186="","",COUNTIF(connections!$A$2:$A$1205,$A186)+COUNTIF(connections!$B$2:$B$1205,$A186))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IF(connections!$A186="","",IFERROR(INDEX(games!$B$2:$B$846,MATCH(connections!$A186,games!$A$2:$A$846,0)),""))</f>
        <v>2015</v>
      </c>
      <c r="U186">
        <f>IF(connections!$A186="","",IFERROR(INDEX(games!$B$2:$B$846,MATCH(connections!$B186,games!$A$2:$A$846,0)),""))</f>
        <v>2020</v>
      </c>
      <c r="V186">
        <f t="shared" si="35"/>
        <v>5</v>
      </c>
    </row>
    <row r="187" spans="1:22" x14ac:dyDescent="0.25">
      <c r="A187" t="str">
        <f>IF(games!$A187="","",games!$A187)</f>
        <v>Demon Lord: Just a Block</v>
      </c>
      <c r="B187">
        <f>IF($A187="","",games!$B187)</f>
        <v>2026</v>
      </c>
      <c r="C187" t="str">
        <f>IF($A187="","",games!$C187)</f>
        <v>Traditional</v>
      </c>
      <c r="D187">
        <f>IF($A187="","",COUNTIF(connections!$A$2:$A$1205,$A187)+COUNTIF(connections!$B$2:$B$1205,$A187))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IF(connections!$A187="","",IFERROR(INDEX(games!$B$2:$B$846,MATCH(connections!$A187,games!$A$2:$A$846,0)),""))</f>
        <v>2015</v>
      </c>
      <c r="U187">
        <f>IF(connections!$A187="","",IFERROR(INDEX(games!$B$2:$B$846,MATCH(connections!$B187,games!$A$2:$A$846,0)),""))</f>
        <v>2022</v>
      </c>
      <c r="V187">
        <f t="shared" si="35"/>
        <v>7</v>
      </c>
    </row>
    <row r="188" spans="1:22" x14ac:dyDescent="0.25">
      <c r="A188" t="str">
        <f>IF(games!$A188="","",games!$A188)</f>
        <v>DemonCrawl</v>
      </c>
      <c r="B188">
        <f>IF($A188="","",games!$B188)</f>
        <v>2019</v>
      </c>
      <c r="C188" t="str">
        <f>IF($A188="","",games!$C188)</f>
        <v>Strategy</v>
      </c>
      <c r="D188">
        <f>IF($A188="","",COUNTIF(connections!$A$2:$A$1205,$A188)+COUNTIF(connections!$B$2:$B$1205,$A188))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IF(connections!$A188="","",IFERROR(INDEX(games!$B$2:$B$846,MATCH(connections!$A188,games!$A$2:$A$846,0)),""))</f>
        <v>2015</v>
      </c>
      <c r="U188">
        <f>IF(connections!$A188="","",IFERROR(INDEX(games!$B$2:$B$846,MATCH(connections!$B188,games!$A$2:$A$846,0)),""))</f>
        <v>2026</v>
      </c>
      <c r="V188">
        <f t="shared" si="35"/>
        <v>11</v>
      </c>
    </row>
    <row r="189" spans="1:22" x14ac:dyDescent="0.25">
      <c r="A189" t="str">
        <f>IF(games!$A189="","",games!$A189)</f>
        <v>Demonic Mahjong</v>
      </c>
      <c r="B189">
        <f>IF($A189="","",games!$B189)</f>
        <v>2025</v>
      </c>
      <c r="C189" t="str">
        <f>IF($A189="","",games!$C189)</f>
        <v>Deckbuilder</v>
      </c>
      <c r="D189">
        <f>IF($A189="","",COUNTIF(connections!$A$2:$A$1205,$A189)+COUNTIF(connections!$B$2:$B$1205,$A189))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IF(connections!$A189="","",IFERROR(INDEX(games!$B$2:$B$846,MATCH(connections!$A189,games!$A$2:$A$846,0)),""))</f>
        <v>2022</v>
      </c>
      <c r="U189">
        <f>IF(connections!$A189="","",IFERROR(INDEX(games!$B$2:$B$846,MATCH(connections!$B189,games!$A$2:$A$846,0)),""))</f>
        <v>2026</v>
      </c>
      <c r="V189">
        <f t="shared" si="35"/>
        <v>4</v>
      </c>
    </row>
    <row r="190" spans="1:22" x14ac:dyDescent="0.25">
      <c r="A190" t="str">
        <f>IF(games!$A190="","",games!$A190)</f>
        <v>Demonlore</v>
      </c>
      <c r="B190">
        <f>IF($A190="","",games!$B190)</f>
        <v>2022</v>
      </c>
      <c r="C190" t="str">
        <f>IF($A190="","",games!$C190)</f>
        <v>Strategy</v>
      </c>
      <c r="D190">
        <f>IF($A190="","",COUNTIF(connections!$A$2:$A$1205,$A190)+COUNTIF(connections!$B$2:$B$1205,$A190))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IF(connections!$A190="","",IFERROR(INDEX(games!$B$2:$B$846,MATCH(connections!$A190,games!$A$2:$A$846,0)),""))</f>
        <v>2018</v>
      </c>
      <c r="U190">
        <f>IF(connections!$A190="","",IFERROR(INDEX(games!$B$2:$B$846,MATCH(connections!$B190,games!$A$2:$A$846,0)),""))</f>
        <v>2025</v>
      </c>
      <c r="V190">
        <f t="shared" si="35"/>
        <v>7</v>
      </c>
    </row>
    <row r="191" spans="1:22" x14ac:dyDescent="0.25">
      <c r="A191" t="str">
        <f>IF(games!$A191="","",games!$A191)</f>
        <v>Desktop Dungeons</v>
      </c>
      <c r="B191">
        <f>IF($A191="","",games!$B191)</f>
        <v>2010</v>
      </c>
      <c r="C191" t="str">
        <f>IF($A191="","",games!$C191)</f>
        <v>Traditional</v>
      </c>
      <c r="D191">
        <f>IF($A191="","",COUNTIF(connections!$A$2:$A$1205,$A191)+COUNTIF(connections!$B$2:$B$1205,$A191))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IF(connections!$A191="","",IFERROR(INDEX(games!$B$2:$B$846,MATCH(connections!$A191,games!$A$2:$A$846,0)),""))</f>
        <v>2018</v>
      </c>
      <c r="U191">
        <f>IF(connections!$A191="","",IFERROR(INDEX(games!$B$2:$B$846,MATCH(connections!$B191,games!$A$2:$A$846,0)),""))</f>
        <v>2025</v>
      </c>
      <c r="V191">
        <f t="shared" si="35"/>
        <v>7</v>
      </c>
    </row>
    <row r="192" spans="1:22" x14ac:dyDescent="0.25">
      <c r="A192" t="str">
        <f>IF(games!$A192="","",games!$A192)</f>
        <v>Desktop Survivors 98</v>
      </c>
      <c r="B192">
        <f>IF($A192="","",games!$B192)</f>
        <v>2025</v>
      </c>
      <c r="C192" t="str">
        <f>IF($A192="","",games!$C192)</f>
        <v>Action</v>
      </c>
      <c r="D192">
        <f>IF($A192="","",COUNTIF(connections!$A$2:$A$1205,$A192)+COUNTIF(connections!$B$2:$B$1205,$A192))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IF(connections!$A192="","",IFERROR(INDEX(games!$B$2:$B$846,MATCH(connections!$A192,games!$A$2:$A$846,0)),""))</f>
        <v>2018</v>
      </c>
      <c r="U192">
        <f>IF(connections!$A192="","",IFERROR(INDEX(games!$B$2:$B$846,MATCH(connections!$B192,games!$A$2:$A$846,0)),""))</f>
        <v>2022</v>
      </c>
      <c r="V192">
        <f t="shared" si="35"/>
        <v>4</v>
      </c>
    </row>
    <row r="193" spans="1:22" x14ac:dyDescent="0.25">
      <c r="A193" t="str">
        <f>IF(games!$A193="","",games!$A193)</f>
        <v>Despot's Game: Dystopian Battle Simulator</v>
      </c>
      <c r="B193">
        <f>IF($A193="","",games!$B193)</f>
        <v>2021</v>
      </c>
      <c r="C193" t="str">
        <f>IF($A193="","",games!$C193)</f>
        <v>Action</v>
      </c>
      <c r="D193">
        <f>IF($A193="","",COUNTIF(connections!$A$2:$A$1205,$A193)+COUNTIF(connections!$B$2:$B$1205,$A193))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IF(connections!$A193="","",IFERROR(INDEX(games!$B$2:$B$846,MATCH(connections!$A193,games!$A$2:$A$846,0)),""))</f>
        <v>2018</v>
      </c>
      <c r="U193">
        <f>IF(connections!$A193="","",IFERROR(INDEX(games!$B$2:$B$846,MATCH(connections!$B193,games!$A$2:$A$846,0)),""))</f>
        <v>2023</v>
      </c>
      <c r="V193">
        <f t="shared" si="35"/>
        <v>5</v>
      </c>
    </row>
    <row r="194" spans="1:22" x14ac:dyDescent="0.25">
      <c r="A194" t="str">
        <f>IF(games!$A194="","",games!$A194)</f>
        <v>Devil Slayer: Raksasi</v>
      </c>
      <c r="B194">
        <f>IF($A194="","",games!$B194)</f>
        <v>2019</v>
      </c>
      <c r="C194" t="str">
        <f>IF($A194="","",games!$C194)</f>
        <v>Action</v>
      </c>
      <c r="D194">
        <f>IF($A194="","",COUNTIF(connections!$A$2:$A$1205,$A194)+COUNTIF(connections!$B$2:$B$1205,$A194))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IF(connections!$A194="","",IFERROR(INDEX(games!$B$2:$B$846,MATCH(connections!$A194,games!$A$2:$A$846,0)),""))</f>
        <v>2018</v>
      </c>
      <c r="U194">
        <f>IF(connections!$A194="","",IFERROR(INDEX(games!$B$2:$B$846,MATCH(connections!$B194,games!$A$2:$A$846,0)),""))</f>
        <v>2022</v>
      </c>
      <c r="V194">
        <f t="shared" ref="V194:V257" si="47">IF(OR($T194="",$U194=""),"",$U194-$T194)</f>
        <v>4</v>
      </c>
    </row>
    <row r="195" spans="1:22" x14ac:dyDescent="0.25">
      <c r="A195" t="str">
        <f>IF(games!$A195="","",games!$A195)</f>
        <v>Diablo</v>
      </c>
      <c r="B195">
        <f>IF($A195="","",games!$B195)</f>
        <v>1996</v>
      </c>
      <c r="C195" t="str">
        <f>IF($A195="","",games!$C195)</f>
        <v>Action</v>
      </c>
      <c r="D195">
        <f>IF($A195="","",COUNTIF(connections!$A$2:$A$1205,$A195)+COUNTIF(connections!$B$2:$B$1205,$A195))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IF(connections!$A195="","",IFERROR(INDEX(games!$B$2:$B$846,MATCH(connections!$A195,games!$A$2:$A$846,0)),""))</f>
        <v>2018</v>
      </c>
      <c r="U195">
        <f>IF(connections!$A195="","",IFERROR(INDEX(games!$B$2:$B$846,MATCH(connections!$B195,games!$A$2:$A$846,0)),""))</f>
        <v>2019</v>
      </c>
      <c r="V195">
        <f t="shared" si="47"/>
        <v>1</v>
      </c>
    </row>
    <row r="196" spans="1:22" x14ac:dyDescent="0.25">
      <c r="A196" t="str">
        <f>IF(games!$A196="","",games!$A196)</f>
        <v>Dice &amp; Fold</v>
      </c>
      <c r="B196">
        <f>IF($A196="","",games!$B196)</f>
        <v>2024</v>
      </c>
      <c r="C196" t="str">
        <f>IF($A196="","",games!$C196)</f>
        <v>Deckbuilder</v>
      </c>
      <c r="D196">
        <f>IF($A196="","",COUNTIF(connections!$A$2:$A$1205,$A196)+COUNTIF(connections!$B$2:$B$1205,$A196))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IF(connections!$A196="","",IFERROR(INDEX(games!$B$2:$B$846,MATCH(connections!$A196,games!$A$2:$A$846,0)),""))</f>
        <v>2018</v>
      </c>
      <c r="U196">
        <f>IF(connections!$A196="","",IFERROR(INDEX(games!$B$2:$B$846,MATCH(connections!$B196,games!$A$2:$A$846,0)),""))</f>
        <v>2020</v>
      </c>
      <c r="V196">
        <f t="shared" si="47"/>
        <v>2</v>
      </c>
    </row>
    <row r="197" spans="1:22" x14ac:dyDescent="0.25">
      <c r="A197" t="str">
        <f>IF(games!$A197="","",games!$A197)</f>
        <v>Dice A Million</v>
      </c>
      <c r="B197">
        <f>IF($A197="","",games!$B197)</f>
        <v>2026</v>
      </c>
      <c r="C197" t="str">
        <f>IF($A197="","",games!$C197)</f>
        <v>Deckbuilder</v>
      </c>
      <c r="D197">
        <f>IF($A197="","",COUNTIF(connections!$A$2:$A$1205,$A197)+COUNTIF(connections!$B$2:$B$1205,$A197))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IF(connections!$A197="","",IFERROR(INDEX(games!$B$2:$B$846,MATCH(connections!$A197,games!$A$2:$A$846,0)),""))</f>
        <v>2018</v>
      </c>
      <c r="U197">
        <f>IF(connections!$A197="","",IFERROR(INDEX(games!$B$2:$B$846,MATCH(connections!$B197,games!$A$2:$A$846,0)),""))</f>
        <v>2025</v>
      </c>
      <c r="V197">
        <f t="shared" si="47"/>
        <v>7</v>
      </c>
    </row>
    <row r="198" spans="1:22" x14ac:dyDescent="0.25">
      <c r="A198" t="str">
        <f>IF(games!$A198="","",games!$A198)</f>
        <v>Dice With Death</v>
      </c>
      <c r="B198">
        <f>IF($A198="","",games!$B198)</f>
        <v>2025</v>
      </c>
      <c r="C198" t="str">
        <f>IF($A198="","",games!$C198)</f>
        <v>Strategy</v>
      </c>
      <c r="D198">
        <f>IF($A198="","",COUNTIF(connections!$A$2:$A$1205,$A198)+COUNTIF(connections!$B$2:$B$1205,$A198))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IF(connections!$A198="","",IFERROR(INDEX(games!$B$2:$B$846,MATCH(connections!$A198,games!$A$2:$A$846,0)),""))</f>
        <v>2018</v>
      </c>
      <c r="U198">
        <f>IF(connections!$A198="","",IFERROR(INDEX(games!$B$2:$B$846,MATCH(connections!$B198,games!$A$2:$A$846,0)),""))</f>
        <v>2022</v>
      </c>
      <c r="V198">
        <f t="shared" si="47"/>
        <v>4</v>
      </c>
    </row>
    <row r="199" spans="1:22" x14ac:dyDescent="0.25">
      <c r="A199" t="str">
        <f>IF(games!$A199="","",games!$A199)</f>
        <v>Dicealot</v>
      </c>
      <c r="B199">
        <f>IF($A199="","",games!$B199)</f>
        <v>2025</v>
      </c>
      <c r="C199" t="str">
        <f>IF($A199="","",games!$C199)</f>
        <v>Deckbuilder</v>
      </c>
      <c r="D199">
        <f>IF($A199="","",COUNTIF(connections!$A$2:$A$1205,$A199)+COUNTIF(connections!$B$2:$B$1205,$A199))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IF(connections!$A199="","",IFERROR(INDEX(games!$B$2:$B$846,MATCH(connections!$A199,games!$A$2:$A$846,0)),""))</f>
        <v>2018</v>
      </c>
      <c r="U199">
        <f>IF(connections!$A199="","",IFERROR(INDEX(games!$B$2:$B$846,MATCH(connections!$B199,games!$A$2:$A$846,0)),""))</f>
        <v>2020</v>
      </c>
      <c r="V199">
        <f t="shared" si="47"/>
        <v>2</v>
      </c>
    </row>
    <row r="200" spans="1:22" x14ac:dyDescent="0.25">
      <c r="A200" t="str">
        <f>IF(games!$A200="","",games!$A200)</f>
        <v>Dicefolk</v>
      </c>
      <c r="B200">
        <f>IF($A200="","",games!$B200)</f>
        <v>2024</v>
      </c>
      <c r="C200" t="str">
        <f>IF($A200="","",games!$C200)</f>
        <v>Deckbuilder</v>
      </c>
      <c r="D200">
        <f>IF($A200="","",COUNTIF(connections!$A$2:$A$1205,$A200)+COUNTIF(connections!$B$2:$B$1205,$A200))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IF(connections!$A200="","",IFERROR(INDEX(games!$B$2:$B$846,MATCH(connections!$A200,games!$A$2:$A$846,0)),""))</f>
        <v>2018</v>
      </c>
      <c r="U200">
        <f>IF(connections!$A200="","",IFERROR(INDEX(games!$B$2:$B$846,MATCH(connections!$B200,games!$A$2:$A$846,0)),""))</f>
        <v>2024</v>
      </c>
      <c r="V200">
        <f t="shared" si="47"/>
        <v>6</v>
      </c>
    </row>
    <row r="201" spans="1:22" x14ac:dyDescent="0.25">
      <c r="A201" t="str">
        <f>IF(games!$A201="","",games!$A201)</f>
        <v>Diceomancer</v>
      </c>
      <c r="B201">
        <f>IF($A201="","",games!$B201)</f>
        <v>2024</v>
      </c>
      <c r="C201" t="str">
        <f>IF($A201="","",games!$C201)</f>
        <v>Deckbuilder</v>
      </c>
      <c r="D201">
        <f>IF($A201="","",COUNTIF(connections!$A$2:$A$1205,$A201)+COUNTIF(connections!$B$2:$B$1205,$A201))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IF(connections!$A201="","",IFERROR(INDEX(games!$B$2:$B$846,MATCH(connections!$A201,games!$A$2:$A$846,0)),""))</f>
        <v>2018</v>
      </c>
      <c r="U201">
        <f>IF(connections!$A201="","",IFERROR(INDEX(games!$B$2:$B$846,MATCH(connections!$B201,games!$A$2:$A$846,0)),""))</f>
        <v>2020</v>
      </c>
      <c r="V201">
        <f t="shared" si="47"/>
        <v>2</v>
      </c>
    </row>
    <row r="202" spans="1:22" x14ac:dyDescent="0.25">
      <c r="A202" t="str">
        <f>IF(games!$A202="","",games!$A202)</f>
        <v>Dicey Dungeons</v>
      </c>
      <c r="B202">
        <f>IF($A202="","",games!$B202)</f>
        <v>2019</v>
      </c>
      <c r="C202" t="str">
        <f>IF($A202="","",games!$C202)</f>
        <v>Deckbuilder</v>
      </c>
      <c r="D202">
        <f>IF($A202="","",COUNTIF(connections!$A$2:$A$1205,$A202)+COUNTIF(connections!$B$2:$B$1205,$A202))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IF(connections!$A202="","",IFERROR(INDEX(games!$B$2:$B$846,MATCH(connections!$A202,games!$A$2:$A$846,0)),""))</f>
        <v>2018</v>
      </c>
      <c r="U202">
        <f>IF(connections!$A202="","",IFERROR(INDEX(games!$B$2:$B$846,MATCH(connections!$B202,games!$A$2:$A$846,0)),""))</f>
        <v>2023</v>
      </c>
      <c r="V202">
        <f t="shared" si="47"/>
        <v>5</v>
      </c>
    </row>
    <row r="203" spans="1:22" x14ac:dyDescent="0.25">
      <c r="A203" t="str">
        <f>IF(games!$A203="","",games!$A203)</f>
        <v>Die For The Lich</v>
      </c>
      <c r="B203">
        <f>IF($A203="","",games!$B203)</f>
        <v>2025</v>
      </c>
      <c r="C203" t="str">
        <f>IF($A203="","",games!$C203)</f>
        <v>Deckbuilder</v>
      </c>
      <c r="D203">
        <f>IF($A203="","",COUNTIF(connections!$A$2:$A$1205,$A203)+COUNTIF(connections!$B$2:$B$1205,$A203))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IF(connections!$A203="","",IFERROR(INDEX(games!$B$2:$B$846,MATCH(connections!$A203,games!$A$2:$A$846,0)),""))</f>
        <v>2018</v>
      </c>
      <c r="U203">
        <f>IF(connections!$A203="","",IFERROR(INDEX(games!$B$2:$B$846,MATCH(connections!$B203,games!$A$2:$A$846,0)),""))</f>
        <v>2025</v>
      </c>
      <c r="V203">
        <f t="shared" si="47"/>
        <v>7</v>
      </c>
    </row>
    <row r="204" spans="1:22" x14ac:dyDescent="0.25">
      <c r="A204" t="str">
        <f>IF(games!$A204="","",games!$A204)</f>
        <v>Die in the Dungeon</v>
      </c>
      <c r="B204">
        <f>IF($A204="","",games!$B204)</f>
        <v>2025</v>
      </c>
      <c r="C204" t="str">
        <f>IF($A204="","",games!$C204)</f>
        <v>Deckbuilder</v>
      </c>
      <c r="D204">
        <f>IF($A204="","",COUNTIF(connections!$A$2:$A$1205,$A204)+COUNTIF(connections!$B$2:$B$1205,$A204))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IF(connections!$A204="","",IFERROR(INDEX(games!$B$2:$B$846,MATCH(connections!$A204,games!$A$2:$A$846,0)),""))</f>
        <v>2018</v>
      </c>
      <c r="U204">
        <f>IF(connections!$A204="","",IFERROR(INDEX(games!$B$2:$B$846,MATCH(connections!$B204,games!$A$2:$A$846,0)),""))</f>
        <v>2020</v>
      </c>
      <c r="V204">
        <f t="shared" si="47"/>
        <v>2</v>
      </c>
    </row>
    <row r="205" spans="1:22" x14ac:dyDescent="0.25">
      <c r="A205" t="str">
        <f>IF(games!$A205="","",games!$A205)</f>
        <v>DIG: Deep In Galaxies</v>
      </c>
      <c r="B205">
        <f>IF($A205="","",games!$B205)</f>
        <v>2021</v>
      </c>
      <c r="C205" t="str">
        <f>IF($A205="","",games!$C205)</f>
        <v>Action</v>
      </c>
      <c r="D205">
        <f>IF($A205="","",COUNTIF(connections!$A$2:$A$1205,$A205)+COUNTIF(connections!$B$2:$B$1205,$A205))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IF(connections!$A205="","",IFERROR(INDEX(games!$B$2:$B$846,MATCH(connections!$A205,games!$A$2:$A$846,0)),""))</f>
        <v>2018</v>
      </c>
      <c r="U205">
        <f>IF(connections!$A205="","",IFERROR(INDEX(games!$B$2:$B$846,MATCH(connections!$B205,games!$A$2:$A$846,0)),""))</f>
        <v>2020</v>
      </c>
      <c r="V205">
        <f t="shared" si="47"/>
        <v>2</v>
      </c>
    </row>
    <row r="206" spans="1:22" x14ac:dyDescent="0.25">
      <c r="A206" t="str">
        <f>IF(games!$A206="","",games!$A206)</f>
        <v>Dimensionals</v>
      </c>
      <c r="B206">
        <f>IF($A206="","",games!$B206)</f>
        <v>2024</v>
      </c>
      <c r="C206" t="str">
        <f>IF($A206="","",games!$C206)</f>
        <v>Deckbuilder</v>
      </c>
      <c r="D206">
        <f>IF($A206="","",COUNTIF(connections!$A$2:$A$1205,$A206)+COUNTIF(connections!$B$2:$B$1205,$A206))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IF(connections!$A206="","",IFERROR(INDEX(games!$B$2:$B$846,MATCH(connections!$A206,games!$A$2:$A$846,0)),""))</f>
        <v>2018</v>
      </c>
      <c r="U206">
        <f>IF(connections!$A206="","",IFERROR(INDEX(games!$B$2:$B$846,MATCH(connections!$B206,games!$A$2:$A$846,0)),""))</f>
        <v>2019</v>
      </c>
      <c r="V206">
        <f t="shared" si="47"/>
        <v>1</v>
      </c>
    </row>
    <row r="207" spans="1:22" x14ac:dyDescent="0.25">
      <c r="A207" t="str">
        <f>IF(games!$A207="","",games!$A207)</f>
        <v>Disfigure</v>
      </c>
      <c r="B207">
        <f>IF($A207="","",games!$B207)</f>
        <v>2023</v>
      </c>
      <c r="C207" t="str">
        <f>IF($A207="","",games!$C207)</f>
        <v>Action</v>
      </c>
      <c r="D207">
        <f>IF($A207="","",COUNTIF(connections!$A$2:$A$1205,$A207)+COUNTIF(connections!$B$2:$B$1205,$A207))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IF(connections!$A207="","",IFERROR(INDEX(games!$B$2:$B$846,MATCH(connections!$A207,games!$A$2:$A$846,0)),""))</f>
        <v>2018</v>
      </c>
      <c r="U207">
        <f>IF(connections!$A207="","",IFERROR(INDEX(games!$B$2:$B$846,MATCH(connections!$B207,games!$A$2:$A$846,0)),""))</f>
        <v>2024</v>
      </c>
      <c r="V207">
        <f t="shared" si="47"/>
        <v>6</v>
      </c>
    </row>
    <row r="208" spans="1:22" x14ac:dyDescent="0.25">
      <c r="A208" t="str">
        <f>IF(games!$A208="","",games!$A208)</f>
        <v>Dive or Die: Children of Rain</v>
      </c>
      <c r="B208">
        <f>IF($A208="","",games!$B208)</f>
        <v>2026</v>
      </c>
      <c r="C208" t="str">
        <f>IF($A208="","",games!$C208)</f>
        <v>Action</v>
      </c>
      <c r="D208">
        <f>IF($A208="","",COUNTIF(connections!$A$2:$A$1205,$A208)+COUNTIF(connections!$B$2:$B$1205,$A208))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IF(connections!$A208="","",IFERROR(INDEX(games!$B$2:$B$846,MATCH(connections!$A208,games!$A$2:$A$846,0)),""))</f>
        <v>2018</v>
      </c>
      <c r="U208">
        <f>IF(connections!$A208="","",IFERROR(INDEX(games!$B$2:$B$846,MATCH(connections!$B208,games!$A$2:$A$846,0)),""))</f>
        <v>2025</v>
      </c>
      <c r="V208">
        <f t="shared" si="47"/>
        <v>7</v>
      </c>
    </row>
    <row r="209" spans="1:22" x14ac:dyDescent="0.25">
      <c r="A209" t="str">
        <f>IF(games!$A209="","",games!$A209)</f>
        <v>Dog and Goblin</v>
      </c>
      <c r="B209">
        <f>IF($A209="","",games!$B209)</f>
        <v>2024</v>
      </c>
      <c r="C209" t="str">
        <f>IF($A209="","",games!$C209)</f>
        <v>Deckbuilder</v>
      </c>
      <c r="D209">
        <f>IF($A209="","",COUNTIF(connections!$A$2:$A$1205,$A209)+COUNTIF(connections!$B$2:$B$1205,$A209))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IF(connections!$A209="","",IFERROR(INDEX(games!$B$2:$B$846,MATCH(connections!$A209,games!$A$2:$A$846,0)),""))</f>
        <v>2018</v>
      </c>
      <c r="U209">
        <f>IF(connections!$A209="","",IFERROR(INDEX(games!$B$2:$B$846,MATCH(connections!$B209,games!$A$2:$A$846,0)),""))</f>
        <v>2019</v>
      </c>
      <c r="V209">
        <f t="shared" si="47"/>
        <v>1</v>
      </c>
    </row>
    <row r="210" spans="1:22" x14ac:dyDescent="0.25">
      <c r="A210" t="str">
        <f>IF(games!$A210="","",games!$A210)</f>
        <v>Dog Witch</v>
      </c>
      <c r="B210">
        <f>IF($A210="","",games!$B210)</f>
        <v>2025</v>
      </c>
      <c r="C210" t="str">
        <f>IF($A210="","",games!$C210)</f>
        <v>Deckbuilder</v>
      </c>
      <c r="D210">
        <f>IF($A210="","",COUNTIF(connections!$A$2:$A$1205,$A210)+COUNTIF(connections!$B$2:$B$1205,$A210))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IF(connections!$A210="","",IFERROR(INDEX(games!$B$2:$B$846,MATCH(connections!$A210,games!$A$2:$A$846,0)),""))</f>
        <v>2018</v>
      </c>
      <c r="U210">
        <f>IF(connections!$A210="","",IFERROR(INDEX(games!$B$2:$B$846,MATCH(connections!$B210,games!$A$2:$A$846,0)),""))</f>
        <v>2024</v>
      </c>
      <c r="V210">
        <f t="shared" si="47"/>
        <v>6</v>
      </c>
    </row>
    <row r="211" spans="1:22" x14ac:dyDescent="0.25">
      <c r="A211" t="str">
        <f>IF(games!$A211="","",games!$A211)</f>
        <v>Dogpile</v>
      </c>
      <c r="B211">
        <f>IF($A211="","",games!$B211)</f>
        <v>2025</v>
      </c>
      <c r="C211" t="str">
        <f>IF($A211="","",games!$C211)</f>
        <v>Deckbuilder</v>
      </c>
      <c r="D211">
        <f>IF($A211="","",COUNTIF(connections!$A$2:$A$1205,$A211)+COUNTIF(connections!$B$2:$B$1205,$A211))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IF(connections!$A211="","",IFERROR(INDEX(games!$B$2:$B$846,MATCH(connections!$A211,games!$A$2:$A$846,0)),""))</f>
        <v>2023</v>
      </c>
      <c r="U211">
        <f>IF(connections!$A211="","",IFERROR(INDEX(games!$B$2:$B$846,MATCH(connections!$B211,games!$A$2:$A$846,0)),""))</f>
        <v>2024</v>
      </c>
      <c r="V211">
        <f t="shared" si="47"/>
        <v>1</v>
      </c>
    </row>
    <row r="212" spans="1:22" x14ac:dyDescent="0.25">
      <c r="A212" t="str">
        <f>IF(games!$A212="","",games!$A212)</f>
        <v>Dome Keeper</v>
      </c>
      <c r="B212">
        <f>IF($A212="","",games!$B212)</f>
        <v>2022</v>
      </c>
      <c r="C212" t="str">
        <f>IF($A212="","",games!$C212)</f>
        <v>Strategy</v>
      </c>
      <c r="D212">
        <f>IF($A212="","",COUNTIF(connections!$A$2:$A$1205,$A212)+COUNTIF(connections!$B$2:$B$1205,$A212))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IF(connections!$A212="","",IFERROR(INDEX(games!$B$2:$B$846,MATCH(connections!$A212,games!$A$2:$A$846,0)),""))</f>
        <v>2023</v>
      </c>
      <c r="U212">
        <f>IF(connections!$A212="","",IFERROR(INDEX(games!$B$2:$B$846,MATCH(connections!$B212,games!$A$2:$A$846,0)),""))</f>
        <v>2026</v>
      </c>
      <c r="V212">
        <f t="shared" si="47"/>
        <v>3</v>
      </c>
    </row>
    <row r="213" spans="1:22" x14ac:dyDescent="0.25">
      <c r="A213" t="str">
        <f>IF(games!$A213="","",games!$A213)</f>
        <v>Don't Lose Aggro</v>
      </c>
      <c r="B213">
        <f>IF($A213="","",games!$B213)</f>
        <v>2026</v>
      </c>
      <c r="C213" t="str">
        <f>IF($A213="","",games!$C213)</f>
        <v>Action</v>
      </c>
      <c r="D213">
        <f>IF($A213="","",COUNTIF(connections!$A$2:$A$1205,$A213)+COUNTIF(connections!$B$2:$B$1205,$A213))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IF(connections!$A213="","",IFERROR(INDEX(games!$B$2:$B$846,MATCH(connections!$A213,games!$A$2:$A$846,0)),""))</f>
        <v>2023</v>
      </c>
      <c r="U213">
        <f>IF(connections!$A213="","",IFERROR(INDEX(games!$B$2:$B$846,MATCH(connections!$B213,games!$A$2:$A$846,0)),""))</f>
        <v>2025</v>
      </c>
      <c r="V213">
        <f t="shared" si="47"/>
        <v>2</v>
      </c>
    </row>
    <row r="214" spans="1:22" x14ac:dyDescent="0.25">
      <c r="A214" t="str">
        <f>IF(games!$A214="","",games!$A214)</f>
        <v>Don't Starve</v>
      </c>
      <c r="B214">
        <f>IF($A214="","",games!$B214)</f>
        <v>2013</v>
      </c>
      <c r="C214" t="str">
        <f>IF($A214="","",games!$C214)</f>
        <v>Action</v>
      </c>
      <c r="D214">
        <f>IF($A214="","",COUNTIF(connections!$A$2:$A$1205,$A214)+COUNTIF(connections!$B$2:$B$1205,$A214))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IF(connections!$A214="","",IFERROR(INDEX(games!$B$2:$B$846,MATCH(connections!$A214,games!$A$2:$A$846,0)),""))</f>
        <v>2023</v>
      </c>
      <c r="U214">
        <f>IF(connections!$A214="","",IFERROR(INDEX(games!$B$2:$B$846,MATCH(connections!$B214,games!$A$2:$A$846,0)),""))</f>
        <v>2025</v>
      </c>
      <c r="V214">
        <f t="shared" si="47"/>
        <v>2</v>
      </c>
    </row>
    <row r="215" spans="1:22" x14ac:dyDescent="0.25">
      <c r="A215" t="str">
        <f>IF(games!$A215="","",games!$A215)</f>
        <v>Don't Starve Together</v>
      </c>
      <c r="B215">
        <f>IF($A215="","",games!$B215)</f>
        <v>2014</v>
      </c>
      <c r="C215" t="str">
        <f>IF($A215="","",games!$C215)</f>
        <v>Action</v>
      </c>
      <c r="D215">
        <f>IF($A215="","",COUNTIF(connections!$A$2:$A$1205,$A215)+COUNTIF(connections!$B$2:$B$1205,$A215))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IF(connections!$A215="","",IFERROR(INDEX(games!$B$2:$B$846,MATCH(connections!$A215,games!$A$2:$A$846,0)),""))</f>
        <v>2023</v>
      </c>
      <c r="U215">
        <f>IF(connections!$A215="","",IFERROR(INDEX(games!$B$2:$B$846,MATCH(connections!$B215,games!$A$2:$A$846,0)),""))</f>
        <v>2024</v>
      </c>
      <c r="V215">
        <f t="shared" si="47"/>
        <v>1</v>
      </c>
    </row>
    <row r="216" spans="1:22" x14ac:dyDescent="0.25">
      <c r="A216" t="str">
        <f>IF(games!$A216="","",games!$A216)</f>
        <v>DoomRL</v>
      </c>
      <c r="B216">
        <f>IF($A216="","",games!$B216)</f>
        <v>2002</v>
      </c>
      <c r="C216" t="str">
        <f>IF($A216="","",games!$C216)</f>
        <v>Traditional</v>
      </c>
      <c r="D216">
        <f>IF($A216="","",COUNTIF(connections!$A$2:$A$1205,$A216)+COUNTIF(connections!$B$2:$B$1205,$A216))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IF(connections!$A216="","",IFERROR(INDEX(games!$B$2:$B$846,MATCH(connections!$A216,games!$A$2:$A$846,0)),""))</f>
        <v>2023</v>
      </c>
      <c r="U216">
        <f>IF(connections!$A216="","",IFERROR(INDEX(games!$B$2:$B$846,MATCH(connections!$B216,games!$A$2:$A$846,0)),""))</f>
        <v>2026</v>
      </c>
      <c r="V216">
        <f t="shared" si="47"/>
        <v>3</v>
      </c>
    </row>
    <row r="217" spans="1:22" x14ac:dyDescent="0.25">
      <c r="A217" t="str">
        <f>IF(games!$A217="","",games!$A217)</f>
        <v>Dota Auto Chess</v>
      </c>
      <c r="B217">
        <f>IF($A217="","",games!$B217)</f>
        <v>2019</v>
      </c>
      <c r="C217" t="str">
        <f>IF($A217="","",games!$C217)</f>
        <v>Strategy</v>
      </c>
      <c r="D217">
        <f>IF($A217="","",COUNTIF(connections!$A$2:$A$1205,$A217)+COUNTIF(connections!$B$2:$B$1205,$A217))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IF(connections!$A217="","",IFERROR(INDEX(games!$B$2:$B$846,MATCH(connections!$A217,games!$A$2:$A$846,0)),""))</f>
        <v>2024</v>
      </c>
      <c r="U217">
        <f>IF(connections!$A217="","",IFERROR(INDEX(games!$B$2:$B$846,MATCH(connections!$B217,games!$A$2:$A$846,0)),""))</f>
        <v>2026</v>
      </c>
      <c r="V217">
        <f t="shared" si="47"/>
        <v>2</v>
      </c>
    </row>
    <row r="218" spans="1:22" x14ac:dyDescent="0.25">
      <c r="A218" t="str">
        <f>IF(games!$A218="","",games!$A218)</f>
        <v>Double Dragon Gaiden: Rise Of The Dragons</v>
      </c>
      <c r="B218">
        <f>IF($A218="","",games!$B218)</f>
        <v>2023</v>
      </c>
      <c r="C218" t="str">
        <f>IF($A218="","",games!$C218)</f>
        <v>Action</v>
      </c>
      <c r="D218">
        <f>IF($A218="","",COUNTIF(connections!$A$2:$A$1205,$A218)+COUNTIF(connections!$B$2:$B$1205,$A218))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IF(connections!$A218="","",IFERROR(INDEX(games!$B$2:$B$846,MATCH(connections!$A218,games!$A$2:$A$846,0)),""))</f>
        <v>2024</v>
      </c>
      <c r="U218">
        <f>IF(connections!$A218="","",IFERROR(INDEX(games!$B$2:$B$846,MATCH(connections!$B218,games!$A$2:$A$846,0)),""))</f>
        <v>2024</v>
      </c>
      <c r="V218">
        <f t="shared" si="47"/>
        <v>0</v>
      </c>
    </row>
    <row r="219" spans="1:22" x14ac:dyDescent="0.25">
      <c r="A219" t="str">
        <f>IF(games!$A219="","",games!$A219)</f>
        <v>Downwell</v>
      </c>
      <c r="B219">
        <f>IF($A219="","",games!$B219)</f>
        <v>2015</v>
      </c>
      <c r="C219" t="str">
        <f>IF($A219="","",games!$C219)</f>
        <v>Action</v>
      </c>
      <c r="D219">
        <f>IF($A219="","",COUNTIF(connections!$A$2:$A$1205,$A219)+COUNTIF(connections!$B$2:$B$1205,$A219))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IF(connections!$A219="","",IFERROR(INDEX(games!$B$2:$B$846,MATCH(connections!$A219,games!$A$2:$A$846,0)),""))</f>
        <v>2018</v>
      </c>
      <c r="U219">
        <f>IF(connections!$A219="","",IFERROR(INDEX(games!$B$2:$B$846,MATCH(connections!$B219,games!$A$2:$A$846,0)),""))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IF($A220="","",COUNTIF(connections!$A$2:$A$1205,$A220)+COUNTIF(connections!$B$2:$B$1205,$A220))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IF(connections!$A220="","",IFERROR(INDEX(games!$B$2:$B$846,MATCH(connections!$A220,games!$A$2:$A$846,0)),""))</f>
        <v>2019</v>
      </c>
      <c r="U220">
        <f>IF(connections!$A220="","",IFERROR(INDEX(games!$B$2:$B$846,MATCH(connections!$B220,games!$A$2:$A$846,0)),""))</f>
        <v>2026</v>
      </c>
      <c r="V220">
        <f t="shared" si="47"/>
        <v>7</v>
      </c>
    </row>
    <row r="221" spans="1:22" x14ac:dyDescent="0.25">
      <c r="A221" t="str">
        <f>IF(games!$A221="","",games!$A221)</f>
        <v>Dragonslayer</v>
      </c>
      <c r="B221">
        <f>IF($A221="","",games!$B221)</f>
        <v>2003</v>
      </c>
      <c r="C221" t="str">
        <f>IF($A221="","",games!$C221)</f>
        <v>Traditional</v>
      </c>
      <c r="D221">
        <f>IF($A221="","",COUNTIF(connections!$A$2:$A$1205,$A221)+COUNTIF(connections!$B$2:$B$1205,$A221))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IF(connections!$A221="","",IFERROR(INDEX(games!$B$2:$B$846,MATCH(connections!$A221,games!$A$2:$A$846,0)),""))</f>
        <v>2010</v>
      </c>
      <c r="U221">
        <f>IF(connections!$A221="","",IFERROR(INDEX(games!$B$2:$B$846,MATCH(connections!$B221,games!$A$2:$A$846,0)),""))</f>
        <v>2011</v>
      </c>
      <c r="V221">
        <f t="shared" si="47"/>
        <v>1</v>
      </c>
    </row>
    <row r="222" spans="1:22" x14ac:dyDescent="0.25">
      <c r="A222" t="str">
        <f>IF(games!$A222="","",games!$A222)</f>
        <v>Drapline</v>
      </c>
      <c r="B222">
        <f>IF($A222="","",games!$B222)</f>
        <v>2025</v>
      </c>
      <c r="C222" t="str">
        <f>IF($A222="","",games!$C222)</f>
        <v>Strategy</v>
      </c>
      <c r="D222">
        <f>IF($A222="","",COUNTIF(connections!$A$2:$A$1205,$A222)+COUNTIF(connections!$B$2:$B$1205,$A222))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IF(connections!$A222="","",IFERROR(INDEX(games!$B$2:$B$846,MATCH(connections!$A222,games!$A$2:$A$846,0)),""))</f>
        <v>2021</v>
      </c>
      <c r="U222">
        <f>IF(connections!$A222="","",IFERROR(INDEX(games!$B$2:$B$846,MATCH(connections!$B222,games!$A$2:$A$846,0)),""))</f>
        <v>2026</v>
      </c>
      <c r="V222">
        <f t="shared" si="47"/>
        <v>5</v>
      </c>
    </row>
    <row r="223" spans="1:22" x14ac:dyDescent="0.25">
      <c r="A223" t="str">
        <f>IF(games!$A223="","",games!$A223)</f>
        <v>Dream Quest</v>
      </c>
      <c r="B223">
        <f>IF($A223="","",games!$B223)</f>
        <v>2014</v>
      </c>
      <c r="C223" t="str">
        <f>IF($A223="","",games!$C223)</f>
        <v>Deckbuilder</v>
      </c>
      <c r="D223">
        <f>IF($A223="","",COUNTIF(connections!$A$2:$A$1205,$A223)+COUNTIF(connections!$B$2:$B$1205,$A223))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IF(connections!$A223="","",IFERROR(INDEX(games!$B$2:$B$846,MATCH(connections!$A223,games!$A$2:$A$846,0)),""))</f>
        <v>2021</v>
      </c>
      <c r="U223">
        <f>IF(connections!$A223="","",IFERROR(INDEX(games!$B$2:$B$846,MATCH(connections!$B223,games!$A$2:$A$846,0)),""))</f>
        <v>2023</v>
      </c>
      <c r="V223">
        <f t="shared" si="47"/>
        <v>2</v>
      </c>
    </row>
    <row r="224" spans="1:22" x14ac:dyDescent="0.25">
      <c r="A224" t="str">
        <f>IF(games!$A224="","",games!$A224)</f>
        <v>Dreamscaper</v>
      </c>
      <c r="B224">
        <f>IF($A224="","",games!$B224)</f>
        <v>2020</v>
      </c>
      <c r="C224" t="str">
        <f>IF($A224="","",games!$C224)</f>
        <v>Action</v>
      </c>
      <c r="D224">
        <f>IF($A224="","",COUNTIF(connections!$A$2:$A$1205,$A224)+COUNTIF(connections!$B$2:$B$1205,$A224))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IF(connections!$A224="","",IFERROR(INDEX(games!$B$2:$B$846,MATCH(connections!$A224,games!$A$2:$A$846,0)),""))</f>
        <v>1996</v>
      </c>
      <c r="U224">
        <f>IF(connections!$A224="","",IFERROR(INDEX(games!$B$2:$B$846,MATCH(connections!$B224,games!$A$2:$A$846,0)),""))</f>
        <v>2018</v>
      </c>
      <c r="V224">
        <f t="shared" si="47"/>
        <v>22</v>
      </c>
    </row>
    <row r="225" spans="1:22" x14ac:dyDescent="0.25">
      <c r="A225" t="str">
        <f>IF(games!$A225="","",games!$A225)</f>
        <v>Drill Core</v>
      </c>
      <c r="B225">
        <f>IF($A225="","",games!$B225)</f>
        <v>2024</v>
      </c>
      <c r="C225" t="str">
        <f>IF($A225="","",games!$C225)</f>
        <v>Strategy</v>
      </c>
      <c r="D225">
        <f>IF($A225="","",COUNTIF(connections!$A$2:$A$1205,$A225)+COUNTIF(connections!$B$2:$B$1205,$A225))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IF(connections!$A225="","",IFERROR(INDEX(games!$B$2:$B$846,MATCH(connections!$A225,games!$A$2:$A$846,0)),""))</f>
        <v>1996</v>
      </c>
      <c r="U225">
        <f>IF(connections!$A225="","",IFERROR(INDEX(games!$B$2:$B$846,MATCH(connections!$B225,games!$A$2:$A$846,0)),""))</f>
        <v>2010</v>
      </c>
      <c r="V225">
        <f t="shared" si="47"/>
        <v>14</v>
      </c>
    </row>
    <row r="226" spans="1:22" x14ac:dyDescent="0.25">
      <c r="A226" t="str">
        <f>IF(games!$A226="","",games!$A226)</f>
        <v>Drop Duchy</v>
      </c>
      <c r="B226">
        <f>IF($A226="","",games!$B226)</f>
        <v>2025</v>
      </c>
      <c r="C226" t="str">
        <f>IF($A226="","",games!$C226)</f>
        <v>Strategy</v>
      </c>
      <c r="D226">
        <f>IF($A226="","",COUNTIF(connections!$A$2:$A$1205,$A226)+COUNTIF(connections!$B$2:$B$1205,$A226))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IF(connections!$A226="","",IFERROR(INDEX(games!$B$2:$B$846,MATCH(connections!$A226,games!$A$2:$A$846,0)),""))</f>
        <v>1996</v>
      </c>
      <c r="U226">
        <f>IF(connections!$A226="","",IFERROR(INDEX(games!$B$2:$B$846,MATCH(connections!$B226,games!$A$2:$A$846,0)),""))</f>
        <v>2023</v>
      </c>
      <c r="V226">
        <f t="shared" si="47"/>
        <v>27</v>
      </c>
    </row>
    <row r="227" spans="1:22" x14ac:dyDescent="0.25">
      <c r="A227" t="str">
        <f>IF(games!$A227="","",games!$A227)</f>
        <v>Drop Pockets</v>
      </c>
      <c r="B227">
        <f>IF($A227="","",games!$B227)</f>
        <v>2025</v>
      </c>
      <c r="C227" t="str">
        <f>IF($A227="","",games!$C227)</f>
        <v>Strategy</v>
      </c>
      <c r="D227">
        <f>IF($A227="","",COUNTIF(connections!$A$2:$A$1205,$A227)+COUNTIF(connections!$B$2:$B$1205,$A227))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IF(connections!$A227="","",IFERROR(INDEX(games!$B$2:$B$846,MATCH(connections!$A227,games!$A$2:$A$846,0)),""))</f>
        <v>1996</v>
      </c>
      <c r="U227">
        <f>IF(connections!$A227="","",IFERROR(INDEX(games!$B$2:$B$846,MATCH(connections!$B227,games!$A$2:$A$846,0)),""))</f>
        <v>2010</v>
      </c>
      <c r="V227">
        <f t="shared" si="47"/>
        <v>14</v>
      </c>
    </row>
    <row r="228" spans="1:22" x14ac:dyDescent="0.25">
      <c r="A228" t="str">
        <f>IF(games!$A228="","",games!$A228)</f>
        <v>Dungeon Clawler</v>
      </c>
      <c r="B228">
        <f>IF($A228="","",games!$B228)</f>
        <v>2024</v>
      </c>
      <c r="C228" t="str">
        <f>IF($A228="","",games!$C228)</f>
        <v>Deckbuilder</v>
      </c>
      <c r="D228">
        <f>IF($A228="","",COUNTIF(connections!$A$2:$A$1205,$A228)+COUNTIF(connections!$B$2:$B$1205,$A228))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IF(connections!$A228="","",IFERROR(INDEX(games!$B$2:$B$846,MATCH(connections!$A228,games!$A$2:$A$846,0)),""))</f>
        <v>1996</v>
      </c>
      <c r="U228">
        <f>IF(connections!$A228="","",IFERROR(INDEX(games!$B$2:$B$846,MATCH(connections!$B228,games!$A$2:$A$846,0)),""))</f>
        <v>2025</v>
      </c>
      <c r="V228">
        <f t="shared" si="47"/>
        <v>29</v>
      </c>
    </row>
    <row r="229" spans="1:22" x14ac:dyDescent="0.25">
      <c r="A229" t="str">
        <f>IF(games!$A229="","",games!$A229)</f>
        <v>Dungeon Crawl Stone Soup</v>
      </c>
      <c r="B229">
        <f>IF($A229="","",games!$B229)</f>
        <v>2006</v>
      </c>
      <c r="C229" t="str">
        <f>IF($A229="","",games!$C229)</f>
        <v>Traditional</v>
      </c>
      <c r="D229">
        <f>IF($A229="","",COUNTIF(connections!$A$2:$A$1205,$A229)+COUNTIF(connections!$B$2:$B$1205,$A229))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IF(connections!$A229="","",IFERROR(INDEX(games!$B$2:$B$846,MATCH(connections!$A229,games!$A$2:$A$846,0)),""))</f>
        <v>1996</v>
      </c>
      <c r="U229">
        <f>IF(connections!$A229="","",IFERROR(INDEX(games!$B$2:$B$846,MATCH(connections!$B229,games!$A$2:$A$846,0)),""))</f>
        <v>2023</v>
      </c>
      <c r="V229">
        <f t="shared" si="47"/>
        <v>27</v>
      </c>
    </row>
    <row r="230" spans="1:22" x14ac:dyDescent="0.25">
      <c r="A230" t="str">
        <f>IF(games!$A230="","",games!$A230)</f>
        <v>Dungeon Deathball</v>
      </c>
      <c r="B230">
        <f>IF($A230="","",games!$B230)</f>
        <v>2021</v>
      </c>
      <c r="C230" t="str">
        <f>IF($A230="","",games!$C230)</f>
        <v>Strategy</v>
      </c>
      <c r="D230">
        <f>IF($A230="","",COUNTIF(connections!$A$2:$A$1205,$A230)+COUNTIF(connections!$B$2:$B$1205,$A230))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IF(connections!$A230="","",IFERROR(INDEX(games!$B$2:$B$846,MATCH(connections!$A230,games!$A$2:$A$846,0)),""))</f>
        <v>1996</v>
      </c>
      <c r="U230">
        <f>IF(connections!$A230="","",IFERROR(INDEX(games!$B$2:$B$846,MATCH(connections!$B230,games!$A$2:$A$846,0)),""))</f>
        <v>2025</v>
      </c>
      <c r="V230">
        <f t="shared" si="47"/>
        <v>29</v>
      </c>
    </row>
    <row r="231" spans="1:22" x14ac:dyDescent="0.25">
      <c r="A231" t="str">
        <f>IF(games!$A231="","",games!$A231)</f>
        <v>Dungeon Drafters</v>
      </c>
      <c r="B231">
        <f>IF($A231="","",games!$B231)</f>
        <v>2023</v>
      </c>
      <c r="C231" t="str">
        <f>IF($A231="","",games!$C231)</f>
        <v>Traditional</v>
      </c>
      <c r="D231">
        <f>IF($A231="","",COUNTIF(connections!$A$2:$A$1205,$A231)+COUNTIF(connections!$B$2:$B$1205,$A231))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IF(connections!$A231="","",IFERROR(INDEX(games!$B$2:$B$846,MATCH(connections!$A231,games!$A$2:$A$846,0)),""))</f>
        <v>1996</v>
      </c>
      <c r="U231">
        <f>IF(connections!$A231="","",IFERROR(INDEX(games!$B$2:$B$846,MATCH(connections!$B231,games!$A$2:$A$846,0)),""))</f>
        <v>2025</v>
      </c>
      <c r="V231">
        <f t="shared" si="47"/>
        <v>29</v>
      </c>
    </row>
    <row r="232" spans="1:22" x14ac:dyDescent="0.25">
      <c r="A232" t="str">
        <f>IF(games!$A232="","",games!$A232)</f>
        <v>Dungeon Hack</v>
      </c>
      <c r="B232">
        <f>IF($A232="","",games!$B232)</f>
        <v>1993</v>
      </c>
      <c r="C232" t="str">
        <f>IF($A232="","",games!$C232)</f>
        <v>Action</v>
      </c>
      <c r="D232">
        <f>IF($A232="","",COUNTIF(connections!$A$2:$A$1205,$A232)+COUNTIF(connections!$B$2:$B$1205,$A232))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IF(connections!$A232="","",IFERROR(INDEX(games!$B$2:$B$846,MATCH(connections!$A232,games!$A$2:$A$846,0)),""))</f>
        <v>1996</v>
      </c>
      <c r="U232">
        <f>IF(connections!$A232="","",IFERROR(INDEX(games!$B$2:$B$846,MATCH(connections!$B232,games!$A$2:$A$846,0)),""))</f>
        <v>2006</v>
      </c>
      <c r="V232">
        <f t="shared" si="47"/>
        <v>10</v>
      </c>
    </row>
    <row r="233" spans="1:22" x14ac:dyDescent="0.25">
      <c r="A233" t="str">
        <f>IF(games!$A233="","",games!$A233)</f>
        <v>Dungeon of Windaria</v>
      </c>
      <c r="B233">
        <f>IF($A233="","",games!$B233)</f>
        <v>2008</v>
      </c>
      <c r="C233" t="str">
        <f>IF($A233="","",games!$C233)</f>
        <v>Traditional</v>
      </c>
      <c r="D233">
        <f>IF($A233="","",COUNTIF(connections!$A$2:$A$1205,$A233)+COUNTIF(connections!$B$2:$B$1205,$A233))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IF(connections!$A233="","",IFERROR(INDEX(games!$B$2:$B$846,MATCH(connections!$A233,games!$A$2:$A$846,0)),""))</f>
        <v>1996</v>
      </c>
      <c r="U233">
        <f>IF(connections!$A233="","",IFERROR(INDEX(games!$B$2:$B$846,MATCH(connections!$B233,games!$A$2:$A$846,0)),""))</f>
        <v>2003</v>
      </c>
      <c r="V233">
        <f t="shared" si="47"/>
        <v>7</v>
      </c>
    </row>
    <row r="234" spans="1:22" x14ac:dyDescent="0.25">
      <c r="A234" t="str">
        <f>IF(games!$A234="","",games!$A234)</f>
        <v>Dungeon Rushers</v>
      </c>
      <c r="B234">
        <f>IF($A234="","",games!$B234)</f>
        <v>2016</v>
      </c>
      <c r="C234" t="str">
        <f>IF($A234="","",games!$C234)</f>
        <v>Strategy</v>
      </c>
      <c r="D234">
        <f>IF($A234="","",COUNTIF(connections!$A$2:$A$1205,$A234)+COUNTIF(connections!$B$2:$B$1205,$A234))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IF(connections!$A234="","",IFERROR(INDEX(games!$B$2:$B$846,MATCH(connections!$A234,games!$A$2:$A$846,0)),""))</f>
        <v>1996</v>
      </c>
      <c r="U234">
        <f>IF(connections!$A234="","",IFERROR(INDEX(games!$B$2:$B$846,MATCH(connections!$B234,games!$A$2:$A$846,0)),""))</f>
        <v>2020</v>
      </c>
      <c r="V234">
        <f t="shared" si="47"/>
        <v>24</v>
      </c>
    </row>
    <row r="235" spans="1:22" x14ac:dyDescent="0.25">
      <c r="A235" t="str">
        <f>IF(games!$A235="","",games!$A235)</f>
        <v>Dungeonmans</v>
      </c>
      <c r="B235">
        <f>IF($A235="","",games!$B235)</f>
        <v>2010</v>
      </c>
      <c r="C235" t="str">
        <f>IF($A235="","",games!$C235)</f>
        <v>Traditional</v>
      </c>
      <c r="D235">
        <f>IF($A235="","",COUNTIF(connections!$A$2:$A$1205,$A235)+COUNTIF(connections!$B$2:$B$1205,$A235))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IF(connections!$A235="","",IFERROR(INDEX(games!$B$2:$B$846,MATCH(connections!$A235,games!$A$2:$A$846,0)),""))</f>
        <v>1996</v>
      </c>
      <c r="U235">
        <f>IF(connections!$A235="","",IFERROR(INDEX(games!$B$2:$B$846,MATCH(connections!$B235,games!$A$2:$A$846,0)),""))</f>
        <v>2013</v>
      </c>
      <c r="V235">
        <f t="shared" si="47"/>
        <v>17</v>
      </c>
    </row>
    <row r="236" spans="1:22" x14ac:dyDescent="0.25">
      <c r="A236" t="str">
        <f>IF(games!$A236="","",games!$A236)</f>
        <v>Dungeons &amp; Degenerate Gamblers</v>
      </c>
      <c r="B236">
        <f>IF($A236="","",games!$B236)</f>
        <v>2024</v>
      </c>
      <c r="C236" t="str">
        <f>IF($A236="","",games!$C236)</f>
        <v>Deckbuilder</v>
      </c>
      <c r="D236">
        <f>IF($A236="","",COUNTIF(connections!$A$2:$A$1205,$A236)+COUNTIF(connections!$B$2:$B$1205,$A236))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IF(connections!$A236="","",IFERROR(INDEX(games!$B$2:$B$846,MATCH(connections!$A236,games!$A$2:$A$846,0)),""))</f>
        <v>2019</v>
      </c>
      <c r="U236">
        <f>IF(connections!$A236="","",IFERROR(INDEX(games!$B$2:$B$846,MATCH(connections!$B236,games!$A$2:$A$846,0)),""))</f>
        <v>2026</v>
      </c>
      <c r="V236">
        <f t="shared" si="47"/>
        <v>7</v>
      </c>
    </row>
    <row r="237" spans="1:22" x14ac:dyDescent="0.25">
      <c r="A237" t="str">
        <f>IF(games!$A237="","",games!$A237)</f>
        <v>Dungeons of Blood and Dream</v>
      </c>
      <c r="B237">
        <f>IF($A237="","",games!$B237)</f>
        <v>2024</v>
      </c>
      <c r="C237" t="str">
        <f>IF($A237="","",games!$C237)</f>
        <v>Action</v>
      </c>
      <c r="D237">
        <f>IF($A237="","",COUNTIF(connections!$A$2:$A$1205,$A237)+COUNTIF(connections!$B$2:$B$1205,$A237))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IF(connections!$A237="","",IFERROR(INDEX(games!$B$2:$B$846,MATCH(connections!$A237,games!$A$2:$A$846,0)),""))</f>
        <v>2019</v>
      </c>
      <c r="U237">
        <f>IF(connections!$A237="","",IFERROR(INDEX(games!$B$2:$B$846,MATCH(connections!$B237,games!$A$2:$A$846,0)),""))</f>
        <v>2022</v>
      </c>
      <c r="V237">
        <f t="shared" si="47"/>
        <v>3</v>
      </c>
    </row>
    <row r="238" spans="1:22" x14ac:dyDescent="0.25">
      <c r="A238" t="str">
        <f>IF(games!$A238="","",games!$A238)</f>
        <v>Dungeons of Dredmor</v>
      </c>
      <c r="B238">
        <f>IF($A238="","",games!$B238)</f>
        <v>2011</v>
      </c>
      <c r="C238" t="str">
        <f>IF($A238="","",games!$C238)</f>
        <v>Traditional</v>
      </c>
      <c r="D238">
        <f>IF($A238="","",COUNTIF(connections!$A$2:$A$1205,$A238)+COUNTIF(connections!$B$2:$B$1205,$A238))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IF(connections!$A238="","",IFERROR(INDEX(games!$B$2:$B$846,MATCH(connections!$A238,games!$A$2:$A$846,0)),""))</f>
        <v>2019</v>
      </c>
      <c r="U238">
        <f>IF(connections!$A238="","",IFERROR(INDEX(games!$B$2:$B$846,MATCH(connections!$B238,games!$A$2:$A$846,0)),""))</f>
        <v>2024</v>
      </c>
      <c r="V238">
        <f t="shared" si="47"/>
        <v>5</v>
      </c>
    </row>
    <row r="239" spans="1:22" x14ac:dyDescent="0.25">
      <c r="A239" t="str">
        <f>IF(games!$A239="","",games!$A239)</f>
        <v>Dungreed</v>
      </c>
      <c r="B239">
        <f>IF($A239="","",games!$B239)</f>
        <v>2018</v>
      </c>
      <c r="C239" t="str">
        <f>IF($A239="","",games!$C239)</f>
        <v>Action</v>
      </c>
      <c r="D239">
        <f>IF($A239="","",COUNTIF(connections!$A$2:$A$1205,$A239)+COUNTIF(connections!$B$2:$B$1205,$A239))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IF(connections!$A239="","",IFERROR(INDEX(games!$B$2:$B$846,MATCH(connections!$A239,games!$A$2:$A$846,0)),""))</f>
        <v>2019</v>
      </c>
      <c r="U239">
        <f>IF(connections!$A239="","",IFERROR(INDEX(games!$B$2:$B$846,MATCH(connections!$B239,games!$A$2:$A$846,0)),""))</f>
        <v>2025</v>
      </c>
      <c r="V239">
        <f t="shared" si="47"/>
        <v>6</v>
      </c>
    </row>
    <row r="240" spans="1:22" x14ac:dyDescent="0.25">
      <c r="A240" t="str">
        <f>IF(games!$A240="","",games!$A240)</f>
        <v>Dunjungle</v>
      </c>
      <c r="B240">
        <f>IF($A240="","",games!$B240)</f>
        <v>2025</v>
      </c>
      <c r="C240" t="str">
        <f>IF($A240="","",games!$C240)</f>
        <v>Action</v>
      </c>
      <c r="D240">
        <f>IF($A240="","",COUNTIF(connections!$A$2:$A$1205,$A240)+COUNTIF(connections!$B$2:$B$1205,$A240))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IF(connections!$A240="","",IFERROR(INDEX(games!$B$2:$B$846,MATCH(connections!$A240,games!$A$2:$A$846,0)),""))</f>
        <v>2019</v>
      </c>
      <c r="U240">
        <f>IF(connections!$A240="","",IFERROR(INDEX(games!$B$2:$B$846,MATCH(connections!$B240,games!$A$2:$A$846,0)),""))</f>
        <v>2025</v>
      </c>
      <c r="V240">
        <f t="shared" si="47"/>
        <v>6</v>
      </c>
    </row>
    <row r="241" spans="1:22" x14ac:dyDescent="0.25">
      <c r="A241" t="str">
        <f>IF(games!$A241="","",games!$A241)</f>
        <v>Dwarf Fortress</v>
      </c>
      <c r="B241">
        <f>IF($A241="","",games!$B241)</f>
        <v>2006</v>
      </c>
      <c r="C241" t="str">
        <f>IF($A241="","",games!$C241)</f>
        <v>Strategy</v>
      </c>
      <c r="D241">
        <f>IF($A241="","",COUNTIF(connections!$A$2:$A$1205,$A241)+COUNTIF(connections!$B$2:$B$1205,$A241))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IF(connections!$A241="","",IFERROR(INDEX(games!$B$2:$B$846,MATCH(connections!$A241,games!$A$2:$A$846,0)),""))</f>
        <v>2019</v>
      </c>
      <c r="U241">
        <f>IF(connections!$A241="","",IFERROR(INDEX(games!$B$2:$B$846,MATCH(connections!$B241,games!$A$2:$A$846,0)),""))</f>
        <v>2025</v>
      </c>
      <c r="V241">
        <f t="shared" si="47"/>
        <v>6</v>
      </c>
    </row>
    <row r="242" spans="1:22" x14ac:dyDescent="0.25">
      <c r="A242" t="str">
        <f>IF(games!$A242="","",games!$A242)</f>
        <v>Dwarves: Glory, Death and Loot</v>
      </c>
      <c r="B242">
        <f>IF($A242="","",games!$B242)</f>
        <v>2023</v>
      </c>
      <c r="C242" t="str">
        <f>IF($A242="","",games!$C242)</f>
        <v>Strategy</v>
      </c>
      <c r="D242">
        <f>IF($A242="","",COUNTIF(connections!$A$2:$A$1205,$A242)+COUNTIF(connections!$B$2:$B$1205,$A242))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IF(connections!$A242="","",IFERROR(INDEX(games!$B$2:$B$846,MATCH(connections!$A242,games!$A$2:$A$846,0)),""))</f>
        <v>2019</v>
      </c>
      <c r="U242">
        <f>IF(connections!$A242="","",IFERROR(INDEX(games!$B$2:$B$846,MATCH(connections!$B242,games!$A$2:$A$846,0)),""))</f>
        <v>2024</v>
      </c>
      <c r="V242">
        <f t="shared" si="47"/>
        <v>5</v>
      </c>
    </row>
    <row r="243" spans="1:22" x14ac:dyDescent="0.25">
      <c r="A243" t="str">
        <f>IF(games!$A243="","",games!$A243)</f>
        <v>Elden Ring Nightreign</v>
      </c>
      <c r="B243">
        <f>IF($A243="","",games!$B243)</f>
        <v>2025</v>
      </c>
      <c r="C243" t="str">
        <f>IF($A243="","",games!$C243)</f>
        <v>Action</v>
      </c>
      <c r="D243">
        <f>IF($A243="","",COUNTIF(connections!$A$2:$A$1205,$A243)+COUNTIF(connections!$B$2:$B$1205,$A243))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IF(connections!$A243="","",IFERROR(INDEX(games!$B$2:$B$846,MATCH(connections!$A243,games!$A$2:$A$846,0)),""))</f>
        <v>2019</v>
      </c>
      <c r="U243">
        <f>IF(connections!$A243="","",IFERROR(INDEX(games!$B$2:$B$846,MATCH(connections!$B243,games!$A$2:$A$846,0)),""))</f>
        <v>2024</v>
      </c>
      <c r="V243">
        <f t="shared" si="47"/>
        <v>5</v>
      </c>
    </row>
    <row r="244" spans="1:22" x14ac:dyDescent="0.25">
      <c r="A244" t="str">
        <f>IF(games!$A244="","",games!$A244)</f>
        <v>Eldritch</v>
      </c>
      <c r="B244">
        <f>IF($A244="","",games!$B244)</f>
        <v>2013</v>
      </c>
      <c r="C244" t="str">
        <f>IF($A244="","",games!$C244)</f>
        <v>Action</v>
      </c>
      <c r="D244">
        <f>IF($A244="","",COUNTIF(connections!$A$2:$A$1205,$A244)+COUNTIF(connections!$B$2:$B$1205,$A244))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IF(connections!$A244="","",IFERROR(INDEX(games!$B$2:$B$846,MATCH(connections!$A244,games!$A$2:$A$846,0)),""))</f>
        <v>2022</v>
      </c>
      <c r="U244">
        <f>IF(connections!$A244="","",IFERROR(INDEX(games!$B$2:$B$846,MATCH(connections!$B244,games!$A$2:$A$846,0)),""))</f>
        <v>2024</v>
      </c>
      <c r="V244">
        <f t="shared" si="47"/>
        <v>2</v>
      </c>
    </row>
    <row r="245" spans="1:22" x14ac:dyDescent="0.25">
      <c r="A245" t="str">
        <f>IF(games!$A245="","",games!$A245)</f>
        <v>Elemental Survivors</v>
      </c>
      <c r="B245">
        <f>IF($A245="","",games!$B245)</f>
        <v>2023</v>
      </c>
      <c r="C245" t="str">
        <f>IF($A245="","",games!$C245)</f>
        <v>Action</v>
      </c>
      <c r="D245">
        <f>IF($A245="","",COUNTIF(connections!$A$2:$A$1205,$A245)+COUNTIF(connections!$B$2:$B$1205,$A245))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IF(connections!$A245="","",IFERROR(INDEX(games!$B$2:$B$846,MATCH(connections!$A245,games!$A$2:$A$846,0)),""))</f>
        <v>2022</v>
      </c>
      <c r="U245">
        <f>IF(connections!$A245="","",IFERROR(INDEX(games!$B$2:$B$846,MATCH(connections!$B245,games!$A$2:$A$846,0)),""))</f>
        <v>2025</v>
      </c>
      <c r="V245">
        <f t="shared" si="47"/>
        <v>3</v>
      </c>
    </row>
    <row r="246" spans="1:22" x14ac:dyDescent="0.25">
      <c r="A246" t="str">
        <f>IF(games!$A246="","",games!$A246)</f>
        <v>Elewar: Fused Survivors</v>
      </c>
      <c r="B246">
        <f>IF($A246="","",games!$B246)</f>
        <v>2023</v>
      </c>
      <c r="C246" t="str">
        <f>IF($A246="","",games!$C246)</f>
        <v>Action</v>
      </c>
      <c r="D246">
        <f>IF($A246="","",COUNTIF(connections!$A$2:$A$1205,$A246)+COUNTIF(connections!$B$2:$B$1205,$A246))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IF(connections!$A246="","",IFERROR(INDEX(games!$B$2:$B$846,MATCH(connections!$A246,games!$A$2:$A$846,0)),""))</f>
        <v>2022</v>
      </c>
      <c r="U246">
        <f>IF(connections!$A246="","",IFERROR(INDEX(games!$B$2:$B$846,MATCH(connections!$B246,games!$A$2:$A$846,0)),""))</f>
        <v>2023</v>
      </c>
      <c r="V246">
        <f t="shared" si="47"/>
        <v>1</v>
      </c>
    </row>
    <row r="247" spans="1:22" x14ac:dyDescent="0.25">
      <c r="A247" t="str">
        <f>IF(games!$A247="","",games!$A247)</f>
        <v>Elin</v>
      </c>
      <c r="B247">
        <f>IF($A247="","",games!$B247)</f>
        <v>2024</v>
      </c>
      <c r="C247" t="str">
        <f>IF($A247="","",games!$C247)</f>
        <v>Traditional</v>
      </c>
      <c r="D247">
        <f>IF($A247="","",COUNTIF(connections!$A$2:$A$1205,$A247)+COUNTIF(connections!$B$2:$B$1205,$A247))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IF(connections!$A247="","",IFERROR(INDEX(games!$B$2:$B$846,MATCH(connections!$A247,games!$A$2:$A$846,0)),""))</f>
        <v>2013</v>
      </c>
      <c r="U247">
        <f>IF(connections!$A247="","",IFERROR(INDEX(games!$B$2:$B$846,MATCH(connections!$B247,games!$A$2:$A$846,0)),""))</f>
        <v>2022</v>
      </c>
      <c r="V247">
        <f t="shared" si="47"/>
        <v>9</v>
      </c>
    </row>
    <row r="248" spans="1:22" x14ac:dyDescent="0.25">
      <c r="A248" t="str">
        <f>IF(games!$A248="","",games!$A248)</f>
        <v>Elona</v>
      </c>
      <c r="B248">
        <f>IF($A248="","",games!$B248)</f>
        <v>2008</v>
      </c>
      <c r="C248" t="str">
        <f>IF($A248="","",games!$C248)</f>
        <v>Traditional</v>
      </c>
      <c r="D248">
        <f>IF($A248="","",COUNTIF(connections!$A$2:$A$1205,$A248)+COUNTIF(connections!$B$2:$B$1205,$A248))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IF(connections!$A248="","",IFERROR(INDEX(games!$B$2:$B$846,MATCH(connections!$A248,games!$A$2:$A$846,0)),""))</f>
        <v>2013</v>
      </c>
      <c r="U248">
        <f>IF(connections!$A248="","",IFERROR(INDEX(games!$B$2:$B$846,MATCH(connections!$B248,games!$A$2:$A$846,0)),""))</f>
        <v>2014</v>
      </c>
      <c r="V248">
        <f t="shared" si="47"/>
        <v>1</v>
      </c>
    </row>
    <row r="249" spans="1:22" x14ac:dyDescent="0.25">
      <c r="A249" t="str">
        <f>IF(games!$A249="","",games!$A249)</f>
        <v>Ember Knights</v>
      </c>
      <c r="B249">
        <f>IF($A249="","",games!$B249)</f>
        <v>2022</v>
      </c>
      <c r="C249" t="str">
        <f>IF($A249="","",games!$C249)</f>
        <v>Action</v>
      </c>
      <c r="D249">
        <f>IF($A249="","",COUNTIF(connections!$A$2:$A$1205,$A249)+COUNTIF(connections!$B$2:$B$1205,$A249))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IF(connections!$A249="","",IFERROR(INDEX(games!$B$2:$B$846,MATCH(connections!$A249,games!$A$2:$A$846,0)),""))</f>
        <v>2013</v>
      </c>
      <c r="U249">
        <f>IF(connections!$A249="","",IFERROR(INDEX(games!$B$2:$B$846,MATCH(connections!$B249,games!$A$2:$A$846,0)),""))</f>
        <v>2026</v>
      </c>
      <c r="V249">
        <f t="shared" si="47"/>
        <v>13</v>
      </c>
    </row>
    <row r="250" spans="1:22" x14ac:dyDescent="0.25">
      <c r="A250" t="str">
        <f>IF(games!$A250="","",games!$A250)</f>
        <v>Emberward</v>
      </c>
      <c r="B250">
        <f>IF($A250="","",games!$B250)</f>
        <v>2024</v>
      </c>
      <c r="C250" t="str">
        <f>IF($A250="","",games!$C250)</f>
        <v>Strategy</v>
      </c>
      <c r="D250">
        <f>IF($A250="","",COUNTIF(connections!$A$2:$A$1205,$A250)+COUNTIF(connections!$B$2:$B$1205,$A250))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IF(connections!$A250="","",IFERROR(INDEX(games!$B$2:$B$846,MATCH(connections!$A250,games!$A$2:$A$846,0)),""))</f>
        <v>2013</v>
      </c>
      <c r="U250">
        <f>IF(connections!$A250="","",IFERROR(INDEX(games!$B$2:$B$846,MATCH(connections!$B250,games!$A$2:$A$846,0)),""))</f>
        <v>2014</v>
      </c>
      <c r="V250">
        <f t="shared" si="47"/>
        <v>1</v>
      </c>
    </row>
    <row r="251" spans="1:22" x14ac:dyDescent="0.25">
      <c r="A251" t="str">
        <f>IF(games!$A251="","",games!$A251)</f>
        <v>Endgame of Devil</v>
      </c>
      <c r="B251">
        <f>IF($A251="","",games!$B251)</f>
        <v>2023</v>
      </c>
      <c r="C251" t="str">
        <f>IF($A251="","",games!$C251)</f>
        <v>Deckbuilder</v>
      </c>
      <c r="D251">
        <f>IF($A251="","",COUNTIF(connections!$A$2:$A$1205,$A251)+COUNTIF(connections!$B$2:$B$1205,$A251))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IF(connections!$A251="","",IFERROR(INDEX(games!$B$2:$B$846,MATCH(connections!$A251,games!$A$2:$A$846,0)),""))</f>
        <v>2013</v>
      </c>
      <c r="U251">
        <f>IF(connections!$A251="","",IFERROR(INDEX(games!$B$2:$B$846,MATCH(connections!$B251,games!$A$2:$A$846,0)),""))</f>
        <v>2016</v>
      </c>
      <c r="V251">
        <f t="shared" si="47"/>
        <v>3</v>
      </c>
    </row>
    <row r="252" spans="1:22" x14ac:dyDescent="0.25">
      <c r="A252" t="str">
        <f>IF(games!$A252="","",games!$A252)</f>
        <v>Endless Alice</v>
      </c>
      <c r="B252">
        <f>IF($A252="","",games!$B252)</f>
        <v>2025</v>
      </c>
      <c r="C252" t="str">
        <f>IF($A252="","",games!$C252)</f>
        <v>Action</v>
      </c>
      <c r="D252">
        <f>IF($A252="","",COUNTIF(connections!$A$2:$A$1205,$A252)+COUNTIF(connections!$B$2:$B$1205,$A252))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IF(connections!$A252="","",IFERROR(INDEX(games!$B$2:$B$846,MATCH(connections!$A252,games!$A$2:$A$846,0)),""))</f>
        <v>2002</v>
      </c>
      <c r="U252">
        <f>IF(connections!$A252="","",IFERROR(INDEX(games!$B$2:$B$846,MATCH(connections!$B252,games!$A$2:$A$846,0)),""))</f>
        <v>2010</v>
      </c>
      <c r="V252">
        <f t="shared" si="47"/>
        <v>8</v>
      </c>
    </row>
    <row r="253" spans="1:22" x14ac:dyDescent="0.25">
      <c r="A253" t="str">
        <f>IF(games!$A253="","",games!$A253)</f>
        <v>Enter the Gungeon</v>
      </c>
      <c r="B253">
        <f>IF($A253="","",games!$B253)</f>
        <v>2016</v>
      </c>
      <c r="C253" t="str">
        <f>IF($A253="","",games!$C253)</f>
        <v>Action</v>
      </c>
      <c r="D253">
        <f>IF($A253="","",COUNTIF(connections!$A$2:$A$1205,$A253)+COUNTIF(connections!$B$2:$B$1205,$A253))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IF(connections!$A253="","",IFERROR(INDEX(games!$B$2:$B$846,MATCH(connections!$A253,games!$A$2:$A$846,0)),""))</f>
        <v>2002</v>
      </c>
      <c r="U253">
        <f>IF(connections!$A253="","",IFERROR(INDEX(games!$B$2:$B$846,MATCH(connections!$B253,games!$A$2:$A$846,0)),""))</f>
        <v>2010</v>
      </c>
      <c r="V253">
        <f t="shared" si="47"/>
        <v>8</v>
      </c>
    </row>
    <row r="254" spans="1:22" x14ac:dyDescent="0.25">
      <c r="A254" t="str">
        <f>IF(games!$A254="","",games!$A254)</f>
        <v>Escape The Mad Empire</v>
      </c>
      <c r="B254">
        <f>IF($A254="","",games!$B254)</f>
        <v>2025</v>
      </c>
      <c r="C254" t="str">
        <f>IF($A254="","",games!$C254)</f>
        <v>Strategy</v>
      </c>
      <c r="D254">
        <f>IF($A254="","",COUNTIF(connections!$A$2:$A$1205,$A254)+COUNTIF(connections!$B$2:$B$1205,$A254))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IF(connections!$A254="","",IFERROR(INDEX(games!$B$2:$B$846,MATCH(connections!$A254,games!$A$2:$A$846,0)),""))</f>
        <v>2002</v>
      </c>
      <c r="U254">
        <f>IF(connections!$A254="","",IFERROR(INDEX(games!$B$2:$B$846,MATCH(connections!$B254,games!$A$2:$A$846,0)),""))</f>
        <v>2010</v>
      </c>
      <c r="V254">
        <f t="shared" si="47"/>
        <v>8</v>
      </c>
    </row>
    <row r="255" spans="1:22" x14ac:dyDescent="0.25">
      <c r="A255" t="str">
        <f>IF(games!$A255="","",games!$A255)</f>
        <v>Etrian Mystery Dungeon</v>
      </c>
      <c r="B255">
        <f>IF($A255="","",games!$B255)</f>
        <v>2015</v>
      </c>
      <c r="C255" t="str">
        <f>IF($A255="","",games!$C255)</f>
        <v>Traditional</v>
      </c>
      <c r="D255">
        <f>IF($A255="","",COUNTIF(connections!$A$2:$A$1205,$A255)+COUNTIF(connections!$B$2:$B$1205,$A255))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IF(connections!$A255="","",IFERROR(INDEX(games!$B$2:$B$846,MATCH(connections!$A255,games!$A$2:$A$846,0)),""))</f>
        <v>2002</v>
      </c>
      <c r="U255">
        <f>IF(connections!$A255="","",IFERROR(INDEX(games!$B$2:$B$846,MATCH(connections!$B255,games!$A$2:$A$846,0)),""))</f>
        <v>2006</v>
      </c>
      <c r="V255">
        <f t="shared" si="47"/>
        <v>4</v>
      </c>
    </row>
    <row r="256" spans="1:22" x14ac:dyDescent="0.25">
      <c r="A256" t="str">
        <f>IF(games!$A256="","",games!$A256)</f>
        <v>Etrian Mystery Dungeon 2</v>
      </c>
      <c r="B256">
        <f>IF($A256="","",games!$B256)</f>
        <v>2017</v>
      </c>
      <c r="C256" t="str">
        <f>IF($A256="","",games!$C256)</f>
        <v>Traditional</v>
      </c>
      <c r="D256">
        <f>IF($A256="","",COUNTIF(connections!$A$2:$A$1205,$A256)+COUNTIF(connections!$B$2:$B$1205,$A256))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IF(connections!$A256="","",IFERROR(INDEX(games!$B$2:$B$846,MATCH(connections!$A256,games!$A$2:$A$846,0)),""))</f>
        <v>2002</v>
      </c>
      <c r="U256">
        <f>IF(connections!$A256="","",IFERROR(INDEX(games!$B$2:$B$846,MATCH(connections!$B256,games!$A$2:$A$846,0)),""))</f>
        <v>2011</v>
      </c>
      <c r="V256">
        <f t="shared" si="47"/>
        <v>9</v>
      </c>
    </row>
    <row r="257" spans="1:22" x14ac:dyDescent="0.25">
      <c r="A257" t="str">
        <f>IF(games!$A257="","",games!$A257)</f>
        <v>Everything is Crab</v>
      </c>
      <c r="B257">
        <f>IF($A257="","",games!$B257)</f>
        <v>2026</v>
      </c>
      <c r="C257" t="str">
        <f>IF($A257="","",games!$C257)</f>
        <v>Action</v>
      </c>
      <c r="D257">
        <f>IF($A257="","",COUNTIF(connections!$A$2:$A$1205,$A257)+COUNTIF(connections!$B$2:$B$1205,$A257))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IF(connections!$A257="","",IFERROR(INDEX(games!$B$2:$B$846,MATCH(connections!$A257,games!$A$2:$A$846,0)),""))</f>
        <v>2002</v>
      </c>
      <c r="U257">
        <f>IF(connections!$A257="","",IFERROR(INDEX(games!$B$2:$B$846,MATCH(connections!$B257,games!$A$2:$A$846,0)),""))</f>
        <v>2019</v>
      </c>
      <c r="V257">
        <f t="shared" si="47"/>
        <v>17</v>
      </c>
    </row>
    <row r="258" spans="1:22" x14ac:dyDescent="0.25">
      <c r="A258" t="str">
        <f>IF(games!$A258="","",games!$A258)</f>
        <v>Evolings</v>
      </c>
      <c r="B258">
        <f>IF($A258="","",games!$B258)</f>
        <v>2023</v>
      </c>
      <c r="C258" t="str">
        <f>IF($A258="","",games!$C258)</f>
        <v>Action</v>
      </c>
      <c r="D258">
        <f>IF($A258="","",COUNTIF(connections!$A$2:$A$1205,$A258)+COUNTIF(connections!$B$2:$B$1205,$A258))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IF(connections!$A258="","",IFERROR(INDEX(games!$B$2:$B$846,MATCH(connections!$A258,games!$A$2:$A$846,0)),""))</f>
        <v>2002</v>
      </c>
      <c r="U258">
        <f>IF(connections!$A258="","",IFERROR(INDEX(games!$B$2:$B$846,MATCH(connections!$B258,games!$A$2:$A$846,0)),""))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IF($A259="","",COUNTIF(connections!$A$2:$A$1205,$A259)+COUNTIF(connections!$B$2:$B$1205,$A259))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IF(connections!$A259="","",IFERROR(INDEX(games!$B$2:$B$846,MATCH(connections!$A259,games!$A$2:$A$846,0)),""))</f>
        <v>2002</v>
      </c>
      <c r="U259">
        <f>IF(connections!$A259="","",IFERROR(INDEX(games!$B$2:$B$846,MATCH(connections!$B259,games!$A$2:$A$846,0)),""))</f>
        <v>2016</v>
      </c>
      <c r="V259">
        <f t="shared" si="59"/>
        <v>14</v>
      </c>
    </row>
    <row r="260" spans="1:22" x14ac:dyDescent="0.25">
      <c r="A260" t="str">
        <f>IF(games!$A260="","",games!$A260)</f>
        <v>Facehand</v>
      </c>
      <c r="B260">
        <f>IF($A260="","",games!$B260)</f>
        <v>2024</v>
      </c>
      <c r="C260" t="str">
        <f>IF($A260="","",games!$C260)</f>
        <v>Deckbuilder</v>
      </c>
      <c r="D260">
        <f>IF($A260="","",COUNTIF(connections!$A$2:$A$1205,$A260)+COUNTIF(connections!$B$2:$B$1205,$A260))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IF(connections!$A260="","",IFERROR(INDEX(games!$B$2:$B$846,MATCH(connections!$A260,games!$A$2:$A$846,0)),""))</f>
        <v>2019</v>
      </c>
      <c r="U260">
        <f>IF(connections!$A260="","",IFERROR(INDEX(games!$B$2:$B$846,MATCH(connections!$B260,games!$A$2:$A$846,0)),""))</f>
        <v>2021</v>
      </c>
      <c r="V260">
        <f t="shared" si="59"/>
        <v>2</v>
      </c>
    </row>
    <row r="261" spans="1:22" x14ac:dyDescent="0.25">
      <c r="A261" t="str">
        <f>IF(games!$A261="","",games!$A261)</f>
        <v>Fairy Tail: Dungeons</v>
      </c>
      <c r="B261">
        <f>IF($A261="","",games!$B261)</f>
        <v>2024</v>
      </c>
      <c r="C261" t="str">
        <f>IF($A261="","",games!$C261)</f>
        <v>Deckbuilder</v>
      </c>
      <c r="D261">
        <f>IF($A261="","",COUNTIF(connections!$A$2:$A$1205,$A261)+COUNTIF(connections!$B$2:$B$1205,$A261))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IF(connections!$A261="","",IFERROR(INDEX(games!$B$2:$B$846,MATCH(connections!$A261,games!$A$2:$A$846,0)),""))</f>
        <v>2019</v>
      </c>
      <c r="U261">
        <f>IF(connections!$A261="","",IFERROR(INDEX(games!$B$2:$B$846,MATCH(connections!$B261,games!$A$2:$A$846,0)),""))</f>
        <v>2019</v>
      </c>
      <c r="V261">
        <f t="shared" si="59"/>
        <v>0</v>
      </c>
    </row>
    <row r="262" spans="1:22" x14ac:dyDescent="0.25">
      <c r="A262" t="str">
        <f>IF(games!$A262="","",games!$A262)</f>
        <v>Fatal Labyrinth</v>
      </c>
      <c r="B262">
        <f>IF($A262="","",games!$B262)</f>
        <v>1990</v>
      </c>
      <c r="C262" t="str">
        <f>IF($A262="","",games!$C262)</f>
        <v>Traditional</v>
      </c>
      <c r="D262">
        <f>IF($A262="","",COUNTIF(connections!$A$2:$A$1205,$A262)+COUNTIF(connections!$B$2:$B$1205,$A262))</f>
        <v>2</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2.0002620000000002</v>
      </c>
      <c r="T262">
        <f>IF(connections!$A262="","",IFERROR(INDEX(games!$B$2:$B$846,MATCH(connections!$A262,games!$A$2:$A$846,0)),""))</f>
        <v>2019</v>
      </c>
      <c r="U262">
        <f>IF(connections!$A262="","",IFERROR(INDEX(games!$B$2:$B$846,MATCH(connections!$B262,games!$A$2:$A$846,0)),""))</f>
        <v>2025</v>
      </c>
      <c r="V262">
        <f t="shared" si="59"/>
        <v>6</v>
      </c>
    </row>
    <row r="263" spans="1:22" x14ac:dyDescent="0.25">
      <c r="A263" t="str">
        <f>IF(games!$A263="","",games!$A263)</f>
        <v>Fear &amp; Hunger</v>
      </c>
      <c r="B263">
        <f>IF($A263="","",games!$B263)</f>
        <v>2018</v>
      </c>
      <c r="C263" t="str">
        <f>IF($A263="","",games!$C263)</f>
        <v>Strategy</v>
      </c>
      <c r="D263">
        <f>IF($A263="","",COUNTIF(connections!$A$2:$A$1205,$A263)+COUNTIF(connections!$B$2:$B$1205,$A263))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IF(connections!$A263="","",IFERROR(INDEX(games!$B$2:$B$846,MATCH(connections!$A263,games!$A$2:$A$846,0)),""))</f>
        <v>2019</v>
      </c>
      <c r="U263">
        <f>IF(connections!$A263="","",IFERROR(INDEX(games!$B$2:$B$846,MATCH(connections!$B263,games!$A$2:$A$846,0)),""))</f>
        <v>2021</v>
      </c>
      <c r="V263">
        <f t="shared" si="59"/>
        <v>2</v>
      </c>
    </row>
    <row r="264" spans="1:22" x14ac:dyDescent="0.25">
      <c r="A264" t="str">
        <f>IF(games!$A264="","",games!$A264)</f>
        <v>Feed the Deep</v>
      </c>
      <c r="B264">
        <f>IF($A264="","",games!$B264)</f>
        <v>2024</v>
      </c>
      <c r="C264" t="str">
        <f>IF($A264="","",games!$C264)</f>
        <v>Strategy</v>
      </c>
      <c r="D264">
        <f>IF($A264="","",COUNTIF(connections!$A$2:$A$1205,$A264)+COUNTIF(connections!$B$2:$B$1205,$A264))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IF(connections!$A264="","",IFERROR(INDEX(games!$B$2:$B$846,MATCH(connections!$A264,games!$A$2:$A$846,0)),""))</f>
        <v>2015</v>
      </c>
      <c r="U264">
        <f>IF(connections!$A264="","",IFERROR(INDEX(games!$B$2:$B$846,MATCH(connections!$B264,games!$A$2:$A$846,0)),""))</f>
        <v>2016</v>
      </c>
      <c r="V264">
        <f t="shared" si="59"/>
        <v>1</v>
      </c>
    </row>
    <row r="265" spans="1:22" x14ac:dyDescent="0.25">
      <c r="A265" t="str">
        <f>IF(games!$A265="","",games!$A265)</f>
        <v>Fights in Tight Spaces</v>
      </c>
      <c r="B265">
        <f>IF($A265="","",games!$B265)</f>
        <v>2021</v>
      </c>
      <c r="C265" t="str">
        <f>IF($A265="","",games!$C265)</f>
        <v>Deckbuilder</v>
      </c>
      <c r="D265">
        <f>IF($A265="","",COUNTIF(connections!$A$2:$A$1205,$A265)+COUNTIF(connections!$B$2:$B$1205,$A265))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IF(connections!$A265="","",IFERROR(INDEX(games!$B$2:$B$846,MATCH(connections!$A265,games!$A$2:$A$846,0)),""))</f>
        <v>2015</v>
      </c>
      <c r="U265">
        <f>IF(connections!$A265="","",IFERROR(INDEX(games!$B$2:$B$846,MATCH(connections!$B265,games!$A$2:$A$846,0)),""))</f>
        <v>2023</v>
      </c>
      <c r="V265">
        <f t="shared" si="59"/>
        <v>8</v>
      </c>
    </row>
    <row r="266" spans="1:22" x14ac:dyDescent="0.25">
      <c r="A266" t="str">
        <f>IF(games!$A266="","",games!$A266)</f>
        <v>Final Fantasy Fables: Chocobo's Dungeon</v>
      </c>
      <c r="B266">
        <f>IF($A266="","",games!$B266)</f>
        <v>2007</v>
      </c>
      <c r="C266" t="str">
        <f>IF($A266="","",games!$C266)</f>
        <v>Traditional</v>
      </c>
      <c r="D266">
        <f>IF($A266="","",COUNTIF(connections!$A$2:$A$1205,$A266)+COUNTIF(connections!$B$2:$B$1205,$A266))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IF(connections!$A266="","",IFERROR(INDEX(games!$B$2:$B$846,MATCH(connections!$A266,games!$A$2:$A$846,0)),""))</f>
        <v>2015</v>
      </c>
      <c r="U266">
        <f>IF(connections!$A266="","",IFERROR(INDEX(games!$B$2:$B$846,MATCH(connections!$B266,games!$A$2:$A$846,0)),""))</f>
        <v>2017</v>
      </c>
      <c r="V266">
        <f t="shared" si="59"/>
        <v>2</v>
      </c>
    </row>
    <row r="267" spans="1:22" x14ac:dyDescent="0.25">
      <c r="A267" t="str">
        <f>IF(games!$A267="","",games!$A267)</f>
        <v>Fish Fear Me</v>
      </c>
      <c r="B267">
        <f>IF($A267="","",games!$B267)</f>
        <v>2024</v>
      </c>
      <c r="C267" t="str">
        <f>IF($A267="","",games!$C267)</f>
        <v>Action</v>
      </c>
      <c r="D267">
        <f>IF($A267="","",COUNTIF(connections!$A$2:$A$1205,$A267)+COUNTIF(connections!$B$2:$B$1205,$A267))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IF(connections!$A267="","",IFERROR(INDEX(games!$B$2:$B$846,MATCH(connections!$A267,games!$A$2:$A$846,0)),""))</f>
        <v>2015</v>
      </c>
      <c r="U267">
        <f>IF(connections!$A267="","",IFERROR(INDEX(games!$B$2:$B$846,MATCH(connections!$B267,games!$A$2:$A$846,0)),""))</f>
        <v>2017</v>
      </c>
      <c r="V267">
        <f t="shared" si="59"/>
        <v>2</v>
      </c>
    </row>
    <row r="268" spans="1:22" x14ac:dyDescent="0.25">
      <c r="A268" t="str">
        <f>IF(games!$A268="","",games!$A268)</f>
        <v>FLERP</v>
      </c>
      <c r="B268">
        <f>IF($A268="","",games!$B268)</f>
        <v>2022</v>
      </c>
      <c r="C268" t="str">
        <f>IF($A268="","",games!$C268)</f>
        <v>Action</v>
      </c>
      <c r="D268">
        <f>IF($A268="","",COUNTIF(connections!$A$2:$A$1205,$A268)+COUNTIF(connections!$B$2:$B$1205,$A268))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IF(connections!$A268="","",IFERROR(INDEX(games!$B$2:$B$846,MATCH(connections!$A268,games!$A$2:$A$846,0)),""))</f>
        <v>2015</v>
      </c>
      <c r="U268">
        <f>IF(connections!$A268="","",IFERROR(INDEX(games!$B$2:$B$846,MATCH(connections!$B268,games!$A$2:$A$846,0)),""))</f>
        <v>2020</v>
      </c>
      <c r="V268">
        <f t="shared" si="59"/>
        <v>5</v>
      </c>
    </row>
    <row r="269" spans="1:22" x14ac:dyDescent="0.25">
      <c r="A269" t="str">
        <f>IF(games!$A269="","",games!$A269)</f>
        <v>Flick Shot Rogues</v>
      </c>
      <c r="B269">
        <f>IF($A269="","",games!$B269)</f>
        <v>2025</v>
      </c>
      <c r="C269" t="str">
        <f>IF($A269="","",games!$C269)</f>
        <v>Strategy</v>
      </c>
      <c r="D269">
        <f>IF($A269="","",COUNTIF(connections!$A$2:$A$1205,$A269)+COUNTIF(connections!$B$2:$B$1205,$A269))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IF(connections!$A269="","",IFERROR(INDEX(games!$B$2:$B$846,MATCH(connections!$A269,games!$A$2:$A$846,0)),""))</f>
        <v>2015</v>
      </c>
      <c r="U269">
        <f>IF(connections!$A269="","",IFERROR(INDEX(games!$B$2:$B$846,MATCH(connections!$B269,games!$A$2:$A$846,0)),""))</f>
        <v>2022</v>
      </c>
      <c r="V269">
        <f t="shared" si="59"/>
        <v>7</v>
      </c>
    </row>
    <row r="270" spans="1:22" x14ac:dyDescent="0.25">
      <c r="A270" t="str">
        <f>IF(games!$A270="","",games!$A270)</f>
        <v>Flinthook</v>
      </c>
      <c r="B270">
        <f>IF($A270="","",games!$B270)</f>
        <v>2017</v>
      </c>
      <c r="C270" t="str">
        <f>IF($A270="","",games!$C270)</f>
        <v>Action</v>
      </c>
      <c r="D270">
        <f>IF($A270="","",COUNTIF(connections!$A$2:$A$1205,$A270)+COUNTIF(connections!$B$2:$B$1205,$A270))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IF(connections!$A270="","",IFERROR(INDEX(games!$B$2:$B$846,MATCH(connections!$A270,games!$A$2:$A$846,0)),""))</f>
        <v>2015</v>
      </c>
      <c r="U270">
        <f>IF(connections!$A270="","",IFERROR(INDEX(games!$B$2:$B$846,MATCH(connections!$B270,games!$A$2:$A$846,0)),""))</f>
        <v>2017</v>
      </c>
      <c r="V270">
        <f t="shared" si="59"/>
        <v>2</v>
      </c>
    </row>
    <row r="271" spans="1:22" x14ac:dyDescent="0.25">
      <c r="A271" t="str">
        <f>IF(games!$A271="","",games!$A271)</f>
        <v>Fogpiercer</v>
      </c>
      <c r="B271">
        <f>IF($A271="","",games!$B271)</f>
        <v>2026</v>
      </c>
      <c r="C271" t="str">
        <f>IF($A271="","",games!$C271)</f>
        <v>Deckbuilder</v>
      </c>
      <c r="D271">
        <f>IF($A271="","",COUNTIF(connections!$A$2:$A$1205,$A271)+COUNTIF(connections!$B$2:$B$1205,$A271))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IF(connections!$A271="","",IFERROR(INDEX(games!$B$2:$B$846,MATCH(connections!$A271,games!$A$2:$A$846,0)),""))</f>
        <v>2014</v>
      </c>
      <c r="U271">
        <f>IF(connections!$A271="","",IFERROR(INDEX(games!$B$2:$B$846,MATCH(connections!$B271,games!$A$2:$A$846,0)),""))</f>
        <v>2019</v>
      </c>
      <c r="V271">
        <f t="shared" si="59"/>
        <v>5</v>
      </c>
    </row>
    <row r="272" spans="1:22" x14ac:dyDescent="0.25">
      <c r="A272" t="str">
        <f>IF(games!$A272="","",games!$A272)</f>
        <v>Footgun: Underground</v>
      </c>
      <c r="B272">
        <f>IF($A272="","",games!$B272)</f>
        <v>2024</v>
      </c>
      <c r="C272" t="str">
        <f>IF($A272="","",games!$C272)</f>
        <v>Action</v>
      </c>
      <c r="D272">
        <f>IF($A272="","",COUNTIF(connections!$A$2:$A$1205,$A272)+COUNTIF(connections!$B$2:$B$1205,$A272))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IF(connections!$A272="","",IFERROR(INDEX(games!$B$2:$B$846,MATCH(connections!$A272,games!$A$2:$A$846,0)),""))</f>
        <v>2014</v>
      </c>
      <c r="U272">
        <f>IF(connections!$A272="","",IFERROR(INDEX(games!$B$2:$B$846,MATCH(connections!$B272,games!$A$2:$A$846,0)),""))</f>
        <v>2017</v>
      </c>
      <c r="V272">
        <f t="shared" si="59"/>
        <v>3</v>
      </c>
    </row>
    <row r="273" spans="1:22" x14ac:dyDescent="0.25">
      <c r="A273" t="str">
        <f>IF(games!$A273="","",games!$A273)</f>
        <v>For the King</v>
      </c>
      <c r="B273">
        <f>IF($A273="","",games!$B273)</f>
        <v>2018</v>
      </c>
      <c r="C273" t="str">
        <f>IF($A273="","",games!$C273)</f>
        <v>Strategy</v>
      </c>
      <c r="D273">
        <f>IF($A273="","",COUNTIF(connections!$A$2:$A$1205,$A273)+COUNTIF(connections!$B$2:$B$1205,$A273))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IF(connections!$A273="","",IFERROR(INDEX(games!$B$2:$B$846,MATCH(connections!$A273,games!$A$2:$A$846,0)),""))</f>
        <v>2014</v>
      </c>
      <c r="U273">
        <f>IF(connections!$A273="","",IFERROR(INDEX(games!$B$2:$B$846,MATCH(connections!$B273,games!$A$2:$A$846,0)),""))</f>
        <v>2019</v>
      </c>
      <c r="V273">
        <f t="shared" si="59"/>
        <v>5</v>
      </c>
    </row>
    <row r="274" spans="1:22" x14ac:dyDescent="0.25">
      <c r="A274" t="str">
        <f>IF(games!$A274="","",games!$A274)</f>
        <v>For the King 2</v>
      </c>
      <c r="B274">
        <f>IF($A274="","",games!$B274)</f>
        <v>2023</v>
      </c>
      <c r="C274" t="str">
        <f>IF($A274="","",games!$C274)</f>
        <v>Strategy</v>
      </c>
      <c r="D274">
        <f>IF($A274="","",COUNTIF(connections!$A$2:$A$1205,$A274)+COUNTIF(connections!$B$2:$B$1205,$A274))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IF(connections!$A274="","",IFERROR(INDEX(games!$B$2:$B$846,MATCH(connections!$A274,games!$A$2:$A$846,0)),""))</f>
        <v>2014</v>
      </c>
      <c r="U274">
        <f>IF(connections!$A274="","",IFERROR(INDEX(games!$B$2:$B$846,MATCH(connections!$B274,games!$A$2:$A$846,0)),""))</f>
        <v>2017</v>
      </c>
      <c r="V274">
        <f t="shared" si="59"/>
        <v>3</v>
      </c>
    </row>
    <row r="275" spans="1:22" x14ac:dyDescent="0.25">
      <c r="A275" t="str">
        <f>IF(games!$A275="","",games!$A275)</f>
        <v>For The Warp</v>
      </c>
      <c r="B275">
        <f>IF($A275="","",games!$B275)</f>
        <v>2020</v>
      </c>
      <c r="C275" t="str">
        <f>IF($A275="","",games!$C275)</f>
        <v>Deckbuilder</v>
      </c>
      <c r="D275">
        <f>IF($A275="","",COUNTIF(connections!$A$2:$A$1205,$A275)+COUNTIF(connections!$B$2:$B$1205,$A275))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IF(connections!$A275="","",IFERROR(INDEX(games!$B$2:$B$846,MATCH(connections!$A275,games!$A$2:$A$846,0)),""))</f>
        <v>2024</v>
      </c>
      <c r="U275">
        <f>IF(connections!$A275="","",IFERROR(INDEX(games!$B$2:$B$846,MATCH(connections!$B275,games!$A$2:$A$846,0)),""))</f>
        <v>2026</v>
      </c>
      <c r="V275">
        <f t="shared" si="59"/>
        <v>2</v>
      </c>
    </row>
    <row r="276" spans="1:22" x14ac:dyDescent="0.25">
      <c r="A276" t="str">
        <f>IF(games!$A276="","",games!$A276)</f>
        <v>Forestrike</v>
      </c>
      <c r="B276">
        <f>IF($A276="","",games!$B276)</f>
        <v>2025</v>
      </c>
      <c r="C276" t="str">
        <f>IF($A276="","",games!$C276)</f>
        <v>Action</v>
      </c>
      <c r="D276">
        <f>IF($A276="","",COUNTIF(connections!$A$2:$A$1205,$A276)+COUNTIF(connections!$B$2:$B$1205,$A276))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IF(connections!$A276="","",IFERROR(INDEX(games!$B$2:$B$846,MATCH(connections!$A276,games!$A$2:$A$846,0)),""))</f>
        <v>2006</v>
      </c>
      <c r="U276">
        <f>IF(connections!$A276="","",IFERROR(INDEX(games!$B$2:$B$846,MATCH(connections!$B276,games!$A$2:$A$846,0)),""))</f>
        <v>2010</v>
      </c>
      <c r="V276">
        <f t="shared" si="59"/>
        <v>4</v>
      </c>
    </row>
    <row r="277" spans="1:22" x14ac:dyDescent="0.25">
      <c r="A277" t="str">
        <f>IF(games!$A277="","",games!$A277)</f>
        <v>Forward: Escape the Fold</v>
      </c>
      <c r="B277">
        <f>IF($A277="","",games!$B277)</f>
        <v>2022</v>
      </c>
      <c r="C277" t="str">
        <f>IF($A277="","",games!$C277)</f>
        <v>Strategy</v>
      </c>
      <c r="D277">
        <f>IF($A277="","",COUNTIF(connections!$A$2:$A$1205,$A277)+COUNTIF(connections!$B$2:$B$1205,$A277))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IF(connections!$A277="","",IFERROR(INDEX(games!$B$2:$B$846,MATCH(connections!$A277,games!$A$2:$A$846,0)),""))</f>
        <v>2006</v>
      </c>
      <c r="U277">
        <f>IF(connections!$A277="","",IFERROR(INDEX(games!$B$2:$B$846,MATCH(connections!$B277,games!$A$2:$A$846,0)),""))</f>
        <v>2017</v>
      </c>
      <c r="V277">
        <f t="shared" si="59"/>
        <v>11</v>
      </c>
    </row>
    <row r="278" spans="1:22" x14ac:dyDescent="0.25">
      <c r="A278" t="str">
        <f>IF(games!$A278="","",games!$A278)</f>
        <v>Freaky Awesome</v>
      </c>
      <c r="B278">
        <f>IF($A278="","",games!$B278)</f>
        <v>2017</v>
      </c>
      <c r="C278" t="str">
        <f>IF($A278="","",games!$C278)</f>
        <v>Action</v>
      </c>
      <c r="D278">
        <f>IF($A278="","",COUNTIF(connections!$A$2:$A$1205,$A278)+COUNTIF(connections!$B$2:$B$1205,$A278))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IF(connections!$A278="","",IFERROR(INDEX(games!$B$2:$B$846,MATCH(connections!$A278,games!$A$2:$A$846,0)),""))</f>
        <v>2006</v>
      </c>
      <c r="U278">
        <f>IF(connections!$A278="","",IFERROR(INDEX(games!$B$2:$B$846,MATCH(connections!$B278,games!$A$2:$A$846,0)),""))</f>
        <v>2010</v>
      </c>
      <c r="V278">
        <f t="shared" si="59"/>
        <v>4</v>
      </c>
    </row>
    <row r="279" spans="1:22" x14ac:dyDescent="0.25">
      <c r="A279" t="str">
        <f>IF(games!$A279="","",games!$A279)</f>
        <v>From The Top</v>
      </c>
      <c r="B279">
        <f>IF($A279="","",games!$B279)</f>
        <v>2025</v>
      </c>
      <c r="C279" t="str">
        <f>IF($A279="","",games!$C279)</f>
        <v>Action</v>
      </c>
      <c r="D279">
        <f>IF($A279="","",COUNTIF(connections!$A$2:$A$1205,$A279)+COUNTIF(connections!$B$2:$B$1205,$A279))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IF(connections!$A279="","",IFERROR(INDEX(games!$B$2:$B$846,MATCH(connections!$A279,games!$A$2:$A$846,0)),""))</f>
        <v>2006</v>
      </c>
      <c r="U279">
        <f>IF(connections!$A279="","",IFERROR(INDEX(games!$B$2:$B$846,MATCH(connections!$B279,games!$A$2:$A$846,0)),""))</f>
        <v>2010</v>
      </c>
      <c r="V279">
        <f t="shared" si="59"/>
        <v>4</v>
      </c>
    </row>
    <row r="280" spans="1:22" x14ac:dyDescent="0.25">
      <c r="A280" t="str">
        <f>IF(games!$A280="","",games!$A280)</f>
        <v>Frozen Depths</v>
      </c>
      <c r="B280">
        <f>IF($A280="","",games!$B280)</f>
        <v>2006</v>
      </c>
      <c r="C280" t="str">
        <f>IF($A280="","",games!$C280)</f>
        <v>Traditional</v>
      </c>
      <c r="D280">
        <f>IF($A280="","",COUNTIF(connections!$A$2:$A$1205,$A280)+COUNTIF(connections!$B$2:$B$1205,$A280))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IF(connections!$A280="","",IFERROR(INDEX(games!$B$2:$B$846,MATCH(connections!$A280,games!$A$2:$A$846,0)),""))</f>
        <v>2006</v>
      </c>
      <c r="U280">
        <f>IF(connections!$A280="","",IFERROR(INDEX(games!$B$2:$B$846,MATCH(connections!$B280,games!$A$2:$A$846,0)),""))</f>
        <v>2014</v>
      </c>
      <c r="V280">
        <f t="shared" si="59"/>
        <v>8</v>
      </c>
    </row>
    <row r="281" spans="1:22" x14ac:dyDescent="0.25">
      <c r="A281" t="str">
        <f>IF(games!$A281="","",games!$A281)</f>
        <v>FTL</v>
      </c>
      <c r="B281">
        <f>IF($A281="","",games!$B281)</f>
        <v>2012</v>
      </c>
      <c r="C281" t="str">
        <f>IF($A281="","",games!$C281)</f>
        <v>Strategy</v>
      </c>
      <c r="D281">
        <f>IF($A281="","",COUNTIF(connections!$A$2:$A$1205,$A281)+COUNTIF(connections!$B$2:$B$1205,$A281))</f>
        <v>37</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37.000281000000001</v>
      </c>
      <c r="T281">
        <f>IF(connections!$A281="","",IFERROR(INDEX(games!$B$2:$B$846,MATCH(connections!$A281,games!$A$2:$A$846,0)),""))</f>
        <v>2006</v>
      </c>
      <c r="U281">
        <f>IF(connections!$A281="","",IFERROR(INDEX(games!$B$2:$B$846,MATCH(connections!$B281,games!$A$2:$A$846,0)),""))</f>
        <v>2023</v>
      </c>
      <c r="V281">
        <f t="shared" si="59"/>
        <v>17</v>
      </c>
    </row>
    <row r="282" spans="1:22" x14ac:dyDescent="0.25">
      <c r="A282" t="str">
        <f>IF(games!$A282="","",games!$A282)</f>
        <v>Full Mojo Rampage</v>
      </c>
      <c r="B282">
        <f>IF($A282="","",games!$B282)</f>
        <v>2013</v>
      </c>
      <c r="C282" t="str">
        <f>IF($A282="","",games!$C282)</f>
        <v>Action</v>
      </c>
      <c r="D282">
        <f>IF($A282="","",COUNTIF(connections!$A$2:$A$1205,$A282)+COUNTIF(connections!$B$2:$B$1205,$A282))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IF(connections!$A282="","",IFERROR(INDEX(games!$B$2:$B$846,MATCH(connections!$A282,games!$A$2:$A$846,0)),""))</f>
        <v>2006</v>
      </c>
      <c r="U282">
        <f>IF(connections!$A282="","",IFERROR(INDEX(games!$B$2:$B$846,MATCH(connections!$B282,games!$A$2:$A$846,0)),""))</f>
        <v>2020</v>
      </c>
      <c r="V282">
        <f t="shared" si="59"/>
        <v>14</v>
      </c>
    </row>
    <row r="283" spans="1:22" x14ac:dyDescent="0.25">
      <c r="A283" t="str">
        <f>IF(games!$A283="","",games!$A283)</f>
        <v>Fury Unleashed</v>
      </c>
      <c r="B283">
        <f>IF($A283="","",games!$B283)</f>
        <v>2020</v>
      </c>
      <c r="C283" t="str">
        <f>IF($A283="","",games!$C283)</f>
        <v>Action</v>
      </c>
      <c r="D283">
        <f>IF($A283="","",COUNTIF(connections!$A$2:$A$1205,$A283)+COUNTIF(connections!$B$2:$B$1205,$A283))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IF(connections!$A283="","",IFERROR(INDEX(games!$B$2:$B$846,MATCH(connections!$A283,games!$A$2:$A$846,0)),""))</f>
        <v>2006</v>
      </c>
      <c r="U283">
        <f>IF(connections!$A283="","",IFERROR(INDEX(games!$B$2:$B$846,MATCH(connections!$B283,games!$A$2:$A$846,0)),""))</f>
        <v>2025</v>
      </c>
      <c r="V283">
        <f t="shared" si="59"/>
        <v>19</v>
      </c>
    </row>
    <row r="284" spans="1:22" x14ac:dyDescent="0.25">
      <c r="A284" t="str">
        <f>IF(games!$A284="","",games!$A284)</f>
        <v>Fushigi no Gensoukyou</v>
      </c>
      <c r="B284">
        <f>IF($A284="","",games!$B284)</f>
        <v>2010</v>
      </c>
      <c r="C284" t="str">
        <f>IF($A284="","",games!$C284)</f>
        <v>Traditional</v>
      </c>
      <c r="D284">
        <f>IF($A284="","",COUNTIF(connections!$A$2:$A$1205,$A284)+COUNTIF(connections!$B$2:$B$1205,$A284))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IF(connections!$A284="","",IFERROR(INDEX(games!$B$2:$B$846,MATCH(connections!$A284,games!$A$2:$A$846,0)),""))</f>
        <v>2006</v>
      </c>
      <c r="U284">
        <f>IF(connections!$A284="","",IFERROR(INDEX(games!$B$2:$B$846,MATCH(connections!$B284,games!$A$2:$A$846,0)),""))</f>
        <v>2018</v>
      </c>
      <c r="V284">
        <f t="shared" si="59"/>
        <v>12</v>
      </c>
    </row>
    <row r="285" spans="1:22" x14ac:dyDescent="0.25">
      <c r="A285" t="str">
        <f>IF(games!$A285="","",games!$A285)</f>
        <v>Fushigi no Gensoukyou 3</v>
      </c>
      <c r="B285">
        <f>IF($A285="","",games!$B285)</f>
        <v>2014</v>
      </c>
      <c r="C285" t="str">
        <f>IF($A285="","",games!$C285)</f>
        <v>Traditional</v>
      </c>
      <c r="D285">
        <f>IF($A285="","",COUNTIF(connections!$A$2:$A$1205,$A285)+COUNTIF(connections!$B$2:$B$1205,$A285))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IF(connections!$A285="","",IFERROR(INDEX(games!$B$2:$B$846,MATCH(connections!$A285,games!$A$2:$A$846,0)),""))</f>
        <v>2006</v>
      </c>
      <c r="U285">
        <f>IF(connections!$A285="","",IFERROR(INDEX(games!$B$2:$B$846,MATCH(connections!$B285,games!$A$2:$A$846,0)),""))</f>
        <v>2025</v>
      </c>
      <c r="V285">
        <f t="shared" si="59"/>
        <v>19</v>
      </c>
    </row>
    <row r="286" spans="1:22" x14ac:dyDescent="0.25">
      <c r="A286" t="str">
        <f>IF(games!$A286="","",games!$A286)</f>
        <v>Galactic Glitch</v>
      </c>
      <c r="B286">
        <f>IF($A286="","",games!$B286)</f>
        <v>2024</v>
      </c>
      <c r="C286" t="str">
        <f>IF($A286="","",games!$C286)</f>
        <v>Action</v>
      </c>
      <c r="D286">
        <f>IF($A286="","",COUNTIF(connections!$A$2:$A$1205,$A286)+COUNTIF(connections!$B$2:$B$1205,$A286))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IF(connections!$A286="","",IFERROR(INDEX(games!$B$2:$B$846,MATCH(connections!$A286,games!$A$2:$A$846,0)),""))</f>
        <v>2010</v>
      </c>
      <c r="U286">
        <f>IF(connections!$A286="","",IFERROR(INDEX(games!$B$2:$B$846,MATCH(connections!$B286,games!$A$2:$A$846,0)),""))</f>
        <v>2017</v>
      </c>
      <c r="V286">
        <f t="shared" si="59"/>
        <v>7</v>
      </c>
    </row>
    <row r="287" spans="1:22" x14ac:dyDescent="0.25">
      <c r="A287" t="str">
        <f>IF(games!$A287="","",games!$A287)</f>
        <v>Gambonanza</v>
      </c>
      <c r="B287">
        <f>IF($A287="","",games!$B287)</f>
        <v>2026</v>
      </c>
      <c r="C287" t="str">
        <f>IF($A287="","",games!$C287)</f>
        <v>Deckbuilder</v>
      </c>
      <c r="D287">
        <f>IF($A287="","",COUNTIF(connections!$A$2:$A$1205,$A287)+COUNTIF(connections!$B$2:$B$1205,$A287))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IF(connections!$A287="","",IFERROR(INDEX(games!$B$2:$B$846,MATCH(connections!$A287,games!$A$2:$A$846,0)),""))</f>
        <v>2011</v>
      </c>
      <c r="U287">
        <f>IF(connections!$A287="","",IFERROR(INDEX(games!$B$2:$B$846,MATCH(connections!$B287,games!$A$2:$A$846,0)),""))</f>
        <v>2017</v>
      </c>
      <c r="V287">
        <f t="shared" si="59"/>
        <v>6</v>
      </c>
    </row>
    <row r="288" spans="1:22" x14ac:dyDescent="0.25">
      <c r="A288" t="str">
        <f>IF(games!$A288="","",games!$A288)</f>
        <v>Garden of Witches</v>
      </c>
      <c r="B288">
        <f>IF($A288="","",games!$B288)</f>
        <v>2025</v>
      </c>
      <c r="C288" t="str">
        <f>IF($A288="","",games!$C288)</f>
        <v>Action</v>
      </c>
      <c r="D288">
        <f>IF($A288="","",COUNTIF(connections!$A$2:$A$1205,$A288)+COUNTIF(connections!$B$2:$B$1205,$A288))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IF(connections!$A288="","",IFERROR(INDEX(games!$B$2:$B$846,MATCH(connections!$A288,games!$A$2:$A$846,0)),""))</f>
        <v>2011</v>
      </c>
      <c r="U288">
        <f>IF(connections!$A288="","",IFERROR(INDEX(games!$B$2:$B$846,MATCH(connections!$B288,games!$A$2:$A$846,0)),""))</f>
        <v>2014</v>
      </c>
      <c r="V288">
        <f t="shared" si="59"/>
        <v>3</v>
      </c>
    </row>
    <row r="289" spans="1:22" x14ac:dyDescent="0.25">
      <c r="A289" t="str">
        <f>IF(games!$A289="","",games!$A289)</f>
        <v>Gatekeeper</v>
      </c>
      <c r="B289">
        <f>IF($A289="","",games!$B289)</f>
        <v>2024</v>
      </c>
      <c r="C289" t="str">
        <f>IF($A289="","",games!$C289)</f>
        <v>Action</v>
      </c>
      <c r="D289">
        <f>IF($A289="","",COUNTIF(connections!$A$2:$A$1205,$A289)+COUNTIF(connections!$B$2:$B$1205,$A289))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IF(connections!$A289="","",IFERROR(INDEX(games!$B$2:$B$846,MATCH(connections!$A289,games!$A$2:$A$846,0)),""))</f>
        <v>2011</v>
      </c>
      <c r="U289">
        <f>IF(connections!$A289="","",IFERROR(INDEX(games!$B$2:$B$846,MATCH(connections!$B289,games!$A$2:$A$846,0)),""))</f>
        <v>2016</v>
      </c>
      <c r="V289">
        <f t="shared" si="59"/>
        <v>5</v>
      </c>
    </row>
    <row r="290" spans="1:22" x14ac:dyDescent="0.25">
      <c r="A290" t="str">
        <f>IF(games!$A290="","",games!$A290)</f>
        <v>GearHead</v>
      </c>
      <c r="B290">
        <f>IF($A290="","",games!$B290)</f>
        <v>2002</v>
      </c>
      <c r="C290" t="str">
        <f>IF($A290="","",games!$C290)</f>
        <v>Traditional</v>
      </c>
      <c r="D290">
        <f>IF($A290="","",COUNTIF(connections!$A$2:$A$1205,$A290)+COUNTIF(connections!$B$2:$B$1205,$A290))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IF(connections!$A290="","",IFERROR(INDEX(games!$B$2:$B$846,MATCH(connections!$A290,games!$A$2:$A$846,0)),""))</f>
        <v>2011</v>
      </c>
      <c r="U290">
        <f>IF(connections!$A290="","",IFERROR(INDEX(games!$B$2:$B$846,MATCH(connections!$B290,games!$A$2:$A$846,0)),""))</f>
        <v>2021</v>
      </c>
      <c r="V290">
        <f t="shared" si="59"/>
        <v>10</v>
      </c>
    </row>
    <row r="291" spans="1:22" x14ac:dyDescent="0.25">
      <c r="A291" t="str">
        <f>IF(games!$A291="","",games!$A291)</f>
        <v>GearHead 2</v>
      </c>
      <c r="B291">
        <f>IF($A291="","",games!$B291)</f>
        <v>2007</v>
      </c>
      <c r="C291" t="str">
        <f>IF($A291="","",games!$C291)</f>
        <v>Traditional</v>
      </c>
      <c r="D291">
        <f>IF($A291="","",COUNTIF(connections!$A$2:$A$1205,$A291)+COUNTIF(connections!$B$2:$B$1205,$A291))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IF(connections!$A291="","",IFERROR(INDEX(games!$B$2:$B$846,MATCH(connections!$A291,games!$A$2:$A$846,0)),""))</f>
        <v>2018</v>
      </c>
      <c r="U291">
        <f>IF(connections!$A291="","",IFERROR(INDEX(games!$B$2:$B$846,MATCH(connections!$B291,games!$A$2:$A$846,0)),""))</f>
        <v>2025</v>
      </c>
      <c r="V291">
        <f t="shared" si="59"/>
        <v>7</v>
      </c>
    </row>
    <row r="292" spans="1:22" x14ac:dyDescent="0.25">
      <c r="A292" t="str">
        <f>IF(games!$A292="","",games!$A292)</f>
        <v>GearHead Caramel</v>
      </c>
      <c r="B292">
        <f>IF($A292="","",games!$B292)</f>
        <v>2022</v>
      </c>
      <c r="C292" t="str">
        <f>IF($A292="","",games!$C292)</f>
        <v>Traditional</v>
      </c>
      <c r="D292">
        <f>IF($A292="","",COUNTIF(connections!$A$2:$A$1205,$A292)+COUNTIF(connections!$B$2:$B$1205,$A292))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IF(connections!$A292="","",IFERROR(INDEX(games!$B$2:$B$846,MATCH(connections!$A292,games!$A$2:$A$846,0)),""))</f>
        <v>2006</v>
      </c>
      <c r="U292">
        <f>IF(connections!$A292="","",IFERROR(INDEX(games!$B$2:$B$846,MATCH(connections!$B292,games!$A$2:$A$846,0)),""))</f>
        <v>2010</v>
      </c>
      <c r="V292">
        <f t="shared" si="59"/>
        <v>4</v>
      </c>
    </row>
    <row r="293" spans="1:22" x14ac:dyDescent="0.25">
      <c r="A293" t="str">
        <f>IF(games!$A293="","",games!$A293)</f>
        <v>Genome Guardian</v>
      </c>
      <c r="B293">
        <f>IF($A293="","",games!$B293)</f>
        <v>2024</v>
      </c>
      <c r="C293" t="str">
        <f>IF($A293="","",games!$C293)</f>
        <v>Action</v>
      </c>
      <c r="D293">
        <f>IF($A293="","",COUNTIF(connections!$A$2:$A$1205,$A293)+COUNTIF(connections!$B$2:$B$1205,$A293))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IF(connections!$A293="","",IFERROR(INDEX(games!$B$2:$B$846,MATCH(connections!$A293,games!$A$2:$A$846,0)),""))</f>
        <v>2006</v>
      </c>
      <c r="U293">
        <f>IF(connections!$A293="","",IFERROR(INDEX(games!$B$2:$B$846,MATCH(connections!$B293,games!$A$2:$A$846,0)),""))</f>
        <v>2015</v>
      </c>
      <c r="V293">
        <f t="shared" si="59"/>
        <v>9</v>
      </c>
    </row>
    <row r="294" spans="1:22" x14ac:dyDescent="0.25">
      <c r="A294" t="str">
        <f>IF(games!$A294="","",games!$A294)</f>
        <v>Geometry Arena</v>
      </c>
      <c r="B294">
        <f>IF($A294="","",games!$B294)</f>
        <v>2020</v>
      </c>
      <c r="C294" t="str">
        <f>IF($A294="","",games!$C294)</f>
        <v>Action</v>
      </c>
      <c r="D294">
        <f>IF($A294="","",COUNTIF(connections!$A$2:$A$1205,$A294)+COUNTIF(connections!$B$2:$B$1205,$A294))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IF(connections!$A294="","",IFERROR(INDEX(games!$B$2:$B$846,MATCH(connections!$A294,games!$A$2:$A$846,0)),""))</f>
        <v>2006</v>
      </c>
      <c r="U294">
        <f>IF(connections!$A294="","",IFERROR(INDEX(games!$B$2:$B$846,MATCH(connections!$B294,games!$A$2:$A$846,0)),""))</f>
        <v>2023</v>
      </c>
      <c r="V294">
        <f t="shared" si="59"/>
        <v>17</v>
      </c>
    </row>
    <row r="295" spans="1:22" x14ac:dyDescent="0.25">
      <c r="A295" t="str">
        <f>IF(games!$A295="","",games!$A295)</f>
        <v>Geometry Arena 2</v>
      </c>
      <c r="B295">
        <f>IF($A295="","",games!$B295)</f>
        <v>2023</v>
      </c>
      <c r="C295" t="str">
        <f>IF($A295="","",games!$C295)</f>
        <v>Action</v>
      </c>
      <c r="D295">
        <f>IF($A295="","",COUNTIF(connections!$A$2:$A$1205,$A295)+COUNTIF(connections!$B$2:$B$1205,$A295))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IF(connections!$A295="","",IFERROR(INDEX(games!$B$2:$B$846,MATCH(connections!$A295,games!$A$2:$A$846,0)),""))</f>
        <v>2006</v>
      </c>
      <c r="U295">
        <f>IF(connections!$A295="","",IFERROR(INDEX(games!$B$2:$B$846,MATCH(connections!$B295,games!$A$2:$A$846,0)),""))</f>
        <v>2025</v>
      </c>
      <c r="V295">
        <f t="shared" si="59"/>
        <v>19</v>
      </c>
    </row>
    <row r="296" spans="1:22" x14ac:dyDescent="0.25">
      <c r="A296" t="str">
        <f>IF(games!$A296="","",games!$A296)</f>
        <v>Glyphica: Typing Survival</v>
      </c>
      <c r="B296">
        <f>IF($A296="","",games!$B296)</f>
        <v>2024</v>
      </c>
      <c r="C296" t="str">
        <f>IF($A296="","",games!$C296)</f>
        <v>Action</v>
      </c>
      <c r="D296">
        <f>IF($A296="","",COUNTIF(connections!$A$2:$A$1205,$A296)+COUNTIF(connections!$B$2:$B$1205,$A296))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IF(connections!$A296="","",IFERROR(INDEX(games!$B$2:$B$846,MATCH(connections!$A296,games!$A$2:$A$846,0)),""))</f>
        <v>2006</v>
      </c>
      <c r="U296">
        <f>IF(connections!$A296="","",IFERROR(INDEX(games!$B$2:$B$846,MATCH(connections!$B296,games!$A$2:$A$846,0)),""))</f>
        <v>2021</v>
      </c>
      <c r="V296">
        <f t="shared" si="59"/>
        <v>15</v>
      </c>
    </row>
    <row r="297" spans="1:22" x14ac:dyDescent="0.25">
      <c r="A297" t="str">
        <f>IF(games!$A297="","",games!$A297)</f>
        <v>GnollHack</v>
      </c>
      <c r="B297">
        <f>IF($A297="","",games!$B297)</f>
        <v>2020</v>
      </c>
      <c r="C297" t="str">
        <f>IF($A297="","",games!$C297)</f>
        <v>Traditional</v>
      </c>
      <c r="D297">
        <f>IF($A297="","",COUNTIF(connections!$A$2:$A$1205,$A297)+COUNTIF(connections!$B$2:$B$1205,$A297))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IF(connections!$A297="","",IFERROR(INDEX(games!$B$2:$B$846,MATCH(connections!$A297,games!$A$2:$A$846,0)),""))</f>
        <v>2006</v>
      </c>
      <c r="U297">
        <f>IF(connections!$A297="","",IFERROR(INDEX(games!$B$2:$B$846,MATCH(connections!$B297,games!$A$2:$A$846,0)),""))</f>
        <v>2012</v>
      </c>
      <c r="V297">
        <f t="shared" si="59"/>
        <v>6</v>
      </c>
    </row>
    <row r="298" spans="1:22" x14ac:dyDescent="0.25">
      <c r="A298" t="str">
        <f>IF(games!$A298="","",games!$A298)</f>
        <v>Gnomes</v>
      </c>
      <c r="B298">
        <f>IF($A298="","",games!$B298)</f>
        <v>2025</v>
      </c>
      <c r="C298" t="str">
        <f>IF($A298="","",games!$C298)</f>
        <v>Strategy</v>
      </c>
      <c r="D298">
        <f>IF($A298="","",COUNTIF(connections!$A$2:$A$1205,$A298)+COUNTIF(connections!$B$2:$B$1205,$A298))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IF(connections!$A298="","",IFERROR(INDEX(games!$B$2:$B$846,MATCH(connections!$A298,games!$A$2:$A$846,0)),""))</f>
        <v>2006</v>
      </c>
      <c r="U298">
        <f>IF(connections!$A298="","",IFERROR(INDEX(games!$B$2:$B$846,MATCH(connections!$B298,games!$A$2:$A$846,0)),""))</f>
        <v>2024</v>
      </c>
      <c r="V298">
        <f t="shared" si="59"/>
        <v>18</v>
      </c>
    </row>
    <row r="299" spans="1:22" x14ac:dyDescent="0.25">
      <c r="A299" t="str">
        <f>IF(games!$A299="","",games!$A299)</f>
        <v>Go Mecha Ball</v>
      </c>
      <c r="B299">
        <f>IF($A299="","",games!$B299)</f>
        <v>2024</v>
      </c>
      <c r="C299" t="str">
        <f>IF($A299="","",games!$C299)</f>
        <v>Action</v>
      </c>
      <c r="D299">
        <f>IF($A299="","",COUNTIF(connections!$A$2:$A$1205,$A299)+COUNTIF(connections!$B$2:$B$1205,$A299))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IF(connections!$A299="","",IFERROR(INDEX(games!$B$2:$B$846,MATCH(connections!$A299,games!$A$2:$A$846,0)),""))</f>
        <v>2006</v>
      </c>
      <c r="U299">
        <f>IF(connections!$A299="","",IFERROR(INDEX(games!$B$2:$B$846,MATCH(connections!$B299,games!$A$2:$A$846,0)),""))</f>
        <v>2017</v>
      </c>
      <c r="V299">
        <f t="shared" si="59"/>
        <v>11</v>
      </c>
    </row>
    <row r="300" spans="1:22" x14ac:dyDescent="0.25">
      <c r="A300" t="str">
        <f>IF(games!$A300="","",games!$A300)</f>
        <v>Goblin Sushi</v>
      </c>
      <c r="B300">
        <f>IF($A300="","",games!$B300)</f>
        <v>2026</v>
      </c>
      <c r="C300" t="str">
        <f>IF($A300="","",games!$C300)</f>
        <v>Deckbuilder</v>
      </c>
      <c r="D300">
        <f>IF($A300="","",COUNTIF(connections!$A$2:$A$1205,$A300)+COUNTIF(connections!$B$2:$B$1205,$A300))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IF(connections!$A300="","",IFERROR(INDEX(games!$B$2:$B$846,MATCH(connections!$A300,games!$A$2:$A$846,0)),""))</f>
        <v>2006</v>
      </c>
      <c r="U300">
        <f>IF(connections!$A300="","",IFERROR(INDEX(games!$B$2:$B$846,MATCH(connections!$B300,games!$A$2:$A$846,0)),""))</f>
        <v>2011</v>
      </c>
      <c r="V300">
        <f t="shared" si="59"/>
        <v>5</v>
      </c>
    </row>
    <row r="301" spans="1:22" x14ac:dyDescent="0.25">
      <c r="A301" t="str">
        <f>IF(games!$A301="","",games!$A301)</f>
        <v>God of Weapons</v>
      </c>
      <c r="B301">
        <f>IF($A301="","",games!$B301)</f>
        <v>2023</v>
      </c>
      <c r="C301" t="str">
        <f>IF($A301="","",games!$C301)</f>
        <v>Action</v>
      </c>
      <c r="D301">
        <f>IF($A301="","",COUNTIF(connections!$A$2:$A$1205,$A301)+COUNTIF(connections!$B$2:$B$1205,$A301))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IF(connections!$A301="","",IFERROR(INDEX(games!$B$2:$B$846,MATCH(connections!$A301,games!$A$2:$A$846,0)),""))</f>
        <v>2025</v>
      </c>
      <c r="U301">
        <f>IF(connections!$A301="","",IFERROR(INDEX(games!$B$2:$B$846,MATCH(connections!$B301,games!$A$2:$A$846,0)),""))</f>
        <v>2026</v>
      </c>
      <c r="V301">
        <f t="shared" si="59"/>
        <v>1</v>
      </c>
    </row>
    <row r="302" spans="1:22" x14ac:dyDescent="0.25">
      <c r="A302" t="str">
        <f>IF(games!$A302="","",games!$A302)</f>
        <v>Godbreakers</v>
      </c>
      <c r="B302">
        <f>IF($A302="","",games!$B302)</f>
        <v>2025</v>
      </c>
      <c r="C302" t="str">
        <f>IF($A302="","",games!$C302)</f>
        <v>Action</v>
      </c>
      <c r="D302">
        <f>IF($A302="","",COUNTIF(connections!$A$2:$A$1205,$A302)+COUNTIF(connections!$B$2:$B$1205,$A302))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IF(connections!$A302="","",IFERROR(INDEX(games!$B$2:$B$846,MATCH(connections!$A302,games!$A$2:$A$846,0)),""))</f>
        <v>2008</v>
      </c>
      <c r="U302">
        <f>IF(connections!$A302="","",IFERROR(INDEX(games!$B$2:$B$846,MATCH(connections!$B302,games!$A$2:$A$846,0)),""))</f>
        <v>2010</v>
      </c>
      <c r="V302">
        <f t="shared" si="59"/>
        <v>2</v>
      </c>
    </row>
    <row r="303" spans="1:22" x14ac:dyDescent="0.25">
      <c r="A303" t="str">
        <f>IF(games!$A303="","",games!$A303)</f>
        <v>Going Under</v>
      </c>
      <c r="B303">
        <f>IF($A303="","",games!$B303)</f>
        <v>2020</v>
      </c>
      <c r="C303" t="str">
        <f>IF($A303="","",games!$C303)</f>
        <v>Action</v>
      </c>
      <c r="D303">
        <f>IF($A303="","",COUNTIF(connections!$A$2:$A$1205,$A303)+COUNTIF(connections!$B$2:$B$1205,$A303))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IF(connections!$A303="","",IFERROR(INDEX(games!$B$2:$B$846,MATCH(connections!$A303,games!$A$2:$A$846,0)),""))</f>
        <v>2008</v>
      </c>
      <c r="U303">
        <f>IF(connections!$A303="","",IFERROR(INDEX(games!$B$2:$B$846,MATCH(connections!$B303,games!$A$2:$A$846,0)),""))</f>
        <v>2024</v>
      </c>
      <c r="V303">
        <f t="shared" si="59"/>
        <v>16</v>
      </c>
    </row>
    <row r="304" spans="1:22" x14ac:dyDescent="0.25">
      <c r="A304" t="str">
        <f>IF(games!$A304="","",games!$A304)</f>
        <v>Golden Krone Hotel</v>
      </c>
      <c r="B304">
        <f>IF($A304="","",games!$B304)</f>
        <v>2014</v>
      </c>
      <c r="C304" t="str">
        <f>IF($A304="","",games!$C304)</f>
        <v>Traditional</v>
      </c>
      <c r="D304">
        <f>IF($A304="","",COUNTIF(connections!$A$2:$A$1205,$A304)+COUNTIF(connections!$B$2:$B$1205,$A304))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IF(connections!$A304="","",IFERROR(INDEX(games!$B$2:$B$846,MATCH(connections!$A304,games!$A$2:$A$846,0)),""))</f>
        <v>2022</v>
      </c>
      <c r="U304">
        <f>IF(connections!$A304="","",IFERROR(INDEX(games!$B$2:$B$846,MATCH(connections!$B304,games!$A$2:$A$846,0)),""))</f>
        <v>2024</v>
      </c>
      <c r="V304">
        <f t="shared" si="59"/>
        <v>2</v>
      </c>
    </row>
    <row r="305" spans="1:22" x14ac:dyDescent="0.25">
      <c r="A305" t="str">
        <f>IF(games!$A305="","",games!$A305)</f>
        <v>Golden Light</v>
      </c>
      <c r="B305">
        <f>IF($A305="","",games!$B305)</f>
        <v>2020</v>
      </c>
      <c r="C305" t="str">
        <f>IF($A305="","",games!$C305)</f>
        <v>Action</v>
      </c>
      <c r="D305">
        <f>IF($A305="","",COUNTIF(connections!$A$2:$A$1205,$A305)+COUNTIF(connections!$B$2:$B$1205,$A305))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IF(connections!$A305="","",IFERROR(INDEX(games!$B$2:$B$846,MATCH(connections!$A305,games!$A$2:$A$846,0)),""))</f>
        <v>2016</v>
      </c>
      <c r="U305">
        <f>IF(connections!$A305="","",IFERROR(INDEX(games!$B$2:$B$846,MATCH(connections!$B305,games!$A$2:$A$846,0)),""))</f>
        <v>2025</v>
      </c>
      <c r="V305">
        <f t="shared" si="59"/>
        <v>9</v>
      </c>
    </row>
    <row r="306" spans="1:22" x14ac:dyDescent="0.25">
      <c r="A306" t="str">
        <f>IF(games!$A306="","",games!$A306)</f>
        <v>Golfie</v>
      </c>
      <c r="B306">
        <f>IF($A306="","",games!$B306)</f>
        <v>2022</v>
      </c>
      <c r="C306" t="str">
        <f>IF($A306="","",games!$C306)</f>
        <v>Action</v>
      </c>
      <c r="D306">
        <f>IF($A306="","",COUNTIF(connections!$A$2:$A$1205,$A306)+COUNTIF(connections!$B$2:$B$1205,$A306))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IF(connections!$A306="","",IFERROR(INDEX(games!$B$2:$B$846,MATCH(connections!$A306,games!$A$2:$A$846,0)),""))</f>
        <v>2016</v>
      </c>
      <c r="U306">
        <f>IF(connections!$A306="","",IFERROR(INDEX(games!$B$2:$B$846,MATCH(connections!$B306,games!$A$2:$A$846,0)),""))</f>
        <v>2023</v>
      </c>
      <c r="V306">
        <f t="shared" si="59"/>
        <v>7</v>
      </c>
    </row>
    <row r="307" spans="1:22" x14ac:dyDescent="0.25">
      <c r="A307" t="str">
        <f>IF(games!$A307="","",games!$A307)</f>
        <v>GoNNER</v>
      </c>
      <c r="B307">
        <f>IF($A307="","",games!$B307)</f>
        <v>2016</v>
      </c>
      <c r="C307" t="str">
        <f>IF($A307="","",games!$C307)</f>
        <v>Action</v>
      </c>
      <c r="D307">
        <f>IF($A307="","",COUNTIF(connections!$A$2:$A$1205,$A307)+COUNTIF(connections!$B$2:$B$1205,$A307))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IF(connections!$A307="","",IFERROR(INDEX(games!$B$2:$B$846,MATCH(connections!$A307,games!$A$2:$A$846,0)),""))</f>
        <v>2016</v>
      </c>
      <c r="U307">
        <f>IF(connections!$A307="","",IFERROR(INDEX(games!$B$2:$B$846,MATCH(connections!$B307,games!$A$2:$A$846,0)),""))</f>
        <v>2023</v>
      </c>
      <c r="V307">
        <f t="shared" si="59"/>
        <v>7</v>
      </c>
    </row>
    <row r="308" spans="1:22" x14ac:dyDescent="0.25">
      <c r="A308" t="str">
        <f>IF(games!$A308="","",games!$A308)</f>
        <v>GONNER2</v>
      </c>
      <c r="B308">
        <f>IF($A308="","",games!$B308)</f>
        <v>2020</v>
      </c>
      <c r="C308" t="str">
        <f>IF($A308="","",games!$C308)</f>
        <v>Action</v>
      </c>
      <c r="D308">
        <f>IF($A308="","",COUNTIF(connections!$A$2:$A$1205,$A308)+COUNTIF(connections!$B$2:$B$1205,$A308))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IF(connections!$A308="","",IFERROR(INDEX(games!$B$2:$B$846,MATCH(connections!$A308,games!$A$2:$A$846,0)),""))</f>
        <v>2016</v>
      </c>
      <c r="U308">
        <f>IF(connections!$A308="","",IFERROR(INDEX(games!$B$2:$B$846,MATCH(connections!$B308,games!$A$2:$A$846,0)),""))</f>
        <v>2025</v>
      </c>
      <c r="V308">
        <f t="shared" si="59"/>
        <v>9</v>
      </c>
    </row>
    <row r="309" spans="1:22" x14ac:dyDescent="0.25">
      <c r="A309" t="str">
        <f>IF(games!$A309="","",games!$A309)</f>
        <v>Goobies</v>
      </c>
      <c r="B309">
        <f>IF($A309="","",games!$B309)</f>
        <v>2023</v>
      </c>
      <c r="C309" t="str">
        <f>IF($A309="","",games!$C309)</f>
        <v>Action</v>
      </c>
      <c r="D309">
        <f>IF($A309="","",COUNTIF(connections!$A$2:$A$1205,$A309)+COUNTIF(connections!$B$2:$B$1205,$A309))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IF(connections!$A309="","",IFERROR(INDEX(games!$B$2:$B$846,MATCH(connections!$A309,games!$A$2:$A$846,0)),""))</f>
        <v>2016</v>
      </c>
      <c r="U309">
        <f>IF(connections!$A309="","",IFERROR(INDEX(games!$B$2:$B$846,MATCH(connections!$B309,games!$A$2:$A$846,0)),""))</f>
        <v>2020</v>
      </c>
      <c r="V309">
        <f t="shared" si="59"/>
        <v>4</v>
      </c>
    </row>
    <row r="310" spans="1:22" x14ac:dyDescent="0.25">
      <c r="A310" t="str">
        <f>IF(games!$A310="","",games!$A310)</f>
        <v>Gordian Quest</v>
      </c>
      <c r="B310">
        <f>IF($A310="","",games!$B310)</f>
        <v>2020</v>
      </c>
      <c r="C310" t="str">
        <f>IF($A310="","",games!$C310)</f>
        <v>Deckbuilder</v>
      </c>
      <c r="D310">
        <f>IF($A310="","",COUNTIF(connections!$A$2:$A$1205,$A310)+COUNTIF(connections!$B$2:$B$1205,$A310))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IF(connections!$A310="","",IFERROR(INDEX(games!$B$2:$B$846,MATCH(connections!$A310,games!$A$2:$A$846,0)),""))</f>
        <v>2016</v>
      </c>
      <c r="U310">
        <f>IF(connections!$A310="","",IFERROR(INDEX(games!$B$2:$B$846,MATCH(connections!$B310,games!$A$2:$A$846,0)),""))</f>
        <v>2023</v>
      </c>
      <c r="V310">
        <f t="shared" si="59"/>
        <v>7</v>
      </c>
    </row>
    <row r="311" spans="1:22" x14ac:dyDescent="0.25">
      <c r="A311" t="str">
        <f>IF(games!$A311="","",games!$A311)</f>
        <v>Granvir</v>
      </c>
      <c r="B311">
        <f>IF($A311="","",games!$B311)</f>
        <v>2025</v>
      </c>
      <c r="C311" t="str">
        <f>IF($A311="","",games!$C311)</f>
        <v>Action</v>
      </c>
      <c r="D311">
        <f>IF($A311="","",COUNTIF(connections!$A$2:$A$1205,$A311)+COUNTIF(connections!$B$2:$B$1205,$A311))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IF(connections!$A311="","",IFERROR(INDEX(games!$B$2:$B$846,MATCH(connections!$A311,games!$A$2:$A$846,0)),""))</f>
        <v>2016</v>
      </c>
      <c r="U311">
        <f>IF(connections!$A311="","",IFERROR(INDEX(games!$B$2:$B$846,MATCH(connections!$B311,games!$A$2:$A$846,0)),""))</f>
        <v>2021</v>
      </c>
      <c r="V311">
        <f t="shared" si="59"/>
        <v>5</v>
      </c>
    </row>
    <row r="312" spans="1:22" x14ac:dyDescent="0.25">
      <c r="A312" t="str">
        <f>IF(games!$A312="","",games!$A312)</f>
        <v>Greedland</v>
      </c>
      <c r="B312">
        <f>IF($A312="","",games!$B312)</f>
        <v>2023</v>
      </c>
      <c r="C312" t="str">
        <f>IF($A312="","",games!$C312)</f>
        <v>Action</v>
      </c>
      <c r="D312">
        <f>IF($A312="","",COUNTIF(connections!$A$2:$A$1205,$A312)+COUNTIF(connections!$B$2:$B$1205,$A312))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IF(connections!$A312="","",IFERROR(INDEX(games!$B$2:$B$846,MATCH(connections!$A312,games!$A$2:$A$846,0)),""))</f>
        <v>2016</v>
      </c>
      <c r="U312">
        <f>IF(connections!$A312="","",IFERROR(INDEX(games!$B$2:$B$846,MATCH(connections!$B312,games!$A$2:$A$846,0)),""))</f>
        <v>2022</v>
      </c>
      <c r="V312">
        <f t="shared" si="59"/>
        <v>6</v>
      </c>
    </row>
    <row r="313" spans="1:22" x14ac:dyDescent="0.25">
      <c r="A313" t="str">
        <f>IF(games!$A313="","",games!$A313)</f>
        <v>Griftlands</v>
      </c>
      <c r="B313">
        <f>IF($A313="","",games!$B313)</f>
        <v>2020</v>
      </c>
      <c r="C313" t="str">
        <f>IF($A313="","",games!$C313)</f>
        <v>Deckbuilder</v>
      </c>
      <c r="D313">
        <f>IF($A313="","",COUNTIF(connections!$A$2:$A$1205,$A313)+COUNTIF(connections!$B$2:$B$1205,$A313))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IF(connections!$A313="","",IFERROR(INDEX(games!$B$2:$B$846,MATCH(connections!$A313,games!$A$2:$A$846,0)),""))</f>
        <v>2016</v>
      </c>
      <c r="U313">
        <f>IF(connections!$A313="","",IFERROR(INDEX(games!$B$2:$B$846,MATCH(connections!$B313,games!$A$2:$A$846,0)),""))</f>
        <v>2025</v>
      </c>
      <c r="V313">
        <f t="shared" si="59"/>
        <v>9</v>
      </c>
    </row>
    <row r="314" spans="1:22" x14ac:dyDescent="0.25">
      <c r="A314" t="str">
        <f>IF(games!$A314="","",games!$A314)</f>
        <v>Guidus</v>
      </c>
      <c r="B314">
        <f>IF($A314="","",games!$B314)</f>
        <v>2021</v>
      </c>
      <c r="C314" t="str">
        <f>IF($A314="","",games!$C314)</f>
        <v>Action</v>
      </c>
      <c r="D314">
        <f>IF($A314="","",COUNTIF(connections!$A$2:$A$1205,$A314)+COUNTIF(connections!$B$2:$B$1205,$A314))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IF(connections!$A314="","",IFERROR(INDEX(games!$B$2:$B$846,MATCH(connections!$A314,games!$A$2:$A$846,0)),""))</f>
        <v>2016</v>
      </c>
      <c r="U314">
        <f>IF(connections!$A314="","",IFERROR(INDEX(games!$B$2:$B$846,MATCH(connections!$B314,games!$A$2:$A$846,0)),""))</f>
        <v>2020</v>
      </c>
      <c r="V314">
        <f t="shared" si="59"/>
        <v>4</v>
      </c>
    </row>
    <row r="315" spans="1:22" x14ac:dyDescent="0.25">
      <c r="A315" t="str">
        <f>IF(games!$A315="","",games!$A315)</f>
        <v>Guidus Zero</v>
      </c>
      <c r="B315">
        <f>IF($A315="","",games!$B315)</f>
        <v>2024</v>
      </c>
      <c r="C315" t="str">
        <f>IF($A315="","",games!$C315)</f>
        <v>Action</v>
      </c>
      <c r="D315">
        <f>IF($A315="","",COUNTIF(connections!$A$2:$A$1205,$A315)+COUNTIF(connections!$B$2:$B$1205,$A315))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IF(connections!$A315="","",IFERROR(INDEX(games!$B$2:$B$846,MATCH(connections!$A315,games!$A$2:$A$846,0)),""))</f>
        <v>2016</v>
      </c>
      <c r="U315">
        <f>IF(connections!$A315="","",IFERROR(INDEX(games!$B$2:$B$846,MATCH(connections!$B315,games!$A$2:$A$846,0)),""))</f>
        <v>2024</v>
      </c>
      <c r="V315">
        <f t="shared" si="59"/>
        <v>8</v>
      </c>
    </row>
    <row r="316" spans="1:22" x14ac:dyDescent="0.25">
      <c r="A316" t="str">
        <f>IF(games!$A316="","",games!$A316)</f>
        <v>Guild of Dungeoneering</v>
      </c>
      <c r="B316">
        <f>IF($A316="","",games!$B316)</f>
        <v>2015</v>
      </c>
      <c r="C316" t="str">
        <f>IF($A316="","",games!$C316)</f>
        <v>Deckbuilder</v>
      </c>
      <c r="D316">
        <f>IF($A316="","",COUNTIF(connections!$A$2:$A$1205,$A316)+COUNTIF(connections!$B$2:$B$1205,$A316))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IF(connections!$A316="","",IFERROR(INDEX(games!$B$2:$B$846,MATCH(connections!$A316,games!$A$2:$A$846,0)),""))</f>
        <v>2016</v>
      </c>
      <c r="U316">
        <f>IF(connections!$A316="","",IFERROR(INDEX(games!$B$2:$B$846,MATCH(connections!$B316,games!$A$2:$A$846,0)),""))</f>
        <v>2020</v>
      </c>
      <c r="V316">
        <f t="shared" si="59"/>
        <v>4</v>
      </c>
    </row>
    <row r="317" spans="1:22" x14ac:dyDescent="0.25">
      <c r="A317" t="str">
        <f>IF(games!$A317="","",games!$A317)</f>
        <v>Gumballs &amp; Dungeons</v>
      </c>
      <c r="B317">
        <f>IF($A317="","",games!$B317)</f>
        <v>2017</v>
      </c>
      <c r="C317" t="str">
        <f>IF($A317="","",games!$C317)</f>
        <v>Strategy</v>
      </c>
      <c r="D317">
        <f>IF($A317="","",COUNTIF(connections!$A$2:$A$1205,$A317)+COUNTIF(connections!$B$2:$B$1205,$A317))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IF(connections!$A317="","",IFERROR(INDEX(games!$B$2:$B$846,MATCH(connections!$A317,games!$A$2:$A$846,0)),""))</f>
        <v>2016</v>
      </c>
      <c r="U317">
        <f>IF(connections!$A317="","",IFERROR(INDEX(games!$B$2:$B$846,MATCH(connections!$B317,games!$A$2:$A$846,0)),""))</f>
        <v>2020</v>
      </c>
      <c r="V317">
        <f t="shared" si="59"/>
        <v>4</v>
      </c>
    </row>
    <row r="318" spans="1:22" x14ac:dyDescent="0.25">
      <c r="A318" t="str">
        <f>IF(games!$A318="","",games!$A318)</f>
        <v>Gunfire Reborn</v>
      </c>
      <c r="B318">
        <f>IF($A318="","",games!$B318)</f>
        <v>2020</v>
      </c>
      <c r="C318" t="str">
        <f>IF($A318="","",games!$C318)</f>
        <v>Action</v>
      </c>
      <c r="D318">
        <f>IF($A318="","",COUNTIF(connections!$A$2:$A$1205,$A318)+COUNTIF(connections!$B$2:$B$1205,$A318))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IF(connections!$A318="","",IFERROR(INDEX(games!$B$2:$B$846,MATCH(connections!$A318,games!$A$2:$A$846,0)),""))</f>
        <v>2016</v>
      </c>
      <c r="U318">
        <f>IF(connections!$A318="","",IFERROR(INDEX(games!$B$2:$B$846,MATCH(connections!$B318,games!$A$2:$A$846,0)),""))</f>
        <v>2024</v>
      </c>
      <c r="V318">
        <f t="shared" si="59"/>
        <v>8</v>
      </c>
    </row>
    <row r="319" spans="1:22" x14ac:dyDescent="0.25">
      <c r="A319" t="str">
        <f>IF(games!$A319="","",games!$A319)</f>
        <v>Gunlocked</v>
      </c>
      <c r="B319">
        <f>IF($A319="","",games!$B319)</f>
        <v>2022</v>
      </c>
      <c r="C319" t="str">
        <f>IF($A319="","",games!$C319)</f>
        <v>Action</v>
      </c>
      <c r="D319">
        <f>IF($A319="","",COUNTIF(connections!$A$2:$A$1205,$A319)+COUNTIF(connections!$B$2:$B$1205,$A319))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IF(connections!$A319="","",IFERROR(INDEX(games!$B$2:$B$846,MATCH(connections!$A319,games!$A$2:$A$846,0)),""))</f>
        <v>2016</v>
      </c>
      <c r="U319">
        <f>IF(connections!$A319="","",IFERROR(INDEX(games!$B$2:$B$846,MATCH(connections!$B319,games!$A$2:$A$846,0)),""))</f>
        <v>2022</v>
      </c>
      <c r="V319">
        <f t="shared" si="59"/>
        <v>6</v>
      </c>
    </row>
    <row r="320" spans="1:22" x14ac:dyDescent="0.25">
      <c r="A320" t="str">
        <f>IF(games!$A320="","",games!$A320)</f>
        <v>Gunlocked 2</v>
      </c>
      <c r="B320">
        <f>IF($A320="","",games!$B320)</f>
        <v>2025</v>
      </c>
      <c r="C320" t="str">
        <f>IF($A320="","",games!$C320)</f>
        <v>Action</v>
      </c>
      <c r="D320">
        <f>IF($A320="","",COUNTIF(connections!$A$2:$A$1205,$A320)+COUNTIF(connections!$B$2:$B$1205,$A320))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IF(connections!$A320="","",IFERROR(INDEX(games!$B$2:$B$846,MATCH(connections!$A320,games!$A$2:$A$846,0)),""))</f>
        <v>2016</v>
      </c>
      <c r="U320">
        <f>IF(connections!$A320="","",IFERROR(INDEX(games!$B$2:$B$846,MATCH(connections!$B320,games!$A$2:$A$846,0)),""))</f>
        <v>2025</v>
      </c>
      <c r="V320">
        <f t="shared" si="59"/>
        <v>9</v>
      </c>
    </row>
    <row r="321" spans="1:22" x14ac:dyDescent="0.25">
      <c r="A321" t="str">
        <f>IF(games!$A321="","",games!$A321)</f>
        <v>Hack</v>
      </c>
      <c r="B321">
        <f>IF($A321="","",games!$B321)</f>
        <v>1984</v>
      </c>
      <c r="C321" t="str">
        <f>IF($A321="","",games!$C321)</f>
        <v>Traditional</v>
      </c>
      <c r="D321">
        <f>IF($A321="","",COUNTIF(connections!$A$2:$A$1205,$A321)+COUNTIF(connections!$B$2:$B$1205,$A321))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IF(connections!$A321="","",IFERROR(INDEX(games!$B$2:$B$846,MATCH(connections!$A321,games!$A$2:$A$846,0)),""))</f>
        <v>2016</v>
      </c>
      <c r="U321">
        <f>IF(connections!$A321="","",IFERROR(INDEX(games!$B$2:$B$846,MATCH(connections!$B321,games!$A$2:$A$846,0)),""))</f>
        <v>2024</v>
      </c>
      <c r="V321">
        <f t="shared" si="59"/>
        <v>8</v>
      </c>
    </row>
    <row r="322" spans="1:22" x14ac:dyDescent="0.25">
      <c r="A322" t="str">
        <f>IF(games!$A322="","",games!$A322)</f>
        <v>Hack'EM</v>
      </c>
      <c r="B322">
        <f>IF($A322="","",games!$B322)</f>
        <v>2022</v>
      </c>
      <c r="C322" t="str">
        <f>IF($A322="","",games!$C322)</f>
        <v>Traditional</v>
      </c>
      <c r="D322">
        <f>IF($A322="","",COUNTIF(connections!$A$2:$A$1205,$A322)+COUNTIF(connections!$B$2:$B$1205,$A322))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IF(connections!$A322="","",IFERROR(INDEX(games!$B$2:$B$846,MATCH(connections!$A322,games!$A$2:$A$846,0)),""))</f>
        <v>2016</v>
      </c>
      <c r="U322">
        <f>IF(connections!$A322="","",IFERROR(INDEX(games!$B$2:$B$846,MATCH(connections!$B322,games!$A$2:$A$846,0)),""))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IF($A323="","",COUNTIF(connections!$A$2:$A$1205,$A323)+COUNTIF(connections!$B$2:$B$1205,$A323))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IF(connections!$A323="","",IFERROR(INDEX(games!$B$2:$B$846,MATCH(connections!$A323,games!$A$2:$A$846,0)),""))</f>
        <v>2016</v>
      </c>
      <c r="U323">
        <f>IF(connections!$A323="","",IFERROR(INDEX(games!$B$2:$B$846,MATCH(connections!$B323,games!$A$2:$A$846,0)),""))</f>
        <v>2022</v>
      </c>
      <c r="V323">
        <f t="shared" si="71"/>
        <v>6</v>
      </c>
    </row>
    <row r="324" spans="1:22" x14ac:dyDescent="0.25">
      <c r="A324" t="str">
        <f>IF(games!$A324="","",games!$A324)</f>
        <v>Hades</v>
      </c>
      <c r="B324">
        <f>IF($A324="","",games!$B324)</f>
        <v>2019</v>
      </c>
      <c r="C324" t="str">
        <f>IF($A324="","",games!$C324)</f>
        <v>Action</v>
      </c>
      <c r="D324">
        <f>IF($A324="","",COUNTIF(connections!$A$2:$A$1205,$A324)+COUNTIF(connections!$B$2:$B$1205,$A324))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IF(connections!$A324="","",IFERROR(INDEX(games!$B$2:$B$846,MATCH(connections!$A324,games!$A$2:$A$846,0)),""))</f>
        <v>2016</v>
      </c>
      <c r="U324">
        <f>IF(connections!$A324="","",IFERROR(INDEX(games!$B$2:$B$846,MATCH(connections!$B324,games!$A$2:$A$846,0)),""))</f>
        <v>2022</v>
      </c>
      <c r="V324">
        <f t="shared" si="71"/>
        <v>6</v>
      </c>
    </row>
    <row r="325" spans="1:22" x14ac:dyDescent="0.25">
      <c r="A325" t="str">
        <f>IF(games!$A325="","",games!$A325)</f>
        <v>Hades II</v>
      </c>
      <c r="B325">
        <f>IF($A325="","",games!$B325)</f>
        <v>2024</v>
      </c>
      <c r="C325" t="str">
        <f>IF($A325="","",games!$C325)</f>
        <v>Action</v>
      </c>
      <c r="D325">
        <f>IF($A325="","",COUNTIF(connections!$A$2:$A$1205,$A325)+COUNTIF(connections!$B$2:$B$1205,$A325))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IF(connections!$A325="","",IFERROR(INDEX(games!$B$2:$B$846,MATCH(connections!$A325,games!$A$2:$A$846,0)),""))</f>
        <v>2016</v>
      </c>
      <c r="U325">
        <f>IF(connections!$A325="","",IFERROR(INDEX(games!$B$2:$B$846,MATCH(connections!$B325,games!$A$2:$A$846,0)),""))</f>
        <v>2022</v>
      </c>
      <c r="V325">
        <f t="shared" si="71"/>
        <v>6</v>
      </c>
    </row>
    <row r="326" spans="1:22" x14ac:dyDescent="0.25">
      <c r="A326" t="str">
        <f>IF(games!$A326="","",games!$A326)</f>
        <v>Halls of Torment</v>
      </c>
      <c r="B326">
        <f>IF($A326="","",games!$B326)</f>
        <v>2023</v>
      </c>
      <c r="C326" t="str">
        <f>IF($A326="","",games!$C326)</f>
        <v>Action</v>
      </c>
      <c r="D326">
        <f>IF($A326="","",COUNTIF(connections!$A$2:$A$1205,$A326)+COUNTIF(connections!$B$2:$B$1205,$A326))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IF(connections!$A326="","",IFERROR(INDEX(games!$B$2:$B$846,MATCH(connections!$A326,games!$A$2:$A$846,0)),""))</f>
        <v>2015</v>
      </c>
      <c r="U326">
        <f>IF(connections!$A326="","",IFERROR(INDEX(games!$B$2:$B$846,MATCH(connections!$B326,games!$A$2:$A$846,0)),""))</f>
        <v>2017</v>
      </c>
      <c r="V326">
        <f t="shared" si="71"/>
        <v>2</v>
      </c>
    </row>
    <row r="327" spans="1:22" x14ac:dyDescent="0.25">
      <c r="A327" t="str">
        <f>IF(games!$A327="","",games!$A327)</f>
        <v>Hand of Fate</v>
      </c>
      <c r="B327">
        <f>IF($A327="","",games!$B327)</f>
        <v>2014</v>
      </c>
      <c r="C327" t="str">
        <f>IF($A327="","",games!$C327)</f>
        <v>Deckbuilder</v>
      </c>
      <c r="D327">
        <f>IF($A327="","",COUNTIF(connections!$A$2:$A$1205,$A327)+COUNTIF(connections!$B$2:$B$1205,$A327))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IF(connections!$A327="","",IFERROR(INDEX(games!$B$2:$B$846,MATCH(connections!$A327,games!$A$2:$A$846,0)),""))</f>
        <v>2021</v>
      </c>
      <c r="U327">
        <f>IF(connections!$A327="","",IFERROR(INDEX(games!$B$2:$B$846,MATCH(connections!$B327,games!$A$2:$A$846,0)),""))</f>
        <v>2026</v>
      </c>
      <c r="V327">
        <f t="shared" si="71"/>
        <v>5</v>
      </c>
    </row>
    <row r="328" spans="1:22" x14ac:dyDescent="0.25">
      <c r="A328" t="str">
        <f>IF(games!$A328="","",games!$A328)</f>
        <v>Hand of Fate 2</v>
      </c>
      <c r="B328">
        <f>IF($A328="","",games!$B328)</f>
        <v>2017</v>
      </c>
      <c r="C328" t="str">
        <f>IF($A328="","",games!$C328)</f>
        <v>Deckbuilder</v>
      </c>
      <c r="D328">
        <f>IF($A328="","",COUNTIF(connections!$A$2:$A$1205,$A328)+COUNTIF(connections!$B$2:$B$1205,$A328))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IF(connections!$A328="","",IFERROR(INDEX(games!$B$2:$B$846,MATCH(connections!$A328,games!$A$2:$A$846,0)),""))</f>
        <v>2021</v>
      </c>
      <c r="U328">
        <f>IF(connections!$A328="","",IFERROR(INDEX(games!$B$2:$B$846,MATCH(connections!$B328,games!$A$2:$A$846,0)),""))</f>
        <v>2026</v>
      </c>
      <c r="V328">
        <f t="shared" si="71"/>
        <v>5</v>
      </c>
    </row>
    <row r="329" spans="1:22" x14ac:dyDescent="0.25">
      <c r="A329" t="str">
        <f>IF(games!$A329="","",games!$A329)</f>
        <v>Hand of Fate: Hordes</v>
      </c>
      <c r="B329">
        <f>IF($A329="","",games!$B329)</f>
        <v>2026</v>
      </c>
      <c r="C329" t="str">
        <f>IF($A329="","",games!$C329)</f>
        <v>Action</v>
      </c>
      <c r="D329">
        <f>IF($A329="","",COUNTIF(connections!$A$2:$A$1205,$A329)+COUNTIF(connections!$B$2:$B$1205,$A329))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IF(connections!$A329="","",IFERROR(INDEX(games!$B$2:$B$846,MATCH(connections!$A329,games!$A$2:$A$846,0)),""))</f>
        <v>2021</v>
      </c>
      <c r="U329">
        <f>IF(connections!$A329="","",IFERROR(INDEX(games!$B$2:$B$846,MATCH(connections!$B329,games!$A$2:$A$846,0)),""))</f>
        <v>2025</v>
      </c>
      <c r="V329">
        <f t="shared" si="71"/>
        <v>4</v>
      </c>
    </row>
    <row r="330" spans="1:22" x14ac:dyDescent="0.25">
      <c r="A330" t="str">
        <f>IF(games!$A330="","",games!$A330)</f>
        <v>Hangtime!</v>
      </c>
      <c r="B330">
        <f>IF($A330="","",games!$B330)</f>
        <v>2025</v>
      </c>
      <c r="C330" t="str">
        <f>IF($A330="","",games!$C330)</f>
        <v>Action</v>
      </c>
      <c r="D330">
        <f>IF($A330="","",COUNTIF(connections!$A$2:$A$1205,$A330)+COUNTIF(connections!$B$2:$B$1205,$A330))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IF(connections!$A330="","",IFERROR(INDEX(games!$B$2:$B$846,MATCH(connections!$A330,games!$A$2:$A$846,0)),""))</f>
        <v>2007</v>
      </c>
      <c r="U330">
        <f>IF(connections!$A330="","",IFERROR(INDEX(games!$B$2:$B$846,MATCH(connections!$B330,games!$A$2:$A$846,0)),""))</f>
        <v>2019</v>
      </c>
      <c r="V330">
        <f t="shared" si="71"/>
        <v>12</v>
      </c>
    </row>
    <row r="331" spans="1:22" x14ac:dyDescent="0.25">
      <c r="A331" t="str">
        <f>IF(games!$A331="","",games!$A331)</f>
        <v>Haque</v>
      </c>
      <c r="B331">
        <f>IF($A331="","",games!$B331)</f>
        <v>2017</v>
      </c>
      <c r="C331" t="str">
        <f>IF($A331="","",games!$C331)</f>
        <v>Traditional</v>
      </c>
      <c r="D331">
        <f>IF($A331="","",COUNTIF(connections!$A$2:$A$1205,$A331)+COUNTIF(connections!$B$2:$B$1205,$A331))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IF(connections!$A331="","",IFERROR(INDEX(games!$B$2:$B$846,MATCH(connections!$A331,games!$A$2:$A$846,0)),""))</f>
        <v>2022</v>
      </c>
      <c r="U331">
        <f>IF(connections!$A331="","",IFERROR(INDEX(games!$B$2:$B$846,MATCH(connections!$B331,games!$A$2:$A$846,0)),""))</f>
        <v>2023</v>
      </c>
      <c r="V331">
        <f t="shared" si="71"/>
        <v>1</v>
      </c>
    </row>
    <row r="332" spans="1:22" x14ac:dyDescent="0.25">
      <c r="A332" t="str">
        <f>IF(games!$A332="","",games!$A332)</f>
        <v>Has-Been Heroes</v>
      </c>
      <c r="B332">
        <f>IF($A332="","",games!$B332)</f>
        <v>2017</v>
      </c>
      <c r="C332" t="str">
        <f>IF($A332="","",games!$C332)</f>
        <v>Action</v>
      </c>
      <c r="D332">
        <f>IF($A332="","",COUNTIF(connections!$A$2:$A$1205,$A332)+COUNTIF(connections!$B$2:$B$1205,$A332))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IF(connections!$A332="","",IFERROR(INDEX(games!$B$2:$B$846,MATCH(connections!$A332,games!$A$2:$A$846,0)),""))</f>
        <v>2018</v>
      </c>
      <c r="U332">
        <f>IF(connections!$A332="","",IFERROR(INDEX(games!$B$2:$B$846,MATCH(connections!$B332,games!$A$2:$A$846,0)),""))</f>
        <v>2023</v>
      </c>
      <c r="V332">
        <f t="shared" si="71"/>
        <v>5</v>
      </c>
    </row>
    <row r="333" spans="1:22" x14ac:dyDescent="0.25">
      <c r="A333" t="str">
        <f>IF(games!$A333="","",games!$A333)</f>
        <v>Haste</v>
      </c>
      <c r="B333">
        <f>IF($A333="","",games!$B333)</f>
        <v>2025</v>
      </c>
      <c r="C333" t="str">
        <f>IF($A333="","",games!$C333)</f>
        <v>Action</v>
      </c>
      <c r="D333">
        <f>IF($A333="","",COUNTIF(connections!$A$2:$A$1205,$A333)+COUNTIF(connections!$B$2:$B$1205,$A333))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IF(connections!$A333="","",IFERROR(INDEX(games!$B$2:$B$846,MATCH(connections!$A333,games!$A$2:$A$846,0)),""))</f>
        <v>2018</v>
      </c>
      <c r="U333">
        <f>IF(connections!$A333="","",IFERROR(INDEX(games!$B$2:$B$846,MATCH(connections!$B333,games!$A$2:$A$846,0)),""))</f>
        <v>2019</v>
      </c>
      <c r="V333">
        <f t="shared" si="71"/>
        <v>1</v>
      </c>
    </row>
    <row r="334" spans="1:22" x14ac:dyDescent="0.25">
      <c r="A334" t="str">
        <f>IF(games!$A334="","",games!$A334)</f>
        <v>Have a Nice Death</v>
      </c>
      <c r="B334">
        <f>IF($A334="","",games!$B334)</f>
        <v>2022</v>
      </c>
      <c r="C334" t="str">
        <f>IF($A334="","",games!$C334)</f>
        <v>Action</v>
      </c>
      <c r="D334">
        <f>IF($A334="","",COUNTIF(connections!$A$2:$A$1205,$A334)+COUNTIF(connections!$B$2:$B$1205,$A334))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IF(connections!$A334="","",IFERROR(INDEX(games!$B$2:$B$846,MATCH(connections!$A334,games!$A$2:$A$846,0)),""))</f>
        <v>2020</v>
      </c>
      <c r="U334">
        <f>IF(connections!$A334="","",IFERROR(INDEX(games!$B$2:$B$846,MATCH(connections!$B334,games!$A$2:$A$846,0)),""))</f>
        <v>2024</v>
      </c>
      <c r="V334">
        <f t="shared" si="71"/>
        <v>4</v>
      </c>
    </row>
    <row r="335" spans="1:22" x14ac:dyDescent="0.25">
      <c r="A335" t="str">
        <f>IF(games!$A335="","",games!$A335)</f>
        <v>He is Coming</v>
      </c>
      <c r="B335">
        <f>IF($A335="","",games!$B335)</f>
        <v>2025</v>
      </c>
      <c r="C335" t="str">
        <f>IF($A335="","",games!$C335)</f>
        <v>Deckbuilder</v>
      </c>
      <c r="D335">
        <f>IF($A335="","",COUNTIF(connections!$A$2:$A$1205,$A335)+COUNTIF(connections!$B$2:$B$1205,$A335))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IF(connections!$A335="","",IFERROR(INDEX(games!$B$2:$B$846,MATCH(connections!$A335,games!$A$2:$A$846,0)),""))</f>
        <v>2022</v>
      </c>
      <c r="U335">
        <f>IF(connections!$A335="","",IFERROR(INDEX(games!$B$2:$B$846,MATCH(connections!$B335,games!$A$2:$A$846,0)),""))</f>
        <v>2024</v>
      </c>
      <c r="V335">
        <f t="shared" si="71"/>
        <v>2</v>
      </c>
    </row>
    <row r="336" spans="1:22" x14ac:dyDescent="0.25">
      <c r="A336" t="str">
        <f>IF(games!$A336="","",games!$A336)</f>
        <v>Heading Out</v>
      </c>
      <c r="B336">
        <f>IF($A336="","",games!$B336)</f>
        <v>2023</v>
      </c>
      <c r="C336" t="str">
        <f>IF($A336="","",games!$C336)</f>
        <v>Action</v>
      </c>
      <c r="D336">
        <f>IF($A336="","",COUNTIF(connections!$A$2:$A$1205,$A336)+COUNTIF(connections!$B$2:$B$1205,$A336))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IF(connections!$A336="","",IFERROR(INDEX(games!$B$2:$B$846,MATCH(connections!$A336,games!$A$2:$A$846,0)),""))</f>
        <v>2012</v>
      </c>
      <c r="U336">
        <f>IF(connections!$A336="","",IFERROR(INDEX(games!$B$2:$B$846,MATCH(connections!$B336,games!$A$2:$A$846,0)),""))</f>
        <v>2019</v>
      </c>
      <c r="V336">
        <f t="shared" si="71"/>
        <v>7</v>
      </c>
    </row>
    <row r="337" spans="1:22" x14ac:dyDescent="0.25">
      <c r="A337" t="str">
        <f>IF(games!$A337="","",games!$A337)</f>
        <v>Heat Signature</v>
      </c>
      <c r="B337">
        <f>IF($A337="","",games!$B337)</f>
        <v>2017</v>
      </c>
      <c r="C337" t="str">
        <f>IF($A337="","",games!$C337)</f>
        <v>Action</v>
      </c>
      <c r="D337">
        <f>IF($A337="","",COUNTIF(connections!$A$2:$A$1205,$A337)+COUNTIF(connections!$B$2:$B$1205,$A337))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IF(connections!$A337="","",IFERROR(INDEX(games!$B$2:$B$846,MATCH(connections!$A337,games!$A$2:$A$846,0)),""))</f>
        <v>2012</v>
      </c>
      <c r="U337">
        <f>IF(connections!$A337="","",IFERROR(INDEX(games!$B$2:$B$846,MATCH(connections!$B337,games!$A$2:$A$846,0)),""))</f>
        <v>2020</v>
      </c>
      <c r="V337">
        <f t="shared" si="71"/>
        <v>8</v>
      </c>
    </row>
    <row r="338" spans="1:22" x14ac:dyDescent="0.25">
      <c r="A338" t="str">
        <f>IF(games!$A338="","",games!$A338)</f>
        <v>Heavy Bullets</v>
      </c>
      <c r="B338">
        <f>IF($A338="","",games!$B338)</f>
        <v>2014</v>
      </c>
      <c r="C338" t="str">
        <f>IF($A338="","",games!$C338)</f>
        <v>Action</v>
      </c>
      <c r="D338">
        <f>IF($A338="","",COUNTIF(connections!$A$2:$A$1205,$A338)+COUNTIF(connections!$B$2:$B$1205,$A338))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IF(connections!$A338="","",IFERROR(INDEX(games!$B$2:$B$846,MATCH(connections!$A338,games!$A$2:$A$846,0)),""))</f>
        <v>2012</v>
      </c>
      <c r="U338">
        <f>IF(connections!$A338="","",IFERROR(INDEX(games!$B$2:$B$846,MATCH(connections!$B338,games!$A$2:$A$846,0)),""))</f>
        <v>2024</v>
      </c>
      <c r="V338">
        <f t="shared" si="71"/>
        <v>12</v>
      </c>
    </row>
    <row r="339" spans="1:22" x14ac:dyDescent="0.25">
      <c r="A339" t="str">
        <f>IF(games!$A339="","",games!$A339)</f>
        <v>Hell Clock</v>
      </c>
      <c r="B339">
        <f>IF($A339="","",games!$B339)</f>
        <v>2025</v>
      </c>
      <c r="C339" t="str">
        <f>IF($A339="","",games!$C339)</f>
        <v>Action</v>
      </c>
      <c r="D339">
        <f>IF($A339="","",COUNTIF(connections!$A$2:$A$1205,$A339)+COUNTIF(connections!$B$2:$B$1205,$A339))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IF(connections!$A339="","",IFERROR(INDEX(games!$B$2:$B$846,MATCH(connections!$A339,games!$A$2:$A$846,0)),""))</f>
        <v>2012</v>
      </c>
      <c r="U339">
        <f>IF(connections!$A339="","",IFERROR(INDEX(games!$B$2:$B$846,MATCH(connections!$B339,games!$A$2:$A$846,0)),""))</f>
        <v>2026</v>
      </c>
      <c r="V339">
        <f t="shared" si="71"/>
        <v>14</v>
      </c>
    </row>
    <row r="340" spans="1:22" x14ac:dyDescent="0.25">
      <c r="A340" t="str">
        <f>IF(games!$A340="","",games!$A340)</f>
        <v>Hell Maiden</v>
      </c>
      <c r="B340">
        <f>IF($A340="","",games!$B340)</f>
        <v>2026</v>
      </c>
      <c r="C340" t="str">
        <f>IF($A340="","",games!$C340)</f>
        <v>Action</v>
      </c>
      <c r="D340">
        <f>IF($A340="","",COUNTIF(connections!$A$2:$A$1205,$A340)+COUNTIF(connections!$B$2:$B$1205,$A340))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IF(connections!$A340="","",IFERROR(INDEX(games!$B$2:$B$846,MATCH(connections!$A340,games!$A$2:$A$846,0)),""))</f>
        <v>2012</v>
      </c>
      <c r="U340">
        <f>IF(connections!$A340="","",IFERROR(INDEX(games!$B$2:$B$846,MATCH(connections!$B340,games!$A$2:$A$846,0)),""))</f>
        <v>2015</v>
      </c>
      <c r="V340">
        <f t="shared" si="71"/>
        <v>3</v>
      </c>
    </row>
    <row r="341" spans="1:22" x14ac:dyDescent="0.25">
      <c r="A341" t="str">
        <f>IF(games!$A341="","",games!$A341)</f>
        <v>Hellboy Web of Wyrd</v>
      </c>
      <c r="B341">
        <f>IF($A341="","",games!$B341)</f>
        <v>2023</v>
      </c>
      <c r="C341" t="str">
        <f>IF($A341="","",games!$C341)</f>
        <v>Action</v>
      </c>
      <c r="D341">
        <f>IF($A341="","",COUNTIF(connections!$A$2:$A$1205,$A341)+COUNTIF(connections!$B$2:$B$1205,$A341))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IF(connections!$A341="","",IFERROR(INDEX(games!$B$2:$B$846,MATCH(connections!$A341,games!$A$2:$A$846,0)),""))</f>
        <v>2012</v>
      </c>
      <c r="U341">
        <f>IF(connections!$A341="","",IFERROR(INDEX(games!$B$2:$B$846,MATCH(connections!$B341,games!$A$2:$A$846,0)),""))</f>
        <v>2019</v>
      </c>
      <c r="V341">
        <f t="shared" si="71"/>
        <v>7</v>
      </c>
    </row>
    <row r="342" spans="1:22" x14ac:dyDescent="0.25">
      <c r="A342" t="str">
        <f>IF(games!$A342="","",games!$A342)</f>
        <v>Hellcard</v>
      </c>
      <c r="B342">
        <f>IF($A342="","",games!$B342)</f>
        <v>2023</v>
      </c>
      <c r="C342" t="str">
        <f>IF($A342="","",games!$C342)</f>
        <v>Deckbuilder</v>
      </c>
      <c r="D342">
        <f>IF($A342="","",COUNTIF(connections!$A$2:$A$1205,$A342)+COUNTIF(connections!$B$2:$B$1205,$A342))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IF(connections!$A342="","",IFERROR(INDEX(games!$B$2:$B$846,MATCH(connections!$A342,games!$A$2:$A$846,0)),""))</f>
        <v>2012</v>
      </c>
      <c r="U342">
        <f>IF(connections!$A342="","",IFERROR(INDEX(games!$B$2:$B$846,MATCH(connections!$B342,games!$A$2:$A$846,0)),""))</f>
        <v>2018</v>
      </c>
      <c r="V342">
        <f t="shared" si="71"/>
        <v>6</v>
      </c>
    </row>
    <row r="343" spans="1:22" x14ac:dyDescent="0.25">
      <c r="A343" t="str">
        <f>IF(games!$A343="","",games!$A343)</f>
        <v>Helskate</v>
      </c>
      <c r="B343">
        <f>IF($A343="","",games!$B343)</f>
        <v>2025</v>
      </c>
      <c r="C343" t="str">
        <f>IF($A343="","",games!$C343)</f>
        <v>Action</v>
      </c>
      <c r="D343">
        <f>IF($A343="","",COUNTIF(connections!$A$2:$A$1205,$A343)+COUNTIF(connections!$B$2:$B$1205,$A343))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IF(connections!$A343="","",IFERROR(INDEX(games!$B$2:$B$846,MATCH(connections!$A343,games!$A$2:$A$846,0)),""))</f>
        <v>2012</v>
      </c>
      <c r="U343">
        <f>IF(connections!$A343="","",IFERROR(INDEX(games!$B$2:$B$846,MATCH(connections!$B343,games!$A$2:$A$846,0)),""))</f>
        <v>2023</v>
      </c>
      <c r="V343">
        <f t="shared" si="71"/>
        <v>11</v>
      </c>
    </row>
    <row r="344" spans="1:22" x14ac:dyDescent="0.25">
      <c r="A344" t="str">
        <f>IF(games!$A344="","",games!$A344)</f>
        <v>Heretic's Fork</v>
      </c>
      <c r="B344">
        <f>IF($A344="","",games!$B344)</f>
        <v>2023</v>
      </c>
      <c r="C344" t="str">
        <f>IF($A344="","",games!$C344)</f>
        <v>Action</v>
      </c>
      <c r="D344">
        <f>IF($A344="","",COUNTIF(connections!$A$2:$A$1205,$A344)+COUNTIF(connections!$B$2:$B$1205,$A344))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IF(connections!$A344="","",IFERROR(INDEX(games!$B$2:$B$846,MATCH(connections!$A344,games!$A$2:$A$846,0)),""))</f>
        <v>2012</v>
      </c>
      <c r="U344">
        <f>IF(connections!$A344="","",IFERROR(INDEX(games!$B$2:$B$846,MATCH(connections!$B344,games!$A$2:$A$846,0)),""))</f>
        <v>2014</v>
      </c>
      <c r="V344">
        <f t="shared" si="71"/>
        <v>2</v>
      </c>
    </row>
    <row r="345" spans="1:22" x14ac:dyDescent="0.25">
      <c r="A345" t="str">
        <f>IF(games!$A345="","",games!$A345)</f>
        <v>Heroes of Hammerwatch</v>
      </c>
      <c r="B345">
        <f>IF($A345="","",games!$B345)</f>
        <v>2018</v>
      </c>
      <c r="C345" t="str">
        <f>IF($A345="","",games!$C345)</f>
        <v>Action</v>
      </c>
      <c r="D345">
        <f>IF($A345="","",COUNTIF(connections!$A$2:$A$1205,$A345)+COUNTIF(connections!$B$2:$B$1205,$A345))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IF(connections!$A345="","",IFERROR(INDEX(games!$B$2:$B$846,MATCH(connections!$A345,games!$A$2:$A$846,0)),""))</f>
        <v>2012</v>
      </c>
      <c r="U345">
        <f>IF(connections!$A345="","",IFERROR(INDEX(games!$B$2:$B$846,MATCH(connections!$B345,games!$A$2:$A$846,0)),""))</f>
        <v>2018</v>
      </c>
      <c r="V345">
        <f t="shared" si="71"/>
        <v>6</v>
      </c>
    </row>
    <row r="346" spans="1:22" x14ac:dyDescent="0.25">
      <c r="A346" t="str">
        <f>IF(games!$A346="","",games!$A346)</f>
        <v>Heroes of Hammerwatch II</v>
      </c>
      <c r="B346">
        <f>IF($A346="","",games!$B346)</f>
        <v>2025</v>
      </c>
      <c r="C346" t="str">
        <f>IF($A346="","",games!$C346)</f>
        <v>Action</v>
      </c>
      <c r="D346">
        <f>IF($A346="","",COUNTIF(connections!$A$2:$A$1205,$A346)+COUNTIF(connections!$B$2:$B$1205,$A346))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IF(connections!$A346="","",IFERROR(INDEX(games!$B$2:$B$846,MATCH(connections!$A346,games!$A$2:$A$846,0)),""))</f>
        <v>2012</v>
      </c>
      <c r="U346">
        <f>IF(connections!$A346="","",IFERROR(INDEX(games!$B$2:$B$846,MATCH(connections!$B346,games!$A$2:$A$846,0)),""))</f>
        <v>2024</v>
      </c>
      <c r="V346">
        <f t="shared" si="71"/>
        <v>12</v>
      </c>
    </row>
    <row r="347" spans="1:22" x14ac:dyDescent="0.25">
      <c r="A347" t="str">
        <f>IF(games!$A347="","",games!$A347)</f>
        <v>Hexagod</v>
      </c>
      <c r="B347">
        <f>IF($A347="","",games!$B347)</f>
        <v>2025</v>
      </c>
      <c r="C347" t="str">
        <f>IF($A347="","",games!$C347)</f>
        <v>Strategy</v>
      </c>
      <c r="D347">
        <f>IF($A347="","",COUNTIF(connections!$A$2:$A$1205,$A347)+COUNTIF(connections!$B$2:$B$1205,$A347))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IF(connections!$A347="","",IFERROR(INDEX(games!$B$2:$B$846,MATCH(connections!$A347,games!$A$2:$A$846,0)),""))</f>
        <v>2012</v>
      </c>
      <c r="U347">
        <f>IF(connections!$A347="","",IFERROR(INDEX(games!$B$2:$B$846,MATCH(connections!$B347,games!$A$2:$A$846,0)),""))</f>
        <v>2020</v>
      </c>
      <c r="V347">
        <f t="shared" si="71"/>
        <v>8</v>
      </c>
    </row>
    <row r="348" spans="1:22" x14ac:dyDescent="0.25">
      <c r="A348" t="str">
        <f>IF(games!$A348="","",games!$A348)</f>
        <v>Hive Blight</v>
      </c>
      <c r="B348">
        <f>IF($A348="","",games!$B348)</f>
        <v>2026</v>
      </c>
      <c r="C348" t="str">
        <f>IF($A348="","",games!$C348)</f>
        <v>Strategy</v>
      </c>
      <c r="D348">
        <f>IF($A348="","",COUNTIF(connections!$A$2:$A$1205,$A348)+COUNTIF(connections!$B$2:$B$1205,$A348))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IF(connections!$A348="","",IFERROR(INDEX(games!$B$2:$B$846,MATCH(connections!$A348,games!$A$2:$A$846,0)),""))</f>
        <v>2012</v>
      </c>
      <c r="U348">
        <f>IF(connections!$A348="","",IFERROR(INDEX(games!$B$2:$B$846,MATCH(connections!$B348,games!$A$2:$A$846,0)),""))</f>
        <v>2014</v>
      </c>
      <c r="V348">
        <f t="shared" si="71"/>
        <v>2</v>
      </c>
    </row>
    <row r="349" spans="1:22" x14ac:dyDescent="0.25">
      <c r="A349" t="str">
        <f>IF(games!$A349="","",games!$A349)</f>
        <v>HoloCure: Save the Fans!</v>
      </c>
      <c r="B349">
        <f>IF($A349="","",games!$B349)</f>
        <v>2023</v>
      </c>
      <c r="C349" t="str">
        <f>IF($A349="","",games!$C349)</f>
        <v>Action</v>
      </c>
      <c r="D349">
        <f>IF($A349="","",COUNTIF(connections!$A$2:$A$1205,$A349)+COUNTIF(connections!$B$2:$B$1205,$A349))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IF(connections!$A349="","",IFERROR(INDEX(games!$B$2:$B$846,MATCH(connections!$A349,games!$A$2:$A$846,0)),""))</f>
        <v>2012</v>
      </c>
      <c r="U349">
        <f>IF(connections!$A349="","",IFERROR(INDEX(games!$B$2:$B$846,MATCH(connections!$B349,games!$A$2:$A$846,0)),""))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IF($A350="","",COUNTIF(connections!$A$2:$A$1205,$A350)+COUNTIF(connections!$B$2:$B$1205,$A350))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IF(connections!$A350="","",IFERROR(INDEX(games!$B$2:$B$846,MATCH(connections!$A350,games!$A$2:$A$846,0)),""))</f>
        <v>2012</v>
      </c>
      <c r="U350">
        <f>IF(connections!$A350="","",IFERROR(INDEX(games!$B$2:$B$846,MATCH(connections!$B350,games!$A$2:$A$846,0)),""))</f>
        <v>2021</v>
      </c>
      <c r="V350">
        <f t="shared" si="71"/>
        <v>9</v>
      </c>
    </row>
    <row r="351" spans="1:22" x14ac:dyDescent="0.25">
      <c r="A351" t="str">
        <f>IF(games!$A351="","",games!$A351)</f>
        <v>Hoplite</v>
      </c>
      <c r="B351">
        <f>IF($A351="","",games!$B351)</f>
        <v>2013</v>
      </c>
      <c r="C351" t="str">
        <f>IF($A351="","",games!$C351)</f>
        <v>Traditional</v>
      </c>
      <c r="D351">
        <f>IF($A351="","",COUNTIF(connections!$A$2:$A$1205,$A351)+COUNTIF(connections!$B$2:$B$1205,$A351))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IF(connections!$A351="","",IFERROR(INDEX(games!$B$2:$B$846,MATCH(connections!$A351,games!$A$2:$A$846,0)),""))</f>
        <v>2012</v>
      </c>
      <c r="U351">
        <f>IF(connections!$A351="","",IFERROR(INDEX(games!$B$2:$B$846,MATCH(connections!$B351,games!$A$2:$A$846,0)),""))</f>
        <v>2018</v>
      </c>
      <c r="V351">
        <f t="shared" si="71"/>
        <v>6</v>
      </c>
    </row>
    <row r="352" spans="1:22" x14ac:dyDescent="0.25">
      <c r="A352" t="str">
        <f>IF(games!$A352="","",games!$A352)</f>
        <v>House of Necrosis</v>
      </c>
      <c r="B352">
        <f>IF($A352="","",games!$B352)</f>
        <v>2025</v>
      </c>
      <c r="C352" t="str">
        <f>IF($A352="","",games!$C352)</f>
        <v>Traditional</v>
      </c>
      <c r="D352">
        <f>IF($A352="","",COUNTIF(connections!$A$2:$A$1205,$A352)+COUNTIF(connections!$B$2:$B$1205,$A352))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IF(connections!$A352="","",IFERROR(INDEX(games!$B$2:$B$846,MATCH(connections!$A352,games!$A$2:$A$846,0)),""))</f>
        <v>2012</v>
      </c>
      <c r="U352">
        <f>IF(connections!$A352="","",IFERROR(INDEX(games!$B$2:$B$846,MATCH(connections!$B352,games!$A$2:$A$846,0)),""))</f>
        <v>2024</v>
      </c>
      <c r="V352">
        <f t="shared" si="71"/>
        <v>12</v>
      </c>
    </row>
    <row r="353" spans="1:22" x14ac:dyDescent="0.25">
      <c r="A353" t="str">
        <f>IF(games!$A353="","",games!$A353)</f>
        <v>How Many Dudes?</v>
      </c>
      <c r="B353">
        <f>IF($A353="","",games!$B353)</f>
        <v>2026</v>
      </c>
      <c r="C353" t="str">
        <f>IF($A353="","",games!$C353)</f>
        <v>Action</v>
      </c>
      <c r="D353">
        <f>IF($A353="","",COUNTIF(connections!$A$2:$A$1205,$A353)+COUNTIF(connections!$B$2:$B$1205,$A353))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IF(connections!$A353="","",IFERROR(INDEX(games!$B$2:$B$846,MATCH(connections!$A353,games!$A$2:$A$846,0)),""))</f>
        <v>2012</v>
      </c>
      <c r="U353">
        <f>IF(connections!$A353="","",IFERROR(INDEX(games!$B$2:$B$846,MATCH(connections!$B353,games!$A$2:$A$846,0)),""))</f>
        <v>2015</v>
      </c>
      <c r="V353">
        <f t="shared" si="71"/>
        <v>3</v>
      </c>
    </row>
    <row r="354" spans="1:22" x14ac:dyDescent="0.25">
      <c r="A354" t="str">
        <f>IF(games!$A354="","",games!$A354)</f>
        <v>Hungry Horrors</v>
      </c>
      <c r="B354">
        <f>IF($A354="","",games!$B354)</f>
        <v>2026</v>
      </c>
      <c r="C354" t="str">
        <f>IF($A354="","",games!$C354)</f>
        <v>Deckbuilder</v>
      </c>
      <c r="D354">
        <f>IF($A354="","",COUNTIF(connections!$A$2:$A$1205,$A354)+COUNTIF(connections!$B$2:$B$1205,$A354))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IF(connections!$A354="","",IFERROR(INDEX(games!$B$2:$B$846,MATCH(connections!$A354,games!$A$2:$A$846,0)),""))</f>
        <v>2012</v>
      </c>
      <c r="U354">
        <f>IF(connections!$A354="","",IFERROR(INDEX(games!$B$2:$B$846,MATCH(connections!$B354,games!$A$2:$A$846,0)),""))</f>
        <v>2019</v>
      </c>
      <c r="V354">
        <f t="shared" si="71"/>
        <v>7</v>
      </c>
    </row>
    <row r="355" spans="1:22" x14ac:dyDescent="0.25">
      <c r="A355" t="str">
        <f>IF(games!$A355="","",games!$A355)</f>
        <v>Hunter X Hunter: Nen X Survivor</v>
      </c>
      <c r="B355">
        <f>IF($A355="","",games!$B355)</f>
        <v>2026</v>
      </c>
      <c r="C355" t="str">
        <f>IF($A355="","",games!$C355)</f>
        <v>Action</v>
      </c>
      <c r="D355">
        <f>IF($A355="","",COUNTIF(connections!$A$2:$A$1205,$A355)+COUNTIF(connections!$B$2:$B$1205,$A355))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IF(connections!$A355="","",IFERROR(INDEX(games!$B$2:$B$846,MATCH(connections!$A355,games!$A$2:$A$846,0)),""))</f>
        <v>2012</v>
      </c>
      <c r="U355">
        <f>IF(connections!$A355="","",IFERROR(INDEX(games!$B$2:$B$846,MATCH(connections!$B355,games!$A$2:$A$846,0)),""))</f>
        <v>2020</v>
      </c>
      <c r="V355">
        <f t="shared" si="71"/>
        <v>8</v>
      </c>
    </row>
    <row r="356" spans="1:22" x14ac:dyDescent="0.25">
      <c r="A356" t="str">
        <f>IF(games!$A356="","",games!$A356)</f>
        <v>HyperRogue</v>
      </c>
      <c r="B356">
        <f>IF($A356="","",games!$B356)</f>
        <v>2012</v>
      </c>
      <c r="C356" t="str">
        <f>IF($A356="","",games!$C356)</f>
        <v>Traditional</v>
      </c>
      <c r="D356">
        <f>IF($A356="","",COUNTIF(connections!$A$2:$A$1205,$A356)+COUNTIF(connections!$B$2:$B$1205,$A356))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IF(connections!$A356="","",IFERROR(INDEX(games!$B$2:$B$846,MATCH(connections!$A356,games!$A$2:$A$846,0)),""))</f>
        <v>2012</v>
      </c>
      <c r="U356">
        <f>IF(connections!$A356="","",IFERROR(INDEX(games!$B$2:$B$846,MATCH(connections!$B356,games!$A$2:$A$846,0)),""))</f>
        <v>2014</v>
      </c>
      <c r="V356">
        <f t="shared" si="71"/>
        <v>2</v>
      </c>
    </row>
    <row r="357" spans="1:22" x14ac:dyDescent="0.25">
      <c r="A357" t="str">
        <f>IF(games!$A357="","",games!$A357)</f>
        <v>I Am Legion: Stand Survivors</v>
      </c>
      <c r="B357">
        <f>IF($A357="","",games!$B357)</f>
        <v>2025</v>
      </c>
      <c r="C357" t="str">
        <f>IF($A357="","",games!$C357)</f>
        <v>Action</v>
      </c>
      <c r="D357">
        <f>IF($A357="","",COUNTIF(connections!$A$2:$A$1205,$A357)+COUNTIF(connections!$B$2:$B$1205,$A357))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IF(connections!$A357="","",IFERROR(INDEX(games!$B$2:$B$846,MATCH(connections!$A357,games!$A$2:$A$846,0)),""))</f>
        <v>2012</v>
      </c>
      <c r="U357">
        <f>IF(connections!$A357="","",IFERROR(INDEX(games!$B$2:$B$846,MATCH(connections!$B357,games!$A$2:$A$846,0)),""))</f>
        <v>2014</v>
      </c>
      <c r="V357">
        <f t="shared" si="71"/>
        <v>2</v>
      </c>
    </row>
    <row r="358" spans="1:22" x14ac:dyDescent="0.25">
      <c r="A358" t="str">
        <f>IF(games!$A358="","",games!$A358)</f>
        <v>I Am Overburdened</v>
      </c>
      <c r="B358">
        <f>IF($A358="","",games!$B358)</f>
        <v>2017</v>
      </c>
      <c r="C358" t="str">
        <f>IF($A358="","",games!$C358)</f>
        <v>Traditional</v>
      </c>
      <c r="D358">
        <f>IF($A358="","",COUNTIF(connections!$A$2:$A$1205,$A358)+COUNTIF(connections!$B$2:$B$1205,$A358))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IF(connections!$A358="","",IFERROR(INDEX(games!$B$2:$B$846,MATCH(connections!$A358,games!$A$2:$A$846,0)),""))</f>
        <v>2012</v>
      </c>
      <c r="U358">
        <f>IF(connections!$A358="","",IFERROR(INDEX(games!$B$2:$B$846,MATCH(connections!$B358,games!$A$2:$A$846,0)),""))</f>
        <v>2024</v>
      </c>
      <c r="V358">
        <f t="shared" si="71"/>
        <v>12</v>
      </c>
    </row>
    <row r="359" spans="1:22" x14ac:dyDescent="0.25">
      <c r="A359" t="str">
        <f>IF(games!$A359="","",games!$A359)</f>
        <v>Icewall</v>
      </c>
      <c r="B359">
        <f>IF($A359="","",games!$B359)</f>
        <v>2022</v>
      </c>
      <c r="C359" t="str">
        <f>IF($A359="","",games!$C359)</f>
        <v>Action</v>
      </c>
      <c r="D359">
        <f>IF($A359="","",COUNTIF(connections!$A$2:$A$1205,$A359)+COUNTIF(connections!$B$2:$B$1205,$A359))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IF(connections!$A359="","",IFERROR(INDEX(games!$B$2:$B$846,MATCH(connections!$A359,games!$A$2:$A$846,0)),""))</f>
        <v>2012</v>
      </c>
      <c r="U359">
        <f>IF(connections!$A359="","",IFERROR(INDEX(games!$B$2:$B$846,MATCH(connections!$B359,games!$A$2:$A$846,0)),""))</f>
        <v>2025</v>
      </c>
      <c r="V359">
        <f t="shared" si="71"/>
        <v>13</v>
      </c>
    </row>
    <row r="360" spans="1:22" x14ac:dyDescent="0.25">
      <c r="A360" t="str">
        <f>IF(games!$A360="","",games!$A360)</f>
        <v>Immortal Redneck</v>
      </c>
      <c r="B360">
        <f>IF($A360="","",games!$B360)</f>
        <v>2017</v>
      </c>
      <c r="C360" t="str">
        <f>IF($A360="","",games!$C360)</f>
        <v>Action</v>
      </c>
      <c r="D360">
        <f>IF($A360="","",COUNTIF(connections!$A$2:$A$1205,$A360)+COUNTIF(connections!$B$2:$B$1205,$A360))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IF(connections!$A360="","",IFERROR(INDEX(games!$B$2:$B$846,MATCH(connections!$A360,games!$A$2:$A$846,0)),""))</f>
        <v>2012</v>
      </c>
      <c r="U360">
        <f>IF(connections!$A360="","",IFERROR(INDEX(games!$B$2:$B$846,MATCH(connections!$B360,games!$A$2:$A$846,0)),""))</f>
        <v>2017</v>
      </c>
      <c r="V360">
        <f t="shared" si="71"/>
        <v>5</v>
      </c>
    </row>
    <row r="361" spans="1:22" x14ac:dyDescent="0.25">
      <c r="A361" t="str">
        <f>IF(games!$A361="","",games!$A361)</f>
        <v>In Celebration of Violence</v>
      </c>
      <c r="B361">
        <f>IF($A361="","",games!$B361)</f>
        <v>2016</v>
      </c>
      <c r="C361" t="str">
        <f>IF($A361="","",games!$C361)</f>
        <v>Action</v>
      </c>
      <c r="D361">
        <f>IF($A361="","",COUNTIF(connections!$A$2:$A$1205,$A361)+COUNTIF(connections!$B$2:$B$1205,$A361))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IF(connections!$A361="","",IFERROR(INDEX(games!$B$2:$B$846,MATCH(connections!$A361,games!$A$2:$A$846,0)),""))</f>
        <v>2012</v>
      </c>
      <c r="U361">
        <f>IF(connections!$A361="","",IFERROR(INDEX(games!$B$2:$B$846,MATCH(connections!$B361,games!$A$2:$A$846,0)),""))</f>
        <v>2018</v>
      </c>
      <c r="V361">
        <f t="shared" si="71"/>
        <v>6</v>
      </c>
    </row>
    <row r="362" spans="1:22" x14ac:dyDescent="0.25">
      <c r="A362" t="str">
        <f>IF(games!$A362="","",games!$A362)</f>
        <v>Incursion</v>
      </c>
      <c r="B362">
        <f>IF($A362="","",games!$B362)</f>
        <v>2007</v>
      </c>
      <c r="C362" t="str">
        <f>IF($A362="","",games!$C362)</f>
        <v>Traditional</v>
      </c>
      <c r="D362">
        <f>IF($A362="","",COUNTIF(connections!$A$2:$A$1205,$A362)+COUNTIF(connections!$B$2:$B$1205,$A362))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IF(connections!$A362="","",IFERROR(INDEX(games!$B$2:$B$846,MATCH(connections!$A362,games!$A$2:$A$846,0)),""))</f>
        <v>2012</v>
      </c>
      <c r="U362">
        <f>IF(connections!$A362="","",IFERROR(INDEX(games!$B$2:$B$846,MATCH(connections!$B362,games!$A$2:$A$846,0)),""))</f>
        <v>2016</v>
      </c>
      <c r="V362">
        <f t="shared" si="71"/>
        <v>4</v>
      </c>
    </row>
    <row r="363" spans="1:22" x14ac:dyDescent="0.25">
      <c r="A363" t="str">
        <f>IF(games!$A363="","",games!$A363)</f>
        <v>Infinite Space III: Sea of Stars</v>
      </c>
      <c r="B363">
        <f>IF($A363="","",games!$B363)</f>
        <v>2015</v>
      </c>
      <c r="C363" t="str">
        <f>IF($A363="","",games!$C363)</f>
        <v>Strategy</v>
      </c>
      <c r="D363">
        <f>IF($A363="","",COUNTIF(connections!$A$2:$A$1205,$A363)+COUNTIF(connections!$B$2:$B$1205,$A363))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IF(connections!$A363="","",IFERROR(INDEX(games!$B$2:$B$846,MATCH(connections!$A363,games!$A$2:$A$846,0)),""))</f>
        <v>2012</v>
      </c>
      <c r="U363">
        <f>IF(connections!$A363="","",IFERROR(INDEX(games!$B$2:$B$846,MATCH(connections!$B363,games!$A$2:$A$846,0)),""))</f>
        <v>2015</v>
      </c>
      <c r="V363">
        <f t="shared" si="71"/>
        <v>3</v>
      </c>
    </row>
    <row r="364" spans="1:22" x14ac:dyDescent="0.25">
      <c r="A364" t="str">
        <f>IF(games!$A364="","",games!$A364)</f>
        <v>Infra Arcana</v>
      </c>
      <c r="B364">
        <f>IF($A364="","",games!$B364)</f>
        <v>2011</v>
      </c>
      <c r="C364" t="str">
        <f>IF($A364="","",games!$C364)</f>
        <v>Traditional</v>
      </c>
      <c r="D364">
        <f>IF($A364="","",COUNTIF(connections!$A$2:$A$1205,$A364)+COUNTIF(connections!$B$2:$B$1205,$A364))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IF(connections!$A364="","",IFERROR(INDEX(games!$B$2:$B$846,MATCH(connections!$A364,games!$A$2:$A$846,0)),""))</f>
        <v>2012</v>
      </c>
      <c r="U364">
        <f>IF(connections!$A364="","",IFERROR(INDEX(games!$B$2:$B$846,MATCH(connections!$B364,games!$A$2:$A$846,0)),""))</f>
        <v>2016</v>
      </c>
      <c r="V364">
        <f t="shared" si="71"/>
        <v>4</v>
      </c>
    </row>
    <row r="365" spans="1:22" x14ac:dyDescent="0.25">
      <c r="A365" t="str">
        <f>IF(games!$A365="","",games!$A365)</f>
        <v>Inkbound</v>
      </c>
      <c r="B365">
        <f>IF($A365="","",games!$B365)</f>
        <v>2023</v>
      </c>
      <c r="C365" t="str">
        <f>IF($A365="","",games!$C365)</f>
        <v>Strategy</v>
      </c>
      <c r="D365">
        <f>IF($A365="","",COUNTIF(connections!$A$2:$A$1205,$A365)+COUNTIF(connections!$B$2:$B$1205,$A365))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IF(connections!$A365="","",IFERROR(INDEX(games!$B$2:$B$846,MATCH(connections!$A365,games!$A$2:$A$846,0)),""))</f>
        <v>2012</v>
      </c>
      <c r="U365">
        <f>IF(connections!$A365="","",IFERROR(INDEX(games!$B$2:$B$846,MATCH(connections!$B365,games!$A$2:$A$846,0)),""))</f>
        <v>2022</v>
      </c>
      <c r="V365">
        <f t="shared" si="71"/>
        <v>10</v>
      </c>
    </row>
    <row r="366" spans="1:22" x14ac:dyDescent="0.25">
      <c r="A366" t="str">
        <f>IF(games!$A366="","",games!$A366)</f>
        <v>Inscryption</v>
      </c>
      <c r="B366">
        <f>IF($A366="","",games!$B366)</f>
        <v>2021</v>
      </c>
      <c r="C366" t="str">
        <f>IF($A366="","",games!$C366)</f>
        <v>Deckbuilder</v>
      </c>
      <c r="D366">
        <f>IF($A366="","",COUNTIF(connections!$A$2:$A$1205,$A366)+COUNTIF(connections!$B$2:$B$1205,$A366))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IF(connections!$A366="","",IFERROR(INDEX(games!$B$2:$B$846,MATCH(connections!$A366,games!$A$2:$A$846,0)),""))</f>
        <v>2012</v>
      </c>
      <c r="U366">
        <f>IF(connections!$A366="","",IFERROR(INDEX(games!$B$2:$B$846,MATCH(connections!$B366,games!$A$2:$A$846,0)),""))</f>
        <v>2021</v>
      </c>
      <c r="V366">
        <f t="shared" si="71"/>
        <v>9</v>
      </c>
    </row>
    <row r="367" spans="1:22" x14ac:dyDescent="0.25">
      <c r="A367" t="str">
        <f>IF(games!$A367="","",games!$A367)</f>
        <v>Insurmountable</v>
      </c>
      <c r="B367">
        <f>IF($A367="","",games!$B367)</f>
        <v>2021</v>
      </c>
      <c r="C367" t="str">
        <f>IF($A367="","",games!$C367)</f>
        <v>Strategy</v>
      </c>
      <c r="D367">
        <f>IF($A367="","",COUNTIF(connections!$A$2:$A$1205,$A367)+COUNTIF(connections!$B$2:$B$1205,$A367))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IF(connections!$A367="","",IFERROR(INDEX(games!$B$2:$B$846,MATCH(connections!$A367,games!$A$2:$A$846,0)),""))</f>
        <v>2012</v>
      </c>
      <c r="U367">
        <f>IF(connections!$A367="","",IFERROR(INDEX(games!$B$2:$B$846,MATCH(connections!$B367,games!$A$2:$A$846,0)),""))</f>
        <v>2019</v>
      </c>
      <c r="V367">
        <f t="shared" si="71"/>
        <v>7</v>
      </c>
    </row>
    <row r="368" spans="1:22" x14ac:dyDescent="0.25">
      <c r="A368" t="str">
        <f>IF(games!$A368="","",games!$A368)</f>
        <v>Into the Breach</v>
      </c>
      <c r="B368">
        <f>IF($A368="","",games!$B368)</f>
        <v>2018</v>
      </c>
      <c r="C368" t="str">
        <f>IF($A368="","",games!$C368)</f>
        <v>Strategy</v>
      </c>
      <c r="D368">
        <f>IF($A368="","",COUNTIF(connections!$A$2:$A$1205,$A368)+COUNTIF(connections!$B$2:$B$1205,$A368))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IF(connections!$A368="","",IFERROR(INDEX(games!$B$2:$B$846,MATCH(connections!$A368,games!$A$2:$A$846,0)),""))</f>
        <v>2012</v>
      </c>
      <c r="U368">
        <f>IF(connections!$A368="","",IFERROR(INDEX(games!$B$2:$B$846,MATCH(connections!$B368,games!$A$2:$A$846,0)),""))</f>
        <v>2019</v>
      </c>
      <c r="V368">
        <f t="shared" si="71"/>
        <v>7</v>
      </c>
    </row>
    <row r="369" spans="1:22" x14ac:dyDescent="0.25">
      <c r="A369" t="str">
        <f>IF(games!$A369="","",games!$A369)</f>
        <v>Into The Grid</v>
      </c>
      <c r="B369">
        <f>IF($A369="","",games!$B369)</f>
        <v>2025</v>
      </c>
      <c r="C369" t="str">
        <f>IF($A369="","",games!$C369)</f>
        <v>Deckbuilder</v>
      </c>
      <c r="D369">
        <f>IF($A369="","",COUNTIF(connections!$A$2:$A$1205,$A369)+COUNTIF(connections!$B$2:$B$1205,$A369))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IF(connections!$A369="","",IFERROR(INDEX(games!$B$2:$B$846,MATCH(connections!$A369,games!$A$2:$A$846,0)),""))</f>
        <v>2012</v>
      </c>
      <c r="U369">
        <f>IF(connections!$A369="","",IFERROR(INDEX(games!$B$2:$B$846,MATCH(connections!$B369,games!$A$2:$A$846,0)),""))</f>
        <v>2024</v>
      </c>
      <c r="V369">
        <f t="shared" si="71"/>
        <v>12</v>
      </c>
    </row>
    <row r="370" spans="1:22" x14ac:dyDescent="0.25">
      <c r="A370" t="str">
        <f>IF(games!$A370="","",games!$A370)</f>
        <v>Iratus: Lord of the Dead</v>
      </c>
      <c r="B370">
        <f>IF($A370="","",games!$B370)</f>
        <v>2019</v>
      </c>
      <c r="C370" t="str">
        <f>IF($A370="","",games!$C370)</f>
        <v>Strategy</v>
      </c>
      <c r="D370">
        <f>IF($A370="","",COUNTIF(connections!$A$2:$A$1205,$A370)+COUNTIF(connections!$B$2:$B$1205,$A370))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IF(connections!$A370="","",IFERROR(INDEX(games!$B$2:$B$846,MATCH(connections!$A370,games!$A$2:$A$846,0)),""))</f>
        <v>2012</v>
      </c>
      <c r="U370">
        <f>IF(connections!$A370="","",IFERROR(INDEX(games!$B$2:$B$846,MATCH(connections!$B370,games!$A$2:$A$846,0)),""))</f>
        <v>2023</v>
      </c>
      <c r="V370">
        <f t="shared" si="71"/>
        <v>11</v>
      </c>
    </row>
    <row r="371" spans="1:22" x14ac:dyDescent="0.25">
      <c r="A371" t="str">
        <f>IF(games!$A371="","",games!$A371)</f>
        <v>Iter Vehemens Ad Necem</v>
      </c>
      <c r="B371">
        <f>IF($A371="","",games!$B371)</f>
        <v>2001</v>
      </c>
      <c r="C371" t="str">
        <f>IF($A371="","",games!$C371)</f>
        <v>Traditional</v>
      </c>
      <c r="D371">
        <f>IF($A371="","",COUNTIF(connections!$A$2:$A$1205,$A371)+COUNTIF(connections!$B$2:$B$1205,$A371))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IF(connections!$A371="","",IFERROR(INDEX(games!$B$2:$B$846,MATCH(connections!$A371,games!$A$2:$A$846,0)),""))</f>
        <v>2010</v>
      </c>
      <c r="U371">
        <f>IF(connections!$A371="","",IFERROR(INDEX(games!$B$2:$B$846,MATCH(connections!$B371,games!$A$2:$A$846,0)),""))</f>
        <v>2010</v>
      </c>
      <c r="V371">
        <f t="shared" si="71"/>
        <v>0</v>
      </c>
    </row>
    <row r="372" spans="1:22" x14ac:dyDescent="0.25">
      <c r="A372" t="str">
        <f>IF(games!$A372="","",games!$A372)</f>
        <v>Izuna 2: The Unemployed Ninja Returns</v>
      </c>
      <c r="B372">
        <f>IF($A372="","",games!$B372)</f>
        <v>2007</v>
      </c>
      <c r="C372" t="str">
        <f>IF($A372="","",games!$C372)</f>
        <v>Traditional</v>
      </c>
      <c r="D372">
        <f>IF($A372="","",COUNTIF(connections!$A$2:$A$1205,$A372)+COUNTIF(connections!$B$2:$B$1205,$A372))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IF(connections!$A372="","",IFERROR(INDEX(games!$B$2:$B$846,MATCH(connections!$A372,games!$A$2:$A$846,0)),""))</f>
        <v>2010</v>
      </c>
      <c r="U372">
        <f>IF(connections!$A372="","",IFERROR(INDEX(games!$B$2:$B$846,MATCH(connections!$B372,games!$A$2:$A$846,0)),""))</f>
        <v>2011</v>
      </c>
      <c r="V372">
        <f t="shared" si="71"/>
        <v>1</v>
      </c>
    </row>
    <row r="373" spans="1:22" x14ac:dyDescent="0.25">
      <c r="A373" t="str">
        <f>IF(games!$A373="","",games!$A373)</f>
        <v>Izuna: Legend of the Unemployed Ninja</v>
      </c>
      <c r="B373">
        <f>IF($A373="","",games!$B373)</f>
        <v>2006</v>
      </c>
      <c r="C373" t="str">
        <f>IF($A373="","",games!$C373)</f>
        <v>Traditional</v>
      </c>
      <c r="D373">
        <f>IF($A373="","",COUNTIF(connections!$A$2:$A$1205,$A373)+COUNTIF(connections!$B$2:$B$1205,$A373))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IF(connections!$A373="","",IFERROR(INDEX(games!$B$2:$B$846,MATCH(connections!$A373,games!$A$2:$A$846,0)),""))</f>
        <v>2010</v>
      </c>
      <c r="U373">
        <f>IF(connections!$A373="","",IFERROR(INDEX(games!$B$2:$B$846,MATCH(connections!$B373,games!$A$2:$A$846,0)),""))</f>
        <v>2011</v>
      </c>
      <c r="V373">
        <f t="shared" si="71"/>
        <v>1</v>
      </c>
    </row>
    <row r="374" spans="1:22" x14ac:dyDescent="0.25">
      <c r="A374" t="str">
        <f>IF(games!$A374="","",games!$A374)</f>
        <v>Jotunnslayer: Hordes of Hel</v>
      </c>
      <c r="B374">
        <f>IF($A374="","",games!$B374)</f>
        <v>2025</v>
      </c>
      <c r="C374" t="str">
        <f>IF($A374="","",games!$C374)</f>
        <v>Action</v>
      </c>
      <c r="D374">
        <f>IF($A374="","",COUNTIF(connections!$A$2:$A$1205,$A374)+COUNTIF(connections!$B$2:$B$1205,$A374))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IF(connections!$A374="","",IFERROR(INDEX(games!$B$2:$B$846,MATCH(connections!$A374,games!$A$2:$A$846,0)),""))</f>
        <v>2010</v>
      </c>
      <c r="U374">
        <f>IF(connections!$A374="","",IFERROR(INDEX(games!$B$2:$B$846,MATCH(connections!$B374,games!$A$2:$A$846,0)),""))</f>
        <v>2010</v>
      </c>
      <c r="V374">
        <f t="shared" si="71"/>
        <v>0</v>
      </c>
    </row>
    <row r="375" spans="1:22" x14ac:dyDescent="0.25">
      <c r="A375" t="str">
        <f>IF(games!$A375="","",games!$A375)</f>
        <v>Juicy Realm</v>
      </c>
      <c r="B375">
        <f>IF($A375="","",games!$B375)</f>
        <v>2018</v>
      </c>
      <c r="C375" t="str">
        <f>IF($A375="","",games!$C375)</f>
        <v>Action</v>
      </c>
      <c r="D375">
        <f>IF($A375="","",COUNTIF(connections!$A$2:$A$1205,$A375)+COUNTIF(connections!$B$2:$B$1205,$A375))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IF(connections!$A375="","",IFERROR(INDEX(games!$B$2:$B$846,MATCH(connections!$A375,games!$A$2:$A$846,0)),""))</f>
        <v>2014</v>
      </c>
      <c r="U375">
        <f>IF(connections!$A375="","",IFERROR(INDEX(games!$B$2:$B$846,MATCH(connections!$B375,games!$A$2:$A$846,0)),""))</f>
        <v>2024</v>
      </c>
      <c r="V375">
        <f t="shared" si="71"/>
        <v>10</v>
      </c>
    </row>
    <row r="376" spans="1:22" x14ac:dyDescent="0.25">
      <c r="A376" t="str">
        <f>IF(games!$A376="","",games!$A376)</f>
        <v>Jupiter Hell</v>
      </c>
      <c r="B376">
        <f>IF($A376="","",games!$B376)</f>
        <v>2019</v>
      </c>
      <c r="C376" t="str">
        <f>IF($A376="","",games!$C376)</f>
        <v>Traditional</v>
      </c>
      <c r="D376">
        <f>IF($A376="","",COUNTIF(connections!$A$2:$A$1205,$A376)+COUNTIF(connections!$B$2:$B$1205,$A376))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IF(connections!$A376="","",IFERROR(INDEX(games!$B$2:$B$846,MATCH(connections!$A376,games!$A$2:$A$846,0)),""))</f>
        <v>2002</v>
      </c>
      <c r="U376">
        <f>IF(connections!$A376="","",IFERROR(INDEX(games!$B$2:$B$846,MATCH(connections!$B376,games!$A$2:$A$846,0)),""))</f>
        <v>2007</v>
      </c>
      <c r="V376">
        <f t="shared" si="71"/>
        <v>5</v>
      </c>
    </row>
    <row r="377" spans="1:22" x14ac:dyDescent="0.25">
      <c r="A377" t="str">
        <f>IF(games!$A377="","",games!$A377)</f>
        <v>Just King</v>
      </c>
      <c r="B377">
        <f>IF($A377="","",games!$B377)</f>
        <v>2023</v>
      </c>
      <c r="C377" t="str">
        <f>IF($A377="","",games!$C377)</f>
        <v>Action</v>
      </c>
      <c r="D377">
        <f>IF($A377="","",COUNTIF(connections!$A$2:$A$1205,$A377)+COUNTIF(connections!$B$2:$B$1205,$A377))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IF(connections!$A377="","",IFERROR(INDEX(games!$B$2:$B$846,MATCH(connections!$A377,games!$A$2:$A$846,0)),""))</f>
        <v>2007</v>
      </c>
      <c r="U377">
        <f>IF(connections!$A377="","",IFERROR(INDEX(games!$B$2:$B$846,MATCH(connections!$B377,games!$A$2:$A$846,0)),""))</f>
        <v>2022</v>
      </c>
      <c r="V377">
        <f t="shared" si="71"/>
        <v>15</v>
      </c>
    </row>
    <row r="378" spans="1:22" x14ac:dyDescent="0.25">
      <c r="A378" t="str">
        <f>IF(games!$A378="","",games!$A378)</f>
        <v>Kādomon: Hyper Auto Battlers</v>
      </c>
      <c r="B378">
        <f>IF($A378="","",games!$B378)</f>
        <v>2024</v>
      </c>
      <c r="C378" t="str">
        <f>IF($A378="","",games!$C378)</f>
        <v>Strategy</v>
      </c>
      <c r="D378">
        <f>IF($A378="","",COUNTIF(connections!$A$2:$A$1205,$A378)+COUNTIF(connections!$B$2:$B$1205,$A378))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IF(connections!$A378="","",IFERROR(INDEX(games!$B$2:$B$846,MATCH(connections!$A378,games!$A$2:$A$846,0)),""))</f>
        <v>2024</v>
      </c>
      <c r="U378">
        <f>IF(connections!$A378="","",IFERROR(INDEX(games!$B$2:$B$846,MATCH(connections!$B378,games!$A$2:$A$846,0)),""))</f>
        <v>2025</v>
      </c>
      <c r="V378">
        <f t="shared" si="71"/>
        <v>1</v>
      </c>
    </row>
    <row r="379" spans="1:22" x14ac:dyDescent="0.25">
      <c r="A379" t="str">
        <f>IF(games!$A379="","",games!$A379)</f>
        <v>Katanaut</v>
      </c>
      <c r="B379">
        <f>IF($A379="","",games!$B379)</f>
        <v>2025</v>
      </c>
      <c r="C379" t="str">
        <f>IF($A379="","",games!$C379)</f>
        <v>Action</v>
      </c>
      <c r="D379">
        <f>IF($A379="","",COUNTIF(connections!$A$2:$A$1205,$A379)+COUNTIF(connections!$B$2:$B$1205,$A379))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IF(connections!$A379="","",IFERROR(INDEX(games!$B$2:$B$846,MATCH(connections!$A379,games!$A$2:$A$846,0)),""))</f>
        <v>2020</v>
      </c>
      <c r="U379">
        <f>IF(connections!$A379="","",IFERROR(INDEX(games!$B$2:$B$846,MATCH(connections!$B379,games!$A$2:$A$846,0)),""))</f>
        <v>2023</v>
      </c>
      <c r="V379">
        <f t="shared" si="71"/>
        <v>3</v>
      </c>
    </row>
    <row r="380" spans="1:22" x14ac:dyDescent="0.25">
      <c r="A380" t="str">
        <f>IF(games!$A380="","",games!$A380)</f>
        <v>KeeperRL</v>
      </c>
      <c r="B380">
        <f>IF($A380="","",games!$B380)</f>
        <v>2015</v>
      </c>
      <c r="C380" t="str">
        <f>IF($A380="","",games!$C380)</f>
        <v>Traditional</v>
      </c>
      <c r="D380">
        <f>IF($A380="","",COUNTIF(connections!$A$2:$A$1205,$A380)+COUNTIF(connections!$B$2:$B$1205,$A380))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IF(connections!$A380="","",IFERROR(INDEX(games!$B$2:$B$846,MATCH(connections!$A380,games!$A$2:$A$846,0)),""))</f>
        <v>2016</v>
      </c>
      <c r="U380">
        <f>IF(connections!$A380="","",IFERROR(INDEX(games!$B$2:$B$846,MATCH(connections!$B380,games!$A$2:$A$846,0)),""))</f>
        <v>2020</v>
      </c>
      <c r="V380">
        <f t="shared" si="71"/>
        <v>4</v>
      </c>
    </row>
    <row r="381" spans="1:22" x14ac:dyDescent="0.25">
      <c r="A381" t="str">
        <f>IF(games!$A381="","",games!$A381)</f>
        <v>Keeper's Toll</v>
      </c>
      <c r="B381">
        <f>IF($A381="","",games!$B381)</f>
        <v>2023</v>
      </c>
      <c r="C381" t="str">
        <f>IF($A381="","",games!$C381)</f>
        <v>Action</v>
      </c>
      <c r="D381">
        <f>IF($A381="","",COUNTIF(connections!$A$2:$A$1205,$A381)+COUNTIF(connections!$B$2:$B$1205,$A381))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IF(connections!$A381="","",IFERROR(INDEX(games!$B$2:$B$846,MATCH(connections!$A381,games!$A$2:$A$846,0)),""))</f>
        <v>2020</v>
      </c>
      <c r="U381">
        <f>IF(connections!$A381="","",IFERROR(INDEX(games!$B$2:$B$846,MATCH(connections!$B381,games!$A$2:$A$846,0)),""))</f>
        <v>2023</v>
      </c>
      <c r="V381">
        <f t="shared" si="71"/>
        <v>3</v>
      </c>
    </row>
    <row r="382" spans="1:22" x14ac:dyDescent="0.25">
      <c r="A382" t="str">
        <f>IF(games!$A382="","",games!$A382)</f>
        <v>Kill the Brickman</v>
      </c>
      <c r="B382">
        <f>IF($A382="","",games!$B382)</f>
        <v>2025</v>
      </c>
      <c r="C382" t="str">
        <f>IF($A382="","",games!$C382)</f>
        <v>Strategy</v>
      </c>
      <c r="D382">
        <f>IF($A382="","",COUNTIF(connections!$A$2:$A$1205,$A382)+COUNTIF(connections!$B$2:$B$1205,$A382))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IF(connections!$A382="","",IFERROR(INDEX(games!$B$2:$B$846,MATCH(connections!$A382,games!$A$2:$A$846,0)),""))</f>
        <v>2021</v>
      </c>
      <c r="U382">
        <f>IF(connections!$A382="","",IFERROR(INDEX(games!$B$2:$B$846,MATCH(connections!$B382,games!$A$2:$A$846,0)),""))</f>
        <v>2024</v>
      </c>
      <c r="V382">
        <f t="shared" si="71"/>
        <v>3</v>
      </c>
    </row>
    <row r="383" spans="1:22" x14ac:dyDescent="0.25">
      <c r="A383" t="str">
        <f>IF(games!$A383="","",games!$A383)</f>
        <v>Kill The Music</v>
      </c>
      <c r="B383">
        <f>IF($A383="","",games!$B383)</f>
        <v>2025</v>
      </c>
      <c r="C383" t="str">
        <f>IF($A383="","",games!$C383)</f>
        <v>Action</v>
      </c>
      <c r="D383">
        <f>IF($A383="","",COUNTIF(connections!$A$2:$A$1205,$A383)+COUNTIF(connections!$B$2:$B$1205,$A383))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IF(connections!$A383="","",IFERROR(INDEX(games!$B$2:$B$846,MATCH(connections!$A383,games!$A$2:$A$846,0)),""))</f>
        <v>2015</v>
      </c>
      <c r="U383">
        <f>IF(connections!$A383="","",IFERROR(INDEX(games!$B$2:$B$846,MATCH(connections!$B383,games!$A$2:$A$846,0)),""))</f>
        <v>2019</v>
      </c>
      <c r="V383">
        <f t="shared" si="71"/>
        <v>4</v>
      </c>
    </row>
    <row r="384" spans="1:22" x14ac:dyDescent="0.25">
      <c r="A384" t="str">
        <f>IF(games!$A384="","",games!$A384)</f>
        <v>Kingdom: New Lands</v>
      </c>
      <c r="B384">
        <f>IF($A384="","",games!$B384)</f>
        <v>2016</v>
      </c>
      <c r="C384" t="str">
        <f>IF($A384="","",games!$C384)</f>
        <v>Strategy</v>
      </c>
      <c r="D384">
        <f>IF($A384="","",COUNTIF(connections!$A$2:$A$1205,$A384)+COUNTIF(connections!$B$2:$B$1205,$A384))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IF(connections!$A384="","",IFERROR(INDEX(games!$B$2:$B$846,MATCH(connections!$A384,games!$A$2:$A$846,0)),""))</f>
        <v>2020</v>
      </c>
      <c r="U384">
        <f>IF(connections!$A384="","",IFERROR(INDEX(games!$B$2:$B$846,MATCH(connections!$B384,games!$A$2:$A$846,0)),""))</f>
        <v>2025</v>
      </c>
      <c r="V384">
        <f t="shared" si="71"/>
        <v>5</v>
      </c>
    </row>
    <row r="385" spans="1:22" x14ac:dyDescent="0.25">
      <c r="A385" t="str">
        <f>IF(games!$A385="","",games!$A385)</f>
        <v>Kitty Survivors: Rogues of Catmere</v>
      </c>
      <c r="B385">
        <f>IF($A385="","",games!$B385)</f>
        <v>2023</v>
      </c>
      <c r="C385" t="str">
        <f>IF($A385="","",games!$C385)</f>
        <v>Action</v>
      </c>
      <c r="D385">
        <f>IF($A385="","",COUNTIF(connections!$A$2:$A$1205,$A385)+COUNTIF(connections!$B$2:$B$1205,$A385))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IF(connections!$A385="","",IFERROR(INDEX(games!$B$2:$B$846,MATCH(connections!$A385,games!$A$2:$A$846,0)),""))</f>
        <v>2020</v>
      </c>
      <c r="U385">
        <f>IF(connections!$A385="","",IFERROR(INDEX(games!$B$2:$B$846,MATCH(connections!$B385,games!$A$2:$A$846,0)),""))</f>
        <v>2025</v>
      </c>
      <c r="V385">
        <f t="shared" si="71"/>
        <v>5</v>
      </c>
    </row>
    <row r="386" spans="1:22" x14ac:dyDescent="0.25">
      <c r="A386" t="str">
        <f>IF(games!$A386="","",games!$A386)</f>
        <v>Knightica</v>
      </c>
      <c r="B386">
        <f>IF($A386="","",games!$B386)</f>
        <v>2025</v>
      </c>
      <c r="C386" t="str">
        <f>IF($A386="","",games!$C386)</f>
        <v>Strategy</v>
      </c>
      <c r="D386">
        <f>IF($A386="","",COUNTIF(connections!$A$2:$A$1205,$A386)+COUNTIF(connections!$B$2:$B$1205,$A386))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IF(connections!$A386="","",IFERROR(INDEX(games!$B$2:$B$846,MATCH(connections!$A386,games!$A$2:$A$846,0)),""))</f>
        <v>2020</v>
      </c>
      <c r="U386">
        <f>IF(connections!$A386="","",IFERROR(INDEX(games!$B$2:$B$846,MATCH(connections!$B386,games!$A$2:$A$846,0)),""))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IF($A387="","",COUNTIF(connections!$A$2:$A$1205,$A387)+COUNTIF(connections!$B$2:$B$1205,$A387))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IF(connections!$A387="","",IFERROR(INDEX(games!$B$2:$B$846,MATCH(connections!$A387,games!$A$2:$A$846,0)),""))</f>
        <v>2020</v>
      </c>
      <c r="U387">
        <f>IF(connections!$A387="","",IFERROR(INDEX(games!$B$2:$B$846,MATCH(connections!$B387,games!$A$2:$A$846,0)),""))</f>
        <v>2024</v>
      </c>
      <c r="V387">
        <f t="shared" si="83"/>
        <v>4</v>
      </c>
    </row>
    <row r="388" spans="1:22" x14ac:dyDescent="0.25">
      <c r="A388" t="str">
        <f>IF(games!$A388="","",games!$A388)</f>
        <v>Knock on the Coffin Lid</v>
      </c>
      <c r="B388">
        <f>IF($A388="","",games!$B388)</f>
        <v>2020</v>
      </c>
      <c r="C388" t="str">
        <f>IF($A388="","",games!$C388)</f>
        <v>Deckbuilder</v>
      </c>
      <c r="D388">
        <f>IF($A388="","",COUNTIF(connections!$A$2:$A$1205,$A388)+COUNTIF(connections!$B$2:$B$1205,$A388))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IF(connections!$A388="","",IFERROR(INDEX(games!$B$2:$B$846,MATCH(connections!$A388,games!$A$2:$A$846,0)),""))</f>
        <v>2022</v>
      </c>
      <c r="U388">
        <f>IF(connections!$A388="","",IFERROR(INDEX(games!$B$2:$B$846,MATCH(connections!$B388,games!$A$2:$A$846,0)),""))</f>
        <v>2025</v>
      </c>
      <c r="V388">
        <f t="shared" si="83"/>
        <v>3</v>
      </c>
    </row>
    <row r="389" spans="1:22" x14ac:dyDescent="0.25">
      <c r="A389" t="str">
        <f>IF(games!$A389="","",games!$A389)</f>
        <v>Labyrinth of Legendary Loot</v>
      </c>
      <c r="B389">
        <f>IF($A389="","",games!$B389)</f>
        <v>2020</v>
      </c>
      <c r="C389" t="str">
        <f>IF($A389="","",games!$C389)</f>
        <v>Traditional</v>
      </c>
      <c r="D389">
        <f>IF($A389="","",COUNTIF(connections!$A$2:$A$1205,$A389)+COUNTIF(connections!$B$2:$B$1205,$A389))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IF(connections!$A389="","",IFERROR(INDEX(games!$B$2:$B$846,MATCH(connections!$A389,games!$A$2:$A$846,0)),""))</f>
        <v>1984</v>
      </c>
      <c r="U389">
        <f>IF(connections!$A389="","",IFERROR(INDEX(games!$B$2:$B$846,MATCH(connections!$B389,games!$A$2:$A$846,0)),""))</f>
        <v>1994</v>
      </c>
      <c r="V389">
        <f t="shared" si="83"/>
        <v>10</v>
      </c>
    </row>
    <row r="390" spans="1:22" x14ac:dyDescent="0.25">
      <c r="A390" t="str">
        <f>IF(games!$A390="","",games!$A390)</f>
        <v>Lake of Creatures</v>
      </c>
      <c r="B390">
        <f>IF($A390="","",games!$B390)</f>
        <v>2024</v>
      </c>
      <c r="C390" t="str">
        <f>IF($A390="","",games!$C390)</f>
        <v>Action</v>
      </c>
      <c r="D390">
        <f>IF($A390="","",COUNTIF(connections!$A$2:$A$1205,$A390)+COUNTIF(connections!$B$2:$B$1205,$A390))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IF(connections!$A390="","",IFERROR(INDEX(games!$B$2:$B$846,MATCH(connections!$A390,games!$A$2:$A$846,0)),""))</f>
        <v>1984</v>
      </c>
      <c r="U390">
        <f>IF(connections!$A390="","",IFERROR(INDEX(games!$B$2:$B$846,MATCH(connections!$B390,games!$A$2:$A$846,0)),""))</f>
        <v>2006</v>
      </c>
      <c r="V390">
        <f t="shared" si="83"/>
        <v>22</v>
      </c>
    </row>
    <row r="391" spans="1:22" x14ac:dyDescent="0.25">
      <c r="A391" t="str">
        <f>IF(games!$A391="","",games!$A391)</f>
        <v>LambdaRogue: The Book of Stars</v>
      </c>
      <c r="B391">
        <f>IF($A391="","",games!$B391)</f>
        <v>2006</v>
      </c>
      <c r="C391" t="str">
        <f>IF($A391="","",games!$C391)</f>
        <v>Traditional</v>
      </c>
      <c r="D391">
        <f>IF($A391="","",COUNTIF(connections!$A$2:$A$1205,$A391)+COUNTIF(connections!$B$2:$B$1205,$A391))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IF(connections!$A391="","",IFERROR(INDEX(games!$B$2:$B$846,MATCH(connections!$A391,games!$A$2:$A$846,0)),""))</f>
        <v>1984</v>
      </c>
      <c r="U391">
        <f>IF(connections!$A391="","",IFERROR(INDEX(games!$B$2:$B$846,MATCH(connections!$B391,games!$A$2:$A$846,0)),""))</f>
        <v>2002</v>
      </c>
      <c r="V391">
        <f t="shared" si="83"/>
        <v>18</v>
      </c>
    </row>
    <row r="392" spans="1:22" x14ac:dyDescent="0.25">
      <c r="A392" t="str">
        <f>IF(games!$A392="","",games!$A392)</f>
        <v>Larn</v>
      </c>
      <c r="B392">
        <f>IF($A392="","",games!$B392)</f>
        <v>1986</v>
      </c>
      <c r="C392" t="str">
        <f>IF($A392="","",games!$C392)</f>
        <v>Traditional</v>
      </c>
      <c r="D392">
        <f>IF($A392="","",COUNTIF(connections!$A$2:$A$1205,$A392)+COUNTIF(connections!$B$2:$B$1205,$A392))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IF(connections!$A392="","",IFERROR(INDEX(games!$B$2:$B$846,MATCH(connections!$A392,games!$A$2:$A$846,0)),""))</f>
        <v>1984</v>
      </c>
      <c r="U392">
        <f>IF(connections!$A392="","",IFERROR(INDEX(games!$B$2:$B$846,MATCH(connections!$B392,games!$A$2:$A$846,0)),""))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IF($A393="","",COUNTIF(connections!$A$2:$A$1205,$A393)+COUNTIF(connections!$B$2:$B$1205,$A393))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IF(connections!$A393="","",IFERROR(INDEX(games!$B$2:$B$846,MATCH(connections!$A393,games!$A$2:$A$846,0)),""))</f>
        <v>1984</v>
      </c>
      <c r="U393">
        <f>IF(connections!$A393="","",IFERROR(INDEX(games!$B$2:$B$846,MATCH(connections!$B393,games!$A$2:$A$846,0)),""))</f>
        <v>2001</v>
      </c>
      <c r="V393">
        <f t="shared" si="83"/>
        <v>17</v>
      </c>
    </row>
    <row r="394" spans="1:22" x14ac:dyDescent="0.25">
      <c r="A394" t="str">
        <f>IF(games!$A394="","",games!$A394)</f>
        <v>Let Him Cook</v>
      </c>
      <c r="B394">
        <f>IF($A394="","",games!$B394)</f>
        <v>2024</v>
      </c>
      <c r="C394" t="str">
        <f>IF($A394="","",games!$C394)</f>
        <v>Action</v>
      </c>
      <c r="D394">
        <f>IF($A394="","",COUNTIF(connections!$A$2:$A$1205,$A394)+COUNTIF(connections!$B$2:$B$1205,$A394))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IF(connections!$A394="","",IFERROR(INDEX(games!$B$2:$B$846,MATCH(connections!$A394,games!$A$2:$A$846,0)),""))</f>
        <v>1984</v>
      </c>
      <c r="U394">
        <f>IF(connections!$A394="","",IFERROR(INDEX(games!$B$2:$B$846,MATCH(connections!$B394,games!$A$2:$A$846,0)),""))</f>
        <v>1987</v>
      </c>
      <c r="V394">
        <f t="shared" si="83"/>
        <v>3</v>
      </c>
    </row>
    <row r="395" spans="1:22" x14ac:dyDescent="0.25">
      <c r="A395" t="str">
        <f>IF(games!$A395="","",games!$A395)</f>
        <v>Lethal Dungeon</v>
      </c>
      <c r="B395">
        <f>IF($A395="","",games!$B395)</f>
        <v>2026</v>
      </c>
      <c r="C395" t="str">
        <f>IF($A395="","",games!$C395)</f>
        <v>Deckbuilder</v>
      </c>
      <c r="D395">
        <f>IF($A395="","",COUNTIF(connections!$A$2:$A$1205,$A395)+COUNTIF(connections!$B$2:$B$1205,$A395))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IF(connections!$A395="","",IFERROR(INDEX(games!$B$2:$B$846,MATCH(connections!$A395,games!$A$2:$A$846,0)),""))</f>
        <v>2022</v>
      </c>
      <c r="U395">
        <f>IF(connections!$A395="","",IFERROR(INDEX(games!$B$2:$B$846,MATCH(connections!$B395,games!$A$2:$A$846,0)),""))</f>
        <v>2025</v>
      </c>
      <c r="V395">
        <f t="shared" si="83"/>
        <v>3</v>
      </c>
    </row>
    <row r="396" spans="1:22" x14ac:dyDescent="0.25">
      <c r="A396" t="str">
        <f>IF(games!$A396="","",games!$A396)</f>
        <v>Let's! Revolution!</v>
      </c>
      <c r="B396">
        <f>IF($A396="","",games!$B396)</f>
        <v>2023</v>
      </c>
      <c r="C396" t="str">
        <f>IF($A396="","",games!$C396)</f>
        <v>Strategy</v>
      </c>
      <c r="D396">
        <f>IF($A396="","",COUNTIF(connections!$A$2:$A$1205,$A396)+COUNTIF(connections!$B$2:$B$1205,$A396))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IF(connections!$A396="","",IFERROR(INDEX(games!$B$2:$B$846,MATCH(connections!$A396,games!$A$2:$A$846,0)),""))</f>
        <v>2019</v>
      </c>
      <c r="U396">
        <f>IF(connections!$A396="","",IFERROR(INDEX(games!$B$2:$B$846,MATCH(connections!$B396,games!$A$2:$A$846,0)),""))</f>
        <v>2024</v>
      </c>
      <c r="V396">
        <f t="shared" si="83"/>
        <v>5</v>
      </c>
    </row>
    <row r="397" spans="1:22" x14ac:dyDescent="0.25">
      <c r="A397" t="str">
        <f>IF(games!$A397="","",games!$A397)</f>
        <v>Linley's Dungeon Crawl</v>
      </c>
      <c r="B397">
        <f>IF($A397="","",games!$B397)</f>
        <v>1995</v>
      </c>
      <c r="C397" t="str">
        <f>IF($A397="","",games!$C397)</f>
        <v>Traditional</v>
      </c>
      <c r="D397">
        <f>IF($A397="","",COUNTIF(connections!$A$2:$A$1205,$A397)+COUNTIF(connections!$B$2:$B$1205,$A397))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IF(connections!$A397="","",IFERROR(INDEX(games!$B$2:$B$846,MATCH(connections!$A397,games!$A$2:$A$846,0)),""))</f>
        <v>2019</v>
      </c>
      <c r="U397">
        <f>IF(connections!$A397="","",IFERROR(INDEX(games!$B$2:$B$846,MATCH(connections!$B397,games!$A$2:$A$846,0)),""))</f>
        <v>2025</v>
      </c>
      <c r="V397">
        <f t="shared" si="83"/>
        <v>6</v>
      </c>
    </row>
    <row r="398" spans="1:22" x14ac:dyDescent="0.25">
      <c r="A398" t="str">
        <f>IF(games!$A398="","",games!$A398)</f>
        <v>Lone Ruin</v>
      </c>
      <c r="B398">
        <f>IF($A398="","",games!$B398)</f>
        <v>2023</v>
      </c>
      <c r="C398" t="str">
        <f>IF($A398="","",games!$C398)</f>
        <v>Action</v>
      </c>
      <c r="D398">
        <f>IF($A398="","",COUNTIF(connections!$A$2:$A$1205,$A398)+COUNTIF(connections!$B$2:$B$1205,$A398))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IF(connections!$A398="","",IFERROR(INDEX(games!$B$2:$B$846,MATCH(connections!$A398,games!$A$2:$A$846,0)),""))</f>
        <v>2019</v>
      </c>
      <c r="U398">
        <f>IF(connections!$A398="","",IFERROR(INDEX(games!$B$2:$B$846,MATCH(connections!$B398,games!$A$2:$A$846,0)),""))</f>
        <v>2022</v>
      </c>
      <c r="V398">
        <f t="shared" si="83"/>
        <v>3</v>
      </c>
    </row>
    <row r="399" spans="1:22" x14ac:dyDescent="0.25">
      <c r="A399" t="str">
        <f>IF(games!$A399="","",games!$A399)</f>
        <v>LoneStar</v>
      </c>
      <c r="B399">
        <f>IF($A399="","",games!$B399)</f>
        <v>2024</v>
      </c>
      <c r="C399" t="str">
        <f>IF($A399="","",games!$C399)</f>
        <v>Strategy</v>
      </c>
      <c r="D399">
        <f>IF($A399="","",COUNTIF(connections!$A$2:$A$1205,$A399)+COUNTIF(connections!$B$2:$B$1205,$A399))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IF(connections!$A399="","",IFERROR(INDEX(games!$B$2:$B$846,MATCH(connections!$A399,games!$A$2:$A$846,0)),""))</f>
        <v>2019</v>
      </c>
      <c r="U399">
        <f>IF(connections!$A399="","",IFERROR(INDEX(games!$B$2:$B$846,MATCH(connections!$B399,games!$A$2:$A$846,0)),""))</f>
        <v>2023</v>
      </c>
      <c r="V399">
        <f t="shared" si="83"/>
        <v>4</v>
      </c>
    </row>
    <row r="400" spans="1:22" x14ac:dyDescent="0.25">
      <c r="A400" t="str">
        <f>IF(games!$A400="","",games!$A400)</f>
        <v>Loop Hero</v>
      </c>
      <c r="B400">
        <f>IF($A400="","",games!$B400)</f>
        <v>2021</v>
      </c>
      <c r="C400" t="str">
        <f>IF($A400="","",games!$C400)</f>
        <v>Strategy</v>
      </c>
      <c r="D400">
        <f>IF($A400="","",COUNTIF(connections!$A$2:$A$1205,$A400)+COUNTIF(connections!$B$2:$B$1205,$A400))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IF(connections!$A400="","",IFERROR(INDEX(games!$B$2:$B$846,MATCH(connections!$A400,games!$A$2:$A$846,0)),""))</f>
        <v>2019</v>
      </c>
      <c r="U400">
        <f>IF(connections!$A400="","",IFERROR(INDEX(games!$B$2:$B$846,MATCH(connections!$B400,games!$A$2:$A$846,0)),""))</f>
        <v>2026</v>
      </c>
      <c r="V400">
        <f t="shared" si="83"/>
        <v>7</v>
      </c>
    </row>
    <row r="401" spans="1:22" x14ac:dyDescent="0.25">
      <c r="A401" t="str">
        <f>IF(games!$A401="","",games!$A401)</f>
        <v>Loot Rascals</v>
      </c>
      <c r="B401">
        <f>IF($A401="","",games!$B401)</f>
        <v>2017</v>
      </c>
      <c r="C401" t="str">
        <f>IF($A401="","",games!$C401)</f>
        <v>Strategy</v>
      </c>
      <c r="D401">
        <f>IF($A401="","",COUNTIF(connections!$A$2:$A$1205,$A401)+COUNTIF(connections!$B$2:$B$1205,$A401))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IF(connections!$A401="","",IFERROR(INDEX(games!$B$2:$B$846,MATCH(connections!$A401,games!$A$2:$A$846,0)),""))</f>
        <v>2019</v>
      </c>
      <c r="U401">
        <f>IF(connections!$A401="","",IFERROR(INDEX(games!$B$2:$B$846,MATCH(connections!$B401,games!$A$2:$A$846,0)),""))</f>
        <v>2023</v>
      </c>
      <c r="V401">
        <f t="shared" si="83"/>
        <v>4</v>
      </c>
    </row>
    <row r="402" spans="1:22" x14ac:dyDescent="0.25">
      <c r="A402" t="str">
        <f>IF(games!$A402="","",games!$A402)</f>
        <v>Loot River</v>
      </c>
      <c r="B402">
        <f>IF($A402="","",games!$B402)</f>
        <v>2022</v>
      </c>
      <c r="C402" t="str">
        <f>IF($A402="","",games!$C402)</f>
        <v>Strategy</v>
      </c>
      <c r="D402">
        <f>IF($A402="","",COUNTIF(connections!$A$2:$A$1205,$A402)+COUNTIF(connections!$B$2:$B$1205,$A402))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IF(connections!$A402="","",IFERROR(INDEX(games!$B$2:$B$846,MATCH(connections!$A402,games!$A$2:$A$846,0)),""))</f>
        <v>2019</v>
      </c>
      <c r="U402">
        <f>IF(connections!$A402="","",IFERROR(INDEX(games!$B$2:$B$846,MATCH(connections!$B402,games!$A$2:$A$846,0)),""))</f>
        <v>2025</v>
      </c>
      <c r="V402">
        <f t="shared" si="83"/>
        <v>6</v>
      </c>
    </row>
    <row r="403" spans="1:22" x14ac:dyDescent="0.25">
      <c r="A403" t="str">
        <f>IF(games!$A403="","",games!$A403)</f>
        <v>Lootplot</v>
      </c>
      <c r="B403">
        <f>IF($A403="","",games!$B403)</f>
        <v>2025</v>
      </c>
      <c r="C403" t="str">
        <f>IF($A403="","",games!$C403)</f>
        <v>Strategy</v>
      </c>
      <c r="D403">
        <f>IF($A403="","",COUNTIF(connections!$A$2:$A$1205,$A403)+COUNTIF(connections!$B$2:$B$1205,$A403))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IF(connections!$A403="","",IFERROR(INDEX(games!$B$2:$B$846,MATCH(connections!$A403,games!$A$2:$A$846,0)),""))</f>
        <v>2019</v>
      </c>
      <c r="U403">
        <f>IF(connections!$A403="","",IFERROR(INDEX(games!$B$2:$B$846,MATCH(connections!$B403,games!$A$2:$A$846,0)),""))</f>
        <v>2026</v>
      </c>
      <c r="V403">
        <f t="shared" si="83"/>
        <v>7</v>
      </c>
    </row>
    <row r="404" spans="1:22" x14ac:dyDescent="0.25">
      <c r="A404" t="str">
        <f>IF(games!$A404="","",games!$A404)</f>
        <v>Lort</v>
      </c>
      <c r="B404">
        <f>IF($A404="","",games!$B404)</f>
        <v>2026</v>
      </c>
      <c r="C404" t="str">
        <f>IF($A404="","",games!$C404)</f>
        <v>Action</v>
      </c>
      <c r="D404">
        <f>IF($A404="","",COUNTIF(connections!$A$2:$A$1205,$A404)+COUNTIF(connections!$B$2:$B$1205,$A404))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IF(connections!$A404="","",IFERROR(INDEX(games!$B$2:$B$846,MATCH(connections!$A404,games!$A$2:$A$846,0)),""))</f>
        <v>2019</v>
      </c>
      <c r="U404">
        <f>IF(connections!$A404="","",IFERROR(INDEX(games!$B$2:$B$846,MATCH(connections!$B404,games!$A$2:$A$846,0)),""))</f>
        <v>2022</v>
      </c>
      <c r="V404">
        <f t="shared" si="83"/>
        <v>3</v>
      </c>
    </row>
    <row r="405" spans="1:22" x14ac:dyDescent="0.25">
      <c r="A405" t="str">
        <f>IF(games!$A405="","",games!$A405)</f>
        <v>Lost Flame</v>
      </c>
      <c r="B405">
        <f>IF($A405="","",games!$B405)</f>
        <v>2019</v>
      </c>
      <c r="C405" t="str">
        <f>IF($A405="","",games!$C405)</f>
        <v>Traditional</v>
      </c>
      <c r="D405">
        <f>IF($A405="","",COUNTIF(connections!$A$2:$A$1205,$A405)+COUNTIF(connections!$B$2:$B$1205,$A405))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IF(connections!$A405="","",IFERROR(INDEX(games!$B$2:$B$846,MATCH(connections!$A405,games!$A$2:$A$846,0)),""))</f>
        <v>2019</v>
      </c>
      <c r="U405">
        <f>IF(connections!$A405="","",IFERROR(INDEX(games!$B$2:$B$846,MATCH(connections!$B405,games!$A$2:$A$846,0)),""))</f>
        <v>2025</v>
      </c>
      <c r="V405">
        <f t="shared" si="83"/>
        <v>6</v>
      </c>
    </row>
    <row r="406" spans="1:22" x14ac:dyDescent="0.25">
      <c r="A406" t="str">
        <f>IF(games!$A406="","",games!$A406)</f>
        <v>Lost For Swords</v>
      </c>
      <c r="B406">
        <f>IF($A406="","",games!$B406)</f>
        <v>2023</v>
      </c>
      <c r="C406" t="str">
        <f>IF($A406="","",games!$C406)</f>
        <v>Deckbuilder</v>
      </c>
      <c r="D406">
        <f>IF($A406="","",COUNTIF(connections!$A$2:$A$1205,$A406)+COUNTIF(connections!$B$2:$B$1205,$A406))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IF(connections!$A406="","",IFERROR(INDEX(games!$B$2:$B$846,MATCH(connections!$A406,games!$A$2:$A$846,0)),""))</f>
        <v>2019</v>
      </c>
      <c r="U406">
        <f>IF(connections!$A406="","",IFERROR(INDEX(games!$B$2:$B$846,MATCH(connections!$B406,games!$A$2:$A$846,0)),""))</f>
        <v>2023</v>
      </c>
      <c r="V406">
        <f t="shared" si="83"/>
        <v>4</v>
      </c>
    </row>
    <row r="407" spans="1:22" x14ac:dyDescent="0.25">
      <c r="A407" t="str">
        <f>IF(games!$A407="","",games!$A407)</f>
        <v>Lost In Fantaland</v>
      </c>
      <c r="B407">
        <f>IF($A407="","",games!$B407)</f>
        <v>2022</v>
      </c>
      <c r="C407" t="str">
        <f>IF($A407="","",games!$C407)</f>
        <v>Deckbuilder</v>
      </c>
      <c r="D407">
        <f>IF($A407="","",COUNTIF(connections!$A$2:$A$1205,$A407)+COUNTIF(connections!$B$2:$B$1205,$A407))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IF(connections!$A407="","",IFERROR(INDEX(games!$B$2:$B$846,MATCH(connections!$A407,games!$A$2:$A$846,0)),""))</f>
        <v>2019</v>
      </c>
      <c r="U407">
        <f>IF(connections!$A407="","",IFERROR(INDEX(games!$B$2:$B$846,MATCH(connections!$B407,games!$A$2:$A$846,0)),""))</f>
        <v>2026</v>
      </c>
      <c r="V407">
        <f t="shared" si="83"/>
        <v>7</v>
      </c>
    </row>
    <row r="408" spans="1:22" x14ac:dyDescent="0.25">
      <c r="A408" t="str">
        <f>IF(games!$A408="","",games!$A408)</f>
        <v>Lost in Random: The Eternal Die</v>
      </c>
      <c r="B408">
        <f>IF($A408="","",games!$B408)</f>
        <v>2025</v>
      </c>
      <c r="C408" t="str">
        <f>IF($A408="","",games!$C408)</f>
        <v>Action</v>
      </c>
      <c r="D408">
        <f>IF($A408="","",COUNTIF(connections!$A$2:$A$1205,$A408)+COUNTIF(connections!$B$2:$B$1205,$A408))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IF(connections!$A408="","",IFERROR(INDEX(games!$B$2:$B$846,MATCH(connections!$A408,games!$A$2:$A$846,0)),""))</f>
        <v>2019</v>
      </c>
      <c r="U408">
        <f>IF(connections!$A408="","",IFERROR(INDEX(games!$B$2:$B$846,MATCH(connections!$B408,games!$A$2:$A$846,0)),""))</f>
        <v>2020</v>
      </c>
      <c r="V408">
        <f t="shared" si="83"/>
        <v>1</v>
      </c>
    </row>
    <row r="409" spans="1:22" x14ac:dyDescent="0.25">
      <c r="A409" t="str">
        <f>IF(games!$A409="","",games!$A409)</f>
        <v>Lost Labyrinth</v>
      </c>
      <c r="B409">
        <f>IF($A409="","",games!$B409)</f>
        <v>2001</v>
      </c>
      <c r="C409" t="str">
        <f>IF($A409="","",games!$C409)</f>
        <v>Traditional</v>
      </c>
      <c r="D409">
        <f>IF($A409="","",COUNTIF(connections!$A$2:$A$1205,$A409)+COUNTIF(connections!$B$2:$B$1205,$A409))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IF(connections!$A409="","",IFERROR(INDEX(games!$B$2:$B$846,MATCH(connections!$A409,games!$A$2:$A$846,0)),""))</f>
        <v>2019</v>
      </c>
      <c r="U409">
        <f>IF(connections!$A409="","",IFERROR(INDEX(games!$B$2:$B$846,MATCH(connections!$B409,games!$A$2:$A$846,0)),""))</f>
        <v>2025</v>
      </c>
      <c r="V409">
        <f t="shared" si="83"/>
        <v>6</v>
      </c>
    </row>
    <row r="410" spans="1:22" x14ac:dyDescent="0.25">
      <c r="A410" t="str">
        <f>IF(games!$A410="","",games!$A410)</f>
        <v>Luck &amp; Loot</v>
      </c>
      <c r="B410">
        <f>IF($A410="","",games!$B410)</f>
        <v>2024</v>
      </c>
      <c r="C410" t="str">
        <f>IF($A410="","",games!$C410)</f>
        <v>Deckbuilder</v>
      </c>
      <c r="D410">
        <f>IF($A410="","",COUNTIF(connections!$A$2:$A$1205,$A410)+COUNTIF(connections!$B$2:$B$1205,$A410))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IF(connections!$A410="","",IFERROR(INDEX(games!$B$2:$B$846,MATCH(connections!$A410,games!$A$2:$A$846,0)),""))</f>
        <v>2019</v>
      </c>
      <c r="U410">
        <f>IF(connections!$A410="","",IFERROR(INDEX(games!$B$2:$B$846,MATCH(connections!$B410,games!$A$2:$A$846,0)),""))</f>
        <v>2022</v>
      </c>
      <c r="V410">
        <f t="shared" si="83"/>
        <v>3</v>
      </c>
    </row>
    <row r="411" spans="1:22" x14ac:dyDescent="0.25">
      <c r="A411" t="str">
        <f>IF(games!$A411="","",games!$A411)</f>
        <v>Luck be a Landlord</v>
      </c>
      <c r="B411">
        <f>IF($A411="","",games!$B411)</f>
        <v>2021</v>
      </c>
      <c r="C411" t="str">
        <f>IF($A411="","",games!$C411)</f>
        <v>Deckbuilder</v>
      </c>
      <c r="D411">
        <f>IF($A411="","",COUNTIF(connections!$A$2:$A$1205,$A411)+COUNTIF(connections!$B$2:$B$1205,$A411))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IF(connections!$A411="","",IFERROR(INDEX(games!$B$2:$B$846,MATCH(connections!$A411,games!$A$2:$A$846,0)),""))</f>
        <v>2019</v>
      </c>
      <c r="U411">
        <f>IF(connections!$A411="","",IFERROR(INDEX(games!$B$2:$B$846,MATCH(connections!$B411,games!$A$2:$A$846,0)),""))</f>
        <v>2022</v>
      </c>
      <c r="V411">
        <f t="shared" si="83"/>
        <v>3</v>
      </c>
    </row>
    <row r="412" spans="1:22" x14ac:dyDescent="0.25">
      <c r="A412" t="str">
        <f>IF(games!$A412="","",games!$A412)</f>
        <v>Lucky Hero</v>
      </c>
      <c r="B412">
        <f>IF($A412="","",games!$B412)</f>
        <v>2023</v>
      </c>
      <c r="C412" t="str">
        <f>IF($A412="","",games!$C412)</f>
        <v>Deckbuilder</v>
      </c>
      <c r="D412">
        <f>IF($A412="","",COUNTIF(connections!$A$2:$A$1205,$A412)+COUNTIF(connections!$B$2:$B$1205,$A412))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IF(connections!$A412="","",IFERROR(INDEX(games!$B$2:$B$846,MATCH(connections!$A412,games!$A$2:$A$846,0)),""))</f>
        <v>2019</v>
      </c>
      <c r="U412">
        <f>IF(connections!$A412="","",IFERROR(INDEX(games!$B$2:$B$846,MATCH(connections!$B412,games!$A$2:$A$846,0)),""))</f>
        <v>2025</v>
      </c>
      <c r="V412">
        <f t="shared" si="83"/>
        <v>6</v>
      </c>
    </row>
    <row r="413" spans="1:22" x14ac:dyDescent="0.25">
      <c r="A413" t="str">
        <f>IF(games!$A413="","",games!$A413)</f>
        <v>Lunchbreak Tactics</v>
      </c>
      <c r="B413">
        <f>IF($A413="","",games!$B413)</f>
        <v>2026</v>
      </c>
      <c r="C413" t="str">
        <f>IF($A413="","",games!$C413)</f>
        <v>Strategy</v>
      </c>
      <c r="D413">
        <f>IF($A413="","",COUNTIF(connections!$A$2:$A$1205,$A413)+COUNTIF(connections!$B$2:$B$1205,$A413))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IF(connections!$A413="","",IFERROR(INDEX(games!$B$2:$B$846,MATCH(connections!$A413,games!$A$2:$A$846,0)),""))</f>
        <v>2019</v>
      </c>
      <c r="U413">
        <f>IF(connections!$A413="","",IFERROR(INDEX(games!$B$2:$B$846,MATCH(connections!$B413,games!$A$2:$A$846,0)),""))</f>
        <v>2020</v>
      </c>
      <c r="V413">
        <f t="shared" si="83"/>
        <v>1</v>
      </c>
    </row>
    <row r="414" spans="1:22" x14ac:dyDescent="0.25">
      <c r="A414" t="str">
        <f>IF(games!$A414="","",games!$A414)</f>
        <v>Mad King Redemption</v>
      </c>
      <c r="B414">
        <f>IF($A414="","",games!$B414)</f>
        <v>2026</v>
      </c>
      <c r="C414" t="str">
        <f>IF($A414="","",games!$C414)</f>
        <v>Action</v>
      </c>
      <c r="D414">
        <f>IF($A414="","",COUNTIF(connections!$A$2:$A$1205,$A414)+COUNTIF(connections!$B$2:$B$1205,$A414))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IF(connections!$A414="","",IFERROR(INDEX(games!$B$2:$B$846,MATCH(connections!$A414,games!$A$2:$A$846,0)),""))</f>
        <v>2019</v>
      </c>
      <c r="U414">
        <f>IF(connections!$A414="","",IFERROR(INDEX(games!$B$2:$B$846,MATCH(connections!$B414,games!$A$2:$A$846,0)),""))</f>
        <v>2024</v>
      </c>
      <c r="V414">
        <f t="shared" si="83"/>
        <v>5</v>
      </c>
    </row>
    <row r="415" spans="1:22" x14ac:dyDescent="0.25">
      <c r="A415" t="str">
        <f>IF(games!$A415="","",games!$A415)</f>
        <v>Magic Survival</v>
      </c>
      <c r="B415">
        <f>IF($A415="","",games!$B415)</f>
        <v>2019</v>
      </c>
      <c r="C415" t="str">
        <f>IF($A415="","",games!$C415)</f>
        <v>Action</v>
      </c>
      <c r="D415">
        <f>IF($A415="","",COUNTIF(connections!$A$2:$A$1205,$A415)+COUNTIF(connections!$B$2:$B$1205,$A415))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IF(connections!$A415="","",IFERROR(INDEX(games!$B$2:$B$846,MATCH(connections!$A415,games!$A$2:$A$846,0)),""))</f>
        <v>2019</v>
      </c>
      <c r="U415">
        <f>IF(connections!$A415="","",IFERROR(INDEX(games!$B$2:$B$846,MATCH(connections!$B415,games!$A$2:$A$846,0)),""))</f>
        <v>2022</v>
      </c>
      <c r="V415">
        <f t="shared" si="83"/>
        <v>3</v>
      </c>
    </row>
    <row r="416" spans="1:22" x14ac:dyDescent="0.25">
      <c r="A416" t="str">
        <f>IF(games!$A416="","",games!$A416)</f>
        <v>Magicraft</v>
      </c>
      <c r="B416">
        <f>IF($A416="","",games!$B416)</f>
        <v>2023</v>
      </c>
      <c r="C416" t="str">
        <f>IF($A416="","",games!$C416)</f>
        <v>Action</v>
      </c>
      <c r="D416">
        <f>IF($A416="","",COUNTIF(connections!$A$2:$A$1205,$A416)+COUNTIF(connections!$B$2:$B$1205,$A416))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IF(connections!$A416="","",IFERROR(INDEX(games!$B$2:$B$846,MATCH(connections!$A416,games!$A$2:$A$846,0)),""))</f>
        <v>2019</v>
      </c>
      <c r="U416">
        <f>IF(connections!$A416="","",IFERROR(INDEX(games!$B$2:$B$846,MATCH(connections!$B416,games!$A$2:$A$846,0)),""))</f>
        <v>2025</v>
      </c>
      <c r="V416">
        <f t="shared" si="83"/>
        <v>6</v>
      </c>
    </row>
    <row r="417" spans="1:22" x14ac:dyDescent="0.25">
      <c r="A417" t="str">
        <f>IF(games!$A417="","",games!$A417)</f>
        <v>Maid Survivors: Little Angels</v>
      </c>
      <c r="B417">
        <f>IF($A417="","",games!$B417)</f>
        <v>2025</v>
      </c>
      <c r="C417" t="str">
        <f>IF($A417="","",games!$C417)</f>
        <v>Action</v>
      </c>
      <c r="D417">
        <f>IF($A417="","",COUNTIF(connections!$A$2:$A$1205,$A417)+COUNTIF(connections!$B$2:$B$1205,$A417))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IF(connections!$A417="","",IFERROR(INDEX(games!$B$2:$B$846,MATCH(connections!$A417,games!$A$2:$A$846,0)),""))</f>
        <v>2019</v>
      </c>
      <c r="U417">
        <f>IF(connections!$A417="","",IFERROR(INDEX(games!$B$2:$B$846,MATCH(connections!$B417,games!$A$2:$A$846,0)),""))</f>
        <v>2026</v>
      </c>
      <c r="V417">
        <f t="shared" si="83"/>
        <v>7</v>
      </c>
    </row>
    <row r="418" spans="1:22" x14ac:dyDescent="0.25">
      <c r="A418" t="str">
        <f>IF(games!$A418="","",games!$A418)</f>
        <v>Mainframe Defenders</v>
      </c>
      <c r="B418">
        <f>IF($A418="","",games!$B418)</f>
        <v>2020</v>
      </c>
      <c r="C418" t="str">
        <f>IF($A418="","",games!$C418)</f>
        <v>Traditional</v>
      </c>
      <c r="D418">
        <f>IF($A418="","",COUNTIF(connections!$A$2:$A$1205,$A418)+COUNTIF(connections!$B$2:$B$1205,$A418))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IF(connections!$A418="","",IFERROR(INDEX(games!$B$2:$B$846,MATCH(connections!$A418,games!$A$2:$A$846,0)),""))</f>
        <v>2019</v>
      </c>
      <c r="U418">
        <f>IF(connections!$A418="","",IFERROR(INDEX(games!$B$2:$B$846,MATCH(connections!$B418,games!$A$2:$A$846,0)),""))</f>
        <v>2025</v>
      </c>
      <c r="V418">
        <f t="shared" si="83"/>
        <v>6</v>
      </c>
    </row>
    <row r="419" spans="1:22" x14ac:dyDescent="0.25">
      <c r="A419" t="str">
        <f>IF(games!$A419="","",games!$A419)</f>
        <v>Mana Spark</v>
      </c>
      <c r="B419">
        <f>IF($A419="","",games!$B419)</f>
        <v>2018</v>
      </c>
      <c r="C419" t="str">
        <f>IF($A419="","",games!$C419)</f>
        <v>Action</v>
      </c>
      <c r="D419">
        <f>IF($A419="","",COUNTIF(connections!$A$2:$A$1205,$A419)+COUNTIF(connections!$B$2:$B$1205,$A419))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IF(connections!$A419="","",IFERROR(INDEX(games!$B$2:$B$846,MATCH(connections!$A419,games!$A$2:$A$846,0)),""))</f>
        <v>2019</v>
      </c>
      <c r="U419">
        <f>IF(connections!$A419="","",IFERROR(INDEX(games!$B$2:$B$846,MATCH(connections!$B419,games!$A$2:$A$846,0)),""))</f>
        <v>2025</v>
      </c>
      <c r="V419">
        <f t="shared" si="83"/>
        <v>6</v>
      </c>
    </row>
    <row r="420" spans="1:22" x14ac:dyDescent="0.25">
      <c r="A420" t="str">
        <f>IF(games!$A420="","",games!$A420)</f>
        <v>Masks of the Void: Origins</v>
      </c>
      <c r="B420">
        <f>IF($A420="","",games!$B420)</f>
        <v>2025</v>
      </c>
      <c r="C420" t="str">
        <f>IF($A420="","",games!$C420)</f>
        <v>Action</v>
      </c>
      <c r="D420">
        <f>IF($A420="","",COUNTIF(connections!$A$2:$A$1205,$A420)+COUNTIF(connections!$B$2:$B$1205,$A420))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IF(connections!$A420="","",IFERROR(INDEX(games!$B$2:$B$846,MATCH(connections!$A420,games!$A$2:$A$846,0)),""))</f>
        <v>2019</v>
      </c>
      <c r="U420">
        <f>IF(connections!$A420="","",IFERROR(INDEX(games!$B$2:$B$846,MATCH(connections!$B420,games!$A$2:$A$846,0)),""))</f>
        <v>2025</v>
      </c>
      <c r="V420">
        <f t="shared" si="83"/>
        <v>6</v>
      </c>
    </row>
    <row r="421" spans="1:22" x14ac:dyDescent="0.25">
      <c r="A421" t="str">
        <f>IF(games!$A421="","",games!$A421)</f>
        <v>Master of Piece</v>
      </c>
      <c r="B421">
        <f>IF($A421="","",games!$B421)</f>
        <v>2026</v>
      </c>
      <c r="C421" t="str">
        <f>IF($A421="","",games!$C421)</f>
        <v>Deckbuilder</v>
      </c>
      <c r="D421">
        <f>IF($A421="","",COUNTIF(connections!$A$2:$A$1205,$A421)+COUNTIF(connections!$B$2:$B$1205,$A421))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IF(connections!$A421="","",IFERROR(INDEX(games!$B$2:$B$846,MATCH(connections!$A421,games!$A$2:$A$846,0)),""))</f>
        <v>2019</v>
      </c>
      <c r="U421">
        <f>IF(connections!$A421="","",IFERROR(INDEX(games!$B$2:$B$846,MATCH(connections!$B421,games!$A$2:$A$846,0)),""))</f>
        <v>2021</v>
      </c>
      <c r="V421">
        <f t="shared" si="83"/>
        <v>2</v>
      </c>
    </row>
    <row r="422" spans="1:22" x14ac:dyDescent="0.25">
      <c r="A422" t="str">
        <f>IF(games!$A422="","",games!$A422)</f>
        <v>Maze Mice</v>
      </c>
      <c r="B422">
        <f>IF($A422="","",games!$B422)</f>
        <v>2025</v>
      </c>
      <c r="C422" t="str">
        <f>IF($A422="","",games!$C422)</f>
        <v>Action</v>
      </c>
      <c r="D422">
        <f>IF($A422="","",COUNTIF(connections!$A$2:$A$1205,$A422)+COUNTIF(connections!$B$2:$B$1205,$A422))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IF(connections!$A422="","",IFERROR(INDEX(games!$B$2:$B$846,MATCH(connections!$A422,games!$A$2:$A$846,0)),""))</f>
        <v>2019</v>
      </c>
      <c r="U422">
        <f>IF(connections!$A422="","",IFERROR(INDEX(games!$B$2:$B$846,MATCH(connections!$B422,games!$A$2:$A$846,0)),""))</f>
        <v>2025</v>
      </c>
      <c r="V422">
        <f t="shared" si="83"/>
        <v>6</v>
      </c>
    </row>
    <row r="423" spans="1:22" x14ac:dyDescent="0.25">
      <c r="A423" t="str">
        <f>IF(games!$A423="","",games!$A423)</f>
        <v>Mechanibot</v>
      </c>
      <c r="B423">
        <f>IF($A423="","",games!$B423)</f>
        <v>2022</v>
      </c>
      <c r="C423" t="str">
        <f>IF($A423="","",games!$C423)</f>
        <v>Strategy</v>
      </c>
      <c r="D423">
        <f>IF($A423="","",COUNTIF(connections!$A$2:$A$1205,$A423)+COUNTIF(connections!$B$2:$B$1205,$A423))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IF(connections!$A423="","",IFERROR(INDEX(games!$B$2:$B$846,MATCH(connections!$A423,games!$A$2:$A$846,0)),""))</f>
        <v>2019</v>
      </c>
      <c r="U423">
        <f>IF(connections!$A423="","",IFERROR(INDEX(games!$B$2:$B$846,MATCH(connections!$B423,games!$A$2:$A$846,0)),""))</f>
        <v>2022</v>
      </c>
      <c r="V423">
        <f t="shared" si="83"/>
        <v>3</v>
      </c>
    </row>
    <row r="424" spans="1:22" x14ac:dyDescent="0.25">
      <c r="A424" t="str">
        <f>IF(games!$A424="","",games!$A424)</f>
        <v>Megabonk</v>
      </c>
      <c r="B424">
        <f>IF($A424="","",games!$B424)</f>
        <v>2025</v>
      </c>
      <c r="C424" t="str">
        <f>IF($A424="","",games!$C424)</f>
        <v>Action</v>
      </c>
      <c r="D424">
        <f>IF($A424="","",COUNTIF(connections!$A$2:$A$1205,$A424)+COUNTIF(connections!$B$2:$B$1205,$A424))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IF(connections!$A424="","",IFERROR(INDEX(games!$B$2:$B$846,MATCH(connections!$A424,games!$A$2:$A$846,0)),""))</f>
        <v>2019</v>
      </c>
      <c r="U424">
        <f>IF(connections!$A424="","",IFERROR(INDEX(games!$B$2:$B$846,MATCH(connections!$B424,games!$A$2:$A$846,0)),""))</f>
        <v>2025</v>
      </c>
      <c r="V424">
        <f t="shared" si="83"/>
        <v>6</v>
      </c>
    </row>
    <row r="425" spans="1:22" x14ac:dyDescent="0.25">
      <c r="A425" t="str">
        <f>IF(games!$A425="","",games!$A425)</f>
        <v>Meme Mayhem</v>
      </c>
      <c r="B425">
        <f>IF($A425="","",games!$B425)</f>
        <v>2024</v>
      </c>
      <c r="C425" t="str">
        <f>IF($A425="","",games!$C425)</f>
        <v>Deckbuilder</v>
      </c>
      <c r="D425">
        <f>IF($A425="","",COUNTIF(connections!$A$2:$A$1205,$A425)+COUNTIF(connections!$B$2:$B$1205,$A425))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IF(connections!$A425="","",IFERROR(INDEX(games!$B$2:$B$846,MATCH(connections!$A425,games!$A$2:$A$846,0)),""))</f>
        <v>2019</v>
      </c>
      <c r="U425">
        <f>IF(connections!$A425="","",IFERROR(INDEX(games!$B$2:$B$846,MATCH(connections!$B425,games!$A$2:$A$846,0)),""))</f>
        <v>2024</v>
      </c>
      <c r="V425">
        <f t="shared" si="83"/>
        <v>5</v>
      </c>
    </row>
    <row r="426" spans="1:22" x14ac:dyDescent="0.25">
      <c r="A426" t="str">
        <f>IF(games!$A426="","",games!$A426)</f>
        <v>Menace from the Deep</v>
      </c>
      <c r="B426">
        <f>IF($A426="","",games!$B426)</f>
        <v>2024</v>
      </c>
      <c r="C426" t="str">
        <f>IF($A426="","",games!$C426)</f>
        <v>Deckbuilder</v>
      </c>
      <c r="D426">
        <f>IF($A426="","",COUNTIF(connections!$A$2:$A$1205,$A426)+COUNTIF(connections!$B$2:$B$1205,$A426))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IF(connections!$A426="","",IFERROR(INDEX(games!$B$2:$B$846,MATCH(connections!$A426,games!$A$2:$A$846,0)),""))</f>
        <v>2019</v>
      </c>
      <c r="U426">
        <f>IF(connections!$A426="","",IFERROR(INDEX(games!$B$2:$B$846,MATCH(connections!$B426,games!$A$2:$A$846,0)),""))</f>
        <v>2026</v>
      </c>
      <c r="V426">
        <f t="shared" si="83"/>
        <v>7</v>
      </c>
    </row>
    <row r="427" spans="1:22" x14ac:dyDescent="0.25">
      <c r="A427" t="str">
        <f>IF(games!$A427="","",games!$A427)</f>
        <v>Menherarium</v>
      </c>
      <c r="B427">
        <f>IF($A427="","",games!$B427)</f>
        <v>2026</v>
      </c>
      <c r="C427" t="str">
        <f>IF($A427="","",games!$C427)</f>
        <v>Deckbuilder</v>
      </c>
      <c r="D427">
        <f>IF($A427="","",COUNTIF(connections!$A$2:$A$1205,$A427)+COUNTIF(connections!$B$2:$B$1205,$A427))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IF(connections!$A427="","",IFERROR(INDEX(games!$B$2:$B$846,MATCH(connections!$A427,games!$A$2:$A$846,0)),""))</f>
        <v>2019</v>
      </c>
      <c r="U427">
        <f>IF(connections!$A427="","",IFERROR(INDEX(games!$B$2:$B$846,MATCH(connections!$B427,games!$A$2:$A$846,0)),""))</f>
        <v>2022</v>
      </c>
      <c r="V427">
        <f t="shared" si="83"/>
        <v>3</v>
      </c>
    </row>
    <row r="428" spans="1:22" x14ac:dyDescent="0.25">
      <c r="A428" t="str">
        <f>IF(games!$A428="","",games!$A428)</f>
        <v>Merge Maestro</v>
      </c>
      <c r="B428">
        <f>IF($A428="","",games!$B428)</f>
        <v>2025</v>
      </c>
      <c r="C428" t="str">
        <f>IF($A428="","",games!$C428)</f>
        <v>Deckbuilder</v>
      </c>
      <c r="D428">
        <f>IF($A428="","",COUNTIF(connections!$A$2:$A$1205,$A428)+COUNTIF(connections!$B$2:$B$1205,$A428))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IF(connections!$A428="","",IFERROR(INDEX(games!$B$2:$B$846,MATCH(connections!$A428,games!$A$2:$A$846,0)),""))</f>
        <v>2019</v>
      </c>
      <c r="U428">
        <f>IF(connections!$A428="","",IFERROR(INDEX(games!$B$2:$B$846,MATCH(connections!$B428,games!$A$2:$A$846,0)),""))</f>
        <v>2022</v>
      </c>
      <c r="V428">
        <f t="shared" si="83"/>
        <v>3</v>
      </c>
    </row>
    <row r="429" spans="1:22" x14ac:dyDescent="0.25">
      <c r="A429" t="str">
        <f>IF(games!$A429="","",games!$A429)</f>
        <v>Metal Slug Tactics</v>
      </c>
      <c r="B429">
        <f>IF($A429="","",games!$B429)</f>
        <v>2024</v>
      </c>
      <c r="C429" t="str">
        <f>IF($A429="","",games!$C429)</f>
        <v>Strategy</v>
      </c>
      <c r="D429">
        <f>IF($A429="","",COUNTIF(connections!$A$2:$A$1205,$A429)+COUNTIF(connections!$B$2:$B$1205,$A429))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IF(connections!$A429="","",IFERROR(INDEX(games!$B$2:$B$846,MATCH(connections!$A429,games!$A$2:$A$846,0)),""))</f>
        <v>2019</v>
      </c>
      <c r="U429">
        <f>IF(connections!$A429="","",IFERROR(INDEX(games!$B$2:$B$846,MATCH(connections!$B429,games!$A$2:$A$846,0)),""))</f>
        <v>2023</v>
      </c>
      <c r="V429">
        <f t="shared" si="83"/>
        <v>4</v>
      </c>
    </row>
    <row r="430" spans="1:22" x14ac:dyDescent="0.25">
      <c r="A430" t="str">
        <f>IF(games!$A430="","",games!$A430)</f>
        <v>Metal Unit</v>
      </c>
      <c r="B430">
        <f>IF($A430="","",games!$B430)</f>
        <v>2020</v>
      </c>
      <c r="C430" t="str">
        <f>IF($A430="","",games!$C430)</f>
        <v>Action</v>
      </c>
      <c r="D430">
        <f>IF($A430="","",COUNTIF(connections!$A$2:$A$1205,$A430)+COUNTIF(connections!$B$2:$B$1205,$A430))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IF(connections!$A430="","",IFERROR(INDEX(games!$B$2:$B$846,MATCH(connections!$A430,games!$A$2:$A$846,0)),""))</f>
        <v>2019</v>
      </c>
      <c r="U430">
        <f>IF(connections!$A430="","",IFERROR(INDEX(games!$B$2:$B$846,MATCH(connections!$B430,games!$A$2:$A$846,0)),""))</f>
        <v>2025</v>
      </c>
      <c r="V430">
        <f t="shared" si="83"/>
        <v>6</v>
      </c>
    </row>
    <row r="431" spans="1:22" x14ac:dyDescent="0.25">
      <c r="A431" t="str">
        <f>IF(games!$A431="","",games!$A431)</f>
        <v>Metallic Child</v>
      </c>
      <c r="B431">
        <f>IF($A431="","",games!$B431)</f>
        <v>2021</v>
      </c>
      <c r="C431" t="str">
        <f>IF($A431="","",games!$C431)</f>
        <v>Action</v>
      </c>
      <c r="D431">
        <f>IF($A431="","",COUNTIF(connections!$A$2:$A$1205,$A431)+COUNTIF(connections!$B$2:$B$1205,$A431))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IF(connections!$A431="","",IFERROR(INDEX(games!$B$2:$B$846,MATCH(connections!$A431,games!$A$2:$A$846,0)),""))</f>
        <v>2019</v>
      </c>
      <c r="U431">
        <f>IF(connections!$A431="","",IFERROR(INDEX(games!$B$2:$B$846,MATCH(connections!$B431,games!$A$2:$A$846,0)),""))</f>
        <v>2025</v>
      </c>
      <c r="V431">
        <f t="shared" si="83"/>
        <v>6</v>
      </c>
    </row>
    <row r="432" spans="1:22" x14ac:dyDescent="0.25">
      <c r="A432" t="str">
        <f>IF(games!$A432="","",games!$A432)</f>
        <v>Mewgenics</v>
      </c>
      <c r="B432">
        <f>IF($A432="","",games!$B432)</f>
        <v>2026</v>
      </c>
      <c r="C432" t="str">
        <f>IF($A432="","",games!$C432)</f>
        <v>Strategy</v>
      </c>
      <c r="D432">
        <f>IF($A432="","",COUNTIF(connections!$A$2:$A$1205,$A432)+COUNTIF(connections!$B$2:$B$1205,$A432))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IF(connections!$A432="","",IFERROR(INDEX(games!$B$2:$B$846,MATCH(connections!$A432,games!$A$2:$A$846,0)),""))</f>
        <v>2019</v>
      </c>
      <c r="U432">
        <f>IF(connections!$A432="","",IFERROR(INDEX(games!$B$2:$B$846,MATCH(connections!$B432,games!$A$2:$A$846,0)),""))</f>
        <v>2025</v>
      </c>
      <c r="V432">
        <f t="shared" si="83"/>
        <v>6</v>
      </c>
    </row>
    <row r="433" spans="1:22" x14ac:dyDescent="0.25">
      <c r="A433" t="str">
        <f>IF(games!$A433="","",games!$A433)</f>
        <v>Million Depth</v>
      </c>
      <c r="B433">
        <f>IF($A433="","",games!$B433)</f>
        <v>2025</v>
      </c>
      <c r="C433" t="str">
        <f>IF($A433="","",games!$C433)</f>
        <v>Action</v>
      </c>
      <c r="D433">
        <f>IF($A433="","",COUNTIF(connections!$A$2:$A$1205,$A433)+COUNTIF(connections!$B$2:$B$1205,$A433))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IF(connections!$A433="","",IFERROR(INDEX(games!$B$2:$B$846,MATCH(connections!$A433,games!$A$2:$A$846,0)),""))</f>
        <v>2019</v>
      </c>
      <c r="U433">
        <f>IF(connections!$A433="","",IFERROR(INDEX(games!$B$2:$B$846,MATCH(connections!$B433,games!$A$2:$A$846,0)),""))</f>
        <v>2023</v>
      </c>
      <c r="V433">
        <f t="shared" si="83"/>
        <v>4</v>
      </c>
    </row>
    <row r="434" spans="1:22" x14ac:dyDescent="0.25">
      <c r="A434" t="str">
        <f>IF(games!$A434="","",games!$A434)</f>
        <v>Mimic Logic</v>
      </c>
      <c r="B434">
        <f>IF($A434="","",games!$B434)</f>
        <v>2024</v>
      </c>
      <c r="C434" t="str">
        <f>IF($A434="","",games!$C434)</f>
        <v>Strategy</v>
      </c>
      <c r="D434">
        <f>IF($A434="","",COUNTIF(connections!$A$2:$A$1205,$A434)+COUNTIF(connections!$B$2:$B$1205,$A434))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IF(connections!$A434="","",IFERROR(INDEX(games!$B$2:$B$846,MATCH(connections!$A434,games!$A$2:$A$846,0)),""))</f>
        <v>2019</v>
      </c>
      <c r="U434">
        <f>IF(connections!$A434="","",IFERROR(INDEX(games!$B$2:$B$846,MATCH(connections!$B434,games!$A$2:$A$846,0)),""))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IF($A435="","",COUNTIF(connections!$A$2:$A$1205,$A435)+COUNTIF(connections!$B$2:$B$1205,$A435))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IF(connections!$A435="","",IFERROR(INDEX(games!$B$2:$B$846,MATCH(connections!$A435,games!$A$2:$A$846,0)),""))</f>
        <v>2019</v>
      </c>
      <c r="U435">
        <f>IF(connections!$A435="","",IFERROR(INDEX(games!$B$2:$B$846,MATCH(connections!$B435,games!$A$2:$A$846,0)),""))</f>
        <v>2022</v>
      </c>
      <c r="V435">
        <f t="shared" si="83"/>
        <v>3</v>
      </c>
    </row>
    <row r="436" spans="1:22" x14ac:dyDescent="0.25">
      <c r="A436" t="str">
        <f>IF(games!$A436="","",games!$A436)</f>
        <v>Miracle Party: Fushigi no Gensoukyou 2</v>
      </c>
      <c r="B436">
        <f>IF($A436="","",games!$B436)</f>
        <v>2011</v>
      </c>
      <c r="C436" t="str">
        <f>IF($A436="","",games!$C436)</f>
        <v>Traditional</v>
      </c>
      <c r="D436">
        <f>IF($A436="","",COUNTIF(connections!$A$2:$A$1205,$A436)+COUNTIF(connections!$B$2:$B$1205,$A436))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IF(connections!$A436="","",IFERROR(INDEX(games!$B$2:$B$846,MATCH(connections!$A436,games!$A$2:$A$846,0)),""))</f>
        <v>2019</v>
      </c>
      <c r="U436">
        <f>IF(connections!$A436="","",IFERROR(INDEX(games!$B$2:$B$846,MATCH(connections!$B436,games!$A$2:$A$846,0)),""))</f>
        <v>2022</v>
      </c>
      <c r="V436">
        <f t="shared" si="83"/>
        <v>3</v>
      </c>
    </row>
    <row r="437" spans="1:22" x14ac:dyDescent="0.25">
      <c r="A437" t="str">
        <f>IF(games!$A437="","",games!$A437)</f>
        <v>Mission: Thunderbolt</v>
      </c>
      <c r="B437">
        <f>IF($A437="","",games!$B437)</f>
        <v>1987</v>
      </c>
      <c r="C437" t="str">
        <f>IF($A437="","",games!$C437)</f>
        <v>Traditional</v>
      </c>
      <c r="D437">
        <f>IF($A437="","",COUNTIF(connections!$A$2:$A$1205,$A437)+COUNTIF(connections!$B$2:$B$1205,$A437))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IF(connections!$A437="","",IFERROR(INDEX(games!$B$2:$B$846,MATCH(connections!$A437,games!$A$2:$A$846,0)),""))</f>
        <v>2019</v>
      </c>
      <c r="U437">
        <f>IF(connections!$A437="","",IFERROR(INDEX(games!$B$2:$B$846,MATCH(connections!$B437,games!$A$2:$A$846,0)),""))</f>
        <v>2024</v>
      </c>
      <c r="V437">
        <f t="shared" si="83"/>
        <v>5</v>
      </c>
    </row>
    <row r="438" spans="1:22" x14ac:dyDescent="0.25">
      <c r="A438" t="str">
        <f>IF(games!$A438="","",games!$A438)</f>
        <v>Mistrogue: Mist and the Living Dungeons</v>
      </c>
      <c r="B438">
        <f>IF($A438="","",games!$B438)</f>
        <v>2023</v>
      </c>
      <c r="C438" t="str">
        <f>IF($A438="","",games!$C438)</f>
        <v>Action</v>
      </c>
      <c r="D438">
        <f>IF($A438="","",COUNTIF(connections!$A$2:$A$1205,$A438)+COUNTIF(connections!$B$2:$B$1205,$A438))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IF(connections!$A438="","",IFERROR(INDEX(games!$B$2:$B$846,MATCH(connections!$A438,games!$A$2:$A$846,0)),""))</f>
        <v>2019</v>
      </c>
      <c r="U438">
        <f>IF(connections!$A438="","",IFERROR(INDEX(games!$B$2:$B$846,MATCH(connections!$B438,games!$A$2:$A$846,0)),""))</f>
        <v>2025</v>
      </c>
      <c r="V438">
        <f t="shared" si="83"/>
        <v>6</v>
      </c>
    </row>
    <row r="439" spans="1:22" x14ac:dyDescent="0.25">
      <c r="A439" t="str">
        <f>IF(games!$A439="","",games!$A439)</f>
        <v>Mobmania</v>
      </c>
      <c r="B439">
        <f>IF($A439="","",games!$B439)</f>
        <v>2022</v>
      </c>
      <c r="C439" t="str">
        <f>IF($A439="","",games!$C439)</f>
        <v>Action</v>
      </c>
      <c r="D439">
        <f>IF($A439="","",COUNTIF(connections!$A$2:$A$1205,$A439)+COUNTIF(connections!$B$2:$B$1205,$A439))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IF(connections!$A439="","",IFERROR(INDEX(games!$B$2:$B$846,MATCH(connections!$A439,games!$A$2:$A$846,0)),""))</f>
        <v>2019</v>
      </c>
      <c r="U439">
        <f>IF(connections!$A439="","",IFERROR(INDEX(games!$B$2:$B$846,MATCH(connections!$B439,games!$A$2:$A$846,0)),""))</f>
        <v>2024</v>
      </c>
      <c r="V439">
        <f t="shared" si="83"/>
        <v>5</v>
      </c>
    </row>
    <row r="440" spans="1:22" x14ac:dyDescent="0.25">
      <c r="A440" t="str">
        <f>IF(games!$A440="","",games!$A440)</f>
        <v>Monmusu Gladiator</v>
      </c>
      <c r="B440">
        <f>IF($A440="","",games!$B440)</f>
        <v>2021</v>
      </c>
      <c r="C440" t="str">
        <f>IF($A440="","",games!$C440)</f>
        <v>Deckbuilder</v>
      </c>
      <c r="D440">
        <f>IF($A440="","",COUNTIF(connections!$A$2:$A$1205,$A440)+COUNTIF(connections!$B$2:$B$1205,$A440))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IF(connections!$A440="","",IFERROR(INDEX(games!$B$2:$B$846,MATCH(connections!$A440,games!$A$2:$A$846,0)),""))</f>
        <v>2023</v>
      </c>
      <c r="U440">
        <f>IF(connections!$A440="","",IFERROR(INDEX(games!$B$2:$B$846,MATCH(connections!$B440,games!$A$2:$A$846,0)),""))</f>
        <v>2024</v>
      </c>
      <c r="V440">
        <f t="shared" si="83"/>
        <v>1</v>
      </c>
    </row>
    <row r="441" spans="1:22" x14ac:dyDescent="0.25">
      <c r="A441" t="str">
        <f>IF(games!$A441="","",games!$A441)</f>
        <v>Monster Gate</v>
      </c>
      <c r="B441">
        <f>IF($A441="","",games!$B441)</f>
        <v>2002</v>
      </c>
      <c r="C441" t="str">
        <f>IF($A441="","",games!$C441)</f>
        <v>Traditional</v>
      </c>
      <c r="D441">
        <f>IF($A441="","",COUNTIF(connections!$A$2:$A$1205,$A441)+COUNTIF(connections!$B$2:$B$1205,$A441))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IF(connections!$A441="","",IFERROR(INDEX(games!$B$2:$B$846,MATCH(connections!$A441,games!$A$2:$A$846,0)),""))</f>
        <v>2023</v>
      </c>
      <c r="U441">
        <f>IF(connections!$A441="","",IFERROR(INDEX(games!$B$2:$B$846,MATCH(connections!$B441,games!$A$2:$A$846,0)),""))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IF($A442="","",COUNTIF(connections!$A$2:$A$1205,$A442)+COUNTIF(connections!$B$2:$B$1205,$A442))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IF(connections!$A442="","",IFERROR(INDEX(games!$B$2:$B$846,MATCH(connections!$A442,games!$A$2:$A$846,0)),""))</f>
        <v>2023</v>
      </c>
      <c r="U442">
        <f>IF(connections!$A442="","",IFERROR(INDEX(games!$B$2:$B$846,MATCH(connections!$B442,games!$A$2:$A$846,0)),""))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IF($A443="","",COUNTIF(connections!$A$2:$A$1205,$A443)+COUNTIF(connections!$B$2:$B$1205,$A443))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IF(connections!$A443="","",IFERROR(INDEX(games!$B$2:$B$846,MATCH(connections!$A443,games!$A$2:$A$846,0)),""))</f>
        <v>2014</v>
      </c>
      <c r="U443">
        <f>IF(connections!$A443="","",IFERROR(INDEX(games!$B$2:$B$846,MATCH(connections!$B443,games!$A$2:$A$846,0)),""))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IF($A444="","",COUNTIF(connections!$A$2:$A$1205,$A444)+COUNTIF(connections!$B$2:$B$1205,$A444))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IF(connections!$A444="","",IFERROR(INDEX(games!$B$2:$B$846,MATCH(connections!$A444,games!$A$2:$A$846,0)),""))</f>
        <v>2014</v>
      </c>
      <c r="U444">
        <f>IF(connections!$A444="","",IFERROR(INDEX(games!$B$2:$B$846,MATCH(connections!$B444,games!$A$2:$A$846,0)),""))</f>
        <v>2026</v>
      </c>
      <c r="V444">
        <f t="shared" si="83"/>
        <v>12</v>
      </c>
    </row>
    <row r="445" spans="1:22" x14ac:dyDescent="0.25">
      <c r="A445" t="str">
        <f>IF(games!$A445="","",games!$A445)</f>
        <v>Monster Slayers</v>
      </c>
      <c r="B445">
        <f>IF($A445="","",games!$B445)</f>
        <v>2017</v>
      </c>
      <c r="C445" t="str">
        <f>IF($A445="","",games!$C445)</f>
        <v>Deckbuilder</v>
      </c>
      <c r="D445">
        <f>IF($A445="","",COUNTIF(connections!$A$2:$A$1205,$A445)+COUNTIF(connections!$B$2:$B$1205,$A445))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IF(connections!$A445="","",IFERROR(INDEX(games!$B$2:$B$846,MATCH(connections!$A445,games!$A$2:$A$846,0)),""))</f>
        <v>2018</v>
      </c>
      <c r="U445">
        <f>IF(connections!$A445="","",IFERROR(INDEX(games!$B$2:$B$846,MATCH(connections!$B445,games!$A$2:$A$846,0)),""))</f>
        <v>2025</v>
      </c>
      <c r="V445">
        <f t="shared" si="83"/>
        <v>7</v>
      </c>
    </row>
    <row r="446" spans="1:22" x14ac:dyDescent="0.25">
      <c r="A446" t="str">
        <f>IF(games!$A446="","",games!$A446)</f>
        <v>Monster Train</v>
      </c>
      <c r="B446">
        <f>IF($A446="","",games!$B446)</f>
        <v>2020</v>
      </c>
      <c r="C446" t="str">
        <f>IF($A446="","",games!$C446)</f>
        <v>Deckbuilder</v>
      </c>
      <c r="D446">
        <f>IF($A446="","",COUNTIF(connections!$A$2:$A$1205,$A446)+COUNTIF(connections!$B$2:$B$1205,$A446))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IF(connections!$A446="","",IFERROR(INDEX(games!$B$2:$B$846,MATCH(connections!$A446,games!$A$2:$A$846,0)),""))</f>
        <v>2018</v>
      </c>
      <c r="U446">
        <f>IF(connections!$A446="","",IFERROR(INDEX(games!$B$2:$B$846,MATCH(connections!$B446,games!$A$2:$A$846,0)),""))</f>
        <v>2025</v>
      </c>
      <c r="V446">
        <f t="shared" si="83"/>
        <v>7</v>
      </c>
    </row>
    <row r="447" spans="1:22" x14ac:dyDescent="0.25">
      <c r="A447" t="str">
        <f>IF(games!$A447="","",games!$A447)</f>
        <v>Monster Train 2</v>
      </c>
      <c r="B447">
        <f>IF($A447="","",games!$B447)</f>
        <v>2025</v>
      </c>
      <c r="C447" t="str">
        <f>IF($A447="","",games!$C447)</f>
        <v>Deckbuilder</v>
      </c>
      <c r="D447">
        <f>IF($A447="","",COUNTIF(connections!$A$2:$A$1205,$A447)+COUNTIF(connections!$B$2:$B$1205,$A447))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IF(connections!$A447="","",IFERROR(INDEX(games!$B$2:$B$846,MATCH(connections!$A447,games!$A$2:$A$846,0)),""))</f>
        <v>2018</v>
      </c>
      <c r="U447">
        <f>IF(connections!$A447="","",IFERROR(INDEX(games!$B$2:$B$846,MATCH(connections!$B447,games!$A$2:$A$846,0)),""))</f>
        <v>2024</v>
      </c>
      <c r="V447">
        <f t="shared" si="83"/>
        <v>6</v>
      </c>
    </row>
    <row r="448" spans="1:22" x14ac:dyDescent="0.25">
      <c r="A448" t="str">
        <f>IF(games!$A448="","",games!$A448)</f>
        <v>Monsters are Coming!</v>
      </c>
      <c r="B448">
        <f>IF($A448="","",games!$B448)</f>
        <v>2025</v>
      </c>
      <c r="C448" t="str">
        <f>IF($A448="","",games!$C448)</f>
        <v>Action</v>
      </c>
      <c r="D448">
        <f>IF($A448="","",COUNTIF(connections!$A$2:$A$1205,$A448)+COUNTIF(connections!$B$2:$B$1205,$A448))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IF(connections!$A448="","",IFERROR(INDEX(games!$B$2:$B$846,MATCH(connections!$A448,games!$A$2:$A$846,0)),""))</f>
        <v>2013</v>
      </c>
      <c r="U448">
        <f>IF(connections!$A448="","",IFERROR(INDEX(games!$B$2:$B$846,MATCH(connections!$B448,games!$A$2:$A$846,0)),""))</f>
        <v>2012</v>
      </c>
      <c r="V448">
        <f t="shared" si="83"/>
        <v>-1</v>
      </c>
    </row>
    <row r="449" spans="1:22" x14ac:dyDescent="0.25">
      <c r="A449" t="str">
        <f>IF(games!$A449="","",games!$A449)</f>
        <v>Monstrum</v>
      </c>
      <c r="B449">
        <f>IF($A449="","",games!$B449)</f>
        <v>2015</v>
      </c>
      <c r="C449" t="str">
        <f>IF($A449="","",games!$C449)</f>
        <v>Action</v>
      </c>
      <c r="D449">
        <f>IF($A449="","",COUNTIF(connections!$A$2:$A$1205,$A449)+COUNTIF(connections!$B$2:$B$1205,$A449))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IF(connections!$A449="","",IFERROR(INDEX(games!$B$2:$B$846,MATCH(connections!$A449,games!$A$2:$A$846,0)),""))</f>
        <v>2013</v>
      </c>
      <c r="U449">
        <f>IF(connections!$A449="","",IFERROR(INDEX(games!$B$2:$B$846,MATCH(connections!$B449,games!$A$2:$A$846,0)),""))</f>
        <v>2018</v>
      </c>
      <c r="V449">
        <f t="shared" si="83"/>
        <v>5</v>
      </c>
    </row>
    <row r="450" spans="1:22" x14ac:dyDescent="0.25">
      <c r="A450" t="str">
        <f>IF(games!$A450="","",games!$A450)</f>
        <v>Montabi</v>
      </c>
      <c r="B450">
        <f>IF($A450="","",games!$B450)</f>
        <v>2026</v>
      </c>
      <c r="C450" t="str">
        <f>IF($A450="","",games!$C450)</f>
        <v>Deckbuilder</v>
      </c>
      <c r="D450">
        <f>IF($A450="","",COUNTIF(connections!$A$2:$A$1205,$A450)+COUNTIF(connections!$B$2:$B$1205,$A450))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IF(connections!$A450="","",IFERROR(INDEX(games!$B$2:$B$846,MATCH(connections!$A450,games!$A$2:$A$846,0)),""))</f>
        <v>2007</v>
      </c>
      <c r="U450">
        <f>IF(connections!$A450="","",IFERROR(INDEX(games!$B$2:$B$846,MATCH(connections!$B450,games!$A$2:$A$846,0)),""))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IF($A451="","",COUNTIF(connections!$A$2:$A$1205,$A451)+COUNTIF(connections!$B$2:$B$1205,$A451))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IF(connections!$A451="","",IFERROR(INDEX(games!$B$2:$B$846,MATCH(connections!$A451,games!$A$2:$A$846,0)),""))</f>
        <v>2021</v>
      </c>
      <c r="U451">
        <f>IF(connections!$A451="","",IFERROR(INDEX(games!$B$2:$B$846,MATCH(connections!$B451,games!$A$2:$A$846,0)),""))</f>
        <v>2022</v>
      </c>
      <c r="V451">
        <f t="shared" si="95"/>
        <v>1</v>
      </c>
    </row>
    <row r="452" spans="1:22" x14ac:dyDescent="0.25">
      <c r="A452" t="str">
        <f>IF(games!$A452="","",games!$A452)</f>
        <v>Moon Watch</v>
      </c>
      <c r="B452">
        <f>IF($A452="","",games!$B452)</f>
        <v>2024</v>
      </c>
      <c r="C452" t="str">
        <f>IF($A452="","",games!$C452)</f>
        <v>Action</v>
      </c>
      <c r="D452">
        <f>IF($A452="","",COUNTIF(connections!$A$2:$A$1205,$A452)+COUNTIF(connections!$B$2:$B$1205,$A452))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IF(connections!$A452="","",IFERROR(INDEX(games!$B$2:$B$846,MATCH(connections!$A452,games!$A$2:$A$846,0)),""))</f>
        <v>2021</v>
      </c>
      <c r="U452">
        <f>IF(connections!$A452="","",IFERROR(INDEX(games!$B$2:$B$846,MATCH(connections!$B452,games!$A$2:$A$846,0)),""))</f>
        <v>2026</v>
      </c>
      <c r="V452">
        <f t="shared" si="95"/>
        <v>5</v>
      </c>
    </row>
    <row r="453" spans="1:22" x14ac:dyDescent="0.25">
      <c r="A453" t="str">
        <f>IF(games!$A453="","",games!$A453)</f>
        <v>Moonlighter</v>
      </c>
      <c r="B453">
        <f>IF($A453="","",games!$B453)</f>
        <v>2018</v>
      </c>
      <c r="C453" t="str">
        <f>IF($A453="","",games!$C453)</f>
        <v>Action</v>
      </c>
      <c r="D453">
        <f>IF($A453="","",COUNTIF(connections!$A$2:$A$1205,$A453)+COUNTIF(connections!$B$2:$B$1205,$A453))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IF(connections!$A453="","",IFERROR(INDEX(games!$B$2:$B$846,MATCH(connections!$A453,games!$A$2:$A$846,0)),""))</f>
        <v>2021</v>
      </c>
      <c r="U453">
        <f>IF(connections!$A453="","",IFERROR(INDEX(games!$B$2:$B$846,MATCH(connections!$B453,games!$A$2:$A$846,0)),""))</f>
        <v>2023</v>
      </c>
      <c r="V453">
        <f t="shared" si="95"/>
        <v>2</v>
      </c>
    </row>
    <row r="454" spans="1:22" x14ac:dyDescent="0.25">
      <c r="A454" t="str">
        <f>IF(games!$A454="","",games!$A454)</f>
        <v>Moonlighter 2: The Endless Vault</v>
      </c>
      <c r="B454">
        <f>IF($A454="","",games!$B454)</f>
        <v>2025</v>
      </c>
      <c r="C454" t="str">
        <f>IF($A454="","",games!$C454)</f>
        <v>Action</v>
      </c>
      <c r="D454">
        <f>IF($A454="","",COUNTIF(connections!$A$2:$A$1205,$A454)+COUNTIF(connections!$B$2:$B$1205,$A454))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IF(connections!$A454="","",IFERROR(INDEX(games!$B$2:$B$846,MATCH(connections!$A454,games!$A$2:$A$846,0)),""))</f>
        <v>2021</v>
      </c>
      <c r="U454">
        <f>IF(connections!$A454="","",IFERROR(INDEX(games!$B$2:$B$846,MATCH(connections!$B454,games!$A$2:$A$846,0)),""))</f>
        <v>2026</v>
      </c>
      <c r="V454">
        <f t="shared" si="95"/>
        <v>5</v>
      </c>
    </row>
    <row r="455" spans="1:22" x14ac:dyDescent="0.25">
      <c r="A455" t="str">
        <f>IF(games!$A455="","",games!$A455)</f>
        <v>Moonring</v>
      </c>
      <c r="B455">
        <f>IF($A455="","",games!$B455)</f>
        <v>2023</v>
      </c>
      <c r="C455" t="str">
        <f>IF($A455="","",games!$C455)</f>
        <v>Traditional</v>
      </c>
      <c r="D455">
        <f>IF($A455="","",COUNTIF(connections!$A$2:$A$1205,$A455)+COUNTIF(connections!$B$2:$B$1205,$A455))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IF(connections!$A455="","",IFERROR(INDEX(games!$B$2:$B$846,MATCH(connections!$A455,games!$A$2:$A$846,0)),""))</f>
        <v>2021</v>
      </c>
      <c r="U455">
        <f>IF(connections!$A455="","",IFERROR(INDEX(games!$B$2:$B$846,MATCH(connections!$B455,games!$A$2:$A$846,0)),""))</f>
        <v>2025</v>
      </c>
      <c r="V455">
        <f t="shared" si="95"/>
        <v>4</v>
      </c>
    </row>
    <row r="456" spans="1:22" x14ac:dyDescent="0.25">
      <c r="A456" t="str">
        <f>IF(games!$A456="","",games!$A456)</f>
        <v>Morbid Metal</v>
      </c>
      <c r="B456">
        <f>IF($A456="","",games!$B456)</f>
        <v>2026</v>
      </c>
      <c r="C456" t="str">
        <f>IF($A456="","",games!$C456)</f>
        <v>Action</v>
      </c>
      <c r="D456">
        <f>IF($A456="","",COUNTIF(connections!$A$2:$A$1205,$A456)+COUNTIF(connections!$B$2:$B$1205,$A456))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IF(connections!$A456="","",IFERROR(INDEX(games!$B$2:$B$846,MATCH(connections!$A456,games!$A$2:$A$846,0)),""))</f>
        <v>2021</v>
      </c>
      <c r="U456">
        <f>IF(connections!$A456="","",IFERROR(INDEX(games!$B$2:$B$846,MATCH(connections!$B456,games!$A$2:$A$846,0)),""))</f>
        <v>2025</v>
      </c>
      <c r="V456">
        <f t="shared" si="95"/>
        <v>4</v>
      </c>
    </row>
    <row r="457" spans="1:22" x14ac:dyDescent="0.25">
      <c r="A457" t="str">
        <f>IF(games!$A457="","",games!$A457)</f>
        <v>Moria</v>
      </c>
      <c r="B457">
        <f>IF($A457="","",games!$B457)</f>
        <v>1983</v>
      </c>
      <c r="C457" t="str">
        <f>IF($A457="","",games!$C457)</f>
        <v>Traditional</v>
      </c>
      <c r="D457">
        <f>IF($A457="","",COUNTIF(connections!$A$2:$A$1205,$A457)+COUNTIF(connections!$B$2:$B$1205,$A457))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IF(connections!$A457="","",IFERROR(INDEX(games!$B$2:$B$846,MATCH(connections!$A457,games!$A$2:$A$846,0)),""))</f>
        <v>2021</v>
      </c>
      <c r="U457">
        <f>IF(connections!$A457="","",IFERROR(INDEX(games!$B$2:$B$846,MATCH(connections!$B457,games!$A$2:$A$846,0)),""))</f>
        <v>2025</v>
      </c>
      <c r="V457">
        <f t="shared" si="95"/>
        <v>4</v>
      </c>
    </row>
    <row r="458" spans="1:22" x14ac:dyDescent="0.25">
      <c r="A458" t="str">
        <f>IF(games!$A458="","",games!$A458)</f>
        <v>Morimens</v>
      </c>
      <c r="B458">
        <f>IF($A458="","",games!$B458)</f>
        <v>2024</v>
      </c>
      <c r="C458" t="str">
        <f>IF($A458="","",games!$C458)</f>
        <v>Deckbuilder</v>
      </c>
      <c r="D458">
        <f>IF($A458="","",COUNTIF(connections!$A$2:$A$1205,$A458)+COUNTIF(connections!$B$2:$B$1205,$A458))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IF(connections!$A458="","",IFERROR(INDEX(games!$B$2:$B$846,MATCH(connections!$A458,games!$A$2:$A$846,0)),""))</f>
        <v>2021</v>
      </c>
      <c r="U458">
        <f>IF(connections!$A458="","",IFERROR(INDEX(games!$B$2:$B$846,MATCH(connections!$B458,games!$A$2:$A$846,0)),""))</f>
        <v>2022</v>
      </c>
      <c r="V458">
        <f t="shared" si="95"/>
        <v>1</v>
      </c>
    </row>
    <row r="459" spans="1:22" x14ac:dyDescent="0.25">
      <c r="A459" t="str">
        <f>IF(games!$A459="","",games!$A459)</f>
        <v>Morsels</v>
      </c>
      <c r="B459">
        <f>IF($A459="","",games!$B459)</f>
        <v>2025</v>
      </c>
      <c r="C459" t="str">
        <f>IF($A459="","",games!$C459)</f>
        <v>Action</v>
      </c>
      <c r="D459">
        <f>IF($A459="","",COUNTIF(connections!$A$2:$A$1205,$A459)+COUNTIF(connections!$B$2:$B$1205,$A459))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IF(connections!$A459="","",IFERROR(INDEX(games!$B$2:$B$846,MATCH(connections!$A459,games!$A$2:$A$846,0)),""))</f>
        <v>2021</v>
      </c>
      <c r="U459">
        <f>IF(connections!$A459="","",IFERROR(INDEX(games!$B$2:$B$846,MATCH(connections!$B459,games!$A$2:$A$846,0)),""))</f>
        <v>2025</v>
      </c>
      <c r="V459">
        <f t="shared" si="95"/>
        <v>4</v>
      </c>
    </row>
    <row r="460" spans="1:22" x14ac:dyDescent="0.25">
      <c r="A460" t="str">
        <f>IF(games!$A460="","",games!$A460)</f>
        <v>Mortal Sin</v>
      </c>
      <c r="B460">
        <f>IF($A460="","",games!$B460)</f>
        <v>2023</v>
      </c>
      <c r="C460" t="str">
        <f>IF($A460="","",games!$C460)</f>
        <v>Action</v>
      </c>
      <c r="D460">
        <f>IF($A460="","",COUNTIF(connections!$A$2:$A$1205,$A460)+COUNTIF(connections!$B$2:$B$1205,$A460))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IF(connections!$A460="","",IFERROR(INDEX(games!$B$2:$B$846,MATCH(connections!$A460,games!$A$2:$A$846,0)),""))</f>
        <v>2021</v>
      </c>
      <c r="U460">
        <f>IF(connections!$A460="","",IFERROR(INDEX(games!$B$2:$B$846,MATCH(connections!$B460,games!$A$2:$A$846,0)),""))</f>
        <v>2025</v>
      </c>
      <c r="V460">
        <f t="shared" si="95"/>
        <v>4</v>
      </c>
    </row>
    <row r="461" spans="1:22" x14ac:dyDescent="0.25">
      <c r="A461" t="str">
        <f>IF(games!$A461="","",games!$A461)</f>
        <v>Mothergunship</v>
      </c>
      <c r="B461">
        <f>IF($A461="","",games!$B461)</f>
        <v>2018</v>
      </c>
      <c r="C461" t="str">
        <f>IF($A461="","",games!$C461)</f>
        <v>Action</v>
      </c>
      <c r="D461">
        <f>IF($A461="","",COUNTIF(connections!$A$2:$A$1205,$A461)+COUNTIF(connections!$B$2:$B$1205,$A461))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IF(connections!$A461="","",IFERROR(INDEX(games!$B$2:$B$846,MATCH(connections!$A461,games!$A$2:$A$846,0)),""))</f>
        <v>2018</v>
      </c>
      <c r="U461">
        <f>IF(connections!$A461="","",IFERROR(INDEX(games!$B$2:$B$846,MATCH(connections!$B461,games!$A$2:$A$846,0)),""))</f>
        <v>2022</v>
      </c>
      <c r="V461">
        <f t="shared" si="95"/>
        <v>4</v>
      </c>
    </row>
    <row r="462" spans="1:22" x14ac:dyDescent="0.25">
      <c r="A462" t="str">
        <f>IF(games!$A462="","",games!$A462)</f>
        <v>Mothergunship: Forge</v>
      </c>
      <c r="B462">
        <f>IF($A462="","",games!$B462)</f>
        <v>2022</v>
      </c>
      <c r="C462" t="str">
        <f>IF($A462="","",games!$C462)</f>
        <v>Action</v>
      </c>
      <c r="D462">
        <f>IF($A462="","",COUNTIF(connections!$A$2:$A$1205,$A462)+COUNTIF(connections!$B$2:$B$1205,$A462))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IF(connections!$A462="","",IFERROR(INDEX(games!$B$2:$B$846,MATCH(connections!$A462,games!$A$2:$A$846,0)),""))</f>
        <v>2018</v>
      </c>
      <c r="U462">
        <f>IF(connections!$A462="","",IFERROR(INDEX(games!$B$2:$B$846,MATCH(connections!$B462,games!$A$2:$A$846,0)),""))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IF($A463="","",COUNTIF(connections!$A$2:$A$1205,$A463)+COUNTIF(connections!$B$2:$B$1205,$A463))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IF(connections!$A463="","",IFERROR(INDEX(games!$B$2:$B$846,MATCH(connections!$A463,games!$A$2:$A$846,0)),""))</f>
        <v>2018</v>
      </c>
      <c r="U463">
        <f>IF(connections!$A463="","",IFERROR(INDEX(games!$B$2:$B$846,MATCH(connections!$B463,games!$A$2:$A$846,0)),""))</f>
        <v>2022</v>
      </c>
      <c r="V463">
        <f t="shared" si="95"/>
        <v>4</v>
      </c>
    </row>
    <row r="464" spans="1:22" x14ac:dyDescent="0.25">
      <c r="A464" t="str">
        <f>IF(games!$A464="","",games!$A464)</f>
        <v>Mr. Sun's Hatbox</v>
      </c>
      <c r="B464">
        <f>IF($A464="","",games!$B464)</f>
        <v>2023</v>
      </c>
      <c r="C464" t="str">
        <f>IF($A464="","",games!$C464)</f>
        <v>Action</v>
      </c>
      <c r="D464">
        <f>IF($A464="","",COUNTIF(connections!$A$2:$A$1205,$A464)+COUNTIF(connections!$B$2:$B$1205,$A464))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IF(connections!$A464="","",IFERROR(INDEX(games!$B$2:$B$846,MATCH(connections!$A464,games!$A$2:$A$846,0)),""))</f>
        <v>2018</v>
      </c>
      <c r="U464">
        <f>IF(connections!$A464="","",IFERROR(INDEX(games!$B$2:$B$846,MATCH(connections!$B464,games!$A$2:$A$846,0)),""))</f>
        <v>2026</v>
      </c>
      <c r="V464">
        <f t="shared" si="95"/>
        <v>8</v>
      </c>
    </row>
    <row r="465" spans="1:22" x14ac:dyDescent="0.25">
      <c r="A465" t="str">
        <f>IF(games!$A465="","",games!$A465)</f>
        <v>Muck</v>
      </c>
      <c r="B465">
        <f>IF($A465="","",games!$B465)</f>
        <v>2021</v>
      </c>
      <c r="C465" t="str">
        <f>IF($A465="","",games!$C465)</f>
        <v>Action</v>
      </c>
      <c r="D465">
        <f>IF($A465="","",COUNTIF(connections!$A$2:$A$1205,$A465)+COUNTIF(connections!$B$2:$B$1205,$A465))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IF(connections!$A465="","",IFERROR(INDEX(games!$B$2:$B$846,MATCH(connections!$A465,games!$A$2:$A$846,0)),""))</f>
        <v>2018</v>
      </c>
      <c r="U465">
        <f>IF(connections!$A465="","",IFERROR(INDEX(games!$B$2:$B$846,MATCH(connections!$B465,games!$A$2:$A$846,0)),""))</f>
        <v>2026</v>
      </c>
      <c r="V465">
        <f t="shared" si="95"/>
        <v>8</v>
      </c>
    </row>
    <row r="466" spans="1:22" x14ac:dyDescent="0.25">
      <c r="A466" t="str">
        <f>IF(games!$A466="","",games!$A466)</f>
        <v>My Card Is Better Than Your Card!</v>
      </c>
      <c r="B466">
        <f>IF($A466="","",games!$B466)</f>
        <v>2025</v>
      </c>
      <c r="C466" t="str">
        <f>IF($A466="","",games!$C466)</f>
        <v>Deckbuilder</v>
      </c>
      <c r="D466">
        <f>IF($A466="","",COUNTIF(connections!$A$2:$A$1205,$A466)+COUNTIF(connections!$B$2:$B$1205,$A466))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IF(connections!$A466="","",IFERROR(INDEX(games!$B$2:$B$846,MATCH(connections!$A466,games!$A$2:$A$846,0)),""))</f>
        <v>2018</v>
      </c>
      <c r="U466">
        <f>IF(connections!$A466="","",IFERROR(INDEX(games!$B$2:$B$846,MATCH(connections!$B466,games!$A$2:$A$846,0)),""))</f>
        <v>2023</v>
      </c>
      <c r="V466">
        <f t="shared" si="95"/>
        <v>5</v>
      </c>
    </row>
    <row r="467" spans="1:22" x14ac:dyDescent="0.25">
      <c r="A467" t="str">
        <f>IF(games!$A467="","",games!$A467)</f>
        <v>Mystery Chronicle: One Way Heroics</v>
      </c>
      <c r="B467">
        <f>IF($A467="","",games!$B467)</f>
        <v>2016</v>
      </c>
      <c r="C467" t="str">
        <f>IF($A467="","",games!$C467)</f>
        <v>Traditional</v>
      </c>
      <c r="D467">
        <f>IF($A467="","",COUNTIF(connections!$A$2:$A$1205,$A467)+COUNTIF(connections!$B$2:$B$1205,$A467))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IF(connections!$A467="","",IFERROR(INDEX(games!$B$2:$B$846,MATCH(connections!$A467,games!$A$2:$A$846,0)),""))</f>
        <v>2018</v>
      </c>
      <c r="U467">
        <f>IF(connections!$A467="","",IFERROR(INDEX(games!$B$2:$B$846,MATCH(connections!$B467,games!$A$2:$A$846,0)),""))</f>
        <v>2024</v>
      </c>
      <c r="V467">
        <f t="shared" si="95"/>
        <v>6</v>
      </c>
    </row>
    <row r="468" spans="1:22" x14ac:dyDescent="0.25">
      <c r="A468" t="str">
        <f>IF(games!$A468="","",games!$A468)</f>
        <v>Mystery Dungeon 2: Shiren the Wanderer</v>
      </c>
      <c r="B468">
        <f>IF($A468="","",games!$B468)</f>
        <v>1995</v>
      </c>
      <c r="C468" t="str">
        <f>IF($A468="","",games!$C468)</f>
        <v>Traditional</v>
      </c>
      <c r="D468">
        <f>IF($A468="","",COUNTIF(connections!$A$2:$A$1205,$A468)+COUNTIF(connections!$B$2:$B$1205,$A468))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IF(connections!$A468="","",IFERROR(INDEX(games!$B$2:$B$846,MATCH(connections!$A468,games!$A$2:$A$846,0)),""))</f>
        <v>2018</v>
      </c>
      <c r="U468">
        <f>IF(connections!$A468="","",IFERROR(INDEX(games!$B$2:$B$846,MATCH(connections!$B468,games!$A$2:$A$846,0)),""))</f>
        <v>2023</v>
      </c>
      <c r="V468">
        <f t="shared" si="95"/>
        <v>5</v>
      </c>
    </row>
    <row r="469" spans="1:22" x14ac:dyDescent="0.25">
      <c r="A469" t="str">
        <f>IF(games!$A469="","",games!$A469)</f>
        <v>Mythical Concept Starnaut</v>
      </c>
      <c r="B469">
        <f>IF($A469="","",games!$B469)</f>
        <v>2024</v>
      </c>
      <c r="C469" t="str">
        <f>IF($A469="","",games!$C469)</f>
        <v>Action</v>
      </c>
      <c r="D469">
        <f>IF($A469="","",COUNTIF(connections!$A$2:$A$1205,$A469)+COUNTIF(connections!$B$2:$B$1205,$A469))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IF(connections!$A469="","",IFERROR(INDEX(games!$B$2:$B$846,MATCH(connections!$A469,games!$A$2:$A$846,0)),""))</f>
        <v>2018</v>
      </c>
      <c r="U469">
        <f>IF(connections!$A469="","",IFERROR(INDEX(games!$B$2:$B$846,MATCH(connections!$B469,games!$A$2:$A$846,0)),""))</f>
        <v>2021</v>
      </c>
      <c r="V469">
        <f t="shared" si="95"/>
        <v>3</v>
      </c>
    </row>
    <row r="470" spans="1:22" x14ac:dyDescent="0.25">
      <c r="A470" t="str">
        <f>IF(games!$A470="","",games!$A470)</f>
        <v>Nadir</v>
      </c>
      <c r="B470">
        <f>IF($A470="","",games!$B470)</f>
        <v>2022</v>
      </c>
      <c r="C470" t="str">
        <f>IF($A470="","",games!$C470)</f>
        <v>Deckbuilder</v>
      </c>
      <c r="D470">
        <f>IF($A470="","",COUNTIF(connections!$A$2:$A$1205,$A470)+COUNTIF(connections!$B$2:$B$1205,$A470))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IF(connections!$A470="","",IFERROR(INDEX(games!$B$2:$B$846,MATCH(connections!$A470,games!$A$2:$A$846,0)),""))</f>
        <v>2018</v>
      </c>
      <c r="U470">
        <f>IF(connections!$A470="","",IFERROR(INDEX(games!$B$2:$B$846,MATCH(connections!$B470,games!$A$2:$A$846,0)),""))</f>
        <v>2026</v>
      </c>
      <c r="V470">
        <f t="shared" si="95"/>
        <v>8</v>
      </c>
    </row>
    <row r="471" spans="1:22" x14ac:dyDescent="0.25">
      <c r="A471" t="str">
        <f>IF(games!$A471="","",games!$A471)</f>
        <v>NecroBouncer</v>
      </c>
      <c r="B471">
        <f>IF($A471="","",games!$B471)</f>
        <v>2022</v>
      </c>
      <c r="C471" t="str">
        <f>IF($A471="","",games!$C471)</f>
        <v>Action</v>
      </c>
      <c r="D471">
        <f>IF($A471="","",COUNTIF(connections!$A$2:$A$1205,$A471)+COUNTIF(connections!$B$2:$B$1205,$A471))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IF(connections!$A471="","",IFERROR(INDEX(games!$B$2:$B$846,MATCH(connections!$A471,games!$A$2:$A$846,0)),""))</f>
        <v>2018</v>
      </c>
      <c r="U471">
        <f>IF(connections!$A471="","",IFERROR(INDEX(games!$B$2:$B$846,MATCH(connections!$B471,games!$A$2:$A$846,0)),""))</f>
        <v>2024</v>
      </c>
      <c r="V471">
        <f t="shared" si="95"/>
        <v>6</v>
      </c>
    </row>
    <row r="472" spans="1:22" x14ac:dyDescent="0.25">
      <c r="A472" t="str">
        <f>IF(games!$A472="","",games!$A472)</f>
        <v>Necroking</v>
      </c>
      <c r="B472">
        <f>IF($A472="","",games!$B472)</f>
        <v>2024</v>
      </c>
      <c r="C472" t="str">
        <f>IF($A472="","",games!$C472)</f>
        <v>Strategy</v>
      </c>
      <c r="D472">
        <f>IF($A472="","",COUNTIF(connections!$A$2:$A$1205,$A472)+COUNTIF(connections!$B$2:$B$1205,$A472))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IF(connections!$A472="","",IFERROR(INDEX(games!$B$2:$B$846,MATCH(connections!$A472,games!$A$2:$A$846,0)),""))</f>
        <v>2018</v>
      </c>
      <c r="U472">
        <f>IF(connections!$A472="","",IFERROR(INDEX(games!$B$2:$B$846,MATCH(connections!$B472,games!$A$2:$A$846,0)),""))</f>
        <v>2021</v>
      </c>
      <c r="V472">
        <f t="shared" si="95"/>
        <v>3</v>
      </c>
    </row>
    <row r="473" spans="1:22" x14ac:dyDescent="0.25">
      <c r="A473" t="str">
        <f>IF(games!$A473="","",games!$A473)</f>
        <v>Necrosmith</v>
      </c>
      <c r="B473">
        <f>IF($A473="","",games!$B473)</f>
        <v>2022</v>
      </c>
      <c r="C473" t="str">
        <f>IF($A473="","",games!$C473)</f>
        <v>Action</v>
      </c>
      <c r="D473">
        <f>IF($A473="","",COUNTIF(connections!$A$2:$A$1205,$A473)+COUNTIF(connections!$B$2:$B$1205,$A473))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IF(connections!$A473="","",IFERROR(INDEX(games!$B$2:$B$846,MATCH(connections!$A473,games!$A$2:$A$846,0)),""))</f>
        <v>2018</v>
      </c>
      <c r="U473">
        <f>IF(connections!$A473="","",IFERROR(INDEX(games!$B$2:$B$846,MATCH(connections!$B473,games!$A$2:$A$846,0)),""))</f>
        <v>2024</v>
      </c>
      <c r="V473">
        <f t="shared" si="95"/>
        <v>6</v>
      </c>
    </row>
    <row r="474" spans="1:22" x14ac:dyDescent="0.25">
      <c r="A474" t="str">
        <f>IF(games!$A474="","",games!$A474)</f>
        <v>Necrosmith 2</v>
      </c>
      <c r="B474">
        <f>IF($A474="","",games!$B474)</f>
        <v>2024</v>
      </c>
      <c r="C474" t="str">
        <f>IF($A474="","",games!$C474)</f>
        <v>Action</v>
      </c>
      <c r="D474">
        <f>IF($A474="","",COUNTIF(connections!$A$2:$A$1205,$A474)+COUNTIF(connections!$B$2:$B$1205,$A474))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IF(connections!$A474="","",IFERROR(INDEX(games!$B$2:$B$846,MATCH(connections!$A474,games!$A$2:$A$846,0)),""))</f>
        <v>2018</v>
      </c>
      <c r="U474">
        <f>IF(connections!$A474="","",IFERROR(INDEX(games!$B$2:$B$846,MATCH(connections!$B474,games!$A$2:$A$846,0)),""))</f>
        <v>2023</v>
      </c>
      <c r="V474">
        <f t="shared" si="95"/>
        <v>5</v>
      </c>
    </row>
    <row r="475" spans="1:22" x14ac:dyDescent="0.25">
      <c r="A475" t="str">
        <f>IF(games!$A475="","",games!$A475)</f>
        <v>Neon Abyss</v>
      </c>
      <c r="B475">
        <f>IF($A475="","",games!$B475)</f>
        <v>2019</v>
      </c>
      <c r="C475" t="str">
        <f>IF($A475="","",games!$C475)</f>
        <v>Action</v>
      </c>
      <c r="D475">
        <f>IF($A475="","",COUNTIF(connections!$A$2:$A$1205,$A475)+COUNTIF(connections!$B$2:$B$1205,$A475))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IF(connections!$A475="","",IFERROR(INDEX(games!$B$2:$B$846,MATCH(connections!$A475,games!$A$2:$A$846,0)),""))</f>
        <v>2018</v>
      </c>
      <c r="U475">
        <f>IF(connections!$A475="","",IFERROR(INDEX(games!$B$2:$B$846,MATCH(connections!$B475,games!$A$2:$A$846,0)),""))</f>
        <v>2023</v>
      </c>
      <c r="V475">
        <f t="shared" si="95"/>
        <v>5</v>
      </c>
    </row>
    <row r="476" spans="1:22" x14ac:dyDescent="0.25">
      <c r="A476" t="str">
        <f>IF(games!$A476="","",games!$A476)</f>
        <v>Neon Abyss 2</v>
      </c>
      <c r="B476">
        <f>IF($A476="","",games!$B476)</f>
        <v>2025</v>
      </c>
      <c r="C476" t="str">
        <f>IF($A476="","",games!$C476)</f>
        <v>Action</v>
      </c>
      <c r="D476">
        <f>IF($A476="","",COUNTIF(connections!$A$2:$A$1205,$A476)+COUNTIF(connections!$B$2:$B$1205,$A476))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IF(connections!$A476="","",IFERROR(INDEX(games!$B$2:$B$846,MATCH(connections!$A476,games!$A$2:$A$846,0)),""))</f>
        <v>2018</v>
      </c>
      <c r="U476">
        <f>IF(connections!$A476="","",IFERROR(INDEX(games!$B$2:$B$846,MATCH(connections!$B476,games!$A$2:$A$846,0)),""))</f>
        <v>2022</v>
      </c>
      <c r="V476">
        <f t="shared" si="95"/>
        <v>4</v>
      </c>
    </row>
    <row r="477" spans="1:22" x14ac:dyDescent="0.25">
      <c r="A477" t="str">
        <f>IF(games!$A477="","",games!$A477)</f>
        <v>Neophyte</v>
      </c>
      <c r="B477">
        <f>IF($A477="","",games!$B477)</f>
        <v>2022</v>
      </c>
      <c r="C477" t="str">
        <f>IF($A477="","",games!$C477)</f>
        <v>Action</v>
      </c>
      <c r="D477">
        <f>IF($A477="","",COUNTIF(connections!$A$2:$A$1205,$A477)+COUNTIF(connections!$B$2:$B$1205,$A477))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IF(connections!$A477="","",IFERROR(INDEX(games!$B$2:$B$846,MATCH(connections!$A477,games!$A$2:$A$846,0)),""))</f>
        <v>2018</v>
      </c>
      <c r="U477">
        <f>IF(connections!$A477="","",IFERROR(INDEX(games!$B$2:$B$846,MATCH(connections!$B477,games!$A$2:$A$846,0)),""))</f>
        <v>2021</v>
      </c>
      <c r="V477">
        <f t="shared" si="95"/>
        <v>3</v>
      </c>
    </row>
    <row r="478" spans="1:22" x14ac:dyDescent="0.25">
      <c r="A478" t="str">
        <f>IF(games!$A478="","",games!$A478)</f>
        <v>NetHack</v>
      </c>
      <c r="B478">
        <f>IF($A478="","",games!$B478)</f>
        <v>1987</v>
      </c>
      <c r="C478" t="str">
        <f>IF($A478="","",games!$C478)</f>
        <v>Traditional</v>
      </c>
      <c r="D478">
        <f>IF($A478="","",COUNTIF(connections!$A$2:$A$1205,$A478)+COUNTIF(connections!$B$2:$B$1205,$A478))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IF(connections!$A478="","",IFERROR(INDEX(games!$B$2:$B$846,MATCH(connections!$A478,games!$A$2:$A$846,0)),""))</f>
        <v>2018</v>
      </c>
      <c r="U478">
        <f>IF(connections!$A478="","",IFERROR(INDEX(games!$B$2:$B$846,MATCH(connections!$B478,games!$A$2:$A$846,0)),""))</f>
        <v>2023</v>
      </c>
      <c r="V478">
        <f t="shared" si="95"/>
        <v>5</v>
      </c>
    </row>
    <row r="479" spans="1:22" x14ac:dyDescent="0.25">
      <c r="A479" t="str">
        <f>IF(games!$A479="","",games!$A479)</f>
        <v>Nigate Tale</v>
      </c>
      <c r="B479">
        <f>IF($A479="","",games!$B479)</f>
        <v>2021</v>
      </c>
      <c r="C479" t="str">
        <f>IF($A479="","",games!$C479)</f>
        <v>Action</v>
      </c>
      <c r="D479">
        <f>IF($A479="","",COUNTIF(connections!$A$2:$A$1205,$A479)+COUNTIF(connections!$B$2:$B$1205,$A479))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IF(connections!$A479="","",IFERROR(INDEX(games!$B$2:$B$846,MATCH(connections!$A479,games!$A$2:$A$846,0)),""))</f>
        <v>2001</v>
      </c>
      <c r="U479">
        <f>IF(connections!$A479="","",IFERROR(INDEX(games!$B$2:$B$846,MATCH(connections!$B479,games!$A$2:$A$846,0)),""))</f>
        <v>2015</v>
      </c>
      <c r="V479">
        <f t="shared" si="95"/>
        <v>14</v>
      </c>
    </row>
    <row r="480" spans="1:22" x14ac:dyDescent="0.25">
      <c r="A480" t="str">
        <f>IF(games!$A480="","",games!$A480)</f>
        <v>Night Swarm</v>
      </c>
      <c r="B480">
        <f>IF($A480="","",games!$B480)</f>
        <v>2025</v>
      </c>
      <c r="C480" t="str">
        <f>IF($A480="","",games!$C480)</f>
        <v>Action</v>
      </c>
      <c r="D480">
        <f>IF($A480="","",COUNTIF(connections!$A$2:$A$1205,$A480)+COUNTIF(connections!$B$2:$B$1205,$A480))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IF(connections!$A480="","",IFERROR(INDEX(games!$B$2:$B$846,MATCH(connections!$A480,games!$A$2:$A$846,0)),""))</f>
        <v>2006</v>
      </c>
      <c r="U480">
        <f>IF(connections!$A480="","",IFERROR(INDEX(games!$B$2:$B$846,MATCH(connections!$B480,games!$A$2:$A$846,0)),""))</f>
        <v>2007</v>
      </c>
      <c r="V480">
        <f t="shared" si="95"/>
        <v>1</v>
      </c>
    </row>
    <row r="481" spans="1:22" x14ac:dyDescent="0.25">
      <c r="A481" t="str">
        <f>IF(games!$A481="","",games!$A481)</f>
        <v>Nimrods</v>
      </c>
      <c r="B481">
        <f>IF($A481="","",games!$B481)</f>
        <v>2024</v>
      </c>
      <c r="C481" t="str">
        <f>IF($A481="","",games!$C481)</f>
        <v>Action</v>
      </c>
      <c r="D481">
        <f>IF($A481="","",COUNTIF(connections!$A$2:$A$1205,$A481)+COUNTIF(connections!$B$2:$B$1205,$A481))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IF(connections!$A481="","",IFERROR(INDEX(games!$B$2:$B$846,MATCH(connections!$A481,games!$A$2:$A$846,0)),""))</f>
        <v>2016</v>
      </c>
      <c r="U481">
        <f>IF(connections!$A481="","",IFERROR(INDEX(games!$B$2:$B$846,MATCH(connections!$B481,games!$A$2:$A$846,0)),""))</f>
        <v>2022</v>
      </c>
      <c r="V481">
        <f t="shared" si="95"/>
        <v>6</v>
      </c>
    </row>
    <row r="482" spans="1:22" x14ac:dyDescent="0.25">
      <c r="A482" t="str">
        <f>IF(games!$A482="","",games!$A482)</f>
        <v>Node Crown</v>
      </c>
      <c r="B482">
        <f>IF($A482="","",games!$B482)</f>
        <v>2026</v>
      </c>
      <c r="C482" t="str">
        <f>IF($A482="","",games!$C482)</f>
        <v>Deckbuilder</v>
      </c>
      <c r="D482">
        <f>IF($A482="","",COUNTIF(connections!$A$2:$A$1205,$A482)+COUNTIF(connections!$B$2:$B$1205,$A482))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IF(connections!$A482="","",IFERROR(INDEX(games!$B$2:$B$846,MATCH(connections!$A482,games!$A$2:$A$846,0)),""))</f>
        <v>2016</v>
      </c>
      <c r="U482">
        <f>IF(connections!$A482="","",IFERROR(INDEX(games!$B$2:$B$846,MATCH(connections!$B482,games!$A$2:$A$846,0)),""))</f>
        <v>2024</v>
      </c>
      <c r="V482">
        <f t="shared" si="95"/>
        <v>8</v>
      </c>
    </row>
    <row r="483" spans="1:22" x14ac:dyDescent="0.25">
      <c r="A483" t="str">
        <f>IF(games!$A483="","",games!$A483)</f>
        <v>Node Farm</v>
      </c>
      <c r="B483">
        <f>IF($A483="","",games!$B483)</f>
        <v>2024</v>
      </c>
      <c r="C483" t="str">
        <f>IF($A483="","",games!$C483)</f>
        <v>Strategy</v>
      </c>
      <c r="D483">
        <f>IF($A483="","",COUNTIF(connections!$A$2:$A$1205,$A483)+COUNTIF(connections!$B$2:$B$1205,$A483))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IF(connections!$A483="","",IFERROR(INDEX(games!$B$2:$B$846,MATCH(connections!$A483,games!$A$2:$A$846,0)),""))</f>
        <v>2016</v>
      </c>
      <c r="U483">
        <f>IF(connections!$A483="","",IFERROR(INDEX(games!$B$2:$B$846,MATCH(connections!$B483,games!$A$2:$A$846,0)),""))</f>
        <v>2019</v>
      </c>
      <c r="V483">
        <f t="shared" si="95"/>
        <v>3</v>
      </c>
    </row>
    <row r="484" spans="1:22" x14ac:dyDescent="0.25">
      <c r="A484" t="str">
        <f>IF(games!$A484="","",games!$A484)</f>
        <v>Noita</v>
      </c>
      <c r="B484">
        <f>IF($A484="","",games!$B484)</f>
        <v>2019</v>
      </c>
      <c r="C484" t="str">
        <f>IF($A484="","",games!$C484)</f>
        <v>Action</v>
      </c>
      <c r="D484">
        <f>IF($A484="","",COUNTIF(connections!$A$2:$A$1205,$A484)+COUNTIF(connections!$B$2:$B$1205,$A484))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IF(connections!$A484="","",IFERROR(INDEX(games!$B$2:$B$846,MATCH(connections!$A484,games!$A$2:$A$846,0)),""))</f>
        <v>1995</v>
      </c>
      <c r="U484">
        <f>IF(connections!$A484="","",IFERROR(INDEX(games!$B$2:$B$846,MATCH(connections!$B484,games!$A$2:$A$846,0)),""))</f>
        <v>2006</v>
      </c>
      <c r="V484">
        <f t="shared" si="95"/>
        <v>11</v>
      </c>
    </row>
    <row r="485" spans="1:22" x14ac:dyDescent="0.25">
      <c r="A485" t="str">
        <f>IF(games!$A485="","",games!$A485)</f>
        <v>Nomad Survival</v>
      </c>
      <c r="B485">
        <f>IF($A485="","",games!$B485)</f>
        <v>2022</v>
      </c>
      <c r="C485" t="str">
        <f>IF($A485="","",games!$C485)</f>
        <v>Action</v>
      </c>
      <c r="D485">
        <f>IF($A485="","",COUNTIF(connections!$A$2:$A$1205,$A485)+COUNTIF(connections!$B$2:$B$1205,$A485))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IF(connections!$A485="","",IFERROR(INDEX(games!$B$2:$B$846,MATCH(connections!$A485,games!$A$2:$A$846,0)),""))</f>
        <v>1995</v>
      </c>
      <c r="U485">
        <f>IF(connections!$A485="","",IFERROR(INDEX(games!$B$2:$B$846,MATCH(connections!$B485,games!$A$2:$A$846,0)),""))</f>
        <v>2006</v>
      </c>
      <c r="V485">
        <f t="shared" si="95"/>
        <v>11</v>
      </c>
    </row>
    <row r="486" spans="1:22" x14ac:dyDescent="0.25">
      <c r="A486" t="str">
        <f>IF(games!$A486="","",games!$A486)</f>
        <v>Noobs Are Coming</v>
      </c>
      <c r="B486">
        <f>IF($A486="","",games!$B486)</f>
        <v>2025</v>
      </c>
      <c r="C486" t="str">
        <f>IF($A486="","",games!$C486)</f>
        <v>Action</v>
      </c>
      <c r="D486">
        <f>IF($A486="","",COUNTIF(connections!$A$2:$A$1205,$A486)+COUNTIF(connections!$B$2:$B$1205,$A486))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IF(connections!$A486="","",IFERROR(INDEX(games!$B$2:$B$846,MATCH(connections!$A486,games!$A$2:$A$846,0)),""))</f>
        <v>1995</v>
      </c>
      <c r="U486">
        <f>IF(connections!$A486="","",IFERROR(INDEX(games!$B$2:$B$846,MATCH(connections!$B486,games!$A$2:$A$846,0)),""))</f>
        <v>2003</v>
      </c>
      <c r="V486">
        <f t="shared" si="95"/>
        <v>8</v>
      </c>
    </row>
    <row r="487" spans="1:22" x14ac:dyDescent="0.25">
      <c r="A487" t="str">
        <f>IF(games!$A487="","",games!$A487)</f>
        <v>Noobs Want to Live</v>
      </c>
      <c r="B487">
        <f>IF($A487="","",games!$B487)</f>
        <v>2023</v>
      </c>
      <c r="C487" t="str">
        <f>IF($A487="","",games!$C487)</f>
        <v>Action</v>
      </c>
      <c r="D487">
        <f>IF($A487="","",COUNTIF(connections!$A$2:$A$1205,$A487)+COUNTIF(connections!$B$2:$B$1205,$A487))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IF(connections!$A487="","",IFERROR(INDEX(games!$B$2:$B$846,MATCH(connections!$A487,games!$A$2:$A$846,0)),""))</f>
        <v>1995</v>
      </c>
      <c r="U487">
        <f>IF(connections!$A487="","",IFERROR(INDEX(games!$B$2:$B$846,MATCH(connections!$B487,games!$A$2:$A$846,0)),""))</f>
        <v>2002</v>
      </c>
      <c r="V487">
        <f t="shared" si="95"/>
        <v>7</v>
      </c>
    </row>
    <row r="488" spans="1:22" x14ac:dyDescent="0.25">
      <c r="A488" t="str">
        <f>IF(games!$A488="","",games!$A488)</f>
        <v>Nordhold</v>
      </c>
      <c r="B488">
        <f>IF($A488="","",games!$B488)</f>
        <v>2025</v>
      </c>
      <c r="C488" t="str">
        <f>IF($A488="","",games!$C488)</f>
        <v>Strategy</v>
      </c>
      <c r="D488">
        <f>IF($A488="","",COUNTIF(connections!$A$2:$A$1205,$A488)+COUNTIF(connections!$B$2:$B$1205,$A488))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IF(connections!$A488="","",IFERROR(INDEX(games!$B$2:$B$846,MATCH(connections!$A488,games!$A$2:$A$846,0)),""))</f>
        <v>2021</v>
      </c>
      <c r="U488">
        <f>IF(connections!$A488="","",IFERROR(INDEX(games!$B$2:$B$846,MATCH(connections!$B488,games!$A$2:$A$846,0)),""))</f>
        <v>2023</v>
      </c>
      <c r="V488">
        <f t="shared" si="95"/>
        <v>2</v>
      </c>
    </row>
    <row r="489" spans="1:22" x14ac:dyDescent="0.25">
      <c r="A489" t="str">
        <f>IF(games!$A489="","",games!$A489)</f>
        <v>Nordic Ashes: Survivors of Ragnarok</v>
      </c>
      <c r="B489">
        <f>IF($A489="","",games!$B489)</f>
        <v>2022</v>
      </c>
      <c r="C489" t="str">
        <f>IF($A489="","",games!$C489)</f>
        <v>Action</v>
      </c>
      <c r="D489">
        <f>IF($A489="","",COUNTIF(connections!$A$2:$A$1205,$A489)+COUNTIF(connections!$B$2:$B$1205,$A489))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IF(connections!$A489="","",IFERROR(INDEX(games!$B$2:$B$846,MATCH(connections!$A489,games!$A$2:$A$846,0)),""))</f>
        <v>2021</v>
      </c>
      <c r="U489">
        <f>IF(connections!$A489="","",IFERROR(INDEX(games!$B$2:$B$846,MATCH(connections!$B489,games!$A$2:$A$846,0)),""))</f>
        <v>2025</v>
      </c>
      <c r="V489">
        <f t="shared" si="95"/>
        <v>4</v>
      </c>
    </row>
    <row r="490" spans="1:22" x14ac:dyDescent="0.25">
      <c r="A490" t="str">
        <f>IF(games!$A490="","",games!$A490)</f>
        <v>No-Skin</v>
      </c>
      <c r="B490">
        <f>IF($A490="","",games!$B490)</f>
        <v>2025</v>
      </c>
      <c r="C490" t="str">
        <f>IF($A490="","",games!$C490)</f>
        <v>Strategy</v>
      </c>
      <c r="D490">
        <f>IF($A490="","",COUNTIF(connections!$A$2:$A$1205,$A490)+COUNTIF(connections!$B$2:$B$1205,$A490))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IF(connections!$A490="","",IFERROR(INDEX(games!$B$2:$B$846,MATCH(connections!$A490,games!$A$2:$A$846,0)),""))</f>
        <v>2021</v>
      </c>
      <c r="U490">
        <f>IF(connections!$A490="","",IFERROR(INDEX(games!$B$2:$B$846,MATCH(connections!$B490,games!$A$2:$A$846,0)),""))</f>
        <v>2026</v>
      </c>
      <c r="V490">
        <f t="shared" si="95"/>
        <v>5</v>
      </c>
    </row>
    <row r="491" spans="1:22" x14ac:dyDescent="0.25">
      <c r="A491" t="str">
        <f>IF(games!$A491="","",games!$A491)</f>
        <v>Nova Drift</v>
      </c>
      <c r="B491">
        <f>IF($A491="","",games!$B491)</f>
        <v>2019</v>
      </c>
      <c r="C491" t="str">
        <f>IF($A491="","",games!$C491)</f>
        <v>Action</v>
      </c>
      <c r="D491">
        <f>IF($A491="","",COUNTIF(connections!$A$2:$A$1205,$A491)+COUNTIF(connections!$B$2:$B$1205,$A491))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IF(connections!$A491="","",IFERROR(INDEX(games!$B$2:$B$846,MATCH(connections!$A491,games!$A$2:$A$846,0)),""))</f>
        <v>2001</v>
      </c>
      <c r="U491">
        <f>IF(connections!$A491="","",IFERROR(INDEX(games!$B$2:$B$846,MATCH(connections!$B491,games!$A$2:$A$846,0)),""))</f>
        <v>2017</v>
      </c>
      <c r="V491">
        <f t="shared" si="95"/>
        <v>16</v>
      </c>
    </row>
    <row r="492" spans="1:22" x14ac:dyDescent="0.25">
      <c r="A492" t="str">
        <f>IF(games!$A492="","",games!$A492)</f>
        <v>Nowhere Prophet</v>
      </c>
      <c r="B492">
        <f>IF($A492="","",games!$B492)</f>
        <v>2019</v>
      </c>
      <c r="C492" t="str">
        <f>IF($A492="","",games!$C492)</f>
        <v>Deckbuilder</v>
      </c>
      <c r="D492">
        <f>IF($A492="","",COUNTIF(connections!$A$2:$A$1205,$A492)+COUNTIF(connections!$B$2:$B$1205,$A492))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IF(connections!$A492="","",IFERROR(INDEX(games!$B$2:$B$846,MATCH(connections!$A492,games!$A$2:$A$846,0)),""))</f>
        <v>2021</v>
      </c>
      <c r="U492">
        <f>IF(connections!$A492="","",IFERROR(INDEX(games!$B$2:$B$846,MATCH(connections!$B492,games!$A$2:$A$846,0)),""))</f>
        <v>2022</v>
      </c>
      <c r="V492">
        <f t="shared" si="95"/>
        <v>1</v>
      </c>
    </row>
    <row r="493" spans="1:22" x14ac:dyDescent="0.25">
      <c r="A493" t="str">
        <f>IF(games!$A493="","",games!$A493)</f>
        <v>Nubby's Number Factory</v>
      </c>
      <c r="B493">
        <f>IF($A493="","",games!$B493)</f>
        <v>2024</v>
      </c>
      <c r="C493" t="str">
        <f>IF($A493="","",games!$C493)</f>
        <v>Strategy</v>
      </c>
      <c r="D493">
        <f>IF($A493="","",COUNTIF(connections!$A$2:$A$1205,$A493)+COUNTIF(connections!$B$2:$B$1205,$A493))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IF(connections!$A493="","",IFERROR(INDEX(games!$B$2:$B$846,MATCH(connections!$A493,games!$A$2:$A$846,0)),""))</f>
        <v>2021</v>
      </c>
      <c r="U493">
        <f>IF(connections!$A493="","",IFERROR(INDEX(games!$B$2:$B$846,MATCH(connections!$B493,games!$A$2:$A$846,0)),""))</f>
        <v>2023</v>
      </c>
      <c r="V493">
        <f t="shared" si="95"/>
        <v>2</v>
      </c>
    </row>
    <row r="494" spans="1:22" x14ac:dyDescent="0.25">
      <c r="A494" t="str">
        <f>IF(games!$A494="","",games!$A494)</f>
        <v>Nuclear Throne</v>
      </c>
      <c r="B494">
        <f>IF($A494="","",games!$B494)</f>
        <v>2015</v>
      </c>
      <c r="C494" t="str">
        <f>IF($A494="","",games!$C494)</f>
        <v>Action</v>
      </c>
      <c r="D494">
        <f>IF($A494="","",COUNTIF(connections!$A$2:$A$1205,$A494)+COUNTIF(connections!$B$2:$B$1205,$A494))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IF(connections!$A494="","",IFERROR(INDEX(games!$B$2:$B$846,MATCH(connections!$A494,games!$A$2:$A$846,0)),""))</f>
        <v>2021</v>
      </c>
      <c r="U494">
        <f>IF(connections!$A494="","",IFERROR(INDEX(games!$B$2:$B$846,MATCH(connections!$B494,games!$A$2:$A$846,0)),""))</f>
        <v>2024</v>
      </c>
      <c r="V494">
        <f t="shared" si="95"/>
        <v>3</v>
      </c>
    </row>
    <row r="495" spans="1:22" x14ac:dyDescent="0.25">
      <c r="A495" t="str">
        <f>IF(games!$A495="","",games!$A495)</f>
        <v>Nunholy</v>
      </c>
      <c r="B495">
        <f>IF($A495="","",games!$B495)</f>
        <v>2025</v>
      </c>
      <c r="C495" t="str">
        <f>IF($A495="","",games!$C495)</f>
        <v>Action</v>
      </c>
      <c r="D495">
        <f>IF($A495="","",COUNTIF(connections!$A$2:$A$1205,$A495)+COUNTIF(connections!$B$2:$B$1205,$A495))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IF(connections!$A495="","",IFERROR(INDEX(games!$B$2:$B$846,MATCH(connections!$A495,games!$A$2:$A$846,0)),""))</f>
        <v>2021</v>
      </c>
      <c r="U495">
        <f>IF(connections!$A495="","",IFERROR(INDEX(games!$B$2:$B$846,MATCH(connections!$B495,games!$A$2:$A$846,0)),""))</f>
        <v>2024</v>
      </c>
      <c r="V495">
        <f t="shared" si="95"/>
        <v>3</v>
      </c>
    </row>
    <row r="496" spans="1:22" x14ac:dyDescent="0.25">
      <c r="A496" t="str">
        <f>IF(games!$A496="","",games!$A496)</f>
        <v>Oaken Tower</v>
      </c>
      <c r="B496">
        <f>IF($A496="","",games!$B496)</f>
        <v>2026</v>
      </c>
      <c r="C496" t="str">
        <f>IF($A496="","",games!$C496)</f>
        <v>Strategy</v>
      </c>
      <c r="D496">
        <f>IF($A496="","",COUNTIF(connections!$A$2:$A$1205,$A496)+COUNTIF(connections!$B$2:$B$1205,$A496))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IF(connections!$A496="","",IFERROR(INDEX(games!$B$2:$B$846,MATCH(connections!$A496,games!$A$2:$A$846,0)),""))</f>
        <v>2021</v>
      </c>
      <c r="U496">
        <f>IF(connections!$A496="","",IFERROR(INDEX(games!$B$2:$B$846,MATCH(connections!$B496,games!$A$2:$A$846,0)),""))</f>
        <v>2026</v>
      </c>
      <c r="V496">
        <f t="shared" si="95"/>
        <v>5</v>
      </c>
    </row>
    <row r="497" spans="1:22" x14ac:dyDescent="0.25">
      <c r="A497" t="str">
        <f>IF(games!$A497="","",games!$A497)</f>
        <v>Oblivion Override</v>
      </c>
      <c r="B497">
        <f>IF($A497="","",games!$B497)</f>
        <v>2023</v>
      </c>
      <c r="C497" t="str">
        <f>IF($A497="","",games!$C497)</f>
        <v>Action</v>
      </c>
      <c r="D497">
        <f>IF($A497="","",COUNTIF(connections!$A$2:$A$1205,$A497)+COUNTIF(connections!$B$2:$B$1205,$A497))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IF(connections!$A497="","",IFERROR(INDEX(games!$B$2:$B$846,MATCH(connections!$A497,games!$A$2:$A$846,0)),""))</f>
        <v>2021</v>
      </c>
      <c r="U497">
        <f>IF(connections!$A497="","",IFERROR(INDEX(games!$B$2:$B$846,MATCH(connections!$B497,games!$A$2:$A$846,0)),""))</f>
        <v>2024</v>
      </c>
      <c r="V497">
        <f t="shared" si="95"/>
        <v>3</v>
      </c>
    </row>
    <row r="498" spans="1:22" x14ac:dyDescent="0.25">
      <c r="A498" t="str">
        <f>IF(games!$A498="","",games!$A498)</f>
        <v>Obsidian Prince</v>
      </c>
      <c r="B498">
        <f>IF($A498="","",games!$B498)</f>
        <v>2021</v>
      </c>
      <c r="C498" t="str">
        <f>IF($A498="","",games!$C498)</f>
        <v>Deckbuilder</v>
      </c>
      <c r="D498">
        <f>IF($A498="","",COUNTIF(connections!$A$2:$A$1205,$A498)+COUNTIF(connections!$B$2:$B$1205,$A498))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IF(connections!$A498="","",IFERROR(INDEX(games!$B$2:$B$846,MATCH(connections!$A498,games!$A$2:$A$846,0)),""))</f>
        <v>2021</v>
      </c>
      <c r="U498">
        <f>IF(connections!$A498="","",IFERROR(INDEX(games!$B$2:$B$846,MATCH(connections!$B498,games!$A$2:$A$846,0)),""))</f>
        <v>2023</v>
      </c>
      <c r="V498">
        <f t="shared" si="95"/>
        <v>2</v>
      </c>
    </row>
    <row r="499" spans="1:22" x14ac:dyDescent="0.25">
      <c r="A499" t="str">
        <f>IF(games!$A499="","",games!$A499)</f>
        <v>Octogeddon</v>
      </c>
      <c r="B499">
        <f>IF($A499="","",games!$B499)</f>
        <v>2018</v>
      </c>
      <c r="C499" t="str">
        <f>IF($A499="","",games!$C499)</f>
        <v>Action</v>
      </c>
      <c r="D499">
        <f>IF($A499="","",COUNTIF(connections!$A$2:$A$1205,$A499)+COUNTIF(connections!$B$2:$B$1205,$A499))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IF(connections!$A499="","",IFERROR(INDEX(games!$B$2:$B$846,MATCH(connections!$A499,games!$A$2:$A$846,0)),""))</f>
        <v>2021</v>
      </c>
      <c r="U499">
        <f>IF(connections!$A499="","",IFERROR(INDEX(games!$B$2:$B$846,MATCH(connections!$B499,games!$A$2:$A$846,0)),""))</f>
        <v>2024</v>
      </c>
      <c r="V499">
        <f t="shared" si="95"/>
        <v>3</v>
      </c>
    </row>
    <row r="500" spans="1:22" x14ac:dyDescent="0.25">
      <c r="A500" t="str">
        <f>IF(games!$A500="","",games!$A500)</f>
        <v>Oddcore</v>
      </c>
      <c r="B500">
        <f>IF($A500="","",games!$B500)</f>
        <v>2026</v>
      </c>
      <c r="C500" t="str">
        <f>IF($A500="","",games!$C500)</f>
        <v>Action</v>
      </c>
      <c r="D500">
        <f>IF($A500="","",COUNTIF(connections!$A$2:$A$1205,$A500)+COUNTIF(connections!$B$2:$B$1205,$A500))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IF(connections!$A500="","",IFERROR(INDEX(games!$B$2:$B$846,MATCH(connections!$A500,games!$A$2:$A$846,0)),""))</f>
        <v>2021</v>
      </c>
      <c r="U500">
        <f>IF(connections!$A500="","",IFERROR(INDEX(games!$B$2:$B$846,MATCH(connections!$B500,games!$A$2:$A$846,0)),""))</f>
        <v>2024</v>
      </c>
      <c r="V500">
        <f t="shared" si="95"/>
        <v>3</v>
      </c>
    </row>
    <row r="501" spans="1:22" x14ac:dyDescent="0.25">
      <c r="A501" t="str">
        <f>IF(games!$A501="","",games!$A501)</f>
        <v>Odinfall</v>
      </c>
      <c r="B501">
        <f>IF($A501="","",games!$B501)</f>
        <v>2025</v>
      </c>
      <c r="C501" t="str">
        <f>IF($A501="","",games!$C501)</f>
        <v>Action</v>
      </c>
      <c r="D501">
        <f>IF($A501="","",COUNTIF(connections!$A$2:$A$1205,$A501)+COUNTIF(connections!$B$2:$B$1205,$A501))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IF(connections!$A501="","",IFERROR(INDEX(games!$B$2:$B$846,MATCH(connections!$A501,games!$A$2:$A$846,0)),""))</f>
        <v>2021</v>
      </c>
      <c r="U501">
        <f>IF(connections!$A501="","",IFERROR(INDEX(games!$B$2:$B$846,MATCH(connections!$B501,games!$A$2:$A$846,0)),""))</f>
        <v>2024</v>
      </c>
      <c r="V501">
        <f t="shared" si="95"/>
        <v>3</v>
      </c>
    </row>
    <row r="502" spans="1:22" x14ac:dyDescent="0.25">
      <c r="A502" t="str">
        <f>IF(games!$A502="","",games!$A502)</f>
        <v>Omega</v>
      </c>
      <c r="B502">
        <f>IF($A502="","",games!$B502)</f>
        <v>1987</v>
      </c>
      <c r="C502" t="str">
        <f>IF($A502="","",games!$C502)</f>
        <v>Traditional</v>
      </c>
      <c r="D502">
        <f>IF($A502="","",COUNTIF(connections!$A$2:$A$1205,$A502)+COUNTIF(connections!$B$2:$B$1205,$A502))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IF(connections!$A502="","",IFERROR(INDEX(games!$B$2:$B$846,MATCH(connections!$A502,games!$A$2:$A$846,0)),""))</f>
        <v>2021</v>
      </c>
      <c r="U502">
        <f>IF(connections!$A502="","",IFERROR(INDEX(games!$B$2:$B$846,MATCH(connections!$B502,games!$A$2:$A$846,0)),""))</f>
        <v>2023</v>
      </c>
      <c r="V502">
        <f t="shared" si="95"/>
        <v>2</v>
      </c>
    </row>
    <row r="503" spans="1:22" x14ac:dyDescent="0.25">
      <c r="A503" t="str">
        <f>IF(games!$A503="","",games!$A503)</f>
        <v>Omega Labyrinth</v>
      </c>
      <c r="B503">
        <f>IF($A503="","",games!$B503)</f>
        <v>2015</v>
      </c>
      <c r="C503" t="str">
        <f>IF($A503="","",games!$C503)</f>
        <v>Traditional</v>
      </c>
      <c r="D503">
        <f>IF($A503="","",COUNTIF(connections!$A$2:$A$1205,$A503)+COUNTIF(connections!$B$2:$B$1205,$A503))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IF(connections!$A503="","",IFERROR(INDEX(games!$B$2:$B$846,MATCH(connections!$A503,games!$A$2:$A$846,0)),""))</f>
        <v>2021</v>
      </c>
      <c r="U503">
        <f>IF(connections!$A503="","",IFERROR(INDEX(games!$B$2:$B$846,MATCH(connections!$B503,games!$A$2:$A$846,0)),""))</f>
        <v>2023</v>
      </c>
      <c r="V503">
        <f t="shared" si="95"/>
        <v>2</v>
      </c>
    </row>
    <row r="504" spans="1:22" x14ac:dyDescent="0.25">
      <c r="A504" t="str">
        <f>IF(games!$A504="","",games!$A504)</f>
        <v>Omega Labyrinth Life</v>
      </c>
      <c r="B504">
        <f>IF($A504="","",games!$B504)</f>
        <v>2019</v>
      </c>
      <c r="C504" t="str">
        <f>IF($A504="","",games!$C504)</f>
        <v>Traditional</v>
      </c>
      <c r="D504">
        <f>IF($A504="","",COUNTIF(connections!$A$2:$A$1205,$A504)+COUNTIF(connections!$B$2:$B$1205,$A504))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IF(connections!$A504="","",IFERROR(INDEX(games!$B$2:$B$846,MATCH(connections!$A504,games!$A$2:$A$846,0)),""))</f>
        <v>2021</v>
      </c>
      <c r="U504">
        <f>IF(connections!$A504="","",IFERROR(INDEX(games!$B$2:$B$846,MATCH(connections!$B504,games!$A$2:$A$846,0)),""))</f>
        <v>2026</v>
      </c>
      <c r="V504">
        <f t="shared" si="95"/>
        <v>5</v>
      </c>
    </row>
    <row r="505" spans="1:22" x14ac:dyDescent="0.25">
      <c r="A505" t="str">
        <f>IF(games!$A505="","",games!$A505)</f>
        <v>Omega Labyrinth Z</v>
      </c>
      <c r="B505">
        <f>IF($A505="","",games!$B505)</f>
        <v>2017</v>
      </c>
      <c r="C505" t="str">
        <f>IF($A505="","",games!$C505)</f>
        <v>Traditional</v>
      </c>
      <c r="D505">
        <f>IF($A505="","",COUNTIF(connections!$A$2:$A$1205,$A505)+COUNTIF(connections!$B$2:$B$1205,$A505))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IF(connections!$A505="","",IFERROR(INDEX(games!$B$2:$B$846,MATCH(connections!$A505,games!$A$2:$A$846,0)),""))</f>
        <v>2021</v>
      </c>
      <c r="U505">
        <f>IF(connections!$A505="","",IFERROR(INDEX(games!$B$2:$B$846,MATCH(connections!$B505,games!$A$2:$A$846,0)),""))</f>
        <v>2025</v>
      </c>
      <c r="V505">
        <f t="shared" si="95"/>
        <v>4</v>
      </c>
    </row>
    <row r="506" spans="1:22" x14ac:dyDescent="0.25">
      <c r="A506" t="str">
        <f>IF(games!$A506="","",games!$A506)</f>
        <v>Omelet You Cook</v>
      </c>
      <c r="B506">
        <f>IF($A506="","",games!$B506)</f>
        <v>2025</v>
      </c>
      <c r="C506" t="str">
        <f>IF($A506="","",games!$C506)</f>
        <v>Deckbuilder</v>
      </c>
      <c r="D506">
        <f>IF($A506="","",COUNTIF(connections!$A$2:$A$1205,$A506)+COUNTIF(connections!$B$2:$B$1205,$A506))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IF(connections!$A506="","",IFERROR(INDEX(games!$B$2:$B$846,MATCH(connections!$A506,games!$A$2:$A$846,0)),""))</f>
        <v>2021</v>
      </c>
      <c r="U506">
        <f>IF(connections!$A506="","",IFERROR(INDEX(games!$B$2:$B$846,MATCH(connections!$B506,games!$A$2:$A$846,0)),""))</f>
        <v>2021</v>
      </c>
      <c r="V506">
        <f t="shared" si="95"/>
        <v>0</v>
      </c>
    </row>
    <row r="507" spans="1:22" x14ac:dyDescent="0.25">
      <c r="A507" t="str">
        <f>IF(games!$A507="","",games!$A507)</f>
        <v>One Step From Eden</v>
      </c>
      <c r="B507">
        <f>IF($A507="","",games!$B507)</f>
        <v>2020</v>
      </c>
      <c r="C507" t="str">
        <f>IF($A507="","",games!$C507)</f>
        <v>Action</v>
      </c>
      <c r="D507">
        <f>IF($A507="","",COUNTIF(connections!$A$2:$A$1205,$A507)+COUNTIF(connections!$B$2:$B$1205,$A507))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IF(connections!$A507="","",IFERROR(INDEX(games!$B$2:$B$846,MATCH(connections!$A507,games!$A$2:$A$846,0)),""))</f>
        <v>2021</v>
      </c>
      <c r="U507">
        <f>IF(connections!$A507="","",IFERROR(INDEX(games!$B$2:$B$846,MATCH(connections!$B507,games!$A$2:$A$846,0)),""))</f>
        <v>2025</v>
      </c>
      <c r="V507">
        <f t="shared" si="95"/>
        <v>4</v>
      </c>
    </row>
    <row r="508" spans="1:22" x14ac:dyDescent="0.25">
      <c r="A508" t="str">
        <f>IF(games!$A508="","",games!$A508)</f>
        <v>One Way Heroics</v>
      </c>
      <c r="B508">
        <f>IF($A508="","",games!$B508)</f>
        <v>2014</v>
      </c>
      <c r="C508" t="str">
        <f>IF($A508="","",games!$C508)</f>
        <v>Traditional</v>
      </c>
      <c r="D508">
        <f>IF($A508="","",COUNTIF(connections!$A$2:$A$1205,$A508)+COUNTIF(connections!$B$2:$B$1205,$A508))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IF(connections!$A508="","",IFERROR(INDEX(games!$B$2:$B$846,MATCH(connections!$A508,games!$A$2:$A$846,0)),""))</f>
        <v>2021</v>
      </c>
      <c r="U508">
        <f>IF(connections!$A508="","",IFERROR(INDEX(games!$B$2:$B$846,MATCH(connections!$B508,games!$A$2:$A$846,0)),""))</f>
        <v>2024</v>
      </c>
      <c r="V508">
        <f t="shared" si="95"/>
        <v>3</v>
      </c>
    </row>
    <row r="509" spans="1:22" x14ac:dyDescent="0.25">
      <c r="A509" t="str">
        <f>IF(games!$A509="","",games!$A509)</f>
        <v>OneBit Adventure</v>
      </c>
      <c r="B509">
        <f>IF($A509="","",games!$B509)</f>
        <v>2019</v>
      </c>
      <c r="C509" t="str">
        <f>IF($A509="","",games!$C509)</f>
        <v>Traditional</v>
      </c>
      <c r="D509">
        <f>IF($A509="","",COUNTIF(connections!$A$2:$A$1205,$A509)+COUNTIF(connections!$B$2:$B$1205,$A509))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IF(connections!$A509="","",IFERROR(INDEX(games!$B$2:$B$846,MATCH(connections!$A509,games!$A$2:$A$846,0)),""))</f>
        <v>2021</v>
      </c>
      <c r="U509">
        <f>IF(connections!$A509="","",IFERROR(INDEX(games!$B$2:$B$846,MATCH(connections!$B509,games!$A$2:$A$846,0)),""))</f>
        <v>2025</v>
      </c>
      <c r="V509">
        <f t="shared" si="95"/>
        <v>4</v>
      </c>
    </row>
    <row r="510" spans="1:22" x14ac:dyDescent="0.25">
      <c r="A510" t="str">
        <f>IF(games!$A510="","",games!$A510)</f>
        <v>OTXO</v>
      </c>
      <c r="B510">
        <f>IF($A510="","",games!$B510)</f>
        <v>2023</v>
      </c>
      <c r="C510" t="str">
        <f>IF($A510="","",games!$C510)</f>
        <v>Action</v>
      </c>
      <c r="D510">
        <f>IF($A510="","",COUNTIF(connections!$A$2:$A$1205,$A510)+COUNTIF(connections!$B$2:$B$1205,$A510))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IF(connections!$A510="","",IFERROR(INDEX(games!$B$2:$B$846,MATCH(connections!$A510,games!$A$2:$A$846,0)),""))</f>
        <v>2021</v>
      </c>
      <c r="U510">
        <f>IF(connections!$A510="","",IFERROR(INDEX(games!$B$2:$B$846,MATCH(connections!$B510,games!$A$2:$A$846,0)),""))</f>
        <v>2025</v>
      </c>
      <c r="V510">
        <f t="shared" si="95"/>
        <v>4</v>
      </c>
    </row>
    <row r="511" spans="1:22" x14ac:dyDescent="0.25">
      <c r="A511" t="str">
        <f>IF(games!$A511="","",games!$A511)</f>
        <v>Our Darker Purpose</v>
      </c>
      <c r="B511">
        <f>IF($A511="","",games!$B511)</f>
        <v>2014</v>
      </c>
      <c r="C511" t="str">
        <f>IF($A511="","",games!$C511)</f>
        <v>Action</v>
      </c>
      <c r="D511">
        <f>IF($A511="","",COUNTIF(connections!$A$2:$A$1205,$A511)+COUNTIF(connections!$B$2:$B$1205,$A511))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IF(connections!$A511="","",IFERROR(INDEX(games!$B$2:$B$846,MATCH(connections!$A511,games!$A$2:$A$846,0)),""))</f>
        <v>2019</v>
      </c>
      <c r="U511">
        <f>IF(connections!$A511="","",IFERROR(INDEX(games!$B$2:$B$846,MATCH(connections!$B511,games!$A$2:$A$846,0)),""))</f>
        <v>2021</v>
      </c>
      <c r="V511">
        <f t="shared" si="95"/>
        <v>2</v>
      </c>
    </row>
    <row r="512" spans="1:22" x14ac:dyDescent="0.25">
      <c r="A512" t="str">
        <f>IF(games!$A512="","",games!$A512)</f>
        <v>Overlooting</v>
      </c>
      <c r="B512">
        <f>IF($A512="","",games!$B512)</f>
        <v>2025</v>
      </c>
      <c r="C512" t="str">
        <f>IF($A512="","",games!$C512)</f>
        <v>Strategy</v>
      </c>
      <c r="D512">
        <f>IF($A512="","",COUNTIF(connections!$A$2:$A$1205,$A512)+COUNTIF(connections!$B$2:$B$1205,$A512))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IF(connections!$A512="","",IFERROR(INDEX(games!$B$2:$B$846,MATCH(connections!$A512,games!$A$2:$A$846,0)),""))</f>
        <v>2023</v>
      </c>
      <c r="U512">
        <f>IF(connections!$A512="","",IFERROR(INDEX(games!$B$2:$B$846,MATCH(connections!$B512,games!$A$2:$A$846,0)),""))</f>
        <v>2025</v>
      </c>
      <c r="V512">
        <f t="shared" si="95"/>
        <v>2</v>
      </c>
    </row>
    <row r="513" spans="1:22" x14ac:dyDescent="0.25">
      <c r="A513" t="str">
        <f>IF(games!$A513="","",games!$A513)</f>
        <v>Pairs &amp; Perils</v>
      </c>
      <c r="B513">
        <f>IF($A513="","",games!$B513)</f>
        <v>2025</v>
      </c>
      <c r="C513" t="str">
        <f>IF($A513="","",games!$C513)</f>
        <v>Deckbuilder</v>
      </c>
      <c r="D513">
        <f>IF($A513="","",COUNTIF(connections!$A$2:$A$1205,$A513)+COUNTIF(connections!$B$2:$B$1205,$A513))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IF(connections!$A513="","",IFERROR(INDEX(games!$B$2:$B$846,MATCH(connections!$A513,games!$A$2:$A$846,0)),""))</f>
        <v>2024</v>
      </c>
      <c r="U513">
        <f>IF(connections!$A513="","",IFERROR(INDEX(games!$B$2:$B$846,MATCH(connections!$B513,games!$A$2:$A$846,0)),""))</f>
        <v>2026</v>
      </c>
      <c r="V513">
        <f t="shared" si="95"/>
        <v>2</v>
      </c>
    </row>
    <row r="514" spans="1:22" x14ac:dyDescent="0.25">
      <c r="A514" t="str">
        <f>IF(games!$A514="","",games!$A514)</f>
        <v>Paper Animal Adventure</v>
      </c>
      <c r="B514">
        <f>IF($A514="","",games!$B514)</f>
        <v>2025</v>
      </c>
      <c r="C514" t="str">
        <f>IF($A514="","",games!$C514)</f>
        <v>Traditional</v>
      </c>
      <c r="D514">
        <f>IF($A514="","",COUNTIF(connections!$A$2:$A$1205,$A514)+COUNTIF(connections!$B$2:$B$1205,$A514))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IF(connections!$A514="","",IFERROR(INDEX(games!$B$2:$B$846,MATCH(connections!$A514,games!$A$2:$A$846,0)),""))</f>
        <v>2012</v>
      </c>
      <c r="U514">
        <f>IF(connections!$A514="","",IFERROR(INDEX(games!$B$2:$B$846,MATCH(connections!$B514,games!$A$2:$A$846,0)),""))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IF($A515="","",COUNTIF(connections!$A$2:$A$1205,$A515)+COUNTIF(connections!$B$2:$B$1205,$A515))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IF(connections!$A515="","",IFERROR(INDEX(games!$B$2:$B$846,MATCH(connections!$A515,games!$A$2:$A$846,0)),""))</f>
        <v>2011</v>
      </c>
      <c r="U515">
        <f>IF(connections!$A515="","",IFERROR(INDEX(games!$B$2:$B$846,MATCH(connections!$B515,games!$A$2:$A$846,0)),""))</f>
        <v>2014</v>
      </c>
      <c r="V515">
        <f t="shared" si="107"/>
        <v>3</v>
      </c>
    </row>
    <row r="516" spans="1:22" x14ac:dyDescent="0.25">
      <c r="A516" t="str">
        <f>IF(games!$A516="","",games!$A516)</f>
        <v>Passant: A Chess Roguelike</v>
      </c>
      <c r="B516">
        <f>IF($A516="","",games!$B516)</f>
        <v>2025</v>
      </c>
      <c r="C516" t="str">
        <f>IF($A516="","",games!$C516)</f>
        <v>Strategy</v>
      </c>
      <c r="D516">
        <f>IF($A516="","",COUNTIF(connections!$A$2:$A$1205,$A516)+COUNTIF(connections!$B$2:$B$1205,$A516))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IF(connections!$A516="","",IFERROR(INDEX(games!$B$2:$B$846,MATCH(connections!$A516,games!$A$2:$A$846,0)),""))</f>
        <v>2011</v>
      </c>
      <c r="U516">
        <f>IF(connections!$A516="","",IFERROR(INDEX(games!$B$2:$B$846,MATCH(connections!$B516,games!$A$2:$A$846,0)),""))</f>
        <v>2012</v>
      </c>
      <c r="V516">
        <f t="shared" si="107"/>
        <v>1</v>
      </c>
    </row>
    <row r="517" spans="1:22" x14ac:dyDescent="0.25">
      <c r="A517" t="str">
        <f>IF(games!$A517="","",games!$A517)</f>
        <v>Patch Quest</v>
      </c>
      <c r="B517">
        <f>IF($A517="","",games!$B517)</f>
        <v>2021</v>
      </c>
      <c r="C517" t="str">
        <f>IF($A517="","",games!$C517)</f>
        <v>Action</v>
      </c>
      <c r="D517">
        <f>IF($A517="","",COUNTIF(connections!$A$2:$A$1205,$A517)+COUNTIF(connections!$B$2:$B$1205,$A517))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IF(connections!$A517="","",IFERROR(INDEX(games!$B$2:$B$846,MATCH(connections!$A517,games!$A$2:$A$846,0)),""))</f>
        <v>2002</v>
      </c>
      <c r="U517">
        <f>IF(connections!$A517="","",IFERROR(INDEX(games!$B$2:$B$846,MATCH(connections!$B517,games!$A$2:$A$846,0)),""))</f>
        <v>2023</v>
      </c>
      <c r="V517">
        <f t="shared" si="107"/>
        <v>21</v>
      </c>
    </row>
    <row r="518" spans="1:22" x14ac:dyDescent="0.25">
      <c r="A518" t="str">
        <f>IF(games!$A518="","",games!$A518)</f>
        <v>Path of Achra</v>
      </c>
      <c r="B518">
        <f>IF($A518="","",games!$B518)</f>
        <v>2023</v>
      </c>
      <c r="C518" t="str">
        <f>IF($A518="","",games!$C518)</f>
        <v>Traditional</v>
      </c>
      <c r="D518">
        <f>IF($A518="","",COUNTIF(connections!$A$2:$A$1205,$A518)+COUNTIF(connections!$B$2:$B$1205,$A518))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IF(connections!$A518="","",IFERROR(INDEX(games!$B$2:$B$846,MATCH(connections!$A518,games!$A$2:$A$846,0)),""))</f>
        <v>2002</v>
      </c>
      <c r="U518">
        <f>IF(connections!$A518="","",IFERROR(INDEX(games!$B$2:$B$846,MATCH(connections!$B518,games!$A$2:$A$846,0)),""))</f>
        <v>2003</v>
      </c>
      <c r="V518">
        <f t="shared" si="107"/>
        <v>1</v>
      </c>
    </row>
    <row r="519" spans="1:22" x14ac:dyDescent="0.25">
      <c r="A519" t="str">
        <f>IF(games!$A519="","",games!$A519)</f>
        <v>Pathogenic</v>
      </c>
      <c r="B519">
        <f>IF($A519="","",games!$B519)</f>
        <v>2026</v>
      </c>
      <c r="C519" t="str">
        <f>IF($A519="","",games!$C519)</f>
        <v>Action</v>
      </c>
      <c r="D519">
        <f>IF($A519="","",COUNTIF(connections!$A$2:$A$1205,$A519)+COUNTIF(connections!$B$2:$B$1205,$A519))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IF(connections!$A519="","",IFERROR(INDEX(games!$B$2:$B$846,MATCH(connections!$A519,games!$A$2:$A$846,0)),""))</f>
        <v>2020</v>
      </c>
      <c r="U519">
        <f>IF(connections!$A519="","",IFERROR(INDEX(games!$B$2:$B$846,MATCH(connections!$B519,games!$A$2:$A$846,0)),""))</f>
        <v>2022</v>
      </c>
      <c r="V519">
        <f t="shared" si="107"/>
        <v>2</v>
      </c>
    </row>
    <row r="520" spans="1:22" x14ac:dyDescent="0.25">
      <c r="A520" t="str">
        <f>IF(games!$A520="","",games!$A520)</f>
        <v>Pathos: Nethack Codex</v>
      </c>
      <c r="B520">
        <f>IF($A520="","",games!$B520)</f>
        <v>2015</v>
      </c>
      <c r="C520" t="str">
        <f>IF($A520="","",games!$C520)</f>
        <v>Traditional</v>
      </c>
      <c r="D520">
        <f>IF($A520="","",COUNTIF(connections!$A$2:$A$1205,$A520)+COUNTIF(connections!$B$2:$B$1205,$A520))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IF(connections!$A520="","",IFERROR(INDEX(games!$B$2:$B$846,MATCH(connections!$A520,games!$A$2:$A$846,0)),""))</f>
        <v>2017</v>
      </c>
      <c r="U520">
        <f>IF(connections!$A520="","",IFERROR(INDEX(games!$B$2:$B$846,MATCH(connections!$B520,games!$A$2:$A$846,0)),""))</f>
        <v>2019</v>
      </c>
      <c r="V520">
        <f t="shared" si="107"/>
        <v>2</v>
      </c>
    </row>
    <row r="521" spans="1:22" x14ac:dyDescent="0.25">
      <c r="A521" t="str">
        <f>IF(games!$A521="","",games!$A521)</f>
        <v>Pawnbarian</v>
      </c>
      <c r="B521">
        <f>IF($A521="","",games!$B521)</f>
        <v>2021</v>
      </c>
      <c r="C521" t="str">
        <f>IF($A521="","",games!$C521)</f>
        <v>Strategy</v>
      </c>
      <c r="D521">
        <f>IF($A521="","",COUNTIF(connections!$A$2:$A$1205,$A521)+COUNTIF(connections!$B$2:$B$1205,$A521))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IF(connections!$A521="","",IFERROR(INDEX(games!$B$2:$B$846,MATCH(connections!$A521,games!$A$2:$A$846,0)),""))</f>
        <v>2020</v>
      </c>
      <c r="U521">
        <f>IF(connections!$A521="","",IFERROR(INDEX(games!$B$2:$B$846,MATCH(connections!$B521,games!$A$2:$A$846,0)),""))</f>
        <v>2023</v>
      </c>
      <c r="V521">
        <f t="shared" si="107"/>
        <v>3</v>
      </c>
    </row>
    <row r="522" spans="1:22" x14ac:dyDescent="0.25">
      <c r="A522" t="str">
        <f>IF(games!$A522="","",games!$A522)</f>
        <v>Peglin</v>
      </c>
      <c r="B522">
        <f>IF($A522="","",games!$B522)</f>
        <v>2022</v>
      </c>
      <c r="C522" t="str">
        <f>IF($A522="","",games!$C522)</f>
        <v>Deckbuilder</v>
      </c>
      <c r="D522">
        <f>IF($A522="","",COUNTIF(connections!$A$2:$A$1205,$A522)+COUNTIF(connections!$B$2:$B$1205,$A522))</f>
        <v>6</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6.0005220000000001</v>
      </c>
      <c r="T522">
        <f>IF(connections!$A522="","",IFERROR(INDEX(games!$B$2:$B$846,MATCH(connections!$A522,games!$A$2:$A$846,0)),""))</f>
        <v>2020</v>
      </c>
      <c r="U522">
        <f>IF(connections!$A522="","",IFERROR(INDEX(games!$B$2:$B$846,MATCH(connections!$B522,games!$A$2:$A$846,0)),""))</f>
        <v>2025</v>
      </c>
      <c r="V522">
        <f t="shared" si="107"/>
        <v>5</v>
      </c>
    </row>
    <row r="523" spans="1:22" x14ac:dyDescent="0.25">
      <c r="A523" t="str">
        <f>IF(games!$A523="","",games!$A523)</f>
        <v>Pesticide Not Required</v>
      </c>
      <c r="B523">
        <f>IF($A523="","",games!$B523)</f>
        <v>2024</v>
      </c>
      <c r="C523" t="str">
        <f>IF($A523="","",games!$C523)</f>
        <v>Action</v>
      </c>
      <c r="D523">
        <f>IF($A523="","",COUNTIF(connections!$A$2:$A$1205,$A523)+COUNTIF(connections!$B$2:$B$1205,$A523))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IF(connections!$A523="","",IFERROR(INDEX(games!$B$2:$B$846,MATCH(connections!$A523,games!$A$2:$A$846,0)),""))</f>
        <v>2020</v>
      </c>
      <c r="U523">
        <f>IF(connections!$A523="","",IFERROR(INDEX(games!$B$2:$B$846,MATCH(connections!$B523,games!$A$2:$A$846,0)),""))</f>
        <v>2024</v>
      </c>
      <c r="V523">
        <f t="shared" si="107"/>
        <v>4</v>
      </c>
    </row>
    <row r="524" spans="1:22" x14ac:dyDescent="0.25">
      <c r="A524" t="str">
        <f>IF(games!$A524="","",games!$A524)</f>
        <v>Picayune Dreams</v>
      </c>
      <c r="B524">
        <f>IF($A524="","",games!$B524)</f>
        <v>2023</v>
      </c>
      <c r="C524" t="str">
        <f>IF($A524="","",games!$C524)</f>
        <v>Action</v>
      </c>
      <c r="D524">
        <f>IF($A524="","",COUNTIF(connections!$A$2:$A$1205,$A524)+COUNTIF(connections!$B$2:$B$1205,$A524))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IF(connections!$A524="","",IFERROR(INDEX(games!$B$2:$B$846,MATCH(connections!$A524,games!$A$2:$A$846,0)),""))</f>
        <v>2020</v>
      </c>
      <c r="U524">
        <f>IF(connections!$A524="","",IFERROR(INDEX(games!$B$2:$B$846,MATCH(connections!$B524,games!$A$2:$A$846,0)),""))</f>
        <v>2023</v>
      </c>
      <c r="V524">
        <f t="shared" si="107"/>
        <v>3</v>
      </c>
    </row>
    <row r="525" spans="1:22" x14ac:dyDescent="0.25">
      <c r="A525" t="str">
        <f>IF(games!$A525="","",games!$A525)</f>
        <v>Pip My Dice</v>
      </c>
      <c r="B525">
        <f>IF($A525="","",games!$B525)</f>
        <v>2025</v>
      </c>
      <c r="C525" t="str">
        <f>IF($A525="","",games!$C525)</f>
        <v>Deckbuilder</v>
      </c>
      <c r="D525">
        <f>IF($A525="","",COUNTIF(connections!$A$2:$A$1205,$A525)+COUNTIF(connections!$B$2:$B$1205,$A525))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IF(connections!$A525="","",IFERROR(INDEX(games!$B$2:$B$846,MATCH(connections!$A525,games!$A$2:$A$846,0)),""))</f>
        <v>2020</v>
      </c>
      <c r="U525">
        <f>IF(connections!$A525="","",IFERROR(INDEX(games!$B$2:$B$846,MATCH(connections!$B525,games!$A$2:$A$846,0)),""))</f>
        <v>2025</v>
      </c>
      <c r="V525">
        <f t="shared" si="107"/>
        <v>5</v>
      </c>
    </row>
    <row r="526" spans="1:22" x14ac:dyDescent="0.25">
      <c r="A526" t="str">
        <f>IF(games!$A526="","",games!$A526)</f>
        <v>Pixel Dungeon</v>
      </c>
      <c r="B526">
        <f>IF($A526="","",games!$B526)</f>
        <v>2012</v>
      </c>
      <c r="C526" t="str">
        <f>IF($A526="","",games!$C526)</f>
        <v>Traditional</v>
      </c>
      <c r="D526">
        <f>IF($A526="","",COUNTIF(connections!$A$2:$A$1205,$A526)+COUNTIF(connections!$B$2:$B$1205,$A526))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IF(connections!$A526="","",IFERROR(INDEX(games!$B$2:$B$846,MATCH(connections!$A526,games!$A$2:$A$846,0)),""))</f>
        <v>2020</v>
      </c>
      <c r="U526">
        <f>IF(connections!$A526="","",IFERROR(INDEX(games!$B$2:$B$846,MATCH(connections!$B526,games!$A$2:$A$846,0)),""))</f>
        <v>2024</v>
      </c>
      <c r="V526">
        <f t="shared" si="107"/>
        <v>4</v>
      </c>
    </row>
    <row r="527" spans="1:22" x14ac:dyDescent="0.25">
      <c r="A527" t="str">
        <f>IF(games!$A527="","",games!$A527)</f>
        <v>PlateUp!</v>
      </c>
      <c r="B527">
        <f>IF($A527="","",games!$B527)</f>
        <v>2022</v>
      </c>
      <c r="C527" t="str">
        <f>IF($A527="","",games!$C527)</f>
        <v>Strategy</v>
      </c>
      <c r="D527">
        <f>IF($A527="","",COUNTIF(connections!$A$2:$A$1205,$A527)+COUNTIF(connections!$B$2:$B$1205,$A527))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IF(connections!$A527="","",IFERROR(INDEX(games!$B$2:$B$846,MATCH(connections!$A527,games!$A$2:$A$846,0)),""))</f>
        <v>2020</v>
      </c>
      <c r="U527">
        <f>IF(connections!$A527="","",IFERROR(INDEX(games!$B$2:$B$846,MATCH(connections!$B527,games!$A$2:$A$846,0)),""))</f>
        <v>2022</v>
      </c>
      <c r="V527">
        <f t="shared" si="107"/>
        <v>2</v>
      </c>
    </row>
    <row r="528" spans="1:22" x14ac:dyDescent="0.25">
      <c r="A528" t="str">
        <f>IF(games!$A528="","",games!$A528)</f>
        <v>Plinbo</v>
      </c>
      <c r="B528">
        <f>IF($A528="","",games!$B528)</f>
        <v>2026</v>
      </c>
      <c r="C528" t="str">
        <f>IF($A528="","",games!$C528)</f>
        <v>Deckbuilder</v>
      </c>
      <c r="D528">
        <f>IF($A528="","",COUNTIF(connections!$A$2:$A$1205,$A528)+COUNTIF(connections!$B$2:$B$1205,$A528))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IF(connections!$A528="","",IFERROR(INDEX(games!$B$2:$B$846,MATCH(connections!$A528,games!$A$2:$A$846,0)),""))</f>
        <v>2020</v>
      </c>
      <c r="U528">
        <f>IF(connections!$A528="","",IFERROR(INDEX(games!$B$2:$B$846,MATCH(connections!$B528,games!$A$2:$A$846,0)),""))</f>
        <v>2025</v>
      </c>
      <c r="V528">
        <f t="shared" si="107"/>
        <v>5</v>
      </c>
    </row>
    <row r="529" spans="1:22" x14ac:dyDescent="0.25">
      <c r="A529" t="str">
        <f>IF(games!$A529="","",games!$A529)</f>
        <v>Plinko Panic!</v>
      </c>
      <c r="B529">
        <f>IF($A529="","",games!$B529)</f>
        <v>2021</v>
      </c>
      <c r="C529" t="str">
        <f>IF($A529="","",games!$C529)</f>
        <v>Deckbuilder</v>
      </c>
      <c r="D529">
        <f>IF($A529="","",COUNTIF(connections!$A$2:$A$1205,$A529)+COUNTIF(connections!$B$2:$B$1205,$A529))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IF(connections!$A529="","",IFERROR(INDEX(games!$B$2:$B$846,MATCH(connections!$A529,games!$A$2:$A$846,0)),""))</f>
        <v>2020</v>
      </c>
      <c r="U529">
        <f>IF(connections!$A529="","",IFERROR(INDEX(games!$B$2:$B$846,MATCH(connections!$B529,games!$A$2:$A$846,0)),""))</f>
        <v>2023</v>
      </c>
      <c r="V529">
        <f t="shared" si="107"/>
        <v>3</v>
      </c>
    </row>
    <row r="530" spans="1:22" x14ac:dyDescent="0.25">
      <c r="A530" t="str">
        <f>IF(games!$A530="","",games!$A530)</f>
        <v>Pluto</v>
      </c>
      <c r="B530">
        <f>IF($A530="","",games!$B530)</f>
        <v>2026</v>
      </c>
      <c r="C530" t="str">
        <f>IF($A530="","",games!$C530)</f>
        <v>Deckbuilder</v>
      </c>
      <c r="D530">
        <f>IF($A530="","",COUNTIF(connections!$A$2:$A$1205,$A530)+COUNTIF(connections!$B$2:$B$1205,$A530))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IF(connections!$A530="","",IFERROR(INDEX(games!$B$2:$B$846,MATCH(connections!$A530,games!$A$2:$A$846,0)),""))</f>
        <v>2020</v>
      </c>
      <c r="U530">
        <f>IF(connections!$A530="","",IFERROR(INDEX(games!$B$2:$B$846,MATCH(connections!$B530,games!$A$2:$A$846,0)),""))</f>
        <v>2023</v>
      </c>
      <c r="V530">
        <f t="shared" si="107"/>
        <v>3</v>
      </c>
    </row>
    <row r="531" spans="1:22" x14ac:dyDescent="0.25">
      <c r="A531" t="str">
        <f>IF(games!$A531="","",games!$A531)</f>
        <v>Pocket Crystal League</v>
      </c>
      <c r="B531">
        <f>IF($A531="","",games!$B531)</f>
        <v>2022</v>
      </c>
      <c r="C531" t="str">
        <f>IF($A531="","",games!$C531)</f>
        <v>Deckbuilder</v>
      </c>
      <c r="D531">
        <f>IF($A531="","",COUNTIF(connections!$A$2:$A$1205,$A531)+COUNTIF(connections!$B$2:$B$1205,$A531))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IF(connections!$A531="","",IFERROR(INDEX(games!$B$2:$B$846,MATCH(connections!$A531,games!$A$2:$A$846,0)),""))</f>
        <v>2016</v>
      </c>
      <c r="U531">
        <f>IF(connections!$A531="","",IFERROR(INDEX(games!$B$2:$B$846,MATCH(connections!$B531,games!$A$2:$A$846,0)),""))</f>
        <v>2021</v>
      </c>
      <c r="V531">
        <f t="shared" si="107"/>
        <v>5</v>
      </c>
    </row>
    <row r="532" spans="1:22" x14ac:dyDescent="0.25">
      <c r="A532" t="str">
        <f>IF(games!$A532="","",games!$A532)</f>
        <v>Pogo Rogue</v>
      </c>
      <c r="B532">
        <f>IF($A532="","",games!$B532)</f>
        <v>2024</v>
      </c>
      <c r="C532" t="str">
        <f>IF($A532="","",games!$C532)</f>
        <v>Action</v>
      </c>
      <c r="D532">
        <f>IF($A532="","",COUNTIF(connections!$A$2:$A$1205,$A532)+COUNTIF(connections!$B$2:$B$1205,$A532))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IF(connections!$A532="","",IFERROR(INDEX(games!$B$2:$B$846,MATCH(connections!$A532,games!$A$2:$A$846,0)),""))</f>
        <v>2018</v>
      </c>
      <c r="U532">
        <f>IF(connections!$A532="","",IFERROR(INDEX(games!$B$2:$B$846,MATCH(connections!$B532,games!$A$2:$A$846,0)),""))</f>
        <v>2025</v>
      </c>
      <c r="V532">
        <f t="shared" si="107"/>
        <v>7</v>
      </c>
    </row>
    <row r="533" spans="1:22" x14ac:dyDescent="0.25">
      <c r="A533" t="str">
        <f>IF(games!$A533="","",games!$A533)</f>
        <v>Pokelike</v>
      </c>
      <c r="B533">
        <f>IF($A533="","",games!$B533)</f>
        <v>2026</v>
      </c>
      <c r="C533" t="str">
        <f>IF($A533="","",games!$C533)</f>
        <v>Strategy</v>
      </c>
      <c r="D533">
        <f>IF($A533="","",COUNTIF(connections!$A$2:$A$1205,$A533)+COUNTIF(connections!$B$2:$B$1205,$A533))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IF(connections!$A533="","",IFERROR(INDEX(games!$B$2:$B$846,MATCH(connections!$A533,games!$A$2:$A$846,0)),""))</f>
        <v>1983</v>
      </c>
      <c r="U533">
        <f>IF(connections!$A533="","",IFERROR(INDEX(games!$B$2:$B$846,MATCH(connections!$B533,games!$A$2:$A$846,0)),""))</f>
        <v>1990</v>
      </c>
      <c r="V533">
        <f t="shared" si="107"/>
        <v>7</v>
      </c>
    </row>
    <row r="534" spans="1:22" x14ac:dyDescent="0.25">
      <c r="A534" t="str">
        <f>IF(games!$A534="","",games!$A534)</f>
        <v>Pokémon Auto Chess</v>
      </c>
      <c r="B534">
        <f>IF($A534="","",games!$B534)</f>
        <v>2021</v>
      </c>
      <c r="C534" t="str">
        <f>IF($A534="","",games!$C534)</f>
        <v>Strategy</v>
      </c>
      <c r="D534">
        <f>IF($A534="","",COUNTIF(connections!$A$2:$A$1205,$A534)+COUNTIF(connections!$B$2:$B$1205,$A534))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IF(connections!$A534="","",IFERROR(INDEX(games!$B$2:$B$846,MATCH(connections!$A534,games!$A$2:$A$846,0)),""))</f>
        <v>1983</v>
      </c>
      <c r="U534">
        <f>IF(connections!$A534="","",IFERROR(INDEX(games!$B$2:$B$846,MATCH(connections!$B534,games!$A$2:$A$846,0)),""))</f>
        <v>1996</v>
      </c>
      <c r="V534">
        <f t="shared" si="107"/>
        <v>13</v>
      </c>
    </row>
    <row r="535" spans="1:22" x14ac:dyDescent="0.25">
      <c r="A535" t="str">
        <f>IF(games!$A535="","",games!$A535)</f>
        <v>Pokémon Auto Spire</v>
      </c>
      <c r="B535">
        <f>IF($A535="","",games!$B535)</f>
        <v>2026</v>
      </c>
      <c r="C535" t="str">
        <f>IF($A535="","",games!$C535)</f>
        <v>Strategy</v>
      </c>
      <c r="D535">
        <f>IF($A535="","",COUNTIF(connections!$A$2:$A$1205,$A535)+COUNTIF(connections!$B$2:$B$1205,$A535))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IF(connections!$A535="","",IFERROR(INDEX(games!$B$2:$B$846,MATCH(connections!$A535,games!$A$2:$A$846,0)),""))</f>
        <v>1983</v>
      </c>
      <c r="U535">
        <f>IF(connections!$A535="","",IFERROR(INDEX(games!$B$2:$B$846,MATCH(connections!$B535,games!$A$2:$A$846,0)),""))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IF($A536="","",COUNTIF(connections!$A$2:$A$1205,$A536)+COUNTIF(connections!$B$2:$B$1205,$A536))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IF(connections!$A536="","",IFERROR(INDEX(games!$B$2:$B$846,MATCH(connections!$A536,games!$A$2:$A$846,0)),""))</f>
        <v>2018</v>
      </c>
      <c r="U536">
        <f>IF(connections!$A536="","",IFERROR(INDEX(games!$B$2:$B$846,MATCH(connections!$B536,games!$A$2:$A$846,0)),""))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IF($A537="","",COUNTIF(connections!$A$2:$A$1205,$A537)+COUNTIF(connections!$B$2:$B$1205,$A537))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IF(connections!$A537="","",IFERROR(INDEX(games!$B$2:$B$846,MATCH(connections!$A537,games!$A$2:$A$846,0)),""))</f>
        <v>2011</v>
      </c>
      <c r="U537">
        <f>IF(connections!$A537="","",IFERROR(INDEX(games!$B$2:$B$846,MATCH(connections!$B537,games!$A$2:$A$846,0)),""))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IF($A538="","",COUNTIF(connections!$A$2:$A$1205,$A538)+COUNTIF(connections!$B$2:$B$1205,$A538))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IF(connections!$A538="","",IFERROR(INDEX(games!$B$2:$B$846,MATCH(connections!$A538,games!$A$2:$A$846,0)),""))</f>
        <v>2021</v>
      </c>
      <c r="U538">
        <f>IF(connections!$A538="","",IFERROR(INDEX(games!$B$2:$B$846,MATCH(connections!$B538,games!$A$2:$A$846,0)),""))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IF($A539="","",COUNTIF(connections!$A$2:$A$1205,$A539)+COUNTIF(connections!$B$2:$B$1205,$A539))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IF(connections!$A539="","",IFERROR(INDEX(games!$B$2:$B$846,MATCH(connections!$A539,games!$A$2:$A$846,0)),""))</f>
        <v>1995</v>
      </c>
      <c r="U539">
        <f>IF(connections!$A539="","",IFERROR(INDEX(games!$B$2:$B$846,MATCH(connections!$B539,games!$A$2:$A$846,0)),""))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IF($A540="","",COUNTIF(connections!$A$2:$A$1205,$A540)+COUNTIF(connections!$B$2:$B$1205,$A540))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IF(connections!$A540="","",IFERROR(INDEX(games!$B$2:$B$846,MATCH(connections!$A540,games!$A$2:$A$846,0)),""))</f>
        <v>1995</v>
      </c>
      <c r="U540">
        <f>IF(connections!$A540="","",IFERROR(INDEX(games!$B$2:$B$846,MATCH(connections!$B540,games!$A$2:$A$846,0)),""))</f>
        <v>2023</v>
      </c>
      <c r="V540">
        <f t="shared" si="107"/>
        <v>28</v>
      </c>
    </row>
    <row r="541" spans="1:22" x14ac:dyDescent="0.25">
      <c r="A541" t="str">
        <f>IF(games!$A541="","",games!$A541)</f>
        <v>Pokémon Super Mystery Dungeon</v>
      </c>
      <c r="B541">
        <f>IF($A541="","",games!$B541)</f>
        <v>2015</v>
      </c>
      <c r="C541" t="str">
        <f>IF($A541="","",games!$C541)</f>
        <v>Traditional</v>
      </c>
      <c r="D541">
        <f>IF($A541="","",COUNTIF(connections!$A$2:$A$1205,$A541)+COUNTIF(connections!$B$2:$B$1205,$A541))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IF(connections!$A541="","",IFERROR(INDEX(games!$B$2:$B$846,MATCH(connections!$A541,games!$A$2:$A$846,0)),""))</f>
        <v>1995</v>
      </c>
      <c r="U541">
        <f>IF(connections!$A541="","",IFERROR(INDEX(games!$B$2:$B$846,MATCH(connections!$B541,games!$A$2:$A$846,0)),""))</f>
        <v>2025</v>
      </c>
      <c r="V541">
        <f t="shared" si="107"/>
        <v>30</v>
      </c>
    </row>
    <row r="542" spans="1:22" x14ac:dyDescent="0.25">
      <c r="A542" t="str">
        <f>IF(games!$A542="","",games!$A542)</f>
        <v>PokéRogue</v>
      </c>
      <c r="B542">
        <f>IF($A542="","",games!$B542)</f>
        <v>2024</v>
      </c>
      <c r="C542" t="str">
        <f>IF($A542="","",games!$C542)</f>
        <v>Strategy</v>
      </c>
      <c r="D542">
        <f>IF($A542="","",COUNTIF(connections!$A$2:$A$1205,$A542)+COUNTIF(connections!$B$2:$B$1205,$A542))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IF(connections!$A542="","",IFERROR(INDEX(games!$B$2:$B$846,MATCH(connections!$A542,games!$A$2:$A$846,0)),""))</f>
        <v>1995</v>
      </c>
      <c r="U542">
        <f>IF(connections!$A542="","",IFERROR(INDEX(games!$B$2:$B$846,MATCH(connections!$B542,games!$A$2:$A$846,0)),""))</f>
        <v>2014</v>
      </c>
      <c r="V542">
        <f t="shared" si="107"/>
        <v>19</v>
      </c>
    </row>
    <row r="543" spans="1:22" x14ac:dyDescent="0.25">
      <c r="A543" t="str">
        <f>IF(games!$A543="","",games!$A543)</f>
        <v>PokeVoid</v>
      </c>
      <c r="B543">
        <f>IF($A543="","",games!$B543)</f>
        <v>2025</v>
      </c>
      <c r="C543" t="str">
        <f>IF($A543="","",games!$C543)</f>
        <v>Strategy</v>
      </c>
      <c r="D543">
        <f>IF($A543="","",COUNTIF(connections!$A$2:$A$1205,$A543)+COUNTIF(connections!$B$2:$B$1205,$A543))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IF(connections!$A543="","",IFERROR(INDEX(games!$B$2:$B$846,MATCH(connections!$A543,games!$A$2:$A$846,0)),""))</f>
        <v>1995</v>
      </c>
      <c r="U543">
        <f>IF(connections!$A543="","",IFERROR(INDEX(games!$B$2:$B$846,MATCH(connections!$B543,games!$A$2:$A$846,0)),""))</f>
        <v>2000</v>
      </c>
      <c r="V543">
        <f t="shared" si="107"/>
        <v>5</v>
      </c>
    </row>
    <row r="544" spans="1:22" x14ac:dyDescent="0.25">
      <c r="A544" t="str">
        <f>IF(games!$A544="","",games!$A544)</f>
        <v>Popup Dungeon</v>
      </c>
      <c r="B544">
        <f>IF($A544="","",games!$B544)</f>
        <v>2020</v>
      </c>
      <c r="C544" t="str">
        <f>IF($A544="","",games!$C544)</f>
        <v>Strategy</v>
      </c>
      <c r="D544">
        <f>IF($A544="","",COUNTIF(connections!$A$2:$A$1205,$A544)+COUNTIF(connections!$B$2:$B$1205,$A544))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IF(connections!$A544="","",IFERROR(INDEX(games!$B$2:$B$846,MATCH(connections!$A544,games!$A$2:$A$846,0)),""))</f>
        <v>1995</v>
      </c>
      <c r="U544">
        <f>IF(connections!$A544="","",IFERROR(INDEX(games!$B$2:$B$846,MATCH(connections!$B544,games!$A$2:$A$846,0)),""))</f>
        <v>1996</v>
      </c>
      <c r="V544">
        <f t="shared" si="107"/>
        <v>1</v>
      </c>
    </row>
    <row r="545" spans="1:22" x14ac:dyDescent="0.25">
      <c r="A545" t="str">
        <f>IF(games!$A545="","",games!$A545)</f>
        <v>Powder</v>
      </c>
      <c r="B545">
        <f>IF($A545="","",games!$B545)</f>
        <v>2003</v>
      </c>
      <c r="C545" t="str">
        <f>IF($A545="","",games!$C545)</f>
        <v>Traditional</v>
      </c>
      <c r="D545">
        <f>IF($A545="","",COUNTIF(connections!$A$2:$A$1205,$A545)+COUNTIF(connections!$B$2:$B$1205,$A545))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IF(connections!$A545="","",IFERROR(INDEX(games!$B$2:$B$846,MATCH(connections!$A545,games!$A$2:$A$846,0)),""))</f>
        <v>1995</v>
      </c>
      <c r="U545">
        <f>IF(connections!$A545="","",IFERROR(INDEX(games!$B$2:$B$846,MATCH(connections!$B545,games!$A$2:$A$846,0)),""))</f>
        <v>2017</v>
      </c>
      <c r="V545">
        <f t="shared" si="107"/>
        <v>22</v>
      </c>
    </row>
    <row r="546" spans="1:22" x14ac:dyDescent="0.25">
      <c r="A546" t="str">
        <f>IF(games!$A546="","",games!$A546)</f>
        <v>Primordialis</v>
      </c>
      <c r="B546">
        <f>IF($A546="","",games!$B546)</f>
        <v>2024</v>
      </c>
      <c r="C546" t="str">
        <f>IF($A546="","",games!$C546)</f>
        <v>Action</v>
      </c>
      <c r="D546">
        <f>IF($A546="","",COUNTIF(connections!$A$2:$A$1205,$A546)+COUNTIF(connections!$B$2:$B$1205,$A546))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IF(connections!$A546="","",IFERROR(INDEX(games!$B$2:$B$846,MATCH(connections!$A546,games!$A$2:$A$846,0)),""))</f>
        <v>2022</v>
      </c>
      <c r="U546">
        <f>IF(connections!$A546="","",IFERROR(INDEX(games!$B$2:$B$846,MATCH(connections!$B546,games!$A$2:$A$846,0)),""))</f>
        <v>2024</v>
      </c>
      <c r="V546">
        <f t="shared" si="107"/>
        <v>2</v>
      </c>
    </row>
    <row r="547" spans="1:22" x14ac:dyDescent="0.25">
      <c r="A547" t="str">
        <f>IF(games!$A547="","",games!$A547)</f>
        <v>Pronoun Palace</v>
      </c>
      <c r="B547">
        <f>IF($A547="","",games!$B547)</f>
        <v>2026</v>
      </c>
      <c r="C547" t="str">
        <f>IF($A547="","",games!$C547)</f>
        <v>Strategy</v>
      </c>
      <c r="D547">
        <f>IF($A547="","",COUNTIF(connections!$A$2:$A$1205,$A547)+COUNTIF(connections!$B$2:$B$1205,$A547))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IF(connections!$A547="","",IFERROR(INDEX(games!$B$2:$B$846,MATCH(connections!$A547,games!$A$2:$A$846,0)),""))</f>
        <v>2022</v>
      </c>
      <c r="U547">
        <f>IF(connections!$A547="","",IFERROR(INDEX(games!$B$2:$B$846,MATCH(connections!$B547,games!$A$2:$A$846,0)),""))</f>
        <v>2024</v>
      </c>
      <c r="V547">
        <f t="shared" si="107"/>
        <v>2</v>
      </c>
    </row>
    <row r="548" spans="1:22" x14ac:dyDescent="0.25">
      <c r="A548" t="str">
        <f>IF(games!$A548="","",games!$A548)</f>
        <v>Putrid Shot Ultra</v>
      </c>
      <c r="B548">
        <f>IF($A548="","",games!$B548)</f>
        <v>2022</v>
      </c>
      <c r="C548" t="str">
        <f>IF($A548="","",games!$C548)</f>
        <v>Action</v>
      </c>
      <c r="D548">
        <f>IF($A548="","",COUNTIF(connections!$A$2:$A$1205,$A548)+COUNTIF(connections!$B$2:$B$1205,$A548))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IF(connections!$A548="","",IFERROR(INDEX(games!$B$2:$B$846,MATCH(connections!$A548,games!$A$2:$A$846,0)),""))</f>
        <v>2019</v>
      </c>
      <c r="U548">
        <f>IF(connections!$A548="","",IFERROR(INDEX(games!$B$2:$B$846,MATCH(connections!$B548,games!$A$2:$A$846,0)),""))</f>
        <v>2025</v>
      </c>
      <c r="V548">
        <f t="shared" si="107"/>
        <v>6</v>
      </c>
    </row>
    <row r="549" spans="1:22" x14ac:dyDescent="0.25">
      <c r="A549" t="str">
        <f>IF(games!$A549="","",games!$A549)</f>
        <v>Quasimorph</v>
      </c>
      <c r="B549">
        <f>IF($A549="","",games!$B549)</f>
        <v>2023</v>
      </c>
      <c r="C549" t="str">
        <f>IF($A549="","",games!$C549)</f>
        <v>Traditional</v>
      </c>
      <c r="D549">
        <f>IF($A549="","",COUNTIF(connections!$A$2:$A$1205,$A549)+COUNTIF(connections!$B$2:$B$1205,$A549))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IF(connections!$A549="","",IFERROR(INDEX(games!$B$2:$B$846,MATCH(connections!$A549,games!$A$2:$A$846,0)),""))</f>
        <v>1987</v>
      </c>
      <c r="U549">
        <f>IF(connections!$A549="","",IFERROR(INDEX(games!$B$2:$B$846,MATCH(connections!$B549,games!$A$2:$A$846,0)),""))</f>
        <v>2015</v>
      </c>
      <c r="V549">
        <f t="shared" si="107"/>
        <v>28</v>
      </c>
    </row>
    <row r="550" spans="1:22" x14ac:dyDescent="0.25">
      <c r="A550" t="str">
        <f>IF(games!$A550="","",games!$A550)</f>
        <v>Quest of Dungeons</v>
      </c>
      <c r="B550">
        <f>IF($A550="","",games!$B550)</f>
        <v>2014</v>
      </c>
      <c r="C550" t="str">
        <f>IF($A550="","",games!$C550)</f>
        <v>Traditional</v>
      </c>
      <c r="D550">
        <f>IF($A550="","",COUNTIF(connections!$A$2:$A$1205,$A550)+COUNTIF(connections!$B$2:$B$1205,$A550))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IF(connections!$A550="","",IFERROR(INDEX(games!$B$2:$B$846,MATCH(connections!$A550,games!$A$2:$A$846,0)),""))</f>
        <v>1987</v>
      </c>
      <c r="U550">
        <f>IF(connections!$A550="","",IFERROR(INDEX(games!$B$2:$B$846,MATCH(connections!$B550,games!$A$2:$A$846,0)),""))</f>
        <v>2014</v>
      </c>
      <c r="V550">
        <f t="shared" si="107"/>
        <v>27</v>
      </c>
    </row>
    <row r="551" spans="1:22" x14ac:dyDescent="0.25">
      <c r="A551" t="str">
        <f>IF(games!$A551="","",games!$A551)</f>
        <v>Rabbit and Steel</v>
      </c>
      <c r="B551">
        <f>IF($A551="","",games!$B551)</f>
        <v>2024</v>
      </c>
      <c r="C551" t="str">
        <f>IF($A551="","",games!$C551)</f>
        <v>Action</v>
      </c>
      <c r="D551">
        <f>IF($A551="","",COUNTIF(connections!$A$2:$A$1205,$A551)+COUNTIF(connections!$B$2:$B$1205,$A551))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IF(connections!$A551="","",IFERROR(INDEX(games!$B$2:$B$846,MATCH(connections!$A551,games!$A$2:$A$846,0)),""))</f>
        <v>1987</v>
      </c>
      <c r="U551">
        <f>IF(connections!$A551="","",IFERROR(INDEX(games!$B$2:$B$846,MATCH(connections!$B551,games!$A$2:$A$846,0)),""))</f>
        <v>1996</v>
      </c>
      <c r="V551">
        <f t="shared" si="107"/>
        <v>9</v>
      </c>
    </row>
    <row r="552" spans="1:22" x14ac:dyDescent="0.25">
      <c r="A552" t="str">
        <f>IF(games!$A552="","",games!$A552)</f>
        <v>Raccoin: Coin Pusher Roguelike</v>
      </c>
      <c r="B552">
        <f>IF($A552="","",games!$B552)</f>
        <v>2026</v>
      </c>
      <c r="C552" t="str">
        <f>IF($A552="","",games!$C552)</f>
        <v>Deckbuilder</v>
      </c>
      <c r="D552">
        <f>IF($A552="","",COUNTIF(connections!$A$2:$A$1205,$A552)+COUNTIF(connections!$B$2:$B$1205,$A552))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IF(connections!$A552="","",IFERROR(INDEX(games!$B$2:$B$846,MATCH(connections!$A552,games!$A$2:$A$846,0)),""))</f>
        <v>1987</v>
      </c>
      <c r="U552">
        <f>IF(connections!$A552="","",IFERROR(INDEX(games!$B$2:$B$846,MATCH(connections!$B552,games!$A$2:$A$846,0)),""))</f>
        <v>2003</v>
      </c>
      <c r="V552">
        <f t="shared" si="107"/>
        <v>16</v>
      </c>
    </row>
    <row r="553" spans="1:22" x14ac:dyDescent="0.25">
      <c r="A553" t="str">
        <f>IF(games!$A553="","",games!$A553)</f>
        <v>Rack and Slay</v>
      </c>
      <c r="B553">
        <f>IF($A553="","",games!$B553)</f>
        <v>2024</v>
      </c>
      <c r="C553" t="str">
        <f>IF($A553="","",games!$C553)</f>
        <v>Strategy</v>
      </c>
      <c r="D553">
        <f>IF($A553="","",COUNTIF(connections!$A$2:$A$1205,$A553)+COUNTIF(connections!$B$2:$B$1205,$A553))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IF(connections!$A553="","",IFERROR(INDEX(games!$B$2:$B$846,MATCH(connections!$A553,games!$A$2:$A$846,0)),""))</f>
        <v>1987</v>
      </c>
      <c r="U553">
        <f>IF(connections!$A553="","",IFERROR(INDEX(games!$B$2:$B$846,MATCH(connections!$B553,games!$A$2:$A$846,0)),""))</f>
        <v>2011</v>
      </c>
      <c r="V553">
        <f t="shared" si="107"/>
        <v>24</v>
      </c>
    </row>
    <row r="554" spans="1:22" x14ac:dyDescent="0.25">
      <c r="A554" t="str">
        <f>IF(games!$A554="","",games!$A554)</f>
        <v>Ragnarok</v>
      </c>
      <c r="B554">
        <f>IF($A554="","",games!$B554)</f>
        <v>1992</v>
      </c>
      <c r="C554" t="str">
        <f>IF($A554="","",games!$C554)</f>
        <v>Traditional</v>
      </c>
      <c r="D554">
        <f>IF($A554="","",COUNTIF(connections!$A$2:$A$1205,$A554)+COUNTIF(connections!$B$2:$B$1205,$A554))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IF(connections!$A554="","",IFERROR(INDEX(games!$B$2:$B$846,MATCH(connections!$A554,games!$A$2:$A$846,0)),""))</f>
        <v>1987</v>
      </c>
      <c r="U554">
        <f>IF(connections!$A554="","",IFERROR(INDEX(games!$B$2:$B$846,MATCH(connections!$B554,games!$A$2:$A$846,0)),""))</f>
        <v>2008</v>
      </c>
      <c r="V554">
        <f t="shared" si="107"/>
        <v>21</v>
      </c>
    </row>
    <row r="555" spans="1:22" x14ac:dyDescent="0.25">
      <c r="A555" t="str">
        <f>IF(games!$A555="","",games!$A555)</f>
        <v>RAM: Random Access Mayhem</v>
      </c>
      <c r="B555">
        <f>IF($A555="","",games!$B555)</f>
        <v>2024</v>
      </c>
      <c r="C555" t="str">
        <f>IF($A555="","",games!$C555)</f>
        <v>Action</v>
      </c>
      <c r="D555">
        <f>IF($A555="","",COUNTIF(connections!$A$2:$A$1205,$A555)+COUNTIF(connections!$B$2:$B$1205,$A555))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IF(connections!$A555="","",IFERROR(INDEX(games!$B$2:$B$846,MATCH(connections!$A555,games!$A$2:$A$846,0)),""))</f>
        <v>1987</v>
      </c>
      <c r="U555">
        <f>IF(connections!$A555="","",IFERROR(INDEX(games!$B$2:$B$846,MATCH(connections!$B555,games!$A$2:$A$846,0)),""))</f>
        <v>2018</v>
      </c>
      <c r="V555">
        <f t="shared" si="107"/>
        <v>31</v>
      </c>
    </row>
    <row r="556" spans="1:22" x14ac:dyDescent="0.25">
      <c r="A556" t="str">
        <f>IF(games!$A556="","",games!$A556)</f>
        <v>Rampage Knights</v>
      </c>
      <c r="B556">
        <f>IF($A556="","",games!$B556)</f>
        <v>2015</v>
      </c>
      <c r="C556" t="str">
        <f>IF($A556="","",games!$C556)</f>
        <v>Action</v>
      </c>
      <c r="D556">
        <f>IF($A556="","",COUNTIF(connections!$A$2:$A$1205,$A556)+COUNTIF(connections!$B$2:$B$1205,$A556))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IF(connections!$A556="","",IFERROR(INDEX(games!$B$2:$B$846,MATCH(connections!$A556,games!$A$2:$A$846,0)),""))</f>
        <v>1987</v>
      </c>
      <c r="U556">
        <f>IF(connections!$A556="","",IFERROR(INDEX(games!$B$2:$B$846,MATCH(connections!$B556,games!$A$2:$A$846,0)),""))</f>
        <v>2006</v>
      </c>
      <c r="V556">
        <f t="shared" si="107"/>
        <v>19</v>
      </c>
    </row>
    <row r="557" spans="1:22" x14ac:dyDescent="0.25">
      <c r="A557" t="str">
        <f>IF(games!$A557="","",games!$A557)</f>
        <v>Ratropolis</v>
      </c>
      <c r="B557">
        <f>IF($A557="","",games!$B557)</f>
        <v>2019</v>
      </c>
      <c r="C557" t="str">
        <f>IF($A557="","",games!$C557)</f>
        <v>Deckbuilder</v>
      </c>
      <c r="D557">
        <f>IF($A557="","",COUNTIF(connections!$A$2:$A$1205,$A557)+COUNTIF(connections!$B$2:$B$1205,$A557))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IF(connections!$A557="","",IFERROR(INDEX(games!$B$2:$B$846,MATCH(connections!$A557,games!$A$2:$A$846,0)),""))</f>
        <v>1987</v>
      </c>
      <c r="U557">
        <f>IF(connections!$A557="","",IFERROR(INDEX(games!$B$2:$B$846,MATCH(connections!$B557,games!$A$2:$A$846,0)),""))</f>
        <v>2020</v>
      </c>
      <c r="V557">
        <f t="shared" si="107"/>
        <v>33</v>
      </c>
    </row>
    <row r="558" spans="1:22" x14ac:dyDescent="0.25">
      <c r="A558" t="str">
        <f>IF(games!$A558="","",games!$A558)</f>
        <v>Ravenswatch</v>
      </c>
      <c r="B558">
        <f>IF($A558="","",games!$B558)</f>
        <v>2023</v>
      </c>
      <c r="C558" t="str">
        <f>IF($A558="","",games!$C558)</f>
        <v>Action</v>
      </c>
      <c r="D558">
        <f>IF($A558="","",COUNTIF(connections!$A$2:$A$1205,$A558)+COUNTIF(connections!$B$2:$B$1205,$A558))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IF(connections!$A558="","",IFERROR(INDEX(games!$B$2:$B$846,MATCH(connections!$A558,games!$A$2:$A$846,0)),""))</f>
        <v>1987</v>
      </c>
      <c r="U558">
        <f>IF(connections!$A558="","",IFERROR(INDEX(games!$B$2:$B$846,MATCH(connections!$B558,games!$A$2:$A$846,0)),""))</f>
        <v>2017</v>
      </c>
      <c r="V558">
        <f t="shared" si="107"/>
        <v>30</v>
      </c>
    </row>
    <row r="559" spans="1:22" x14ac:dyDescent="0.25">
      <c r="A559" t="str">
        <f>IF(games!$A559="","",games!$A559)</f>
        <v>Reality Break</v>
      </c>
      <c r="B559">
        <f>IF($A559="","",games!$B559)</f>
        <v>2025</v>
      </c>
      <c r="C559" t="str">
        <f>IF($A559="","",games!$C559)</f>
        <v>Action</v>
      </c>
      <c r="D559">
        <f>IF($A559="","",COUNTIF(connections!$A$2:$A$1205,$A559)+COUNTIF(connections!$B$2:$B$1205,$A559))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IF(connections!$A559="","",IFERROR(INDEX(games!$B$2:$B$846,MATCH(connections!$A559,games!$A$2:$A$846,0)),""))</f>
        <v>1987</v>
      </c>
      <c r="U559">
        <f>IF(connections!$A559="","",IFERROR(INDEX(games!$B$2:$B$846,MATCH(connections!$B559,games!$A$2:$A$846,0)),""))</f>
        <v>2012</v>
      </c>
      <c r="V559">
        <f t="shared" si="107"/>
        <v>25</v>
      </c>
    </row>
    <row r="560" spans="1:22" x14ac:dyDescent="0.25">
      <c r="A560" t="str">
        <f>IF(games!$A560="","",games!$A560)</f>
        <v>Realm of Ink</v>
      </c>
      <c r="B560">
        <f>IF($A560="","",games!$B560)</f>
        <v>2024</v>
      </c>
      <c r="C560" t="str">
        <f>IF($A560="","",games!$C560)</f>
        <v>Action</v>
      </c>
      <c r="D560">
        <f>IF($A560="","",COUNTIF(connections!$A$2:$A$1205,$A560)+COUNTIF(connections!$B$2:$B$1205,$A560))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IF(connections!$A560="","",IFERROR(INDEX(games!$B$2:$B$846,MATCH(connections!$A560,games!$A$2:$A$846,0)),""))</f>
        <v>1987</v>
      </c>
      <c r="U560">
        <f>IF(connections!$A560="","",IFERROR(INDEX(games!$B$2:$B$846,MATCH(connections!$B560,games!$A$2:$A$846,0)),""))</f>
        <v>2007</v>
      </c>
      <c r="V560">
        <f t="shared" si="107"/>
        <v>20</v>
      </c>
    </row>
    <row r="561" spans="1:22" x14ac:dyDescent="0.25">
      <c r="A561" t="str">
        <f>IF(games!$A561="","",games!$A561)</f>
        <v>Realm of the Mad God</v>
      </c>
      <c r="B561">
        <f>IF($A561="","",games!$B561)</f>
        <v>2010</v>
      </c>
      <c r="C561" t="str">
        <f>IF($A561="","",games!$C561)</f>
        <v>Action</v>
      </c>
      <c r="D561">
        <f>IF($A561="","",COUNTIF(connections!$A$2:$A$1205,$A561)+COUNTIF(connections!$B$2:$B$1205,$A561))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IF(connections!$A561="","",IFERROR(INDEX(games!$B$2:$B$846,MATCH(connections!$A561,games!$A$2:$A$846,0)),""))</f>
        <v>1987</v>
      </c>
      <c r="U561">
        <f>IF(connections!$A561="","",IFERROR(INDEX(games!$B$2:$B$846,MATCH(connections!$B561,games!$A$2:$A$846,0)),""))</f>
        <v>2001</v>
      </c>
      <c r="V561">
        <f t="shared" si="107"/>
        <v>14</v>
      </c>
    </row>
    <row r="562" spans="1:22" x14ac:dyDescent="0.25">
      <c r="A562" t="str">
        <f>IF(games!$A562="","",games!$A562)</f>
        <v>Red Rogue</v>
      </c>
      <c r="B562">
        <f>IF($A562="","",games!$B562)</f>
        <v>2012</v>
      </c>
      <c r="C562" t="str">
        <f>IF($A562="","",games!$C562)</f>
        <v>Action</v>
      </c>
      <c r="D562">
        <f>IF($A562="","",COUNTIF(connections!$A$2:$A$1205,$A562)+COUNTIF(connections!$B$2:$B$1205,$A562))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IF(connections!$A562="","",IFERROR(INDEX(games!$B$2:$B$846,MATCH(connections!$A562,games!$A$2:$A$846,0)),""))</f>
        <v>1987</v>
      </c>
      <c r="U562">
        <f>IF(connections!$A562="","",IFERROR(INDEX(games!$B$2:$B$846,MATCH(connections!$B562,games!$A$2:$A$846,0)),""))</f>
        <v>2015</v>
      </c>
      <c r="V562">
        <f t="shared" si="107"/>
        <v>28</v>
      </c>
    </row>
    <row r="563" spans="1:22" x14ac:dyDescent="0.25">
      <c r="A563" t="str">
        <f>IF(games!$A563="","",games!$A563)</f>
        <v>Repetendium</v>
      </c>
      <c r="B563">
        <f>IF($A563="","",games!$B563)</f>
        <v>2022</v>
      </c>
      <c r="C563" t="str">
        <f>IF($A563="","",games!$C563)</f>
        <v>Action</v>
      </c>
      <c r="D563">
        <f>IF($A563="","",COUNTIF(connections!$A$2:$A$1205,$A563)+COUNTIF(connections!$B$2:$B$1205,$A563))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IF(connections!$A563="","",IFERROR(INDEX(games!$B$2:$B$846,MATCH(connections!$A563,games!$A$2:$A$846,0)),""))</f>
        <v>1987</v>
      </c>
      <c r="U563">
        <f>IF(connections!$A563="","",IFERROR(INDEX(games!$B$2:$B$846,MATCH(connections!$B563,games!$A$2:$A$846,0)),""))</f>
        <v>2006</v>
      </c>
      <c r="V563">
        <f t="shared" si="107"/>
        <v>19</v>
      </c>
    </row>
    <row r="564" spans="1:22" x14ac:dyDescent="0.25">
      <c r="A564" t="str">
        <f>IF(games!$A564="","",games!$A564)</f>
        <v>Replicat</v>
      </c>
      <c r="B564">
        <f>IF($A564="","",games!$B564)</f>
        <v>2025</v>
      </c>
      <c r="C564" t="str">
        <f>IF($A564="","",games!$C564)</f>
        <v>Deckbuilder</v>
      </c>
      <c r="D564">
        <f>IF($A564="","",COUNTIF(connections!$A$2:$A$1205,$A564)+COUNTIF(connections!$B$2:$B$1205,$A564))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IF(connections!$A564="","",IFERROR(INDEX(games!$B$2:$B$846,MATCH(connections!$A564,games!$A$2:$A$846,0)),""))</f>
        <v>1987</v>
      </c>
      <c r="U564">
        <f>IF(connections!$A564="","",IFERROR(INDEX(games!$B$2:$B$846,MATCH(connections!$B564,games!$A$2:$A$846,0)),""))</f>
        <v>1995</v>
      </c>
      <c r="V564">
        <f t="shared" si="107"/>
        <v>8</v>
      </c>
    </row>
    <row r="565" spans="1:22" x14ac:dyDescent="0.25">
      <c r="A565" t="str">
        <f>IF(games!$A565="","",games!$A565)</f>
        <v>Return to Abyss</v>
      </c>
      <c r="B565">
        <f>IF($A565="","",games!$B565)</f>
        <v>2023</v>
      </c>
      <c r="C565" t="str">
        <f>IF($A565="","",games!$C565)</f>
        <v>Action</v>
      </c>
      <c r="D565">
        <f>IF($A565="","",COUNTIF(connections!$A$2:$A$1205,$A565)+COUNTIF(connections!$B$2:$B$1205,$A565))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IF(connections!$A565="","",IFERROR(INDEX(games!$B$2:$B$846,MATCH(connections!$A565,games!$A$2:$A$846,0)),""))</f>
        <v>1987</v>
      </c>
      <c r="U565">
        <f>IF(connections!$A565="","",IFERROR(INDEX(games!$B$2:$B$846,MATCH(connections!$B565,games!$A$2:$A$846,0)),""))</f>
        <v>2019</v>
      </c>
      <c r="V565">
        <f t="shared" si="107"/>
        <v>32</v>
      </c>
    </row>
    <row r="566" spans="1:22" x14ac:dyDescent="0.25">
      <c r="A566" t="str">
        <f>IF(games!$A566="","",games!$A566)</f>
        <v>Returnal</v>
      </c>
      <c r="B566">
        <f>IF($A566="","",games!$B566)</f>
        <v>2023</v>
      </c>
      <c r="C566" t="str">
        <f>IF($A566="","",games!$C566)</f>
        <v>Action</v>
      </c>
      <c r="D566">
        <f>IF($A566="","",COUNTIF(connections!$A$2:$A$1205,$A566)+COUNTIF(connections!$B$2:$B$1205,$A566))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IF(connections!$A566="","",IFERROR(INDEX(games!$B$2:$B$846,MATCH(connections!$A566,games!$A$2:$A$846,0)),""))</f>
        <v>1987</v>
      </c>
      <c r="U566">
        <f>IF(connections!$A566="","",IFERROR(INDEX(games!$B$2:$B$846,MATCH(connections!$B566,games!$A$2:$A$846,0)),""))</f>
        <v>2023</v>
      </c>
      <c r="V566">
        <f t="shared" si="107"/>
        <v>36</v>
      </c>
    </row>
    <row r="567" spans="1:22" x14ac:dyDescent="0.25">
      <c r="A567" t="str">
        <f>IF(games!$A567="","",games!$A567)</f>
        <v>Revita</v>
      </c>
      <c r="B567">
        <f>IF($A567="","",games!$B567)</f>
        <v>2021</v>
      </c>
      <c r="C567" t="str">
        <f>IF($A567="","",games!$C567)</f>
        <v>Action</v>
      </c>
      <c r="D567">
        <f>IF($A567="","",COUNTIF(connections!$A$2:$A$1205,$A567)+COUNTIF(connections!$B$2:$B$1205,$A567))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IF(connections!$A567="","",IFERROR(INDEX(games!$B$2:$B$846,MATCH(connections!$A567,games!$A$2:$A$846,0)),""))</f>
        <v>1987</v>
      </c>
      <c r="U567">
        <f>IF(connections!$A567="","",IFERROR(INDEX(games!$B$2:$B$846,MATCH(connections!$B567,games!$A$2:$A$846,0)),""))</f>
        <v>2015</v>
      </c>
      <c r="V567">
        <f t="shared" si="107"/>
        <v>28</v>
      </c>
    </row>
    <row r="568" spans="1:22" x14ac:dyDescent="0.25">
      <c r="A568" t="str">
        <f>IF(games!$A568="","",games!$A568)</f>
        <v>Rhythm Witch: Beat Death</v>
      </c>
      <c r="B568">
        <f>IF($A568="","",games!$B568)</f>
        <v>2025</v>
      </c>
      <c r="C568" t="str">
        <f>IF($A568="","",games!$C568)</f>
        <v>Action</v>
      </c>
      <c r="D568">
        <f>IF($A568="","",COUNTIF(connections!$A$2:$A$1205,$A568)+COUNTIF(connections!$B$2:$B$1205,$A568))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IF(connections!$A568="","",IFERROR(INDEX(games!$B$2:$B$846,MATCH(connections!$A568,games!$A$2:$A$846,0)),""))</f>
        <v>1987</v>
      </c>
      <c r="U568">
        <f>IF(connections!$A568="","",IFERROR(INDEX(games!$B$2:$B$846,MATCH(connections!$B568,games!$A$2:$A$846,0)),""))</f>
        <v>2003</v>
      </c>
      <c r="V568">
        <f t="shared" si="107"/>
        <v>16</v>
      </c>
    </row>
    <row r="569" spans="1:22" x14ac:dyDescent="0.25">
      <c r="A569" t="str">
        <f>IF(games!$A569="","",games!$A569)</f>
        <v>Rift Wizard</v>
      </c>
      <c r="B569">
        <f>IF($A569="","",games!$B569)</f>
        <v>2020</v>
      </c>
      <c r="C569" t="str">
        <f>IF($A569="","",games!$C569)</f>
        <v>Traditional</v>
      </c>
      <c r="D569">
        <f>IF($A569="","",COUNTIF(connections!$A$2:$A$1205,$A569)+COUNTIF(connections!$B$2:$B$1205,$A569))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IF(connections!$A569="","",IFERROR(INDEX(games!$B$2:$B$846,MATCH(connections!$A569,games!$A$2:$A$846,0)),""))</f>
        <v>1987</v>
      </c>
      <c r="U569">
        <f>IF(connections!$A569="","",IFERROR(INDEX(games!$B$2:$B$846,MATCH(connections!$B569,games!$A$2:$A$846,0)),""))</f>
        <v>1992</v>
      </c>
      <c r="V569">
        <f t="shared" si="107"/>
        <v>5</v>
      </c>
    </row>
    <row r="570" spans="1:22" x14ac:dyDescent="0.25">
      <c r="A570" t="str">
        <f>IF(games!$A570="","",games!$A570)</f>
        <v>Rift Wizard 2</v>
      </c>
      <c r="B570">
        <f>IF($A570="","",games!$B570)</f>
        <v>2024</v>
      </c>
      <c r="C570" t="str">
        <f>IF($A570="","",games!$C570)</f>
        <v>Traditional</v>
      </c>
      <c r="D570">
        <f>IF($A570="","",COUNTIF(connections!$A$2:$A$1205,$A570)+COUNTIF(connections!$B$2:$B$1205,$A570))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IF(connections!$A570="","",IFERROR(INDEX(games!$B$2:$B$846,MATCH(connections!$A570,games!$A$2:$A$846,0)),""))</f>
        <v>1987</v>
      </c>
      <c r="U570">
        <f>IF(connections!$A570="","",IFERROR(INDEX(games!$B$2:$B$846,MATCH(connections!$B570,games!$A$2:$A$846,0)),""))</f>
        <v>2020</v>
      </c>
      <c r="V570">
        <f t="shared" si="107"/>
        <v>33</v>
      </c>
    </row>
    <row r="571" spans="1:22" x14ac:dyDescent="0.25">
      <c r="A571" t="str">
        <f>IF(games!$A571="","",games!$A571)</f>
        <v>Rift Wizard 3</v>
      </c>
      <c r="B571">
        <f>IF($A571="","",games!$B571)</f>
        <v>2026</v>
      </c>
      <c r="C571" t="str">
        <f>IF($A571="","",games!$C571)</f>
        <v>Traditional</v>
      </c>
      <c r="D571">
        <f>IF($A571="","",COUNTIF(connections!$A$2:$A$1205,$A571)+COUNTIF(connections!$B$2:$B$1205,$A571))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IF(connections!$A571="","",IFERROR(INDEX(games!$B$2:$B$846,MATCH(connections!$A571,games!$A$2:$A$846,0)),""))</f>
        <v>1987</v>
      </c>
      <c r="U571">
        <f>IF(connections!$A571="","",IFERROR(INDEX(games!$B$2:$B$846,MATCH(connections!$B571,games!$A$2:$A$846,0)),""))</f>
        <v>2006</v>
      </c>
      <c r="V571">
        <f t="shared" si="107"/>
        <v>19</v>
      </c>
    </row>
    <row r="572" spans="1:22" x14ac:dyDescent="0.25">
      <c r="A572" t="str">
        <f>IF(games!$A572="","",games!$A572)</f>
        <v>Right and Down</v>
      </c>
      <c r="B572">
        <f>IF($A572="","",games!$B572)</f>
        <v>2022</v>
      </c>
      <c r="C572" t="str">
        <f>IF($A572="","",games!$C572)</f>
        <v>Deckbuilder</v>
      </c>
      <c r="D572">
        <f>IF($A572="","",COUNTIF(connections!$A$2:$A$1205,$A572)+COUNTIF(connections!$B$2:$B$1205,$A572))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IF(connections!$A572="","",IFERROR(INDEX(games!$B$2:$B$846,MATCH(connections!$A572,games!$A$2:$A$846,0)),""))</f>
        <v>1987</v>
      </c>
      <c r="U572">
        <f>IF(connections!$A572="","",IFERROR(INDEX(games!$B$2:$B$846,MATCH(connections!$B572,games!$A$2:$A$846,0)),""))</f>
        <v>2008</v>
      </c>
      <c r="V572">
        <f t="shared" si="107"/>
        <v>21</v>
      </c>
    </row>
    <row r="573" spans="1:22" x14ac:dyDescent="0.25">
      <c r="A573" t="str">
        <f>IF(games!$A573="","",games!$A573)</f>
        <v>Ring of Pain</v>
      </c>
      <c r="B573">
        <f>IF($A573="","",games!$B573)</f>
        <v>2020</v>
      </c>
      <c r="C573" t="str">
        <f>IF($A573="","",games!$C573)</f>
        <v>Strategy</v>
      </c>
      <c r="D573">
        <f>IF($A573="","",COUNTIF(connections!$A$2:$A$1205,$A573)+COUNTIF(connections!$B$2:$B$1205,$A573))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IF(connections!$A573="","",IFERROR(INDEX(games!$B$2:$B$846,MATCH(connections!$A573,games!$A$2:$A$846,0)),""))</f>
        <v>1987</v>
      </c>
      <c r="U573">
        <f>IF(connections!$A573="","",IFERROR(INDEX(games!$B$2:$B$846,MATCH(connections!$B573,games!$A$2:$A$846,0)),""))</f>
        <v>2002</v>
      </c>
      <c r="V573">
        <f t="shared" si="107"/>
        <v>15</v>
      </c>
    </row>
    <row r="574" spans="1:22" x14ac:dyDescent="0.25">
      <c r="A574" t="str">
        <f>IF(games!$A574="","",games!$A574)</f>
        <v>Ringer</v>
      </c>
      <c r="B574">
        <f>IF($A574="","",games!$B574)</f>
        <v>2025</v>
      </c>
      <c r="C574" t="str">
        <f>IF($A574="","",games!$C574)</f>
        <v>Deckbuilder</v>
      </c>
      <c r="D574">
        <f>IF($A574="","",COUNTIF(connections!$A$2:$A$1205,$A574)+COUNTIF(connections!$B$2:$B$1205,$A574))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IF(connections!$A574="","",IFERROR(INDEX(games!$B$2:$B$846,MATCH(connections!$A574,games!$A$2:$A$846,0)),""))</f>
        <v>1987</v>
      </c>
      <c r="U574">
        <f>IF(connections!$A574="","",IFERROR(INDEX(games!$B$2:$B$846,MATCH(connections!$B574,games!$A$2:$A$846,0)),""))</f>
        <v>2013</v>
      </c>
      <c r="V574">
        <f t="shared" si="107"/>
        <v>26</v>
      </c>
    </row>
    <row r="575" spans="1:22" x14ac:dyDescent="0.25">
      <c r="A575" t="str">
        <f>IF(games!$A575="","",games!$A575)</f>
        <v>Riptale</v>
      </c>
      <c r="B575">
        <f>IF($A575="","",games!$B575)</f>
        <v>2017</v>
      </c>
      <c r="C575" t="str">
        <f>IF($A575="","",games!$C575)</f>
        <v>Action</v>
      </c>
      <c r="D575">
        <f>IF($A575="","",COUNTIF(connections!$A$2:$A$1205,$A575)+COUNTIF(connections!$B$2:$B$1205,$A575))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IF(connections!$A575="","",IFERROR(INDEX(games!$B$2:$B$846,MATCH(connections!$A575,games!$A$2:$A$846,0)),""))</f>
        <v>1987</v>
      </c>
      <c r="U575">
        <f>IF(connections!$A575="","",IFERROR(INDEX(games!$B$2:$B$846,MATCH(connections!$B575,games!$A$2:$A$846,0)),""))</f>
        <v>1992</v>
      </c>
      <c r="V575">
        <f t="shared" si="107"/>
        <v>5</v>
      </c>
    </row>
    <row r="576" spans="1:22" x14ac:dyDescent="0.25">
      <c r="A576" t="str">
        <f>IF(games!$A576="","",games!$A576)</f>
        <v>Risk of Rain</v>
      </c>
      <c r="B576">
        <f>IF($A576="","",games!$B576)</f>
        <v>2013</v>
      </c>
      <c r="C576" t="str">
        <f>IF($A576="","",games!$C576)</f>
        <v>Action</v>
      </c>
      <c r="D576">
        <f>IF($A576="","",COUNTIF(connections!$A$2:$A$1205,$A576)+COUNTIF(connections!$B$2:$B$1205,$A576))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IF(connections!$A576="","",IFERROR(INDEX(games!$B$2:$B$846,MATCH(connections!$A576,games!$A$2:$A$846,0)),""))</f>
        <v>1987</v>
      </c>
      <c r="U576">
        <f>IF(connections!$A576="","",IFERROR(INDEX(games!$B$2:$B$846,MATCH(connections!$B576,games!$A$2:$A$846,0)),""))</f>
        <v>2012</v>
      </c>
      <c r="V576">
        <f t="shared" si="107"/>
        <v>25</v>
      </c>
    </row>
    <row r="577" spans="1:22" x14ac:dyDescent="0.25">
      <c r="A577" t="str">
        <f>IF(games!$A577="","",games!$A577)</f>
        <v>Risk of Rain 2</v>
      </c>
      <c r="B577">
        <f>IF($A577="","",games!$B577)</f>
        <v>2020</v>
      </c>
      <c r="C577" t="str">
        <f>IF($A577="","",games!$C577)</f>
        <v>Action</v>
      </c>
      <c r="D577">
        <f>IF($A577="","",COUNTIF(connections!$A$2:$A$1205,$A577)+COUNTIF(connections!$B$2:$B$1205,$A577))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IF(connections!$A577="","",IFERROR(INDEX(games!$B$2:$B$846,MATCH(connections!$A577,games!$A$2:$A$846,0)),""))</f>
        <v>2024</v>
      </c>
      <c r="U577">
        <f>IF(connections!$A577="","",IFERROR(INDEX(games!$B$2:$B$846,MATCH(connections!$B577,games!$A$2:$A$846,0)),""))</f>
        <v>2026</v>
      </c>
      <c r="V577">
        <f t="shared" si="107"/>
        <v>2</v>
      </c>
    </row>
    <row r="578" spans="1:22" x14ac:dyDescent="0.25">
      <c r="A578" t="str">
        <f>IF(games!$A578="","",games!$A578)</f>
        <v>Risk of Rain Returns</v>
      </c>
      <c r="B578">
        <f>IF($A578="","",games!$B578)</f>
        <v>2023</v>
      </c>
      <c r="C578" t="str">
        <f>IF($A578="","",games!$C578)</f>
        <v>Action</v>
      </c>
      <c r="D578">
        <f>IF($A578="","",COUNTIF(connections!$A$2:$A$1205,$A578)+COUNTIF(connections!$B$2:$B$1205,$A578))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IF(connections!$A578="","",IFERROR(INDEX(games!$B$2:$B$846,MATCH(connections!$A578,games!$A$2:$A$846,0)),""))</f>
        <v>2019</v>
      </c>
      <c r="U578">
        <f>IF(connections!$A578="","",IFERROR(INDEX(games!$B$2:$B$846,MATCH(connections!$B578,games!$A$2:$A$846,0)),""))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IF($A579="","",COUNTIF(connections!$A$2:$A$1205,$A579)+COUNTIF(connections!$B$2:$B$1205,$A579))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IF(connections!$A579="","",IFERROR(INDEX(games!$B$2:$B$846,MATCH(connections!$A579,games!$A$2:$A$846,0)),""))</f>
        <v>2019</v>
      </c>
      <c r="U579">
        <f>IF(connections!$A579="","",IFERROR(INDEX(games!$B$2:$B$846,MATCH(connections!$B579,games!$A$2:$A$846,0)),""))</f>
        <v>2023</v>
      </c>
      <c r="V579">
        <f t="shared" si="119"/>
        <v>4</v>
      </c>
    </row>
    <row r="580" spans="1:22" x14ac:dyDescent="0.25">
      <c r="A580" t="str">
        <f>IF(games!$A580="","",games!$A580)</f>
        <v>Roboquest</v>
      </c>
      <c r="B580">
        <f>IF($A580="","",games!$B580)</f>
        <v>2020</v>
      </c>
      <c r="C580" t="str">
        <f>IF($A580="","",games!$C580)</f>
        <v>Action</v>
      </c>
      <c r="D580">
        <f>IF($A580="","",COUNTIF(connections!$A$2:$A$1205,$A580)+COUNTIF(connections!$B$2:$B$1205,$A580))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IF(connections!$A580="","",IFERROR(INDEX(games!$B$2:$B$846,MATCH(connections!$A580,games!$A$2:$A$846,0)),""))</f>
        <v>2019</v>
      </c>
      <c r="U580">
        <f>IF(connections!$A580="","",IFERROR(INDEX(games!$B$2:$B$846,MATCH(connections!$B580,games!$A$2:$A$846,0)),""))</f>
        <v>2026</v>
      </c>
      <c r="V580">
        <f t="shared" si="119"/>
        <v>7</v>
      </c>
    </row>
    <row r="581" spans="1:22" x14ac:dyDescent="0.25">
      <c r="A581" t="str">
        <f>IF(games!$A581="","",games!$A581)</f>
        <v>Rocket Rats</v>
      </c>
      <c r="B581">
        <f>IF($A581="","",games!$B581)</f>
        <v>2024</v>
      </c>
      <c r="C581" t="str">
        <f>IF($A581="","",games!$C581)</f>
        <v>Action</v>
      </c>
      <c r="D581">
        <f>IF($A581="","",COUNTIF(connections!$A$2:$A$1205,$A581)+COUNTIF(connections!$B$2:$B$1205,$A581))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IF(connections!$A581="","",IFERROR(INDEX(games!$B$2:$B$846,MATCH(connections!$A581,games!$A$2:$A$846,0)),""))</f>
        <v>2019</v>
      </c>
      <c r="U581">
        <f>IF(connections!$A581="","",IFERROR(INDEX(games!$B$2:$B$846,MATCH(connections!$B581,games!$A$2:$A$846,0)),""))</f>
        <v>2024</v>
      </c>
      <c r="V581">
        <f t="shared" si="119"/>
        <v>5</v>
      </c>
    </row>
    <row r="582" spans="1:22" x14ac:dyDescent="0.25">
      <c r="A582" t="str">
        <f>IF(games!$A582="","",games!$A582)</f>
        <v>Rogue</v>
      </c>
      <c r="B582">
        <f>IF($A582="","",games!$B582)</f>
        <v>1980</v>
      </c>
      <c r="C582" t="str">
        <f>IF($A582="","",games!$C582)</f>
        <v>Traditional</v>
      </c>
      <c r="D582">
        <f>IF($A582="","",COUNTIF(connections!$A$2:$A$1205,$A582)+COUNTIF(connections!$B$2:$B$1205,$A582))</f>
        <v>23</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23.000582000000001</v>
      </c>
      <c r="T582">
        <f>IF(connections!$A582="","",IFERROR(INDEX(games!$B$2:$B$846,MATCH(connections!$A582,games!$A$2:$A$846,0)),""))</f>
        <v>2019</v>
      </c>
      <c r="U582">
        <f>IF(connections!$A582="","",IFERROR(INDEX(games!$B$2:$B$846,MATCH(connections!$B582,games!$A$2:$A$846,0)),""))</f>
        <v>2024</v>
      </c>
      <c r="V582">
        <f t="shared" si="119"/>
        <v>5</v>
      </c>
    </row>
    <row r="583" spans="1:22" x14ac:dyDescent="0.25">
      <c r="A583" t="str">
        <f>IF(games!$A583="","",games!$A583)</f>
        <v>Rogue Command</v>
      </c>
      <c r="B583">
        <f>IF($A583="","",games!$B583)</f>
        <v>2024</v>
      </c>
      <c r="C583" t="str">
        <f>IF($A583="","",games!$C583)</f>
        <v>Strategy</v>
      </c>
      <c r="D583">
        <f>IF($A583="","",COUNTIF(connections!$A$2:$A$1205,$A583)+COUNTIF(connections!$B$2:$B$1205,$A583))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IF(connections!$A583="","",IFERROR(INDEX(games!$B$2:$B$846,MATCH(connections!$A583,games!$A$2:$A$846,0)),""))</f>
        <v>2024</v>
      </c>
      <c r="U583">
        <f>IF(connections!$A583="","",IFERROR(INDEX(games!$B$2:$B$846,MATCH(connections!$B583,games!$A$2:$A$846,0)),""))</f>
        <v>2026</v>
      </c>
      <c r="V583">
        <f t="shared" si="119"/>
        <v>2</v>
      </c>
    </row>
    <row r="584" spans="1:22" x14ac:dyDescent="0.25">
      <c r="A584" t="str">
        <f>IF(games!$A584="","",games!$A584)</f>
        <v>Rogue Empire</v>
      </c>
      <c r="B584">
        <f>IF($A584="","",games!$B584)</f>
        <v>2019</v>
      </c>
      <c r="C584" t="str">
        <f>IF($A584="","",games!$C584)</f>
        <v>Traditional</v>
      </c>
      <c r="D584">
        <f>IF($A584="","",COUNTIF(connections!$A$2:$A$1205,$A584)+COUNTIF(connections!$B$2:$B$1205,$A584))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IF(connections!$A584="","",IFERROR(INDEX(games!$B$2:$B$846,MATCH(connections!$A584,games!$A$2:$A$846,0)),""))</f>
        <v>2015</v>
      </c>
      <c r="U584">
        <f>IF(connections!$A584="","",IFERROR(INDEX(games!$B$2:$B$846,MATCH(connections!$B584,games!$A$2:$A$846,0)),""))</f>
        <v>2023</v>
      </c>
      <c r="V584">
        <f t="shared" si="119"/>
        <v>8</v>
      </c>
    </row>
    <row r="585" spans="1:22" x14ac:dyDescent="0.25">
      <c r="A585" t="str">
        <f>IF(games!$A585="","",games!$A585)</f>
        <v>Rogue Factory</v>
      </c>
      <c r="B585">
        <f>IF($A585="","",games!$B585)</f>
        <v>2026</v>
      </c>
      <c r="C585" t="str">
        <f>IF($A585="","",games!$C585)</f>
        <v>Action</v>
      </c>
      <c r="D585">
        <f>IF($A585="","",COUNTIF(connections!$A$2:$A$1205,$A585)+COUNTIF(connections!$B$2:$B$1205,$A585))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IF(connections!$A585="","",IFERROR(INDEX(games!$B$2:$B$846,MATCH(connections!$A585,games!$A$2:$A$846,0)),""))</f>
        <v>2015</v>
      </c>
      <c r="U585">
        <f>IF(connections!$A585="","",IFERROR(INDEX(games!$B$2:$B$846,MATCH(connections!$B585,games!$A$2:$A$846,0)),""))</f>
        <v>2025</v>
      </c>
      <c r="V585">
        <f t="shared" si="119"/>
        <v>10</v>
      </c>
    </row>
    <row r="586" spans="1:22" x14ac:dyDescent="0.25">
      <c r="A586" t="str">
        <f>IF(games!$A586="","",games!$A586)</f>
        <v>Rogue Flight</v>
      </c>
      <c r="B586">
        <f>IF($A586="","",games!$B586)</f>
        <v>2024</v>
      </c>
      <c r="C586" t="str">
        <f>IF($A586="","",games!$C586)</f>
        <v>Action</v>
      </c>
      <c r="D586">
        <f>IF($A586="","",COUNTIF(connections!$A$2:$A$1205,$A586)+COUNTIF(connections!$B$2:$B$1205,$A586))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IF(connections!$A586="","",IFERROR(INDEX(games!$B$2:$B$846,MATCH(connections!$A586,games!$A$2:$A$846,0)),""))</f>
        <v>2015</v>
      </c>
      <c r="U586">
        <f>IF(connections!$A586="","",IFERROR(INDEX(games!$B$2:$B$846,MATCH(connections!$B586,games!$A$2:$A$846,0)),""))</f>
        <v>2020</v>
      </c>
      <c r="V586">
        <f t="shared" si="119"/>
        <v>5</v>
      </c>
    </row>
    <row r="587" spans="1:22" x14ac:dyDescent="0.25">
      <c r="A587" t="str">
        <f>IF(games!$A587="","",games!$A587)</f>
        <v>Rogue Heroes: Ruins of Tasos</v>
      </c>
      <c r="B587">
        <f>IF($A587="","",games!$B587)</f>
        <v>2021</v>
      </c>
      <c r="C587" t="str">
        <f>IF($A587="","",games!$C587)</f>
        <v>Action</v>
      </c>
      <c r="D587">
        <f>IF($A587="","",COUNTIF(connections!$A$2:$A$1205,$A587)+COUNTIF(connections!$B$2:$B$1205,$A587))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IF(connections!$A587="","",IFERROR(INDEX(games!$B$2:$B$846,MATCH(connections!$A587,games!$A$2:$A$846,0)),""))</f>
        <v>2015</v>
      </c>
      <c r="U587">
        <f>IF(connections!$A587="","",IFERROR(INDEX(games!$B$2:$B$846,MATCH(connections!$B587,games!$A$2:$A$846,0)),""))</f>
        <v>2019</v>
      </c>
      <c r="V587">
        <f t="shared" si="119"/>
        <v>4</v>
      </c>
    </row>
    <row r="588" spans="1:22" x14ac:dyDescent="0.25">
      <c r="A588" t="str">
        <f>IF(games!$A588="","",games!$A588)</f>
        <v>Rogue Legacy</v>
      </c>
      <c r="B588">
        <f>IF($A588="","",games!$B588)</f>
        <v>2013</v>
      </c>
      <c r="C588" t="str">
        <f>IF($A588="","",games!$C588)</f>
        <v>Action</v>
      </c>
      <c r="D588">
        <f>IF($A588="","",COUNTIF(connections!$A$2:$A$1205,$A588)+COUNTIF(connections!$B$2:$B$1205,$A588))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IF(connections!$A588="","",IFERROR(INDEX(games!$B$2:$B$846,MATCH(connections!$A588,games!$A$2:$A$846,0)),""))</f>
        <v>2015</v>
      </c>
      <c r="U588">
        <f>IF(connections!$A588="","",IFERROR(INDEX(games!$B$2:$B$846,MATCH(connections!$B588,games!$A$2:$A$846,0)),""))</f>
        <v>2020</v>
      </c>
      <c r="V588">
        <f t="shared" si="119"/>
        <v>5</v>
      </c>
    </row>
    <row r="589" spans="1:22" x14ac:dyDescent="0.25">
      <c r="A589" t="str">
        <f>IF(games!$A589="","",games!$A589)</f>
        <v>Rogue Legacy 2</v>
      </c>
      <c r="B589">
        <f>IF($A589="","",games!$B589)</f>
        <v>2020</v>
      </c>
      <c r="C589" t="str">
        <f>IF($A589="","",games!$C589)</f>
        <v>Action</v>
      </c>
      <c r="D589">
        <f>IF($A589="","",COUNTIF(connections!$A$2:$A$1205,$A589)+COUNTIF(connections!$B$2:$B$1205,$A589))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IF(connections!$A589="","",IFERROR(INDEX(games!$B$2:$B$846,MATCH(connections!$A589,games!$A$2:$A$846,0)),""))</f>
        <v>2015</v>
      </c>
      <c r="U589">
        <f>IF(connections!$A589="","",IFERROR(INDEX(games!$B$2:$B$846,MATCH(connections!$B589,games!$A$2:$A$846,0)),""))</f>
        <v>2020</v>
      </c>
      <c r="V589">
        <f t="shared" si="119"/>
        <v>5</v>
      </c>
    </row>
    <row r="590" spans="1:22" x14ac:dyDescent="0.25">
      <c r="A590" t="str">
        <f>IF(games!$A590="","",games!$A590)</f>
        <v>Rogue Lords</v>
      </c>
      <c r="B590">
        <f>IF($A590="","",games!$B590)</f>
        <v>2021</v>
      </c>
      <c r="C590" t="str">
        <f>IF($A590="","",games!$C590)</f>
        <v>Strategy</v>
      </c>
      <c r="D590">
        <f>IF($A590="","",COUNTIF(connections!$A$2:$A$1205,$A590)+COUNTIF(connections!$B$2:$B$1205,$A590))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IF(connections!$A590="","",IFERROR(INDEX(games!$B$2:$B$846,MATCH(connections!$A590,games!$A$2:$A$846,0)),""))</f>
        <v>2015</v>
      </c>
      <c r="U590">
        <f>IF(connections!$A590="","",IFERROR(INDEX(games!$B$2:$B$846,MATCH(connections!$B590,games!$A$2:$A$846,0)),""))</f>
        <v>2016</v>
      </c>
      <c r="V590">
        <f t="shared" si="119"/>
        <v>1</v>
      </c>
    </row>
    <row r="591" spans="1:22" x14ac:dyDescent="0.25">
      <c r="A591" t="str">
        <f>IF(games!$A591="","",games!$A591)</f>
        <v>Rogue Tower</v>
      </c>
      <c r="B591">
        <f>IF($A591="","",games!$B591)</f>
        <v>2022</v>
      </c>
      <c r="C591" t="str">
        <f>IF($A591="","",games!$C591)</f>
        <v>Strategy</v>
      </c>
      <c r="D591">
        <f>IF($A591="","",COUNTIF(connections!$A$2:$A$1205,$A591)+COUNTIF(connections!$B$2:$B$1205,$A591))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IF(connections!$A591="","",IFERROR(INDEX(games!$B$2:$B$846,MATCH(connections!$A591,games!$A$2:$A$846,0)),""))</f>
        <v>2015</v>
      </c>
      <c r="U591">
        <f>IF(connections!$A591="","",IFERROR(INDEX(games!$B$2:$B$846,MATCH(connections!$B591,games!$A$2:$A$846,0)),""))</f>
        <v>2016</v>
      </c>
      <c r="V591">
        <f t="shared" si="119"/>
        <v>1</v>
      </c>
    </row>
    <row r="592" spans="1:22" x14ac:dyDescent="0.25">
      <c r="A592" t="str">
        <f>IF(games!$A592="","",games!$A592)</f>
        <v>Rogue Voltage</v>
      </c>
      <c r="B592">
        <f>IF($A592="","",games!$B592)</f>
        <v>2024</v>
      </c>
      <c r="C592" t="str">
        <f>IF($A592="","",games!$C592)</f>
        <v>Deckbuilder</v>
      </c>
      <c r="D592">
        <f>IF($A592="","",COUNTIF(connections!$A$2:$A$1205,$A592)+COUNTIF(connections!$B$2:$B$1205,$A592))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IF(connections!$A592="","",IFERROR(INDEX(games!$B$2:$B$846,MATCH(connections!$A592,games!$A$2:$A$846,0)),""))</f>
        <v>2015</v>
      </c>
      <c r="U592">
        <f>IF(connections!$A592="","",IFERROR(INDEX(games!$B$2:$B$846,MATCH(connections!$B592,games!$A$2:$A$846,0)),""))</f>
        <v>2017</v>
      </c>
      <c r="V592">
        <f t="shared" si="119"/>
        <v>2</v>
      </c>
    </row>
    <row r="593" spans="1:22" x14ac:dyDescent="0.25">
      <c r="A593" t="str">
        <f>IF(games!$A593="","",games!$A593)</f>
        <v>Rogue Wizards</v>
      </c>
      <c r="B593">
        <f>IF($A593="","",games!$B593)</f>
        <v>2016</v>
      </c>
      <c r="C593" t="str">
        <f>IF($A593="","",games!$C593)</f>
        <v>Strategy</v>
      </c>
      <c r="D593">
        <f>IF($A593="","",COUNTIF(connections!$A$2:$A$1205,$A593)+COUNTIF(connections!$B$2:$B$1205,$A593))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IF(connections!$A593="","",IFERROR(INDEX(games!$B$2:$B$846,MATCH(connections!$A593,games!$A$2:$A$846,0)),""))</f>
        <v>2015</v>
      </c>
      <c r="U593">
        <f>IF(connections!$A593="","",IFERROR(INDEX(games!$B$2:$B$846,MATCH(connections!$B593,games!$A$2:$A$846,0)),""))</f>
        <v>2023</v>
      </c>
      <c r="V593">
        <f t="shared" si="119"/>
        <v>8</v>
      </c>
    </row>
    <row r="594" spans="1:22" x14ac:dyDescent="0.25">
      <c r="A594" t="str">
        <f>IF(games!$A594="","",games!$A594)</f>
        <v>Rogue: Genesia</v>
      </c>
      <c r="B594">
        <f>IF($A594="","",games!$B594)</f>
        <v>2022</v>
      </c>
      <c r="C594" t="str">
        <f>IF($A594="","",games!$C594)</f>
        <v>Action</v>
      </c>
      <c r="D594">
        <f>IF($A594="","",COUNTIF(connections!$A$2:$A$1205,$A594)+COUNTIF(connections!$B$2:$B$1205,$A594))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IF(connections!$A594="","",IFERROR(INDEX(games!$B$2:$B$846,MATCH(connections!$A594,games!$A$2:$A$846,0)),""))</f>
        <v>2015</v>
      </c>
      <c r="U594">
        <f>IF(connections!$A594="","",IFERROR(INDEX(games!$B$2:$B$846,MATCH(connections!$B594,games!$A$2:$A$846,0)),""))</f>
        <v>2022</v>
      </c>
      <c r="V594">
        <f t="shared" si="119"/>
        <v>7</v>
      </c>
    </row>
    <row r="595" spans="1:22" x14ac:dyDescent="0.25">
      <c r="A595" t="str">
        <f>IF(games!$A595="","",games!$A595)</f>
        <v>Roguebook</v>
      </c>
      <c r="B595">
        <f>IF($A595="","",games!$B595)</f>
        <v>2021</v>
      </c>
      <c r="C595" t="str">
        <f>IF($A595="","",games!$C595)</f>
        <v>Deckbuilder</v>
      </c>
      <c r="D595">
        <f>IF($A595="","",COUNTIF(connections!$A$2:$A$1205,$A595)+COUNTIF(connections!$B$2:$B$1205,$A595))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IF(connections!$A595="","",IFERROR(INDEX(games!$B$2:$B$846,MATCH(connections!$A595,games!$A$2:$A$846,0)),""))</f>
        <v>2015</v>
      </c>
      <c r="U595">
        <f>IF(connections!$A595="","",IFERROR(INDEX(games!$B$2:$B$846,MATCH(connections!$B595,games!$A$2:$A$846,0)),""))</f>
        <v>2025</v>
      </c>
      <c r="V595">
        <f t="shared" si="119"/>
        <v>10</v>
      </c>
    </row>
    <row r="596" spans="1:22" x14ac:dyDescent="0.25">
      <c r="A596" t="str">
        <f>IF(games!$A596="","",games!$A596)</f>
        <v>Rogue-Fp</v>
      </c>
      <c r="B596">
        <f>IF($A596="","",games!$B596)</f>
        <v>2023</v>
      </c>
      <c r="C596" t="str">
        <f>IF($A596="","",games!$C596)</f>
        <v>Traditional</v>
      </c>
      <c r="D596">
        <f>IF($A596="","",COUNTIF(connections!$A$2:$A$1205,$A596)+COUNTIF(connections!$B$2:$B$1205,$A596))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IF(connections!$A596="","",IFERROR(INDEX(games!$B$2:$B$846,MATCH(connections!$A596,games!$A$2:$A$846,0)),""))</f>
        <v>2015</v>
      </c>
      <c r="U596">
        <f>IF(connections!$A596="","",IFERROR(INDEX(games!$B$2:$B$846,MATCH(connections!$B596,games!$A$2:$A$846,0)),""))</f>
        <v>2020</v>
      </c>
      <c r="V596">
        <f t="shared" si="119"/>
        <v>5</v>
      </c>
    </row>
    <row r="597" spans="1:22" x14ac:dyDescent="0.25">
      <c r="A597" t="str">
        <f>IF(games!$A597="","",games!$A597)</f>
        <v>RogueJack21</v>
      </c>
      <c r="B597">
        <f>IF($A597="","",games!$B597)</f>
        <v>2026</v>
      </c>
      <c r="C597" t="str">
        <f>IF($A597="","",games!$C597)</f>
        <v>Deckbuilder</v>
      </c>
      <c r="D597">
        <f>IF($A597="","",COUNTIF(connections!$A$2:$A$1205,$A597)+COUNTIF(connections!$B$2:$B$1205,$A597))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IF(connections!$A597="","",IFERROR(INDEX(games!$B$2:$B$846,MATCH(connections!$A597,games!$A$2:$A$846,0)),""))</f>
        <v>2015</v>
      </c>
      <c r="U597">
        <f>IF(connections!$A597="","",IFERROR(INDEX(games!$B$2:$B$846,MATCH(connections!$B597,games!$A$2:$A$846,0)),""))</f>
        <v>2024</v>
      </c>
      <c r="V597">
        <f t="shared" si="119"/>
        <v>9</v>
      </c>
    </row>
    <row r="598" spans="1:22" x14ac:dyDescent="0.25">
      <c r="A598" t="str">
        <f>IF(games!$A598="","",games!$A598)</f>
        <v>Rogue's Tale</v>
      </c>
      <c r="B598">
        <f>IF($A598="","",games!$B598)</f>
        <v>2014</v>
      </c>
      <c r="C598" t="str">
        <f>IF($A598="","",games!$C598)</f>
        <v>Traditional</v>
      </c>
      <c r="D598">
        <f>IF($A598="","",COUNTIF(connections!$A$2:$A$1205,$A598)+COUNTIF(connections!$B$2:$B$1205,$A598))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IF(connections!$A598="","",IFERROR(INDEX(games!$B$2:$B$846,MATCH(connections!$A598,games!$A$2:$A$846,0)),""))</f>
        <v>2015</v>
      </c>
      <c r="U598">
        <f>IF(connections!$A598="","",IFERROR(INDEX(games!$B$2:$B$846,MATCH(connections!$B598,games!$A$2:$A$846,0)),""))</f>
        <v>2022</v>
      </c>
      <c r="V598">
        <f t="shared" si="119"/>
        <v>7</v>
      </c>
    </row>
    <row r="599" spans="1:22" x14ac:dyDescent="0.25">
      <c r="A599" t="str">
        <f>IF(games!$A599="","",games!$A599)</f>
        <v>RogueSlide</v>
      </c>
      <c r="B599">
        <f>IF($A599="","",games!$B599)</f>
        <v>2022</v>
      </c>
      <c r="C599" t="str">
        <f>IF($A599="","",games!$C599)</f>
        <v>Strategy</v>
      </c>
      <c r="D599">
        <f>IF($A599="","",COUNTIF(connections!$A$2:$A$1205,$A599)+COUNTIF(connections!$B$2:$B$1205,$A599))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IF(connections!$A599="","",IFERROR(INDEX(games!$B$2:$B$846,MATCH(connections!$A599,games!$A$2:$A$846,0)),""))</f>
        <v>2015</v>
      </c>
      <c r="U599">
        <f>IF(connections!$A599="","",IFERROR(INDEX(games!$B$2:$B$846,MATCH(connections!$B599,games!$A$2:$A$846,0)),""))</f>
        <v>2020</v>
      </c>
      <c r="V599">
        <f t="shared" si="119"/>
        <v>5</v>
      </c>
    </row>
    <row r="600" spans="1:22" x14ac:dyDescent="0.25">
      <c r="A600" t="str">
        <f>IF(games!$A600="","",games!$A600)</f>
        <v>Roll</v>
      </c>
      <c r="B600">
        <f>IF($A600="","",games!$B600)</f>
        <v>2021</v>
      </c>
      <c r="C600" t="str">
        <f>IF($A600="","",games!$C600)</f>
        <v>Strategy</v>
      </c>
      <c r="D600">
        <f>IF($A600="","",COUNTIF(connections!$A$2:$A$1205,$A600)+COUNTIF(connections!$B$2:$B$1205,$A600))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IF(connections!$A600="","",IFERROR(INDEX(games!$B$2:$B$846,MATCH(connections!$A600,games!$A$2:$A$846,0)),""))</f>
        <v>2015</v>
      </c>
      <c r="U600">
        <f>IF(connections!$A600="","",IFERROR(INDEX(games!$B$2:$B$846,MATCH(connections!$B600,games!$A$2:$A$846,0)),""))</f>
        <v>2024</v>
      </c>
      <c r="V600">
        <f t="shared" si="119"/>
        <v>9</v>
      </c>
    </row>
    <row r="601" spans="1:22" x14ac:dyDescent="0.25">
      <c r="A601" t="str">
        <f>IF(games!$A601="","",games!$A601)</f>
        <v>RollScape</v>
      </c>
      <c r="B601">
        <f>IF($A601="","",games!$B601)</f>
        <v>2024</v>
      </c>
      <c r="C601" t="str">
        <f>IF($A601="","",games!$C601)</f>
        <v>Strategy</v>
      </c>
      <c r="D601">
        <f>IF($A601="","",COUNTIF(connections!$A$2:$A$1205,$A601)+COUNTIF(connections!$B$2:$B$1205,$A601))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IF(connections!$A601="","",IFERROR(INDEX(games!$B$2:$B$846,MATCH(connections!$A601,games!$A$2:$A$846,0)),""))</f>
        <v>2015</v>
      </c>
      <c r="U601">
        <f>IF(connections!$A601="","",IFERROR(INDEX(games!$B$2:$B$846,MATCH(connections!$B601,games!$A$2:$A$846,0)),""))</f>
        <v>2019</v>
      </c>
      <c r="V601">
        <f t="shared" si="119"/>
        <v>4</v>
      </c>
    </row>
    <row r="602" spans="1:22" x14ac:dyDescent="0.25">
      <c r="A602" t="str">
        <f>IF(games!$A602="","",games!$A602)</f>
        <v>Roulette Dungeon</v>
      </c>
      <c r="B602">
        <f>IF($A602="","",games!$B602)</f>
        <v>2026</v>
      </c>
      <c r="C602" t="str">
        <f>IF($A602="","",games!$C602)</f>
        <v>Deckbuilder</v>
      </c>
      <c r="D602">
        <f>IF($A602="","",COUNTIF(connections!$A$2:$A$1205,$A602)+COUNTIF(connections!$B$2:$B$1205,$A602))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IF(connections!$A602="","",IFERROR(INDEX(games!$B$2:$B$846,MATCH(connections!$A602,games!$A$2:$A$846,0)),""))</f>
        <v>2015</v>
      </c>
      <c r="U602">
        <f>IF(connections!$A602="","",IFERROR(INDEX(games!$B$2:$B$846,MATCH(connections!$B602,games!$A$2:$A$846,0)),""))</f>
        <v>2022</v>
      </c>
      <c r="V602">
        <f t="shared" si="119"/>
        <v>7</v>
      </c>
    </row>
    <row r="603" spans="1:22" x14ac:dyDescent="0.25">
      <c r="A603" t="str">
        <f>IF(games!$A603="","",games!$A603)</f>
        <v>Roulette Hero</v>
      </c>
      <c r="B603">
        <f>IF($A603="","",games!$B603)</f>
        <v>2025</v>
      </c>
      <c r="C603" t="str">
        <f>IF($A603="","",games!$C603)</f>
        <v>Deckbuilder</v>
      </c>
      <c r="D603">
        <f>IF($A603="","",COUNTIF(connections!$A$2:$A$1205,$A603)+COUNTIF(connections!$B$2:$B$1205,$A603))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IF(connections!$A603="","",IFERROR(INDEX(games!$B$2:$B$846,MATCH(connections!$A603,games!$A$2:$A$846,0)),""))</f>
        <v>2015</v>
      </c>
      <c r="U603">
        <f>IF(connections!$A603="","",IFERROR(INDEX(games!$B$2:$B$846,MATCH(connections!$B603,games!$A$2:$A$846,0)),""))</f>
        <v>2023</v>
      </c>
      <c r="V603">
        <f t="shared" si="119"/>
        <v>8</v>
      </c>
    </row>
    <row r="604" spans="1:22" x14ac:dyDescent="0.25">
      <c r="A604" t="str">
        <f>IF(games!$A604="","",games!$A604)</f>
        <v>Rounds</v>
      </c>
      <c r="B604">
        <f>IF($A604="","",games!$B604)</f>
        <v>2021</v>
      </c>
      <c r="C604" t="str">
        <f>IF($A604="","",games!$C604)</f>
        <v>Action</v>
      </c>
      <c r="D604">
        <f>IF($A604="","",COUNTIF(connections!$A$2:$A$1205,$A604)+COUNTIF(connections!$B$2:$B$1205,$A604))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IF(connections!$A604="","",IFERROR(INDEX(games!$B$2:$B$846,MATCH(connections!$A604,games!$A$2:$A$846,0)),""))</f>
        <v>1987</v>
      </c>
      <c r="U604">
        <f>IF(connections!$A604="","",IFERROR(INDEX(games!$B$2:$B$846,MATCH(connections!$B604,games!$A$2:$A$846,0)),""))</f>
        <v>2007</v>
      </c>
      <c r="V604">
        <f t="shared" si="119"/>
        <v>20</v>
      </c>
    </row>
    <row r="605" spans="1:22" x14ac:dyDescent="0.25">
      <c r="A605" t="str">
        <f>IF(games!$A605="","",games!$A605)</f>
        <v>Rune Dice</v>
      </c>
      <c r="B605">
        <f>IF($A605="","",games!$B605)</f>
        <v>2026</v>
      </c>
      <c r="C605" t="str">
        <f>IF($A605="","",games!$C605)</f>
        <v>Deckbuilder</v>
      </c>
      <c r="D605">
        <f>IF($A605="","",COUNTIF(connections!$A$2:$A$1205,$A605)+COUNTIF(connections!$B$2:$B$1205,$A605))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IF(connections!$A605="","",IFERROR(INDEX(games!$B$2:$B$846,MATCH(connections!$A605,games!$A$2:$A$846,0)),""))</f>
        <v>1987</v>
      </c>
      <c r="U605">
        <f>IF(connections!$A605="","",IFERROR(INDEX(games!$B$2:$B$846,MATCH(connections!$B605,games!$A$2:$A$846,0)),""))</f>
        <v>2015</v>
      </c>
      <c r="V605">
        <f t="shared" si="119"/>
        <v>28</v>
      </c>
    </row>
    <row r="606" spans="1:22" x14ac:dyDescent="0.25">
      <c r="A606" t="str">
        <f>IF(games!$A606="","",games!$A606)</f>
        <v>Runeborn</v>
      </c>
      <c r="B606">
        <f>IF($A606="","",games!$B606)</f>
        <v>2025</v>
      </c>
      <c r="C606" t="str">
        <f>IF($A606="","",games!$C606)</f>
        <v>Deckbuilder</v>
      </c>
      <c r="D606">
        <f>IF($A606="","",COUNTIF(connections!$A$2:$A$1205,$A606)+COUNTIF(connections!$B$2:$B$1205,$A606))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IF(connections!$A606="","",IFERROR(INDEX(games!$B$2:$B$846,MATCH(connections!$A606,games!$A$2:$A$846,0)),""))</f>
        <v>1987</v>
      </c>
      <c r="U606">
        <f>IF(connections!$A606="","",IFERROR(INDEX(games!$B$2:$B$846,MATCH(connections!$B606,games!$A$2:$A$846,0)),""))</f>
        <v>1992</v>
      </c>
      <c r="V606">
        <f t="shared" si="119"/>
        <v>5</v>
      </c>
    </row>
    <row r="607" spans="1:22" x14ac:dyDescent="0.25">
      <c r="A607" t="str">
        <f>IF(games!$A607="","",games!$A607)</f>
        <v>Runeveil</v>
      </c>
      <c r="B607">
        <f>IF($A607="","",games!$B607)</f>
        <v>2026</v>
      </c>
      <c r="C607" t="str">
        <f>IF($A607="","",games!$C607)</f>
        <v>Deckbuilder</v>
      </c>
      <c r="D607">
        <f>IF($A607="","",COUNTIF(connections!$A$2:$A$1205,$A607)+COUNTIF(connections!$B$2:$B$1205,$A607))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IF(connections!$A607="","",IFERROR(INDEX(games!$B$2:$B$846,MATCH(connections!$A607,games!$A$2:$A$846,0)),""))</f>
        <v>2015</v>
      </c>
      <c r="U607">
        <f>IF(connections!$A607="","",IFERROR(INDEX(games!$B$2:$B$846,MATCH(connections!$B607,games!$A$2:$A$846,0)),""))</f>
        <v>2017</v>
      </c>
      <c r="V607">
        <f t="shared" si="119"/>
        <v>2</v>
      </c>
    </row>
    <row r="608" spans="1:22" x14ac:dyDescent="0.25">
      <c r="A608" t="str">
        <f>IF(games!$A608="","",games!$A608)</f>
        <v>Rungore</v>
      </c>
      <c r="B608">
        <f>IF($A608="","",games!$B608)</f>
        <v>2023</v>
      </c>
      <c r="C608" t="str">
        <f>IF($A608="","",games!$C608)</f>
        <v>Deckbuilder</v>
      </c>
      <c r="D608">
        <f>IF($A608="","",COUNTIF(connections!$A$2:$A$1205,$A608)+COUNTIF(connections!$B$2:$B$1205,$A608))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IF(connections!$A608="","",IFERROR(INDEX(games!$B$2:$B$846,MATCH(connections!$A608,games!$A$2:$A$846,0)),""))</f>
        <v>2017</v>
      </c>
      <c r="U608">
        <f>IF(connections!$A608="","",IFERROR(INDEX(games!$B$2:$B$846,MATCH(connections!$B608,games!$A$2:$A$846,0)),""))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IF($A609="","",COUNTIF(connections!$A$2:$A$1205,$A609)+COUNTIF(connections!$B$2:$B$1205,$A609))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IF(connections!$A609="","",IFERROR(INDEX(games!$B$2:$B$846,MATCH(connections!$A609,games!$A$2:$A$846,0)),""))</f>
        <v>2014</v>
      </c>
      <c r="U609">
        <f>IF(connections!$A609="","",IFERROR(INDEX(games!$B$2:$B$846,MATCH(connections!$B609,games!$A$2:$A$846,0)),""))</f>
        <v>2016</v>
      </c>
      <c r="V609">
        <f t="shared" si="119"/>
        <v>2</v>
      </c>
    </row>
    <row r="610" spans="1:22" x14ac:dyDescent="0.25">
      <c r="A610" t="str">
        <f>IF(games!$A610="","",games!$A610)</f>
        <v>Sandwalkers</v>
      </c>
      <c r="B610">
        <f>IF($A610="","",games!$B610)</f>
        <v>2024</v>
      </c>
      <c r="C610" t="str">
        <f>IF($A610="","",games!$C610)</f>
        <v>Action</v>
      </c>
      <c r="D610">
        <f>IF($A610="","",COUNTIF(connections!$A$2:$A$1205,$A610)+COUNTIF(connections!$B$2:$B$1205,$A610))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IF(connections!$A610="","",IFERROR(INDEX(games!$B$2:$B$846,MATCH(connections!$A610,games!$A$2:$A$846,0)),""))</f>
        <v>2021</v>
      </c>
      <c r="U610">
        <f>IF(connections!$A610="","",IFERROR(INDEX(games!$B$2:$B$846,MATCH(connections!$B610,games!$A$2:$A$846,0)),""))</f>
        <v>2024</v>
      </c>
      <c r="V610">
        <f t="shared" si="119"/>
        <v>3</v>
      </c>
    </row>
    <row r="611" spans="1:22" x14ac:dyDescent="0.25">
      <c r="A611" t="str">
        <f>IF(games!$A611="","",games!$A611)</f>
        <v>Scarlet Tower</v>
      </c>
      <c r="B611">
        <f>IF($A611="","",games!$B611)</f>
        <v>2022</v>
      </c>
      <c r="C611" t="str">
        <f>IF($A611="","",games!$C611)</f>
        <v>Action</v>
      </c>
      <c r="D611">
        <f>IF($A611="","",COUNTIF(connections!$A$2:$A$1205,$A611)+COUNTIF(connections!$B$2:$B$1205,$A611))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IF(connections!$A611="","",IFERROR(INDEX(games!$B$2:$B$846,MATCH(connections!$A611,games!$A$2:$A$846,0)),""))</f>
        <v>2021</v>
      </c>
      <c r="U611">
        <f>IF(connections!$A611="","",IFERROR(INDEX(games!$B$2:$B$846,MATCH(connections!$B611,games!$A$2:$A$846,0)),""))</f>
        <v>2023</v>
      </c>
      <c r="V611">
        <f t="shared" si="119"/>
        <v>2</v>
      </c>
    </row>
    <row r="612" spans="1:22" x14ac:dyDescent="0.25">
      <c r="A612" t="str">
        <f>IF(games!$A612="","",games!$A612)</f>
        <v>Schism</v>
      </c>
      <c r="B612">
        <f>IF($A612="","",games!$B612)</f>
        <v>2023</v>
      </c>
      <c r="C612" t="str">
        <f>IF($A612="","",games!$C612)</f>
        <v>Action</v>
      </c>
      <c r="D612">
        <f>IF($A612="","",COUNTIF(connections!$A$2:$A$1205,$A612)+COUNTIF(connections!$B$2:$B$1205,$A612))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IF(connections!$A612="","",IFERROR(INDEX(games!$B$2:$B$846,MATCH(connections!$A612,games!$A$2:$A$846,0)),""))</f>
        <v>2022</v>
      </c>
      <c r="U612">
        <f>IF(connections!$A612="","",IFERROR(INDEX(games!$B$2:$B$846,MATCH(connections!$B612,games!$A$2:$A$846,0)),""))</f>
        <v>2025</v>
      </c>
      <c r="V612">
        <f t="shared" si="119"/>
        <v>3</v>
      </c>
    </row>
    <row r="613" spans="1:22" x14ac:dyDescent="0.25">
      <c r="A613" t="str">
        <f>IF(games!$A613="","",games!$A613)</f>
        <v>Scourgebringer</v>
      </c>
      <c r="B613">
        <f>IF($A613="","",games!$B613)</f>
        <v>2020</v>
      </c>
      <c r="C613" t="str">
        <f>IF($A613="","",games!$C613)</f>
        <v>Action</v>
      </c>
      <c r="D613">
        <f>IF($A613="","",COUNTIF(connections!$A$2:$A$1205,$A613)+COUNTIF(connections!$B$2:$B$1205,$A613))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IF(connections!$A613="","",IFERROR(INDEX(games!$B$2:$B$846,MATCH(connections!$A613,games!$A$2:$A$846,0)),""))</f>
        <v>2022</v>
      </c>
      <c r="U613">
        <f>IF(connections!$A613="","",IFERROR(INDEX(games!$B$2:$B$846,MATCH(connections!$B613,games!$A$2:$A$846,0)),""))</f>
        <v>2024</v>
      </c>
      <c r="V613">
        <f t="shared" si="119"/>
        <v>2</v>
      </c>
    </row>
    <row r="614" spans="1:22" x14ac:dyDescent="0.25">
      <c r="A614" t="str">
        <f>IF(games!$A614="","",games!$A614)</f>
        <v>Sea of Survivors</v>
      </c>
      <c r="B614">
        <f>IF($A614="","",games!$B614)</f>
        <v>2023</v>
      </c>
      <c r="C614" t="str">
        <f>IF($A614="","",games!$C614)</f>
        <v>Action</v>
      </c>
      <c r="D614">
        <f>IF($A614="","",COUNTIF(connections!$A$2:$A$1205,$A614)+COUNTIF(connections!$B$2:$B$1205,$A614))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IF(connections!$A614="","",IFERROR(INDEX(games!$B$2:$B$846,MATCH(connections!$A614,games!$A$2:$A$846,0)),""))</f>
        <v>2022</v>
      </c>
      <c r="U614">
        <f>IF(connections!$A614="","",IFERROR(INDEX(games!$B$2:$B$846,MATCH(connections!$B614,games!$A$2:$A$846,0)),""))</f>
        <v>2026</v>
      </c>
      <c r="V614">
        <f t="shared" si="119"/>
        <v>4</v>
      </c>
    </row>
    <row r="615" spans="1:22" x14ac:dyDescent="0.25">
      <c r="A615" t="str">
        <f>IF(games!$A615="","",games!$A615)</f>
        <v>Section 13</v>
      </c>
      <c r="B615">
        <f>IF($A615="","",games!$B615)</f>
        <v>2023</v>
      </c>
      <c r="C615" t="str">
        <f>IF($A615="","",games!$C615)</f>
        <v>Action</v>
      </c>
      <c r="D615">
        <f>IF($A615="","",COUNTIF(connections!$A$2:$A$1205,$A615)+COUNTIF(connections!$B$2:$B$1205,$A615))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IF(connections!$A615="","",IFERROR(INDEX(games!$B$2:$B$846,MATCH(connections!$A615,games!$A$2:$A$846,0)),""))</f>
        <v>2022</v>
      </c>
      <c r="U615">
        <f>IF(connections!$A615="","",IFERROR(INDEX(games!$B$2:$B$846,MATCH(connections!$B615,games!$A$2:$A$846,0)),""))</f>
        <v>2025</v>
      </c>
      <c r="V615">
        <f t="shared" si="119"/>
        <v>3</v>
      </c>
    </row>
    <row r="616" spans="1:22" x14ac:dyDescent="0.25">
      <c r="A616" t="str">
        <f>IF(games!$A616="","",games!$A616)</f>
        <v>Seedborne Soldiers</v>
      </c>
      <c r="B616">
        <f>IF($A616="","",games!$B616)</f>
        <v>2025</v>
      </c>
      <c r="C616" t="str">
        <f>IF($A616="","",games!$C616)</f>
        <v>Strategy</v>
      </c>
      <c r="D616">
        <f>IF($A616="","",COUNTIF(connections!$A$2:$A$1205,$A616)+COUNTIF(connections!$B$2:$B$1205,$A616))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IF(connections!$A616="","",IFERROR(INDEX(games!$B$2:$B$846,MATCH(connections!$A616,games!$A$2:$A$846,0)),""))</f>
        <v>2012</v>
      </c>
      <c r="U616">
        <f>IF(connections!$A616="","",IFERROR(INDEX(games!$B$2:$B$846,MATCH(connections!$B616,games!$A$2:$A$846,0)),""))</f>
        <v>2019</v>
      </c>
      <c r="V616">
        <f t="shared" si="119"/>
        <v>7</v>
      </c>
    </row>
    <row r="617" spans="1:22" x14ac:dyDescent="0.25">
      <c r="A617" t="str">
        <f>IF(games!$A617="","",games!$A617)</f>
        <v>Sephiria</v>
      </c>
      <c r="B617">
        <f>IF($A617="","",games!$B617)</f>
        <v>2025</v>
      </c>
      <c r="C617" t="str">
        <f>IF($A617="","",games!$C617)</f>
        <v>Action</v>
      </c>
      <c r="D617">
        <f>IF($A617="","",COUNTIF(connections!$A$2:$A$1205,$A617)+COUNTIF(connections!$B$2:$B$1205,$A617))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IF(connections!$A617="","",IFERROR(INDEX(games!$B$2:$B$846,MATCH(connections!$A617,games!$A$2:$A$846,0)),""))</f>
        <v>2012</v>
      </c>
      <c r="U617">
        <f>IF(connections!$A617="","",IFERROR(INDEX(games!$B$2:$B$846,MATCH(connections!$B617,games!$A$2:$A$846,0)),""))</f>
        <v>2014</v>
      </c>
      <c r="V617">
        <f t="shared" si="119"/>
        <v>2</v>
      </c>
    </row>
    <row r="618" spans="1:22" x14ac:dyDescent="0.25">
      <c r="A618" t="str">
        <f>IF(games!$A618="","",games!$A618)</f>
        <v>Seraph's Last Stand</v>
      </c>
      <c r="B618">
        <f>IF($A618="","",games!$B618)</f>
        <v>2022</v>
      </c>
      <c r="C618" t="str">
        <f>IF($A618="","",games!$C618)</f>
        <v>Action</v>
      </c>
      <c r="D618">
        <f>IF($A618="","",COUNTIF(connections!$A$2:$A$1205,$A618)+COUNTIF(connections!$B$2:$B$1205,$A618))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IF(connections!$A618="","",IFERROR(INDEX(games!$B$2:$B$846,MATCH(connections!$A618,games!$A$2:$A$846,0)),""))</f>
        <v>2021</v>
      </c>
      <c r="U618">
        <f>IF(connections!$A618="","",IFERROR(INDEX(games!$B$2:$B$846,MATCH(connections!$B618,games!$A$2:$A$846,0)),""))</f>
        <v>2026</v>
      </c>
      <c r="V618">
        <f t="shared" si="119"/>
        <v>5</v>
      </c>
    </row>
    <row r="619" spans="1:22" x14ac:dyDescent="0.25">
      <c r="A619" t="str">
        <f>IF(games!$A619="","",games!$A619)</f>
        <v>Serpent's Gaze</v>
      </c>
      <c r="B619">
        <f>IF($A619="","",games!$B619)</f>
        <v>2026</v>
      </c>
      <c r="C619" t="str">
        <f>IF($A619="","",games!$C619)</f>
        <v>Action</v>
      </c>
      <c r="D619">
        <f>IF($A619="","",COUNTIF(connections!$A$2:$A$1205,$A619)+COUNTIF(connections!$B$2:$B$1205,$A619))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IF(connections!$A619="","",IFERROR(INDEX(games!$B$2:$B$846,MATCH(connections!$A619,games!$A$2:$A$846,0)),""))</f>
        <v>2007</v>
      </c>
      <c r="U619">
        <f>IF(connections!$A619="","",IFERROR(INDEX(games!$B$2:$B$846,MATCH(connections!$B619,games!$A$2:$A$846,0)),""))</f>
        <v>2009</v>
      </c>
      <c r="V619">
        <f t="shared" si="119"/>
        <v>2</v>
      </c>
    </row>
    <row r="620" spans="1:22" x14ac:dyDescent="0.25">
      <c r="A620" t="str">
        <f>IF(games!$A620="","",games!$A620)</f>
        <v>Shadow of the Wyrm</v>
      </c>
      <c r="B620">
        <f>IF($A620="","",games!$B620)</f>
        <v>2015</v>
      </c>
      <c r="C620" t="str">
        <f>IF($A620="","",games!$C620)</f>
        <v>Traditional</v>
      </c>
      <c r="D620">
        <f>IF($A620="","",COUNTIF(connections!$A$2:$A$1205,$A620)+COUNTIF(connections!$B$2:$B$1205,$A620))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IF(connections!$A620="","",IFERROR(INDEX(games!$B$2:$B$846,MATCH(connections!$A620,games!$A$2:$A$846,0)),""))</f>
        <v>2005</v>
      </c>
      <c r="U620">
        <f>IF(connections!$A620="","",IFERROR(INDEX(games!$B$2:$B$846,MATCH(connections!$B620,games!$A$2:$A$846,0)),""))</f>
        <v>2025</v>
      </c>
      <c r="V620">
        <f t="shared" si="119"/>
        <v>20</v>
      </c>
    </row>
    <row r="621" spans="1:22" x14ac:dyDescent="0.25">
      <c r="A621" t="str">
        <f>IF(games!$A621="","",games!$A621)</f>
        <v>Shadowveil: Legend of The Five Rings</v>
      </c>
      <c r="B621">
        <f>IF($A621="","",games!$B621)</f>
        <v>2025</v>
      </c>
      <c r="C621" t="str">
        <f>IF($A621="","",games!$C621)</f>
        <v>Strategy</v>
      </c>
      <c r="D621">
        <f>IF($A621="","",COUNTIF(connections!$A$2:$A$1205,$A621)+COUNTIF(connections!$B$2:$B$1205,$A621))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IF(connections!$A621="","",IFERROR(INDEX(games!$B$2:$B$846,MATCH(connections!$A621,games!$A$2:$A$846,0)),""))</f>
        <v>2005</v>
      </c>
      <c r="U621">
        <f>IF(connections!$A621="","",IFERROR(INDEX(games!$B$2:$B$846,MATCH(connections!$B621,games!$A$2:$A$846,0)),""))</f>
        <v>2007</v>
      </c>
      <c r="V621">
        <f t="shared" si="119"/>
        <v>2</v>
      </c>
    </row>
    <row r="622" spans="1:22" x14ac:dyDescent="0.25">
      <c r="A622" t="str">
        <f>IF(games!$A622="","",games!$A622)</f>
        <v>Shape of Dreams</v>
      </c>
      <c r="B622">
        <f>IF($A622="","",games!$B622)</f>
        <v>2025</v>
      </c>
      <c r="C622" t="str">
        <f>IF($A622="","",games!$C622)</f>
        <v>Action</v>
      </c>
      <c r="D622">
        <f>IF($A622="","",COUNTIF(connections!$A$2:$A$1205,$A622)+COUNTIF(connections!$B$2:$B$1205,$A622))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IF(connections!$A622="","",IFERROR(INDEX(games!$B$2:$B$846,MATCH(connections!$A622,games!$A$2:$A$846,0)),""))</f>
        <v>2005</v>
      </c>
      <c r="U622">
        <f>IF(connections!$A622="","",IFERROR(INDEX(games!$B$2:$B$846,MATCH(connections!$B622,games!$A$2:$A$846,0)),""))</f>
        <v>2012</v>
      </c>
      <c r="V622">
        <f t="shared" si="119"/>
        <v>7</v>
      </c>
    </row>
    <row r="623" spans="1:22" x14ac:dyDescent="0.25">
      <c r="A623" t="str">
        <f>IF(games!$A623="","",games!$A623)</f>
        <v>Shape Shifter: Formations</v>
      </c>
      <c r="B623">
        <f>IF($A623="","",games!$B623)</f>
        <v>2023</v>
      </c>
      <c r="C623" t="str">
        <f>IF($A623="","",games!$C623)</f>
        <v>Action</v>
      </c>
      <c r="D623">
        <f>IF($A623="","",COUNTIF(connections!$A$2:$A$1205,$A623)+COUNTIF(connections!$B$2:$B$1205,$A623))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IF(connections!$A623="","",IFERROR(INDEX(games!$B$2:$B$846,MATCH(connections!$A623,games!$A$2:$A$846,0)),""))</f>
        <v>2005</v>
      </c>
      <c r="U623">
        <f>IF(connections!$A623="","",IFERROR(INDEX(games!$B$2:$B$846,MATCH(connections!$B623,games!$A$2:$A$846,0)),""))</f>
        <v>2020</v>
      </c>
      <c r="V623">
        <f t="shared" si="119"/>
        <v>15</v>
      </c>
    </row>
    <row r="624" spans="1:22" x14ac:dyDescent="0.25">
      <c r="A624" t="str">
        <f>IF(games!$A624="","",games!$A624)</f>
        <v>Shattered Pixel Dungeon</v>
      </c>
      <c r="B624">
        <f>IF($A624="","",games!$B624)</f>
        <v>2014</v>
      </c>
      <c r="C624" t="str">
        <f>IF($A624="","",games!$C624)</f>
        <v>Traditional</v>
      </c>
      <c r="D624">
        <f>IF($A624="","",COUNTIF(connections!$A$2:$A$1205,$A624)+COUNTIF(connections!$B$2:$B$1205,$A624))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IF(connections!$A624="","",IFERROR(INDEX(games!$B$2:$B$846,MATCH(connections!$A624,games!$A$2:$A$846,0)),""))</f>
        <v>2005</v>
      </c>
      <c r="U624">
        <f>IF(connections!$A624="","",IFERROR(INDEX(games!$B$2:$B$846,MATCH(connections!$B624,games!$A$2:$A$846,0)),""))</f>
        <v>2015</v>
      </c>
      <c r="V624">
        <f t="shared" si="119"/>
        <v>10</v>
      </c>
    </row>
    <row r="625" spans="1:22" x14ac:dyDescent="0.25">
      <c r="A625" t="str">
        <f>IF(games!$A625="","",games!$A625)</f>
        <v>Ship of Fools</v>
      </c>
      <c r="B625">
        <f>IF($A625="","",games!$B625)</f>
        <v>2022</v>
      </c>
      <c r="C625" t="str">
        <f>IF($A625="","",games!$C625)</f>
        <v>Action</v>
      </c>
      <c r="D625">
        <f>IF($A625="","",COUNTIF(connections!$A$2:$A$1205,$A625)+COUNTIF(connections!$B$2:$B$1205,$A625))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IF(connections!$A625="","",IFERROR(INDEX(games!$B$2:$B$846,MATCH(connections!$A625,games!$A$2:$A$846,0)),""))</f>
        <v>2024</v>
      </c>
      <c r="U625">
        <f>IF(connections!$A625="","",IFERROR(INDEX(games!$B$2:$B$846,MATCH(connections!$B625,games!$A$2:$A$846,0)),""))</f>
        <v>2025</v>
      </c>
      <c r="V625">
        <f t="shared" si="119"/>
        <v>1</v>
      </c>
    </row>
    <row r="626" spans="1:22" x14ac:dyDescent="0.25">
      <c r="A626" t="str">
        <f>IF(games!$A626="","",games!$A626)</f>
        <v>Shiren the Wanderer (2008)</v>
      </c>
      <c r="B626">
        <f>IF($A626="","",games!$B626)</f>
        <v>2008</v>
      </c>
      <c r="C626" t="str">
        <f>IF($A626="","",games!$C626)</f>
        <v>Traditional</v>
      </c>
      <c r="D626">
        <f>IF($A626="","",COUNTIF(connections!$A$2:$A$1205,$A626)+COUNTIF(connections!$B$2:$B$1205,$A626))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IF(connections!$A626="","",IFERROR(INDEX(games!$B$2:$B$846,MATCH(connections!$A626,games!$A$2:$A$846,0)),""))</f>
        <v>2020</v>
      </c>
      <c r="U626">
        <f>IF(connections!$A626="","",IFERROR(INDEX(games!$B$2:$B$846,MATCH(connections!$B626,games!$A$2:$A$846,0)),""))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IF($A627="","",COUNTIF(connections!$A$2:$A$1205,$A627)+COUNTIF(connections!$B$2:$B$1205,$A627))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IF(connections!$A627="","",IFERROR(INDEX(games!$B$2:$B$846,MATCH(connections!$A627,games!$A$2:$A$846,0)),""))</f>
        <v>2003</v>
      </c>
      <c r="U627">
        <f>IF(connections!$A627="","",IFERROR(INDEX(games!$B$2:$B$846,MATCH(connections!$B627,games!$A$2:$A$846,0)),""))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IF($A628="","",COUNTIF(connections!$A$2:$A$1205,$A628)+COUNTIF(connections!$B$2:$B$1205,$A628))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IF(connections!$A628="","",IFERROR(INDEX(games!$B$2:$B$846,MATCH(connections!$A628,games!$A$2:$A$846,0)),""))</f>
        <v>2003</v>
      </c>
      <c r="U628">
        <f>IF(connections!$A628="","",IFERROR(INDEX(games!$B$2:$B$846,MATCH(connections!$B628,games!$A$2:$A$846,0)),""))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IF($A629="","",COUNTIF(connections!$A$2:$A$1205,$A629)+COUNTIF(connections!$B$2:$B$1205,$A629))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IF(connections!$A629="","",IFERROR(INDEX(games!$B$2:$B$846,MATCH(connections!$A629,games!$A$2:$A$846,0)),""))</f>
        <v>2003</v>
      </c>
      <c r="U629">
        <f>IF(connections!$A629="","",IFERROR(INDEX(games!$B$2:$B$846,MATCH(connections!$B629,games!$A$2:$A$846,0)),""))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IF($A630="","",COUNTIF(connections!$A$2:$A$1205,$A630)+COUNTIF(connections!$B$2:$B$1205,$A630))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IF(connections!$A630="","",IFERROR(INDEX(games!$B$2:$B$846,MATCH(connections!$A630,games!$A$2:$A$846,0)),""))</f>
        <v>2003</v>
      </c>
      <c r="U630">
        <f>IF(connections!$A630="","",IFERROR(INDEX(games!$B$2:$B$846,MATCH(connections!$B630,games!$A$2:$A$846,0)),""))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IF($A631="","",COUNTIF(connections!$A$2:$A$1205,$A631)+COUNTIF(connections!$B$2:$B$1205,$A631))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IF(connections!$A631="","",IFERROR(INDEX(games!$B$2:$B$846,MATCH(connections!$A631,games!$A$2:$A$846,0)),""))</f>
        <v>2003</v>
      </c>
      <c r="U631">
        <f>IF(connections!$A631="","",IFERROR(INDEX(games!$B$2:$B$846,MATCH(connections!$B631,games!$A$2:$A$846,0)),""))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IF($A632="","",COUNTIF(connections!$A$2:$A$1205,$A632)+COUNTIF(connections!$B$2:$B$1205,$A632))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IF(connections!$A632="","",IFERROR(INDEX(games!$B$2:$B$846,MATCH(connections!$A632,games!$A$2:$A$846,0)),""))</f>
        <v>1992</v>
      </c>
      <c r="U632">
        <f>IF(connections!$A632="","",IFERROR(INDEX(games!$B$2:$B$846,MATCH(connections!$B632,games!$A$2:$A$846,0)),""))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IF($A633="","",COUNTIF(connections!$A$2:$A$1205,$A633)+COUNTIF(connections!$B$2:$B$1205,$A633))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IF(connections!$A633="","",IFERROR(INDEX(games!$B$2:$B$846,MATCH(connections!$A633,games!$A$2:$A$846,0)),""))</f>
        <v>2023</v>
      </c>
      <c r="U633">
        <f>IF(connections!$A633="","",IFERROR(INDEX(games!$B$2:$B$846,MATCH(connections!$B633,games!$A$2:$A$846,0)),""))</f>
        <v>2025</v>
      </c>
      <c r="V633">
        <f t="shared" si="119"/>
        <v>2</v>
      </c>
    </row>
    <row r="634" spans="1:22" x14ac:dyDescent="0.25">
      <c r="A634" t="str">
        <f>IF(games!$A634="","",games!$A634)</f>
        <v>Shogun Showdown</v>
      </c>
      <c r="B634">
        <f>IF($A634="","",games!$B634)</f>
        <v>2023</v>
      </c>
      <c r="C634" t="str">
        <f>IF($A634="","",games!$C634)</f>
        <v>Strategy</v>
      </c>
      <c r="D634">
        <f>IF($A634="","",COUNTIF(connections!$A$2:$A$1205,$A634)+COUNTIF(connections!$B$2:$B$1205,$A634))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IF(connections!$A634="","",IFERROR(INDEX(games!$B$2:$B$846,MATCH(connections!$A634,games!$A$2:$A$846,0)),""))</f>
        <v>2010</v>
      </c>
      <c r="U634">
        <f>IF(connections!$A634="","",IFERROR(INDEX(games!$B$2:$B$846,MATCH(connections!$B634,games!$A$2:$A$846,0)),""))</f>
        <v>2026</v>
      </c>
      <c r="V634">
        <f t="shared" si="119"/>
        <v>16</v>
      </c>
    </row>
    <row r="635" spans="1:22" x14ac:dyDescent="0.25">
      <c r="A635" t="str">
        <f>IF(games!$A635="","",games!$A635)</f>
        <v>Shoot First</v>
      </c>
      <c r="B635">
        <f>IF($A635="","",games!$B635)</f>
        <v>2010</v>
      </c>
      <c r="C635" t="str">
        <f>IF($A635="","",games!$C635)</f>
        <v>Action</v>
      </c>
      <c r="D635">
        <f>IF($A635="","",COUNTIF(connections!$A$2:$A$1205,$A635)+COUNTIF(connections!$B$2:$B$1205,$A635))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IF(connections!$A635="","",IFERROR(INDEX(games!$B$2:$B$846,MATCH(connections!$A635,games!$A$2:$A$846,0)),""))</f>
        <v>2010</v>
      </c>
      <c r="U635">
        <f>IF(connections!$A635="","",IFERROR(INDEX(games!$B$2:$B$846,MATCH(connections!$B635,games!$A$2:$A$846,0)),""))</f>
        <v>2023</v>
      </c>
      <c r="V635">
        <f t="shared" si="119"/>
        <v>13</v>
      </c>
    </row>
    <row r="636" spans="1:22" x14ac:dyDescent="0.25">
      <c r="A636" t="str">
        <f>IF(games!$A636="","",games!$A636)</f>
        <v>Shotgun King: The Final Checkmate</v>
      </c>
      <c r="B636">
        <f>IF($A636="","",games!$B636)</f>
        <v>2022</v>
      </c>
      <c r="C636" t="str">
        <f>IF($A636="","",games!$C636)</f>
        <v>Strategy</v>
      </c>
      <c r="D636">
        <f>IF($A636="","",COUNTIF(connections!$A$2:$A$1205,$A636)+COUNTIF(connections!$B$2:$B$1205,$A636))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IF(connections!$A636="","",IFERROR(INDEX(games!$B$2:$B$846,MATCH(connections!$A636,games!$A$2:$A$846,0)),""))</f>
        <v>2023</v>
      </c>
      <c r="U636">
        <f>IF(connections!$A636="","",IFERROR(INDEX(games!$B$2:$B$846,MATCH(connections!$B636,games!$A$2:$A$846,0)),""))</f>
        <v>2026</v>
      </c>
      <c r="V636">
        <f t="shared" si="119"/>
        <v>3</v>
      </c>
    </row>
    <row r="637" spans="1:22" x14ac:dyDescent="0.25">
      <c r="A637" t="str">
        <f>IF(games!$A637="","",games!$A637)</f>
        <v>Shovel Knight Dig</v>
      </c>
      <c r="B637">
        <f>IF($A637="","",games!$B637)</f>
        <v>2022</v>
      </c>
      <c r="C637" t="str">
        <f>IF($A637="","",games!$C637)</f>
        <v>Action</v>
      </c>
      <c r="D637">
        <f>IF($A637="","",COUNTIF(connections!$A$2:$A$1205,$A637)+COUNTIF(connections!$B$2:$B$1205,$A637))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IF(connections!$A637="","",IFERROR(INDEX(games!$B$2:$B$846,MATCH(connections!$A637,games!$A$2:$A$846,0)),""))</f>
        <v>2023</v>
      </c>
      <c r="U637">
        <f>IF(connections!$A637="","",IFERROR(INDEX(games!$B$2:$B$846,MATCH(connections!$B637,games!$A$2:$A$846,0)),""))</f>
        <v>2025</v>
      </c>
      <c r="V637">
        <f t="shared" si="119"/>
        <v>2</v>
      </c>
    </row>
    <row r="638" spans="1:22" x14ac:dyDescent="0.25">
      <c r="A638" t="str">
        <f>IF(games!$A638="","",games!$A638)</f>
        <v>Sil</v>
      </c>
      <c r="B638">
        <f>IF($A638="","",games!$B638)</f>
        <v>2012</v>
      </c>
      <c r="C638" t="str">
        <f>IF($A638="","",games!$C638)</f>
        <v>Traditional</v>
      </c>
      <c r="D638">
        <f>IF($A638="","",COUNTIF(connections!$A$2:$A$1205,$A638)+COUNTIF(connections!$B$2:$B$1205,$A638))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IF(connections!$A638="","",IFERROR(INDEX(games!$B$2:$B$846,MATCH(connections!$A638,games!$A$2:$A$846,0)),""))</f>
        <v>2020</v>
      </c>
      <c r="U638">
        <f>IF(connections!$A638="","",IFERROR(INDEX(games!$B$2:$B$846,MATCH(connections!$B638,games!$A$2:$A$846,0)),""))</f>
        <v>2023</v>
      </c>
      <c r="V638">
        <f t="shared" si="119"/>
        <v>3</v>
      </c>
    </row>
    <row r="639" spans="1:22" x14ac:dyDescent="0.25">
      <c r="A639" t="str">
        <f>IF(games!$A639="","",games!$A639)</f>
        <v>Sir, We Have an Orc Problem</v>
      </c>
      <c r="B639">
        <f>IF($A639="","",games!$B639)</f>
        <v>2026</v>
      </c>
      <c r="C639" t="str">
        <f>IF($A639="","",games!$C639)</f>
        <v>Strategy</v>
      </c>
      <c r="D639">
        <f>IF($A639="","",COUNTIF(connections!$A$2:$A$1205,$A639)+COUNTIF(connections!$B$2:$B$1205,$A639))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IF(connections!$A639="","",IFERROR(INDEX(games!$B$2:$B$846,MATCH(connections!$A639,games!$A$2:$A$846,0)),""))</f>
        <v>2020</v>
      </c>
      <c r="U639">
        <f>IF(connections!$A639="","",IFERROR(INDEX(games!$B$2:$B$846,MATCH(connections!$B639,games!$A$2:$A$846,0)),""))</f>
        <v>2024</v>
      </c>
      <c r="V639">
        <f t="shared" si="119"/>
        <v>4</v>
      </c>
    </row>
    <row r="640" spans="1:22" x14ac:dyDescent="0.25">
      <c r="A640" t="str">
        <f>IF(games!$A640="","",games!$A640)</f>
        <v>Skul: The Hero Slayer</v>
      </c>
      <c r="B640">
        <f>IF($A640="","",games!$B640)</f>
        <v>2020</v>
      </c>
      <c r="C640" t="str">
        <f>IF($A640="","",games!$C640)</f>
        <v>Action</v>
      </c>
      <c r="D640">
        <f>IF($A640="","",COUNTIF(connections!$A$2:$A$1205,$A640)+COUNTIF(connections!$B$2:$B$1205,$A640))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IF(connections!$A640="","",IFERROR(INDEX(games!$B$2:$B$846,MATCH(connections!$A640,games!$A$2:$A$846,0)),""))</f>
        <v>2024</v>
      </c>
      <c r="U640">
        <f>IF(connections!$A640="","",IFERROR(INDEX(games!$B$2:$B$846,MATCH(connections!$B640,games!$A$2:$A$846,0)),""))</f>
        <v>2026</v>
      </c>
      <c r="V640">
        <f t="shared" si="119"/>
        <v>2</v>
      </c>
    </row>
    <row r="641" spans="1:22" x14ac:dyDescent="0.25">
      <c r="A641" t="str">
        <f>IF(games!$A641="","",games!$A641)</f>
        <v>Skull Horde</v>
      </c>
      <c r="B641">
        <f>IF($A641="","",games!$B641)</f>
        <v>2026</v>
      </c>
      <c r="C641" t="str">
        <f>IF($A641="","",games!$C641)</f>
        <v>Action</v>
      </c>
      <c r="D641">
        <f>IF($A641="","",COUNTIF(connections!$A$2:$A$1205,$A641)+COUNTIF(connections!$B$2:$B$1205,$A641))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IF(connections!$A641="","",IFERROR(INDEX(games!$B$2:$B$846,MATCH(connections!$A641,games!$A$2:$A$846,0)),""))</f>
        <v>2020</v>
      </c>
      <c r="U641">
        <f>IF(connections!$A641="","",IFERROR(INDEX(games!$B$2:$B$846,MATCH(connections!$B641,games!$A$2:$A$846,0)),""))</f>
        <v>2026</v>
      </c>
      <c r="V641">
        <f t="shared" si="119"/>
        <v>6</v>
      </c>
    </row>
    <row r="642" spans="1:22" x14ac:dyDescent="0.25">
      <c r="A642" t="str">
        <f>IF(games!$A642="","",games!$A642)</f>
        <v>Sky Rogue</v>
      </c>
      <c r="B642">
        <f>IF($A642="","",games!$B642)</f>
        <v>2014</v>
      </c>
      <c r="C642" t="str">
        <f>IF($A642="","",games!$C642)</f>
        <v>Action</v>
      </c>
      <c r="D642">
        <f>IF($A642="","",COUNTIF(connections!$A$2:$A$1205,$A642)+COUNTIF(connections!$B$2:$B$1205,$A642))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IF(connections!$A642="","",IFERROR(INDEX(games!$B$2:$B$846,MATCH(connections!$A642,games!$A$2:$A$846,0)),""))</f>
        <v>2017</v>
      </c>
      <c r="U642">
        <f>IF(connections!$A642="","",IFERROR(INDEX(games!$B$2:$B$846,MATCH(connections!$B642,games!$A$2:$A$846,0)),""))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IF($A643="","",COUNTIF(connections!$A$2:$A$1205,$A643)+COUNTIF(connections!$B$2:$B$1205,$A643))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IF(connections!$A643="","",IFERROR(INDEX(games!$B$2:$B$846,MATCH(connections!$A643,games!$A$2:$A$846,0)),""))</f>
        <v>2013</v>
      </c>
      <c r="U643">
        <f>IF(connections!$A643="","",IFERROR(INDEX(games!$B$2:$B$846,MATCH(connections!$B643,games!$A$2:$A$846,0)),""))</f>
        <v>2018</v>
      </c>
      <c r="V643">
        <f t="shared" si="131"/>
        <v>5</v>
      </c>
    </row>
    <row r="644" spans="1:22" x14ac:dyDescent="0.25">
      <c r="A644" t="str">
        <f>IF(games!$A644="","",games!$A644)</f>
        <v>Slash'EM</v>
      </c>
      <c r="B644">
        <f>IF($A644="","",games!$B644)</f>
        <v>2006</v>
      </c>
      <c r="C644" t="str">
        <f>IF($A644="","",games!$C644)</f>
        <v>Traditional</v>
      </c>
      <c r="D644">
        <f>IF($A644="","",COUNTIF(connections!$A$2:$A$1205,$A644)+COUNTIF(connections!$B$2:$B$1205,$A644))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IF(connections!$A644="","",IFERROR(INDEX(games!$B$2:$B$846,MATCH(connections!$A644,games!$A$2:$A$846,0)),""))</f>
        <v>2013</v>
      </c>
      <c r="U644">
        <f>IF(connections!$A644="","",IFERROR(INDEX(games!$B$2:$B$846,MATCH(connections!$B644,games!$A$2:$A$846,0)),""))</f>
        <v>2016</v>
      </c>
      <c r="V644">
        <f t="shared" si="131"/>
        <v>3</v>
      </c>
    </row>
    <row r="645" spans="1:22" x14ac:dyDescent="0.25">
      <c r="A645" t="str">
        <f>IF(games!$A645="","",games!$A645)</f>
        <v>Slasher's Keep</v>
      </c>
      <c r="B645">
        <f>IF($A645="","",games!$B645)</f>
        <v>2018</v>
      </c>
      <c r="C645" t="str">
        <f>IF($A645="","",games!$C645)</f>
        <v>Action</v>
      </c>
      <c r="D645">
        <f>IF($A645="","",COUNTIF(connections!$A$2:$A$1205,$A645)+COUNTIF(connections!$B$2:$B$1205,$A645))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IF(connections!$A645="","",IFERROR(INDEX(games!$B$2:$B$846,MATCH(connections!$A645,games!$A$2:$A$846,0)),""))</f>
        <v>2013</v>
      </c>
      <c r="U645">
        <f>IF(connections!$A645="","",IFERROR(INDEX(games!$B$2:$B$846,MATCH(connections!$B645,games!$A$2:$A$846,0)),""))</f>
        <v>2022</v>
      </c>
      <c r="V645">
        <f t="shared" si="131"/>
        <v>9</v>
      </c>
    </row>
    <row r="646" spans="1:22" x14ac:dyDescent="0.25">
      <c r="A646" t="str">
        <f>IF(games!$A646="","",games!$A646)</f>
        <v>Slay the Spire</v>
      </c>
      <c r="B646">
        <f>IF($A646="","",games!$B646)</f>
        <v>2017</v>
      </c>
      <c r="C646" t="str">
        <f>IF($A646="","",games!$C646)</f>
        <v>Deckbuilder</v>
      </c>
      <c r="D646">
        <f>IF($A646="","",COUNTIF(connections!$A$2:$A$1205,$A646)+COUNTIF(connections!$B$2:$B$1205,$A646))</f>
        <v>144</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144.00064599999999</v>
      </c>
      <c r="T646">
        <f>IF(connections!$A646="","",IFERROR(INDEX(games!$B$2:$B$846,MATCH(connections!$A646,games!$A$2:$A$846,0)),""))</f>
        <v>2013</v>
      </c>
      <c r="U646">
        <f>IF(connections!$A646="","",IFERROR(INDEX(games!$B$2:$B$846,MATCH(connections!$B646,games!$A$2:$A$846,0)),""))</f>
        <v>2020</v>
      </c>
      <c r="V646">
        <f t="shared" si="131"/>
        <v>7</v>
      </c>
    </row>
    <row r="647" spans="1:22" x14ac:dyDescent="0.25">
      <c r="A647" t="str">
        <f>IF(games!$A647="","",games!$A647)</f>
        <v>Slay the Spire 2</v>
      </c>
      <c r="B647">
        <f>IF($A647="","",games!$B647)</f>
        <v>2026</v>
      </c>
      <c r="C647" t="str">
        <f>IF($A647="","",games!$C647)</f>
        <v>Deckbuilder</v>
      </c>
      <c r="D647">
        <f>IF($A647="","",COUNTIF(connections!$A$2:$A$1205,$A647)+COUNTIF(connections!$B$2:$B$1205,$A647))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IF(connections!$A647="","",IFERROR(INDEX(games!$B$2:$B$846,MATCH(connections!$A647,games!$A$2:$A$846,0)),""))</f>
        <v>2013</v>
      </c>
      <c r="U647">
        <f>IF(connections!$A647="","",IFERROR(INDEX(games!$B$2:$B$846,MATCH(connections!$B647,games!$A$2:$A$846,0)),""))</f>
        <v>2023</v>
      </c>
      <c r="V647">
        <f t="shared" si="131"/>
        <v>10</v>
      </c>
    </row>
    <row r="648" spans="1:22" x14ac:dyDescent="0.25">
      <c r="A648" t="str">
        <f>IF(games!$A648="","",games!$A648)</f>
        <v>Slice &amp; Dice</v>
      </c>
      <c r="B648">
        <f>IF($A648="","",games!$B648)</f>
        <v>2018</v>
      </c>
      <c r="C648" t="str">
        <f>IF($A648="","",games!$C648)</f>
        <v>Strategy</v>
      </c>
      <c r="D648">
        <f>IF($A648="","",COUNTIF(connections!$A$2:$A$1205,$A648)+COUNTIF(connections!$B$2:$B$1205,$A648))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IF(connections!$A648="","",IFERROR(INDEX(games!$B$2:$B$846,MATCH(connections!$A648,games!$A$2:$A$846,0)),""))</f>
        <v>2013</v>
      </c>
      <c r="U648">
        <f>IF(connections!$A648="","",IFERROR(INDEX(games!$B$2:$B$846,MATCH(connections!$B648,games!$A$2:$A$846,0)),""))</f>
        <v>2025</v>
      </c>
      <c r="V648">
        <f t="shared" si="131"/>
        <v>12</v>
      </c>
    </row>
    <row r="649" spans="1:22" x14ac:dyDescent="0.25">
      <c r="A649" t="str">
        <f>IF(games!$A649="","",games!$A649)</f>
        <v>Slime 3K: Rise Against Despot</v>
      </c>
      <c r="B649">
        <f>IF($A649="","",games!$B649)</f>
        <v>2023</v>
      </c>
      <c r="C649" t="str">
        <f>IF($A649="","",games!$C649)</f>
        <v>Action</v>
      </c>
      <c r="D649">
        <f>IF($A649="","",COUNTIF(connections!$A$2:$A$1205,$A649)+COUNTIF(connections!$B$2:$B$1205,$A649))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IF(connections!$A649="","",IFERROR(INDEX(games!$B$2:$B$846,MATCH(connections!$A649,games!$A$2:$A$846,0)),""))</f>
        <v>2013</v>
      </c>
      <c r="U649">
        <f>IF(connections!$A649="","",IFERROR(INDEX(games!$B$2:$B$846,MATCH(connections!$B649,games!$A$2:$A$846,0)),""))</f>
        <v>2018</v>
      </c>
      <c r="V649">
        <f t="shared" si="131"/>
        <v>5</v>
      </c>
    </row>
    <row r="650" spans="1:22" x14ac:dyDescent="0.25">
      <c r="A650" t="str">
        <f>IF(games!$A650="","",games!$A650)</f>
        <v>Slot &amp; Dungeons</v>
      </c>
      <c r="B650">
        <f>IF($A650="","",games!$B650)</f>
        <v>2025</v>
      </c>
      <c r="C650" t="str">
        <f>IF($A650="","",games!$C650)</f>
        <v>Deckbuilder</v>
      </c>
      <c r="D650">
        <f>IF($A650="","",COUNTIF(connections!$A$2:$A$1205,$A650)+COUNTIF(connections!$B$2:$B$1205,$A650))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IF(connections!$A650="","",IFERROR(INDEX(games!$B$2:$B$846,MATCH(connections!$A650,games!$A$2:$A$846,0)),""))</f>
        <v>2013</v>
      </c>
      <c r="U650">
        <f>IF(connections!$A650="","",IFERROR(INDEX(games!$B$2:$B$846,MATCH(connections!$B650,games!$A$2:$A$846,0)),""))</f>
        <v>2023</v>
      </c>
      <c r="V650">
        <f t="shared" si="131"/>
        <v>10</v>
      </c>
    </row>
    <row r="651" spans="1:22" x14ac:dyDescent="0.25">
      <c r="A651" t="str">
        <f>IF(games!$A651="","",games!$A651)</f>
        <v>Slot or Not</v>
      </c>
      <c r="B651">
        <f>IF($A651="","",games!$B651)</f>
        <v>2026</v>
      </c>
      <c r="C651" t="str">
        <f>IF($A651="","",games!$C651)</f>
        <v>Deckbuilder</v>
      </c>
      <c r="D651">
        <f>IF($A651="","",COUNTIF(connections!$A$2:$A$1205,$A651)+COUNTIF(connections!$B$2:$B$1205,$A651))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IF(connections!$A651="","",IFERROR(INDEX(games!$B$2:$B$846,MATCH(connections!$A651,games!$A$2:$A$846,0)),""))</f>
        <v>2020</v>
      </c>
      <c r="U651">
        <f>IF(connections!$A651="","",IFERROR(INDEX(games!$B$2:$B$846,MATCH(connections!$B651,games!$A$2:$A$846,0)),""))</f>
        <v>2025</v>
      </c>
      <c r="V651">
        <f t="shared" si="131"/>
        <v>5</v>
      </c>
    </row>
    <row r="652" spans="1:22" x14ac:dyDescent="0.25">
      <c r="A652" t="str">
        <f>IF(games!$A652="","",games!$A652)</f>
        <v>Slots &amp; Daggers</v>
      </c>
      <c r="B652">
        <f>IF($A652="","",games!$B652)</f>
        <v>2025</v>
      </c>
      <c r="C652" t="str">
        <f>IF($A652="","",games!$C652)</f>
        <v>Deckbuilder</v>
      </c>
      <c r="D652">
        <f>IF($A652="","",COUNTIF(connections!$A$2:$A$1205,$A652)+COUNTIF(connections!$B$2:$B$1205,$A652))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IF(connections!$A652="","",IFERROR(INDEX(games!$B$2:$B$846,MATCH(connections!$A652,games!$A$2:$A$846,0)),""))</f>
        <v>2020</v>
      </c>
      <c r="U652">
        <f>IF(connections!$A652="","",IFERROR(INDEX(games!$B$2:$B$846,MATCH(connections!$B652,games!$A$2:$A$846,0)),""))</f>
        <v>2026</v>
      </c>
      <c r="V652">
        <f t="shared" si="131"/>
        <v>6</v>
      </c>
    </row>
    <row r="653" spans="1:22" x14ac:dyDescent="0.25">
      <c r="A653" t="str">
        <f>IF(games!$A653="","",games!$A653)</f>
        <v>SNKRX</v>
      </c>
      <c r="B653">
        <f>IF($A653="","",games!$B653)</f>
        <v>2021</v>
      </c>
      <c r="C653" t="str">
        <f>IF($A653="","",games!$C653)</f>
        <v>Action</v>
      </c>
      <c r="D653">
        <f>IF($A653="","",COUNTIF(connections!$A$2:$A$1205,$A653)+COUNTIF(connections!$B$2:$B$1205,$A653))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IF(connections!$A653="","",IFERROR(INDEX(games!$B$2:$B$846,MATCH(connections!$A653,games!$A$2:$A$846,0)),""))</f>
        <v>2020</v>
      </c>
      <c r="U653">
        <f>IF(connections!$A653="","",IFERROR(INDEX(games!$B$2:$B$846,MATCH(connections!$B653,games!$A$2:$A$846,0)),""))</f>
        <v>2024</v>
      </c>
      <c r="V653">
        <f t="shared" si="131"/>
        <v>4</v>
      </c>
    </row>
    <row r="654" spans="1:22" x14ac:dyDescent="0.25">
      <c r="A654" t="str">
        <f>IF(games!$A654="","",games!$A654)</f>
        <v>Sodaman</v>
      </c>
      <c r="B654">
        <f>IF($A654="","",games!$B654)</f>
        <v>2025</v>
      </c>
      <c r="C654" t="str">
        <f>IF($A654="","",games!$C654)</f>
        <v>Action</v>
      </c>
      <c r="D654">
        <f>IF($A654="","",COUNTIF(connections!$A$2:$A$1205,$A654)+COUNTIF(connections!$B$2:$B$1205,$A654))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IF(connections!$A654="","",IFERROR(INDEX(games!$B$2:$B$846,MATCH(connections!$A654,games!$A$2:$A$846,0)),""))</f>
        <v>2020</v>
      </c>
      <c r="U654">
        <f>IF(connections!$A654="","",IFERROR(INDEX(games!$B$2:$B$846,MATCH(connections!$B654,games!$A$2:$A$846,0)),""))</f>
        <v>2026</v>
      </c>
      <c r="V654">
        <f t="shared" si="131"/>
        <v>6</v>
      </c>
    </row>
    <row r="655" spans="1:22" x14ac:dyDescent="0.25">
      <c r="A655" t="str">
        <f>IF(games!$A655="","",games!$A655)</f>
        <v>Sol Cesto</v>
      </c>
      <c r="B655">
        <f>IF($A655="","",games!$B655)</f>
        <v>2025</v>
      </c>
      <c r="C655" t="str">
        <f>IF($A655="","",games!$C655)</f>
        <v>Strategy</v>
      </c>
      <c r="D655">
        <f>IF($A655="","",COUNTIF(connections!$A$2:$A$1205,$A655)+COUNTIF(connections!$B$2:$B$1205,$A655))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IF(connections!$A655="","",IFERROR(INDEX(games!$B$2:$B$846,MATCH(connections!$A655,games!$A$2:$A$846,0)),""))</f>
        <v>2020</v>
      </c>
      <c r="U655">
        <f>IF(connections!$A655="","",IFERROR(INDEX(games!$B$2:$B$846,MATCH(connections!$B655,games!$A$2:$A$846,0)),""))</f>
        <v>2025</v>
      </c>
      <c r="V655">
        <f t="shared" si="131"/>
        <v>5</v>
      </c>
    </row>
    <row r="656" spans="1:22" x14ac:dyDescent="0.25">
      <c r="A656" t="str">
        <f>IF(games!$A656="","",games!$A656)</f>
        <v>Solitairica</v>
      </c>
      <c r="B656">
        <f>IF($A656="","",games!$B656)</f>
        <v>2016</v>
      </c>
      <c r="C656" t="str">
        <f>IF($A656="","",games!$C656)</f>
        <v>Deckbuilder</v>
      </c>
      <c r="D656">
        <f>IF($A656="","",COUNTIF(connections!$A$2:$A$1205,$A656)+COUNTIF(connections!$B$2:$B$1205,$A656))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IF(connections!$A656="","",IFERROR(INDEX(games!$B$2:$B$846,MATCH(connections!$A656,games!$A$2:$A$846,0)),""))</f>
        <v>2020</v>
      </c>
      <c r="U656">
        <f>IF(connections!$A656="","",IFERROR(INDEX(games!$B$2:$B$846,MATCH(connections!$B656,games!$A$2:$A$846,0)),""))</f>
        <v>2026</v>
      </c>
      <c r="V656">
        <f t="shared" si="131"/>
        <v>6</v>
      </c>
    </row>
    <row r="657" spans="1:22" x14ac:dyDescent="0.25">
      <c r="A657" t="str">
        <f>IF(games!$A657="","",games!$A657)</f>
        <v>Soulash</v>
      </c>
      <c r="B657">
        <f>IF($A657="","",games!$B657)</f>
        <v>2022</v>
      </c>
      <c r="C657" t="str">
        <f>IF($A657="","",games!$C657)</f>
        <v>Traditional</v>
      </c>
      <c r="D657">
        <f>IF($A657="","",COUNTIF(connections!$A$2:$A$1205,$A657)+COUNTIF(connections!$B$2:$B$1205,$A657))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IF(connections!$A657="","",IFERROR(INDEX(games!$B$2:$B$846,MATCH(connections!$A657,games!$A$2:$A$846,0)),""))</f>
        <v>2020</v>
      </c>
      <c r="U657">
        <f>IF(connections!$A657="","",IFERROR(INDEX(games!$B$2:$B$846,MATCH(connections!$B657,games!$A$2:$A$846,0)),""))</f>
        <v>2021</v>
      </c>
      <c r="V657">
        <f t="shared" si="131"/>
        <v>1</v>
      </c>
    </row>
    <row r="658" spans="1:22" x14ac:dyDescent="0.25">
      <c r="A658" t="str">
        <f>IF(games!$A658="","",games!$A658)</f>
        <v>Soulash 2</v>
      </c>
      <c r="B658">
        <f>IF($A658="","",games!$B658)</f>
        <v>2023</v>
      </c>
      <c r="C658" t="str">
        <f>IF($A658="","",games!$C658)</f>
        <v>Traditional</v>
      </c>
      <c r="D658">
        <f>IF($A658="","",COUNTIF(connections!$A$2:$A$1205,$A658)+COUNTIF(connections!$B$2:$B$1205,$A658))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IF(connections!$A658="","",IFERROR(INDEX(games!$B$2:$B$846,MATCH(connections!$A658,games!$A$2:$A$846,0)),""))</f>
        <v>2020</v>
      </c>
      <c r="U658">
        <f>IF(connections!$A658="","",IFERROR(INDEX(games!$B$2:$B$846,MATCH(connections!$B658,games!$A$2:$A$846,0)),""))</f>
        <v>2024</v>
      </c>
      <c r="V658">
        <f t="shared" si="131"/>
        <v>4</v>
      </c>
    </row>
    <row r="659" spans="1:22" x14ac:dyDescent="0.25">
      <c r="A659" t="str">
        <f>IF(games!$A659="","",games!$A659)</f>
        <v>Soulstone Survivors</v>
      </c>
      <c r="B659">
        <f>IF($A659="","",games!$B659)</f>
        <v>2022</v>
      </c>
      <c r="C659" t="str">
        <f>IF($A659="","",games!$C659)</f>
        <v>Action</v>
      </c>
      <c r="D659">
        <f>IF($A659="","",COUNTIF(connections!$A$2:$A$1205,$A659)+COUNTIF(connections!$B$2:$B$1205,$A659))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IF(connections!$A659="","",IFERROR(INDEX(games!$B$2:$B$846,MATCH(connections!$A659,games!$A$2:$A$846,0)),""))</f>
        <v>2020</v>
      </c>
      <c r="U659">
        <f>IF(connections!$A659="","",IFERROR(INDEX(games!$B$2:$B$846,MATCH(connections!$B659,games!$A$2:$A$846,0)),""))</f>
        <v>2026</v>
      </c>
      <c r="V659">
        <f t="shared" si="131"/>
        <v>6</v>
      </c>
    </row>
    <row r="660" spans="1:22" x14ac:dyDescent="0.25">
      <c r="A660" t="str">
        <f>IF(games!$A660="","",games!$A660)</f>
        <v>Space Beast Terror Fright</v>
      </c>
      <c r="B660">
        <f>IF($A660="","",games!$B660)</f>
        <v>2015</v>
      </c>
      <c r="C660" t="str">
        <f>IF($A660="","",games!$C660)</f>
        <v>Action</v>
      </c>
      <c r="D660">
        <f>IF($A660="","",COUNTIF(connections!$A$2:$A$1205,$A660)+COUNTIF(connections!$B$2:$B$1205,$A660))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IF(connections!$A660="","",IFERROR(INDEX(games!$B$2:$B$846,MATCH(connections!$A660,games!$A$2:$A$846,0)),""))</f>
        <v>2020</v>
      </c>
      <c r="U660">
        <f>IF(connections!$A660="","",IFERROR(INDEX(games!$B$2:$B$846,MATCH(connections!$B660,games!$A$2:$A$846,0)),""))</f>
        <v>2023</v>
      </c>
      <c r="V660">
        <f t="shared" si="131"/>
        <v>3</v>
      </c>
    </row>
    <row r="661" spans="1:22" x14ac:dyDescent="0.25">
      <c r="A661" t="str">
        <f>IF(games!$A661="","",games!$A661)</f>
        <v>Space Gladiators</v>
      </c>
      <c r="B661">
        <f>IF($A661="","",games!$B661)</f>
        <v>2019</v>
      </c>
      <c r="C661" t="str">
        <f>IF($A661="","",games!$C661)</f>
        <v>Action</v>
      </c>
      <c r="D661">
        <f>IF($A661="","",COUNTIF(connections!$A$2:$A$1205,$A661)+COUNTIF(connections!$B$2:$B$1205,$A661))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IF(connections!$A661="","",IFERROR(INDEX(games!$B$2:$B$846,MATCH(connections!$A661,games!$A$2:$A$846,0)),""))</f>
        <v>2020</v>
      </c>
      <c r="U661">
        <f>IF(connections!$A661="","",IFERROR(INDEX(games!$B$2:$B$846,MATCH(connections!$B661,games!$A$2:$A$846,0)),""))</f>
        <v>2025</v>
      </c>
      <c r="V661">
        <f t="shared" si="131"/>
        <v>5</v>
      </c>
    </row>
    <row r="662" spans="1:22" x14ac:dyDescent="0.25">
      <c r="A662" t="str">
        <f>IF(games!$A662="","",games!$A662)</f>
        <v>Space Grunts</v>
      </c>
      <c r="B662">
        <f>IF($A662="","",games!$B662)</f>
        <v>2016</v>
      </c>
      <c r="C662" t="str">
        <f>IF($A662="","",games!$C662)</f>
        <v>Traditional</v>
      </c>
      <c r="D662">
        <f>IF($A662="","",COUNTIF(connections!$A$2:$A$1205,$A662)+COUNTIF(connections!$B$2:$B$1205,$A662))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IF(connections!$A662="","",IFERROR(INDEX(games!$B$2:$B$846,MATCH(connections!$A662,games!$A$2:$A$846,0)),""))</f>
        <v>2020</v>
      </c>
      <c r="U662">
        <f>IF(connections!$A662="","",IFERROR(INDEX(games!$B$2:$B$846,MATCH(connections!$B662,games!$A$2:$A$846,0)),""))</f>
        <v>2026</v>
      </c>
      <c r="V662">
        <f t="shared" si="131"/>
        <v>6</v>
      </c>
    </row>
    <row r="663" spans="1:22" x14ac:dyDescent="0.25">
      <c r="A663" t="str">
        <f>IF(games!$A663="","",games!$A663)</f>
        <v>Spellbook Demonslayers</v>
      </c>
      <c r="B663">
        <f>IF($A663="","",games!$B663)</f>
        <v>2022</v>
      </c>
      <c r="C663" t="str">
        <f>IF($A663="","",games!$C663)</f>
        <v>Action</v>
      </c>
      <c r="D663">
        <f>IF($A663="","",COUNTIF(connections!$A$2:$A$1205,$A663)+COUNTIF(connections!$B$2:$B$1205,$A663))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IF(connections!$A663="","",IFERROR(INDEX(games!$B$2:$B$846,MATCH(connections!$A663,games!$A$2:$A$846,0)),""))</f>
        <v>2020</v>
      </c>
      <c r="U663">
        <f>IF(connections!$A663="","",IFERROR(INDEX(games!$B$2:$B$846,MATCH(connections!$B663,games!$A$2:$A$846,0)),""))</f>
        <v>2024</v>
      </c>
      <c r="V663">
        <f t="shared" si="131"/>
        <v>4</v>
      </c>
    </row>
    <row r="664" spans="1:22" x14ac:dyDescent="0.25">
      <c r="A664" t="str">
        <f>IF(games!$A664="","",games!$A664)</f>
        <v>Spellmasons</v>
      </c>
      <c r="B664">
        <f>IF($A664="","",games!$B664)</f>
        <v>2023</v>
      </c>
      <c r="C664" t="str">
        <f>IF($A664="","",games!$C664)</f>
        <v>Strategy</v>
      </c>
      <c r="D664">
        <f>IF($A664="","",COUNTIF(connections!$A$2:$A$1205,$A664)+COUNTIF(connections!$B$2:$B$1205,$A664))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IF(connections!$A664="","",IFERROR(INDEX(games!$B$2:$B$846,MATCH(connections!$A664,games!$A$2:$A$846,0)),""))</f>
        <v>2020</v>
      </c>
      <c r="U664">
        <f>IF(connections!$A664="","",IFERROR(INDEX(games!$B$2:$B$846,MATCH(connections!$B664,games!$A$2:$A$846,0)),""))</f>
        <v>2024</v>
      </c>
      <c r="V664">
        <f t="shared" si="131"/>
        <v>4</v>
      </c>
    </row>
    <row r="665" spans="1:22" x14ac:dyDescent="0.25">
      <c r="A665" t="str">
        <f>IF(games!$A665="","",games!$A665)</f>
        <v>SpellRogue</v>
      </c>
      <c r="B665">
        <f>IF($A665="","",games!$B665)</f>
        <v>2024</v>
      </c>
      <c r="C665" t="str">
        <f>IF($A665="","",games!$C665)</f>
        <v>Deckbuilder</v>
      </c>
      <c r="D665">
        <f>IF($A665="","",COUNTIF(connections!$A$2:$A$1205,$A665)+COUNTIF(connections!$B$2:$B$1205,$A665))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IF(connections!$A665="","",IFERROR(INDEX(games!$B$2:$B$846,MATCH(connections!$A665,games!$A$2:$A$846,0)),""))</f>
        <v>2020</v>
      </c>
      <c r="U665">
        <f>IF(connections!$A665="","",IFERROR(INDEX(games!$B$2:$B$846,MATCH(connections!$B665,games!$A$2:$A$846,0)),""))</f>
        <v>2025</v>
      </c>
      <c r="V665">
        <f t="shared" si="131"/>
        <v>5</v>
      </c>
    </row>
    <row r="666" spans="1:22" x14ac:dyDescent="0.25">
      <c r="A666" t="str">
        <f>IF(games!$A666="","",games!$A666)</f>
        <v>Spelunky</v>
      </c>
      <c r="B666">
        <f>IF($A666="","",games!$B666)</f>
        <v>2012</v>
      </c>
      <c r="C666" t="str">
        <f>IF($A666="","",games!$C666)</f>
        <v>Action</v>
      </c>
      <c r="D666">
        <f>IF($A666="","",COUNTIF(connections!$A$2:$A$1205,$A666)+COUNTIF(connections!$B$2:$B$1205,$A666))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IF(connections!$A666="","",IFERROR(INDEX(games!$B$2:$B$846,MATCH(connections!$A666,games!$A$2:$A$846,0)),""))</f>
        <v>2020</v>
      </c>
      <c r="U666">
        <f>IF(connections!$A666="","",IFERROR(INDEX(games!$B$2:$B$846,MATCH(connections!$B666,games!$A$2:$A$846,0)),""))</f>
        <v>2025</v>
      </c>
      <c r="V666">
        <f t="shared" si="131"/>
        <v>5</v>
      </c>
    </row>
    <row r="667" spans="1:22" x14ac:dyDescent="0.25">
      <c r="A667" t="str">
        <f>IF(games!$A667="","",games!$A667)</f>
        <v>Spelunky 2</v>
      </c>
      <c r="B667">
        <f>IF($A667="","",games!$B667)</f>
        <v>2020</v>
      </c>
      <c r="C667" t="str">
        <f>IF($A667="","",games!$C667)</f>
        <v>Action</v>
      </c>
      <c r="D667">
        <f>IF($A667="","",COUNTIF(connections!$A$2:$A$1205,$A667)+COUNTIF(connections!$B$2:$B$1205,$A667))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IF(connections!$A667="","",IFERROR(INDEX(games!$B$2:$B$846,MATCH(connections!$A667,games!$A$2:$A$846,0)),""))</f>
        <v>1980</v>
      </c>
      <c r="U667">
        <f>IF(connections!$A667="","",IFERROR(INDEX(games!$B$2:$B$846,MATCH(connections!$B667,games!$A$2:$A$846,0)),""))</f>
        <v>2015</v>
      </c>
      <c r="V667">
        <f t="shared" si="131"/>
        <v>35</v>
      </c>
    </row>
    <row r="668" spans="1:22" x14ac:dyDescent="0.25">
      <c r="A668" t="str">
        <f>IF(games!$A668="","",games!$A668)</f>
        <v>Spelunky Classic</v>
      </c>
      <c r="B668">
        <f>IF($A668="","",games!$B668)</f>
        <v>2008</v>
      </c>
      <c r="C668" t="str">
        <f>IF($A668="","",games!$C668)</f>
        <v>Action</v>
      </c>
      <c r="D668">
        <f>IF($A668="","",COUNTIF(connections!$A$2:$A$1205,$A668)+COUNTIF(connections!$B$2:$B$1205,$A668))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IF(connections!$A668="","",IFERROR(INDEX(games!$B$2:$B$846,MATCH(connections!$A668,games!$A$2:$A$846,0)),""))</f>
        <v>1980</v>
      </c>
      <c r="U668">
        <f>IF(connections!$A668="","",IFERROR(INDEX(games!$B$2:$B$846,MATCH(connections!$B668,games!$A$2:$A$846,0)),""))</f>
        <v>2009</v>
      </c>
      <c r="V668">
        <f t="shared" si="131"/>
        <v>29</v>
      </c>
    </row>
    <row r="669" spans="1:22" x14ac:dyDescent="0.25">
      <c r="A669" t="str">
        <f>IF(games!$A669="","",games!$A669)</f>
        <v>Spin Hero</v>
      </c>
      <c r="B669">
        <f>IF($A669="","",games!$B669)</f>
        <v>2024</v>
      </c>
      <c r="C669" t="str">
        <f>IF($A669="","",games!$C669)</f>
        <v>Deckbuilder</v>
      </c>
      <c r="D669">
        <f>IF($A669="","",COUNTIF(connections!$A$2:$A$1205,$A669)+COUNTIF(connections!$B$2:$B$1205,$A669))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IF(connections!$A669="","",IFERROR(INDEX(games!$B$2:$B$846,MATCH(connections!$A669,games!$A$2:$A$846,0)),""))</f>
        <v>1980</v>
      </c>
      <c r="U669">
        <f>IF(connections!$A669="","",IFERROR(INDEX(games!$B$2:$B$846,MATCH(connections!$B669,games!$A$2:$A$846,0)),""))</f>
        <v>1994</v>
      </c>
      <c r="V669">
        <f t="shared" si="131"/>
        <v>14</v>
      </c>
    </row>
    <row r="670" spans="1:22" x14ac:dyDescent="0.25">
      <c r="A670" t="str">
        <f>IF(games!$A670="","",games!$A670)</f>
        <v>Spirit Hunters: Infinite Horde</v>
      </c>
      <c r="B670">
        <f>IF($A670="","",games!$B670)</f>
        <v>2022</v>
      </c>
      <c r="C670" t="str">
        <f>IF($A670="","",games!$C670)</f>
        <v>Action</v>
      </c>
      <c r="D670">
        <f>IF($A670="","",COUNTIF(connections!$A$2:$A$1205,$A670)+COUNTIF(connections!$B$2:$B$1205,$A670))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IF(connections!$A670="","",IFERROR(INDEX(games!$B$2:$B$846,MATCH(connections!$A670,games!$A$2:$A$846,0)),""))</f>
        <v>1980</v>
      </c>
      <c r="U670">
        <f>IF(connections!$A670="","",IFERROR(INDEX(games!$B$2:$B$846,MATCH(connections!$B670,games!$A$2:$A$846,0)),""))</f>
        <v>1991</v>
      </c>
      <c r="V670">
        <f t="shared" si="131"/>
        <v>11</v>
      </c>
    </row>
    <row r="671" spans="1:22" x14ac:dyDescent="0.25">
      <c r="A671" t="str">
        <f>IF(games!$A671="","",games!$A671)</f>
        <v>Spiritfall</v>
      </c>
      <c r="B671">
        <f>IF($A671="","",games!$B671)</f>
        <v>2023</v>
      </c>
      <c r="C671" t="str">
        <f>IF($A671="","",games!$C671)</f>
        <v>Action</v>
      </c>
      <c r="D671">
        <f>IF($A671="","",COUNTIF(connections!$A$2:$A$1205,$A671)+COUNTIF(connections!$B$2:$B$1205,$A671))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IF(connections!$A671="","",IFERROR(INDEX(games!$B$2:$B$846,MATCH(connections!$A671,games!$A$2:$A$846,0)),""))</f>
        <v>1980</v>
      </c>
      <c r="U671">
        <f>IF(connections!$A671="","",IFERROR(INDEX(games!$B$2:$B$846,MATCH(connections!$B671,games!$A$2:$A$846,0)),""))</f>
        <v>2015</v>
      </c>
      <c r="V671">
        <f t="shared" si="131"/>
        <v>35</v>
      </c>
    </row>
    <row r="672" spans="1:22" x14ac:dyDescent="0.25">
      <c r="A672" t="str">
        <f>IF(games!$A672="","",games!$A672)</f>
        <v>Spirits Abyss</v>
      </c>
      <c r="B672">
        <f>IF($A672="","",games!$B672)</f>
        <v>2019</v>
      </c>
      <c r="C672" t="str">
        <f>IF($A672="","",games!$C672)</f>
        <v>Action</v>
      </c>
      <c r="D672">
        <f>IF($A672="","",COUNTIF(connections!$A$2:$A$1205,$A672)+COUNTIF(connections!$B$2:$B$1205,$A672))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IF(connections!$A672="","",IFERROR(INDEX(games!$B$2:$B$846,MATCH(connections!$A672,games!$A$2:$A$846,0)),""))</f>
        <v>1980</v>
      </c>
      <c r="U672">
        <f>IF(connections!$A672="","",IFERROR(INDEX(games!$B$2:$B$846,MATCH(connections!$B672,games!$A$2:$A$846,0)),""))</f>
        <v>1990</v>
      </c>
      <c r="V672">
        <f t="shared" si="131"/>
        <v>10</v>
      </c>
    </row>
    <row r="673" spans="1:22" x14ac:dyDescent="0.25">
      <c r="A673" t="str">
        <f>IF(games!$A673="","",games!$A673)</f>
        <v>Sproggiwood</v>
      </c>
      <c r="B673">
        <f>IF($A673="","",games!$B673)</f>
        <v>2014</v>
      </c>
      <c r="C673" t="str">
        <f>IF($A673="","",games!$C673)</f>
        <v>Traditional</v>
      </c>
      <c r="D673">
        <f>IF($A673="","",COUNTIF(connections!$A$2:$A$1205,$A673)+COUNTIF(connections!$B$2:$B$1205,$A673))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IF(connections!$A673="","",IFERROR(INDEX(games!$B$2:$B$846,MATCH(connections!$A673,games!$A$2:$A$846,0)),""))</f>
        <v>1980</v>
      </c>
      <c r="U673">
        <f>IF(connections!$A673="","",IFERROR(INDEX(games!$B$2:$B$846,MATCH(connections!$B673,games!$A$2:$A$846,0)),""))</f>
        <v>2020</v>
      </c>
      <c r="V673">
        <f t="shared" si="131"/>
        <v>40</v>
      </c>
    </row>
    <row r="674" spans="1:22" x14ac:dyDescent="0.25">
      <c r="A674" t="str">
        <f>IF(games!$A674="","",games!$A674)</f>
        <v>Squeaky Squad</v>
      </c>
      <c r="B674">
        <f>IF($A674="","",games!$B674)</f>
        <v>2024</v>
      </c>
      <c r="C674" t="str">
        <f>IF($A674="","",games!$C674)</f>
        <v>Action</v>
      </c>
      <c r="D674">
        <f>IF($A674="","",COUNTIF(connections!$A$2:$A$1205,$A674)+COUNTIF(connections!$B$2:$B$1205,$A674))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IF(connections!$A674="","",IFERROR(INDEX(games!$B$2:$B$846,MATCH(connections!$A674,games!$A$2:$A$846,0)),""))</f>
        <v>1980</v>
      </c>
      <c r="U674">
        <f>IF(connections!$A674="","",IFERROR(INDEX(games!$B$2:$B$846,MATCH(connections!$B674,games!$A$2:$A$846,0)),""))</f>
        <v>1984</v>
      </c>
      <c r="V674">
        <f t="shared" si="131"/>
        <v>4</v>
      </c>
    </row>
    <row r="675" spans="1:22" x14ac:dyDescent="0.25">
      <c r="A675" t="str">
        <f>IF(games!$A675="","",games!$A675)</f>
        <v>Stackflow</v>
      </c>
      <c r="B675">
        <f>IF($A675="","",games!$B675)</f>
        <v>2025</v>
      </c>
      <c r="C675" t="str">
        <f>IF($A675="","",games!$C675)</f>
        <v>Deckbuilder</v>
      </c>
      <c r="D675">
        <f>IF($A675="","",COUNTIF(connections!$A$2:$A$1205,$A675)+COUNTIF(connections!$B$2:$B$1205,$A675))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IF(connections!$A675="","",IFERROR(INDEX(games!$B$2:$B$846,MATCH(connections!$A675,games!$A$2:$A$846,0)),""))</f>
        <v>1980</v>
      </c>
      <c r="U675">
        <f>IF(connections!$A675="","",IFERROR(INDEX(games!$B$2:$B$846,MATCH(connections!$B675,games!$A$2:$A$846,0)),""))</f>
        <v>2012</v>
      </c>
      <c r="V675">
        <f t="shared" si="131"/>
        <v>32</v>
      </c>
    </row>
    <row r="676" spans="1:22" x14ac:dyDescent="0.25">
      <c r="A676" t="str">
        <f>IF(games!$A676="","",games!$A676)</f>
        <v>Star of Providence</v>
      </c>
      <c r="B676">
        <f>IF($A676="","",games!$B676)</f>
        <v>2017</v>
      </c>
      <c r="C676" t="str">
        <f>IF($A676="","",games!$C676)</f>
        <v>Action</v>
      </c>
      <c r="D676">
        <f>IF($A676="","",COUNTIF(connections!$A$2:$A$1205,$A676)+COUNTIF(connections!$B$2:$B$1205,$A676))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IF(connections!$A676="","",IFERROR(INDEX(games!$B$2:$B$846,MATCH(connections!$A676,games!$A$2:$A$846,0)),""))</f>
        <v>1980</v>
      </c>
      <c r="U676">
        <f>IF(connections!$A676="","",IFERROR(INDEX(games!$B$2:$B$846,MATCH(connections!$B676,games!$A$2:$A$846,0)),""))</f>
        <v>2011</v>
      </c>
      <c r="V676">
        <f t="shared" si="131"/>
        <v>31</v>
      </c>
    </row>
    <row r="677" spans="1:22" x14ac:dyDescent="0.25">
      <c r="A677" t="str">
        <f>IF(games!$A677="","",games!$A677)</f>
        <v>Star Survivor</v>
      </c>
      <c r="B677">
        <f>IF($A677="","",games!$B677)</f>
        <v>2023</v>
      </c>
      <c r="C677" t="str">
        <f>IF($A677="","",games!$C677)</f>
        <v>Action</v>
      </c>
      <c r="D677">
        <f>IF($A677="","",COUNTIF(connections!$A$2:$A$1205,$A677)+COUNTIF(connections!$B$2:$B$1205,$A677))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IF(connections!$A677="","",IFERROR(INDEX(games!$B$2:$B$846,MATCH(connections!$A677,games!$A$2:$A$846,0)),""))</f>
        <v>1980</v>
      </c>
      <c r="U677">
        <f>IF(connections!$A677="","",IFERROR(INDEX(games!$B$2:$B$846,MATCH(connections!$B677,games!$A$2:$A$846,0)),""))</f>
        <v>1986</v>
      </c>
      <c r="V677">
        <f t="shared" si="131"/>
        <v>6</v>
      </c>
    </row>
    <row r="678" spans="1:22" x14ac:dyDescent="0.25">
      <c r="A678" t="str">
        <f>IF(games!$A678="","",games!$A678)</f>
        <v>Starlight Revolver</v>
      </c>
      <c r="B678">
        <f>IF($A678="","",games!$B678)</f>
        <v>2025</v>
      </c>
      <c r="C678" t="str">
        <f>IF($A678="","",games!$C678)</f>
        <v>Action</v>
      </c>
      <c r="D678">
        <f>IF($A678="","",COUNTIF(connections!$A$2:$A$1205,$A678)+COUNTIF(connections!$B$2:$B$1205,$A678))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IF(connections!$A678="","",IFERROR(INDEX(games!$B$2:$B$846,MATCH(connections!$A678,games!$A$2:$A$846,0)),""))</f>
        <v>1980</v>
      </c>
      <c r="U678">
        <f>IF(connections!$A678="","",IFERROR(INDEX(games!$B$2:$B$846,MATCH(connections!$B678,games!$A$2:$A$846,0)),""))</f>
        <v>1987</v>
      </c>
      <c r="V678">
        <f t="shared" si="131"/>
        <v>7</v>
      </c>
    </row>
    <row r="679" spans="1:22" x14ac:dyDescent="0.25">
      <c r="A679" t="str">
        <f>IF(games!$A679="","",games!$A679)</f>
        <v>StarVaders</v>
      </c>
      <c r="B679">
        <f>IF($A679="","",games!$B679)</f>
        <v>2025</v>
      </c>
      <c r="C679" t="str">
        <f>IF($A679="","",games!$C679)</f>
        <v>Deckbuilder</v>
      </c>
      <c r="D679">
        <f>IF($A679="","",COUNTIF(connections!$A$2:$A$1205,$A679)+COUNTIF(connections!$B$2:$B$1205,$A679))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IF(connections!$A679="","",IFERROR(INDEX(games!$B$2:$B$846,MATCH(connections!$A679,games!$A$2:$A$846,0)),""))</f>
        <v>1980</v>
      </c>
      <c r="U679">
        <f>IF(connections!$A679="","",IFERROR(INDEX(games!$B$2:$B$846,MATCH(connections!$B679,games!$A$2:$A$846,0)),""))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IF($A680="","",COUNTIF(connections!$A$2:$A$1205,$A680)+COUNTIF(connections!$B$2:$B$1205,$A680))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IF(connections!$A680="","",IFERROR(INDEX(games!$B$2:$B$846,MATCH(connections!$A680,games!$A$2:$A$846,0)),""))</f>
        <v>1980</v>
      </c>
      <c r="U680">
        <f>IF(connections!$A680="","",IFERROR(INDEX(games!$B$2:$B$846,MATCH(connections!$B680,games!$A$2:$A$846,0)),""))</f>
        <v>2023</v>
      </c>
      <c r="V680">
        <f t="shared" si="131"/>
        <v>43</v>
      </c>
    </row>
    <row r="681" spans="1:22" x14ac:dyDescent="0.25">
      <c r="A681" t="str">
        <f>IF(games!$A681="","",games!$A681)</f>
        <v>Stick It to the Stickman</v>
      </c>
      <c r="B681">
        <f>IF($A681="","",games!$B681)</f>
        <v>2025</v>
      </c>
      <c r="C681" t="str">
        <f>IF($A681="","",games!$C681)</f>
        <v>Action</v>
      </c>
      <c r="D681">
        <f>IF($A681="","",COUNTIF(connections!$A$2:$A$1205,$A681)+COUNTIF(connections!$B$2:$B$1205,$A681))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IF(connections!$A681="","",IFERROR(INDEX(games!$B$2:$B$846,MATCH(connections!$A681,games!$A$2:$A$846,0)),""))</f>
        <v>1980</v>
      </c>
      <c r="U681">
        <f>IF(connections!$A681="","",IFERROR(INDEX(games!$B$2:$B$846,MATCH(connections!$B681,games!$A$2:$A$846,0)),""))</f>
        <v>1992</v>
      </c>
      <c r="V681">
        <f t="shared" si="131"/>
        <v>12</v>
      </c>
    </row>
    <row r="682" spans="1:22" x14ac:dyDescent="0.25">
      <c r="A682" t="str">
        <f>IF(games!$A682="","",games!$A682)</f>
        <v>Stoneshard</v>
      </c>
      <c r="B682">
        <f>IF($A682="","",games!$B682)</f>
        <v>2020</v>
      </c>
      <c r="C682" t="str">
        <f>IF($A682="","",games!$C682)</f>
        <v>Traditional</v>
      </c>
      <c r="D682">
        <f>IF($A682="","",COUNTIF(connections!$A$2:$A$1205,$A682)+COUNTIF(connections!$B$2:$B$1205,$A682))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IF(connections!$A682="","",IFERROR(INDEX(games!$B$2:$B$846,MATCH(connections!$A682,games!$A$2:$A$846,0)),""))</f>
        <v>1980</v>
      </c>
      <c r="U682">
        <f>IF(connections!$A682="","",IFERROR(INDEX(games!$B$2:$B$846,MATCH(connections!$B682,games!$A$2:$A$846,0)),""))</f>
        <v>2012</v>
      </c>
      <c r="V682">
        <f t="shared" si="131"/>
        <v>32</v>
      </c>
    </row>
    <row r="683" spans="1:22" x14ac:dyDescent="0.25">
      <c r="A683" t="str">
        <f>IF(games!$A683="","",games!$A683)</f>
        <v>Stories from the Outbreak</v>
      </c>
      <c r="B683">
        <f>IF($A683="","",games!$B683)</f>
        <v>2023</v>
      </c>
      <c r="C683" t="str">
        <f>IF($A683="","",games!$C683)</f>
        <v>Strategy</v>
      </c>
      <c r="D683">
        <f>IF($A683="","",COUNTIF(connections!$A$2:$A$1205,$A683)+COUNTIF(connections!$B$2:$B$1205,$A683))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IF(connections!$A683="","",IFERROR(INDEX(games!$B$2:$B$846,MATCH(connections!$A683,games!$A$2:$A$846,0)),""))</f>
        <v>1980</v>
      </c>
      <c r="U683">
        <f>IF(connections!$A683="","",IFERROR(INDEX(games!$B$2:$B$846,MATCH(connections!$B683,games!$A$2:$A$846,0)),""))</f>
        <v>2023</v>
      </c>
      <c r="V683">
        <f t="shared" si="131"/>
        <v>43</v>
      </c>
    </row>
    <row r="684" spans="1:22" x14ac:dyDescent="0.25">
      <c r="A684" t="str">
        <f>IF(games!$A684="","",games!$A684)</f>
        <v>Strafe</v>
      </c>
      <c r="B684">
        <f>IF($A684="","",games!$B684)</f>
        <v>2017</v>
      </c>
      <c r="C684" t="str">
        <f>IF($A684="","",games!$C684)</f>
        <v>Action</v>
      </c>
      <c r="D684">
        <f>IF($A684="","",COUNTIF(connections!$A$2:$A$1205,$A684)+COUNTIF(connections!$B$2:$B$1205,$A684))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IF(connections!$A684="","",IFERROR(INDEX(games!$B$2:$B$846,MATCH(connections!$A684,games!$A$2:$A$846,0)),""))</f>
        <v>1980</v>
      </c>
      <c r="U684">
        <f>IF(connections!$A684="","",IFERROR(INDEX(games!$B$2:$B$846,MATCH(connections!$B684,games!$A$2:$A$846,0)),""))</f>
        <v>2014</v>
      </c>
      <c r="V684">
        <f t="shared" si="131"/>
        <v>34</v>
      </c>
    </row>
    <row r="685" spans="1:22" x14ac:dyDescent="0.25">
      <c r="A685" t="str">
        <f>IF(games!$A685="","",games!$A685)</f>
        <v>Strange Adventures in Infinite Space</v>
      </c>
      <c r="B685">
        <f>IF($A685="","",games!$B685)</f>
        <v>2002</v>
      </c>
      <c r="C685" t="str">
        <f>IF($A685="","",games!$C685)</f>
        <v>Strategy</v>
      </c>
      <c r="D685">
        <f>IF($A685="","",COUNTIF(connections!$A$2:$A$1205,$A685)+COUNTIF(connections!$B$2:$B$1205,$A685))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IF(connections!$A685="","",IFERROR(INDEX(games!$B$2:$B$846,MATCH(connections!$A685,games!$A$2:$A$846,0)),""))</f>
        <v>1980</v>
      </c>
      <c r="U685">
        <f>IF(connections!$A685="","",IFERROR(INDEX(games!$B$2:$B$846,MATCH(connections!$B685,games!$A$2:$A$846,0)),""))</f>
        <v>2013</v>
      </c>
      <c r="V685">
        <f t="shared" si="131"/>
        <v>33</v>
      </c>
    </row>
    <row r="686" spans="1:22" x14ac:dyDescent="0.25">
      <c r="A686" t="str">
        <f>IF(games!$A686="","",games!$A686)</f>
        <v>Streets of Rogue</v>
      </c>
      <c r="B686">
        <f>IF($A686="","",games!$B686)</f>
        <v>2019</v>
      </c>
      <c r="C686" t="str">
        <f>IF($A686="","",games!$C686)</f>
        <v>Action</v>
      </c>
      <c r="D686">
        <f>IF($A686="","",COUNTIF(connections!$A$2:$A$1205,$A686)+COUNTIF(connections!$B$2:$B$1205,$A686))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IF(connections!$A686="","",IFERROR(INDEX(games!$B$2:$B$846,MATCH(connections!$A686,games!$A$2:$A$846,0)),""))</f>
        <v>1980</v>
      </c>
      <c r="U686">
        <f>IF(connections!$A686="","",IFERROR(INDEX(games!$B$2:$B$846,MATCH(connections!$B686,games!$A$2:$A$846,0)),""))</f>
        <v>1991</v>
      </c>
      <c r="V686">
        <f t="shared" si="131"/>
        <v>11</v>
      </c>
    </row>
    <row r="687" spans="1:22" x14ac:dyDescent="0.25">
      <c r="A687" t="str">
        <f>IF(games!$A687="","",games!$A687)</f>
        <v>SULFUR</v>
      </c>
      <c r="B687">
        <f>IF($A687="","",games!$B687)</f>
        <v>2024</v>
      </c>
      <c r="C687" t="str">
        <f>IF($A687="","",games!$C687)</f>
        <v>Action</v>
      </c>
      <c r="D687">
        <f>IF($A687="","",COUNTIF(connections!$A$2:$A$1205,$A687)+COUNTIF(connections!$B$2:$B$1205,$A687))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IF(connections!$A687="","",IFERROR(INDEX(games!$B$2:$B$846,MATCH(connections!$A687,games!$A$2:$A$846,0)),""))</f>
        <v>1980</v>
      </c>
      <c r="U687">
        <f>IF(connections!$A687="","",IFERROR(INDEX(games!$B$2:$B$846,MATCH(connections!$B687,games!$A$2:$A$846,0)),""))</f>
        <v>1993</v>
      </c>
      <c r="V687">
        <f t="shared" si="131"/>
        <v>13</v>
      </c>
    </row>
    <row r="688" spans="1:22" x14ac:dyDescent="0.25">
      <c r="A688" t="str">
        <f>IF(games!$A688="","",games!$A688)</f>
        <v>Sundered</v>
      </c>
      <c r="B688">
        <f>IF($A688="","",games!$B688)</f>
        <v>2017</v>
      </c>
      <c r="C688" t="str">
        <f>IF($A688="","",games!$C688)</f>
        <v>Action</v>
      </c>
      <c r="D688">
        <f>IF($A688="","",COUNTIF(connections!$A$2:$A$1205,$A688)+COUNTIF(connections!$B$2:$B$1205,$A688))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IF(connections!$A688="","",IFERROR(INDEX(games!$B$2:$B$846,MATCH(connections!$A688,games!$A$2:$A$846,0)),""))</f>
        <v>2013</v>
      </c>
      <c r="U688">
        <f>IF(connections!$A688="","",IFERROR(INDEX(games!$B$2:$B$846,MATCH(connections!$B688,games!$A$2:$A$846,0)),""))</f>
        <v>2015</v>
      </c>
      <c r="V688">
        <f t="shared" si="131"/>
        <v>2</v>
      </c>
    </row>
    <row r="689" spans="1:22" x14ac:dyDescent="0.25">
      <c r="A689" t="str">
        <f>IF(games!$A689="","",games!$A689)</f>
        <v>Sunless Sea</v>
      </c>
      <c r="B689">
        <f>IF($A689="","",games!$B689)</f>
        <v>2015</v>
      </c>
      <c r="C689" t="str">
        <f>IF($A689="","",games!$C689)</f>
        <v>Strategy</v>
      </c>
      <c r="D689">
        <f>IF($A689="","",COUNTIF(connections!$A$2:$A$1205,$A689)+COUNTIF(connections!$B$2:$B$1205,$A689))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IF(connections!$A689="","",IFERROR(INDEX(games!$B$2:$B$846,MATCH(connections!$A689,games!$A$2:$A$846,0)),""))</f>
        <v>2013</v>
      </c>
      <c r="U689">
        <f>IF(connections!$A689="","",IFERROR(INDEX(games!$B$2:$B$846,MATCH(connections!$B689,games!$A$2:$A$846,0)),""))</f>
        <v>2018</v>
      </c>
      <c r="V689">
        <f t="shared" si="131"/>
        <v>5</v>
      </c>
    </row>
    <row r="690" spans="1:22" x14ac:dyDescent="0.25">
      <c r="A690" t="str">
        <f>IF(games!$A690="","",games!$A690)</f>
        <v>Super Auto Pets</v>
      </c>
      <c r="B690">
        <f>IF($A690="","",games!$B690)</f>
        <v>2021</v>
      </c>
      <c r="C690" t="str">
        <f>IF($A690="","",games!$C690)</f>
        <v>Strategy</v>
      </c>
      <c r="D690">
        <f>IF($A690="","",COUNTIF(connections!$A$2:$A$1205,$A690)+COUNTIF(connections!$B$2:$B$1205,$A690))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IF(connections!$A690="","",IFERROR(INDEX(games!$B$2:$B$846,MATCH(connections!$A690,games!$A$2:$A$846,0)),""))</f>
        <v>2013</v>
      </c>
      <c r="U690">
        <f>IF(connections!$A690="","",IFERROR(INDEX(games!$B$2:$B$846,MATCH(connections!$B690,games!$A$2:$A$846,0)),""))</f>
        <v>2025</v>
      </c>
      <c r="V690">
        <f t="shared" si="131"/>
        <v>12</v>
      </c>
    </row>
    <row r="691" spans="1:22" x14ac:dyDescent="0.25">
      <c r="A691" t="str">
        <f>IF(games!$A691="","",games!$A691)</f>
        <v>Super Bullet Break</v>
      </c>
      <c r="B691">
        <f>IF($A691="","",games!$B691)</f>
        <v>2022</v>
      </c>
      <c r="C691" t="str">
        <f>IF($A691="","",games!$C691)</f>
        <v>Deckbuilder</v>
      </c>
      <c r="D691">
        <f>IF($A691="","",COUNTIF(connections!$A$2:$A$1205,$A691)+COUNTIF(connections!$B$2:$B$1205,$A691))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IF(connections!$A691="","",IFERROR(INDEX(games!$B$2:$B$846,MATCH(connections!$A691,games!$A$2:$A$846,0)),""))</f>
        <v>2013</v>
      </c>
      <c r="U691">
        <f>IF(connections!$A691="","",IFERROR(INDEX(games!$B$2:$B$846,MATCH(connections!$B691,games!$A$2:$A$846,0)),""))</f>
        <v>2017</v>
      </c>
      <c r="V691">
        <f t="shared" si="131"/>
        <v>4</v>
      </c>
    </row>
    <row r="692" spans="1:22" x14ac:dyDescent="0.25">
      <c r="A692" t="str">
        <f>IF(games!$A692="","",games!$A692)</f>
        <v>Super Fantasy Kingdom</v>
      </c>
      <c r="B692">
        <f>IF($A692="","",games!$B692)</f>
        <v>2025</v>
      </c>
      <c r="C692" t="str">
        <f>IF($A692="","",games!$C692)</f>
        <v>Strategy</v>
      </c>
      <c r="D692">
        <f>IF($A692="","",COUNTIF(connections!$A$2:$A$1205,$A692)+COUNTIF(connections!$B$2:$B$1205,$A692))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IF(connections!$A692="","",IFERROR(INDEX(games!$B$2:$B$846,MATCH(connections!$A692,games!$A$2:$A$846,0)),""))</f>
        <v>2013</v>
      </c>
      <c r="U692">
        <f>IF(connections!$A692="","",IFERROR(INDEX(games!$B$2:$B$846,MATCH(connections!$B692,games!$A$2:$A$846,0)),""))</f>
        <v>2020</v>
      </c>
      <c r="V692">
        <f t="shared" si="131"/>
        <v>7</v>
      </c>
    </row>
    <row r="693" spans="1:22" x14ac:dyDescent="0.25">
      <c r="A693" t="str">
        <f>IF(games!$A693="","",games!$A693)</f>
        <v>Super House of Dead Ninjas</v>
      </c>
      <c r="B693">
        <f>IF($A693="","",games!$B693)</f>
        <v>2013</v>
      </c>
      <c r="C693" t="str">
        <f>IF($A693="","",games!$C693)</f>
        <v>Action</v>
      </c>
      <c r="D693">
        <f>IF($A693="","",COUNTIF(connections!$A$2:$A$1205,$A693)+COUNTIF(connections!$B$2:$B$1205,$A693))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IF(connections!$A693="","",IFERROR(INDEX(games!$B$2:$B$846,MATCH(connections!$A693,games!$A$2:$A$846,0)),""))</f>
        <v>2013</v>
      </c>
      <c r="U693">
        <f>IF(connections!$A693="","",IFERROR(INDEX(games!$B$2:$B$846,MATCH(connections!$B693,games!$A$2:$A$846,0)),""))</f>
        <v>2017</v>
      </c>
      <c r="V693">
        <f t="shared" si="131"/>
        <v>4</v>
      </c>
    </row>
    <row r="694" spans="1:22" x14ac:dyDescent="0.25">
      <c r="A694" t="str">
        <f>IF(games!$A694="","",games!$A694)</f>
        <v>Super Tax City</v>
      </c>
      <c r="B694">
        <f>IF($A694="","",games!$B694)</f>
        <v>2025</v>
      </c>
      <c r="C694" t="str">
        <f>IF($A694="","",games!$C694)</f>
        <v>Deckbuilder</v>
      </c>
      <c r="D694">
        <f>IF($A694="","",COUNTIF(connections!$A$2:$A$1205,$A694)+COUNTIF(connections!$B$2:$B$1205,$A694))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IF(connections!$A694="","",IFERROR(INDEX(games!$B$2:$B$846,MATCH(connections!$A694,games!$A$2:$A$846,0)),""))</f>
        <v>2013</v>
      </c>
      <c r="U694">
        <f>IF(connections!$A694="","",IFERROR(INDEX(games!$B$2:$B$846,MATCH(connections!$B694,games!$A$2:$A$846,0)),""))</f>
        <v>2018</v>
      </c>
      <c r="V694">
        <f t="shared" si="131"/>
        <v>5</v>
      </c>
    </row>
    <row r="695" spans="1:22" x14ac:dyDescent="0.25">
      <c r="A695" t="str">
        <f>IF(games!$A695="","",games!$A695)</f>
        <v>Swapmeat</v>
      </c>
      <c r="B695">
        <f>IF($A695="","",games!$B695)</f>
        <v>2025</v>
      </c>
      <c r="C695" t="str">
        <f>IF($A695="","",games!$C695)</f>
        <v>Action</v>
      </c>
      <c r="D695">
        <f>IF($A695="","",COUNTIF(connections!$A$2:$A$1205,$A695)+COUNTIF(connections!$B$2:$B$1205,$A695))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IF(connections!$A695="","",IFERROR(INDEX(games!$B$2:$B$846,MATCH(connections!$A695,games!$A$2:$A$846,0)),""))</f>
        <v>2013</v>
      </c>
      <c r="U695">
        <f>IF(connections!$A695="","",IFERROR(INDEX(games!$B$2:$B$846,MATCH(connections!$B695,games!$A$2:$A$846,0)),""))</f>
        <v>2021</v>
      </c>
      <c r="V695">
        <f t="shared" si="131"/>
        <v>8</v>
      </c>
    </row>
    <row r="696" spans="1:22" x14ac:dyDescent="0.25">
      <c r="A696" t="str">
        <f>IF(games!$A696="","",games!$A696)</f>
        <v>Swarm Grinder</v>
      </c>
      <c r="B696">
        <f>IF($A696="","",games!$B696)</f>
        <v>2023</v>
      </c>
      <c r="C696" t="str">
        <f>IF($A696="","",games!$C696)</f>
        <v>Action</v>
      </c>
      <c r="D696">
        <f>IF($A696="","",COUNTIF(connections!$A$2:$A$1205,$A696)+COUNTIF(connections!$B$2:$B$1205,$A696))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IF(connections!$A696="","",IFERROR(INDEX(games!$B$2:$B$846,MATCH(connections!$A696,games!$A$2:$A$846,0)),""))</f>
        <v>2013</v>
      </c>
      <c r="U696">
        <f>IF(connections!$A696="","",IFERROR(INDEX(games!$B$2:$B$846,MATCH(connections!$B696,games!$A$2:$A$846,0)),""))</f>
        <v>2020</v>
      </c>
      <c r="V696">
        <f t="shared" si="131"/>
        <v>7</v>
      </c>
    </row>
    <row r="697" spans="1:22" x14ac:dyDescent="0.25">
      <c r="A697" t="str">
        <f>IF(games!$A697="","",games!$A697)</f>
        <v>Switchcars</v>
      </c>
      <c r="B697">
        <f>IF($A697="","",games!$B697)</f>
        <v>2016</v>
      </c>
      <c r="C697" t="str">
        <f>IF($A697="","",games!$C697)</f>
        <v>Action</v>
      </c>
      <c r="D697">
        <f>IF($A697="","",COUNTIF(connections!$A$2:$A$1205,$A697)+COUNTIF(connections!$B$2:$B$1205,$A697))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IF(connections!$A697="","",IFERROR(INDEX(games!$B$2:$B$846,MATCH(connections!$A697,games!$A$2:$A$846,0)),""))</f>
        <v>2013</v>
      </c>
      <c r="U697">
        <f>IF(connections!$A697="","",IFERROR(INDEX(games!$B$2:$B$846,MATCH(connections!$B697,games!$A$2:$A$846,0)),""))</f>
        <v>2019</v>
      </c>
      <c r="V697">
        <f t="shared" si="131"/>
        <v>6</v>
      </c>
    </row>
    <row r="698" spans="1:22" x14ac:dyDescent="0.25">
      <c r="A698" t="str">
        <f>IF(games!$A698="","",games!$A698)</f>
        <v>Sword of Fargoal</v>
      </c>
      <c r="B698">
        <f>IF($A698="","",games!$B698)</f>
        <v>1982</v>
      </c>
      <c r="C698" t="str">
        <f>IF($A698="","",games!$C698)</f>
        <v>Traditional</v>
      </c>
      <c r="D698">
        <f>IF($A698="","",COUNTIF(connections!$A$2:$A$1205,$A698)+COUNTIF(connections!$B$2:$B$1205,$A698))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IF(connections!$A698="","",IFERROR(INDEX(games!$B$2:$B$846,MATCH(connections!$A698,games!$A$2:$A$846,0)),""))</f>
        <v>2013</v>
      </c>
      <c r="U698">
        <f>IF(connections!$A698="","",IFERROR(INDEX(games!$B$2:$B$846,MATCH(connections!$B698,games!$A$2:$A$846,0)),""))</f>
        <v>2017</v>
      </c>
      <c r="V698">
        <f t="shared" si="131"/>
        <v>4</v>
      </c>
    </row>
    <row r="699" spans="1:22" x14ac:dyDescent="0.25">
      <c r="A699" t="str">
        <f>IF(games!$A699="","",games!$A699)</f>
        <v>Sword of the Necromancer</v>
      </c>
      <c r="B699">
        <f>IF($A699="","",games!$B699)</f>
        <v>2021</v>
      </c>
      <c r="C699" t="str">
        <f>IF($A699="","",games!$C699)</f>
        <v>Action</v>
      </c>
      <c r="D699">
        <f>IF($A699="","",COUNTIF(connections!$A$2:$A$1205,$A699)+COUNTIF(connections!$B$2:$B$1205,$A699))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IF(connections!$A699="","",IFERROR(INDEX(games!$B$2:$B$846,MATCH(connections!$A699,games!$A$2:$A$846,0)),""))</f>
        <v>2013</v>
      </c>
      <c r="U699">
        <f>IF(connections!$A699="","",IFERROR(INDEX(games!$B$2:$B$846,MATCH(connections!$B699,games!$A$2:$A$846,0)),""))</f>
        <v>2019</v>
      </c>
      <c r="V699">
        <f t="shared" si="131"/>
        <v>6</v>
      </c>
    </row>
    <row r="700" spans="1:22" x14ac:dyDescent="0.25">
      <c r="A700" t="str">
        <f>IF(games!$A700="","",games!$A700)</f>
        <v>Sword of the Necromancer: Resurrection</v>
      </c>
      <c r="B700">
        <f>IF($A700="","",games!$B700)</f>
        <v>2025</v>
      </c>
      <c r="C700" t="str">
        <f>IF($A700="","",games!$C700)</f>
        <v>Action</v>
      </c>
      <c r="D700">
        <f>IF($A700="","",COUNTIF(connections!$A$2:$A$1205,$A700)+COUNTIF(connections!$B$2:$B$1205,$A700))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IF(connections!$A700="","",IFERROR(INDEX(games!$B$2:$B$846,MATCH(connections!$A700,games!$A$2:$A$846,0)),""))</f>
        <v>2022</v>
      </c>
      <c r="U700">
        <f>IF(connections!$A700="","",IFERROR(INDEX(games!$B$2:$B$846,MATCH(connections!$B700,games!$A$2:$A$846,0)),""))</f>
        <v>2025</v>
      </c>
      <c r="V700">
        <f t="shared" si="131"/>
        <v>3</v>
      </c>
    </row>
    <row r="701" spans="1:22" x14ac:dyDescent="0.25">
      <c r="A701" t="str">
        <f>IF(games!$A701="","",games!$A701)</f>
        <v>Sword of the Stars: The Pit</v>
      </c>
      <c r="B701">
        <f>IF($A701="","",games!$B701)</f>
        <v>2013</v>
      </c>
      <c r="C701" t="str">
        <f>IF($A701="","",games!$C701)</f>
        <v>Traditional</v>
      </c>
      <c r="D701">
        <f>IF($A701="","",COUNTIF(connections!$A$2:$A$1205,$A701)+COUNTIF(connections!$B$2:$B$1205,$A701))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IF(connections!$A701="","",IFERROR(INDEX(games!$B$2:$B$846,MATCH(connections!$A701,games!$A$2:$A$846,0)),""))</f>
        <v>2022</v>
      </c>
      <c r="U701">
        <f>IF(connections!$A701="","",IFERROR(INDEX(games!$B$2:$B$846,MATCH(connections!$B701,games!$A$2:$A$846,0)),""))</f>
        <v>2025</v>
      </c>
      <c r="V701">
        <f t="shared" si="131"/>
        <v>3</v>
      </c>
    </row>
    <row r="702" spans="1:22" x14ac:dyDescent="0.25">
      <c r="A702" t="str">
        <f>IF(games!$A702="","",games!$A702)</f>
        <v>Swordship</v>
      </c>
      <c r="B702">
        <f>IF($A702="","",games!$B702)</f>
        <v>2022</v>
      </c>
      <c r="C702" t="str">
        <f>IF($A702="","",games!$C702)</f>
        <v>Action</v>
      </c>
      <c r="D702">
        <f>IF($A702="","",COUNTIF(connections!$A$2:$A$1205,$A702)+COUNTIF(connections!$B$2:$B$1205,$A702))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IF(connections!$A702="","",IFERROR(INDEX(games!$B$2:$B$846,MATCH(connections!$A702,games!$A$2:$A$846,0)),""))</f>
        <v>2021</v>
      </c>
      <c r="U702">
        <f>IF(connections!$A702="","",IFERROR(INDEX(games!$B$2:$B$846,MATCH(connections!$B702,games!$A$2:$A$846,0)),""))</f>
        <v>2024</v>
      </c>
      <c r="V702">
        <f t="shared" si="131"/>
        <v>3</v>
      </c>
    </row>
    <row r="703" spans="1:22" x14ac:dyDescent="0.25">
      <c r="A703" t="str">
        <f>IF(games!$A703="","",games!$A703)</f>
        <v>Sworn</v>
      </c>
      <c r="B703">
        <f>IF($A703="","",games!$B703)</f>
        <v>2025</v>
      </c>
      <c r="C703" t="str">
        <f>IF($A703="","",games!$C703)</f>
        <v>Action</v>
      </c>
      <c r="D703">
        <f>IF($A703="","",COUNTIF(connections!$A$2:$A$1205,$A703)+COUNTIF(connections!$B$2:$B$1205,$A703))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IF(connections!$A703="","",IFERROR(INDEX(games!$B$2:$B$846,MATCH(connections!$A703,games!$A$2:$A$846,0)),""))</f>
        <v>2021</v>
      </c>
      <c r="U703">
        <f>IF(connections!$A703="","",IFERROR(INDEX(games!$B$2:$B$846,MATCH(connections!$B703,games!$A$2:$A$846,0)),""))</f>
        <v>2026</v>
      </c>
      <c r="V703">
        <f t="shared" si="131"/>
        <v>5</v>
      </c>
    </row>
    <row r="704" spans="1:22" x14ac:dyDescent="0.25">
      <c r="A704" t="str">
        <f>IF(games!$A704="","",games!$A704)</f>
        <v>Synthetik 2</v>
      </c>
      <c r="B704">
        <f>IF($A704="","",games!$B704)</f>
        <v>2021</v>
      </c>
      <c r="C704" t="str">
        <f>IF($A704="","",games!$C704)</f>
        <v>Action</v>
      </c>
      <c r="D704">
        <f>IF($A704="","",COUNTIF(connections!$A$2:$A$1205,$A704)+COUNTIF(connections!$B$2:$B$1205,$A704))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IF(connections!$A704="","",IFERROR(INDEX(games!$B$2:$B$846,MATCH(connections!$A704,games!$A$2:$A$846,0)),""))</f>
        <v>2021</v>
      </c>
      <c r="U704">
        <f>IF(connections!$A704="","",IFERROR(INDEX(games!$B$2:$B$846,MATCH(connections!$B704,games!$A$2:$A$846,0)),""))</f>
        <v>2024</v>
      </c>
      <c r="V704">
        <f t="shared" si="131"/>
        <v>3</v>
      </c>
    </row>
    <row r="705" spans="1:22" x14ac:dyDescent="0.25">
      <c r="A705" t="str">
        <f>IF(games!$A705="","",games!$A705)</f>
        <v>Synthetik: Legion Rising</v>
      </c>
      <c r="B705">
        <f>IF($A705="","",games!$B705)</f>
        <v>2018</v>
      </c>
      <c r="C705" t="str">
        <f>IF($A705="","",games!$C705)</f>
        <v>Action</v>
      </c>
      <c r="D705">
        <f>IF($A705="","",COUNTIF(connections!$A$2:$A$1205,$A705)+COUNTIF(connections!$B$2:$B$1205,$A705))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IF(connections!$A705="","",IFERROR(INDEX(games!$B$2:$B$846,MATCH(connections!$A705,games!$A$2:$A$846,0)),""))</f>
        <v>2020</v>
      </c>
      <c r="U705">
        <f>IF(connections!$A705="","",IFERROR(INDEX(games!$B$2:$B$846,MATCH(connections!$B705,games!$A$2:$A$846,0)),""))</f>
        <v>2024</v>
      </c>
      <c r="V705">
        <f t="shared" si="131"/>
        <v>4</v>
      </c>
    </row>
    <row r="706" spans="1:22" x14ac:dyDescent="0.25">
      <c r="A706" t="str">
        <f>IF(games!$A706="","",games!$A706)</f>
        <v>Tabletop Tavern</v>
      </c>
      <c r="B706">
        <f>IF($A706="","",games!$B706)</f>
        <v>2026</v>
      </c>
      <c r="C706" t="str">
        <f>IF($A706="","",games!$C706)</f>
        <v>Strategy</v>
      </c>
      <c r="D706">
        <f>IF($A706="","",COUNTIF(connections!$A$2:$A$1205,$A706)+COUNTIF(connections!$B$2:$B$1205,$A706))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IF(connections!$A706="","",IFERROR(INDEX(games!$B$2:$B$846,MATCH(connections!$A706,games!$A$2:$A$846,0)),""))</f>
        <v>2022</v>
      </c>
      <c r="U706">
        <f>IF(connections!$A706="","",IFERROR(INDEX(games!$B$2:$B$846,MATCH(connections!$B706,games!$A$2:$A$846,0)),""))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IF($A707="","",COUNTIF(connections!$A$2:$A$1205,$A707)+COUNTIF(connections!$B$2:$B$1205,$A707))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IF(connections!$A707="","",IFERROR(INDEX(games!$B$2:$B$846,MATCH(connections!$A707,games!$A$2:$A$846,0)),""))</f>
        <v>2008</v>
      </c>
      <c r="U707">
        <f>IF(connections!$A707="","",IFERROR(INDEX(games!$B$2:$B$846,MATCH(connections!$B707,games!$A$2:$A$846,0)),""))</f>
        <v>2010</v>
      </c>
      <c r="V707">
        <f t="shared" si="143"/>
        <v>2</v>
      </c>
    </row>
    <row r="708" spans="1:22" x14ac:dyDescent="0.25">
      <c r="A708" t="str">
        <f>IF(games!$A708="","",games!$A708)</f>
        <v>Talented</v>
      </c>
      <c r="B708">
        <f>IF($A708="","",games!$B708)</f>
        <v>2023</v>
      </c>
      <c r="C708" t="str">
        <f>IF($A708="","",games!$C708)</f>
        <v>Action</v>
      </c>
      <c r="D708">
        <f>IF($A708="","",COUNTIF(connections!$A$2:$A$1205,$A708)+COUNTIF(connections!$B$2:$B$1205,$A708))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IF(connections!$A708="","",IFERROR(INDEX(games!$B$2:$B$846,MATCH(connections!$A708,games!$A$2:$A$846,0)),""))</f>
        <v>2000</v>
      </c>
      <c r="U708">
        <f>IF(connections!$A708="","",IFERROR(INDEX(games!$B$2:$B$846,MATCH(connections!$B708,games!$A$2:$A$846,0)),""))</f>
        <v>2008</v>
      </c>
      <c r="V708">
        <f t="shared" si="143"/>
        <v>8</v>
      </c>
    </row>
    <row r="709" spans="1:22" x14ac:dyDescent="0.25">
      <c r="A709" t="str">
        <f>IF(games!$A709="","",games!$A709)</f>
        <v>Tales of Maj'Eyal</v>
      </c>
      <c r="B709">
        <f>IF($A709="","",games!$B709)</f>
        <v>1998</v>
      </c>
      <c r="C709" t="str">
        <f>IF($A709="","",games!$C709)</f>
        <v>Traditional</v>
      </c>
      <c r="D709">
        <f>IF($A709="","",COUNTIF(connections!$A$2:$A$1205,$A709)+COUNTIF(connections!$B$2:$B$1205,$A709))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IF(connections!$A709="","",IFERROR(INDEX(games!$B$2:$B$846,MATCH(connections!$A709,games!$A$2:$A$846,0)),""))</f>
        <v>2000</v>
      </c>
      <c r="U709">
        <f>IF(connections!$A709="","",IFERROR(INDEX(games!$B$2:$B$846,MATCH(connections!$B709,games!$A$2:$A$846,0)),""))</f>
        <v>2002</v>
      </c>
      <c r="V709">
        <f t="shared" si="143"/>
        <v>2</v>
      </c>
    </row>
    <row r="710" spans="1:22" x14ac:dyDescent="0.25">
      <c r="A710" t="str">
        <f>IF(games!$A710="","",games!$A710)</f>
        <v>Talespinner</v>
      </c>
      <c r="B710">
        <f>IF($A710="","",games!$B710)</f>
        <v>2026</v>
      </c>
      <c r="C710" t="str">
        <f>IF($A710="","",games!$C710)</f>
        <v>Deckbuilder</v>
      </c>
      <c r="D710">
        <f>IF($A710="","",COUNTIF(connections!$A$2:$A$1205,$A710)+COUNTIF(connections!$B$2:$B$1205,$A710))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IF(connections!$A710="","",IFERROR(INDEX(games!$B$2:$B$846,MATCH(connections!$A710,games!$A$2:$A$846,0)),""))</f>
        <v>2010</v>
      </c>
      <c r="U710">
        <f>IF(connections!$A710="","",IFERROR(INDEX(games!$B$2:$B$846,MATCH(connections!$B710,games!$A$2:$A$846,0)),""))</f>
        <v>2010</v>
      </c>
      <c r="V710">
        <f t="shared" si="143"/>
        <v>0</v>
      </c>
    </row>
    <row r="711" spans="1:22" x14ac:dyDescent="0.25">
      <c r="A711" t="str">
        <f>IF(games!$A711="","",games!$A711)</f>
        <v>Tangledeep</v>
      </c>
      <c r="B711">
        <f>IF($A711="","",games!$B711)</f>
        <v>2017</v>
      </c>
      <c r="C711" t="str">
        <f>IF($A711="","",games!$C711)</f>
        <v>Traditional</v>
      </c>
      <c r="D711">
        <f>IF($A711="","",COUNTIF(connections!$A$2:$A$1205,$A711)+COUNTIF(connections!$B$2:$B$1205,$A711))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IF(connections!$A711="","",IFERROR(INDEX(games!$B$2:$B$846,MATCH(connections!$A711,games!$A$2:$A$846,0)),""))</f>
        <v>1996</v>
      </c>
      <c r="U711">
        <f>IF(connections!$A711="","",IFERROR(INDEX(games!$B$2:$B$846,MATCH(connections!$B711,games!$A$2:$A$846,0)),""))</f>
        <v>2001</v>
      </c>
      <c r="V711">
        <f t="shared" si="143"/>
        <v>5</v>
      </c>
    </row>
    <row r="712" spans="1:22" x14ac:dyDescent="0.25">
      <c r="A712" t="str">
        <f>IF(games!$A712="","",games!$A712)</f>
        <v>Tangy TD</v>
      </c>
      <c r="B712">
        <f>IF($A712="","",games!$B712)</f>
        <v>2026</v>
      </c>
      <c r="C712" t="str">
        <f>IF($A712="","",games!$C712)</f>
        <v>Strategy</v>
      </c>
      <c r="D712">
        <f>IF($A712="","",COUNTIF(connections!$A$2:$A$1205,$A712)+COUNTIF(connections!$B$2:$B$1205,$A712))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IF(connections!$A712="","",IFERROR(INDEX(games!$B$2:$B$846,MATCH(connections!$A712,games!$A$2:$A$846,0)),""))</f>
        <v>2010</v>
      </c>
      <c r="U712">
        <f>IF(connections!$A712="","",IFERROR(INDEX(games!$B$2:$B$846,MATCH(connections!$B712,games!$A$2:$A$846,0)),""))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IF($A713="","",COUNTIF(connections!$A$2:$A$1205,$A713)+COUNTIF(connections!$B$2:$B$1205,$A713))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IF(connections!$A713="","",IFERROR(INDEX(games!$B$2:$B$846,MATCH(connections!$A713,games!$A$2:$A$846,0)),""))</f>
        <v>2023</v>
      </c>
      <c r="U713">
        <f>IF(connections!$A713="","",IFERROR(INDEX(games!$B$2:$B$846,MATCH(connections!$B713,games!$A$2:$A$846,0)),""))</f>
        <v>2025</v>
      </c>
      <c r="V713">
        <f t="shared" si="143"/>
        <v>2</v>
      </c>
    </row>
    <row r="714" spans="1:22" x14ac:dyDescent="0.25">
      <c r="A714" t="str">
        <f>IF(games!$A714="","",games!$A714)</f>
        <v>Tape to Tape</v>
      </c>
      <c r="B714">
        <f>IF($A714="","",games!$B714)</f>
        <v>2023</v>
      </c>
      <c r="C714" t="str">
        <f>IF($A714="","",games!$C714)</f>
        <v>Action</v>
      </c>
      <c r="D714">
        <f>IF($A714="","",COUNTIF(connections!$A$2:$A$1205,$A714)+COUNTIF(connections!$B$2:$B$1205,$A714))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IF(connections!$A714="","",IFERROR(INDEX(games!$B$2:$B$846,MATCH(connections!$A714,games!$A$2:$A$846,0)),""))</f>
        <v>2010</v>
      </c>
      <c r="U714">
        <f>IF(connections!$A714="","",IFERROR(INDEX(games!$B$2:$B$846,MATCH(connections!$B714,games!$A$2:$A$846,0)),""))</f>
        <v>2015</v>
      </c>
      <c r="V714">
        <f t="shared" si="143"/>
        <v>5</v>
      </c>
    </row>
    <row r="715" spans="1:22" x14ac:dyDescent="0.25">
      <c r="A715" t="str">
        <f>IF(games!$A715="","",games!$A715)</f>
        <v>Teamfight Tactics</v>
      </c>
      <c r="B715">
        <f>IF($A715="","",games!$B715)</f>
        <v>2019</v>
      </c>
      <c r="C715" t="str">
        <f>IF($A715="","",games!$C715)</f>
        <v>Strategy</v>
      </c>
      <c r="D715">
        <f>IF($A715="","",COUNTIF(connections!$A$2:$A$1205,$A715)+COUNTIF(connections!$B$2:$B$1205,$A715))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IF(connections!$A715="","",IFERROR(INDEX(games!$B$2:$B$846,MATCH(connections!$A715,games!$A$2:$A$846,0)),""))</f>
        <v>2022</v>
      </c>
      <c r="U715">
        <f>IF(connections!$A715="","",IFERROR(INDEX(games!$B$2:$B$846,MATCH(connections!$B715,games!$A$2:$A$846,0)),""))</f>
        <v>2024</v>
      </c>
      <c r="V715">
        <f t="shared" si="143"/>
        <v>2</v>
      </c>
    </row>
    <row r="716" spans="1:22" x14ac:dyDescent="0.25">
      <c r="A716" t="str">
        <f>IF(games!$A716="","",games!$A716)</f>
        <v>Tears of Metal</v>
      </c>
      <c r="B716">
        <f>IF($A716="","",games!$B716)</f>
        <v>2026</v>
      </c>
      <c r="C716" t="str">
        <f>IF($A716="","",games!$C716)</f>
        <v>Action</v>
      </c>
      <c r="D716">
        <f>IF($A716="","",COUNTIF(connections!$A$2:$A$1205,$A716)+COUNTIF(connections!$B$2:$B$1205,$A716))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IF(connections!$A716="","",IFERROR(INDEX(games!$B$2:$B$846,MATCH(connections!$A716,games!$A$2:$A$846,0)),""))</f>
        <v>2022</v>
      </c>
      <c r="U716">
        <f>IF(connections!$A716="","",IFERROR(INDEX(games!$B$2:$B$846,MATCH(connections!$B716,games!$A$2:$A$846,0)),""))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IF($A717="","",COUNTIF(connections!$A$2:$A$1205,$A717)+COUNTIF(connections!$B$2:$B$1205,$A717))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IF(connections!$A717="","",IFERROR(INDEX(games!$B$2:$B$846,MATCH(connections!$A717,games!$A$2:$A$846,0)),""))</f>
        <v>2022</v>
      </c>
      <c r="U717">
        <f>IF(connections!$A717="","",IFERROR(INDEX(games!$B$2:$B$846,MATCH(connections!$B717,games!$A$2:$A$846,0)),""))</f>
        <v>2023</v>
      </c>
      <c r="V717">
        <f t="shared" si="143"/>
        <v>1</v>
      </c>
    </row>
    <row r="718" spans="1:22" x14ac:dyDescent="0.25">
      <c r="A718" t="str">
        <f>IF(games!$A718="","",games!$A718)</f>
        <v>Temtem: Swarm</v>
      </c>
      <c r="B718">
        <f>IF($A718="","",games!$B718)</f>
        <v>2024</v>
      </c>
      <c r="C718" t="str">
        <f>IF($A718="","",games!$C718)</f>
        <v>Action</v>
      </c>
      <c r="D718">
        <f>IF($A718="","",COUNTIF(connections!$A$2:$A$1205,$A718)+COUNTIF(connections!$B$2:$B$1205,$A718))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IF(connections!$A718="","",IFERROR(INDEX(games!$B$2:$B$846,MATCH(connections!$A718,games!$A$2:$A$846,0)),""))</f>
        <v>2020</v>
      </c>
      <c r="U718">
        <f>IF(connections!$A718="","",IFERROR(INDEX(games!$B$2:$B$846,MATCH(connections!$B718,games!$A$2:$A$846,0)),""))</f>
        <v>2024</v>
      </c>
      <c r="V718">
        <f t="shared" si="143"/>
        <v>4</v>
      </c>
    </row>
    <row r="719" spans="1:22" x14ac:dyDescent="0.25">
      <c r="A719" t="str">
        <f>IF(games!$A719="","",games!$A719)</f>
        <v>Terraformers</v>
      </c>
      <c r="B719">
        <f>IF($A719="","",games!$B719)</f>
        <v>2022</v>
      </c>
      <c r="C719" t="str">
        <f>IF($A719="","",games!$C719)</f>
        <v>Strategy</v>
      </c>
      <c r="D719">
        <f>IF($A719="","",COUNTIF(connections!$A$2:$A$1205,$A719)+COUNTIF(connections!$B$2:$B$1205,$A719))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IF(connections!$A719="","",IFERROR(INDEX(games!$B$2:$B$846,MATCH(connections!$A719,games!$A$2:$A$846,0)),""))</f>
        <v>2006</v>
      </c>
      <c r="U719">
        <f>IF(connections!$A719="","",IFERROR(INDEX(games!$B$2:$B$846,MATCH(connections!$B719,games!$A$2:$A$846,0)),""))</f>
        <v>2022</v>
      </c>
      <c r="V719">
        <f t="shared" si="143"/>
        <v>16</v>
      </c>
    </row>
    <row r="720" spans="1:22" x14ac:dyDescent="0.25">
      <c r="A720" t="str">
        <f>IF(games!$A720="","",games!$A720)</f>
        <v>TerraTech Legion</v>
      </c>
      <c r="B720">
        <f>IF($A720="","",games!$B720)</f>
        <v>2026</v>
      </c>
      <c r="C720" t="str">
        <f>IF($A720="","",games!$C720)</f>
        <v>Action</v>
      </c>
      <c r="D720">
        <f>IF($A720="","",COUNTIF(connections!$A$2:$A$1205,$A720)+COUNTIF(connections!$B$2:$B$1205,$A720))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IF(connections!$A720="","",IFERROR(INDEX(games!$B$2:$B$846,MATCH(connections!$A720,games!$A$2:$A$846,0)),""))</f>
        <v>2017</v>
      </c>
      <c r="U720">
        <f>IF(connections!$A720="","",IFERROR(INDEX(games!$B$2:$B$846,MATCH(connections!$B720,games!$A$2:$A$846,0)),""))</f>
        <v>2024</v>
      </c>
      <c r="V720">
        <f t="shared" si="143"/>
        <v>7</v>
      </c>
    </row>
    <row r="721" spans="1:22" x14ac:dyDescent="0.25">
      <c r="A721" t="str">
        <f>IF(games!$A721="","",games!$A721)</f>
        <v>TerRoguelike</v>
      </c>
      <c r="B721">
        <f>IF($A721="","",games!$B721)</f>
        <v>2024</v>
      </c>
      <c r="C721" t="str">
        <f>IF($A721="","",games!$C721)</f>
        <v>Action</v>
      </c>
      <c r="D721">
        <f>IF($A721="","",COUNTIF(connections!$A$2:$A$1205,$A721)+COUNTIF(connections!$B$2:$B$1205,$A721))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IF(connections!$A721="","",IFERROR(INDEX(games!$B$2:$B$846,MATCH(connections!$A721,games!$A$2:$A$846,0)),""))</f>
        <v>2017</v>
      </c>
      <c r="U721">
        <f>IF(connections!$A721="","",IFERROR(INDEX(games!$B$2:$B$846,MATCH(connections!$B721,games!$A$2:$A$846,0)),""))</f>
        <v>2025</v>
      </c>
      <c r="V721">
        <f t="shared" si="143"/>
        <v>8</v>
      </c>
    </row>
    <row r="722" spans="1:22" x14ac:dyDescent="0.25">
      <c r="A722" t="str">
        <f>IF(games!$A722="","",games!$A722)</f>
        <v>The Bazaar</v>
      </c>
      <c r="B722">
        <f>IF($A722="","",games!$B722)</f>
        <v>2025</v>
      </c>
      <c r="C722" t="str">
        <f>IF($A722="","",games!$C722)</f>
        <v>Strategy</v>
      </c>
      <c r="D722">
        <f>IF($A722="","",COUNTIF(connections!$A$2:$A$1205,$A722)+COUNTIF(connections!$B$2:$B$1205,$A722))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IF(connections!$A722="","",IFERROR(INDEX(games!$B$2:$B$846,MATCH(connections!$A722,games!$A$2:$A$846,0)),""))</f>
        <v>2017</v>
      </c>
      <c r="U722">
        <f>IF(connections!$A722="","",IFERROR(INDEX(games!$B$2:$B$846,MATCH(connections!$B722,games!$A$2:$A$846,0)),""))</f>
        <v>2023</v>
      </c>
      <c r="V722">
        <f t="shared" si="143"/>
        <v>6</v>
      </c>
    </row>
    <row r="723" spans="1:22" x14ac:dyDescent="0.25">
      <c r="A723" t="str">
        <f>IF(games!$A723="","",games!$A723)</f>
        <v>The Binding of Isaac</v>
      </c>
      <c r="B723">
        <f>IF($A723="","",games!$B723)</f>
        <v>2011</v>
      </c>
      <c r="C723" t="str">
        <f>IF($A723="","",games!$C723)</f>
        <v>Action</v>
      </c>
      <c r="D723">
        <f>IF($A723="","",COUNTIF(connections!$A$2:$A$1205,$A723)+COUNTIF(connections!$B$2:$B$1205,$A723))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IF(connections!$A723="","",IFERROR(INDEX(games!$B$2:$B$846,MATCH(connections!$A723,games!$A$2:$A$846,0)),""))</f>
        <v>2017</v>
      </c>
      <c r="U723">
        <f>IF(connections!$A723="","",IFERROR(INDEX(games!$B$2:$B$846,MATCH(connections!$B723,games!$A$2:$A$846,0)),""))</f>
        <v>2021</v>
      </c>
      <c r="V723">
        <f t="shared" si="143"/>
        <v>4</v>
      </c>
    </row>
    <row r="724" spans="1:22" x14ac:dyDescent="0.25">
      <c r="A724" t="str">
        <f>IF(games!$A724="","",games!$A724)</f>
        <v>The Binding of Isaac: Rebirth</v>
      </c>
      <c r="B724">
        <f>IF($A724="","",games!$B724)</f>
        <v>2014</v>
      </c>
      <c r="C724" t="str">
        <f>IF($A724="","",games!$C724)</f>
        <v>Action</v>
      </c>
      <c r="D724">
        <f>IF($A724="","",COUNTIF(connections!$A$2:$A$1205,$A724)+COUNTIF(connections!$B$2:$B$1205,$A724))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IF(connections!$A724="","",IFERROR(INDEX(games!$B$2:$B$846,MATCH(connections!$A724,games!$A$2:$A$846,0)),""))</f>
        <v>2017</v>
      </c>
      <c r="U724">
        <f>IF(connections!$A724="","",IFERROR(INDEX(games!$B$2:$B$846,MATCH(connections!$B724,games!$A$2:$A$846,0)),""))</f>
        <v>2022</v>
      </c>
      <c r="V724">
        <f t="shared" si="143"/>
        <v>5</v>
      </c>
    </row>
    <row r="725" spans="1:22" x14ac:dyDescent="0.25">
      <c r="A725" t="str">
        <f>IF(games!$A725="","",games!$A725)</f>
        <v>The Doors of Trithius</v>
      </c>
      <c r="B725">
        <f>IF($A725="","",games!$B725)</f>
        <v>2021</v>
      </c>
      <c r="C725" t="str">
        <f>IF($A725="","",games!$C725)</f>
        <v>Traditional</v>
      </c>
      <c r="D725">
        <f>IF($A725="","",COUNTIF(connections!$A$2:$A$1205,$A725)+COUNTIF(connections!$B$2:$B$1205,$A725))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IF(connections!$A725="","",IFERROR(INDEX(games!$B$2:$B$846,MATCH(connections!$A725,games!$A$2:$A$846,0)),""))</f>
        <v>2017</v>
      </c>
      <c r="U725">
        <f>IF(connections!$A725="","",IFERROR(INDEX(games!$B$2:$B$846,MATCH(connections!$B725,games!$A$2:$A$846,0)),""))</f>
        <v>2020</v>
      </c>
      <c r="V725">
        <f t="shared" si="143"/>
        <v>3</v>
      </c>
    </row>
    <row r="726" spans="1:22" x14ac:dyDescent="0.25">
      <c r="A726" t="str">
        <f>IF(games!$A726="","",games!$A726)</f>
        <v>The Fable: Manga Build Roguelike</v>
      </c>
      <c r="B726">
        <f>IF($A726="","",games!$B726)</f>
        <v>2025</v>
      </c>
      <c r="C726" t="str">
        <f>IF($A726="","",games!$C726)</f>
        <v>Deckbuilder</v>
      </c>
      <c r="D726">
        <f>IF($A726="","",COUNTIF(connections!$A$2:$A$1205,$A726)+COUNTIF(connections!$B$2:$B$1205,$A726))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IF(connections!$A726="","",IFERROR(INDEX(games!$B$2:$B$846,MATCH(connections!$A726,games!$A$2:$A$846,0)),""))</f>
        <v>2017</v>
      </c>
      <c r="U726">
        <f>IF(connections!$A726="","",IFERROR(INDEX(games!$B$2:$B$846,MATCH(connections!$B726,games!$A$2:$A$846,0)),""))</f>
        <v>2026</v>
      </c>
      <c r="V726">
        <f t="shared" si="143"/>
        <v>9</v>
      </c>
    </row>
    <row r="727" spans="1:22" x14ac:dyDescent="0.25">
      <c r="A727" t="str">
        <f>IF(games!$A727="","",games!$A727)</f>
        <v>The Flame in the Flood</v>
      </c>
      <c r="B727">
        <f>IF($A727="","",games!$B727)</f>
        <v>2016</v>
      </c>
      <c r="C727" t="str">
        <f>IF($A727="","",games!$C727)</f>
        <v>Action</v>
      </c>
      <c r="D727">
        <f>IF($A727="","",COUNTIF(connections!$A$2:$A$1205,$A727)+COUNTIF(connections!$B$2:$B$1205,$A727))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IF(connections!$A727="","",IFERROR(INDEX(games!$B$2:$B$846,MATCH(connections!$A727,games!$A$2:$A$846,0)),""))</f>
        <v>2017</v>
      </c>
      <c r="U727">
        <f>IF(connections!$A727="","",IFERROR(INDEX(games!$B$2:$B$846,MATCH(connections!$B727,games!$A$2:$A$846,0)),""))</f>
        <v>2025</v>
      </c>
      <c r="V727">
        <f t="shared" si="143"/>
        <v>8</v>
      </c>
    </row>
    <row r="728" spans="1:22" x14ac:dyDescent="0.25">
      <c r="A728" t="str">
        <f>IF(games!$A728="","",games!$A728)</f>
        <v>The Ground Gives Way</v>
      </c>
      <c r="B728">
        <f>IF($A728="","",games!$B728)</f>
        <v>2014</v>
      </c>
      <c r="C728" t="str">
        <f>IF($A728="","",games!$C728)</f>
        <v>Traditional</v>
      </c>
      <c r="D728">
        <f>IF($A728="","",COUNTIF(connections!$A$2:$A$1205,$A728)+COUNTIF(connections!$B$2:$B$1205,$A728))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IF(connections!$A728="","",IFERROR(INDEX(games!$B$2:$B$846,MATCH(connections!$A728,games!$A$2:$A$846,0)),""))</f>
        <v>2017</v>
      </c>
      <c r="U728">
        <f>IF(connections!$A728="","",IFERROR(INDEX(games!$B$2:$B$846,MATCH(connections!$B728,games!$A$2:$A$846,0)),""))</f>
        <v>2025</v>
      </c>
      <c r="V728">
        <f t="shared" si="143"/>
        <v>8</v>
      </c>
    </row>
    <row r="729" spans="1:22" x14ac:dyDescent="0.25">
      <c r="A729" t="str">
        <f>IF(games!$A729="","",games!$A729)</f>
        <v>The Guided Fate Paradox</v>
      </c>
      <c r="B729">
        <f>IF($A729="","",games!$B729)</f>
        <v>2013</v>
      </c>
      <c r="C729" t="str">
        <f>IF($A729="","",games!$C729)</f>
        <v>Traditional</v>
      </c>
      <c r="D729">
        <f>IF($A729="","",COUNTIF(connections!$A$2:$A$1205,$A729)+COUNTIF(connections!$B$2:$B$1205,$A729))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IF(connections!$A729="","",IFERROR(INDEX(games!$B$2:$B$846,MATCH(connections!$A729,games!$A$2:$A$846,0)),""))</f>
        <v>2017</v>
      </c>
      <c r="U729">
        <f>IF(connections!$A729="","",IFERROR(INDEX(games!$B$2:$B$846,MATCH(connections!$B729,games!$A$2:$A$846,0)),""))</f>
        <v>2022</v>
      </c>
      <c r="V729">
        <f t="shared" si="143"/>
        <v>5</v>
      </c>
    </row>
    <row r="730" spans="1:22" x14ac:dyDescent="0.25">
      <c r="A730" t="str">
        <f>IF(games!$A730="","",games!$A730)</f>
        <v>The King is Watching</v>
      </c>
      <c r="B730">
        <f>IF($A730="","",games!$B730)</f>
        <v>2025</v>
      </c>
      <c r="C730" t="str">
        <f>IF($A730="","",games!$C730)</f>
        <v>Strategy</v>
      </c>
      <c r="D730">
        <f>IF($A730="","",COUNTIF(connections!$A$2:$A$1205,$A730)+COUNTIF(connections!$B$2:$B$1205,$A730))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IF(connections!$A730="","",IFERROR(INDEX(games!$B$2:$B$846,MATCH(connections!$A730,games!$A$2:$A$846,0)),""))</f>
        <v>2017</v>
      </c>
      <c r="U730">
        <f>IF(connections!$A730="","",IFERROR(INDEX(games!$B$2:$B$846,MATCH(connections!$B730,games!$A$2:$A$846,0)),""))</f>
        <v>2023</v>
      </c>
      <c r="V730">
        <f t="shared" si="143"/>
        <v>6</v>
      </c>
    </row>
    <row r="731" spans="1:22" x14ac:dyDescent="0.25">
      <c r="A731" t="str">
        <f>IF(games!$A731="","",games!$A731)</f>
        <v>The Last Flame</v>
      </c>
      <c r="B731">
        <f>IF($A731="","",games!$B731)</f>
        <v>2024</v>
      </c>
      <c r="C731" t="str">
        <f>IF($A731="","",games!$C731)</f>
        <v>Strategy</v>
      </c>
      <c r="D731">
        <f>IF($A731="","",COUNTIF(connections!$A$2:$A$1205,$A731)+COUNTIF(connections!$B$2:$B$1205,$A731))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IF(connections!$A731="","",IFERROR(INDEX(games!$B$2:$B$846,MATCH(connections!$A731,games!$A$2:$A$846,0)),""))</f>
        <v>2017</v>
      </c>
      <c r="U731">
        <f>IF(connections!$A731="","",IFERROR(INDEX(games!$B$2:$B$846,MATCH(connections!$B731,games!$A$2:$A$846,0)),""))</f>
        <v>2020</v>
      </c>
      <c r="V731">
        <f t="shared" si="143"/>
        <v>3</v>
      </c>
    </row>
    <row r="732" spans="1:22" x14ac:dyDescent="0.25">
      <c r="A732" t="str">
        <f>IF(games!$A732="","",games!$A732)</f>
        <v>The Last Game</v>
      </c>
      <c r="B732">
        <f>IF($A732="","",games!$B732)</f>
        <v>2023</v>
      </c>
      <c r="C732" t="str">
        <f>IF($A732="","",games!$C732)</f>
        <v>Action</v>
      </c>
      <c r="D732">
        <f>IF($A732="","",COUNTIF(connections!$A$2:$A$1205,$A732)+COUNTIF(connections!$B$2:$B$1205,$A732))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IF(connections!$A732="","",IFERROR(INDEX(games!$B$2:$B$846,MATCH(connections!$A732,games!$A$2:$A$846,0)),""))</f>
        <v>2017</v>
      </c>
      <c r="U732">
        <f>IF(connections!$A732="","",IFERROR(INDEX(games!$B$2:$B$846,MATCH(connections!$B732,games!$A$2:$A$846,0)),""))</f>
        <v>2022</v>
      </c>
      <c r="V732">
        <f t="shared" si="143"/>
        <v>5</v>
      </c>
    </row>
    <row r="733" spans="1:22" x14ac:dyDescent="0.25">
      <c r="A733" t="str">
        <f>IF(games!$A733="","",games!$A733)</f>
        <v>The Last Spell</v>
      </c>
      <c r="B733">
        <f>IF($A733="","",games!$B733)</f>
        <v>2021</v>
      </c>
      <c r="C733" t="str">
        <f>IF($A733="","",games!$C733)</f>
        <v>Strategy</v>
      </c>
      <c r="D733">
        <f>IF($A733="","",COUNTIF(connections!$A$2:$A$1205,$A733)+COUNTIF(connections!$B$2:$B$1205,$A733))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IF(connections!$A733="","",IFERROR(INDEX(games!$B$2:$B$846,MATCH(connections!$A733,games!$A$2:$A$846,0)),""))</f>
        <v>2017</v>
      </c>
      <c r="U733">
        <f>IF(connections!$A733="","",IFERROR(INDEX(games!$B$2:$B$846,MATCH(connections!$B733,games!$A$2:$A$846,0)),""))</f>
        <v>2020</v>
      </c>
      <c r="V733">
        <f t="shared" si="143"/>
        <v>3</v>
      </c>
    </row>
    <row r="734" spans="1:22" x14ac:dyDescent="0.25">
      <c r="A734" t="str">
        <f>IF(games!$A734="","",games!$A734)</f>
        <v>The Legend of Bum-Bo</v>
      </c>
      <c r="B734">
        <f>IF($A734="","",games!$B734)</f>
        <v>2019</v>
      </c>
      <c r="C734" t="str">
        <f>IF($A734="","",games!$C734)</f>
        <v>Strategy</v>
      </c>
      <c r="D734">
        <f>IF($A734="","",COUNTIF(connections!$A$2:$A$1205,$A734)+COUNTIF(connections!$B$2:$B$1205,$A734))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IF(connections!$A734="","",IFERROR(INDEX(games!$B$2:$B$846,MATCH(connections!$A734,games!$A$2:$A$846,0)),""))</f>
        <v>2017</v>
      </c>
      <c r="U734">
        <f>IF(connections!$A734="","",IFERROR(INDEX(games!$B$2:$B$846,MATCH(connections!$B734,games!$A$2:$A$846,0)),""))</f>
        <v>2024</v>
      </c>
      <c r="V734">
        <f t="shared" si="143"/>
        <v>7</v>
      </c>
    </row>
    <row r="735" spans="1:22" x14ac:dyDescent="0.25">
      <c r="A735" t="str">
        <f>IF(games!$A735="","",games!$A735)</f>
        <v>The Nightmare of Druaga</v>
      </c>
      <c r="B735">
        <f>IF($A735="","",games!$B735)</f>
        <v>2004</v>
      </c>
      <c r="C735" t="str">
        <f>IF($A735="","",games!$C735)</f>
        <v>Traditional</v>
      </c>
      <c r="D735">
        <f>IF($A735="","",COUNTIF(connections!$A$2:$A$1205,$A735)+COUNTIF(connections!$B$2:$B$1205,$A735))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IF(connections!$A735="","",IFERROR(INDEX(games!$B$2:$B$846,MATCH(connections!$A735,games!$A$2:$A$846,0)),""))</f>
        <v>2017</v>
      </c>
      <c r="U735">
        <f>IF(connections!$A735="","",IFERROR(INDEX(games!$B$2:$B$846,MATCH(connections!$B735,games!$A$2:$A$846,0)),""))</f>
        <v>2022</v>
      </c>
      <c r="V735">
        <f t="shared" si="143"/>
        <v>5</v>
      </c>
    </row>
    <row r="736" spans="1:22" x14ac:dyDescent="0.25">
      <c r="A736" t="str">
        <f>IF(games!$A736="","",games!$A736)</f>
        <v>The Ouroboros King</v>
      </c>
      <c r="B736">
        <f>IF($A736="","",games!$B736)</f>
        <v>2023</v>
      </c>
      <c r="C736" t="str">
        <f>IF($A736="","",games!$C736)</f>
        <v>Strategy</v>
      </c>
      <c r="D736">
        <f>IF($A736="","",COUNTIF(connections!$A$2:$A$1205,$A736)+COUNTIF(connections!$B$2:$B$1205,$A736))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IF(connections!$A736="","",IFERROR(INDEX(games!$B$2:$B$846,MATCH(connections!$A736,games!$A$2:$A$846,0)),""))</f>
        <v>2017</v>
      </c>
      <c r="U736">
        <f>IF(connections!$A736="","",IFERROR(INDEX(games!$B$2:$B$846,MATCH(connections!$B736,games!$A$2:$A$846,0)),""))</f>
        <v>2026</v>
      </c>
      <c r="V736">
        <f t="shared" si="143"/>
        <v>9</v>
      </c>
    </row>
    <row r="737" spans="1:22" x14ac:dyDescent="0.25">
      <c r="A737" t="str">
        <f>IF(games!$A737="","",games!$A737)</f>
        <v>The Rogue Prince of Persia</v>
      </c>
      <c r="B737">
        <f>IF($A737="","",games!$B737)</f>
        <v>2024</v>
      </c>
      <c r="C737" t="str">
        <f>IF($A737="","",games!$C737)</f>
        <v>Action</v>
      </c>
      <c r="D737">
        <f>IF($A737="","",COUNTIF(connections!$A$2:$A$1205,$A737)+COUNTIF(connections!$B$2:$B$1205,$A737))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IF(connections!$A737="","",IFERROR(INDEX(games!$B$2:$B$846,MATCH(connections!$A737,games!$A$2:$A$846,0)),""))</f>
        <v>2017</v>
      </c>
      <c r="U737">
        <f>IF(connections!$A737="","",IFERROR(INDEX(games!$B$2:$B$846,MATCH(connections!$B737,games!$A$2:$A$846,0)),""))</f>
        <v>2022</v>
      </c>
      <c r="V737">
        <f t="shared" si="143"/>
        <v>5</v>
      </c>
    </row>
    <row r="738" spans="1:22" x14ac:dyDescent="0.25">
      <c r="A738" t="str">
        <f>IF(games!$A738="","",games!$A738)</f>
        <v>The Royal Writ</v>
      </c>
      <c r="B738">
        <f>IF($A738="","",games!$B738)</f>
        <v>2025</v>
      </c>
      <c r="C738" t="str">
        <f>IF($A738="","",games!$C738)</f>
        <v>Deckbuilder</v>
      </c>
      <c r="D738">
        <f>IF($A738="","",COUNTIF(connections!$A$2:$A$1205,$A738)+COUNTIF(connections!$B$2:$B$1205,$A738))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IF(connections!$A738="","",IFERROR(INDEX(games!$B$2:$B$846,MATCH(connections!$A738,games!$A$2:$A$846,0)),""))</f>
        <v>2017</v>
      </c>
      <c r="U738">
        <f>IF(connections!$A738="","",IFERROR(INDEX(games!$B$2:$B$846,MATCH(connections!$B738,games!$A$2:$A$846,0)),""))</f>
        <v>2023</v>
      </c>
      <c r="V738">
        <f t="shared" si="143"/>
        <v>6</v>
      </c>
    </row>
    <row r="739" spans="1:22" x14ac:dyDescent="0.25">
      <c r="A739" t="str">
        <f>IF(games!$A739="","",games!$A739)</f>
        <v>The Spell Brigade</v>
      </c>
      <c r="B739">
        <f>IF($A739="","",games!$B739)</f>
        <v>2024</v>
      </c>
      <c r="C739" t="str">
        <f>IF($A739="","",games!$C739)</f>
        <v>Action</v>
      </c>
      <c r="D739">
        <f>IF($A739="","",COUNTIF(connections!$A$2:$A$1205,$A739)+COUNTIF(connections!$B$2:$B$1205,$A739))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IF(connections!$A739="","",IFERROR(INDEX(games!$B$2:$B$846,MATCH(connections!$A739,games!$A$2:$A$846,0)),""))</f>
        <v>2017</v>
      </c>
      <c r="U739">
        <f>IF(connections!$A739="","",IFERROR(INDEX(games!$B$2:$B$846,MATCH(connections!$B739,games!$A$2:$A$846,0)),""))</f>
        <v>2021</v>
      </c>
      <c r="V739">
        <f t="shared" si="143"/>
        <v>4</v>
      </c>
    </row>
    <row r="740" spans="1:22" x14ac:dyDescent="0.25">
      <c r="A740" t="str">
        <f>IF(games!$A740="","",games!$A740)</f>
        <v>The Spirit Lift</v>
      </c>
      <c r="B740">
        <f>IF($A740="","",games!$B740)</f>
        <v>2026</v>
      </c>
      <c r="C740" t="str">
        <f>IF($A740="","",games!$C740)</f>
        <v>Deckbuilder</v>
      </c>
      <c r="D740">
        <f>IF($A740="","",COUNTIF(connections!$A$2:$A$1205,$A740)+COUNTIF(connections!$B$2:$B$1205,$A740))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IF(connections!$A740="","",IFERROR(INDEX(games!$B$2:$B$846,MATCH(connections!$A740,games!$A$2:$A$846,0)),""))</f>
        <v>2017</v>
      </c>
      <c r="U740">
        <f>IF(connections!$A740="","",IFERROR(INDEX(games!$B$2:$B$846,MATCH(connections!$B740,games!$A$2:$A$846,0)),""))</f>
        <v>2024</v>
      </c>
      <c r="V740">
        <f t="shared" si="143"/>
        <v>7</v>
      </c>
    </row>
    <row r="741" spans="1:22" x14ac:dyDescent="0.25">
      <c r="A741" t="str">
        <f>IF(games!$A741="","",games!$A741)</f>
        <v>The Unliving</v>
      </c>
      <c r="B741">
        <f>IF($A741="","",games!$B741)</f>
        <v>2022</v>
      </c>
      <c r="C741" t="str">
        <f>IF($A741="","",games!$C741)</f>
        <v>Action</v>
      </c>
      <c r="D741">
        <f>IF($A741="","",COUNTIF(connections!$A$2:$A$1205,$A741)+COUNTIF(connections!$B$2:$B$1205,$A741))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IF(connections!$A741="","",IFERROR(INDEX(games!$B$2:$B$846,MATCH(connections!$A741,games!$A$2:$A$846,0)),""))</f>
        <v>2017</v>
      </c>
      <c r="U741">
        <f>IF(connections!$A741="","",IFERROR(INDEX(games!$B$2:$B$846,MATCH(connections!$B741,games!$A$2:$A$846,0)),""))</f>
        <v>2026</v>
      </c>
      <c r="V741">
        <f t="shared" si="143"/>
        <v>9</v>
      </c>
    </row>
    <row r="742" spans="1:22" x14ac:dyDescent="0.25">
      <c r="A742" t="str">
        <f>IF(games!$A742="","",games!$A742)</f>
        <v>The Void Rains Upon Her Heart</v>
      </c>
      <c r="B742">
        <f>IF($A742="","",games!$B742)</f>
        <v>2018</v>
      </c>
      <c r="C742" t="str">
        <f>IF($A742="","",games!$C742)</f>
        <v>Action</v>
      </c>
      <c r="D742">
        <f>IF($A742="","",COUNTIF(connections!$A$2:$A$1205,$A742)+COUNTIF(connections!$B$2:$B$1205,$A742))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IF(connections!$A742="","",IFERROR(INDEX(games!$B$2:$B$846,MATCH(connections!$A742,games!$A$2:$A$846,0)),""))</f>
        <v>2017</v>
      </c>
      <c r="U742">
        <f>IF(connections!$A742="","",IFERROR(INDEX(games!$B$2:$B$846,MATCH(connections!$B742,games!$A$2:$A$846,0)),""))</f>
        <v>2025</v>
      </c>
      <c r="V742">
        <f t="shared" si="143"/>
        <v>8</v>
      </c>
    </row>
    <row r="743" spans="1:22" x14ac:dyDescent="0.25">
      <c r="A743" t="str">
        <f>IF(games!$A743="","",games!$A743)</f>
        <v>The World is Your Weapon</v>
      </c>
      <c r="B743">
        <f>IF($A743="","",games!$B743)</f>
        <v>2014</v>
      </c>
      <c r="C743" t="str">
        <f>IF($A743="","",games!$C743)</f>
        <v>Traditional</v>
      </c>
      <c r="D743">
        <f>IF($A743="","",COUNTIF(connections!$A$2:$A$1205,$A743)+COUNTIF(connections!$B$2:$B$1205,$A743))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IF(connections!$A743="","",IFERROR(INDEX(games!$B$2:$B$846,MATCH(connections!$A743,games!$A$2:$A$846,0)),""))</f>
        <v>2017</v>
      </c>
      <c r="U743">
        <f>IF(connections!$A743="","",IFERROR(INDEX(games!$B$2:$B$846,MATCH(connections!$B743,games!$A$2:$A$846,0)),""))</f>
        <v>2022</v>
      </c>
      <c r="V743">
        <f t="shared" si="143"/>
        <v>5</v>
      </c>
    </row>
    <row r="744" spans="1:22" x14ac:dyDescent="0.25">
      <c r="A744" t="str">
        <f>IF(games!$A744="","",games!$A744)</f>
        <v>There Are No Orcs</v>
      </c>
      <c r="B744">
        <f>IF($A744="","",games!$B744)</f>
        <v>2025</v>
      </c>
      <c r="C744" t="str">
        <f>IF($A744="","",games!$C744)</f>
        <v>Strategy</v>
      </c>
      <c r="D744">
        <f>IF($A744="","",COUNTIF(connections!$A$2:$A$1205,$A744)+COUNTIF(connections!$B$2:$B$1205,$A744))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IF(connections!$A744="","",IFERROR(INDEX(games!$B$2:$B$846,MATCH(connections!$A744,games!$A$2:$A$846,0)),""))</f>
        <v>2017</v>
      </c>
      <c r="U744">
        <f>IF(connections!$A744="","",IFERROR(INDEX(games!$B$2:$B$846,MATCH(connections!$B744,games!$A$2:$A$846,0)),""))</f>
        <v>2019</v>
      </c>
      <c r="V744">
        <f t="shared" si="143"/>
        <v>2</v>
      </c>
    </row>
    <row r="745" spans="1:22" x14ac:dyDescent="0.25">
      <c r="A745" t="str">
        <f>IF(games!$A745="","",games!$A745)</f>
        <v>Tic Tactic</v>
      </c>
      <c r="B745">
        <f>IF($A745="","",games!$B745)</f>
        <v>2025</v>
      </c>
      <c r="C745" t="str">
        <f>IF($A745="","",games!$C745)</f>
        <v>Deckbuilder</v>
      </c>
      <c r="D745">
        <f>IF($A745="","",COUNTIF(connections!$A$2:$A$1205,$A745)+COUNTIF(connections!$B$2:$B$1205,$A745))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IF(connections!$A745="","",IFERROR(INDEX(games!$B$2:$B$846,MATCH(connections!$A745,games!$A$2:$A$846,0)),""))</f>
        <v>2017</v>
      </c>
      <c r="U745">
        <f>IF(connections!$A745="","",IFERROR(INDEX(games!$B$2:$B$846,MATCH(connections!$B745,games!$A$2:$A$846,0)),""))</f>
        <v>2024</v>
      </c>
      <c r="V745">
        <f t="shared" si="143"/>
        <v>7</v>
      </c>
    </row>
    <row r="746" spans="1:22" x14ac:dyDescent="0.25">
      <c r="A746" t="str">
        <f>IF(games!$A746="","",games!$A746)</f>
        <v>Time Survivors</v>
      </c>
      <c r="B746">
        <f>IF($A746="","",games!$B746)</f>
        <v>2023</v>
      </c>
      <c r="C746" t="str">
        <f>IF($A746="","",games!$C746)</f>
        <v>Action</v>
      </c>
      <c r="D746">
        <f>IF($A746="","",COUNTIF(connections!$A$2:$A$1205,$A746)+COUNTIF(connections!$B$2:$B$1205,$A746))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IF(connections!$A746="","",IFERROR(INDEX(games!$B$2:$B$846,MATCH(connections!$A746,games!$A$2:$A$846,0)),""))</f>
        <v>2017</v>
      </c>
      <c r="U746">
        <f>IF(connections!$A746="","",IFERROR(INDEX(games!$B$2:$B$846,MATCH(connections!$B746,games!$A$2:$A$846,0)),""))</f>
        <v>2023</v>
      </c>
      <c r="V746">
        <f t="shared" si="143"/>
        <v>6</v>
      </c>
    </row>
    <row r="747" spans="1:22" x14ac:dyDescent="0.25">
      <c r="A747" t="str">
        <f>IF(games!$A747="","",games!$A747)</f>
        <v>Time Wasters</v>
      </c>
      <c r="B747">
        <f>IF($A747="","",games!$B747)</f>
        <v>2023</v>
      </c>
      <c r="C747" t="str">
        <f>IF($A747="","",games!$C747)</f>
        <v>Action</v>
      </c>
      <c r="D747">
        <f>IF($A747="","",COUNTIF(connections!$A$2:$A$1205,$A747)+COUNTIF(connections!$B$2:$B$1205,$A747))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IF(connections!$A747="","",IFERROR(INDEX(games!$B$2:$B$846,MATCH(connections!$A747,games!$A$2:$A$846,0)),""))</f>
        <v>2017</v>
      </c>
      <c r="U747">
        <f>IF(connections!$A747="","",IFERROR(INDEX(games!$B$2:$B$846,MATCH(connections!$B747,games!$A$2:$A$846,0)),""))</f>
        <v>2025</v>
      </c>
      <c r="V747">
        <f t="shared" si="143"/>
        <v>8</v>
      </c>
    </row>
    <row r="748" spans="1:22" x14ac:dyDescent="0.25">
      <c r="A748" t="str">
        <f>IF(games!$A748="","",games!$A748)</f>
        <v>Tiny Auto Knights</v>
      </c>
      <c r="B748">
        <f>IF($A748="","",games!$B748)</f>
        <v>2025</v>
      </c>
      <c r="C748" t="str">
        <f>IF($A748="","",games!$C748)</f>
        <v>Deckbuilder</v>
      </c>
      <c r="D748">
        <f>IF($A748="","",COUNTIF(connections!$A$2:$A$1205,$A748)+COUNTIF(connections!$B$2:$B$1205,$A748))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IF(connections!$A748="","",IFERROR(INDEX(games!$B$2:$B$846,MATCH(connections!$A748,games!$A$2:$A$846,0)),""))</f>
        <v>2017</v>
      </c>
      <c r="U748">
        <f>IF(connections!$A748="","",IFERROR(INDEX(games!$B$2:$B$846,MATCH(connections!$B748,games!$A$2:$A$846,0)),""))</f>
        <v>2020</v>
      </c>
      <c r="V748">
        <f t="shared" si="143"/>
        <v>3</v>
      </c>
    </row>
    <row r="749" spans="1:22" x14ac:dyDescent="0.25">
      <c r="A749" t="str">
        <f>IF(games!$A749="","",games!$A749)</f>
        <v>Tiny Rogues</v>
      </c>
      <c r="B749">
        <f>IF($A749="","",games!$B749)</f>
        <v>2022</v>
      </c>
      <c r="C749" t="str">
        <f>IF($A749="","",games!$C749)</f>
        <v>Action</v>
      </c>
      <c r="D749">
        <f>IF($A749="","",COUNTIF(connections!$A$2:$A$1205,$A749)+COUNTIF(connections!$B$2:$B$1205,$A749))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IF(connections!$A749="","",IFERROR(INDEX(games!$B$2:$B$846,MATCH(connections!$A749,games!$A$2:$A$846,0)),""))</f>
        <v>2017</v>
      </c>
      <c r="U749">
        <f>IF(connections!$A749="","",IFERROR(INDEX(games!$B$2:$B$846,MATCH(connections!$B749,games!$A$2:$A$846,0)),""))</f>
        <v>2026</v>
      </c>
      <c r="V749">
        <f t="shared" si="143"/>
        <v>9</v>
      </c>
    </row>
    <row r="750" spans="1:22" x14ac:dyDescent="0.25">
      <c r="A750" t="str">
        <f>IF(games!$A750="","",games!$A750)</f>
        <v>Tinyfolks</v>
      </c>
      <c r="B750">
        <f>IF($A750="","",games!$B750)</f>
        <v>2022</v>
      </c>
      <c r="C750" t="str">
        <f>IF($A750="","",games!$C750)</f>
        <v>Strategy</v>
      </c>
      <c r="D750">
        <f>IF($A750="","",COUNTIF(connections!$A$2:$A$1205,$A750)+COUNTIF(connections!$B$2:$B$1205,$A750))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IF(connections!$A750="","",IFERROR(INDEX(games!$B$2:$B$846,MATCH(connections!$A750,games!$A$2:$A$846,0)),""))</f>
        <v>2017</v>
      </c>
      <c r="U750">
        <f>IF(connections!$A750="","",IFERROR(INDEX(games!$B$2:$B$846,MATCH(connections!$B750,games!$A$2:$A$846,0)),""))</f>
        <v>2025</v>
      </c>
      <c r="V750">
        <f t="shared" si="143"/>
        <v>8</v>
      </c>
    </row>
    <row r="751" spans="1:22" x14ac:dyDescent="0.25">
      <c r="A751" t="str">
        <f>IF(games!$A751="","",games!$A751)</f>
        <v>ToeJam &amp; Earl</v>
      </c>
      <c r="B751">
        <f>IF($A751="","",games!$B751)</f>
        <v>1991</v>
      </c>
      <c r="C751" t="str">
        <f>IF($A751="","",games!$C751)</f>
        <v>Action</v>
      </c>
      <c r="D751">
        <f>IF($A751="","",COUNTIF(connections!$A$2:$A$1205,$A751)+COUNTIF(connections!$B$2:$B$1205,$A751))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IF(connections!$A751="","",IFERROR(INDEX(games!$B$2:$B$846,MATCH(connections!$A751,games!$A$2:$A$846,0)),""))</f>
        <v>2017</v>
      </c>
      <c r="U751">
        <f>IF(connections!$A751="","",IFERROR(INDEX(games!$B$2:$B$846,MATCH(connections!$B751,games!$A$2:$A$846,0)),""))</f>
        <v>2026</v>
      </c>
      <c r="V751">
        <f t="shared" si="143"/>
        <v>9</v>
      </c>
    </row>
    <row r="752" spans="1:22" x14ac:dyDescent="0.25">
      <c r="A752" t="str">
        <f>IF(games!$A752="","",games!$A752)</f>
        <v>ToeJam &amp; Earl: Back in the Groove!</v>
      </c>
      <c r="B752">
        <f>IF($A752="","",games!$B752)</f>
        <v>2019</v>
      </c>
      <c r="C752" t="str">
        <f>IF($A752="","",games!$C752)</f>
        <v>Action</v>
      </c>
      <c r="D752">
        <f>IF($A752="","",COUNTIF(connections!$A$2:$A$1205,$A752)+COUNTIF(connections!$B$2:$B$1205,$A752))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IF(connections!$A752="","",IFERROR(INDEX(games!$B$2:$B$846,MATCH(connections!$A752,games!$A$2:$A$846,0)),""))</f>
        <v>2017</v>
      </c>
      <c r="U752">
        <f>IF(connections!$A752="","",IFERROR(INDEX(games!$B$2:$B$846,MATCH(connections!$B752,games!$A$2:$A$846,0)),""))</f>
        <v>2019</v>
      </c>
      <c r="V752">
        <f t="shared" si="143"/>
        <v>2</v>
      </c>
    </row>
    <row r="753" spans="1:22" x14ac:dyDescent="0.25">
      <c r="A753" t="str">
        <f>IF(games!$A753="","",games!$A753)</f>
        <v>TombStar</v>
      </c>
      <c r="B753">
        <f>IF($A753="","",games!$B753)</f>
        <v>2022</v>
      </c>
      <c r="C753" t="str">
        <f>IF($A753="","",games!$C753)</f>
        <v>Action</v>
      </c>
      <c r="D753">
        <f>IF($A753="","",COUNTIF(connections!$A$2:$A$1205,$A753)+COUNTIF(connections!$B$2:$B$1205,$A753))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IF(connections!$A753="","",IFERROR(INDEX(games!$B$2:$B$846,MATCH(connections!$A753,games!$A$2:$A$846,0)),""))</f>
        <v>2017</v>
      </c>
      <c r="U753">
        <f>IF(connections!$A753="","",IFERROR(INDEX(games!$B$2:$B$846,MATCH(connections!$B753,games!$A$2:$A$846,0)),""))</f>
        <v>2025</v>
      </c>
      <c r="V753">
        <f t="shared" si="143"/>
        <v>8</v>
      </c>
    </row>
    <row r="754" spans="1:22" x14ac:dyDescent="0.25">
      <c r="A754" t="str">
        <f>IF(games!$A754="","",games!$A754)</f>
        <v>Torneko: The Last Hope</v>
      </c>
      <c r="B754">
        <f>IF($A754="","",games!$B754)</f>
        <v>1999</v>
      </c>
      <c r="C754" t="str">
        <f>IF($A754="","",games!$C754)</f>
        <v>Traditional</v>
      </c>
      <c r="D754">
        <f>IF($A754="","",COUNTIF(connections!$A$2:$A$1205,$A754)+COUNTIF(connections!$B$2:$B$1205,$A754))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IF(connections!$A754="","",IFERROR(INDEX(games!$B$2:$B$846,MATCH(connections!$A754,games!$A$2:$A$846,0)),""))</f>
        <v>2017</v>
      </c>
      <c r="U754">
        <f>IF(connections!$A754="","",IFERROR(INDEX(games!$B$2:$B$846,MATCH(connections!$B754,games!$A$2:$A$846,0)),""))</f>
        <v>2025</v>
      </c>
      <c r="V754">
        <f t="shared" si="143"/>
        <v>8</v>
      </c>
    </row>
    <row r="755" spans="1:22" x14ac:dyDescent="0.25">
      <c r="A755" t="str">
        <f>IF(games!$A755="","",games!$A755)</f>
        <v>Torneko's Great Adventure 3</v>
      </c>
      <c r="B755">
        <f>IF($A755="","",games!$B755)</f>
        <v>2002</v>
      </c>
      <c r="C755" t="str">
        <f>IF($A755="","",games!$C755)</f>
        <v>Traditional</v>
      </c>
      <c r="D755">
        <f>IF($A755="","",COUNTIF(connections!$A$2:$A$1205,$A755)+COUNTIF(connections!$B$2:$B$1205,$A755))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IF(connections!$A755="","",IFERROR(INDEX(games!$B$2:$B$846,MATCH(connections!$A755,games!$A$2:$A$846,0)),""))</f>
        <v>2017</v>
      </c>
      <c r="U755">
        <f>IF(connections!$A755="","",IFERROR(INDEX(games!$B$2:$B$846,MATCH(connections!$B755,games!$A$2:$A$846,0)),""))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IF($A756="","",COUNTIF(connections!$A$2:$A$1205,$A756)+COUNTIF(connections!$B$2:$B$1205,$A756))</f>
        <v>26</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26.000755999999999</v>
      </c>
      <c r="T756">
        <f>IF(connections!$A756="","",IFERROR(INDEX(games!$B$2:$B$846,MATCH(connections!$A756,games!$A$2:$A$846,0)),""))</f>
        <v>2017</v>
      </c>
      <c r="U756">
        <f>IF(connections!$A756="","",IFERROR(INDEX(games!$B$2:$B$846,MATCH(connections!$B756,games!$A$2:$A$846,0)),""))</f>
        <v>2025</v>
      </c>
      <c r="V756">
        <f t="shared" si="143"/>
        <v>8</v>
      </c>
    </row>
    <row r="757" spans="1:22" x14ac:dyDescent="0.25">
      <c r="A757" t="str">
        <f>IF(games!$A757="","",games!$A757)</f>
        <v>Touhou Crawl</v>
      </c>
      <c r="B757">
        <f>IF($A757="","",games!$B757)</f>
        <v>2025</v>
      </c>
      <c r="C757" t="str">
        <f>IF($A757="","",games!$C757)</f>
        <v>Traditional</v>
      </c>
      <c r="D757">
        <f>IF($A757="","",COUNTIF(connections!$A$2:$A$1205,$A757)+COUNTIF(connections!$B$2:$B$1205,$A757))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IF(connections!$A757="","",IFERROR(INDEX(games!$B$2:$B$846,MATCH(connections!$A757,games!$A$2:$A$846,0)),""))</f>
        <v>2017</v>
      </c>
      <c r="U757">
        <f>IF(connections!$A757="","",IFERROR(INDEX(games!$B$2:$B$846,MATCH(connections!$B757,games!$A$2:$A$846,0)),""))</f>
        <v>2025</v>
      </c>
      <c r="V757">
        <f t="shared" si="143"/>
        <v>8</v>
      </c>
    </row>
    <row r="758" spans="1:22" x14ac:dyDescent="0.25">
      <c r="A758" t="str">
        <f>IF(games!$A758="","",games!$A758)</f>
        <v>Touhou Genso Wanderer: Foresight</v>
      </c>
      <c r="B758">
        <f>IF($A758="","",games!$B758)</f>
        <v>2024</v>
      </c>
      <c r="C758" t="str">
        <f>IF($A758="","",games!$C758)</f>
        <v>Traditional</v>
      </c>
      <c r="D758">
        <f>IF($A758="","",COUNTIF(connections!$A$2:$A$1205,$A758)+COUNTIF(connections!$B$2:$B$1205,$A758))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IF(connections!$A758="","",IFERROR(INDEX(games!$B$2:$B$846,MATCH(connections!$A758,games!$A$2:$A$846,0)),""))</f>
        <v>2017</v>
      </c>
      <c r="U758">
        <f>IF(connections!$A758="","",IFERROR(INDEX(games!$B$2:$B$846,MATCH(connections!$B758,games!$A$2:$A$846,0)),""))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IF($A759="","",COUNTIF(connections!$A$2:$A$1205,$A759)+COUNTIF(connections!$B$2:$B$1205,$A759))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IF(connections!$A759="","",IFERROR(INDEX(games!$B$2:$B$846,MATCH(connections!$A759,games!$A$2:$A$846,0)),""))</f>
        <v>2017</v>
      </c>
      <c r="U759">
        <f>IF(connections!$A759="","",IFERROR(INDEX(games!$B$2:$B$846,MATCH(connections!$B759,games!$A$2:$A$846,0)),""))</f>
        <v>2024</v>
      </c>
      <c r="V759">
        <f t="shared" si="143"/>
        <v>7</v>
      </c>
    </row>
    <row r="760" spans="1:22" x14ac:dyDescent="0.25">
      <c r="A760" t="str">
        <f>IF(games!$A760="","",games!$A760)</f>
        <v>Touhou: Lost Branch of Legend</v>
      </c>
      <c r="B760">
        <f>IF($A760="","",games!$B760)</f>
        <v>2022</v>
      </c>
      <c r="C760" t="str">
        <f>IF($A760="","",games!$C760)</f>
        <v>Deckbuilder</v>
      </c>
      <c r="D760">
        <f>IF($A760="","",COUNTIF(connections!$A$2:$A$1205,$A760)+COUNTIF(connections!$B$2:$B$1205,$A760))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IF(connections!$A760="","",IFERROR(INDEX(games!$B$2:$B$846,MATCH(connections!$A760,games!$A$2:$A$846,0)),""))</f>
        <v>2017</v>
      </c>
      <c r="U760">
        <f>IF(connections!$A760="","",IFERROR(INDEX(games!$B$2:$B$846,MATCH(connections!$B760,games!$A$2:$A$846,0)),""))</f>
        <v>2025</v>
      </c>
      <c r="V760">
        <f t="shared" si="143"/>
        <v>8</v>
      </c>
    </row>
    <row r="761" spans="1:22" x14ac:dyDescent="0.25">
      <c r="A761" t="str">
        <f>IF(games!$A761="","",games!$A761)</f>
        <v>Tower Dominion</v>
      </c>
      <c r="B761">
        <f>IF($A761="","",games!$B761)</f>
        <v>2025</v>
      </c>
      <c r="C761" t="str">
        <f>IF($A761="","",games!$C761)</f>
        <v>Strategy</v>
      </c>
      <c r="D761">
        <f>IF($A761="","",COUNTIF(connections!$A$2:$A$1205,$A761)+COUNTIF(connections!$B$2:$B$1205,$A761))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IF(connections!$A761="","",IFERROR(INDEX(games!$B$2:$B$846,MATCH(connections!$A761,games!$A$2:$A$846,0)),""))</f>
        <v>2017</v>
      </c>
      <c r="U761">
        <f>IF(connections!$A761="","",IFERROR(INDEX(games!$B$2:$B$846,MATCH(connections!$B761,games!$A$2:$A$846,0)),""))</f>
        <v>2025</v>
      </c>
      <c r="V761">
        <f t="shared" si="143"/>
        <v>8</v>
      </c>
    </row>
    <row r="762" spans="1:22" x14ac:dyDescent="0.25">
      <c r="A762" t="str">
        <f>IF(games!$A762="","",games!$A762)</f>
        <v>Tower Escape</v>
      </c>
      <c r="B762">
        <f>IF($A762="","",games!$B762)</f>
        <v>2023</v>
      </c>
      <c r="C762" t="str">
        <f>IF($A762="","",games!$C762)</f>
        <v>Deckbuilder</v>
      </c>
      <c r="D762">
        <f>IF($A762="","",COUNTIF(connections!$A$2:$A$1205,$A762)+COUNTIF(connections!$B$2:$B$1205,$A762))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IF(connections!$A762="","",IFERROR(INDEX(games!$B$2:$B$846,MATCH(connections!$A762,games!$A$2:$A$846,0)),""))</f>
        <v>2017</v>
      </c>
      <c r="U762">
        <f>IF(connections!$A762="","",IFERROR(INDEX(games!$B$2:$B$846,MATCH(connections!$B762,games!$A$2:$A$846,0)),""))</f>
        <v>2024</v>
      </c>
      <c r="V762">
        <f t="shared" si="143"/>
        <v>7</v>
      </c>
    </row>
    <row r="763" spans="1:22" x14ac:dyDescent="0.25">
      <c r="A763" t="str">
        <f>IF(games!$A763="","",games!$A763)</f>
        <v>Tower Factory</v>
      </c>
      <c r="B763">
        <f>IF($A763="","",games!$B763)</f>
        <v>2024</v>
      </c>
      <c r="C763" t="str">
        <f>IF($A763="","",games!$C763)</f>
        <v>Strategy</v>
      </c>
      <c r="D763">
        <f>IF($A763="","",COUNTIF(connections!$A$2:$A$1205,$A763)+COUNTIF(connections!$B$2:$B$1205,$A763))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IF(connections!$A763="","",IFERROR(INDEX(games!$B$2:$B$846,MATCH(connections!$A763,games!$A$2:$A$846,0)),""))</f>
        <v>2017</v>
      </c>
      <c r="U763">
        <f>IF(connections!$A763="","",IFERROR(INDEX(games!$B$2:$B$846,MATCH(connections!$B763,games!$A$2:$A$846,0)),""))</f>
        <v>2025</v>
      </c>
      <c r="V763">
        <f t="shared" si="143"/>
        <v>8</v>
      </c>
    </row>
    <row r="764" spans="1:22" x14ac:dyDescent="0.25">
      <c r="A764" t="str">
        <f>IF(games!$A764="","",games!$A764)</f>
        <v>Tower Fortress</v>
      </c>
      <c r="B764">
        <f>IF($A764="","",games!$B764)</f>
        <v>2017</v>
      </c>
      <c r="C764" t="str">
        <f>IF($A764="","",games!$C764)</f>
        <v>Action</v>
      </c>
      <c r="D764">
        <f>IF($A764="","",COUNTIF(connections!$A$2:$A$1205,$A764)+COUNTIF(connections!$B$2:$B$1205,$A764))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IF(connections!$A764="","",IFERROR(INDEX(games!$B$2:$B$846,MATCH(connections!$A764,games!$A$2:$A$846,0)),""))</f>
        <v>2017</v>
      </c>
      <c r="U764">
        <f>IF(connections!$A764="","",IFERROR(INDEX(games!$B$2:$B$846,MATCH(connections!$B764,games!$A$2:$A$846,0)),""))</f>
        <v>2024</v>
      </c>
      <c r="V764">
        <f t="shared" si="143"/>
        <v>7</v>
      </c>
    </row>
    <row r="765" spans="1:22" x14ac:dyDescent="0.25">
      <c r="A765" t="str">
        <f>IF(games!$A765="","",games!$A765)</f>
        <v>Tower of Guns</v>
      </c>
      <c r="B765">
        <f>IF($A765="","",games!$B765)</f>
        <v>2014</v>
      </c>
      <c r="C765" t="str">
        <f>IF($A765="","",games!$C765)</f>
        <v>Action</v>
      </c>
      <c r="D765">
        <f>IF($A765="","",COUNTIF(connections!$A$2:$A$1205,$A765)+COUNTIF(connections!$B$2:$B$1205,$A765))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IF(connections!$A765="","",IFERROR(INDEX(games!$B$2:$B$846,MATCH(connections!$A765,games!$A$2:$A$846,0)),""))</f>
        <v>2017</v>
      </c>
      <c r="U765">
        <f>IF(connections!$A765="","",IFERROR(INDEX(games!$B$2:$B$846,MATCH(connections!$B765,games!$A$2:$A$846,0)),""))</f>
        <v>2022</v>
      </c>
      <c r="V765">
        <f t="shared" si="143"/>
        <v>5</v>
      </c>
    </row>
    <row r="766" spans="1:22" x14ac:dyDescent="0.25">
      <c r="A766" t="str">
        <f>IF(games!$A766="","",games!$A766)</f>
        <v>Tower Tactics: Liberation</v>
      </c>
      <c r="B766">
        <f>IF($A766="","",games!$B766)</f>
        <v>2021</v>
      </c>
      <c r="C766" t="str">
        <f>IF($A766="","",games!$C766)</f>
        <v>Deckbuilder</v>
      </c>
      <c r="D766">
        <f>IF($A766="","",COUNTIF(connections!$A$2:$A$1205,$A766)+COUNTIF(connections!$B$2:$B$1205,$A766))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IF(connections!$A766="","",IFERROR(INDEX(games!$B$2:$B$846,MATCH(connections!$A766,games!$A$2:$A$846,0)),""))</f>
        <v>2017</v>
      </c>
      <c r="U766">
        <f>IF(connections!$A766="","",IFERROR(INDEX(games!$B$2:$B$846,MATCH(connections!$B766,games!$A$2:$A$846,0)),""))</f>
        <v>2024</v>
      </c>
      <c r="V766">
        <f t="shared" si="143"/>
        <v>7</v>
      </c>
    </row>
    <row r="767" spans="1:22" x14ac:dyDescent="0.25">
      <c r="A767" t="str">
        <f>IF(games!$A767="","",games!$A767)</f>
        <v>Toy Smash Kaboom!</v>
      </c>
      <c r="B767">
        <f>IF($A767="","",games!$B767)</f>
        <v>2025</v>
      </c>
      <c r="C767" t="str">
        <f>IF($A767="","",games!$C767)</f>
        <v>Deckbuilder</v>
      </c>
      <c r="D767">
        <f>IF($A767="","",COUNTIF(connections!$A$2:$A$1205,$A767)+COUNTIF(connections!$B$2:$B$1205,$A767))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IF(connections!$A767="","",IFERROR(INDEX(games!$B$2:$B$846,MATCH(connections!$A767,games!$A$2:$A$846,0)),""))</f>
        <v>2017</v>
      </c>
      <c r="U767">
        <f>IF(connections!$A767="","",IFERROR(INDEX(games!$B$2:$B$846,MATCH(connections!$B767,games!$A$2:$A$846,0)),""))</f>
        <v>2026</v>
      </c>
      <c r="V767">
        <f t="shared" si="143"/>
        <v>9</v>
      </c>
    </row>
    <row r="768" spans="1:22" x14ac:dyDescent="0.25">
      <c r="A768" t="str">
        <f>IF(games!$A768="","",games!$A768)</f>
        <v>Trials of Fire</v>
      </c>
      <c r="B768">
        <f>IF($A768="","",games!$B768)</f>
        <v>2019</v>
      </c>
      <c r="C768" t="str">
        <f>IF($A768="","",games!$C768)</f>
        <v>Deckbuilder</v>
      </c>
      <c r="D768">
        <f>IF($A768="","",COUNTIF(connections!$A$2:$A$1205,$A768)+COUNTIF(connections!$B$2:$B$1205,$A768))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IF(connections!$A768="","",IFERROR(INDEX(games!$B$2:$B$846,MATCH(connections!$A768,games!$A$2:$A$846,0)),""))</f>
        <v>2017</v>
      </c>
      <c r="U768">
        <f>IF(connections!$A768="","",IFERROR(INDEX(games!$B$2:$B$846,MATCH(connections!$B768,games!$A$2:$A$846,0)),""))</f>
        <v>2021</v>
      </c>
      <c r="V768">
        <f t="shared" si="143"/>
        <v>4</v>
      </c>
    </row>
    <row r="769" spans="1:22" x14ac:dyDescent="0.25">
      <c r="A769" t="str">
        <f>IF(games!$A769="","",games!$A769)</f>
        <v>TumbleSeed</v>
      </c>
      <c r="B769">
        <f>IF($A769="","",games!$B769)</f>
        <v>2017</v>
      </c>
      <c r="C769" t="str">
        <f>IF($A769="","",games!$C769)</f>
        <v>Action</v>
      </c>
      <c r="D769">
        <f>IF($A769="","",COUNTIF(connections!$A$2:$A$1205,$A769)+COUNTIF(connections!$B$2:$B$1205,$A769))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IF(connections!$A769="","",IFERROR(INDEX(games!$B$2:$B$846,MATCH(connections!$A769,games!$A$2:$A$846,0)),""))</f>
        <v>2017</v>
      </c>
      <c r="U769">
        <f>IF(connections!$A769="","",IFERROR(INDEX(games!$B$2:$B$846,MATCH(connections!$B769,games!$A$2:$A$846,0)),""))</f>
        <v>2026</v>
      </c>
      <c r="V769">
        <f t="shared" si="143"/>
        <v>9</v>
      </c>
    </row>
    <row r="770" spans="1:22" x14ac:dyDescent="0.25">
      <c r="A770" t="str">
        <f>IF(games!$A770="","",games!$A770)</f>
        <v>Turnbound</v>
      </c>
      <c r="B770">
        <f>IF($A770="","",games!$B770)</f>
        <v>2026</v>
      </c>
      <c r="C770" t="str">
        <f>IF($A770="","",games!$C770)</f>
        <v>Deckbuilder</v>
      </c>
      <c r="D770">
        <f>IF($A770="","",COUNTIF(connections!$A$2:$A$1205,$A770)+COUNTIF(connections!$B$2:$B$1205,$A770))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IF(connections!$A770="","",IFERROR(INDEX(games!$B$2:$B$846,MATCH(connections!$A770,games!$A$2:$A$846,0)),""))</f>
        <v>2017</v>
      </c>
      <c r="U770">
        <f>IF(connections!$A770="","",IFERROR(INDEX(games!$B$2:$B$846,MATCH(connections!$B770,games!$A$2:$A$846,0)),""))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IF($A771="","",COUNTIF(connections!$A$2:$A$1205,$A771)+COUNTIF(connections!$B$2:$B$1205,$A771))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IF(connections!$A771="","",IFERROR(INDEX(games!$B$2:$B$846,MATCH(connections!$A771,games!$A$2:$A$846,0)),""))</f>
        <v>2017</v>
      </c>
      <c r="U771">
        <f>IF(connections!$A771="","",IFERROR(INDEX(games!$B$2:$B$846,MATCH(connections!$B771,games!$A$2:$A$846,0)),""))</f>
        <v>2022</v>
      </c>
      <c r="V771">
        <f t="shared" si="155"/>
        <v>5</v>
      </c>
    </row>
    <row r="772" spans="1:22" x14ac:dyDescent="0.25">
      <c r="A772" t="str">
        <f>IF(games!$A772="","",games!$A772)</f>
        <v>Ultima Ratio Regum</v>
      </c>
      <c r="B772">
        <f>IF($A772="","",games!$B772)</f>
        <v>2012</v>
      </c>
      <c r="C772" t="str">
        <f>IF($A772="","",games!$C772)</f>
        <v>Traditional</v>
      </c>
      <c r="D772">
        <f>IF($A772="","",COUNTIF(connections!$A$2:$A$1205,$A772)+COUNTIF(connections!$B$2:$B$1205,$A772))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IF(connections!$A772="","",IFERROR(INDEX(games!$B$2:$B$846,MATCH(connections!$A772,games!$A$2:$A$846,0)),""))</f>
        <v>2017</v>
      </c>
      <c r="U772">
        <f>IF(connections!$A772="","",IFERROR(INDEX(games!$B$2:$B$846,MATCH(connections!$B772,games!$A$2:$A$846,0)),""))</f>
        <v>2022</v>
      </c>
      <c r="V772">
        <f t="shared" si="155"/>
        <v>5</v>
      </c>
    </row>
    <row r="773" spans="1:22" x14ac:dyDescent="0.25">
      <c r="A773" t="str">
        <f>IF(games!$A773="","",games!$A773)</f>
        <v>Ultimate ADOM</v>
      </c>
      <c r="B773">
        <f>IF($A773="","",games!$B773)</f>
        <v>2021</v>
      </c>
      <c r="C773" t="str">
        <f>IF($A773="","",games!$C773)</f>
        <v>Traditional</v>
      </c>
      <c r="D773">
        <f>IF($A773="","",COUNTIF(connections!$A$2:$A$1205,$A773)+COUNTIF(connections!$B$2:$B$1205,$A773))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IF(connections!$A773="","",IFERROR(INDEX(games!$B$2:$B$846,MATCH(connections!$A773,games!$A$2:$A$846,0)),""))</f>
        <v>2017</v>
      </c>
      <c r="U773">
        <f>IF(connections!$A773="","",IFERROR(INDEX(games!$B$2:$B$846,MATCH(connections!$B773,games!$A$2:$A$846,0)),""))</f>
        <v>2020</v>
      </c>
      <c r="V773">
        <f t="shared" si="155"/>
        <v>3</v>
      </c>
    </row>
    <row r="774" spans="1:22" x14ac:dyDescent="0.25">
      <c r="A774" t="str">
        <f>IF(games!$A774="","",games!$A774)</f>
        <v>Uma Musume: Pretty Derby</v>
      </c>
      <c r="B774">
        <f>IF($A774="","",games!$B774)</f>
        <v>2021</v>
      </c>
      <c r="C774" t="str">
        <f>IF($A774="","",games!$C774)</f>
        <v>Strategy</v>
      </c>
      <c r="D774">
        <f>IF($A774="","",COUNTIF(connections!$A$2:$A$1205,$A774)+COUNTIF(connections!$B$2:$B$1205,$A774))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IF(connections!$A774="","",IFERROR(INDEX(games!$B$2:$B$846,MATCH(connections!$A774,games!$A$2:$A$846,0)),""))</f>
        <v>2017</v>
      </c>
      <c r="U774">
        <f>IF(connections!$A774="","",IFERROR(INDEX(games!$B$2:$B$846,MATCH(connections!$B774,games!$A$2:$A$846,0)),""))</f>
        <v>2021</v>
      </c>
      <c r="V774">
        <f t="shared" si="155"/>
        <v>4</v>
      </c>
    </row>
    <row r="775" spans="1:22" x14ac:dyDescent="0.25">
      <c r="A775" t="str">
        <f>IF(games!$A775="","",games!$A775)</f>
        <v>Underdogs</v>
      </c>
      <c r="B775">
        <f>IF($A775="","",games!$B775)</f>
        <v>2024</v>
      </c>
      <c r="C775" t="str">
        <f>IF($A775="","",games!$C775)</f>
        <v>Action</v>
      </c>
      <c r="D775">
        <f>IF($A775="","",COUNTIF(connections!$A$2:$A$1205,$A775)+COUNTIF(connections!$B$2:$B$1205,$A775))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IF(connections!$A775="","",IFERROR(INDEX(games!$B$2:$B$846,MATCH(connections!$A775,games!$A$2:$A$846,0)),""))</f>
        <v>2017</v>
      </c>
      <c r="U775">
        <f>IF(connections!$A775="","",IFERROR(INDEX(games!$B$2:$B$846,MATCH(connections!$B775,games!$A$2:$A$846,0)),""))</f>
        <v>2026</v>
      </c>
      <c r="V775">
        <f t="shared" si="155"/>
        <v>9</v>
      </c>
    </row>
    <row r="776" spans="1:22" x14ac:dyDescent="0.25">
      <c r="A776" t="str">
        <f>IF(games!$A776="","",games!$A776)</f>
        <v>UnderMine</v>
      </c>
      <c r="B776">
        <f>IF($A776="","",games!$B776)</f>
        <v>2019</v>
      </c>
      <c r="C776" t="str">
        <f>IF($A776="","",games!$C776)</f>
        <v>Action</v>
      </c>
      <c r="D776">
        <f>IF($A776="","",COUNTIF(connections!$A$2:$A$1205,$A776)+COUNTIF(connections!$B$2:$B$1205,$A776))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IF(connections!$A776="","",IFERROR(INDEX(games!$B$2:$B$846,MATCH(connections!$A776,games!$A$2:$A$846,0)),""))</f>
        <v>2017</v>
      </c>
      <c r="U776">
        <f>IF(connections!$A776="","",IFERROR(INDEX(games!$B$2:$B$846,MATCH(connections!$B776,games!$A$2:$A$846,0)),""))</f>
        <v>2023</v>
      </c>
      <c r="V776">
        <f t="shared" si="155"/>
        <v>6</v>
      </c>
    </row>
    <row r="777" spans="1:22" x14ac:dyDescent="0.25">
      <c r="A777" t="str">
        <f>IF(games!$A777="","",games!$A777)</f>
        <v>UnderMine 2</v>
      </c>
      <c r="B777">
        <f>IF($A777="","",games!$B777)</f>
        <v>2025</v>
      </c>
      <c r="C777" t="str">
        <f>IF($A777="","",games!$C777)</f>
        <v>Action</v>
      </c>
      <c r="D777">
        <f>IF($A777="","",COUNTIF(connections!$A$2:$A$1205,$A777)+COUNTIF(connections!$B$2:$B$1205,$A777))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IF(connections!$A777="","",IFERROR(INDEX(games!$B$2:$B$846,MATCH(connections!$A777,games!$A$2:$A$846,0)),""))</f>
        <v>2017</v>
      </c>
      <c r="U777">
        <f>IF(connections!$A777="","",IFERROR(INDEX(games!$B$2:$B$846,MATCH(connections!$B777,games!$A$2:$A$846,0)),""))</f>
        <v>2026</v>
      </c>
      <c r="V777">
        <f t="shared" si="155"/>
        <v>9</v>
      </c>
    </row>
    <row r="778" spans="1:22" x14ac:dyDescent="0.25">
      <c r="A778" t="str">
        <f>IF(games!$A778="","",games!$A778)</f>
        <v>Unexplored</v>
      </c>
      <c r="B778">
        <f>IF($A778="","",games!$B778)</f>
        <v>2017</v>
      </c>
      <c r="C778" t="str">
        <f>IF($A778="","",games!$C778)</f>
        <v>Action</v>
      </c>
      <c r="D778">
        <f>IF($A778="","",COUNTIF(connections!$A$2:$A$1205,$A778)+COUNTIF(connections!$B$2:$B$1205,$A778))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IF(connections!$A778="","",IFERROR(INDEX(games!$B$2:$B$846,MATCH(connections!$A778,games!$A$2:$A$846,0)),""))</f>
        <v>2017</v>
      </c>
      <c r="U778">
        <f>IF(connections!$A778="","",IFERROR(INDEX(games!$B$2:$B$846,MATCH(connections!$B778,games!$A$2:$A$846,0)),""))</f>
        <v>2026</v>
      </c>
      <c r="V778">
        <f t="shared" si="155"/>
        <v>9</v>
      </c>
    </row>
    <row r="779" spans="1:22" x14ac:dyDescent="0.25">
      <c r="A779" t="str">
        <f>IF(games!$A779="","",games!$A779)</f>
        <v>Unexplored 2: The Wayfarer's Legacy</v>
      </c>
      <c r="B779">
        <f>IF($A779="","",games!$B779)</f>
        <v>2022</v>
      </c>
      <c r="C779" t="str">
        <f>IF($A779="","",games!$C779)</f>
        <v>Action</v>
      </c>
      <c r="D779">
        <f>IF($A779="","",COUNTIF(connections!$A$2:$A$1205,$A779)+COUNTIF(connections!$B$2:$B$1205,$A779))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IF(connections!$A779="","",IFERROR(INDEX(games!$B$2:$B$846,MATCH(connections!$A779,games!$A$2:$A$846,0)),""))</f>
        <v>2017</v>
      </c>
      <c r="U779">
        <f>IF(connections!$A779="","",IFERROR(INDEX(games!$B$2:$B$846,MATCH(connections!$B779,games!$A$2:$A$846,0)),""))</f>
        <v>2025</v>
      </c>
      <c r="V779">
        <f t="shared" si="155"/>
        <v>8</v>
      </c>
    </row>
    <row r="780" spans="1:22" x14ac:dyDescent="0.25">
      <c r="A780" t="str">
        <f>IF(games!$A780="","",games!$A780)</f>
        <v>UnReal World</v>
      </c>
      <c r="B780">
        <f>IF($A780="","",games!$B780)</f>
        <v>1992</v>
      </c>
      <c r="C780" t="str">
        <f>IF($A780="","",games!$C780)</f>
        <v>Traditional</v>
      </c>
      <c r="D780">
        <f>IF($A780="","",COUNTIF(connections!$A$2:$A$1205,$A780)+COUNTIF(connections!$B$2:$B$1205,$A780))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IF(connections!$A780="","",IFERROR(INDEX(games!$B$2:$B$846,MATCH(connections!$A780,games!$A$2:$A$846,0)),""))</f>
        <v>2017</v>
      </c>
      <c r="U780">
        <f>IF(connections!$A780="","",IFERROR(INDEX(games!$B$2:$B$846,MATCH(connections!$B780,games!$A$2:$A$846,0)),""))</f>
        <v>2019</v>
      </c>
      <c r="V780">
        <f t="shared" si="155"/>
        <v>2</v>
      </c>
    </row>
    <row r="781" spans="1:22" x14ac:dyDescent="0.25">
      <c r="A781" t="str">
        <f>IF(games!$A781="","",games!$A781)</f>
        <v>Vagante</v>
      </c>
      <c r="B781">
        <f>IF($A781="","",games!$B781)</f>
        <v>2018</v>
      </c>
      <c r="C781" t="str">
        <f>IF($A781="","",games!$C781)</f>
        <v>Action</v>
      </c>
      <c r="D781">
        <f>IF($A781="","",COUNTIF(connections!$A$2:$A$1205,$A781)+COUNTIF(connections!$B$2:$B$1205,$A781))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IF(connections!$A781="","",IFERROR(INDEX(games!$B$2:$B$846,MATCH(connections!$A781,games!$A$2:$A$846,0)),""))</f>
        <v>2017</v>
      </c>
      <c r="U781">
        <f>IF(connections!$A781="","",IFERROR(INDEX(games!$B$2:$B$846,MATCH(connections!$B781,games!$A$2:$A$846,0)),""))</f>
        <v>2024</v>
      </c>
      <c r="V781">
        <f t="shared" si="155"/>
        <v>7</v>
      </c>
    </row>
    <row r="782" spans="1:22" x14ac:dyDescent="0.25">
      <c r="A782" t="str">
        <f>IF(games!$A782="","",games!$A782)</f>
        <v>Vampire Crawlers</v>
      </c>
      <c r="B782">
        <f>IF($A782="","",games!$B782)</f>
        <v>2026</v>
      </c>
      <c r="C782" t="str">
        <f>IF($A782="","",games!$C782)</f>
        <v>Deckbuilder</v>
      </c>
      <c r="D782">
        <f>IF($A782="","",COUNTIF(connections!$A$2:$A$1205,$A782)+COUNTIF(connections!$B$2:$B$1205,$A782))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IF(connections!$A782="","",IFERROR(INDEX(games!$B$2:$B$846,MATCH(connections!$A782,games!$A$2:$A$846,0)),""))</f>
        <v>2017</v>
      </c>
      <c r="U782">
        <f>IF(connections!$A782="","",IFERROR(INDEX(games!$B$2:$B$846,MATCH(connections!$B782,games!$A$2:$A$846,0)),""))</f>
        <v>2020</v>
      </c>
      <c r="V782">
        <f t="shared" si="155"/>
        <v>3</v>
      </c>
    </row>
    <row r="783" spans="1:22" x14ac:dyDescent="0.25">
      <c r="A783" t="str">
        <f>IF(games!$A783="","",games!$A783)</f>
        <v>Vampire Hunters</v>
      </c>
      <c r="B783">
        <f>IF($A783="","",games!$B783)</f>
        <v>2023</v>
      </c>
      <c r="C783" t="str">
        <f>IF($A783="","",games!$C783)</f>
        <v>Action</v>
      </c>
      <c r="D783">
        <f>IF($A783="","",COUNTIF(connections!$A$2:$A$1205,$A783)+COUNTIF(connections!$B$2:$B$1205,$A783))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IF(connections!$A783="","",IFERROR(INDEX(games!$B$2:$B$846,MATCH(connections!$A783,games!$A$2:$A$846,0)),""))</f>
        <v>2017</v>
      </c>
      <c r="U783">
        <f>IF(connections!$A783="","",IFERROR(INDEX(games!$B$2:$B$846,MATCH(connections!$B783,games!$A$2:$A$846,0)),""))</f>
        <v>2019</v>
      </c>
      <c r="V783">
        <f t="shared" si="155"/>
        <v>2</v>
      </c>
    </row>
    <row r="784" spans="1:22" x14ac:dyDescent="0.25">
      <c r="A784" t="str">
        <f>IF(games!$A784="","",games!$A784)</f>
        <v>Vampire Survivors</v>
      </c>
      <c r="B784">
        <f>IF($A784="","",games!$B784)</f>
        <v>2021</v>
      </c>
      <c r="C784" t="str">
        <f>IF($A784="","",games!$C784)</f>
        <v>Action</v>
      </c>
      <c r="D784">
        <f>IF($A784="","",COUNTIF(connections!$A$2:$A$1205,$A784)+COUNTIF(connections!$B$2:$B$1205,$A784))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IF(connections!$A784="","",IFERROR(INDEX(games!$B$2:$B$846,MATCH(connections!$A784,games!$A$2:$A$846,0)),""))</f>
        <v>2017</v>
      </c>
      <c r="U784">
        <f>IF(connections!$A784="","",IFERROR(INDEX(games!$B$2:$B$846,MATCH(connections!$B784,games!$A$2:$A$846,0)),""))</f>
        <v>2022</v>
      </c>
      <c r="V784">
        <f t="shared" si="155"/>
        <v>5</v>
      </c>
    </row>
    <row r="785" spans="1:22" x14ac:dyDescent="0.25">
      <c r="A785" t="str">
        <f>IF(games!$A785="","",games!$A785)</f>
        <v>Vault of the Void</v>
      </c>
      <c r="B785">
        <f>IF($A785="","",games!$B785)</f>
        <v>2020</v>
      </c>
      <c r="C785" t="str">
        <f>IF($A785="","",games!$C785)</f>
        <v>Deckbuilder</v>
      </c>
      <c r="D785">
        <f>IF($A785="","",COUNTIF(connections!$A$2:$A$1205,$A785)+COUNTIF(connections!$B$2:$B$1205,$A785))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IF(connections!$A785="","",IFERROR(INDEX(games!$B$2:$B$846,MATCH(connections!$A785,games!$A$2:$A$846,0)),""))</f>
        <v>2017</v>
      </c>
      <c r="U785">
        <f>IF(connections!$A785="","",IFERROR(INDEX(games!$B$2:$B$846,MATCH(connections!$B785,games!$A$2:$A$846,0)),""))</f>
        <v>2024</v>
      </c>
      <c r="V785">
        <f t="shared" si="155"/>
        <v>7</v>
      </c>
    </row>
    <row r="786" spans="1:22" x14ac:dyDescent="0.25">
      <c r="A786" t="str">
        <f>IF(games!$A786="","",games!$A786)</f>
        <v>Vellum</v>
      </c>
      <c r="B786">
        <f>IF($A786="","",games!$B786)</f>
        <v>2024</v>
      </c>
      <c r="C786" t="str">
        <f>IF($A786="","",games!$C786)</f>
        <v>Action</v>
      </c>
      <c r="D786">
        <f>IF($A786="","",COUNTIF(connections!$A$2:$A$1205,$A786)+COUNTIF(connections!$B$2:$B$1205,$A786))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IF(connections!$A786="","",IFERROR(INDEX(games!$B$2:$B$846,MATCH(connections!$A786,games!$A$2:$A$846,0)),""))</f>
        <v>2017</v>
      </c>
      <c r="U786">
        <f>IF(connections!$A786="","",IFERROR(INDEX(games!$B$2:$B$846,MATCH(connections!$B786,games!$A$2:$A$846,0)),""))</f>
        <v>2021</v>
      </c>
      <c r="V786">
        <f t="shared" si="155"/>
        <v>4</v>
      </c>
    </row>
    <row r="787" spans="1:22" x14ac:dyDescent="0.25">
      <c r="A787" t="str">
        <f>IF(games!$A787="","",games!$A787)</f>
        <v>Vital Shell</v>
      </c>
      <c r="B787">
        <f>IF($A787="","",games!$B787)</f>
        <v>2026</v>
      </c>
      <c r="C787" t="str">
        <f>IF($A787="","",games!$C787)</f>
        <v>Action</v>
      </c>
      <c r="D787">
        <f>IF($A787="","",COUNTIF(connections!$A$2:$A$1205,$A787)+COUNTIF(connections!$B$2:$B$1205,$A787))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IF(connections!$A787="","",IFERROR(INDEX(games!$B$2:$B$846,MATCH(connections!$A787,games!$A$2:$A$846,0)),""))</f>
        <v>2017</v>
      </c>
      <c r="U787">
        <f>IF(connections!$A787="","",IFERROR(INDEX(games!$B$2:$B$846,MATCH(connections!$B787,games!$A$2:$A$846,0)),""))</f>
        <v>2023</v>
      </c>
      <c r="V787">
        <f t="shared" si="155"/>
        <v>6</v>
      </c>
    </row>
    <row r="788" spans="1:22" x14ac:dyDescent="0.25">
      <c r="A788" t="str">
        <f>IF(games!$A788="","",games!$A788)</f>
        <v>Vivid Knight</v>
      </c>
      <c r="B788">
        <f>IF($A788="","",games!$B788)</f>
        <v>2021</v>
      </c>
      <c r="C788" t="str">
        <f>IF($A788="","",games!$C788)</f>
        <v>Deckbuilder</v>
      </c>
      <c r="D788">
        <f>IF($A788="","",COUNTIF(connections!$A$2:$A$1205,$A788)+COUNTIF(connections!$B$2:$B$1205,$A788))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IF(connections!$A788="","",IFERROR(INDEX(games!$B$2:$B$846,MATCH(connections!$A788,games!$A$2:$A$846,0)),""))</f>
        <v>2017</v>
      </c>
      <c r="U788">
        <f>IF(connections!$A788="","",IFERROR(INDEX(games!$B$2:$B$846,MATCH(connections!$B788,games!$A$2:$A$846,0)),""))</f>
        <v>2024</v>
      </c>
      <c r="V788">
        <f t="shared" si="155"/>
        <v>7</v>
      </c>
    </row>
    <row r="789" spans="1:22" x14ac:dyDescent="0.25">
      <c r="A789" t="str">
        <f>IF(games!$A789="","",games!$A789)</f>
        <v>Vivid World</v>
      </c>
      <c r="B789">
        <f>IF($A789="","",games!$B789)</f>
        <v>2025</v>
      </c>
      <c r="C789" t="str">
        <f>IF($A789="","",games!$C789)</f>
        <v>Deckbuilder</v>
      </c>
      <c r="D789">
        <f>IF($A789="","",COUNTIF(connections!$A$2:$A$1205,$A789)+COUNTIF(connections!$B$2:$B$1205,$A789))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IF(connections!$A789="","",IFERROR(INDEX(games!$B$2:$B$846,MATCH(connections!$A789,games!$A$2:$A$846,0)),""))</f>
        <v>2017</v>
      </c>
      <c r="U789">
        <f>IF(connections!$A789="","",IFERROR(INDEX(games!$B$2:$B$846,MATCH(connections!$B789,games!$A$2:$A$846,0)),""))</f>
        <v>2024</v>
      </c>
      <c r="V789">
        <f t="shared" si="155"/>
        <v>7</v>
      </c>
    </row>
    <row r="790" spans="1:22" x14ac:dyDescent="0.25">
      <c r="A790" t="str">
        <f>IF(games!$A790="","",games!$A790)</f>
        <v>Voice of Belldona</v>
      </c>
      <c r="B790">
        <f>IF($A790="","",games!$B790)</f>
        <v>2026</v>
      </c>
      <c r="C790" t="str">
        <f>IF($A790="","",games!$C790)</f>
        <v>Deckbuilder</v>
      </c>
      <c r="D790">
        <f>IF($A790="","",COUNTIF(connections!$A$2:$A$1205,$A790)+COUNTIF(connections!$B$2:$B$1205,$A790))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IF(connections!$A790="","",IFERROR(INDEX(games!$B$2:$B$846,MATCH(connections!$A790,games!$A$2:$A$846,0)),""))</f>
        <v>2017</v>
      </c>
      <c r="U790">
        <f>IF(connections!$A790="","",IFERROR(INDEX(games!$B$2:$B$846,MATCH(connections!$B790,games!$A$2:$A$846,0)),""))</f>
        <v>2021</v>
      </c>
      <c r="V790">
        <f t="shared" si="155"/>
        <v>4</v>
      </c>
    </row>
    <row r="791" spans="1:22" x14ac:dyDescent="0.25">
      <c r="A791" t="str">
        <f>IF(games!$A791="","",games!$A791)</f>
        <v>Void Bastards</v>
      </c>
      <c r="B791">
        <f>IF($A791="","",games!$B791)</f>
        <v>2019</v>
      </c>
      <c r="C791" t="str">
        <f>IF($A791="","",games!$C791)</f>
        <v>Action</v>
      </c>
      <c r="D791">
        <f>IF($A791="","",COUNTIF(connections!$A$2:$A$1205,$A791)+COUNTIF(connections!$B$2:$B$1205,$A791))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IF(connections!$A791="","",IFERROR(INDEX(games!$B$2:$B$846,MATCH(connections!$A791,games!$A$2:$A$846,0)),""))</f>
        <v>2017</v>
      </c>
      <c r="U791">
        <f>IF(connections!$A791="","",IFERROR(INDEX(games!$B$2:$B$846,MATCH(connections!$B791,games!$A$2:$A$846,0)),""))</f>
        <v>2020</v>
      </c>
      <c r="V791">
        <f t="shared" si="155"/>
        <v>3</v>
      </c>
    </row>
    <row r="792" spans="1:22" x14ac:dyDescent="0.25">
      <c r="A792" t="str">
        <f>IF(games!$A792="","",games!$A792)</f>
        <v>Void Scrappers</v>
      </c>
      <c r="B792">
        <f>IF($A792="","",games!$B792)</f>
        <v>2022</v>
      </c>
      <c r="C792" t="str">
        <f>IF($A792="","",games!$C792)</f>
        <v>Action</v>
      </c>
      <c r="D792">
        <f>IF($A792="","",COUNTIF(connections!$A$2:$A$1205,$A792)+COUNTIF(connections!$B$2:$B$1205,$A792))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IF(connections!$A792="","",IFERROR(INDEX(games!$B$2:$B$846,MATCH(connections!$A792,games!$A$2:$A$846,0)),""))</f>
        <v>2017</v>
      </c>
      <c r="U792">
        <f>IF(connections!$A792="","",IFERROR(INDEX(games!$B$2:$B$846,MATCH(connections!$B792,games!$A$2:$A$846,0)),""))</f>
        <v>2024</v>
      </c>
      <c r="V792">
        <f t="shared" si="155"/>
        <v>7</v>
      </c>
    </row>
    <row r="793" spans="1:22" x14ac:dyDescent="0.25">
      <c r="A793" t="str">
        <f>IF(games!$A793="","",games!$A793)</f>
        <v>Void War</v>
      </c>
      <c r="B793">
        <f>IF($A793="","",games!$B793)</f>
        <v>2024</v>
      </c>
      <c r="C793" t="str">
        <f>IF($A793="","",games!$C793)</f>
        <v>Strategy</v>
      </c>
      <c r="D793">
        <f>IF($A793="","",COUNTIF(connections!$A$2:$A$1205,$A793)+COUNTIF(connections!$B$2:$B$1205,$A793))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IF(connections!$A793="","",IFERROR(INDEX(games!$B$2:$B$846,MATCH(connections!$A793,games!$A$2:$A$846,0)),""))</f>
        <v>2017</v>
      </c>
      <c r="U793">
        <f>IF(connections!$A793="","",IFERROR(INDEX(games!$B$2:$B$846,MATCH(connections!$B793,games!$A$2:$A$846,0)),""))</f>
        <v>2023</v>
      </c>
      <c r="V793">
        <f t="shared" si="155"/>
        <v>6</v>
      </c>
    </row>
    <row r="794" spans="1:22" x14ac:dyDescent="0.25">
      <c r="A794" t="str">
        <f>IF(games!$A794="","",games!$A794)</f>
        <v>Voidigo</v>
      </c>
      <c r="B794">
        <f>IF($A794="","",games!$B794)</f>
        <v>2023</v>
      </c>
      <c r="C794" t="str">
        <f>IF($A794="","",games!$C794)</f>
        <v>Action</v>
      </c>
      <c r="D794">
        <f>IF($A794="","",COUNTIF(connections!$A$2:$A$1205,$A794)+COUNTIF(connections!$B$2:$B$1205,$A794))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IF(connections!$A794="","",IFERROR(INDEX(games!$B$2:$B$846,MATCH(connections!$A794,games!$A$2:$A$846,0)),""))</f>
        <v>2017</v>
      </c>
      <c r="U794">
        <f>IF(connections!$A794="","",IFERROR(INDEX(games!$B$2:$B$846,MATCH(connections!$B794,games!$A$2:$A$846,0)),""))</f>
        <v>2026</v>
      </c>
      <c r="V794">
        <f t="shared" si="155"/>
        <v>9</v>
      </c>
    </row>
    <row r="795" spans="1:22" x14ac:dyDescent="0.25">
      <c r="A795" t="str">
        <f>IF(games!$A795="","",games!$A795)</f>
        <v>Voids Vigil</v>
      </c>
      <c r="B795">
        <f>IF($A795="","",games!$B795)</f>
        <v>2024</v>
      </c>
      <c r="C795" t="str">
        <f>IF($A795="","",games!$C795)</f>
        <v>Action</v>
      </c>
      <c r="D795">
        <f>IF($A795="","",COUNTIF(connections!$A$2:$A$1205,$A795)+COUNTIF(connections!$B$2:$B$1205,$A795))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IF(connections!$A795="","",IFERROR(INDEX(games!$B$2:$B$846,MATCH(connections!$A795,games!$A$2:$A$846,0)),""))</f>
        <v>2017</v>
      </c>
      <c r="U795">
        <f>IF(connections!$A795="","",IFERROR(INDEX(games!$B$2:$B$846,MATCH(connections!$B795,games!$A$2:$A$846,0)),""))</f>
        <v>2025</v>
      </c>
      <c r="V795">
        <f t="shared" si="155"/>
        <v>8</v>
      </c>
    </row>
    <row r="796" spans="1:22" x14ac:dyDescent="0.25">
      <c r="A796" t="str">
        <f>IF(games!$A796="","",games!$A796)</f>
        <v>Voin</v>
      </c>
      <c r="B796">
        <f>IF($A796="","",games!$B796)</f>
        <v>2024</v>
      </c>
      <c r="C796" t="str">
        <f>IF($A796="","",games!$C796)</f>
        <v>Action</v>
      </c>
      <c r="D796">
        <f>IF($A796="","",COUNTIF(connections!$A$2:$A$1205,$A796)+COUNTIF(connections!$B$2:$B$1205,$A796))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IF(connections!$A796="","",IFERROR(INDEX(games!$B$2:$B$846,MATCH(connections!$A796,games!$A$2:$A$846,0)),""))</f>
        <v>2017</v>
      </c>
      <c r="U796">
        <f>IF(connections!$A796="","",IFERROR(INDEX(games!$B$2:$B$846,MATCH(connections!$B796,games!$A$2:$A$846,0)),""))</f>
        <v>2021</v>
      </c>
      <c r="V796">
        <f t="shared" si="155"/>
        <v>4</v>
      </c>
    </row>
    <row r="797" spans="1:22" x14ac:dyDescent="0.25">
      <c r="A797" t="str">
        <f>IF(games!$A797="","",games!$A797)</f>
        <v>Wall World</v>
      </c>
      <c r="B797">
        <f>IF($A797="","",games!$B797)</f>
        <v>2023</v>
      </c>
      <c r="C797" t="str">
        <f>IF($A797="","",games!$C797)</f>
        <v>Strategy</v>
      </c>
      <c r="D797">
        <f>IF($A797="","",COUNTIF(connections!$A$2:$A$1205,$A797)+COUNTIF(connections!$B$2:$B$1205,$A797))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IF(connections!$A797="","",IFERROR(INDEX(games!$B$2:$B$846,MATCH(connections!$A797,games!$A$2:$A$846,0)),""))</f>
        <v>2017</v>
      </c>
      <c r="U797">
        <f>IF(connections!$A797="","",IFERROR(INDEX(games!$B$2:$B$846,MATCH(connections!$B797,games!$A$2:$A$846,0)),""))</f>
        <v>2020</v>
      </c>
      <c r="V797">
        <f t="shared" si="155"/>
        <v>3</v>
      </c>
    </row>
    <row r="798" spans="1:22" x14ac:dyDescent="0.25">
      <c r="A798" t="str">
        <f>IF(games!$A798="","",games!$A798)</f>
        <v>Wall World 2</v>
      </c>
      <c r="B798">
        <f>IF($A798="","",games!$B798)</f>
        <v>2025</v>
      </c>
      <c r="C798" t="str">
        <f>IF($A798="","",games!$C798)</f>
        <v>Strategy</v>
      </c>
      <c r="D798">
        <f>IF($A798="","",COUNTIF(connections!$A$2:$A$1205,$A798)+COUNTIF(connections!$B$2:$B$1205,$A798))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IF(connections!$A798="","",IFERROR(INDEX(games!$B$2:$B$846,MATCH(connections!$A798,games!$A$2:$A$846,0)),""))</f>
        <v>2017</v>
      </c>
      <c r="U798">
        <f>IF(connections!$A798="","",IFERROR(INDEX(games!$B$2:$B$846,MATCH(connections!$B798,games!$A$2:$A$846,0)),""))</f>
        <v>2025</v>
      </c>
      <c r="V798">
        <f t="shared" si="155"/>
        <v>8</v>
      </c>
    </row>
    <row r="799" spans="1:22" x14ac:dyDescent="0.25">
      <c r="A799" t="str">
        <f>IF(games!$A799="","",games!$A799)</f>
        <v>Warhammer Survivors</v>
      </c>
      <c r="B799">
        <f>IF($A799="","",games!$B799)</f>
        <v>2026</v>
      </c>
      <c r="C799" t="str">
        <f>IF($A799="","",games!$C799)</f>
        <v>Action</v>
      </c>
      <c r="D799">
        <f>IF($A799="","",COUNTIF(connections!$A$2:$A$1205,$A799)+COUNTIF(connections!$B$2:$B$1205,$A799))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IF(connections!$A799="","",IFERROR(INDEX(games!$B$2:$B$846,MATCH(connections!$A799,games!$A$2:$A$846,0)),""))</f>
        <v>2017</v>
      </c>
      <c r="U799">
        <f>IF(connections!$A799="","",IFERROR(INDEX(games!$B$2:$B$846,MATCH(connections!$B799,games!$A$2:$A$846,0)),""))</f>
        <v>2021</v>
      </c>
      <c r="V799">
        <f t="shared" si="155"/>
        <v>4</v>
      </c>
    </row>
    <row r="800" spans="1:22" x14ac:dyDescent="0.25">
      <c r="A800" t="str">
        <f>IF(games!$A800="","",games!$A800)</f>
        <v>WarpVector</v>
      </c>
      <c r="B800">
        <f>IF($A800="","",games!$B800)</f>
        <v>2023</v>
      </c>
      <c r="C800" t="str">
        <f>IF($A800="","",games!$C800)</f>
        <v>Traditional</v>
      </c>
      <c r="D800">
        <f>IF($A800="","",COUNTIF(connections!$A$2:$A$1205,$A800)+COUNTIF(connections!$B$2:$B$1205,$A800))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IF(connections!$A800="","",IFERROR(INDEX(games!$B$2:$B$846,MATCH(connections!$A800,games!$A$2:$A$846,0)),""))</f>
        <v>2017</v>
      </c>
      <c r="U800">
        <f>IF(connections!$A800="","",IFERROR(INDEX(games!$B$2:$B$846,MATCH(connections!$B800,games!$A$2:$A$846,0)),""))</f>
        <v>2022</v>
      </c>
      <c r="V800">
        <f t="shared" si="155"/>
        <v>5</v>
      </c>
    </row>
    <row r="801" spans="1:22" x14ac:dyDescent="0.25">
      <c r="A801" t="str">
        <f>IF(games!$A801="","",games!$A801)</f>
        <v>Warriors: Abyss</v>
      </c>
      <c r="B801">
        <f>IF($A801="","",games!$B801)</f>
        <v>2025</v>
      </c>
      <c r="C801" t="str">
        <f>IF($A801="","",games!$C801)</f>
        <v>Action</v>
      </c>
      <c r="D801">
        <f>IF($A801="","",COUNTIF(connections!$A$2:$A$1205,$A801)+COUNTIF(connections!$B$2:$B$1205,$A801))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IF(connections!$A801="","",IFERROR(INDEX(games!$B$2:$B$846,MATCH(connections!$A801,games!$A$2:$A$846,0)),""))</f>
        <v>2017</v>
      </c>
      <c r="U801">
        <f>IF(connections!$A801="","",IFERROR(INDEX(games!$B$2:$B$846,MATCH(connections!$B801,games!$A$2:$A$846,0)),""))</f>
        <v>2026</v>
      </c>
      <c r="V801">
        <f t="shared" si="155"/>
        <v>9</v>
      </c>
    </row>
    <row r="802" spans="1:22" x14ac:dyDescent="0.25">
      <c r="A802" t="str">
        <f>IF(games!$A802="","",games!$A802)</f>
        <v>Warsim: The Realm of Aslona</v>
      </c>
      <c r="B802">
        <f>IF($A802="","",games!$B802)</f>
        <v>2017</v>
      </c>
      <c r="C802" t="str">
        <f>IF($A802="","",games!$C802)</f>
        <v>Strategy</v>
      </c>
      <c r="D802">
        <f>IF($A802="","",COUNTIF(connections!$A$2:$A$1205,$A802)+COUNTIF(connections!$B$2:$B$1205,$A802))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IF(connections!$A802="","",IFERROR(INDEX(games!$B$2:$B$846,MATCH(connections!$A802,games!$A$2:$A$846,0)),""))</f>
        <v>2017</v>
      </c>
      <c r="U802">
        <f>IF(connections!$A802="","",IFERROR(INDEX(games!$B$2:$B$846,MATCH(connections!$B802,games!$A$2:$A$846,0)),""))</f>
        <v>2026</v>
      </c>
      <c r="V802">
        <f t="shared" si="155"/>
        <v>9</v>
      </c>
    </row>
    <row r="803" spans="1:22" x14ac:dyDescent="0.25">
      <c r="A803" t="str">
        <f>IF(games!$A803="","",games!$A803)</f>
        <v>Wayward</v>
      </c>
      <c r="B803">
        <f>IF($A803="","",games!$B803)</f>
        <v>2011</v>
      </c>
      <c r="C803" t="str">
        <f>IF($A803="","",games!$C803)</f>
        <v>Traditional</v>
      </c>
      <c r="D803">
        <f>IF($A803="","",COUNTIF(connections!$A$2:$A$1205,$A803)+COUNTIF(connections!$B$2:$B$1205,$A803))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IF(connections!$A803="","",IFERROR(INDEX(games!$B$2:$B$846,MATCH(connections!$A803,games!$A$2:$A$846,0)),""))</f>
        <v>2017</v>
      </c>
      <c r="U803">
        <f>IF(connections!$A803="","",IFERROR(INDEX(games!$B$2:$B$846,MATCH(connections!$B803,games!$A$2:$A$846,0)),""))</f>
        <v>2026</v>
      </c>
      <c r="V803">
        <f t="shared" si="155"/>
        <v>9</v>
      </c>
    </row>
    <row r="804" spans="1:22" x14ac:dyDescent="0.25">
      <c r="A804" t="str">
        <f>IF(games!$A804="","",games!$A804)</f>
        <v>WazHack</v>
      </c>
      <c r="B804">
        <f>IF($A804="","",games!$B804)</f>
        <v>2012</v>
      </c>
      <c r="C804" t="str">
        <f>IF($A804="","",games!$C804)</f>
        <v>Strategy</v>
      </c>
      <c r="D804">
        <f>IF($A804="","",COUNTIF(connections!$A$2:$A$1205,$A804)+COUNTIF(connections!$B$2:$B$1205,$A804))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IF(connections!$A804="","",IFERROR(INDEX(games!$B$2:$B$846,MATCH(connections!$A804,games!$A$2:$A$846,0)),""))</f>
        <v>2017</v>
      </c>
      <c r="U804">
        <f>IF(connections!$A804="","",IFERROR(INDEX(games!$B$2:$B$846,MATCH(connections!$B804,games!$A$2:$A$846,0)),""))</f>
        <v>2025</v>
      </c>
      <c r="V804">
        <f t="shared" si="155"/>
        <v>8</v>
      </c>
    </row>
    <row r="805" spans="1:22" x14ac:dyDescent="0.25">
      <c r="A805" t="str">
        <f>IF(games!$A805="","",games!$A805)</f>
        <v>We Need To Go Deeper</v>
      </c>
      <c r="B805">
        <f>IF($A805="","",games!$B805)</f>
        <v>2017</v>
      </c>
      <c r="C805" t="str">
        <f>IF($A805="","",games!$C805)</f>
        <v>Action</v>
      </c>
      <c r="D805">
        <f>IF($A805="","",COUNTIF(connections!$A$2:$A$1205,$A805)+COUNTIF(connections!$B$2:$B$1205,$A805))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IF(connections!$A805="","",IFERROR(INDEX(games!$B$2:$B$846,MATCH(connections!$A805,games!$A$2:$A$846,0)),""))</f>
        <v>2017</v>
      </c>
      <c r="U805">
        <f>IF(connections!$A805="","",IFERROR(INDEX(games!$B$2:$B$846,MATCH(connections!$B805,games!$A$2:$A$846,0)),""))</f>
        <v>2019</v>
      </c>
      <c r="V805">
        <f t="shared" si="155"/>
        <v>2</v>
      </c>
    </row>
    <row r="806" spans="1:22" x14ac:dyDescent="0.25">
      <c r="A806" t="str">
        <f>IF(games!$A806="","",games!$A806)</f>
        <v>Weird Worlds: Return to Infinite Space</v>
      </c>
      <c r="B806">
        <f>IF($A806="","",games!$B806)</f>
        <v>2005</v>
      </c>
      <c r="C806" t="str">
        <f>IF($A806="","",games!$C806)</f>
        <v>Strategy</v>
      </c>
      <c r="D806">
        <f>IF($A806="","",COUNTIF(connections!$A$2:$A$1205,$A806)+COUNTIF(connections!$B$2:$B$1205,$A806))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IF(connections!$A806="","",IFERROR(INDEX(games!$B$2:$B$846,MATCH(connections!$A806,games!$A$2:$A$846,0)),""))</f>
        <v>2017</v>
      </c>
      <c r="U806">
        <f>IF(connections!$A806="","",IFERROR(INDEX(games!$B$2:$B$846,MATCH(connections!$B806,games!$A$2:$A$846,0)),""))</f>
        <v>2022</v>
      </c>
      <c r="V806">
        <f t="shared" si="155"/>
        <v>5</v>
      </c>
    </row>
    <row r="807" spans="1:22" x14ac:dyDescent="0.25">
      <c r="A807" t="str">
        <f>IF(games!$A807="","",games!$A807)</f>
        <v>West of Dead</v>
      </c>
      <c r="B807">
        <f>IF($A807="","",games!$B807)</f>
        <v>2020</v>
      </c>
      <c r="C807" t="str">
        <f>IF($A807="","",games!$C807)</f>
        <v>Action</v>
      </c>
      <c r="D807">
        <f>IF($A807="","",COUNTIF(connections!$A$2:$A$1205,$A807)+COUNTIF(connections!$B$2:$B$1205,$A807))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IF(connections!$A807="","",IFERROR(INDEX(games!$B$2:$B$846,MATCH(connections!$A807,games!$A$2:$A$846,0)),""))</f>
        <v>2017</v>
      </c>
      <c r="U807">
        <f>IF(connections!$A807="","",IFERROR(INDEX(games!$B$2:$B$846,MATCH(connections!$B807,games!$A$2:$A$846,0)),""))</f>
        <v>2020</v>
      </c>
      <c r="V807">
        <f t="shared" si="155"/>
        <v>3</v>
      </c>
    </row>
    <row r="808" spans="1:22" x14ac:dyDescent="0.25">
      <c r="A808" t="str">
        <f>IF(games!$A808="","",games!$A808)</f>
        <v>Whisker Squadron: Survivor</v>
      </c>
      <c r="B808">
        <f>IF($A808="","",games!$B808)</f>
        <v>2025</v>
      </c>
      <c r="C808" t="str">
        <f>IF($A808="","",games!$C808)</f>
        <v>Action</v>
      </c>
      <c r="D808">
        <f>IF($A808="","",COUNTIF(connections!$A$2:$A$1205,$A808)+COUNTIF(connections!$B$2:$B$1205,$A808))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IF(connections!$A808="","",IFERROR(INDEX(games!$B$2:$B$846,MATCH(connections!$A808,games!$A$2:$A$846,0)),""))</f>
        <v>2017</v>
      </c>
      <c r="U808">
        <f>IF(connections!$A808="","",IFERROR(INDEX(games!$B$2:$B$846,MATCH(connections!$B808,games!$A$2:$A$846,0)),""))</f>
        <v>2024</v>
      </c>
      <c r="V808">
        <f t="shared" si="155"/>
        <v>7</v>
      </c>
    </row>
    <row r="809" spans="1:22" x14ac:dyDescent="0.25">
      <c r="A809" t="str">
        <f>IF(games!$A809="","",games!$A809)</f>
        <v>White Knuckle</v>
      </c>
      <c r="B809">
        <f>IF($A809="","",games!$B809)</f>
        <v>2025</v>
      </c>
      <c r="C809" t="str">
        <f>IF($A809="","",games!$C809)</f>
        <v>Action</v>
      </c>
      <c r="D809">
        <f>IF($A809="","",COUNTIF(connections!$A$2:$A$1205,$A809)+COUNTIF(connections!$B$2:$B$1205,$A809))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IF(connections!$A809="","",IFERROR(INDEX(games!$B$2:$B$846,MATCH(connections!$A809,games!$A$2:$A$846,0)),""))</f>
        <v>2017</v>
      </c>
      <c r="U809">
        <f>IF(connections!$A809="","",IFERROR(INDEX(games!$B$2:$B$846,MATCH(connections!$B809,games!$A$2:$A$846,0)),""))</f>
        <v>2021</v>
      </c>
      <c r="V809">
        <f t="shared" si="155"/>
        <v>4</v>
      </c>
    </row>
    <row r="810" spans="1:22" x14ac:dyDescent="0.25">
      <c r="A810" t="str">
        <f>IF(games!$A810="","",games!$A810)</f>
        <v>Wild Bastards</v>
      </c>
      <c r="B810">
        <f>IF($A810="","",games!$B810)</f>
        <v>2024</v>
      </c>
      <c r="C810" t="str">
        <f>IF($A810="","",games!$C810)</f>
        <v>Action</v>
      </c>
      <c r="D810">
        <f>IF($A810="","",COUNTIF(connections!$A$2:$A$1205,$A810)+COUNTIF(connections!$B$2:$B$1205,$A810))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IF(connections!$A810="","",IFERROR(INDEX(games!$B$2:$B$846,MATCH(connections!$A810,games!$A$2:$A$846,0)),""))</f>
        <v>2017</v>
      </c>
      <c r="U810">
        <f>IF(connections!$A810="","",IFERROR(INDEX(games!$B$2:$B$846,MATCH(connections!$B810,games!$A$2:$A$846,0)),""))</f>
        <v>2024</v>
      </c>
      <c r="V810">
        <f t="shared" si="155"/>
        <v>7</v>
      </c>
    </row>
    <row r="811" spans="1:22" x14ac:dyDescent="0.25">
      <c r="A811" t="str">
        <f>IF(games!$A811="","",games!$A811)</f>
        <v>Wildermyth</v>
      </c>
      <c r="B811">
        <f>IF($A811="","",games!$B811)</f>
        <v>2019</v>
      </c>
      <c r="C811" t="str">
        <f>IF($A811="","",games!$C811)</f>
        <v>Strategy</v>
      </c>
      <c r="D811">
        <f>IF($A811="","",COUNTIF(connections!$A$2:$A$1205,$A811)+COUNTIF(connections!$B$2:$B$1205,$A811))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IF(connections!$A811="","",IFERROR(INDEX(games!$B$2:$B$846,MATCH(connections!$A811,games!$A$2:$A$846,0)),""))</f>
        <v>2017</v>
      </c>
      <c r="U811">
        <f>IF(connections!$A811="","",IFERROR(INDEX(games!$B$2:$B$846,MATCH(connections!$B811,games!$A$2:$A$846,0)),""))</f>
        <v>2021</v>
      </c>
      <c r="V811">
        <f t="shared" si="155"/>
        <v>4</v>
      </c>
    </row>
    <row r="812" spans="1:22" x14ac:dyDescent="0.25">
      <c r="A812" t="str">
        <f>IF(games!$A812="","",games!$A812)</f>
        <v>Wildfrost</v>
      </c>
      <c r="B812">
        <f>IF($A812="","",games!$B812)</f>
        <v>2023</v>
      </c>
      <c r="C812" t="str">
        <f>IF($A812="","",games!$C812)</f>
        <v>Deckbuilder</v>
      </c>
      <c r="D812">
        <f>IF($A812="","",COUNTIF(connections!$A$2:$A$1205,$A812)+COUNTIF(connections!$B$2:$B$1205,$A812))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IF(connections!$A812="","",IFERROR(INDEX(games!$B$2:$B$846,MATCH(connections!$A812,games!$A$2:$A$846,0)),""))</f>
        <v>2017</v>
      </c>
      <c r="U812">
        <f>IF(connections!$A812="","",IFERROR(INDEX(games!$B$2:$B$846,MATCH(connections!$B812,games!$A$2:$A$846,0)),""))</f>
        <v>2026</v>
      </c>
      <c r="V812">
        <f t="shared" si="155"/>
        <v>9</v>
      </c>
    </row>
    <row r="813" spans="1:22" x14ac:dyDescent="0.25">
      <c r="A813" t="str">
        <f>IF(games!$A813="","",games!$A813)</f>
        <v>Windblown</v>
      </c>
      <c r="B813">
        <f>IF($A813="","",games!$B813)</f>
        <v>2024</v>
      </c>
      <c r="C813" t="str">
        <f>IF($A813="","",games!$C813)</f>
        <v>Action</v>
      </c>
      <c r="D813">
        <f>IF($A813="","",COUNTIF(connections!$A$2:$A$1205,$A813)+COUNTIF(connections!$B$2:$B$1205,$A813))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IF(connections!$A813="","",IFERROR(INDEX(games!$B$2:$B$846,MATCH(connections!$A813,games!$A$2:$A$846,0)),""))</f>
        <v>2017</v>
      </c>
      <c r="U813">
        <f>IF(connections!$A813="","",IFERROR(INDEX(games!$B$2:$B$846,MATCH(connections!$B813,games!$A$2:$A$846,0)),""))</f>
        <v>2026</v>
      </c>
      <c r="V813">
        <f t="shared" si="155"/>
        <v>9</v>
      </c>
    </row>
    <row r="814" spans="1:22" x14ac:dyDescent="0.25">
      <c r="A814" t="str">
        <f>IF(games!$A814="","",games!$A814)</f>
        <v>Winnie's Hole</v>
      </c>
      <c r="B814">
        <f>IF($A814="","",games!$B814)</f>
        <v>2026</v>
      </c>
      <c r="C814" t="str">
        <f>IF($A814="","",games!$C814)</f>
        <v>Deckbuilder</v>
      </c>
      <c r="D814">
        <f>IF($A814="","",COUNTIF(connections!$A$2:$A$1205,$A814)+COUNTIF(connections!$B$2:$B$1205,$A814))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IF(connections!$A814="","",IFERROR(INDEX(games!$B$2:$B$846,MATCH(connections!$A814,games!$A$2:$A$846,0)),""))</f>
        <v>2017</v>
      </c>
      <c r="U814">
        <f>IF(connections!$A814="","",IFERROR(INDEX(games!$B$2:$B$846,MATCH(connections!$B814,games!$A$2:$A$846,0)),""))</f>
        <v>2023</v>
      </c>
      <c r="V814">
        <f t="shared" si="155"/>
        <v>6</v>
      </c>
    </row>
    <row r="815" spans="1:22" x14ac:dyDescent="0.25">
      <c r="A815" t="str">
        <f>IF(games!$A815="","",games!$A815)</f>
        <v>Wireworks</v>
      </c>
      <c r="B815">
        <f>IF($A815="","",games!$B815)</f>
        <v>2026</v>
      </c>
      <c r="C815" t="str">
        <f>IF($A815="","",games!$C815)</f>
        <v>Strategy</v>
      </c>
      <c r="D815">
        <f>IF($A815="","",COUNTIF(connections!$A$2:$A$1205,$A815)+COUNTIF(connections!$B$2:$B$1205,$A815))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IF(connections!$A815="","",IFERROR(INDEX(games!$B$2:$B$846,MATCH(connections!$A815,games!$A$2:$A$846,0)),""))</f>
        <v>2017</v>
      </c>
      <c r="U815">
        <f>IF(connections!$A815="","",IFERROR(INDEX(games!$B$2:$B$846,MATCH(connections!$B815,games!$A$2:$A$846,0)),""))</f>
        <v>2025</v>
      </c>
      <c r="V815">
        <f t="shared" si="155"/>
        <v>8</v>
      </c>
    </row>
    <row r="816" spans="1:22" x14ac:dyDescent="0.25">
      <c r="A816" t="str">
        <f>IF(games!$A816="","",games!$A816)</f>
        <v>Witchfire</v>
      </c>
      <c r="B816">
        <f>IF($A816="","",games!$B816)</f>
        <v>2024</v>
      </c>
      <c r="C816" t="str">
        <f>IF($A816="","",games!$C816)</f>
        <v>Action</v>
      </c>
      <c r="D816">
        <f>IF($A816="","",COUNTIF(connections!$A$2:$A$1205,$A816)+COUNTIF(connections!$B$2:$B$1205,$A816))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IF(connections!$A816="","",IFERROR(INDEX(games!$B$2:$B$846,MATCH(connections!$A816,games!$A$2:$A$846,0)),""))</f>
        <v>2017</v>
      </c>
      <c r="U816">
        <f>IF(connections!$A816="","",IFERROR(INDEX(games!$B$2:$B$846,MATCH(connections!$B816,games!$A$2:$A$846,0)),""))</f>
        <v>2025</v>
      </c>
      <c r="V816">
        <f t="shared" si="155"/>
        <v>8</v>
      </c>
    </row>
    <row r="817" spans="1:22" x14ac:dyDescent="0.25">
      <c r="A817" t="str">
        <f>IF(games!$A817="","",games!$A817)</f>
        <v>Witch's Apocalyptic Journey</v>
      </c>
      <c r="B817">
        <f>IF($A817="","",games!$B817)</f>
        <v>2026</v>
      </c>
      <c r="C817" t="str">
        <f>IF($A817="","",games!$C817)</f>
        <v>Deckbuilder</v>
      </c>
      <c r="D817">
        <f>IF($A817="","",COUNTIF(connections!$A$2:$A$1205,$A817)+COUNTIF(connections!$B$2:$B$1205,$A817))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IF(connections!$A817="","",IFERROR(INDEX(games!$B$2:$B$846,MATCH(connections!$A817,games!$A$2:$A$846,0)),""))</f>
        <v>2017</v>
      </c>
      <c r="U817">
        <f>IF(connections!$A817="","",IFERROR(INDEX(games!$B$2:$B$846,MATCH(connections!$B817,games!$A$2:$A$846,0)),""))</f>
        <v>2023</v>
      </c>
      <c r="V817">
        <f t="shared" si="155"/>
        <v>6</v>
      </c>
    </row>
    <row r="818" spans="1:22" x14ac:dyDescent="0.25">
      <c r="A818" t="str">
        <f>IF(games!$A818="","",games!$A818)</f>
        <v>Wizard of Legend</v>
      </c>
      <c r="B818">
        <f>IF($A818="","",games!$B818)</f>
        <v>2018</v>
      </c>
      <c r="C818" t="str">
        <f>IF($A818="","",games!$C818)</f>
        <v>Action</v>
      </c>
      <c r="D818">
        <f>IF($A818="","",COUNTIF(connections!$A$2:$A$1205,$A818)+COUNTIF(connections!$B$2:$B$1205,$A818))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IF(connections!$A818="","",IFERROR(INDEX(games!$B$2:$B$846,MATCH(connections!$A818,games!$A$2:$A$846,0)),""))</f>
        <v>2017</v>
      </c>
      <c r="U818">
        <f>IF(connections!$A818="","",IFERROR(INDEX(games!$B$2:$B$846,MATCH(connections!$B818,games!$A$2:$A$846,0)),""))</f>
        <v>2026</v>
      </c>
      <c r="V818">
        <f t="shared" si="155"/>
        <v>9</v>
      </c>
    </row>
    <row r="819" spans="1:22" x14ac:dyDescent="0.25">
      <c r="A819" t="str">
        <f>IF(games!$A819="","",games!$A819)</f>
        <v>Wizard of Legend 2</v>
      </c>
      <c r="B819">
        <f>IF($A819="","",games!$B819)</f>
        <v>2024</v>
      </c>
      <c r="C819" t="str">
        <f>IF($A819="","",games!$C819)</f>
        <v>Action</v>
      </c>
      <c r="D819">
        <f>IF($A819="","",COUNTIF(connections!$A$2:$A$1205,$A819)+COUNTIF(connections!$B$2:$B$1205,$A819))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IF(connections!$A819="","",IFERROR(INDEX(games!$B$2:$B$846,MATCH(connections!$A819,games!$A$2:$A$846,0)),""))</f>
        <v>2017</v>
      </c>
      <c r="U819">
        <f>IF(connections!$A819="","",IFERROR(INDEX(games!$B$2:$B$846,MATCH(connections!$B819,games!$A$2:$A$846,0)),""))</f>
        <v>2018</v>
      </c>
      <c r="V819">
        <f t="shared" si="155"/>
        <v>1</v>
      </c>
    </row>
    <row r="820" spans="1:22" x14ac:dyDescent="0.25">
      <c r="A820" t="str">
        <f>IF(games!$A820="","",games!$A820)</f>
        <v>WizardChess</v>
      </c>
      <c r="B820">
        <f>IF($A820="","",games!$B820)</f>
        <v>2021</v>
      </c>
      <c r="C820" t="str">
        <f>IF($A820="","",games!$C820)</f>
        <v>Strategy</v>
      </c>
      <c r="D820">
        <f>IF($A820="","",COUNTIF(connections!$A$2:$A$1205,$A820)+COUNTIF(connections!$B$2:$B$1205,$A820))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IF(connections!$A820="","",IFERROR(INDEX(games!$B$2:$B$846,MATCH(connections!$A820,games!$A$2:$A$846,0)),""))</f>
        <v>2017</v>
      </c>
      <c r="U820">
        <f>IF(connections!$A820="","",IFERROR(INDEX(games!$B$2:$B$846,MATCH(connections!$B820,games!$A$2:$A$846,0)),""))</f>
        <v>2026</v>
      </c>
      <c r="V820">
        <f t="shared" si="155"/>
        <v>9</v>
      </c>
    </row>
    <row r="821" spans="1:22" x14ac:dyDescent="0.25">
      <c r="T821">
        <f>IF(connections!$A821="","",IFERROR(INDEX(games!$B$2:$B$846,MATCH(connections!$A821,games!$A$2:$A$846,0)),""))</f>
        <v>2017</v>
      </c>
      <c r="U821">
        <f>IF(connections!$A821="","",IFERROR(INDEX(games!$B$2:$B$846,MATCH(connections!$B821,games!$A$2:$A$846,0)),""))</f>
        <v>2024</v>
      </c>
      <c r="V821">
        <f t="shared" si="155"/>
        <v>7</v>
      </c>
    </row>
    <row r="822" spans="1:22" x14ac:dyDescent="0.25">
      <c r="T822">
        <f>IF(connections!$A822="","",IFERROR(INDEX(games!$B$2:$B$846,MATCH(connections!$A822,games!$A$2:$A$846,0)),""))</f>
        <v>2017</v>
      </c>
      <c r="U822">
        <f>IF(connections!$A822="","",IFERROR(INDEX(games!$B$2:$B$846,MATCH(connections!$B822,games!$A$2:$A$846,0)),""))</f>
        <v>2024</v>
      </c>
      <c r="V822">
        <f t="shared" si="155"/>
        <v>7</v>
      </c>
    </row>
    <row r="823" spans="1:22" x14ac:dyDescent="0.25">
      <c r="T823">
        <f>IF(connections!$A823="","",IFERROR(INDEX(games!$B$2:$B$846,MATCH(connections!$A823,games!$A$2:$A$846,0)),""))</f>
        <v>2017</v>
      </c>
      <c r="U823">
        <f>IF(connections!$A823="","",IFERROR(INDEX(games!$B$2:$B$846,MATCH(connections!$B823,games!$A$2:$A$846,0)),""))</f>
        <v>2023</v>
      </c>
      <c r="V823">
        <f t="shared" si="155"/>
        <v>6</v>
      </c>
    </row>
    <row r="824" spans="1:22" x14ac:dyDescent="0.25">
      <c r="T824">
        <f>IF(connections!$A824="","",IFERROR(INDEX(games!$B$2:$B$846,MATCH(connections!$A824,games!$A$2:$A$846,0)),""))</f>
        <v>2017</v>
      </c>
      <c r="U824">
        <f>IF(connections!$A824="","",IFERROR(INDEX(games!$B$2:$B$846,MATCH(connections!$B824,games!$A$2:$A$846,0)),""))</f>
        <v>2025</v>
      </c>
      <c r="V824">
        <f t="shared" si="155"/>
        <v>8</v>
      </c>
    </row>
    <row r="825" spans="1:22" x14ac:dyDescent="0.25">
      <c r="T825">
        <f>IF(connections!$A825="","",IFERROR(INDEX(games!$B$2:$B$846,MATCH(connections!$A825,games!$A$2:$A$846,0)),""))</f>
        <v>2017</v>
      </c>
      <c r="U825">
        <f>IF(connections!$A825="","",IFERROR(INDEX(games!$B$2:$B$846,MATCH(connections!$B825,games!$A$2:$A$846,0)),""))</f>
        <v>2026</v>
      </c>
      <c r="V825">
        <f t="shared" si="155"/>
        <v>9</v>
      </c>
    </row>
    <row r="826" spans="1:22" x14ac:dyDescent="0.25">
      <c r="T826">
        <f>IF(connections!$A826="","",IFERROR(INDEX(games!$B$2:$B$846,MATCH(connections!$A826,games!$A$2:$A$846,0)),""))</f>
        <v>2017</v>
      </c>
      <c r="U826">
        <f>IF(connections!$A826="","",IFERROR(INDEX(games!$B$2:$B$846,MATCH(connections!$B826,games!$A$2:$A$846,0)),""))</f>
        <v>2020</v>
      </c>
      <c r="V826">
        <f t="shared" si="155"/>
        <v>3</v>
      </c>
    </row>
    <row r="827" spans="1:22" x14ac:dyDescent="0.25">
      <c r="T827">
        <f>IF(connections!$A827="","",IFERROR(INDEX(games!$B$2:$B$846,MATCH(connections!$A827,games!$A$2:$A$846,0)),""))</f>
        <v>2017</v>
      </c>
      <c r="U827">
        <f>IF(connections!$A827="","",IFERROR(INDEX(games!$B$2:$B$846,MATCH(connections!$B827,games!$A$2:$A$846,0)),""))</f>
        <v>2023</v>
      </c>
      <c r="V827">
        <f t="shared" si="155"/>
        <v>6</v>
      </c>
    </row>
    <row r="828" spans="1:22" x14ac:dyDescent="0.25">
      <c r="T828">
        <f>IF(connections!$A828="","",IFERROR(INDEX(games!$B$2:$B$846,MATCH(connections!$A828,games!$A$2:$A$846,0)),""))</f>
        <v>2017</v>
      </c>
      <c r="U828">
        <f>IF(connections!$A828="","",IFERROR(INDEX(games!$B$2:$B$846,MATCH(connections!$B828,games!$A$2:$A$846,0)),""))</f>
        <v>2024</v>
      </c>
      <c r="V828">
        <f t="shared" si="155"/>
        <v>7</v>
      </c>
    </row>
    <row r="829" spans="1:22" x14ac:dyDescent="0.25">
      <c r="T829">
        <f>IF(connections!$A829="","",IFERROR(INDEX(games!$B$2:$B$846,MATCH(connections!$A829,games!$A$2:$A$846,0)),""))</f>
        <v>2017</v>
      </c>
      <c r="U829">
        <f>IF(connections!$A829="","",IFERROR(INDEX(games!$B$2:$B$846,MATCH(connections!$B829,games!$A$2:$A$846,0)),""))</f>
        <v>2021</v>
      </c>
      <c r="V829">
        <f t="shared" si="155"/>
        <v>4</v>
      </c>
    </row>
    <row r="830" spans="1:22" x14ac:dyDescent="0.25">
      <c r="T830">
        <f>IF(connections!$A830="","",IFERROR(INDEX(games!$B$2:$B$846,MATCH(connections!$A830,games!$A$2:$A$846,0)),""))</f>
        <v>2017</v>
      </c>
      <c r="U830">
        <f>IF(connections!$A830="","",IFERROR(INDEX(games!$B$2:$B$846,MATCH(connections!$B830,games!$A$2:$A$846,0)),""))</f>
        <v>2023</v>
      </c>
      <c r="V830">
        <f t="shared" si="155"/>
        <v>6</v>
      </c>
    </row>
    <row r="831" spans="1:22" x14ac:dyDescent="0.25">
      <c r="T831">
        <f>IF(connections!$A831="","",IFERROR(INDEX(games!$B$2:$B$846,MATCH(connections!$A831,games!$A$2:$A$846,0)),""))</f>
        <v>2017</v>
      </c>
      <c r="U831">
        <f>IF(connections!$A831="","",IFERROR(INDEX(games!$B$2:$B$846,MATCH(connections!$B831,games!$A$2:$A$846,0)),""))</f>
        <v>2025</v>
      </c>
      <c r="V831">
        <f t="shared" si="155"/>
        <v>8</v>
      </c>
    </row>
    <row r="832" spans="1:22" x14ac:dyDescent="0.25">
      <c r="T832">
        <f>IF(connections!$A832="","",IFERROR(INDEX(games!$B$2:$B$846,MATCH(connections!$A832,games!$A$2:$A$846,0)),""))</f>
        <v>2017</v>
      </c>
      <c r="U832">
        <f>IF(connections!$A832="","",IFERROR(INDEX(games!$B$2:$B$846,MATCH(connections!$B832,games!$A$2:$A$846,0)),""))</f>
        <v>2026</v>
      </c>
      <c r="V832">
        <f t="shared" si="155"/>
        <v>9</v>
      </c>
    </row>
    <row r="833" spans="20:22" x14ac:dyDescent="0.25">
      <c r="T833">
        <f>IF(connections!$A833="","",IFERROR(INDEX(games!$B$2:$B$846,MATCH(connections!$A833,games!$A$2:$A$846,0)),""))</f>
        <v>2017</v>
      </c>
      <c r="U833">
        <f>IF(connections!$A833="","",IFERROR(INDEX(games!$B$2:$B$846,MATCH(connections!$B833,games!$A$2:$A$846,0)),""))</f>
        <v>2025</v>
      </c>
      <c r="V833">
        <f t="shared" si="155"/>
        <v>8</v>
      </c>
    </row>
    <row r="834" spans="20:22" x14ac:dyDescent="0.25">
      <c r="T834">
        <f>IF(connections!$A834="","",IFERROR(INDEX(games!$B$2:$B$846,MATCH(connections!$A834,games!$A$2:$A$846,0)),""))</f>
        <v>2017</v>
      </c>
      <c r="U834">
        <f>IF(connections!$A834="","",IFERROR(INDEX(games!$B$2:$B$846,MATCH(connections!$B834,games!$A$2:$A$846,0)),""))</f>
        <v>2022</v>
      </c>
      <c r="V834">
        <f t="shared" ref="V834:V897" si="156">IF(OR($T834="",$U834=""),"",$U834-$T834)</f>
        <v>5</v>
      </c>
    </row>
    <row r="835" spans="20:22" x14ac:dyDescent="0.25">
      <c r="T835">
        <f>IF(connections!$A835="","",IFERROR(INDEX(games!$B$2:$B$846,MATCH(connections!$A835,games!$A$2:$A$846,0)),""))</f>
        <v>2017</v>
      </c>
      <c r="U835">
        <f>IF(connections!$A835="","",IFERROR(INDEX(games!$B$2:$B$846,MATCH(connections!$B835,games!$A$2:$A$846,0)),""))</f>
        <v>2023</v>
      </c>
      <c r="V835">
        <f t="shared" si="156"/>
        <v>6</v>
      </c>
    </row>
    <row r="836" spans="20:22" x14ac:dyDescent="0.25">
      <c r="T836">
        <f>IF(connections!$A836="","",IFERROR(INDEX(games!$B$2:$B$846,MATCH(connections!$A836,games!$A$2:$A$846,0)),""))</f>
        <v>2017</v>
      </c>
      <c r="U836">
        <f>IF(connections!$A836="","",IFERROR(INDEX(games!$B$2:$B$846,MATCH(connections!$B836,games!$A$2:$A$846,0)),""))</f>
        <v>2021</v>
      </c>
      <c r="V836">
        <f t="shared" si="156"/>
        <v>4</v>
      </c>
    </row>
    <row r="837" spans="20:22" x14ac:dyDescent="0.25">
      <c r="T837">
        <f>IF(connections!$A837="","",IFERROR(INDEX(games!$B$2:$B$846,MATCH(connections!$A837,games!$A$2:$A$846,0)),""))</f>
        <v>2017</v>
      </c>
      <c r="U837">
        <f>IF(connections!$A837="","",IFERROR(INDEX(games!$B$2:$B$846,MATCH(connections!$B837,games!$A$2:$A$846,0)),""))</f>
        <v>2019</v>
      </c>
      <c r="V837">
        <f t="shared" si="156"/>
        <v>2</v>
      </c>
    </row>
    <row r="838" spans="20:22" x14ac:dyDescent="0.25">
      <c r="T838">
        <f>IF(connections!$A838="","",IFERROR(INDEX(games!$B$2:$B$846,MATCH(connections!$A838,games!$A$2:$A$846,0)),""))</f>
        <v>2017</v>
      </c>
      <c r="U838">
        <f>IF(connections!$A838="","",IFERROR(INDEX(games!$B$2:$B$846,MATCH(connections!$B838,games!$A$2:$A$846,0)),""))</f>
        <v>2020</v>
      </c>
      <c r="V838">
        <f t="shared" si="156"/>
        <v>3</v>
      </c>
    </row>
    <row r="839" spans="20:22" x14ac:dyDescent="0.25">
      <c r="T839">
        <f>IF(connections!$A839="","",IFERROR(INDEX(games!$B$2:$B$846,MATCH(connections!$A839,games!$A$2:$A$846,0)),""))</f>
        <v>2017</v>
      </c>
      <c r="U839">
        <f>IF(connections!$A839="","",IFERROR(INDEX(games!$B$2:$B$846,MATCH(connections!$B839,games!$A$2:$A$846,0)),""))</f>
        <v>2021</v>
      </c>
      <c r="V839">
        <f t="shared" si="156"/>
        <v>4</v>
      </c>
    </row>
    <row r="840" spans="20:22" x14ac:dyDescent="0.25">
      <c r="T840">
        <f>IF(connections!$A840="","",IFERROR(INDEX(games!$B$2:$B$846,MATCH(connections!$A840,games!$A$2:$A$846,0)),""))</f>
        <v>2017</v>
      </c>
      <c r="U840">
        <f>IF(connections!$A840="","",IFERROR(INDEX(games!$B$2:$B$846,MATCH(connections!$B840,games!$A$2:$A$846,0)),""))</f>
        <v>2026</v>
      </c>
      <c r="V840">
        <f t="shared" si="156"/>
        <v>9</v>
      </c>
    </row>
    <row r="841" spans="20:22" x14ac:dyDescent="0.25">
      <c r="T841">
        <f>IF(connections!$A841="","",IFERROR(INDEX(games!$B$2:$B$846,MATCH(connections!$A841,games!$A$2:$A$846,0)),""))</f>
        <v>2017</v>
      </c>
      <c r="U841">
        <f>IF(connections!$A841="","",IFERROR(INDEX(games!$B$2:$B$846,MATCH(connections!$B841,games!$A$2:$A$846,0)),""))</f>
        <v>2025</v>
      </c>
      <c r="V841">
        <f t="shared" si="156"/>
        <v>8</v>
      </c>
    </row>
    <row r="842" spans="20:22" x14ac:dyDescent="0.25">
      <c r="T842">
        <f>IF(connections!$A842="","",IFERROR(INDEX(games!$B$2:$B$846,MATCH(connections!$A842,games!$A$2:$A$846,0)),""))</f>
        <v>2017</v>
      </c>
      <c r="U842">
        <f>IF(connections!$A842="","",IFERROR(INDEX(games!$B$2:$B$846,MATCH(connections!$B842,games!$A$2:$A$846,0)),""))</f>
        <v>2023</v>
      </c>
      <c r="V842">
        <f t="shared" si="156"/>
        <v>6</v>
      </c>
    </row>
    <row r="843" spans="20:22" x14ac:dyDescent="0.25">
      <c r="T843">
        <f>IF(connections!$A843="","",IFERROR(INDEX(games!$B$2:$B$846,MATCH(connections!$A843,games!$A$2:$A$846,0)),""))</f>
        <v>2017</v>
      </c>
      <c r="U843">
        <f>IF(connections!$A843="","",IFERROR(INDEX(games!$B$2:$B$846,MATCH(connections!$B843,games!$A$2:$A$846,0)),""))</f>
        <v>2026</v>
      </c>
      <c r="V843">
        <f t="shared" si="156"/>
        <v>9</v>
      </c>
    </row>
    <row r="844" spans="20:22" x14ac:dyDescent="0.25">
      <c r="T844">
        <f>IF(connections!$A844="","",IFERROR(INDEX(games!$B$2:$B$846,MATCH(connections!$A844,games!$A$2:$A$846,0)),""))</f>
        <v>2017</v>
      </c>
      <c r="U844">
        <f>IF(connections!$A844="","",IFERROR(INDEX(games!$B$2:$B$846,MATCH(connections!$B844,games!$A$2:$A$846,0)),""))</f>
        <v>2026</v>
      </c>
      <c r="V844">
        <f t="shared" si="156"/>
        <v>9</v>
      </c>
    </row>
    <row r="845" spans="20:22" x14ac:dyDescent="0.25">
      <c r="T845">
        <f>IF(connections!$A845="","",IFERROR(INDEX(games!$B$2:$B$846,MATCH(connections!$A845,games!$A$2:$A$846,0)),""))</f>
        <v>2017</v>
      </c>
      <c r="U845">
        <f>IF(connections!$A845="","",IFERROR(INDEX(games!$B$2:$B$846,MATCH(connections!$B845,games!$A$2:$A$846,0)),""))</f>
        <v>2022</v>
      </c>
      <c r="V845">
        <f t="shared" si="156"/>
        <v>5</v>
      </c>
    </row>
    <row r="846" spans="20:22" x14ac:dyDescent="0.25">
      <c r="T846">
        <f>IF(connections!$A846="","",IFERROR(INDEX(games!$B$2:$B$846,MATCH(connections!$A846,games!$A$2:$A$846,0)),""))</f>
        <v>2017</v>
      </c>
      <c r="U846">
        <f>IF(connections!$A846="","",IFERROR(INDEX(games!$B$2:$B$846,MATCH(connections!$B846,games!$A$2:$A$846,0)),""))</f>
        <v>2024</v>
      </c>
      <c r="V846">
        <f t="shared" si="156"/>
        <v>7</v>
      </c>
    </row>
    <row r="847" spans="20:22" x14ac:dyDescent="0.25">
      <c r="T847">
        <f>IF(connections!$A847="","",IFERROR(INDEX(games!$B$2:$B$846,MATCH(connections!$A847,games!$A$2:$A$846,0)),""))</f>
        <v>2017</v>
      </c>
      <c r="U847">
        <f>IF(connections!$A847="","",IFERROR(INDEX(games!$B$2:$B$846,MATCH(connections!$B847,games!$A$2:$A$846,0)),""))</f>
        <v>2024</v>
      </c>
      <c r="V847">
        <f t="shared" si="156"/>
        <v>7</v>
      </c>
    </row>
    <row r="848" spans="20:22" x14ac:dyDescent="0.25">
      <c r="T848">
        <f>IF(connections!$A848="","",IFERROR(INDEX(games!$B$2:$B$846,MATCH(connections!$A848,games!$A$2:$A$846,0)),""))</f>
        <v>2017</v>
      </c>
      <c r="U848">
        <f>IF(connections!$A848="","",IFERROR(INDEX(games!$B$2:$B$846,MATCH(connections!$B848,games!$A$2:$A$846,0)),""))</f>
        <v>2023</v>
      </c>
      <c r="V848">
        <f t="shared" si="156"/>
        <v>6</v>
      </c>
    </row>
    <row r="849" spans="20:22" x14ac:dyDescent="0.25">
      <c r="T849">
        <f>IF(connections!$A849="","",IFERROR(INDEX(games!$B$2:$B$846,MATCH(connections!$A849,games!$A$2:$A$846,0)),""))</f>
        <v>2018</v>
      </c>
      <c r="U849">
        <f>IF(connections!$A849="","",IFERROR(INDEX(games!$B$2:$B$846,MATCH(connections!$B849,games!$A$2:$A$846,0)),""))</f>
        <v>2025</v>
      </c>
      <c r="V849">
        <f t="shared" si="156"/>
        <v>7</v>
      </c>
    </row>
    <row r="850" spans="20:22" x14ac:dyDescent="0.25">
      <c r="T850">
        <f>IF(connections!$A850="","",IFERROR(INDEX(games!$B$2:$B$846,MATCH(connections!$A850,games!$A$2:$A$846,0)),""))</f>
        <v>2018</v>
      </c>
      <c r="U850">
        <f>IF(connections!$A850="","",IFERROR(INDEX(games!$B$2:$B$846,MATCH(connections!$B850,games!$A$2:$A$846,0)),""))</f>
        <v>2024</v>
      </c>
      <c r="V850">
        <f t="shared" si="156"/>
        <v>6</v>
      </c>
    </row>
    <row r="851" spans="20:22" x14ac:dyDescent="0.25">
      <c r="T851">
        <f>IF(connections!$A851="","",IFERROR(INDEX(games!$B$2:$B$846,MATCH(connections!$A851,games!$A$2:$A$846,0)),""))</f>
        <v>2023</v>
      </c>
      <c r="U851">
        <f>IF(connections!$A851="","",IFERROR(INDEX(games!$B$2:$B$846,MATCH(connections!$B851,games!$A$2:$A$846,0)),""))</f>
        <v>2026</v>
      </c>
      <c r="V851">
        <f t="shared" si="156"/>
        <v>3</v>
      </c>
    </row>
    <row r="852" spans="20:22" x14ac:dyDescent="0.25">
      <c r="T852">
        <f>IF(connections!$A852="","",IFERROR(INDEX(games!$B$2:$B$846,MATCH(connections!$A852,games!$A$2:$A$846,0)),""))</f>
        <v>2021</v>
      </c>
      <c r="U852">
        <f>IF(connections!$A852="","",IFERROR(INDEX(games!$B$2:$B$846,MATCH(connections!$B852,games!$A$2:$A$846,0)),""))</f>
        <v>2023</v>
      </c>
      <c r="V852">
        <f t="shared" si="156"/>
        <v>2</v>
      </c>
    </row>
    <row r="853" spans="20:22" x14ac:dyDescent="0.25">
      <c r="T853">
        <f>IF(connections!$A853="","",IFERROR(INDEX(games!$B$2:$B$846,MATCH(connections!$A853,games!$A$2:$A$846,0)),""))</f>
        <v>2021</v>
      </c>
      <c r="U853">
        <f>IF(connections!$A853="","",IFERROR(INDEX(games!$B$2:$B$846,MATCH(connections!$B853,games!$A$2:$A$846,0)),""))</f>
        <v>2022</v>
      </c>
      <c r="V853">
        <f t="shared" si="156"/>
        <v>1</v>
      </c>
    </row>
    <row r="854" spans="20:22" x14ac:dyDescent="0.25">
      <c r="T854">
        <f>IF(connections!$A854="","",IFERROR(INDEX(games!$B$2:$B$846,MATCH(connections!$A854,games!$A$2:$A$846,0)),""))</f>
        <v>2021</v>
      </c>
      <c r="U854">
        <f>IF(connections!$A854="","",IFERROR(INDEX(games!$B$2:$B$846,MATCH(connections!$B854,games!$A$2:$A$846,0)),""))</f>
        <v>2023</v>
      </c>
      <c r="V854">
        <f t="shared" si="156"/>
        <v>2</v>
      </c>
    </row>
    <row r="855" spans="20:22" x14ac:dyDescent="0.25">
      <c r="T855">
        <f>IF(connections!$A855="","",IFERROR(INDEX(games!$B$2:$B$846,MATCH(connections!$A855,games!$A$2:$A$846,0)),""))</f>
        <v>2021</v>
      </c>
      <c r="U855">
        <f>IF(connections!$A855="","",IFERROR(INDEX(games!$B$2:$B$846,MATCH(connections!$B855,games!$A$2:$A$846,0)),""))</f>
        <v>2023</v>
      </c>
      <c r="V855">
        <f t="shared" si="156"/>
        <v>2</v>
      </c>
    </row>
    <row r="856" spans="20:22" x14ac:dyDescent="0.25">
      <c r="T856">
        <f>IF(connections!$A856="","",IFERROR(INDEX(games!$B$2:$B$846,MATCH(connections!$A856,games!$A$2:$A$846,0)),""))</f>
        <v>2021</v>
      </c>
      <c r="U856">
        <f>IF(connections!$A856="","",IFERROR(INDEX(games!$B$2:$B$846,MATCH(connections!$B856,games!$A$2:$A$846,0)),""))</f>
        <v>2026</v>
      </c>
      <c r="V856">
        <f t="shared" si="156"/>
        <v>5</v>
      </c>
    </row>
    <row r="857" spans="20:22" x14ac:dyDescent="0.25">
      <c r="T857">
        <f>IF(connections!$A857="","",IFERROR(INDEX(games!$B$2:$B$846,MATCH(connections!$A857,games!$A$2:$A$846,0)),""))</f>
        <v>2021</v>
      </c>
      <c r="U857">
        <f>IF(connections!$A857="","",IFERROR(INDEX(games!$B$2:$B$846,MATCH(connections!$B857,games!$A$2:$A$846,0)),""))</f>
        <v>2025</v>
      </c>
      <c r="V857">
        <f t="shared" si="156"/>
        <v>4</v>
      </c>
    </row>
    <row r="858" spans="20:22" x14ac:dyDescent="0.25">
      <c r="T858">
        <f>IF(connections!$A858="","",IFERROR(INDEX(games!$B$2:$B$846,MATCH(connections!$A858,games!$A$2:$A$846,0)),""))</f>
        <v>2022</v>
      </c>
      <c r="U858">
        <f>IF(connections!$A858="","",IFERROR(INDEX(games!$B$2:$B$846,MATCH(connections!$B858,games!$A$2:$A$846,0)),""))</f>
        <v>2023</v>
      </c>
      <c r="V858">
        <f t="shared" si="156"/>
        <v>1</v>
      </c>
    </row>
    <row r="859" spans="20:22" x14ac:dyDescent="0.25">
      <c r="T859">
        <f>IF(connections!$A859="","",IFERROR(INDEX(games!$B$2:$B$846,MATCH(connections!$A859,games!$A$2:$A$846,0)),""))</f>
        <v>2019</v>
      </c>
      <c r="U859">
        <f>IF(connections!$A859="","",IFERROR(INDEX(games!$B$2:$B$846,MATCH(connections!$B859,games!$A$2:$A$846,0)),""))</f>
        <v>2022</v>
      </c>
      <c r="V859">
        <f t="shared" si="156"/>
        <v>3</v>
      </c>
    </row>
    <row r="860" spans="20:22" x14ac:dyDescent="0.25">
      <c r="T860">
        <f>IF(connections!$A860="","",IFERROR(INDEX(games!$B$2:$B$846,MATCH(connections!$A860,games!$A$2:$A$846,0)),""))</f>
        <v>2012</v>
      </c>
      <c r="U860">
        <f>IF(connections!$A860="","",IFERROR(INDEX(games!$B$2:$B$846,MATCH(connections!$B860,games!$A$2:$A$846,0)),""))</f>
        <v>2020</v>
      </c>
      <c r="V860">
        <f t="shared" si="156"/>
        <v>8</v>
      </c>
    </row>
    <row r="861" spans="20:22" x14ac:dyDescent="0.25">
      <c r="T861">
        <f>IF(connections!$A861="","",IFERROR(INDEX(games!$B$2:$B$846,MATCH(connections!$A861,games!$A$2:$A$846,0)),""))</f>
        <v>2008</v>
      </c>
      <c r="U861">
        <f>IF(connections!$A861="","",IFERROR(INDEX(games!$B$2:$B$846,MATCH(connections!$B861,games!$A$2:$A$846,0)),""))</f>
        <v>2013</v>
      </c>
      <c r="V861">
        <f t="shared" si="156"/>
        <v>5</v>
      </c>
    </row>
    <row r="862" spans="20:22" x14ac:dyDescent="0.25">
      <c r="T862">
        <f>IF(connections!$A862="","",IFERROR(INDEX(games!$B$2:$B$846,MATCH(connections!$A862,games!$A$2:$A$846,0)),""))</f>
        <v>2008</v>
      </c>
      <c r="U862">
        <f>IF(connections!$A862="","",IFERROR(INDEX(games!$B$2:$B$846,MATCH(connections!$B862,games!$A$2:$A$846,0)),""))</f>
        <v>2015</v>
      </c>
      <c r="V862">
        <f t="shared" si="156"/>
        <v>7</v>
      </c>
    </row>
    <row r="863" spans="20:22" x14ac:dyDescent="0.25">
      <c r="T863">
        <f>IF(connections!$A863="","",IFERROR(INDEX(games!$B$2:$B$846,MATCH(connections!$A863,games!$A$2:$A$846,0)),""))</f>
        <v>2008</v>
      </c>
      <c r="U863">
        <f>IF(connections!$A863="","",IFERROR(INDEX(games!$B$2:$B$846,MATCH(connections!$B863,games!$A$2:$A$846,0)),""))</f>
        <v>2019</v>
      </c>
      <c r="V863">
        <f t="shared" si="156"/>
        <v>11</v>
      </c>
    </row>
    <row r="864" spans="20:22" x14ac:dyDescent="0.25">
      <c r="T864">
        <f>IF(connections!$A864="","",IFERROR(INDEX(games!$B$2:$B$846,MATCH(connections!$A864,games!$A$2:$A$846,0)),""))</f>
        <v>2008</v>
      </c>
      <c r="U864">
        <f>IF(connections!$A864="","",IFERROR(INDEX(games!$B$2:$B$846,MATCH(connections!$B864,games!$A$2:$A$846,0)),""))</f>
        <v>2015</v>
      </c>
      <c r="V864">
        <f t="shared" si="156"/>
        <v>7</v>
      </c>
    </row>
    <row r="865" spans="20:22" x14ac:dyDescent="0.25">
      <c r="T865">
        <f>IF(connections!$A865="","",IFERROR(INDEX(games!$B$2:$B$846,MATCH(connections!$A865,games!$A$2:$A$846,0)),""))</f>
        <v>2008</v>
      </c>
      <c r="U865">
        <f>IF(connections!$A865="","",IFERROR(INDEX(games!$B$2:$B$846,MATCH(connections!$B865,games!$A$2:$A$846,0)),""))</f>
        <v>2017</v>
      </c>
      <c r="V865">
        <f t="shared" si="156"/>
        <v>9</v>
      </c>
    </row>
    <row r="866" spans="20:22" x14ac:dyDescent="0.25">
      <c r="T866">
        <f>IF(connections!$A866="","",IFERROR(INDEX(games!$B$2:$B$846,MATCH(connections!$A866,games!$A$2:$A$846,0)),""))</f>
        <v>2008</v>
      </c>
      <c r="U866">
        <f>IF(connections!$A866="","",IFERROR(INDEX(games!$B$2:$B$846,MATCH(connections!$B866,games!$A$2:$A$846,0)),""))</f>
        <v>2013</v>
      </c>
      <c r="V866">
        <f t="shared" si="156"/>
        <v>5</v>
      </c>
    </row>
    <row r="867" spans="20:22" x14ac:dyDescent="0.25">
      <c r="T867">
        <f>IF(connections!$A867="","",IFERROR(INDEX(games!$B$2:$B$846,MATCH(connections!$A867,games!$A$2:$A$846,0)),""))</f>
        <v>2008</v>
      </c>
      <c r="U867">
        <f>IF(connections!$A867="","",IFERROR(INDEX(games!$B$2:$B$846,MATCH(connections!$B867,games!$A$2:$A$846,0)),""))</f>
        <v>2015</v>
      </c>
      <c r="V867">
        <f t="shared" si="156"/>
        <v>7</v>
      </c>
    </row>
    <row r="868" spans="20:22" x14ac:dyDescent="0.25">
      <c r="T868">
        <f>IF(connections!$A868="","",IFERROR(INDEX(games!$B$2:$B$846,MATCH(connections!$A868,games!$A$2:$A$846,0)),""))</f>
        <v>2008</v>
      </c>
      <c r="U868">
        <f>IF(connections!$A868="","",IFERROR(INDEX(games!$B$2:$B$846,MATCH(connections!$B868,games!$A$2:$A$846,0)),""))</f>
        <v>2024</v>
      </c>
      <c r="V868">
        <f t="shared" si="156"/>
        <v>16</v>
      </c>
    </row>
    <row r="869" spans="20:22" x14ac:dyDescent="0.25">
      <c r="T869">
        <f>IF(connections!$A869="","",IFERROR(INDEX(games!$B$2:$B$846,MATCH(connections!$A869,games!$A$2:$A$846,0)),""))</f>
        <v>2008</v>
      </c>
      <c r="U869">
        <f>IF(connections!$A869="","",IFERROR(INDEX(games!$B$2:$B$846,MATCH(connections!$B869,games!$A$2:$A$846,0)),""))</f>
        <v>2015</v>
      </c>
      <c r="V869">
        <f t="shared" si="156"/>
        <v>7</v>
      </c>
    </row>
    <row r="870" spans="20:22" x14ac:dyDescent="0.25">
      <c r="T870">
        <f>IF(connections!$A870="","",IFERROR(INDEX(games!$B$2:$B$846,MATCH(connections!$A870,games!$A$2:$A$846,0)),""))</f>
        <v>2008</v>
      </c>
      <c r="U870">
        <f>IF(connections!$A870="","",IFERROR(INDEX(games!$B$2:$B$846,MATCH(connections!$B870,games!$A$2:$A$846,0)),""))</f>
        <v>2025</v>
      </c>
      <c r="V870">
        <f t="shared" si="156"/>
        <v>17</v>
      </c>
    </row>
    <row r="871" spans="20:22" x14ac:dyDescent="0.25">
      <c r="T871">
        <f>IF(connections!$A871="","",IFERROR(INDEX(games!$B$2:$B$846,MATCH(connections!$A871,games!$A$2:$A$846,0)),""))</f>
        <v>2008</v>
      </c>
      <c r="U871">
        <f>IF(connections!$A871="","",IFERROR(INDEX(games!$B$2:$B$846,MATCH(connections!$B871,games!$A$2:$A$846,0)),""))</f>
        <v>2016</v>
      </c>
      <c r="V871">
        <f t="shared" si="156"/>
        <v>8</v>
      </c>
    </row>
    <row r="872" spans="20:22" x14ac:dyDescent="0.25">
      <c r="T872">
        <f>IF(connections!$A872="","",IFERROR(INDEX(games!$B$2:$B$846,MATCH(connections!$A872,games!$A$2:$A$846,0)),""))</f>
        <v>2008</v>
      </c>
      <c r="U872">
        <f>IF(connections!$A872="","",IFERROR(INDEX(games!$B$2:$B$846,MATCH(connections!$B872,games!$A$2:$A$846,0)),""))</f>
        <v>2024</v>
      </c>
      <c r="V872">
        <f t="shared" si="156"/>
        <v>16</v>
      </c>
    </row>
    <row r="873" spans="20:22" x14ac:dyDescent="0.25">
      <c r="T873">
        <f>IF(connections!$A873="","",IFERROR(INDEX(games!$B$2:$B$846,MATCH(connections!$A873,games!$A$2:$A$846,0)),""))</f>
        <v>2008</v>
      </c>
      <c r="U873">
        <f>IF(connections!$A873="","",IFERROR(INDEX(games!$B$2:$B$846,MATCH(connections!$B873,games!$A$2:$A$846,0)),""))</f>
        <v>2017</v>
      </c>
      <c r="V873">
        <f t="shared" si="156"/>
        <v>9</v>
      </c>
    </row>
    <row r="874" spans="20:22" x14ac:dyDescent="0.25">
      <c r="T874">
        <f>IF(connections!$A874="","",IFERROR(INDEX(games!$B$2:$B$846,MATCH(connections!$A874,games!$A$2:$A$846,0)),""))</f>
        <v>2008</v>
      </c>
      <c r="U874">
        <f>IF(connections!$A874="","",IFERROR(INDEX(games!$B$2:$B$846,MATCH(connections!$B874,games!$A$2:$A$846,0)),""))</f>
        <v>2012</v>
      </c>
      <c r="V874">
        <f t="shared" si="156"/>
        <v>4</v>
      </c>
    </row>
    <row r="875" spans="20:22" x14ac:dyDescent="0.25">
      <c r="T875">
        <f>IF(connections!$A875="","",IFERROR(INDEX(games!$B$2:$B$846,MATCH(connections!$A875,games!$A$2:$A$846,0)),""))</f>
        <v>2008</v>
      </c>
      <c r="U875">
        <f>IF(connections!$A875="","",IFERROR(INDEX(games!$B$2:$B$846,MATCH(connections!$B875,games!$A$2:$A$846,0)),""))</f>
        <v>2020</v>
      </c>
      <c r="V875">
        <f t="shared" si="156"/>
        <v>12</v>
      </c>
    </row>
    <row r="876" spans="20:22" x14ac:dyDescent="0.25">
      <c r="T876">
        <f>IF(connections!$A876="","",IFERROR(INDEX(games!$B$2:$B$846,MATCH(connections!$A876,games!$A$2:$A$846,0)),""))</f>
        <v>2008</v>
      </c>
      <c r="U876">
        <f>IF(connections!$A876="","",IFERROR(INDEX(games!$B$2:$B$846,MATCH(connections!$B876,games!$A$2:$A$846,0)),""))</f>
        <v>2016</v>
      </c>
      <c r="V876">
        <f t="shared" si="156"/>
        <v>8</v>
      </c>
    </row>
    <row r="877" spans="20:22" x14ac:dyDescent="0.25">
      <c r="T877">
        <f>IF(connections!$A877="","",IFERROR(INDEX(games!$B$2:$B$846,MATCH(connections!$A877,games!$A$2:$A$846,0)),""))</f>
        <v>2008</v>
      </c>
      <c r="U877">
        <f>IF(connections!$A877="","",IFERROR(INDEX(games!$B$2:$B$846,MATCH(connections!$B877,games!$A$2:$A$846,0)),""))</f>
        <v>2017</v>
      </c>
      <c r="V877">
        <f t="shared" si="156"/>
        <v>9</v>
      </c>
    </row>
    <row r="878" spans="20:22" x14ac:dyDescent="0.25">
      <c r="T878">
        <f>IF(connections!$A878="","",IFERROR(INDEX(games!$B$2:$B$846,MATCH(connections!$A878,games!$A$2:$A$846,0)),""))</f>
        <v>2008</v>
      </c>
      <c r="U878">
        <f>IF(connections!$A878="","",IFERROR(INDEX(games!$B$2:$B$846,MATCH(connections!$B878,games!$A$2:$A$846,0)),""))</f>
        <v>2018</v>
      </c>
      <c r="V878">
        <f t="shared" si="156"/>
        <v>10</v>
      </c>
    </row>
    <row r="879" spans="20:22" x14ac:dyDescent="0.25">
      <c r="T879">
        <f>IF(connections!$A879="","",IFERROR(INDEX(games!$B$2:$B$846,MATCH(connections!$A879,games!$A$2:$A$846,0)),""))</f>
        <v>2008</v>
      </c>
      <c r="U879">
        <f>IF(connections!$A879="","",IFERROR(INDEX(games!$B$2:$B$846,MATCH(connections!$B879,games!$A$2:$A$846,0)),""))</f>
        <v>2015</v>
      </c>
      <c r="V879">
        <f t="shared" si="156"/>
        <v>7</v>
      </c>
    </row>
    <row r="880" spans="20:22" x14ac:dyDescent="0.25">
      <c r="T880">
        <f>IF(connections!$A880="","",IFERROR(INDEX(games!$B$2:$B$846,MATCH(connections!$A880,games!$A$2:$A$846,0)),""))</f>
        <v>2008</v>
      </c>
      <c r="U880">
        <f>IF(connections!$A880="","",IFERROR(INDEX(games!$B$2:$B$846,MATCH(connections!$B880,games!$A$2:$A$846,0)),""))</f>
        <v>2023</v>
      </c>
      <c r="V880">
        <f t="shared" si="156"/>
        <v>15</v>
      </c>
    </row>
    <row r="881" spans="20:22" x14ac:dyDescent="0.25">
      <c r="T881">
        <f>IF(connections!$A881="","",IFERROR(INDEX(games!$B$2:$B$846,MATCH(connections!$A881,games!$A$2:$A$846,0)),""))</f>
        <v>2008</v>
      </c>
      <c r="U881">
        <f>IF(connections!$A881="","",IFERROR(INDEX(games!$B$2:$B$846,MATCH(connections!$B881,games!$A$2:$A$846,0)),""))</f>
        <v>2019</v>
      </c>
      <c r="V881">
        <f t="shared" si="156"/>
        <v>11</v>
      </c>
    </row>
    <row r="882" spans="20:22" x14ac:dyDescent="0.25">
      <c r="T882">
        <f>IF(connections!$A882="","",IFERROR(INDEX(games!$B$2:$B$846,MATCH(connections!$A882,games!$A$2:$A$846,0)),""))</f>
        <v>2008</v>
      </c>
      <c r="U882">
        <f>IF(connections!$A882="","",IFERROR(INDEX(games!$B$2:$B$846,MATCH(connections!$B882,games!$A$2:$A$846,0)),""))</f>
        <v>2012</v>
      </c>
      <c r="V882">
        <f t="shared" si="156"/>
        <v>4</v>
      </c>
    </row>
    <row r="883" spans="20:22" x14ac:dyDescent="0.25">
      <c r="T883">
        <f>IF(connections!$A883="","",IFERROR(INDEX(games!$B$2:$B$846,MATCH(connections!$A883,games!$A$2:$A$846,0)),""))</f>
        <v>2008</v>
      </c>
      <c r="U883">
        <f>IF(connections!$A883="","",IFERROR(INDEX(games!$B$2:$B$846,MATCH(connections!$B883,games!$A$2:$A$846,0)),""))</f>
        <v>2013</v>
      </c>
      <c r="V883">
        <f t="shared" si="156"/>
        <v>5</v>
      </c>
    </row>
    <row r="884" spans="20:22" x14ac:dyDescent="0.25">
      <c r="T884">
        <f>IF(connections!$A884="","",IFERROR(INDEX(games!$B$2:$B$846,MATCH(connections!$A884,games!$A$2:$A$846,0)),""))</f>
        <v>2008</v>
      </c>
      <c r="U884">
        <f>IF(connections!$A884="","",IFERROR(INDEX(games!$B$2:$B$846,MATCH(connections!$B884,games!$A$2:$A$846,0)),""))</f>
        <v>2022</v>
      </c>
      <c r="V884">
        <f t="shared" si="156"/>
        <v>14</v>
      </c>
    </row>
    <row r="885" spans="20:22" x14ac:dyDescent="0.25">
      <c r="T885">
        <f>IF(connections!$A885="","",IFERROR(INDEX(games!$B$2:$B$846,MATCH(connections!$A885,games!$A$2:$A$846,0)),""))</f>
        <v>2008</v>
      </c>
      <c r="U885">
        <f>IF(connections!$A885="","",IFERROR(INDEX(games!$B$2:$B$846,MATCH(connections!$B885,games!$A$2:$A$846,0)),""))</f>
        <v>2014</v>
      </c>
      <c r="V885">
        <f t="shared" si="156"/>
        <v>6</v>
      </c>
    </row>
    <row r="886" spans="20:22" x14ac:dyDescent="0.25">
      <c r="T886">
        <f>IF(connections!$A886="","",IFERROR(INDEX(games!$B$2:$B$846,MATCH(connections!$A886,games!$A$2:$A$846,0)),""))</f>
        <v>2008</v>
      </c>
      <c r="U886">
        <f>IF(connections!$A886="","",IFERROR(INDEX(games!$B$2:$B$846,MATCH(connections!$B886,games!$A$2:$A$846,0)),""))</f>
        <v>2012</v>
      </c>
      <c r="V886">
        <f t="shared" si="156"/>
        <v>4</v>
      </c>
    </row>
    <row r="887" spans="20:22" x14ac:dyDescent="0.25">
      <c r="T887">
        <f>IF(connections!$A887="","",IFERROR(INDEX(games!$B$2:$B$846,MATCH(connections!$A887,games!$A$2:$A$846,0)),""))</f>
        <v>2008</v>
      </c>
      <c r="U887">
        <f>IF(connections!$A887="","",IFERROR(INDEX(games!$B$2:$B$846,MATCH(connections!$B887,games!$A$2:$A$846,0)),""))</f>
        <v>2019</v>
      </c>
      <c r="V887">
        <f t="shared" si="156"/>
        <v>11</v>
      </c>
    </row>
    <row r="888" spans="20:22" x14ac:dyDescent="0.25">
      <c r="T888">
        <f>IF(connections!$A888="","",IFERROR(INDEX(games!$B$2:$B$846,MATCH(connections!$A888,games!$A$2:$A$846,0)),""))</f>
        <v>2008</v>
      </c>
      <c r="U888">
        <f>IF(connections!$A888="","",IFERROR(INDEX(games!$B$2:$B$846,MATCH(connections!$B888,games!$A$2:$A$846,0)),""))</f>
        <v>2017</v>
      </c>
      <c r="V888">
        <f t="shared" si="156"/>
        <v>9</v>
      </c>
    </row>
    <row r="889" spans="20:22" x14ac:dyDescent="0.25">
      <c r="T889">
        <f>IF(connections!$A889="","",IFERROR(INDEX(games!$B$2:$B$846,MATCH(connections!$A889,games!$A$2:$A$846,0)),""))</f>
        <v>2008</v>
      </c>
      <c r="U889">
        <f>IF(connections!$A889="","",IFERROR(INDEX(games!$B$2:$B$846,MATCH(connections!$B889,games!$A$2:$A$846,0)),""))</f>
        <v>2019</v>
      </c>
      <c r="V889">
        <f t="shared" si="156"/>
        <v>11</v>
      </c>
    </row>
    <row r="890" spans="20:22" x14ac:dyDescent="0.25">
      <c r="T890">
        <f>IF(connections!$A890="","",IFERROR(INDEX(games!$B$2:$B$846,MATCH(connections!$A890,games!$A$2:$A$846,0)),""))</f>
        <v>2008</v>
      </c>
      <c r="U890">
        <f>IF(connections!$A890="","",IFERROR(INDEX(games!$B$2:$B$846,MATCH(connections!$B890,games!$A$2:$A$846,0)),""))</f>
        <v>2016</v>
      </c>
      <c r="V890">
        <f t="shared" si="156"/>
        <v>8</v>
      </c>
    </row>
    <row r="891" spans="20:22" x14ac:dyDescent="0.25">
      <c r="T891">
        <f>IF(connections!$A891="","",IFERROR(INDEX(games!$B$2:$B$846,MATCH(connections!$A891,games!$A$2:$A$846,0)),""))</f>
        <v>2008</v>
      </c>
      <c r="U891">
        <f>IF(connections!$A891="","",IFERROR(INDEX(games!$B$2:$B$846,MATCH(connections!$B891,games!$A$2:$A$846,0)),""))</f>
        <v>2011</v>
      </c>
      <c r="V891">
        <f t="shared" si="156"/>
        <v>3</v>
      </c>
    </row>
    <row r="892" spans="20:22" x14ac:dyDescent="0.25">
      <c r="T892">
        <f>IF(connections!$A892="","",IFERROR(INDEX(games!$B$2:$B$846,MATCH(connections!$A892,games!$A$2:$A$846,0)),""))</f>
        <v>2008</v>
      </c>
      <c r="U892">
        <f>IF(connections!$A892="","",IFERROR(INDEX(games!$B$2:$B$846,MATCH(connections!$B892,games!$A$2:$A$846,0)),""))</f>
        <v>2017</v>
      </c>
      <c r="V892">
        <f t="shared" si="156"/>
        <v>9</v>
      </c>
    </row>
    <row r="893" spans="20:22" x14ac:dyDescent="0.25">
      <c r="T893">
        <f>IF(connections!$A893="","",IFERROR(INDEX(games!$B$2:$B$846,MATCH(connections!$A893,games!$A$2:$A$846,0)),""))</f>
        <v>2008</v>
      </c>
      <c r="U893">
        <f>IF(connections!$A893="","",IFERROR(INDEX(games!$B$2:$B$846,MATCH(connections!$B893,games!$A$2:$A$846,0)),""))</f>
        <v>2018</v>
      </c>
      <c r="V893">
        <f t="shared" si="156"/>
        <v>10</v>
      </c>
    </row>
    <row r="894" spans="20:22" x14ac:dyDescent="0.25">
      <c r="T894">
        <f>IF(connections!$A894="","",IFERROR(INDEX(games!$B$2:$B$846,MATCH(connections!$A894,games!$A$2:$A$846,0)),""))</f>
        <v>2008</v>
      </c>
      <c r="U894">
        <f>IF(connections!$A894="","",IFERROR(INDEX(games!$B$2:$B$846,MATCH(connections!$B894,games!$A$2:$A$846,0)),""))</f>
        <v>2023</v>
      </c>
      <c r="V894">
        <f t="shared" si="156"/>
        <v>15</v>
      </c>
    </row>
    <row r="895" spans="20:22" x14ac:dyDescent="0.25">
      <c r="T895">
        <f>IF(connections!$A895="","",IFERROR(INDEX(games!$B$2:$B$846,MATCH(connections!$A895,games!$A$2:$A$846,0)),""))</f>
        <v>2019</v>
      </c>
      <c r="U895">
        <f>IF(connections!$A895="","",IFERROR(INDEX(games!$B$2:$B$846,MATCH(connections!$B895,games!$A$2:$A$846,0)),""))</f>
        <v>2022</v>
      </c>
      <c r="V895">
        <f t="shared" si="156"/>
        <v>3</v>
      </c>
    </row>
    <row r="896" spans="20:22" x14ac:dyDescent="0.25">
      <c r="T896">
        <f>IF(connections!$A896="","",IFERROR(INDEX(games!$B$2:$B$846,MATCH(connections!$A896,games!$A$2:$A$846,0)),""))</f>
        <v>2014</v>
      </c>
      <c r="U896">
        <f>IF(connections!$A896="","",IFERROR(INDEX(games!$B$2:$B$846,MATCH(connections!$B896,games!$A$2:$A$846,0)),""))</f>
        <v>2017</v>
      </c>
      <c r="V896">
        <f t="shared" si="156"/>
        <v>3</v>
      </c>
    </row>
    <row r="897" spans="20:22" x14ac:dyDescent="0.25">
      <c r="T897">
        <f>IF(connections!$A897="","",IFERROR(INDEX(games!$B$2:$B$846,MATCH(connections!$A897,games!$A$2:$A$846,0)),""))</f>
        <v>2017</v>
      </c>
      <c r="U897">
        <f>IF(connections!$A897="","",IFERROR(INDEX(games!$B$2:$B$846,MATCH(connections!$B897,games!$A$2:$A$846,0)),""))</f>
        <v>2020</v>
      </c>
      <c r="V897">
        <f t="shared" si="156"/>
        <v>3</v>
      </c>
    </row>
    <row r="898" spans="20:22" x14ac:dyDescent="0.25">
      <c r="T898">
        <f>IF(connections!$A898="","",IFERROR(INDEX(games!$B$2:$B$846,MATCH(connections!$A898,games!$A$2:$A$846,0)),""))</f>
        <v>2020</v>
      </c>
      <c r="U898">
        <f>IF(connections!$A898="","",IFERROR(INDEX(games!$B$2:$B$846,MATCH(connections!$B898,games!$A$2:$A$846,0)),""))</f>
        <v>2025</v>
      </c>
      <c r="V898">
        <f t="shared" ref="V898:V961" si="157">IF(OR($T898="",$U898=""),"",$U898-$T898)</f>
        <v>5</v>
      </c>
    </row>
    <row r="899" spans="20:22" x14ac:dyDescent="0.25">
      <c r="T899">
        <f>IF(connections!$A899="","",IFERROR(INDEX(games!$B$2:$B$846,MATCH(connections!$A899,games!$A$2:$A$846,0)),""))</f>
        <v>2002</v>
      </c>
      <c r="U899">
        <f>IF(connections!$A899="","",IFERROR(INDEX(games!$B$2:$B$846,MATCH(connections!$B899,games!$A$2:$A$846,0)),""))</f>
        <v>2005</v>
      </c>
      <c r="V899">
        <f t="shared" si="157"/>
        <v>3</v>
      </c>
    </row>
    <row r="900" spans="20:22" x14ac:dyDescent="0.25">
      <c r="T900">
        <f>IF(connections!$A900="","",IFERROR(INDEX(games!$B$2:$B$846,MATCH(connections!$A900,games!$A$2:$A$846,0)),""))</f>
        <v>2017</v>
      </c>
      <c r="U900">
        <f>IF(connections!$A900="","",IFERROR(INDEX(games!$B$2:$B$846,MATCH(connections!$B900,games!$A$2:$A$846,0)),""))</f>
        <v>2026</v>
      </c>
      <c r="V900">
        <f t="shared" si="157"/>
        <v>9</v>
      </c>
    </row>
    <row r="901" spans="20:22" x14ac:dyDescent="0.25">
      <c r="T901">
        <f>IF(connections!$A901="","",IFERROR(INDEX(games!$B$2:$B$846,MATCH(connections!$A901,games!$A$2:$A$846,0)),""))</f>
        <v>2015</v>
      </c>
      <c r="U901">
        <f>IF(connections!$A901="","",IFERROR(INDEX(games!$B$2:$B$846,MATCH(connections!$B901,games!$A$2:$A$846,0)),""))</f>
        <v>2018</v>
      </c>
      <c r="V901">
        <f t="shared" si="157"/>
        <v>3</v>
      </c>
    </row>
    <row r="902" spans="20:22" x14ac:dyDescent="0.25">
      <c r="T902">
        <f>IF(connections!$A902="","",IFERROR(INDEX(games!$B$2:$B$846,MATCH(connections!$A902,games!$A$2:$A$846,0)),""))</f>
        <v>2021</v>
      </c>
      <c r="U902">
        <f>IF(connections!$A902="","",IFERROR(INDEX(games!$B$2:$B$846,MATCH(connections!$B902,games!$A$2:$A$846,0)),""))</f>
        <v>2023</v>
      </c>
      <c r="V902">
        <f t="shared" si="157"/>
        <v>2</v>
      </c>
    </row>
    <row r="903" spans="20:22" x14ac:dyDescent="0.25">
      <c r="T903">
        <f>IF(connections!$A903="","",IFERROR(INDEX(games!$B$2:$B$846,MATCH(connections!$A903,games!$A$2:$A$846,0)),""))</f>
        <v>2021</v>
      </c>
      <c r="U903">
        <f>IF(connections!$A903="","",IFERROR(INDEX(games!$B$2:$B$846,MATCH(connections!$B903,games!$A$2:$A$846,0)),""))</f>
        <v>2026</v>
      </c>
      <c r="V903">
        <f t="shared" si="157"/>
        <v>5</v>
      </c>
    </row>
    <row r="904" spans="20:22" x14ac:dyDescent="0.25">
      <c r="T904">
        <f>IF(connections!$A904="","",IFERROR(INDEX(games!$B$2:$B$846,MATCH(connections!$A904,games!$A$2:$A$846,0)),""))</f>
        <v>2021</v>
      </c>
      <c r="U904">
        <f>IF(connections!$A904="","",IFERROR(INDEX(games!$B$2:$B$846,MATCH(connections!$B904,games!$A$2:$A$846,0)),""))</f>
        <v>2024</v>
      </c>
      <c r="V904">
        <f t="shared" si="157"/>
        <v>3</v>
      </c>
    </row>
    <row r="905" spans="20:22" x14ac:dyDescent="0.25">
      <c r="T905">
        <f>IF(connections!$A905="","",IFERROR(INDEX(games!$B$2:$B$846,MATCH(connections!$A905,games!$A$2:$A$846,0)),""))</f>
        <v>2021</v>
      </c>
      <c r="U905">
        <f>IF(connections!$A905="","",IFERROR(INDEX(games!$B$2:$B$846,MATCH(connections!$B905,games!$A$2:$A$846,0)),""))</f>
        <v>2024</v>
      </c>
      <c r="V905">
        <f t="shared" si="157"/>
        <v>3</v>
      </c>
    </row>
    <row r="906" spans="20:22" x14ac:dyDescent="0.25">
      <c r="T906">
        <f>IF(connections!$A906="","",IFERROR(INDEX(games!$B$2:$B$846,MATCH(connections!$A906,games!$A$2:$A$846,0)),""))</f>
        <v>2021</v>
      </c>
      <c r="U906">
        <f>IF(connections!$A906="","",IFERROR(INDEX(games!$B$2:$B$846,MATCH(connections!$B906,games!$A$2:$A$846,0)),""))</f>
        <v>2025</v>
      </c>
      <c r="V906">
        <f t="shared" si="157"/>
        <v>4</v>
      </c>
    </row>
    <row r="907" spans="20:22" x14ac:dyDescent="0.25">
      <c r="T907">
        <f>IF(connections!$A907="","",IFERROR(INDEX(games!$B$2:$B$846,MATCH(connections!$A907,games!$A$2:$A$846,0)),""))</f>
        <v>2021</v>
      </c>
      <c r="U907">
        <f>IF(connections!$A907="","",IFERROR(INDEX(games!$B$2:$B$846,MATCH(connections!$B907,games!$A$2:$A$846,0)),""))</f>
        <v>2026</v>
      </c>
      <c r="V907">
        <f t="shared" si="157"/>
        <v>5</v>
      </c>
    </row>
    <row r="908" spans="20:22" x14ac:dyDescent="0.25">
      <c r="T908">
        <f>IF(connections!$A908="","",IFERROR(INDEX(games!$B$2:$B$846,MATCH(connections!$A908,games!$A$2:$A$846,0)),""))</f>
        <v>2021</v>
      </c>
      <c r="U908">
        <f>IF(connections!$A908="","",IFERROR(INDEX(games!$B$2:$B$846,MATCH(connections!$B908,games!$A$2:$A$846,0)),""))</f>
        <v>2025</v>
      </c>
      <c r="V908">
        <f t="shared" si="157"/>
        <v>4</v>
      </c>
    </row>
    <row r="909" spans="20:22" x14ac:dyDescent="0.25">
      <c r="T909">
        <f>IF(connections!$A909="","",IFERROR(INDEX(games!$B$2:$B$846,MATCH(connections!$A909,games!$A$2:$A$846,0)),""))</f>
        <v>2021</v>
      </c>
      <c r="U909">
        <f>IF(connections!$A909="","",IFERROR(INDEX(games!$B$2:$B$846,MATCH(connections!$B909,games!$A$2:$A$846,0)),""))</f>
        <v>2024</v>
      </c>
      <c r="V909">
        <f t="shared" si="157"/>
        <v>3</v>
      </c>
    </row>
    <row r="910" spans="20:22" x14ac:dyDescent="0.25">
      <c r="T910">
        <f>IF(connections!$A910="","",IFERROR(INDEX(games!$B$2:$B$846,MATCH(connections!$A910,games!$A$2:$A$846,0)),""))</f>
        <v>2021</v>
      </c>
      <c r="U910">
        <f>IF(connections!$A910="","",IFERROR(INDEX(games!$B$2:$B$846,MATCH(connections!$B910,games!$A$2:$A$846,0)),""))</f>
        <v>2026</v>
      </c>
      <c r="V910">
        <f t="shared" si="157"/>
        <v>5</v>
      </c>
    </row>
    <row r="911" spans="20:22" x14ac:dyDescent="0.25">
      <c r="T911">
        <f>IF(connections!$A911="","",IFERROR(INDEX(games!$B$2:$B$846,MATCH(connections!$A911,games!$A$2:$A$846,0)),""))</f>
        <v>2013</v>
      </c>
      <c r="U911">
        <f>IF(connections!$A911="","",IFERROR(INDEX(games!$B$2:$B$846,MATCH(connections!$B911,games!$A$2:$A$846,0)),""))</f>
        <v>2016</v>
      </c>
      <c r="V911">
        <f t="shared" si="157"/>
        <v>3</v>
      </c>
    </row>
    <row r="912" spans="20:22" x14ac:dyDescent="0.25">
      <c r="T912">
        <f>IF(connections!$A912="","",IFERROR(INDEX(games!$B$2:$B$846,MATCH(connections!$A912,games!$A$2:$A$846,0)),""))</f>
        <v>2025</v>
      </c>
      <c r="U912">
        <f>IF(connections!$A912="","",IFERROR(INDEX(games!$B$2:$B$846,MATCH(connections!$B912,games!$A$2:$A$846,0)),""))</f>
        <v>2026</v>
      </c>
      <c r="V912">
        <f t="shared" si="157"/>
        <v>1</v>
      </c>
    </row>
    <row r="913" spans="20:22" x14ac:dyDescent="0.25">
      <c r="T913">
        <f>IF(connections!$A913="","",IFERROR(INDEX(games!$B$2:$B$846,MATCH(connections!$A913,games!$A$2:$A$846,0)),""))</f>
        <v>1982</v>
      </c>
      <c r="U913">
        <f>IF(connections!$A913="","",IFERROR(INDEX(games!$B$2:$B$846,MATCH(connections!$B913,games!$A$2:$A$846,0)),""))</f>
        <v>2016</v>
      </c>
      <c r="V913">
        <f t="shared" si="157"/>
        <v>34</v>
      </c>
    </row>
    <row r="914" spans="20:22" x14ac:dyDescent="0.25">
      <c r="T914">
        <f>IF(connections!$A914="","",IFERROR(INDEX(games!$B$2:$B$846,MATCH(connections!$A914,games!$A$2:$A$846,0)),""))</f>
        <v>2018</v>
      </c>
      <c r="U914">
        <f>IF(connections!$A914="","",IFERROR(INDEX(games!$B$2:$B$846,MATCH(connections!$B914,games!$A$2:$A$846,0)),""))</f>
        <v>2021</v>
      </c>
      <c r="V914">
        <f t="shared" si="157"/>
        <v>3</v>
      </c>
    </row>
    <row r="915" spans="20:22" x14ac:dyDescent="0.25">
      <c r="T915">
        <f>IF(connections!$A915="","",IFERROR(INDEX(games!$B$2:$B$846,MATCH(connections!$A915,games!$A$2:$A$846,0)),""))</f>
        <v>1998</v>
      </c>
      <c r="U915">
        <f>IF(connections!$A915="","",IFERROR(INDEX(games!$B$2:$B$846,MATCH(connections!$B915,games!$A$2:$A$846,0)),""))</f>
        <v>2010</v>
      </c>
      <c r="V915">
        <f t="shared" si="157"/>
        <v>12</v>
      </c>
    </row>
    <row r="916" spans="20:22" x14ac:dyDescent="0.25">
      <c r="T916">
        <f>IF(connections!$A916="","",IFERROR(INDEX(games!$B$2:$B$846,MATCH(connections!$A916,games!$A$2:$A$846,0)),""))</f>
        <v>1998</v>
      </c>
      <c r="U916">
        <f>IF(connections!$A916="","",IFERROR(INDEX(games!$B$2:$B$846,MATCH(connections!$B916,games!$A$2:$A$846,0)),""))</f>
        <v>2010</v>
      </c>
      <c r="V916">
        <f t="shared" si="157"/>
        <v>12</v>
      </c>
    </row>
    <row r="917" spans="20:22" x14ac:dyDescent="0.25">
      <c r="T917">
        <f>IF(connections!$A917="","",IFERROR(INDEX(games!$B$2:$B$846,MATCH(connections!$A917,games!$A$2:$A$846,0)),""))</f>
        <v>1998</v>
      </c>
      <c r="U917">
        <f>IF(connections!$A917="","",IFERROR(INDEX(games!$B$2:$B$846,MATCH(connections!$B917,games!$A$2:$A$846,0)),""))</f>
        <v>2007</v>
      </c>
      <c r="V917">
        <f t="shared" si="157"/>
        <v>9</v>
      </c>
    </row>
    <row r="918" spans="20:22" x14ac:dyDescent="0.25">
      <c r="T918">
        <f>IF(connections!$A918="","",IFERROR(INDEX(games!$B$2:$B$846,MATCH(connections!$A918,games!$A$2:$A$846,0)),""))</f>
        <v>1998</v>
      </c>
      <c r="U918">
        <f>IF(connections!$A918="","",IFERROR(INDEX(games!$B$2:$B$846,MATCH(connections!$B918,games!$A$2:$A$846,0)),""))</f>
        <v>2020</v>
      </c>
      <c r="V918">
        <f t="shared" si="157"/>
        <v>22</v>
      </c>
    </row>
    <row r="919" spans="20:22" x14ac:dyDescent="0.25">
      <c r="T919">
        <f>IF(connections!$A919="","",IFERROR(INDEX(games!$B$2:$B$846,MATCH(connections!$A919,games!$A$2:$A$846,0)),""))</f>
        <v>1998</v>
      </c>
      <c r="U919">
        <f>IF(connections!$A919="","",IFERROR(INDEX(games!$B$2:$B$846,MATCH(connections!$B919,games!$A$2:$A$846,0)),""))</f>
        <v>2023</v>
      </c>
      <c r="V919">
        <f t="shared" si="157"/>
        <v>25</v>
      </c>
    </row>
    <row r="920" spans="20:22" x14ac:dyDescent="0.25">
      <c r="T920">
        <f>IF(connections!$A920="","",IFERROR(INDEX(games!$B$2:$B$846,MATCH(connections!$A920,games!$A$2:$A$846,0)),""))</f>
        <v>1998</v>
      </c>
      <c r="U920">
        <f>IF(connections!$A920="","",IFERROR(INDEX(games!$B$2:$B$846,MATCH(connections!$B920,games!$A$2:$A$846,0)),""))</f>
        <v>2020</v>
      </c>
      <c r="V920">
        <f t="shared" si="157"/>
        <v>22</v>
      </c>
    </row>
    <row r="921" spans="20:22" x14ac:dyDescent="0.25">
      <c r="T921">
        <f>IF(connections!$A921="","",IFERROR(INDEX(games!$B$2:$B$846,MATCH(connections!$A921,games!$A$2:$A$846,0)),""))</f>
        <v>1998</v>
      </c>
      <c r="U921">
        <f>IF(connections!$A921="","",IFERROR(INDEX(games!$B$2:$B$846,MATCH(connections!$B921,games!$A$2:$A$846,0)),""))</f>
        <v>2019</v>
      </c>
      <c r="V921">
        <f t="shared" si="157"/>
        <v>21</v>
      </c>
    </row>
    <row r="922" spans="20:22" x14ac:dyDescent="0.25">
      <c r="T922">
        <f>IF(connections!$A922="","",IFERROR(INDEX(games!$B$2:$B$846,MATCH(connections!$A922,games!$A$2:$A$846,0)),""))</f>
        <v>1998</v>
      </c>
      <c r="U922">
        <f>IF(connections!$A922="","",IFERROR(INDEX(games!$B$2:$B$846,MATCH(connections!$B922,games!$A$2:$A$846,0)),""))</f>
        <v>2017</v>
      </c>
      <c r="V922">
        <f t="shared" si="157"/>
        <v>19</v>
      </c>
    </row>
    <row r="923" spans="20:22" x14ac:dyDescent="0.25">
      <c r="T923">
        <f>IF(connections!$A923="","",IFERROR(INDEX(games!$B$2:$B$846,MATCH(connections!$A923,games!$A$2:$A$846,0)),""))</f>
        <v>2017</v>
      </c>
      <c r="U923">
        <f>IF(connections!$A923="","",IFERROR(INDEX(games!$B$2:$B$846,MATCH(connections!$B923,games!$A$2:$A$846,0)),""))</f>
        <v>2020</v>
      </c>
      <c r="V923">
        <f t="shared" si="157"/>
        <v>3</v>
      </c>
    </row>
    <row r="924" spans="20:22" x14ac:dyDescent="0.25">
      <c r="T924">
        <f>IF(connections!$A924="","",IFERROR(INDEX(games!$B$2:$B$846,MATCH(connections!$A924,games!$A$2:$A$846,0)),""))</f>
        <v>2019</v>
      </c>
      <c r="U924">
        <f>IF(connections!$A924="","",IFERROR(INDEX(games!$B$2:$B$846,MATCH(connections!$B924,games!$A$2:$A$846,0)),""))</f>
        <v>2023</v>
      </c>
      <c r="V924">
        <f t="shared" si="157"/>
        <v>4</v>
      </c>
    </row>
    <row r="925" spans="20:22" x14ac:dyDescent="0.25">
      <c r="T925">
        <f>IF(connections!$A925="","",IFERROR(INDEX(games!$B$2:$B$846,MATCH(connections!$A925,games!$A$2:$A$846,0)),""))</f>
        <v>2019</v>
      </c>
      <c r="U925">
        <f>IF(connections!$A925="","",IFERROR(INDEX(games!$B$2:$B$846,MATCH(connections!$B925,games!$A$2:$A$846,0)),""))</f>
        <v>2025</v>
      </c>
      <c r="V925">
        <f t="shared" si="157"/>
        <v>6</v>
      </c>
    </row>
    <row r="926" spans="20:22" x14ac:dyDescent="0.25">
      <c r="T926">
        <f>IF(connections!$A926="","",IFERROR(INDEX(games!$B$2:$B$846,MATCH(connections!$A926,games!$A$2:$A$846,0)),""))</f>
        <v>2019</v>
      </c>
      <c r="U926">
        <f>IF(connections!$A926="","",IFERROR(INDEX(games!$B$2:$B$846,MATCH(connections!$B926,games!$A$2:$A$846,0)),""))</f>
        <v>2025</v>
      </c>
      <c r="V926">
        <f t="shared" si="157"/>
        <v>6</v>
      </c>
    </row>
    <row r="927" spans="20:22" x14ac:dyDescent="0.25">
      <c r="T927">
        <f>IF(connections!$A927="","",IFERROR(INDEX(games!$B$2:$B$846,MATCH(connections!$A927,games!$A$2:$A$846,0)),""))</f>
        <v>2019</v>
      </c>
      <c r="U927">
        <f>IF(connections!$A927="","",IFERROR(INDEX(games!$B$2:$B$846,MATCH(connections!$B927,games!$A$2:$A$846,0)),""))</f>
        <v>2025</v>
      </c>
      <c r="V927">
        <f t="shared" si="157"/>
        <v>6</v>
      </c>
    </row>
    <row r="928" spans="20:22" x14ac:dyDescent="0.25">
      <c r="T928">
        <f>IF(connections!$A928="","",IFERROR(INDEX(games!$B$2:$B$846,MATCH(connections!$A928,games!$A$2:$A$846,0)),""))</f>
        <v>2025</v>
      </c>
      <c r="U928">
        <f>IF(connections!$A928="","",IFERROR(INDEX(games!$B$2:$B$846,MATCH(connections!$B928,games!$A$2:$A$846,0)),""))</f>
        <v>2026</v>
      </c>
      <c r="V928">
        <f t="shared" si="157"/>
        <v>1</v>
      </c>
    </row>
    <row r="929" spans="20:22" x14ac:dyDescent="0.25">
      <c r="T929">
        <f>IF(connections!$A929="","",IFERROR(INDEX(games!$B$2:$B$846,MATCH(connections!$A929,games!$A$2:$A$846,0)),""))</f>
        <v>2025</v>
      </c>
      <c r="U929">
        <f>IF(connections!$A929="","",IFERROR(INDEX(games!$B$2:$B$846,MATCH(connections!$B929,games!$A$2:$A$846,0)),""))</f>
        <v>2026</v>
      </c>
      <c r="V929">
        <f t="shared" si="157"/>
        <v>1</v>
      </c>
    </row>
    <row r="930" spans="20:22" x14ac:dyDescent="0.25">
      <c r="T930">
        <f>IF(connections!$A930="","",IFERROR(INDEX(games!$B$2:$B$846,MATCH(connections!$A930,games!$A$2:$A$846,0)),""))</f>
        <v>2011</v>
      </c>
      <c r="U930">
        <f>IF(connections!$A930="","",IFERROR(INDEX(games!$B$2:$B$846,MATCH(connections!$B930,games!$A$2:$A$846,0)),""))</f>
        <v>2017</v>
      </c>
      <c r="V930">
        <f t="shared" si="157"/>
        <v>6</v>
      </c>
    </row>
    <row r="931" spans="20:22" x14ac:dyDescent="0.25">
      <c r="T931">
        <f>IF(connections!$A931="","",IFERROR(INDEX(games!$B$2:$B$846,MATCH(connections!$A931,games!$A$2:$A$846,0)),""))</f>
        <v>2011</v>
      </c>
      <c r="U931">
        <f>IF(connections!$A931="","",IFERROR(INDEX(games!$B$2:$B$846,MATCH(connections!$B931,games!$A$2:$A$846,0)),""))</f>
        <v>2013</v>
      </c>
      <c r="V931">
        <f t="shared" si="157"/>
        <v>2</v>
      </c>
    </row>
    <row r="932" spans="20:22" x14ac:dyDescent="0.25">
      <c r="T932">
        <f>IF(connections!$A932="","",IFERROR(INDEX(games!$B$2:$B$846,MATCH(connections!$A932,games!$A$2:$A$846,0)),""))</f>
        <v>2011</v>
      </c>
      <c r="U932">
        <f>IF(connections!$A932="","",IFERROR(INDEX(games!$B$2:$B$846,MATCH(connections!$B932,games!$A$2:$A$846,0)),""))</f>
        <v>2017</v>
      </c>
      <c r="V932">
        <f t="shared" si="157"/>
        <v>6</v>
      </c>
    </row>
    <row r="933" spans="20:22" x14ac:dyDescent="0.25">
      <c r="T933">
        <f>IF(connections!$A933="","",IFERROR(INDEX(games!$B$2:$B$846,MATCH(connections!$A933,games!$A$2:$A$846,0)),""))</f>
        <v>2011</v>
      </c>
      <c r="U933">
        <f>IF(connections!$A933="","",IFERROR(INDEX(games!$B$2:$B$846,MATCH(connections!$B933,games!$A$2:$A$846,0)),""))</f>
        <v>2023</v>
      </c>
      <c r="V933">
        <f t="shared" si="157"/>
        <v>12</v>
      </c>
    </row>
    <row r="934" spans="20:22" x14ac:dyDescent="0.25">
      <c r="T934">
        <f>IF(connections!$A934="","",IFERROR(INDEX(games!$B$2:$B$846,MATCH(connections!$A934,games!$A$2:$A$846,0)),""))</f>
        <v>2011</v>
      </c>
      <c r="U934">
        <f>IF(connections!$A934="","",IFERROR(INDEX(games!$B$2:$B$846,MATCH(connections!$B934,games!$A$2:$A$846,0)),""))</f>
        <v>2023</v>
      </c>
      <c r="V934">
        <f t="shared" si="157"/>
        <v>12</v>
      </c>
    </row>
    <row r="935" spans="20:22" x14ac:dyDescent="0.25">
      <c r="T935">
        <f>IF(connections!$A935="","",IFERROR(INDEX(games!$B$2:$B$846,MATCH(connections!$A935,games!$A$2:$A$846,0)),""))</f>
        <v>2011</v>
      </c>
      <c r="U935">
        <f>IF(connections!$A935="","",IFERROR(INDEX(games!$B$2:$B$846,MATCH(connections!$B935,games!$A$2:$A$846,0)),""))</f>
        <v>2019</v>
      </c>
      <c r="V935">
        <f t="shared" si="157"/>
        <v>8</v>
      </c>
    </row>
    <row r="936" spans="20:22" x14ac:dyDescent="0.25">
      <c r="T936">
        <f>IF(connections!$A936="","",IFERROR(INDEX(games!$B$2:$B$846,MATCH(connections!$A936,games!$A$2:$A$846,0)),""))</f>
        <v>2011</v>
      </c>
      <c r="U936">
        <f>IF(connections!$A936="","",IFERROR(INDEX(games!$B$2:$B$846,MATCH(connections!$B936,games!$A$2:$A$846,0)),""))</f>
        <v>2021</v>
      </c>
      <c r="V936">
        <f t="shared" si="157"/>
        <v>10</v>
      </c>
    </row>
    <row r="937" spans="20:22" x14ac:dyDescent="0.25">
      <c r="T937">
        <f>IF(connections!$A937="","",IFERROR(INDEX(games!$B$2:$B$846,MATCH(connections!$A937,games!$A$2:$A$846,0)),""))</f>
        <v>2011</v>
      </c>
      <c r="U937">
        <f>IF(connections!$A937="","",IFERROR(INDEX(games!$B$2:$B$846,MATCH(connections!$B937,games!$A$2:$A$846,0)),""))</f>
        <v>2020</v>
      </c>
      <c r="V937">
        <f t="shared" si="157"/>
        <v>9</v>
      </c>
    </row>
    <row r="938" spans="20:22" x14ac:dyDescent="0.25">
      <c r="T938">
        <f>IF(connections!$A938="","",IFERROR(INDEX(games!$B$2:$B$846,MATCH(connections!$A938,games!$A$2:$A$846,0)),""))</f>
        <v>2011</v>
      </c>
      <c r="U938">
        <f>IF(connections!$A938="","",IFERROR(INDEX(games!$B$2:$B$846,MATCH(connections!$B938,games!$A$2:$A$846,0)),""))</f>
        <v>2024</v>
      </c>
      <c r="V938">
        <f t="shared" si="157"/>
        <v>13</v>
      </c>
    </row>
    <row r="939" spans="20:22" x14ac:dyDescent="0.25">
      <c r="T939">
        <f>IF(connections!$A939="","",IFERROR(INDEX(games!$B$2:$B$846,MATCH(connections!$A939,games!$A$2:$A$846,0)),""))</f>
        <v>2011</v>
      </c>
      <c r="U939">
        <f>IF(connections!$A939="","",IFERROR(INDEX(games!$B$2:$B$846,MATCH(connections!$B939,games!$A$2:$A$846,0)),""))</f>
        <v>2022</v>
      </c>
      <c r="V939">
        <f t="shared" si="157"/>
        <v>11</v>
      </c>
    </row>
    <row r="940" spans="20:22" x14ac:dyDescent="0.25">
      <c r="T940">
        <f>IF(connections!$A940="","",IFERROR(INDEX(games!$B$2:$B$846,MATCH(connections!$A940,games!$A$2:$A$846,0)),""))</f>
        <v>2011</v>
      </c>
      <c r="U940">
        <f>IF(connections!$A940="","",IFERROR(INDEX(games!$B$2:$B$846,MATCH(connections!$B940,games!$A$2:$A$846,0)),""))</f>
        <v>2015</v>
      </c>
      <c r="V940">
        <f t="shared" si="157"/>
        <v>4</v>
      </c>
    </row>
    <row r="941" spans="20:22" x14ac:dyDescent="0.25">
      <c r="T941">
        <f>IF(connections!$A941="","",IFERROR(INDEX(games!$B$2:$B$846,MATCH(connections!$A941,games!$A$2:$A$846,0)),""))</f>
        <v>2011</v>
      </c>
      <c r="U941">
        <f>IF(connections!$A941="","",IFERROR(INDEX(games!$B$2:$B$846,MATCH(connections!$B941,games!$A$2:$A$846,0)),""))</f>
        <v>2022</v>
      </c>
      <c r="V941">
        <f t="shared" si="157"/>
        <v>11</v>
      </c>
    </row>
    <row r="942" spans="20:22" x14ac:dyDescent="0.25">
      <c r="T942">
        <f>IF(connections!$A942="","",IFERROR(INDEX(games!$B$2:$B$846,MATCH(connections!$A942,games!$A$2:$A$846,0)),""))</f>
        <v>2011</v>
      </c>
      <c r="U942">
        <f>IF(connections!$A942="","",IFERROR(INDEX(games!$B$2:$B$846,MATCH(connections!$B942,games!$A$2:$A$846,0)),""))</f>
        <v>2018</v>
      </c>
      <c r="V942">
        <f t="shared" si="157"/>
        <v>7</v>
      </c>
    </row>
    <row r="943" spans="20:22" x14ac:dyDescent="0.25">
      <c r="T943">
        <f>IF(connections!$A943="","",IFERROR(INDEX(games!$B$2:$B$846,MATCH(connections!$A943,games!$A$2:$A$846,0)),""))</f>
        <v>2011</v>
      </c>
      <c r="U943">
        <f>IF(connections!$A943="","",IFERROR(INDEX(games!$B$2:$B$846,MATCH(connections!$B943,games!$A$2:$A$846,0)),""))</f>
        <v>2020</v>
      </c>
      <c r="V943">
        <f t="shared" si="157"/>
        <v>9</v>
      </c>
    </row>
    <row r="944" spans="20:22" x14ac:dyDescent="0.25">
      <c r="T944">
        <f>IF(connections!$A944="","",IFERROR(INDEX(games!$B$2:$B$846,MATCH(connections!$A944,games!$A$2:$A$846,0)),""))</f>
        <v>2011</v>
      </c>
      <c r="U944">
        <f>IF(connections!$A944="","",IFERROR(INDEX(games!$B$2:$B$846,MATCH(connections!$B944,games!$A$2:$A$846,0)),""))</f>
        <v>2019</v>
      </c>
      <c r="V944">
        <f t="shared" si="157"/>
        <v>8</v>
      </c>
    </row>
    <row r="945" spans="20:22" x14ac:dyDescent="0.25">
      <c r="T945">
        <f>IF(connections!$A945="","",IFERROR(INDEX(games!$B$2:$B$846,MATCH(connections!$A945,games!$A$2:$A$846,0)),""))</f>
        <v>2011</v>
      </c>
      <c r="U945">
        <f>IF(connections!$A945="","",IFERROR(INDEX(games!$B$2:$B$846,MATCH(connections!$B945,games!$A$2:$A$846,0)),""))</f>
        <v>2026</v>
      </c>
      <c r="V945">
        <f t="shared" si="157"/>
        <v>15</v>
      </c>
    </row>
    <row r="946" spans="20:22" x14ac:dyDescent="0.25">
      <c r="T946">
        <f>IF(connections!$A946="","",IFERROR(INDEX(games!$B$2:$B$846,MATCH(connections!$A946,games!$A$2:$A$846,0)),""))</f>
        <v>2011</v>
      </c>
      <c r="U946">
        <f>IF(connections!$A946="","",IFERROR(INDEX(games!$B$2:$B$846,MATCH(connections!$B946,games!$A$2:$A$846,0)),""))</f>
        <v>2020</v>
      </c>
      <c r="V946">
        <f t="shared" si="157"/>
        <v>9</v>
      </c>
    </row>
    <row r="947" spans="20:22" x14ac:dyDescent="0.25">
      <c r="T947">
        <f>IF(connections!$A947="","",IFERROR(INDEX(games!$B$2:$B$846,MATCH(connections!$A947,games!$A$2:$A$846,0)),""))</f>
        <v>2011</v>
      </c>
      <c r="U947">
        <f>IF(connections!$A947="","",IFERROR(INDEX(games!$B$2:$B$846,MATCH(connections!$B947,games!$A$2:$A$846,0)),""))</f>
        <v>2024</v>
      </c>
      <c r="V947">
        <f t="shared" si="157"/>
        <v>13</v>
      </c>
    </row>
    <row r="948" spans="20:22" x14ac:dyDescent="0.25">
      <c r="T948">
        <f>IF(connections!$A948="","",IFERROR(INDEX(games!$B$2:$B$846,MATCH(connections!$A948,games!$A$2:$A$846,0)),""))</f>
        <v>2011</v>
      </c>
      <c r="U948">
        <f>IF(connections!$A948="","",IFERROR(INDEX(games!$B$2:$B$846,MATCH(connections!$B948,games!$A$2:$A$846,0)),""))</f>
        <v>2022</v>
      </c>
      <c r="V948">
        <f t="shared" si="157"/>
        <v>11</v>
      </c>
    </row>
    <row r="949" spans="20:22" x14ac:dyDescent="0.25">
      <c r="T949">
        <f>IF(connections!$A949="","",IFERROR(INDEX(games!$B$2:$B$846,MATCH(connections!$A949,games!$A$2:$A$846,0)),""))</f>
        <v>2011</v>
      </c>
      <c r="U949">
        <f>IF(connections!$A949="","",IFERROR(INDEX(games!$B$2:$B$846,MATCH(connections!$B949,games!$A$2:$A$846,0)),""))</f>
        <v>2016</v>
      </c>
      <c r="V949">
        <f t="shared" si="157"/>
        <v>5</v>
      </c>
    </row>
    <row r="950" spans="20:22" x14ac:dyDescent="0.25">
      <c r="T950">
        <f>IF(connections!$A950="","",IFERROR(INDEX(games!$B$2:$B$846,MATCH(connections!$A950,games!$A$2:$A$846,0)),""))</f>
        <v>2011</v>
      </c>
      <c r="U950">
        <f>IF(connections!$A950="","",IFERROR(INDEX(games!$B$2:$B$846,MATCH(connections!$B950,games!$A$2:$A$846,0)),""))</f>
        <v>2017</v>
      </c>
      <c r="V950">
        <f t="shared" si="157"/>
        <v>6</v>
      </c>
    </row>
    <row r="951" spans="20:22" x14ac:dyDescent="0.25">
      <c r="T951">
        <f>IF(connections!$A951="","",IFERROR(INDEX(games!$B$2:$B$846,MATCH(connections!$A951,games!$A$2:$A$846,0)),""))</f>
        <v>2011</v>
      </c>
      <c r="U951">
        <f>IF(connections!$A951="","",IFERROR(INDEX(games!$B$2:$B$846,MATCH(connections!$B951,games!$A$2:$A$846,0)),""))</f>
        <v>2013</v>
      </c>
      <c r="V951">
        <f t="shared" si="157"/>
        <v>2</v>
      </c>
    </row>
    <row r="952" spans="20:22" x14ac:dyDescent="0.25">
      <c r="T952">
        <f>IF(connections!$A952="","",IFERROR(INDEX(games!$B$2:$B$846,MATCH(connections!$A952,games!$A$2:$A$846,0)),""))</f>
        <v>2011</v>
      </c>
      <c r="U952">
        <f>IF(connections!$A952="","",IFERROR(INDEX(games!$B$2:$B$846,MATCH(connections!$B952,games!$A$2:$A$846,0)),""))</f>
        <v>2020</v>
      </c>
      <c r="V952">
        <f t="shared" si="157"/>
        <v>9</v>
      </c>
    </row>
    <row r="953" spans="20:22" x14ac:dyDescent="0.25">
      <c r="T953">
        <f>IF(connections!$A953="","",IFERROR(INDEX(games!$B$2:$B$846,MATCH(connections!$A953,games!$A$2:$A$846,0)),""))</f>
        <v>2011</v>
      </c>
      <c r="U953">
        <f>IF(connections!$A953="","",IFERROR(INDEX(games!$B$2:$B$846,MATCH(connections!$B953,games!$A$2:$A$846,0)),""))</f>
        <v>2020</v>
      </c>
      <c r="V953">
        <f t="shared" si="157"/>
        <v>9</v>
      </c>
    </row>
    <row r="954" spans="20:22" x14ac:dyDescent="0.25">
      <c r="T954">
        <f>IF(connections!$A954="","",IFERROR(INDEX(games!$B$2:$B$846,MATCH(connections!$A954,games!$A$2:$A$846,0)),""))</f>
        <v>2011</v>
      </c>
      <c r="U954">
        <f>IF(connections!$A954="","",IFERROR(INDEX(games!$B$2:$B$846,MATCH(connections!$B954,games!$A$2:$A$846,0)),""))</f>
        <v>2017</v>
      </c>
      <c r="V954">
        <f t="shared" si="157"/>
        <v>6</v>
      </c>
    </row>
    <row r="955" spans="20:22" x14ac:dyDescent="0.25">
      <c r="T955">
        <f>IF(connections!$A955="","",IFERROR(INDEX(games!$B$2:$B$846,MATCH(connections!$A955,games!$A$2:$A$846,0)),""))</f>
        <v>2011</v>
      </c>
      <c r="U955">
        <f>IF(connections!$A955="","",IFERROR(INDEX(games!$B$2:$B$846,MATCH(connections!$B955,games!$A$2:$A$846,0)),""))</f>
        <v>2024</v>
      </c>
      <c r="V955">
        <f t="shared" si="157"/>
        <v>13</v>
      </c>
    </row>
    <row r="956" spans="20:22" x14ac:dyDescent="0.25">
      <c r="T956">
        <f>IF(connections!$A956="","",IFERROR(INDEX(games!$B$2:$B$846,MATCH(connections!$A956,games!$A$2:$A$846,0)),""))</f>
        <v>2011</v>
      </c>
      <c r="U956">
        <f>IF(connections!$A956="","",IFERROR(INDEX(games!$B$2:$B$846,MATCH(connections!$B956,games!$A$2:$A$846,0)),""))</f>
        <v>2019</v>
      </c>
      <c r="V956">
        <f t="shared" si="157"/>
        <v>8</v>
      </c>
    </row>
    <row r="957" spans="20:22" x14ac:dyDescent="0.25">
      <c r="T957">
        <f>IF(connections!$A957="","",IFERROR(INDEX(games!$B$2:$B$846,MATCH(connections!$A957,games!$A$2:$A$846,0)),""))</f>
        <v>2011</v>
      </c>
      <c r="U957">
        <f>IF(connections!$A957="","",IFERROR(INDEX(games!$B$2:$B$846,MATCH(connections!$B957,games!$A$2:$A$846,0)),""))</f>
        <v>2023</v>
      </c>
      <c r="V957">
        <f t="shared" si="157"/>
        <v>12</v>
      </c>
    </row>
    <row r="958" spans="20:22" x14ac:dyDescent="0.25">
      <c r="T958">
        <f>IF(connections!$A958="","",IFERROR(INDEX(games!$B$2:$B$846,MATCH(connections!$A958,games!$A$2:$A$846,0)),""))</f>
        <v>2011</v>
      </c>
      <c r="U958">
        <f>IF(connections!$A958="","",IFERROR(INDEX(games!$B$2:$B$846,MATCH(connections!$B958,games!$A$2:$A$846,0)),""))</f>
        <v>2018</v>
      </c>
      <c r="V958">
        <f t="shared" si="157"/>
        <v>7</v>
      </c>
    </row>
    <row r="959" spans="20:22" x14ac:dyDescent="0.25">
      <c r="T959">
        <f>IF(connections!$A959="","",IFERROR(INDEX(games!$B$2:$B$846,MATCH(connections!$A959,games!$A$2:$A$846,0)),""))</f>
        <v>2011</v>
      </c>
      <c r="U959">
        <f>IF(connections!$A959="","",IFERROR(INDEX(games!$B$2:$B$846,MATCH(connections!$B959,games!$A$2:$A$846,0)),""))</f>
        <v>2026</v>
      </c>
      <c r="V959">
        <f t="shared" si="157"/>
        <v>15</v>
      </c>
    </row>
    <row r="960" spans="20:22" x14ac:dyDescent="0.25">
      <c r="T960">
        <f>IF(connections!$A960="","",IFERROR(INDEX(games!$B$2:$B$846,MATCH(connections!$A960,games!$A$2:$A$846,0)),""))</f>
        <v>2011</v>
      </c>
      <c r="U960">
        <f>IF(connections!$A960="","",IFERROR(INDEX(games!$B$2:$B$846,MATCH(connections!$B960,games!$A$2:$A$846,0)),""))</f>
        <v>2015</v>
      </c>
      <c r="V960">
        <f t="shared" si="157"/>
        <v>4</v>
      </c>
    </row>
    <row r="961" spans="20:22" x14ac:dyDescent="0.25">
      <c r="T961">
        <f>IF(connections!$A961="","",IFERROR(INDEX(games!$B$2:$B$846,MATCH(connections!$A961,games!$A$2:$A$846,0)),""))</f>
        <v>2011</v>
      </c>
      <c r="U961">
        <f>IF(connections!$A961="","",IFERROR(INDEX(games!$B$2:$B$846,MATCH(connections!$B961,games!$A$2:$A$846,0)),""))</f>
        <v>2018</v>
      </c>
      <c r="V961">
        <f t="shared" si="157"/>
        <v>7</v>
      </c>
    </row>
    <row r="962" spans="20:22" x14ac:dyDescent="0.25">
      <c r="T962">
        <f>IF(connections!$A962="","",IFERROR(INDEX(games!$B$2:$B$846,MATCH(connections!$A962,games!$A$2:$A$846,0)),""))</f>
        <v>2011</v>
      </c>
      <c r="U962">
        <f>IF(connections!$A962="","",IFERROR(INDEX(games!$B$2:$B$846,MATCH(connections!$B962,games!$A$2:$A$846,0)),""))</f>
        <v>2019</v>
      </c>
      <c r="V962">
        <f t="shared" ref="V962:V1025" si="158">IF(OR($T962="",$U962=""),"",$U962-$T962)</f>
        <v>8</v>
      </c>
    </row>
    <row r="963" spans="20:22" x14ac:dyDescent="0.25">
      <c r="T963">
        <f>IF(connections!$A963="","",IFERROR(INDEX(games!$B$2:$B$846,MATCH(connections!$A963,games!$A$2:$A$846,0)),""))</f>
        <v>2011</v>
      </c>
      <c r="U963">
        <f>IF(connections!$A963="","",IFERROR(INDEX(games!$B$2:$B$846,MATCH(connections!$B963,games!$A$2:$A$846,0)),""))</f>
        <v>2025</v>
      </c>
      <c r="V963">
        <f t="shared" si="158"/>
        <v>14</v>
      </c>
    </row>
    <row r="964" spans="20:22" x14ac:dyDescent="0.25">
      <c r="T964">
        <f>IF(connections!$A964="","",IFERROR(INDEX(games!$B$2:$B$846,MATCH(connections!$A964,games!$A$2:$A$846,0)),""))</f>
        <v>2011</v>
      </c>
      <c r="U964">
        <f>IF(connections!$A964="","",IFERROR(INDEX(games!$B$2:$B$846,MATCH(connections!$B964,games!$A$2:$A$846,0)),""))</f>
        <v>2019</v>
      </c>
      <c r="V964">
        <f t="shared" si="158"/>
        <v>8</v>
      </c>
    </row>
    <row r="965" spans="20:22" x14ac:dyDescent="0.25">
      <c r="T965">
        <f>IF(connections!$A965="","",IFERROR(INDEX(games!$B$2:$B$846,MATCH(connections!$A965,games!$A$2:$A$846,0)),""))</f>
        <v>2011</v>
      </c>
      <c r="U965">
        <f>IF(connections!$A965="","",IFERROR(INDEX(games!$B$2:$B$846,MATCH(connections!$B965,games!$A$2:$A$846,0)),""))</f>
        <v>2024</v>
      </c>
      <c r="V965">
        <f t="shared" si="158"/>
        <v>13</v>
      </c>
    </row>
    <row r="966" spans="20:22" x14ac:dyDescent="0.25">
      <c r="T966">
        <f>IF(connections!$A966="","",IFERROR(INDEX(games!$B$2:$B$846,MATCH(connections!$A966,games!$A$2:$A$846,0)),""))</f>
        <v>2011</v>
      </c>
      <c r="U966">
        <f>IF(connections!$A966="","",IFERROR(INDEX(games!$B$2:$B$846,MATCH(connections!$B966,games!$A$2:$A$846,0)),""))</f>
        <v>2021</v>
      </c>
      <c r="V966">
        <f t="shared" si="158"/>
        <v>10</v>
      </c>
    </row>
    <row r="967" spans="20:22" x14ac:dyDescent="0.25">
      <c r="T967">
        <f>IF(connections!$A967="","",IFERROR(INDEX(games!$B$2:$B$846,MATCH(connections!$A967,games!$A$2:$A$846,0)),""))</f>
        <v>2011</v>
      </c>
      <c r="U967">
        <f>IF(connections!$A967="","",IFERROR(INDEX(games!$B$2:$B$846,MATCH(connections!$B967,games!$A$2:$A$846,0)),""))</f>
        <v>2014</v>
      </c>
      <c r="V967">
        <f t="shared" si="158"/>
        <v>3</v>
      </c>
    </row>
    <row r="968" spans="20:22" x14ac:dyDescent="0.25">
      <c r="T968">
        <f>IF(connections!$A968="","",IFERROR(INDEX(games!$B$2:$B$846,MATCH(connections!$A968,games!$A$2:$A$846,0)),""))</f>
        <v>2011</v>
      </c>
      <c r="U968">
        <f>IF(connections!$A968="","",IFERROR(INDEX(games!$B$2:$B$846,MATCH(connections!$B968,games!$A$2:$A$846,0)),""))</f>
        <v>2023</v>
      </c>
      <c r="V968">
        <f t="shared" si="158"/>
        <v>12</v>
      </c>
    </row>
    <row r="969" spans="20:22" x14ac:dyDescent="0.25">
      <c r="T969">
        <f>IF(connections!$A969="","",IFERROR(INDEX(games!$B$2:$B$846,MATCH(connections!$A969,games!$A$2:$A$846,0)),""))</f>
        <v>2011</v>
      </c>
      <c r="U969">
        <f>IF(connections!$A969="","",IFERROR(INDEX(games!$B$2:$B$846,MATCH(connections!$B969,games!$A$2:$A$846,0)),""))</f>
        <v>2021</v>
      </c>
      <c r="V969">
        <f t="shared" si="158"/>
        <v>10</v>
      </c>
    </row>
    <row r="970" spans="20:22" x14ac:dyDescent="0.25">
      <c r="T970">
        <f>IF(connections!$A970="","",IFERROR(INDEX(games!$B$2:$B$846,MATCH(connections!$A970,games!$A$2:$A$846,0)),""))</f>
        <v>2011</v>
      </c>
      <c r="U970">
        <f>IF(connections!$A970="","",IFERROR(INDEX(games!$B$2:$B$846,MATCH(connections!$B970,games!$A$2:$A$846,0)),""))</f>
        <v>2026</v>
      </c>
      <c r="V970">
        <f t="shared" si="158"/>
        <v>15</v>
      </c>
    </row>
    <row r="971" spans="20:22" x14ac:dyDescent="0.25">
      <c r="T971">
        <f>IF(connections!$A971="","",IFERROR(INDEX(games!$B$2:$B$846,MATCH(connections!$A971,games!$A$2:$A$846,0)),""))</f>
        <v>2011</v>
      </c>
      <c r="U971">
        <f>IF(connections!$A971="","",IFERROR(INDEX(games!$B$2:$B$846,MATCH(connections!$B971,games!$A$2:$A$846,0)),""))</f>
        <v>2026</v>
      </c>
      <c r="V971">
        <f t="shared" si="158"/>
        <v>15</v>
      </c>
    </row>
    <row r="972" spans="20:22" x14ac:dyDescent="0.25">
      <c r="T972">
        <f>IF(connections!$A972="","",IFERROR(INDEX(games!$B$2:$B$846,MATCH(connections!$A972,games!$A$2:$A$846,0)),""))</f>
        <v>2011</v>
      </c>
      <c r="U972">
        <f>IF(connections!$A972="","",IFERROR(INDEX(games!$B$2:$B$846,MATCH(connections!$B972,games!$A$2:$A$846,0)),""))</f>
        <v>2015</v>
      </c>
      <c r="V972">
        <f t="shared" si="158"/>
        <v>4</v>
      </c>
    </row>
    <row r="973" spans="20:22" x14ac:dyDescent="0.25">
      <c r="T973">
        <f>IF(connections!$A973="","",IFERROR(INDEX(games!$B$2:$B$846,MATCH(connections!$A973,games!$A$2:$A$846,0)),""))</f>
        <v>2011</v>
      </c>
      <c r="U973">
        <f>IF(connections!$A973="","",IFERROR(INDEX(games!$B$2:$B$846,MATCH(connections!$B973,games!$A$2:$A$846,0)),""))</f>
        <v>2021</v>
      </c>
      <c r="V973">
        <f t="shared" si="158"/>
        <v>10</v>
      </c>
    </row>
    <row r="974" spans="20:22" x14ac:dyDescent="0.25">
      <c r="T974">
        <f>IF(connections!$A974="","",IFERROR(INDEX(games!$B$2:$B$846,MATCH(connections!$A974,games!$A$2:$A$846,0)),""))</f>
        <v>2011</v>
      </c>
      <c r="U974">
        <f>IF(connections!$A974="","",IFERROR(INDEX(games!$B$2:$B$846,MATCH(connections!$B974,games!$A$2:$A$846,0)),""))</f>
        <v>2013</v>
      </c>
      <c r="V974">
        <f t="shared" si="158"/>
        <v>2</v>
      </c>
    </row>
    <row r="975" spans="20:22" x14ac:dyDescent="0.25">
      <c r="T975">
        <f>IF(connections!$A975="","",IFERROR(INDEX(games!$B$2:$B$846,MATCH(connections!$A975,games!$A$2:$A$846,0)),""))</f>
        <v>2011</v>
      </c>
      <c r="U975">
        <f>IF(connections!$A975="","",IFERROR(INDEX(games!$B$2:$B$846,MATCH(connections!$B975,games!$A$2:$A$846,0)),""))</f>
        <v>2023</v>
      </c>
      <c r="V975">
        <f t="shared" si="158"/>
        <v>12</v>
      </c>
    </row>
    <row r="976" spans="20:22" x14ac:dyDescent="0.25">
      <c r="T976">
        <f>IF(connections!$A976="","",IFERROR(INDEX(games!$B$2:$B$846,MATCH(connections!$A976,games!$A$2:$A$846,0)),""))</f>
        <v>2011</v>
      </c>
      <c r="U976">
        <f>IF(connections!$A976="","",IFERROR(INDEX(games!$B$2:$B$846,MATCH(connections!$B976,games!$A$2:$A$846,0)),""))</f>
        <v>2022</v>
      </c>
      <c r="V976">
        <f t="shared" si="158"/>
        <v>11</v>
      </c>
    </row>
    <row r="977" spans="20:22" x14ac:dyDescent="0.25">
      <c r="T977">
        <f>IF(connections!$A977="","",IFERROR(INDEX(games!$B$2:$B$846,MATCH(connections!$A977,games!$A$2:$A$846,0)),""))</f>
        <v>2011</v>
      </c>
      <c r="U977">
        <f>IF(connections!$A977="","",IFERROR(INDEX(games!$B$2:$B$846,MATCH(connections!$B977,games!$A$2:$A$846,0)),""))</f>
        <v>2017</v>
      </c>
      <c r="V977">
        <f t="shared" si="158"/>
        <v>6</v>
      </c>
    </row>
    <row r="978" spans="20:22" x14ac:dyDescent="0.25">
      <c r="T978">
        <f>IF(connections!$A978="","",IFERROR(INDEX(games!$B$2:$B$846,MATCH(connections!$A978,games!$A$2:$A$846,0)),""))</f>
        <v>2011</v>
      </c>
      <c r="U978">
        <f>IF(connections!$A978="","",IFERROR(INDEX(games!$B$2:$B$846,MATCH(connections!$B978,games!$A$2:$A$846,0)),""))</f>
        <v>2019</v>
      </c>
      <c r="V978">
        <f t="shared" si="158"/>
        <v>8</v>
      </c>
    </row>
    <row r="979" spans="20:22" x14ac:dyDescent="0.25">
      <c r="T979">
        <f>IF(connections!$A979="","",IFERROR(INDEX(games!$B$2:$B$846,MATCH(connections!$A979,games!$A$2:$A$846,0)),""))</f>
        <v>2011</v>
      </c>
      <c r="U979">
        <f>IF(connections!$A979="","",IFERROR(INDEX(games!$B$2:$B$846,MATCH(connections!$B979,games!$A$2:$A$846,0)),""))</f>
        <v>2017</v>
      </c>
      <c r="V979">
        <f t="shared" si="158"/>
        <v>6</v>
      </c>
    </row>
    <row r="980" spans="20:22" x14ac:dyDescent="0.25">
      <c r="T980">
        <f>IF(connections!$A980="","",IFERROR(INDEX(games!$B$2:$B$846,MATCH(connections!$A980,games!$A$2:$A$846,0)),""))</f>
        <v>2011</v>
      </c>
      <c r="U980">
        <f>IF(connections!$A980="","",IFERROR(INDEX(games!$B$2:$B$846,MATCH(connections!$B980,games!$A$2:$A$846,0)),""))</f>
        <v>2019</v>
      </c>
      <c r="V980">
        <f t="shared" si="158"/>
        <v>8</v>
      </c>
    </row>
    <row r="981" spans="20:22" x14ac:dyDescent="0.25">
      <c r="T981">
        <f>IF(connections!$A981="","",IFERROR(INDEX(games!$B$2:$B$846,MATCH(connections!$A981,games!$A$2:$A$846,0)),""))</f>
        <v>2011</v>
      </c>
      <c r="U981">
        <f>IF(connections!$A981="","",IFERROR(INDEX(games!$B$2:$B$846,MATCH(connections!$B981,games!$A$2:$A$846,0)),""))</f>
        <v>2016</v>
      </c>
      <c r="V981">
        <f t="shared" si="158"/>
        <v>5</v>
      </c>
    </row>
    <row r="982" spans="20:22" x14ac:dyDescent="0.25">
      <c r="T982">
        <f>IF(connections!$A982="","",IFERROR(INDEX(games!$B$2:$B$846,MATCH(connections!$A982,games!$A$2:$A$846,0)),""))</f>
        <v>2011</v>
      </c>
      <c r="U982">
        <f>IF(connections!$A982="","",IFERROR(INDEX(games!$B$2:$B$846,MATCH(connections!$B982,games!$A$2:$A$846,0)),""))</f>
        <v>2023</v>
      </c>
      <c r="V982">
        <f t="shared" si="158"/>
        <v>12</v>
      </c>
    </row>
    <row r="983" spans="20:22" x14ac:dyDescent="0.25">
      <c r="T983">
        <f>IF(connections!$A983="","",IFERROR(INDEX(games!$B$2:$B$846,MATCH(connections!$A983,games!$A$2:$A$846,0)),""))</f>
        <v>2011</v>
      </c>
      <c r="U983">
        <f>IF(connections!$A983="","",IFERROR(INDEX(games!$B$2:$B$846,MATCH(connections!$B983,games!$A$2:$A$846,0)),""))</f>
        <v>2014</v>
      </c>
      <c r="V983">
        <f t="shared" si="158"/>
        <v>3</v>
      </c>
    </row>
    <row r="984" spans="20:22" x14ac:dyDescent="0.25">
      <c r="T984">
        <f>IF(connections!$A984="","",IFERROR(INDEX(games!$B$2:$B$846,MATCH(connections!$A984,games!$A$2:$A$846,0)),""))</f>
        <v>2011</v>
      </c>
      <c r="U984">
        <f>IF(connections!$A984="","",IFERROR(INDEX(games!$B$2:$B$846,MATCH(connections!$B984,games!$A$2:$A$846,0)),""))</f>
        <v>2019</v>
      </c>
      <c r="V984">
        <f t="shared" si="158"/>
        <v>8</v>
      </c>
    </row>
    <row r="985" spans="20:22" x14ac:dyDescent="0.25">
      <c r="T985">
        <f>IF(connections!$A985="","",IFERROR(INDEX(games!$B$2:$B$846,MATCH(connections!$A985,games!$A$2:$A$846,0)),""))</f>
        <v>2011</v>
      </c>
      <c r="U985">
        <f>IF(connections!$A985="","",IFERROR(INDEX(games!$B$2:$B$846,MATCH(connections!$B985,games!$A$2:$A$846,0)),""))</f>
        <v>2018</v>
      </c>
      <c r="V985">
        <f t="shared" si="158"/>
        <v>7</v>
      </c>
    </row>
    <row r="986" spans="20:22" x14ac:dyDescent="0.25">
      <c r="T986">
        <f>IF(connections!$A986="","",IFERROR(INDEX(games!$B$2:$B$846,MATCH(connections!$A986,games!$A$2:$A$846,0)),""))</f>
        <v>2011</v>
      </c>
      <c r="U986">
        <f>IF(connections!$A986="","",IFERROR(INDEX(games!$B$2:$B$846,MATCH(connections!$B986,games!$A$2:$A$846,0)),""))</f>
        <v>2022</v>
      </c>
      <c r="V986">
        <f t="shared" si="158"/>
        <v>11</v>
      </c>
    </row>
    <row r="987" spans="20:22" x14ac:dyDescent="0.25">
      <c r="T987">
        <f>IF(connections!$A987="","",IFERROR(INDEX(games!$B$2:$B$846,MATCH(connections!$A987,games!$A$2:$A$846,0)),""))</f>
        <v>2011</v>
      </c>
      <c r="U987">
        <f>IF(connections!$A987="","",IFERROR(INDEX(games!$B$2:$B$846,MATCH(connections!$B987,games!$A$2:$A$846,0)),""))</f>
        <v>2022</v>
      </c>
      <c r="V987">
        <f t="shared" si="158"/>
        <v>11</v>
      </c>
    </row>
    <row r="988" spans="20:22" x14ac:dyDescent="0.25">
      <c r="T988">
        <f>IF(connections!$A988="","",IFERROR(INDEX(games!$B$2:$B$846,MATCH(connections!$A988,games!$A$2:$A$846,0)),""))</f>
        <v>2011</v>
      </c>
      <c r="U988">
        <f>IF(connections!$A988="","",IFERROR(INDEX(games!$B$2:$B$846,MATCH(connections!$B988,games!$A$2:$A$846,0)),""))</f>
        <v>2014</v>
      </c>
      <c r="V988">
        <f t="shared" si="158"/>
        <v>3</v>
      </c>
    </row>
    <row r="989" spans="20:22" x14ac:dyDescent="0.25">
      <c r="T989">
        <f>IF(connections!$A989="","",IFERROR(INDEX(games!$B$2:$B$846,MATCH(connections!$A989,games!$A$2:$A$846,0)),""))</f>
        <v>2011</v>
      </c>
      <c r="U989">
        <f>IF(connections!$A989="","",IFERROR(INDEX(games!$B$2:$B$846,MATCH(connections!$B989,games!$A$2:$A$846,0)),""))</f>
        <v>2017</v>
      </c>
      <c r="V989">
        <f t="shared" si="158"/>
        <v>6</v>
      </c>
    </row>
    <row r="990" spans="20:22" x14ac:dyDescent="0.25">
      <c r="T990">
        <f>IF(connections!$A990="","",IFERROR(INDEX(games!$B$2:$B$846,MATCH(connections!$A990,games!$A$2:$A$846,0)),""))</f>
        <v>2011</v>
      </c>
      <c r="U990">
        <f>IF(connections!$A990="","",IFERROR(INDEX(games!$B$2:$B$846,MATCH(connections!$B990,games!$A$2:$A$846,0)),""))</f>
        <v>2012</v>
      </c>
      <c r="V990">
        <f t="shared" si="158"/>
        <v>1</v>
      </c>
    </row>
    <row r="991" spans="20:22" x14ac:dyDescent="0.25">
      <c r="T991">
        <f>IF(connections!$A991="","",IFERROR(INDEX(games!$B$2:$B$846,MATCH(connections!$A991,games!$A$2:$A$846,0)),""))</f>
        <v>2011</v>
      </c>
      <c r="U991">
        <f>IF(connections!$A991="","",IFERROR(INDEX(games!$B$2:$B$846,MATCH(connections!$B991,games!$A$2:$A$846,0)),""))</f>
        <v>2019</v>
      </c>
      <c r="V991">
        <f t="shared" si="158"/>
        <v>8</v>
      </c>
    </row>
    <row r="992" spans="20:22" x14ac:dyDescent="0.25">
      <c r="T992">
        <f>IF(connections!$A992="","",IFERROR(INDEX(games!$B$2:$B$846,MATCH(connections!$A992,games!$A$2:$A$846,0)),""))</f>
        <v>2011</v>
      </c>
      <c r="U992">
        <f>IF(connections!$A992="","",IFERROR(INDEX(games!$B$2:$B$846,MATCH(connections!$B992,games!$A$2:$A$846,0)),""))</f>
        <v>2023</v>
      </c>
      <c r="V992">
        <f t="shared" si="158"/>
        <v>12</v>
      </c>
    </row>
    <row r="993" spans="20:22" x14ac:dyDescent="0.25">
      <c r="T993">
        <f>IF(connections!$A993="","",IFERROR(INDEX(games!$B$2:$B$846,MATCH(connections!$A993,games!$A$2:$A$846,0)),""))</f>
        <v>2011</v>
      </c>
      <c r="U993">
        <f>IF(connections!$A993="","",IFERROR(INDEX(games!$B$2:$B$846,MATCH(connections!$B993,games!$A$2:$A$846,0)),""))</f>
        <v>2021</v>
      </c>
      <c r="V993">
        <f t="shared" si="158"/>
        <v>10</v>
      </c>
    </row>
    <row r="994" spans="20:22" x14ac:dyDescent="0.25">
      <c r="T994">
        <f>IF(connections!$A994="","",IFERROR(INDEX(games!$B$2:$B$846,MATCH(connections!$A994,games!$A$2:$A$846,0)),""))</f>
        <v>2014</v>
      </c>
      <c r="U994">
        <f>IF(connections!$A994="","",IFERROR(INDEX(games!$B$2:$B$846,MATCH(connections!$B994,games!$A$2:$A$846,0)),""))</f>
        <v>2025</v>
      </c>
      <c r="V994">
        <f t="shared" si="158"/>
        <v>11</v>
      </c>
    </row>
    <row r="995" spans="20:22" x14ac:dyDescent="0.25">
      <c r="T995">
        <f>IF(connections!$A995="","",IFERROR(INDEX(games!$B$2:$B$846,MATCH(connections!$A995,games!$A$2:$A$846,0)),""))</f>
        <v>2019</v>
      </c>
      <c r="U995">
        <f>IF(connections!$A995="","",IFERROR(INDEX(games!$B$2:$B$846,MATCH(connections!$B995,games!$A$2:$A$846,0)),""))</f>
        <v>2021</v>
      </c>
      <c r="V995">
        <f t="shared" si="158"/>
        <v>2</v>
      </c>
    </row>
    <row r="996" spans="20:22" x14ac:dyDescent="0.25">
      <c r="T996">
        <f>IF(connections!$A996="","",IFERROR(INDEX(games!$B$2:$B$846,MATCH(connections!$A996,games!$A$2:$A$846,0)),""))</f>
        <v>2019</v>
      </c>
      <c r="U996">
        <f>IF(connections!$A996="","",IFERROR(INDEX(games!$B$2:$B$846,MATCH(connections!$B996,games!$A$2:$A$846,0)),""))</f>
        <v>2026</v>
      </c>
      <c r="V996">
        <f t="shared" si="158"/>
        <v>7</v>
      </c>
    </row>
    <row r="997" spans="20:22" x14ac:dyDescent="0.25">
      <c r="T997">
        <f>IF(connections!$A997="","",IFERROR(INDEX(games!$B$2:$B$846,MATCH(connections!$A997,games!$A$2:$A$846,0)),""))</f>
        <v>2022</v>
      </c>
      <c r="U997">
        <f>IF(connections!$A997="","",IFERROR(INDEX(games!$B$2:$B$846,MATCH(connections!$B997,games!$A$2:$A$846,0)),""))</f>
        <v>2024</v>
      </c>
      <c r="V997">
        <f t="shared" si="158"/>
        <v>2</v>
      </c>
    </row>
    <row r="998" spans="20:22" x14ac:dyDescent="0.25">
      <c r="T998">
        <f>IF(connections!$A998="","",IFERROR(INDEX(games!$B$2:$B$846,MATCH(connections!$A998,games!$A$2:$A$846,0)),""))</f>
        <v>1991</v>
      </c>
      <c r="U998">
        <f>IF(connections!$A998="","",IFERROR(INDEX(games!$B$2:$B$846,MATCH(connections!$B998,games!$A$2:$A$846,0)),""))</f>
        <v>2020</v>
      </c>
      <c r="V998">
        <f t="shared" si="158"/>
        <v>29</v>
      </c>
    </row>
    <row r="999" spans="20:22" x14ac:dyDescent="0.25">
      <c r="T999">
        <f>IF(connections!$A999="","",IFERROR(INDEX(games!$B$2:$B$846,MATCH(connections!$A999,games!$A$2:$A$846,0)),""))</f>
        <v>1991</v>
      </c>
      <c r="U999">
        <f>IF(connections!$A999="","",IFERROR(INDEX(games!$B$2:$B$846,MATCH(connections!$B999,games!$A$2:$A$846,0)),""))</f>
        <v>2019</v>
      </c>
      <c r="V999">
        <f t="shared" si="158"/>
        <v>28</v>
      </c>
    </row>
    <row r="1000" spans="20:22" x14ac:dyDescent="0.25">
      <c r="T1000">
        <f>IF(connections!$A1000="","",IFERROR(INDEX(games!$B$2:$B$846,MATCH(connections!$A1000,games!$A$2:$A$846,0)),""))</f>
        <v>1999</v>
      </c>
      <c r="U1000">
        <f>IF(connections!$A1000="","",IFERROR(INDEX(games!$B$2:$B$846,MATCH(connections!$B1001,games!$A$2:$A$846,0)),""))</f>
        <v>2002</v>
      </c>
      <c r="V1000">
        <f t="shared" si="158"/>
        <v>3</v>
      </c>
    </row>
    <row r="1001" spans="20:22" x14ac:dyDescent="0.25">
      <c r="T1001">
        <f>IF(connections!$A1002="","",IFERROR(INDEX(games!$B$2:$B$846,MATCH(connections!$A1002,games!$A$2:$A$846,0)),""))</f>
        <v>1993</v>
      </c>
      <c r="U1001">
        <f>IF(connections!$A1002="","",IFERROR(INDEX(games!$B$2:$B$846,MATCH(connections!$B1002,games!$A$2:$A$846,0)),""))</f>
        <v>1997</v>
      </c>
      <c r="V1001">
        <f t="shared" si="158"/>
        <v>4</v>
      </c>
    </row>
    <row r="1002" spans="20:22" x14ac:dyDescent="0.25">
      <c r="T1002">
        <f>IF(connections!$A1003="","",IFERROR(INDEX(games!$B$2:$B$846,MATCH(connections!$A1003,games!$A$2:$A$846,0)),""))</f>
        <v>1993</v>
      </c>
      <c r="U1002">
        <f>IF(connections!$A1003="","",IFERROR(INDEX(games!$B$2:$B$846,MATCH(connections!$B1003,games!$A$2:$A$846,0)),""))</f>
        <v>1998</v>
      </c>
      <c r="V1002">
        <f t="shared" si="158"/>
        <v>5</v>
      </c>
    </row>
    <row r="1003" spans="20:22" x14ac:dyDescent="0.25">
      <c r="T1003">
        <f>IF(connections!$A1004="","",IFERROR(INDEX(games!$B$2:$B$846,MATCH(connections!$A1004,games!$A$2:$A$846,0)),""))</f>
        <v>1993</v>
      </c>
      <c r="U1003">
        <f>IF(connections!$A1004="","",IFERROR(INDEX(games!$B$2:$B$846,MATCH(connections!$B1004,games!$A$2:$A$846,0)),""))</f>
        <v>1997</v>
      </c>
      <c r="V1003">
        <f t="shared" si="158"/>
        <v>4</v>
      </c>
    </row>
    <row r="1004" spans="20:22" x14ac:dyDescent="0.25">
      <c r="T1004">
        <f>IF(connections!$A1005="","",IFERROR(INDEX(games!$B$2:$B$846,MATCH(connections!$A1005,games!$A$2:$A$846,0)),""))</f>
        <v>1993</v>
      </c>
      <c r="U1004">
        <f>IF(connections!$A1005="","",IFERROR(INDEX(games!$B$2:$B$846,MATCH(connections!$B1005,games!$A$2:$A$846,0)),""))</f>
        <v>2022</v>
      </c>
      <c r="V1004">
        <f t="shared" si="158"/>
        <v>29</v>
      </c>
    </row>
    <row r="1005" spans="20:22" x14ac:dyDescent="0.25">
      <c r="T1005">
        <f>IF(connections!$A1006="","",IFERROR(INDEX(games!$B$2:$B$846,MATCH(connections!$A1006,games!$A$2:$A$846,0)),""))</f>
        <v>1993</v>
      </c>
      <c r="U1005">
        <f>IF(connections!$A1006="","",IFERROR(INDEX(games!$B$2:$B$846,MATCH(connections!$B1006,games!$A$2:$A$846,0)),""))</f>
        <v>2006</v>
      </c>
      <c r="V1005">
        <f t="shared" si="158"/>
        <v>13</v>
      </c>
    </row>
    <row r="1006" spans="20:22" x14ac:dyDescent="0.25">
      <c r="T1006">
        <f>IF(connections!$A1007="","",IFERROR(INDEX(games!$B$2:$B$846,MATCH(connections!$A1007,games!$A$2:$A$846,0)),""))</f>
        <v>1993</v>
      </c>
      <c r="U1006">
        <f>IF(connections!$A1007="","",IFERROR(INDEX(games!$B$2:$B$846,MATCH(connections!$B1007,games!$A$2:$A$846,0)),""))</f>
        <v>2023</v>
      </c>
      <c r="V1006">
        <f t="shared" si="158"/>
        <v>30</v>
      </c>
    </row>
    <row r="1007" spans="20:22" x14ac:dyDescent="0.25">
      <c r="T1007">
        <f>IF(connections!$A1008="","",IFERROR(INDEX(games!$B$2:$B$846,MATCH(connections!$A1008,games!$A$2:$A$846,0)),""))</f>
        <v>1993</v>
      </c>
      <c r="U1007">
        <f>IF(connections!$A1008="","",IFERROR(INDEX(games!$B$2:$B$846,MATCH(connections!$B1008,games!$A$2:$A$846,0)),""))</f>
        <v>2008</v>
      </c>
      <c r="V1007">
        <f t="shared" si="158"/>
        <v>15</v>
      </c>
    </row>
    <row r="1008" spans="20:22" x14ac:dyDescent="0.25">
      <c r="T1008">
        <f>IF(connections!$A1009="","",IFERROR(INDEX(games!$B$2:$B$846,MATCH(connections!$A1009,games!$A$2:$A$846,0)),""))</f>
        <v>1993</v>
      </c>
      <c r="U1008">
        <f>IF(connections!$A1009="","",IFERROR(INDEX(games!$B$2:$B$846,MATCH(connections!$B1009,games!$A$2:$A$846,0)),""))</f>
        <v>2015</v>
      </c>
      <c r="V1008">
        <f t="shared" si="158"/>
        <v>22</v>
      </c>
    </row>
    <row r="1009" spans="20:22" x14ac:dyDescent="0.25">
      <c r="T1009">
        <f>IF(connections!$A1010="","",IFERROR(INDEX(games!$B$2:$B$846,MATCH(connections!$A1010,games!$A$2:$A$846,0)),""))</f>
        <v>1993</v>
      </c>
      <c r="U1009">
        <f>IF(connections!$A1010="","",IFERROR(INDEX(games!$B$2:$B$846,MATCH(connections!$B1010,games!$A$2:$A$846,0)),""))</f>
        <v>2026</v>
      </c>
      <c r="V1009">
        <f t="shared" si="158"/>
        <v>33</v>
      </c>
    </row>
    <row r="1010" spans="20:22" x14ac:dyDescent="0.25">
      <c r="T1010">
        <f>IF(connections!$A1011="","",IFERROR(INDEX(games!$B$2:$B$846,MATCH(connections!$A1011,games!$A$2:$A$846,0)),""))</f>
        <v>1993</v>
      </c>
      <c r="U1010">
        <f>IF(connections!$A1011="","",IFERROR(INDEX(games!$B$2:$B$846,MATCH(connections!$B1011,games!$A$2:$A$846,0)),""))</f>
        <v>2025</v>
      </c>
      <c r="V1010">
        <f t="shared" si="158"/>
        <v>32</v>
      </c>
    </row>
    <row r="1011" spans="20:22" x14ac:dyDescent="0.25">
      <c r="T1011">
        <f>IF(connections!$A1012="","",IFERROR(INDEX(games!$B$2:$B$846,MATCH(connections!$A1012,games!$A$2:$A$846,0)),""))</f>
        <v>1993</v>
      </c>
      <c r="U1011">
        <f>IF(connections!$A1012="","",IFERROR(INDEX(games!$B$2:$B$846,MATCH(connections!$B1012,games!$A$2:$A$846,0)),""))</f>
        <v>2006</v>
      </c>
      <c r="V1011">
        <f t="shared" si="158"/>
        <v>13</v>
      </c>
    </row>
    <row r="1012" spans="20:22" x14ac:dyDescent="0.25">
      <c r="T1012">
        <f>IF(connections!$A1013="","",IFERROR(INDEX(games!$B$2:$B$846,MATCH(connections!$A1013,games!$A$2:$A$846,0)),""))</f>
        <v>1993</v>
      </c>
      <c r="U1012">
        <f>IF(connections!$A1013="","",IFERROR(INDEX(games!$B$2:$B$846,MATCH(connections!$B1013,games!$A$2:$A$846,0)),""))</f>
        <v>2023</v>
      </c>
      <c r="V1012">
        <f t="shared" si="158"/>
        <v>30</v>
      </c>
    </row>
    <row r="1013" spans="20:22" x14ac:dyDescent="0.25">
      <c r="T1013">
        <f>IF(connections!$A1014="","",IFERROR(INDEX(games!$B$2:$B$846,MATCH(connections!$A1014,games!$A$2:$A$846,0)),""))</f>
        <v>1993</v>
      </c>
      <c r="U1013">
        <f>IF(connections!$A1014="","",IFERROR(INDEX(games!$B$2:$B$846,MATCH(connections!$B1014,games!$A$2:$A$846,0)),""))</f>
        <v>2002</v>
      </c>
      <c r="V1013">
        <f t="shared" si="158"/>
        <v>9</v>
      </c>
    </row>
    <row r="1014" spans="20:22" x14ac:dyDescent="0.25">
      <c r="T1014">
        <f>IF(connections!$A1015="","",IFERROR(INDEX(games!$B$2:$B$846,MATCH(connections!$A1015,games!$A$2:$A$846,0)),""))</f>
        <v>1993</v>
      </c>
      <c r="U1014">
        <f>IF(connections!$A1015="","",IFERROR(INDEX(games!$B$2:$B$846,MATCH(connections!$B1015,games!$A$2:$A$846,0)),""))</f>
        <v>2020</v>
      </c>
      <c r="V1014">
        <f t="shared" si="158"/>
        <v>27</v>
      </c>
    </row>
    <row r="1015" spans="20:22" x14ac:dyDescent="0.25">
      <c r="T1015">
        <f>IF(connections!$A1016="","",IFERROR(INDEX(games!$B$2:$B$846,MATCH(connections!$A1016,games!$A$2:$A$846,0)),""))</f>
        <v>1993</v>
      </c>
      <c r="U1015">
        <f>IF(connections!$A1016="","",IFERROR(INDEX(games!$B$2:$B$846,MATCH(connections!$B1016,games!$A$2:$A$846,0)),""))</f>
        <v>1995</v>
      </c>
      <c r="V1015">
        <f t="shared" si="158"/>
        <v>2</v>
      </c>
    </row>
    <row r="1016" spans="20:22" x14ac:dyDescent="0.25">
      <c r="T1016">
        <f>IF(connections!$A1017="","",IFERROR(INDEX(games!$B$2:$B$846,MATCH(connections!$A1017,games!$A$2:$A$846,0)),""))</f>
        <v>1993</v>
      </c>
      <c r="U1016">
        <f>IF(connections!$A1017="","",IFERROR(INDEX(games!$B$2:$B$846,MATCH(connections!$B1017,games!$A$2:$A$846,0)),""))</f>
        <v>2015</v>
      </c>
      <c r="V1016">
        <f t="shared" si="158"/>
        <v>22</v>
      </c>
    </row>
    <row r="1017" spans="20:22" x14ac:dyDescent="0.25">
      <c r="T1017">
        <f>IF(connections!$A1018="","",IFERROR(INDEX(games!$B$2:$B$846,MATCH(connections!$A1018,games!$A$2:$A$846,0)),""))</f>
        <v>1993</v>
      </c>
      <c r="U1017">
        <f>IF(connections!$A1018="","",IFERROR(INDEX(games!$B$2:$B$846,MATCH(connections!$B1018,games!$A$2:$A$846,0)),""))</f>
        <v>2014</v>
      </c>
      <c r="V1017">
        <f t="shared" si="158"/>
        <v>21</v>
      </c>
    </row>
    <row r="1018" spans="20:22" x14ac:dyDescent="0.25">
      <c r="T1018">
        <f>IF(connections!$A1019="","",IFERROR(INDEX(games!$B$2:$B$846,MATCH(connections!$A1019,games!$A$2:$A$846,0)),""))</f>
        <v>1993</v>
      </c>
      <c r="U1018">
        <f>IF(connections!$A1019="","",IFERROR(INDEX(games!$B$2:$B$846,MATCH(connections!$B1019,games!$A$2:$A$846,0)),""))</f>
        <v>2005</v>
      </c>
      <c r="V1018">
        <f t="shared" si="158"/>
        <v>12</v>
      </c>
    </row>
    <row r="1019" spans="20:22" x14ac:dyDescent="0.25">
      <c r="T1019">
        <f>IF(connections!$A1020="","",IFERROR(INDEX(games!$B$2:$B$846,MATCH(connections!$A1020,games!$A$2:$A$846,0)),""))</f>
        <v>1993</v>
      </c>
      <c r="U1019">
        <f>IF(connections!$A1020="","",IFERROR(INDEX(games!$B$2:$B$846,MATCH(connections!$B1020,games!$A$2:$A$846,0)),""))</f>
        <v>2004</v>
      </c>
      <c r="V1019">
        <f t="shared" si="158"/>
        <v>11</v>
      </c>
    </row>
    <row r="1020" spans="20:22" x14ac:dyDescent="0.25">
      <c r="T1020">
        <f>IF(connections!$A1021="","",IFERROR(INDEX(games!$B$2:$B$846,MATCH(connections!$A1021,games!$A$2:$A$846,0)),""))</f>
        <v>1993</v>
      </c>
      <c r="U1020">
        <f>IF(connections!$A1021="","",IFERROR(INDEX(games!$B$2:$B$846,MATCH(connections!$B1021,games!$A$2:$A$846,0)),""))</f>
        <v>2014</v>
      </c>
      <c r="V1020">
        <f t="shared" si="158"/>
        <v>21</v>
      </c>
    </row>
    <row r="1021" spans="20:22" x14ac:dyDescent="0.25">
      <c r="T1021">
        <f>IF(connections!$A1022="","",IFERROR(INDEX(games!$B$2:$B$846,MATCH(connections!$A1022,games!$A$2:$A$846,0)),""))</f>
        <v>1993</v>
      </c>
      <c r="U1021">
        <f>IF(connections!$A1022="","",IFERROR(INDEX(games!$B$2:$B$846,MATCH(connections!$B1022,games!$A$2:$A$846,0)),""))</f>
        <v>1999</v>
      </c>
      <c r="V1021">
        <f t="shared" si="158"/>
        <v>6</v>
      </c>
    </row>
    <row r="1022" spans="20:22" x14ac:dyDescent="0.25">
      <c r="T1022">
        <f>IF(connections!$A1023="","",IFERROR(INDEX(games!$B$2:$B$846,MATCH(connections!$A1023,games!$A$2:$A$846,0)),""))</f>
        <v>1993</v>
      </c>
      <c r="U1022">
        <f>IF(connections!$A1023="","",IFERROR(INDEX(games!$B$2:$B$846,MATCH(connections!$B1023,games!$A$2:$A$846,0)),""))</f>
        <v>2021</v>
      </c>
      <c r="V1022">
        <f t="shared" si="158"/>
        <v>28</v>
      </c>
    </row>
    <row r="1023" spans="20:22" x14ac:dyDescent="0.25">
      <c r="T1023">
        <f>IF(connections!$A1024="","",IFERROR(INDEX(games!$B$2:$B$846,MATCH(connections!$A1024,games!$A$2:$A$846,0)),""))</f>
        <v>1993</v>
      </c>
      <c r="U1023">
        <f>IF(connections!$A1024="","",IFERROR(INDEX(games!$B$2:$B$846,MATCH(connections!$B1024,games!$A$2:$A$846,0)),""))</f>
        <v>2010</v>
      </c>
      <c r="V1023">
        <f t="shared" si="158"/>
        <v>17</v>
      </c>
    </row>
    <row r="1024" spans="20:22" x14ac:dyDescent="0.25">
      <c r="T1024">
        <f>IF(connections!$A1025="","",IFERROR(INDEX(games!$B$2:$B$846,MATCH(connections!$A1025,games!$A$2:$A$846,0)),""))</f>
        <v>2014</v>
      </c>
      <c r="U1024">
        <f>IF(connections!$A1025="","",IFERROR(INDEX(games!$B$2:$B$846,MATCH(connections!$B1025,games!$A$2:$A$846,0)),""))</f>
        <v>2018</v>
      </c>
      <c r="V1024">
        <f t="shared" si="158"/>
        <v>4</v>
      </c>
    </row>
    <row r="1025" spans="20:22" x14ac:dyDescent="0.25">
      <c r="T1025">
        <f>IF(connections!$A1026="","",IFERROR(INDEX(games!$B$2:$B$846,MATCH(connections!$A1026,games!$A$2:$A$846,0)),""))</f>
        <v>2021</v>
      </c>
      <c r="U1025">
        <f>IF(connections!$A1026="","",IFERROR(INDEX(games!$B$2:$B$846,MATCH(connections!$B1026,games!$A$2:$A$846,0)),""))</f>
        <v>2023</v>
      </c>
      <c r="V1025">
        <f t="shared" si="158"/>
        <v>2</v>
      </c>
    </row>
    <row r="1026" spans="20:22" x14ac:dyDescent="0.25">
      <c r="T1026">
        <f>IF(connections!$A1027="","",IFERROR(INDEX(games!$B$2:$B$846,MATCH(connections!$A1027,games!$A$2:$A$846,0)),""))</f>
        <v>2019</v>
      </c>
      <c r="U1026">
        <f>IF(connections!$A1027="","",IFERROR(INDEX(games!$B$2:$B$846,MATCH(connections!$B1027,games!$A$2:$A$846,0)),""))</f>
        <v>2025</v>
      </c>
      <c r="V1026">
        <f t="shared" ref="V1026:V1060" si="159">IF(OR($T1026="",$U1026=""),"",$U1026-$T1026)</f>
        <v>6</v>
      </c>
    </row>
    <row r="1027" spans="20:22" x14ac:dyDescent="0.25">
      <c r="T1027">
        <f>IF(connections!$A1028="","",IFERROR(INDEX(games!$B$2:$B$846,MATCH(connections!$A1028,games!$A$2:$A$846,0)),""))</f>
        <v>2017</v>
      </c>
      <c r="U1027">
        <f>IF(connections!$A1028="","",IFERROR(INDEX(games!$B$2:$B$846,MATCH(connections!$B1028,games!$A$2:$A$846,0)),""))</f>
        <v>2023</v>
      </c>
      <c r="V1027">
        <f t="shared" si="159"/>
        <v>6</v>
      </c>
    </row>
    <row r="1028" spans="20:22" x14ac:dyDescent="0.25">
      <c r="T1028">
        <f>IF(connections!$A1029="","",IFERROR(INDEX(games!$B$2:$B$846,MATCH(connections!$A1029,games!$A$2:$A$846,0)),""))</f>
        <v>2017</v>
      </c>
      <c r="U1028" t="str">
        <f>IF(connections!$A1029="","",IFERROR(INDEX(games!$B$2:$B$846,MATCH(connections!$C1029,games!$A$2:$A$846,0)),""))</f>
        <v/>
      </c>
      <c r="V1028" t="str">
        <f t="shared" si="159"/>
        <v/>
      </c>
    </row>
    <row r="1029" spans="20:22" x14ac:dyDescent="0.25">
      <c r="T1029">
        <f>IF(connections!$A1030="","",IFERROR(INDEX(games!$B$2:$B$846,MATCH(connections!$A1030,games!$A$2:$A$846,0)),""))</f>
        <v>1992</v>
      </c>
      <c r="U1029" t="str">
        <f>IF(connections!$A1030="","",IFERROR(INDEX(games!$B$2:$B$846,MATCH(connections!$C1030,games!$A$2:$A$846,0)),""))</f>
        <v/>
      </c>
      <c r="V1029" t="str">
        <f t="shared" si="159"/>
        <v/>
      </c>
    </row>
    <row r="1030" spans="20:22" x14ac:dyDescent="0.25">
      <c r="T1030">
        <f>IF(connections!$A1031="","",IFERROR(INDEX(games!$B$2:$B$846,MATCH(connections!$A1031,games!$A$2:$A$846,0)),""))</f>
        <v>2021</v>
      </c>
      <c r="U1030">
        <f>IF(connections!$A1031="","",IFERROR(INDEX(games!$B$2:$B$846,MATCH(connections!$B1031,games!$A$2:$A$846,0)),""))</f>
        <v>2022</v>
      </c>
      <c r="V1030">
        <f t="shared" si="159"/>
        <v>1</v>
      </c>
    </row>
    <row r="1031" spans="20:22" x14ac:dyDescent="0.25">
      <c r="T1031">
        <f>IF(connections!$A1032="","",IFERROR(INDEX(games!$B$2:$B$846,MATCH(connections!$A1032,games!$A$2:$A$846,0)),""))</f>
        <v>2021</v>
      </c>
      <c r="U1031">
        <f>IF(connections!$A1032="","",IFERROR(INDEX(games!$B$2:$B$846,MATCH(connections!$B1032,games!$A$2:$A$846,0)),""))</f>
        <v>2024</v>
      </c>
      <c r="V1031">
        <f t="shared" si="159"/>
        <v>3</v>
      </c>
    </row>
    <row r="1032" spans="20:22" x14ac:dyDescent="0.25">
      <c r="T1032">
        <f>IF(connections!$A1033="","",IFERROR(INDEX(games!$B$2:$B$846,MATCH(connections!$A1033,games!$A$2:$A$846,0)),""))</f>
        <v>2021</v>
      </c>
      <c r="U1032">
        <f>IF(connections!$A1033="","",IFERROR(INDEX(games!$B$2:$B$846,MATCH(connections!$B1033,games!$A$2:$A$846,0)),""))</f>
        <v>2022</v>
      </c>
      <c r="V1032">
        <f t="shared" si="159"/>
        <v>1</v>
      </c>
    </row>
    <row r="1033" spans="20:22" x14ac:dyDescent="0.25">
      <c r="T1033">
        <f>IF(connections!$A1034="","",IFERROR(INDEX(games!$B$2:$B$846,MATCH(connections!$A1034,games!$A$2:$A$846,0)),""))</f>
        <v>2021</v>
      </c>
      <c r="U1033">
        <f>IF(connections!$A1034="","",IFERROR(INDEX(games!$B$2:$B$846,MATCH(connections!$B1034,games!$A$2:$A$846,0)),""))</f>
        <v>2025</v>
      </c>
      <c r="V1033">
        <f t="shared" si="159"/>
        <v>4</v>
      </c>
    </row>
    <row r="1034" spans="20:22" x14ac:dyDescent="0.25">
      <c r="T1034">
        <f>IF(connections!$A1035="","",IFERROR(INDEX(games!$B$2:$B$846,MATCH(connections!$A1035,games!$A$2:$A$846,0)),""))</f>
        <v>2021</v>
      </c>
      <c r="U1034">
        <f>IF(connections!$A1035="","",IFERROR(INDEX(games!$B$2:$B$846,MATCH(connections!$B1035,games!$A$2:$A$846,0)),""))</f>
        <v>2025</v>
      </c>
      <c r="V1034">
        <f t="shared" si="159"/>
        <v>4</v>
      </c>
    </row>
    <row r="1035" spans="20:22" x14ac:dyDescent="0.25">
      <c r="T1035">
        <f>IF(connections!$A1036="","",IFERROR(INDEX(games!$B$2:$B$846,MATCH(connections!$A1036,games!$A$2:$A$846,0)),""))</f>
        <v>2021</v>
      </c>
      <c r="U1035">
        <f>IF(connections!$A1036="","",IFERROR(INDEX(games!$B$2:$B$846,MATCH(connections!$B1036,games!$A$2:$A$846,0)),""))</f>
        <v>2025</v>
      </c>
      <c r="V1035">
        <f t="shared" si="159"/>
        <v>4</v>
      </c>
    </row>
    <row r="1036" spans="20:22" x14ac:dyDescent="0.25">
      <c r="T1036">
        <f>IF(connections!$A1037="","",IFERROR(INDEX(games!$B$2:$B$846,MATCH(connections!$A1037,games!$A$2:$A$846,0)),""))</f>
        <v>2021</v>
      </c>
      <c r="U1036">
        <f>IF(connections!$A1037="","",IFERROR(INDEX(games!$B$2:$B$846,MATCH(connections!$B1037,games!$A$2:$A$846,0)),""))</f>
        <v>2024</v>
      </c>
      <c r="V1036">
        <f t="shared" si="159"/>
        <v>3</v>
      </c>
    </row>
    <row r="1037" spans="20:22" x14ac:dyDescent="0.25">
      <c r="T1037">
        <f>IF(connections!$A1038="","",IFERROR(INDEX(games!$B$2:$B$846,MATCH(connections!$A1038,games!$A$2:$A$846,0)),""))</f>
        <v>2021</v>
      </c>
      <c r="U1037">
        <f>IF(connections!$A1038="","",IFERROR(INDEX(games!$B$2:$B$846,MATCH(connections!$B1038,games!$A$2:$A$846,0)),""))</f>
        <v>2022</v>
      </c>
      <c r="V1037">
        <f t="shared" si="159"/>
        <v>1</v>
      </c>
    </row>
    <row r="1038" spans="20:22" x14ac:dyDescent="0.25">
      <c r="T1038" t="e">
        <f>IF(connections!#REF!="","",IFERROR(INDEX(games!$B$2:$B$846,MATCH(connections!#REF!,games!$A$2:$A$846,0)),""))</f>
        <v>#REF!</v>
      </c>
      <c r="U1038" t="e">
        <f>IF(connections!#REF!="","",IFERROR(INDEX(games!$B$2:$B$846,MATCH(connections!#REF!,games!$A$2:$A$846,0)),""))</f>
        <v>#REF!</v>
      </c>
      <c r="V1038" t="e">
        <f t="shared" si="159"/>
        <v>#REF!</v>
      </c>
    </row>
    <row r="1039" spans="20:22" x14ac:dyDescent="0.25">
      <c r="T1039">
        <f>IF(connections!$A1039="","",IFERROR(INDEX(games!$B$2:$B$846,MATCH(connections!$A1039,games!$A$2:$A$846,0)),""))</f>
        <v>2021</v>
      </c>
      <c r="U1039">
        <f>IF(connections!$A1039="","",IFERROR(INDEX(games!$B$2:$B$846,MATCH(connections!$B1039,games!$A$2:$A$846,0)),""))</f>
        <v>2026</v>
      </c>
      <c r="V1039">
        <f t="shared" si="159"/>
        <v>5</v>
      </c>
    </row>
    <row r="1040" spans="20:22" x14ac:dyDescent="0.25">
      <c r="T1040">
        <f>IF(connections!$A1040="","",IFERROR(INDEX(games!$B$2:$B$846,MATCH(connections!$A1040,games!$A$2:$A$846,0)),""))</f>
        <v>2021</v>
      </c>
      <c r="U1040">
        <f>IF(connections!$A1040="","",IFERROR(INDEX(games!$B$2:$B$846,MATCH(connections!$B1040,games!$A$2:$A$846,0)),""))</f>
        <v>2023</v>
      </c>
      <c r="V1040">
        <f t="shared" si="159"/>
        <v>2</v>
      </c>
    </row>
    <row r="1041" spans="20:22" x14ac:dyDescent="0.25">
      <c r="T1041">
        <f>IF(connections!$A1041="","",IFERROR(INDEX(games!$B$2:$B$846,MATCH(connections!$A1041,games!$A$2:$A$846,0)),""))</f>
        <v>2021</v>
      </c>
      <c r="U1041">
        <f>IF(connections!$A1041="","",IFERROR(INDEX(games!$B$2:$B$846,MATCH(connections!$B1041,games!$A$2:$A$846,0)),""))</f>
        <v>2024</v>
      </c>
      <c r="V1041">
        <f t="shared" si="159"/>
        <v>3</v>
      </c>
    </row>
    <row r="1042" spans="20:22" x14ac:dyDescent="0.25">
      <c r="T1042">
        <f>IF(connections!$A1042="","",IFERROR(INDEX(games!$B$2:$B$846,MATCH(connections!$A1042,games!$A$2:$A$846,0)),""))</f>
        <v>2021</v>
      </c>
      <c r="U1042">
        <f>IF(connections!$A1042="","",IFERROR(INDEX(games!$B$2:$B$846,MATCH(connections!$B1042,games!$A$2:$A$846,0)),""))</f>
        <v>2022</v>
      </c>
      <c r="V1042">
        <f t="shared" si="159"/>
        <v>1</v>
      </c>
    </row>
    <row r="1043" spans="20:22" x14ac:dyDescent="0.25">
      <c r="T1043">
        <f>IF(connections!$A1043="","",IFERROR(INDEX(games!$B$2:$B$846,MATCH(connections!$A1043,games!$A$2:$A$846,0)),""))</f>
        <v>2021</v>
      </c>
      <c r="U1043">
        <f>IF(connections!$A1043="","",IFERROR(INDEX(games!$B$2:$B$846,MATCH(connections!$B1043,games!$A$2:$A$846,0)),""))</f>
        <v>2022</v>
      </c>
      <c r="V1043">
        <f t="shared" si="159"/>
        <v>1</v>
      </c>
    </row>
    <row r="1044" spans="20:22" x14ac:dyDescent="0.25">
      <c r="T1044">
        <f>IF(connections!$A1044="","",IFERROR(INDEX(games!$B$2:$B$846,MATCH(connections!$A1044,games!$A$2:$A$846,0)),""))</f>
        <v>2021</v>
      </c>
      <c r="U1044">
        <f>IF(connections!$A1044="","",IFERROR(INDEX(games!$B$2:$B$846,MATCH(connections!$B1044,games!$A$2:$A$846,0)),""))</f>
        <v>2022</v>
      </c>
      <c r="V1044">
        <f t="shared" si="159"/>
        <v>1</v>
      </c>
    </row>
    <row r="1045" spans="20:22" x14ac:dyDescent="0.25">
      <c r="T1045">
        <f>IF(connections!$A1045="","",IFERROR(INDEX(games!$B$2:$B$846,MATCH(connections!$A1045,games!$A$2:$A$846,0)),""))</f>
        <v>2021</v>
      </c>
      <c r="U1045">
        <f>IF(connections!$A1045="","",IFERROR(INDEX(games!$B$2:$B$846,MATCH(connections!$B1045,games!$A$2:$A$846,0)),""))</f>
        <v>2022</v>
      </c>
      <c r="V1045">
        <f t="shared" si="159"/>
        <v>1</v>
      </c>
    </row>
    <row r="1046" spans="20:22" x14ac:dyDescent="0.25">
      <c r="T1046">
        <f>IF(connections!$A1046="","",IFERROR(INDEX(games!$B$2:$B$846,MATCH(connections!$A1046,games!$A$2:$A$846,0)),""))</f>
        <v>2021</v>
      </c>
      <c r="U1046">
        <f>IF(connections!$A1046="","",IFERROR(INDEX(games!$B$2:$B$846,MATCH(connections!$B1046,games!$A$2:$A$846,0)),""))</f>
        <v>2023</v>
      </c>
      <c r="V1046">
        <f t="shared" si="159"/>
        <v>2</v>
      </c>
    </row>
    <row r="1047" spans="20:22" x14ac:dyDescent="0.25">
      <c r="T1047">
        <f>IF(connections!$A1047="","",IFERROR(INDEX(games!$B$2:$B$846,MATCH(connections!$A1047,games!$A$2:$A$846,0)),""))</f>
        <v>2021</v>
      </c>
      <c r="U1047">
        <f>IF(connections!$A1047="","",IFERROR(INDEX(games!$B$2:$B$846,MATCH(connections!$B1047,games!$A$2:$A$846,0)),""))</f>
        <v>2023</v>
      </c>
      <c r="V1047">
        <f t="shared" si="159"/>
        <v>2</v>
      </c>
    </row>
    <row r="1048" spans="20:22" x14ac:dyDescent="0.25">
      <c r="T1048">
        <f>IF(connections!$A1048="","",IFERROR(INDEX(games!$B$2:$B$846,MATCH(connections!$A1048,games!$A$2:$A$846,0)),""))</f>
        <v>2021</v>
      </c>
      <c r="U1048">
        <f>IF(connections!$A1048="","",IFERROR(INDEX(games!$B$2:$B$846,MATCH(connections!$B1048,games!$A$2:$A$846,0)),""))</f>
        <v>2026</v>
      </c>
      <c r="V1048">
        <f t="shared" si="159"/>
        <v>5</v>
      </c>
    </row>
    <row r="1049" spans="20:22" x14ac:dyDescent="0.25">
      <c r="T1049">
        <f>IF(connections!$A1049="","",IFERROR(INDEX(games!$B$2:$B$846,MATCH(connections!$A1049,games!$A$2:$A$846,0)),""))</f>
        <v>2021</v>
      </c>
      <c r="U1049">
        <f>IF(connections!$A1049="","",IFERROR(INDEX(games!$B$2:$B$846,MATCH(connections!$B1049,games!$A$2:$A$846,0)),""))</f>
        <v>2023</v>
      </c>
      <c r="V1049">
        <f t="shared" si="159"/>
        <v>2</v>
      </c>
    </row>
    <row r="1050" spans="20:22" x14ac:dyDescent="0.25">
      <c r="T1050">
        <f>IF(connections!$A1050="","",IFERROR(INDEX(games!$B$2:$B$846,MATCH(connections!$A1050,games!$A$2:$A$846,0)),""))</f>
        <v>2021</v>
      </c>
      <c r="U1050">
        <f>IF(connections!$A1050="","",IFERROR(INDEX(games!$B$2:$B$846,MATCH(connections!$B1050,games!$A$2:$A$846,0)),""))</f>
        <v>2024</v>
      </c>
      <c r="V1050">
        <f t="shared" si="159"/>
        <v>3</v>
      </c>
    </row>
    <row r="1051" spans="20:22" x14ac:dyDescent="0.25">
      <c r="T1051">
        <f>IF(connections!$A1051="","",IFERROR(INDEX(games!$B$2:$B$846,MATCH(connections!$A1051,games!$A$2:$A$846,0)),""))</f>
        <v>2021</v>
      </c>
      <c r="U1051">
        <f>IF(connections!$A1051="","",IFERROR(INDEX(games!$B$2:$B$846,MATCH(connections!$B1051,games!$A$2:$A$846,0)),""))</f>
        <v>2025</v>
      </c>
      <c r="V1051">
        <f t="shared" si="159"/>
        <v>4</v>
      </c>
    </row>
    <row r="1052" spans="20:22" x14ac:dyDescent="0.25">
      <c r="T1052">
        <f>IF(connections!$A1052="","",IFERROR(INDEX(games!$B$2:$B$846,MATCH(connections!$A1052,games!$A$2:$A$846,0)),""))</f>
        <v>2021</v>
      </c>
      <c r="U1052">
        <f>IF(connections!$A1052="","",IFERROR(INDEX(games!$B$2:$B$846,MATCH(connections!$B1052,games!$A$2:$A$846,0)),""))</f>
        <v>2023</v>
      </c>
      <c r="V1052">
        <f t="shared" si="159"/>
        <v>2</v>
      </c>
    </row>
    <row r="1053" spans="20:22" x14ac:dyDescent="0.25">
      <c r="T1053">
        <f>IF(connections!$A1053="","",IFERROR(INDEX(games!$B$2:$B$846,MATCH(connections!$A1053,games!$A$2:$A$846,0)),""))</f>
        <v>2021</v>
      </c>
      <c r="U1053">
        <f>IF(connections!$A1053="","",IFERROR(INDEX(games!$B$2:$B$846,MATCH(connections!$B1053,games!$A$2:$A$846,0)),""))</f>
        <v>2023</v>
      </c>
      <c r="V1053">
        <f t="shared" si="159"/>
        <v>2</v>
      </c>
    </row>
    <row r="1054" spans="20:22" x14ac:dyDescent="0.25">
      <c r="T1054">
        <f>IF(connections!$A1054="","",IFERROR(INDEX(games!$B$2:$B$846,MATCH(connections!$A1054,games!$A$2:$A$846,0)),""))</f>
        <v>2021</v>
      </c>
      <c r="U1054">
        <f>IF(connections!$A1054="","",IFERROR(INDEX(games!$B$2:$B$846,MATCH(connections!$B1054,games!$A$2:$A$846,0)),""))</f>
        <v>2023</v>
      </c>
      <c r="V1054">
        <f t="shared" si="159"/>
        <v>2</v>
      </c>
    </row>
    <row r="1055" spans="20:22" x14ac:dyDescent="0.25">
      <c r="T1055">
        <f>IF(connections!$A1055="","",IFERROR(INDEX(games!$B$2:$B$846,MATCH(connections!$A1055,games!$A$2:$A$846,0)),""))</f>
        <v>2021</v>
      </c>
      <c r="U1055">
        <f>IF(connections!$A1055="","",IFERROR(INDEX(games!$B$2:$B$846,MATCH(connections!$B1055,games!$A$2:$A$846,0)),""))</f>
        <v>2024</v>
      </c>
      <c r="V1055">
        <f t="shared" si="159"/>
        <v>3</v>
      </c>
    </row>
    <row r="1056" spans="20:22" x14ac:dyDescent="0.25">
      <c r="T1056">
        <f>IF(connections!$A1056="","",IFERROR(INDEX(games!$B$2:$B$846,MATCH(connections!$A1056,games!$A$2:$A$846,0)),""))</f>
        <v>2021</v>
      </c>
      <c r="U1056">
        <f>IF(connections!$A1056="","",IFERROR(INDEX(games!$B$2:$B$846,MATCH(connections!$B1056,games!$A$2:$A$846,0)),""))</f>
        <v>2024</v>
      </c>
      <c r="V1056">
        <f t="shared" si="159"/>
        <v>3</v>
      </c>
    </row>
    <row r="1057" spans="20:22" x14ac:dyDescent="0.25">
      <c r="T1057">
        <f>IF(connections!$A1057="","",IFERROR(INDEX(games!$B$2:$B$846,MATCH(connections!$A1057,games!$A$2:$A$846,0)),""))</f>
        <v>2021</v>
      </c>
      <c r="U1057">
        <f>IF(connections!$A1057="","",IFERROR(INDEX(games!$B$2:$B$846,MATCH(connections!$B1057,games!$A$2:$A$846,0)),""))</f>
        <v>2023</v>
      </c>
      <c r="V1057">
        <f t="shared" si="159"/>
        <v>2</v>
      </c>
    </row>
    <row r="1058" spans="20:22" x14ac:dyDescent="0.25">
      <c r="T1058">
        <f>IF(connections!$A1058="","",IFERROR(INDEX(games!$B$2:$B$846,MATCH(connections!$A1058,games!$A$2:$A$846,0)),""))</f>
        <v>2021</v>
      </c>
      <c r="U1058">
        <f>IF(connections!$A1058="","",IFERROR(INDEX(games!$B$2:$B$846,MATCH(connections!$B1058,games!$A$2:$A$846,0)),""))</f>
        <v>2023</v>
      </c>
      <c r="V1058">
        <f t="shared" si="159"/>
        <v>2</v>
      </c>
    </row>
    <row r="1059" spans="20:22" x14ac:dyDescent="0.25">
      <c r="T1059">
        <f>IF(connections!$A1059="","",IFERROR(INDEX(games!$B$2:$B$846,MATCH(connections!$A1059,games!$A$2:$A$846,0)),""))</f>
        <v>2021</v>
      </c>
      <c r="U1059">
        <f>IF(connections!$A1059="","",IFERROR(INDEX(games!$B$2:$B$846,MATCH(connections!$B1059,games!$A$2:$A$846,0)),""))</f>
        <v>2023</v>
      </c>
      <c r="V1059">
        <f t="shared" si="159"/>
        <v>2</v>
      </c>
    </row>
    <row r="1060" spans="20:22" x14ac:dyDescent="0.25">
      <c r="T1060">
        <f>IF(connections!$A1060="","",IFERROR(INDEX(games!$B$2:$B$846,MATCH(connections!$A1060,games!$A$2:$A$846,0)),""))</f>
        <v>2021</v>
      </c>
      <c r="U1060">
        <f>IF(connections!$A1060="","",IFERROR(INDEX(games!$B$2:$B$846,MATCH(connections!$B1060,games!$A$2:$A$846,0)),""))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2026-08-11T10:37:54Z</dcterms:modified>
  <dc:language>en-US</dc:language>
</cp:coreProperties>
</file>