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248819-0924-4013-BE60-50E1A8DA2A23}"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<sst xmlns="http://schemas.openxmlformats.org/spreadsheetml/2006/main" count="22340" uniqueCount="8060">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</sst>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abSelected="1"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8049</v>
      </c>
      <c r="B239">
        <v>2026</v>
      </c>
      <c r="C239" t="s">
        <v>176</v>
      </c>
      <c r="D239" t="b">
        <f>TRUE()</f>
        <v>1</v>
      </c>
      <c r="E239" t="b">
        <f>COUNTIF(connections!A:A, A239) &gt; 0</f>
        <v>0</v>
      </c>
      <c r="G239" t="s">
        <v>8050</v>
      </c>
      <c r="J239" s="10" t="s">
        <v>8051</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7926</v>
      </c>
      <c r="J251" s="10" t="s">
        <v>7927</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7755</v>
      </c>
      <c r="B337">
        <v>2025</v>
      </c>
      <c r="C337" t="s">
        <v>176</v>
      </c>
      <c r="D337" t="b">
        <f>TRUE()</f>
        <v>1</v>
      </c>
      <c r="E337" t="b">
        <f>COUNTIF(connections!A:A, A337) &gt; 0</f>
        <v>0</v>
      </c>
      <c r="G337" t="s">
        <v>7756</v>
      </c>
      <c r="H337" t="s">
        <v>187</v>
      </c>
      <c r="I337" t="s">
        <v>7759</v>
      </c>
      <c r="J337" s="10" t="s">
        <v>7757</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7910</v>
      </c>
      <c r="B347">
        <v>2026</v>
      </c>
      <c r="C347" t="s">
        <v>182</v>
      </c>
      <c r="D347" t="b">
        <f>TRUE()</f>
        <v>1</v>
      </c>
      <c r="E347" t="b">
        <f>COUNTIF(connections!A:A, A347) &gt; 0</f>
        <v>0</v>
      </c>
      <c r="G347" t="s">
        <v>7911</v>
      </c>
      <c r="J347" s="10" t="s">
        <v>7912</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8053</v>
      </c>
      <c r="B386">
        <v>2026</v>
      </c>
      <c r="C386" t="s">
        <v>182</v>
      </c>
      <c r="D386" t="b">
        <f>TRUE()</f>
        <v>1</v>
      </c>
      <c r="E386" t="b">
        <f>COUNTIF(connections!A:A, A386) &gt; 0</f>
        <v>0</v>
      </c>
      <c r="G386" t="s">
        <v>8054</v>
      </c>
      <c r="J386" s="10" t="s">
        <v>8055</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8044</v>
      </c>
      <c r="B402">
        <v>2026</v>
      </c>
      <c r="C402" t="s">
        <v>176</v>
      </c>
      <c r="D402" t="b">
        <f>TRUE()</f>
        <v>1</v>
      </c>
      <c r="E402" t="b">
        <f>COUNTIF(connections!A:A, A402) &gt; 0</f>
        <v>0</v>
      </c>
      <c r="G402" t="s">
        <v>8045</v>
      </c>
      <c r="J402" s="10" t="s">
        <v>8046</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8019</v>
      </c>
      <c r="B415">
        <v>2026</v>
      </c>
      <c r="C415" t="s">
        <v>222</v>
      </c>
      <c r="D415" t="b">
        <f>TRUE()</f>
        <v>1</v>
      </c>
      <c r="E415" t="b">
        <f>COUNTIF(connections!A:A, A415) &gt; 0</f>
        <v>0</v>
      </c>
      <c r="G415" t="s">
        <v>8020</v>
      </c>
      <c r="J415" s="10" t="s">
        <v>8021</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8057</v>
      </c>
      <c r="B419">
        <v>2026</v>
      </c>
      <c r="C419" t="s">
        <v>182</v>
      </c>
      <c r="D419" t="b">
        <f>TRUE()</f>
        <v>1</v>
      </c>
      <c r="E419" t="b">
        <f>COUNTIF(connections!A:A, A419) &gt; 0</f>
        <v>0</v>
      </c>
      <c r="G419" t="s">
        <v>8058</v>
      </c>
      <c r="J419" s="10" t="s">
        <v>8059</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7924</v>
      </c>
      <c r="J431" s="10" t="s">
        <v>7925</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7872</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7886</v>
      </c>
      <c r="B536">
        <v>2026</v>
      </c>
      <c r="C536" t="s">
        <v>182</v>
      </c>
      <c r="D536" t="b">
        <f>TRUE()</f>
        <v>1</v>
      </c>
      <c r="E536" t="b">
        <f>COUNTIF(connections!A:A, A536) &gt; 0</f>
        <v>0</v>
      </c>
      <c r="G536" t="s">
        <v>7869</v>
      </c>
      <c r="J536" s="10" t="s">
        <v>7870</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7982</v>
      </c>
      <c r="B544">
        <v>2026</v>
      </c>
      <c r="C544" t="s">
        <v>176</v>
      </c>
      <c r="D544" t="b">
        <f>TRUE()</f>
        <v>1</v>
      </c>
      <c r="E544" t="b">
        <f>COUNTIF(connections!A:A, A544) &gt; 0</f>
        <v>0</v>
      </c>
      <c r="G544" t="s">
        <v>7983</v>
      </c>
      <c r="J544" s="10" t="s">
        <v>7984</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7690</v>
      </c>
      <c r="B553">
        <v>2026</v>
      </c>
      <c r="C553" t="s">
        <v>176</v>
      </c>
      <c r="D553" t="b">
        <f>TRUE()</f>
        <v>1</v>
      </c>
      <c r="E553" t="b">
        <f>COUNTIF(connections!A:A, A553) &gt; 0</f>
        <v>0</v>
      </c>
      <c r="G553" t="s">
        <v>7691</v>
      </c>
      <c r="J553" s="10" t="s">
        <v>7692</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8001</v>
      </c>
      <c r="B573">
        <v>2026</v>
      </c>
      <c r="C573" t="s">
        <v>176</v>
      </c>
      <c r="D573" t="b">
        <f>TRUE()</f>
        <v>1</v>
      </c>
      <c r="E573" t="b">
        <f>COUNTIF(connections!A:A, A573) &gt; 0</f>
        <v>0</v>
      </c>
      <c r="F573" t="s">
        <v>1986</v>
      </c>
      <c r="G573" t="s">
        <v>8002</v>
      </c>
      <c r="H573" t="s">
        <v>187</v>
      </c>
      <c r="I573" t="s">
        <v>8003</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7928</v>
      </c>
      <c r="J583" s="10" t="s">
        <v>7929</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7986</v>
      </c>
      <c r="B589">
        <v>2026</v>
      </c>
      <c r="C589" t="s">
        <v>179</v>
      </c>
      <c r="D589" t="b">
        <f>TRUE()</f>
        <v>1</v>
      </c>
      <c r="E589" t="b">
        <f>COUNTIF(connections!A:A, A589) &gt; 0</f>
        <v>0</v>
      </c>
      <c r="G589" t="s">
        <v>7988</v>
      </c>
      <c r="J589" s="10" t="s">
        <v>7989</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7976</v>
      </c>
      <c r="B596">
        <v>2025</v>
      </c>
      <c r="C596" t="s">
        <v>176</v>
      </c>
      <c r="D596" t="b">
        <f>TRUE()</f>
        <v>1</v>
      </c>
      <c r="E596" t="b">
        <f>COUNTIF(connections!A:A, A596) &gt; 0</f>
        <v>0</v>
      </c>
      <c r="G596" t="s">
        <v>7977</v>
      </c>
      <c r="H596" t="s">
        <v>187</v>
      </c>
      <c r="I596" t="s">
        <v>7980</v>
      </c>
      <c r="J596" s="10" t="s">
        <v>7978</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7991</v>
      </c>
      <c r="B607">
        <v>2026</v>
      </c>
      <c r="C607" t="s">
        <v>176</v>
      </c>
      <c r="D607" t="b">
        <f>TRUE()</f>
        <v>1</v>
      </c>
      <c r="E607" t="b">
        <f>COUNTIF(connections!A:A, A607) &gt; 0</f>
        <v>0</v>
      </c>
      <c r="G607" t="s">
        <v>7992</v>
      </c>
      <c r="J607" s="10" t="s">
        <v>7993</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7999</v>
      </c>
      <c r="B661">
        <v>2025</v>
      </c>
      <c r="C661" t="s">
        <v>176</v>
      </c>
      <c r="D661" t="b">
        <f>TRUE()</f>
        <v>1</v>
      </c>
      <c r="E661" t="b">
        <f>COUNTIF(connections!A:A, A661) &gt; 0</f>
        <v>0</v>
      </c>
      <c r="G661" t="s">
        <v>8000</v>
      </c>
      <c r="J661" s="10" t="s">
        <v>7998</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8006</v>
      </c>
      <c r="B676">
        <v>2026</v>
      </c>
      <c r="C676" t="s">
        <v>182</v>
      </c>
      <c r="D676" t="b">
        <f>TRUE()</f>
        <v>1</v>
      </c>
      <c r="E676" t="b">
        <f>COUNTIF(connections!A:A, A676) &gt; 0</f>
        <v>0</v>
      </c>
      <c r="G676" t="s">
        <v>8007</v>
      </c>
      <c r="J676" s="10" t="s">
        <v>8008</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7906</v>
      </c>
      <c r="B702">
        <v>2019</v>
      </c>
      <c r="C702" t="s">
        <v>176</v>
      </c>
      <c r="D702" t="b">
        <f>TRUE()</f>
        <v>1</v>
      </c>
      <c r="E702" t="b">
        <f>COUNTIF(connections!A:A, A702) &gt; 0</f>
        <v>0</v>
      </c>
      <c r="G702" t="s">
        <v>7907</v>
      </c>
      <c r="J702" s="10" t="s">
        <v>7908</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7922</v>
      </c>
      <c r="J704" s="10" t="s">
        <v>7923</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7994</v>
      </c>
      <c r="B776">
        <v>2026</v>
      </c>
      <c r="C776" t="s">
        <v>182</v>
      </c>
      <c r="D776" t="b">
        <f>TRUE()</f>
        <v>1</v>
      </c>
      <c r="E776" t="b">
        <f>COUNTIF(connections!A:A, A776) &gt; 0</f>
        <v>0</v>
      </c>
      <c r="G776" t="s">
        <v>7995</v>
      </c>
      <c r="J776" s="10" t="s">
        <v>7996</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8023</v>
      </c>
      <c r="B790">
        <v>2026</v>
      </c>
      <c r="C790" t="s">
        <v>182</v>
      </c>
      <c r="D790" t="b">
        <f>TRUE()</f>
        <v>1</v>
      </c>
      <c r="E790" t="b">
        <f>COUNTIF(connections!A:A, A790) &gt; 0</f>
        <v>0</v>
      </c>
      <c r="G790" t="s">
        <v>8024</v>
      </c>
      <c r="J790" s="10" t="s">
        <v>8025</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7752</v>
      </c>
      <c r="B817">
        <v>2026</v>
      </c>
      <c r="C817" t="s">
        <v>182</v>
      </c>
      <c r="D817" t="b">
        <f>TRUE()</f>
        <v>1</v>
      </c>
      <c r="E817" t="b">
        <f>COUNTIF(connections!A:A, A817) &gt; 0</f>
        <v>0</v>
      </c>
      <c r="G817" t="s">
        <v>7753</v>
      </c>
      <c r="J817" s="10" t="s">
        <v>7751</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7901</v>
      </c>
      <c r="B844">
        <v>2026</v>
      </c>
      <c r="C844" t="s">
        <v>176</v>
      </c>
      <c r="D844" t="b">
        <f>TRUE()</f>
        <v>1</v>
      </c>
      <c r="E844" t="b">
        <f>COUNTIF(connections!A:A, A844) &gt; 0</f>
        <v>0</v>
      </c>
      <c r="G844" t="s">
        <v>7902</v>
      </c>
      <c r="J844" s="10" t="s">
        <v>7903</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8044</v>
      </c>
      <c r="C1284">
        <v>1998</v>
      </c>
      <c r="E1284" s="10" t="s">
        <v>8047</v>
      </c>
    </row>
    <row r="1285" spans="1:5" x14ac:dyDescent="0.25">
      <c r="A1285" t="s">
        <v>353</v>
      </c>
      <c r="B1285" t="s">
        <v>8049</v>
      </c>
      <c r="C1285">
        <v>2023</v>
      </c>
      <c r="E1285" s="10" t="s">
        <v>8048</v>
      </c>
    </row>
    <row r="1286" spans="1:5" x14ac:dyDescent="0.25">
      <c r="A1286" t="s">
        <v>353</v>
      </c>
      <c r="B1286" t="s">
        <v>8053</v>
      </c>
      <c r="C1286">
        <v>2023</v>
      </c>
      <c r="E1286" s="10" t="s">
        <v>8052</v>
      </c>
    </row>
    <row r="1287" spans="1:5" x14ac:dyDescent="0.25">
      <c r="A1287" t="s">
        <v>353</v>
      </c>
      <c r="B1287" t="s">
        <v>8057</v>
      </c>
      <c r="C1287">
        <v>2023</v>
      </c>
      <c r="E1287" s="10" t="s">
        <v>8056</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8043</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topLeftCell="A22" workbookViewId="0">
      <selection activeCell="E54" sqref="E54"/>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5111</v>
      </c>
      <c r="B10" t="s">
        <v>176</v>
      </c>
      <c r="C10" t="s">
        <v>3758</v>
      </c>
      <c r="D10" t="s">
        <v>3759</v>
      </c>
      <c r="E10" t="s">
        <v>160</v>
      </c>
      <c r="F10">
        <v>1</v>
      </c>
      <c r="G10">
        <v>1</v>
      </c>
      <c r="H10" t="s">
        <v>3760</v>
      </c>
      <c r="I10" t="s">
        <v>8042</v>
      </c>
      <c r="J10" t="s">
        <v>3466</v>
      </c>
      <c r="K10" t="s">
        <v>5111</v>
      </c>
    </row>
    <row r="11" spans="1:12" x14ac:dyDescent="0.25">
      <c r="A11" t="s">
        <v>3780</v>
      </c>
      <c r="B11" t="s">
        <v>176</v>
      </c>
      <c r="C11" t="s">
        <v>3758</v>
      </c>
      <c r="D11" t="s">
        <v>3759</v>
      </c>
      <c r="E11" t="s">
        <v>2620</v>
      </c>
      <c r="F11">
        <v>1</v>
      </c>
      <c r="G11">
        <v>1</v>
      </c>
      <c r="H11" t="s">
        <v>3767</v>
      </c>
      <c r="I11" t="s">
        <v>3781</v>
      </c>
      <c r="J11" t="s">
        <v>7481</v>
      </c>
      <c r="K11" t="s">
        <v>3782</v>
      </c>
    </row>
    <row r="12" spans="1:12" x14ac:dyDescent="0.25">
      <c r="A12" t="s">
        <v>3783</v>
      </c>
      <c r="B12" t="s">
        <v>176</v>
      </c>
      <c r="C12" t="s">
        <v>3758</v>
      </c>
      <c r="D12" t="s">
        <v>3759</v>
      </c>
      <c r="E12" t="s">
        <v>360</v>
      </c>
      <c r="F12">
        <v>1</v>
      </c>
      <c r="G12">
        <v>1</v>
      </c>
      <c r="H12" t="s">
        <v>3760</v>
      </c>
      <c r="I12" t="s">
        <v>3784</v>
      </c>
      <c r="J12" t="s">
        <v>3466</v>
      </c>
      <c r="K12" t="s">
        <v>3785</v>
      </c>
      <c r="L12" t="s">
        <v>3779</v>
      </c>
    </row>
    <row r="13" spans="1:12" x14ac:dyDescent="0.25">
      <c r="A13" t="s">
        <v>3786</v>
      </c>
      <c r="B13" t="s">
        <v>176</v>
      </c>
      <c r="C13" t="s">
        <v>3758</v>
      </c>
      <c r="D13" t="s">
        <v>3759</v>
      </c>
      <c r="E13" t="s">
        <v>160</v>
      </c>
      <c r="F13">
        <v>1</v>
      </c>
      <c r="G13">
        <v>1</v>
      </c>
      <c r="H13" t="s">
        <v>3760</v>
      </c>
      <c r="I13" t="s">
        <v>7956</v>
      </c>
      <c r="J13" t="s">
        <v>3466</v>
      </c>
      <c r="K13" t="s">
        <v>3786</v>
      </c>
      <c r="L13" t="s">
        <v>3787</v>
      </c>
    </row>
    <row r="14" spans="1:12" x14ac:dyDescent="0.25">
      <c r="A14" t="s">
        <v>3788</v>
      </c>
      <c r="B14" t="s">
        <v>176</v>
      </c>
      <c r="C14" t="s">
        <v>3758</v>
      </c>
      <c r="D14" t="s">
        <v>3759</v>
      </c>
      <c r="E14" t="s">
        <v>2133</v>
      </c>
      <c r="F14">
        <v>1</v>
      </c>
      <c r="G14">
        <v>1</v>
      </c>
      <c r="H14" t="s">
        <v>3760</v>
      </c>
      <c r="I14" t="s">
        <v>3789</v>
      </c>
      <c r="J14" t="s">
        <v>3466</v>
      </c>
      <c r="K14" t="s">
        <v>3788</v>
      </c>
      <c r="L14" t="s">
        <v>3691</v>
      </c>
    </row>
    <row r="15" spans="1:12" x14ac:dyDescent="0.25">
      <c r="A15" t="s">
        <v>3790</v>
      </c>
      <c r="B15" t="s">
        <v>176</v>
      </c>
      <c r="C15" t="s">
        <v>3758</v>
      </c>
      <c r="D15" t="s">
        <v>3759</v>
      </c>
      <c r="E15" t="s">
        <v>1295</v>
      </c>
      <c r="F15">
        <v>1</v>
      </c>
      <c r="G15">
        <v>1</v>
      </c>
      <c r="H15" t="s">
        <v>3767</v>
      </c>
      <c r="I15" t="s">
        <v>3791</v>
      </c>
      <c r="J15" t="s">
        <v>3466</v>
      </c>
      <c r="K15" t="s">
        <v>3790</v>
      </c>
      <c r="L15" t="s">
        <v>458</v>
      </c>
    </row>
    <row r="16" spans="1:12" x14ac:dyDescent="0.25">
      <c r="A16" t="s">
        <v>3792</v>
      </c>
      <c r="B16" t="s">
        <v>176</v>
      </c>
      <c r="C16" t="s">
        <v>3793</v>
      </c>
      <c r="D16" t="s">
        <v>3759</v>
      </c>
      <c r="E16" t="s">
        <v>2620</v>
      </c>
      <c r="F16">
        <v>1</v>
      </c>
      <c r="G16">
        <v>2</v>
      </c>
      <c r="H16" t="s">
        <v>3760</v>
      </c>
      <c r="I16" t="s">
        <v>7955</v>
      </c>
      <c r="J16" t="s">
        <v>7466</v>
      </c>
      <c r="K16" t="s">
        <v>3792</v>
      </c>
      <c r="L16" t="s">
        <v>3779</v>
      </c>
    </row>
    <row r="17" spans="1:12" x14ac:dyDescent="0.25">
      <c r="A17" t="s">
        <v>3794</v>
      </c>
      <c r="B17" t="s">
        <v>176</v>
      </c>
      <c r="C17" t="s">
        <v>3793</v>
      </c>
      <c r="D17" t="s">
        <v>3759</v>
      </c>
      <c r="E17" t="s">
        <v>2133</v>
      </c>
      <c r="F17">
        <v>1</v>
      </c>
      <c r="G17">
        <v>2</v>
      </c>
      <c r="H17" t="s">
        <v>3760</v>
      </c>
      <c r="I17" t="s">
        <v>3795</v>
      </c>
      <c r="J17" t="s">
        <v>3466</v>
      </c>
      <c r="K17" t="s">
        <v>3794</v>
      </c>
      <c r="L17" t="s">
        <v>3521</v>
      </c>
    </row>
    <row r="18" spans="1:12" x14ac:dyDescent="0.25">
      <c r="A18" t="s">
        <v>3796</v>
      </c>
      <c r="B18" t="s">
        <v>176</v>
      </c>
      <c r="C18" t="s">
        <v>3793</v>
      </c>
      <c r="D18" t="s">
        <v>3759</v>
      </c>
      <c r="E18" t="s">
        <v>2620</v>
      </c>
      <c r="F18">
        <v>1</v>
      </c>
      <c r="G18">
        <v>2</v>
      </c>
      <c r="H18" t="s">
        <v>3767</v>
      </c>
      <c r="I18" t="s">
        <v>3797</v>
      </c>
      <c r="J18" t="s">
        <v>3466</v>
      </c>
      <c r="K18" t="s">
        <v>3798</v>
      </c>
      <c r="L18" t="s">
        <v>3799</v>
      </c>
    </row>
    <row r="19" spans="1:12" x14ac:dyDescent="0.25">
      <c r="A19" t="s">
        <v>3800</v>
      </c>
      <c r="B19" t="s">
        <v>176</v>
      </c>
      <c r="C19" t="s">
        <v>3793</v>
      </c>
      <c r="D19" t="s">
        <v>3759</v>
      </c>
      <c r="E19" t="s">
        <v>160</v>
      </c>
      <c r="F19">
        <v>1</v>
      </c>
      <c r="G19">
        <v>2</v>
      </c>
      <c r="H19" t="s">
        <v>3760</v>
      </c>
      <c r="I19" t="s">
        <v>3801</v>
      </c>
      <c r="J19" t="s">
        <v>7485</v>
      </c>
      <c r="K19" t="s">
        <v>3802</v>
      </c>
      <c r="L19" t="s">
        <v>3691</v>
      </c>
    </row>
    <row r="20" spans="1:12" x14ac:dyDescent="0.25">
      <c r="A20" t="s">
        <v>7936</v>
      </c>
      <c r="B20" t="s">
        <v>176</v>
      </c>
      <c r="C20" t="s">
        <v>3793</v>
      </c>
      <c r="D20" t="s">
        <v>3759</v>
      </c>
      <c r="E20" t="s">
        <v>1047</v>
      </c>
      <c r="F20">
        <v>1</v>
      </c>
      <c r="G20">
        <v>2</v>
      </c>
      <c r="H20" t="s">
        <v>3767</v>
      </c>
      <c r="I20" t="s">
        <v>7937</v>
      </c>
      <c r="J20" t="s">
        <v>3466</v>
      </c>
      <c r="K20" t="s">
        <v>7936</v>
      </c>
      <c r="L20" t="s">
        <v>3824</v>
      </c>
    </row>
    <row r="21" spans="1:12" x14ac:dyDescent="0.25">
      <c r="A21" t="s">
        <v>7934</v>
      </c>
      <c r="B21" t="s">
        <v>176</v>
      </c>
      <c r="C21" t="s">
        <v>3793</v>
      </c>
      <c r="D21" t="s">
        <v>3759</v>
      </c>
      <c r="E21" t="s">
        <v>1047</v>
      </c>
      <c r="F21">
        <v>1</v>
      </c>
      <c r="G21">
        <v>2</v>
      </c>
      <c r="H21" t="s">
        <v>3767</v>
      </c>
      <c r="I21" t="s">
        <v>7931</v>
      </c>
      <c r="J21" t="s">
        <v>3466</v>
      </c>
      <c r="K21" t="s">
        <v>7935</v>
      </c>
      <c r="L21" t="s">
        <v>7933</v>
      </c>
    </row>
    <row r="22" spans="1:12" x14ac:dyDescent="0.25">
      <c r="A22" t="s">
        <v>3803</v>
      </c>
      <c r="B22" t="s">
        <v>176</v>
      </c>
      <c r="C22" t="s">
        <v>3793</v>
      </c>
      <c r="D22" t="s">
        <v>3804</v>
      </c>
      <c r="E22" t="s">
        <v>360</v>
      </c>
      <c r="F22">
        <v>1</v>
      </c>
      <c r="G22">
        <v>2</v>
      </c>
      <c r="H22" t="s">
        <v>3760</v>
      </c>
      <c r="I22" t="s">
        <v>3784</v>
      </c>
      <c r="J22" t="s">
        <v>3466</v>
      </c>
      <c r="K22" t="s">
        <v>3805</v>
      </c>
      <c r="L22" t="s">
        <v>3779</v>
      </c>
    </row>
    <row r="23" spans="1:12" x14ac:dyDescent="0.25">
      <c r="A23" t="s">
        <v>3806</v>
      </c>
      <c r="B23" t="s">
        <v>176</v>
      </c>
      <c r="C23" t="s">
        <v>3807</v>
      </c>
      <c r="D23" t="s">
        <v>3759</v>
      </c>
      <c r="E23" t="s">
        <v>2620</v>
      </c>
      <c r="F23">
        <v>1</v>
      </c>
      <c r="G23">
        <v>3</v>
      </c>
      <c r="H23" t="s">
        <v>3767</v>
      </c>
      <c r="I23" t="s">
        <v>7463</v>
      </c>
      <c r="J23" t="s">
        <v>7465</v>
      </c>
      <c r="K23" t="s">
        <v>3806</v>
      </c>
    </row>
    <row r="24" spans="1:12" x14ac:dyDescent="0.25">
      <c r="A24" t="s">
        <v>3808</v>
      </c>
      <c r="B24" t="s">
        <v>176</v>
      </c>
      <c r="C24" t="s">
        <v>3807</v>
      </c>
      <c r="D24" t="s">
        <v>3809</v>
      </c>
      <c r="E24" t="s">
        <v>1295</v>
      </c>
      <c r="F24">
        <v>1</v>
      </c>
      <c r="G24">
        <v>3</v>
      </c>
      <c r="H24" t="s">
        <v>3760</v>
      </c>
      <c r="I24" t="s">
        <v>3810</v>
      </c>
      <c r="J24" t="s">
        <v>3466</v>
      </c>
      <c r="K24" t="s">
        <v>3811</v>
      </c>
      <c r="L24" t="s">
        <v>3812</v>
      </c>
    </row>
    <row r="25" spans="1:12" x14ac:dyDescent="0.25">
      <c r="A25" t="s">
        <v>3813</v>
      </c>
      <c r="B25" t="s">
        <v>176</v>
      </c>
      <c r="C25" t="s">
        <v>3807</v>
      </c>
      <c r="D25" t="s">
        <v>3759</v>
      </c>
      <c r="E25" t="s">
        <v>1295</v>
      </c>
      <c r="F25">
        <v>1</v>
      </c>
      <c r="G25">
        <v>3</v>
      </c>
      <c r="H25" t="s">
        <v>3767</v>
      </c>
      <c r="I25" t="s">
        <v>3814</v>
      </c>
      <c r="J25" t="s">
        <v>7457</v>
      </c>
      <c r="K25" t="s">
        <v>3815</v>
      </c>
    </row>
    <row r="26" spans="1:12" x14ac:dyDescent="0.25">
      <c r="A26" t="s">
        <v>3816</v>
      </c>
      <c r="B26" t="s">
        <v>176</v>
      </c>
      <c r="C26" t="s">
        <v>3807</v>
      </c>
      <c r="D26" t="s">
        <v>3817</v>
      </c>
      <c r="E26" t="s">
        <v>360</v>
      </c>
      <c r="F26">
        <v>1</v>
      </c>
      <c r="G26">
        <v>3</v>
      </c>
      <c r="H26" t="s">
        <v>3760</v>
      </c>
      <c r="I26" t="s">
        <v>3784</v>
      </c>
      <c r="J26" t="s">
        <v>3466</v>
      </c>
      <c r="K26" t="s">
        <v>3818</v>
      </c>
      <c r="L26" t="s">
        <v>3779</v>
      </c>
    </row>
    <row r="27" spans="1:12" x14ac:dyDescent="0.25">
      <c r="A27" t="s">
        <v>3819</v>
      </c>
      <c r="B27" t="s">
        <v>182</v>
      </c>
      <c r="C27" t="s">
        <v>3758</v>
      </c>
      <c r="D27" t="s">
        <v>3759</v>
      </c>
      <c r="E27" t="s">
        <v>90</v>
      </c>
      <c r="F27">
        <v>1</v>
      </c>
      <c r="G27">
        <v>1</v>
      </c>
      <c r="H27" t="s">
        <v>3767</v>
      </c>
      <c r="I27" t="s">
        <v>3820</v>
      </c>
      <c r="J27" t="s">
        <v>5291</v>
      </c>
      <c r="K27" t="s">
        <v>3819</v>
      </c>
    </row>
    <row r="28" spans="1:12" x14ac:dyDescent="0.25">
      <c r="A28" t="s">
        <v>3821</v>
      </c>
      <c r="B28" t="s">
        <v>182</v>
      </c>
      <c r="C28" t="s">
        <v>3758</v>
      </c>
      <c r="D28" t="s">
        <v>3759</v>
      </c>
      <c r="E28" t="s">
        <v>90</v>
      </c>
      <c r="F28">
        <v>1</v>
      </c>
      <c r="G28">
        <v>1</v>
      </c>
      <c r="H28" t="s">
        <v>3767</v>
      </c>
      <c r="I28" t="s">
        <v>3822</v>
      </c>
      <c r="J28" t="s">
        <v>3466</v>
      </c>
      <c r="K28" t="s">
        <v>3823</v>
      </c>
      <c r="L28" t="s">
        <v>3824</v>
      </c>
    </row>
    <row r="29" spans="1:12" x14ac:dyDescent="0.25">
      <c r="A29" t="s">
        <v>3825</v>
      </c>
      <c r="B29" t="s">
        <v>182</v>
      </c>
      <c r="C29" t="s">
        <v>3758</v>
      </c>
      <c r="D29" t="s">
        <v>3759</v>
      </c>
      <c r="E29" t="s">
        <v>961</v>
      </c>
      <c r="F29">
        <v>1</v>
      </c>
      <c r="G29">
        <v>1</v>
      </c>
      <c r="H29" t="s">
        <v>3767</v>
      </c>
      <c r="I29" t="s">
        <v>3826</v>
      </c>
      <c r="J29" t="s">
        <v>3466</v>
      </c>
      <c r="K29" t="s">
        <v>3827</v>
      </c>
      <c r="L29" t="s">
        <v>3828</v>
      </c>
    </row>
    <row r="30" spans="1:12" x14ac:dyDescent="0.25">
      <c r="A30" t="s">
        <v>3829</v>
      </c>
      <c r="B30" t="s">
        <v>182</v>
      </c>
      <c r="C30" t="s">
        <v>3758</v>
      </c>
      <c r="D30" t="s">
        <v>3759</v>
      </c>
      <c r="E30" t="s">
        <v>961</v>
      </c>
      <c r="F30">
        <v>1</v>
      </c>
      <c r="G30">
        <v>1</v>
      </c>
      <c r="H30" t="s">
        <v>3767</v>
      </c>
      <c r="I30" t="s">
        <v>3830</v>
      </c>
      <c r="J30" t="s">
        <v>7484</v>
      </c>
      <c r="K30" t="s">
        <v>3831</v>
      </c>
      <c r="L30" t="s">
        <v>3832</v>
      </c>
    </row>
    <row r="31" spans="1:12" x14ac:dyDescent="0.25">
      <c r="A31" t="s">
        <v>3833</v>
      </c>
      <c r="B31" t="s">
        <v>182</v>
      </c>
      <c r="C31" t="s">
        <v>3758</v>
      </c>
      <c r="D31" t="s">
        <v>3759</v>
      </c>
      <c r="E31" t="s">
        <v>38</v>
      </c>
      <c r="F31">
        <v>1</v>
      </c>
      <c r="G31">
        <v>1</v>
      </c>
      <c r="H31" t="s">
        <v>3767</v>
      </c>
      <c r="I31" t="s">
        <v>3834</v>
      </c>
      <c r="J31" t="s">
        <v>3466</v>
      </c>
      <c r="K31" t="s">
        <v>3835</v>
      </c>
      <c r="L31" t="s">
        <v>3836</v>
      </c>
    </row>
    <row r="32" spans="1:12" x14ac:dyDescent="0.25">
      <c r="A32" t="s">
        <v>3837</v>
      </c>
      <c r="B32" t="s">
        <v>182</v>
      </c>
      <c r="C32" t="s">
        <v>3758</v>
      </c>
      <c r="D32" t="s">
        <v>3759</v>
      </c>
      <c r="E32" t="s">
        <v>38</v>
      </c>
      <c r="F32">
        <v>1</v>
      </c>
      <c r="G32">
        <v>1</v>
      </c>
      <c r="H32" t="s">
        <v>3767</v>
      </c>
      <c r="I32" t="s">
        <v>3838</v>
      </c>
      <c r="J32" t="s">
        <v>3466</v>
      </c>
      <c r="K32" t="s">
        <v>3839</v>
      </c>
      <c r="L32" t="s">
        <v>3840</v>
      </c>
    </row>
    <row r="33" spans="1:12" x14ac:dyDescent="0.25">
      <c r="A33" t="s">
        <v>3841</v>
      </c>
      <c r="B33" t="s">
        <v>182</v>
      </c>
      <c r="C33" t="s">
        <v>3758</v>
      </c>
      <c r="D33" t="s">
        <v>3809</v>
      </c>
      <c r="E33" t="s">
        <v>90</v>
      </c>
      <c r="F33">
        <v>1</v>
      </c>
      <c r="G33">
        <v>1</v>
      </c>
      <c r="H33" t="s">
        <v>3760</v>
      </c>
      <c r="I33" t="s">
        <v>3842</v>
      </c>
      <c r="J33" t="s">
        <v>7456</v>
      </c>
      <c r="K33" t="s">
        <v>3843</v>
      </c>
      <c r="L33" t="s">
        <v>3844</v>
      </c>
    </row>
    <row r="34" spans="1:12" x14ac:dyDescent="0.25">
      <c r="A34" t="s">
        <v>3845</v>
      </c>
      <c r="B34" t="s">
        <v>182</v>
      </c>
      <c r="C34" t="s">
        <v>3793</v>
      </c>
      <c r="D34" t="s">
        <v>3759</v>
      </c>
      <c r="E34" t="s">
        <v>90</v>
      </c>
      <c r="F34">
        <v>1</v>
      </c>
      <c r="G34">
        <v>2</v>
      </c>
      <c r="H34" t="s">
        <v>3760</v>
      </c>
      <c r="I34" t="s">
        <v>3846</v>
      </c>
      <c r="J34" t="s">
        <v>3466</v>
      </c>
      <c r="K34" t="s">
        <v>3847</v>
      </c>
    </row>
    <row r="35" spans="1:12" x14ac:dyDescent="0.25">
      <c r="A35" t="s">
        <v>3848</v>
      </c>
      <c r="B35" t="s">
        <v>182</v>
      </c>
      <c r="C35" t="s">
        <v>3793</v>
      </c>
      <c r="D35" t="s">
        <v>3759</v>
      </c>
      <c r="E35" t="s">
        <v>90</v>
      </c>
      <c r="F35">
        <v>1</v>
      </c>
      <c r="G35">
        <v>2</v>
      </c>
      <c r="H35" t="s">
        <v>3849</v>
      </c>
      <c r="I35" t="s">
        <v>3850</v>
      </c>
      <c r="J35" t="s">
        <v>3466</v>
      </c>
      <c r="K35" t="s">
        <v>3848</v>
      </c>
    </row>
    <row r="36" spans="1:12" x14ac:dyDescent="0.25">
      <c r="A36" t="s">
        <v>3851</v>
      </c>
      <c r="B36" t="s">
        <v>182</v>
      </c>
      <c r="C36" t="s">
        <v>3793</v>
      </c>
      <c r="D36" t="s">
        <v>3759</v>
      </c>
      <c r="E36" t="s">
        <v>38</v>
      </c>
      <c r="F36">
        <v>1</v>
      </c>
      <c r="G36">
        <v>2</v>
      </c>
      <c r="H36" t="s">
        <v>3767</v>
      </c>
      <c r="I36" t="s">
        <v>3852</v>
      </c>
      <c r="J36" t="s">
        <v>7494</v>
      </c>
      <c r="K36" t="s">
        <v>3853</v>
      </c>
    </row>
    <row r="37" spans="1:12" x14ac:dyDescent="0.25">
      <c r="A37" t="s">
        <v>3854</v>
      </c>
      <c r="B37" t="s">
        <v>182</v>
      </c>
      <c r="C37" t="s">
        <v>3807</v>
      </c>
      <c r="D37" t="s">
        <v>3759</v>
      </c>
      <c r="E37" t="s">
        <v>90</v>
      </c>
      <c r="F37">
        <v>1</v>
      </c>
      <c r="G37">
        <v>3</v>
      </c>
      <c r="H37" t="s">
        <v>3849</v>
      </c>
      <c r="I37" t="s">
        <v>3855</v>
      </c>
      <c r="J37" t="s">
        <v>7439</v>
      </c>
      <c r="K37" t="s">
        <v>3854</v>
      </c>
    </row>
    <row r="38" spans="1:12" x14ac:dyDescent="0.25">
      <c r="A38" t="s">
        <v>3856</v>
      </c>
      <c r="B38" t="s">
        <v>182</v>
      </c>
      <c r="C38" t="s">
        <v>3807</v>
      </c>
      <c r="D38" t="s">
        <v>3809</v>
      </c>
      <c r="E38" t="s">
        <v>90</v>
      </c>
      <c r="F38">
        <v>1</v>
      </c>
      <c r="G38">
        <v>3</v>
      </c>
      <c r="H38" t="s">
        <v>3857</v>
      </c>
      <c r="I38" t="s">
        <v>3858</v>
      </c>
      <c r="J38" t="s">
        <v>7451</v>
      </c>
      <c r="K38" t="s">
        <v>3856</v>
      </c>
    </row>
    <row r="39" spans="1:12" x14ac:dyDescent="0.25">
      <c r="A39" t="s">
        <v>3859</v>
      </c>
      <c r="B39" t="s">
        <v>222</v>
      </c>
      <c r="C39" t="s">
        <v>3758</v>
      </c>
      <c r="D39" t="s">
        <v>3759</v>
      </c>
      <c r="E39" t="s">
        <v>1650</v>
      </c>
      <c r="F39">
        <v>1</v>
      </c>
      <c r="G39">
        <v>1</v>
      </c>
      <c r="H39" t="s">
        <v>3760</v>
      </c>
      <c r="I39" t="s">
        <v>3860</v>
      </c>
      <c r="J39" t="s">
        <v>7467</v>
      </c>
      <c r="K39" t="s">
        <v>3859</v>
      </c>
    </row>
    <row r="40" spans="1:12" x14ac:dyDescent="0.25">
      <c r="A40" t="s">
        <v>7741</v>
      </c>
      <c r="B40" t="s">
        <v>222</v>
      </c>
      <c r="C40" t="s">
        <v>3758</v>
      </c>
      <c r="D40" t="s">
        <v>3759</v>
      </c>
      <c r="E40" t="s">
        <v>1650</v>
      </c>
      <c r="F40">
        <v>1</v>
      </c>
      <c r="G40">
        <v>1</v>
      </c>
      <c r="H40" t="s">
        <v>3767</v>
      </c>
      <c r="I40" t="s">
        <v>7742</v>
      </c>
      <c r="J40" t="s">
        <v>3466</v>
      </c>
      <c r="K40" t="s">
        <v>7743</v>
      </c>
      <c r="L40" t="s">
        <v>7744</v>
      </c>
    </row>
    <row r="41" spans="1:12" x14ac:dyDescent="0.25">
      <c r="A41" t="s">
        <v>3861</v>
      </c>
      <c r="B41" t="s">
        <v>222</v>
      </c>
      <c r="C41" t="s">
        <v>3758</v>
      </c>
      <c r="D41" t="s">
        <v>3759</v>
      </c>
      <c r="E41" t="s">
        <v>1202</v>
      </c>
      <c r="F41">
        <v>1</v>
      </c>
      <c r="G41">
        <v>1</v>
      </c>
      <c r="H41" t="s">
        <v>3760</v>
      </c>
      <c r="I41" t="s">
        <v>7957</v>
      </c>
      <c r="J41" t="s">
        <v>3466</v>
      </c>
      <c r="K41" t="s">
        <v>3861</v>
      </c>
      <c r="L41" t="s">
        <v>3862</v>
      </c>
    </row>
    <row r="42" spans="1:12" x14ac:dyDescent="0.25">
      <c r="A42" t="s">
        <v>7468</v>
      </c>
      <c r="B42" t="s">
        <v>222</v>
      </c>
      <c r="C42" t="s">
        <v>3758</v>
      </c>
      <c r="D42" t="s">
        <v>3759</v>
      </c>
      <c r="E42" t="s">
        <v>1650</v>
      </c>
      <c r="F42">
        <v>1</v>
      </c>
      <c r="G42">
        <v>1</v>
      </c>
      <c r="H42" t="s">
        <v>3760</v>
      </c>
      <c r="I42" t="s">
        <v>7469</v>
      </c>
      <c r="J42" t="s">
        <v>3466</v>
      </c>
      <c r="K42" t="s">
        <v>7468</v>
      </c>
      <c r="L42" t="s">
        <v>7470</v>
      </c>
    </row>
    <row r="43" spans="1:12" x14ac:dyDescent="0.25">
      <c r="A43" t="s">
        <v>3863</v>
      </c>
      <c r="B43" t="s">
        <v>222</v>
      </c>
      <c r="C43" t="s">
        <v>3758</v>
      </c>
      <c r="D43" t="s">
        <v>3759</v>
      </c>
      <c r="E43" t="s">
        <v>501</v>
      </c>
      <c r="F43">
        <v>1</v>
      </c>
      <c r="G43">
        <v>1</v>
      </c>
      <c r="H43" t="s">
        <v>3771</v>
      </c>
      <c r="I43" t="s">
        <v>3864</v>
      </c>
      <c r="J43" t="s">
        <v>3466</v>
      </c>
      <c r="K43" t="s">
        <v>3863</v>
      </c>
      <c r="L43" t="s">
        <v>3865</v>
      </c>
    </row>
    <row r="44" spans="1:12" x14ac:dyDescent="0.25">
      <c r="A44" t="s">
        <v>7730</v>
      </c>
      <c r="B44" t="s">
        <v>222</v>
      </c>
      <c r="C44" t="s">
        <v>3793</v>
      </c>
      <c r="D44" t="s">
        <v>3759</v>
      </c>
      <c r="E44" t="s">
        <v>1650</v>
      </c>
      <c r="F44">
        <v>1</v>
      </c>
      <c r="G44">
        <v>2</v>
      </c>
      <c r="H44" t="s">
        <v>3760</v>
      </c>
      <c r="I44" t="s">
        <v>7731</v>
      </c>
      <c r="J44" t="s">
        <v>3466</v>
      </c>
      <c r="K44" t="s">
        <v>7732</v>
      </c>
      <c r="L44" t="s">
        <v>7733</v>
      </c>
    </row>
    <row r="45" spans="1:12" x14ac:dyDescent="0.25">
      <c r="A45" t="s">
        <v>8037</v>
      </c>
      <c r="B45" t="s">
        <v>222</v>
      </c>
      <c r="C45" t="s">
        <v>3793</v>
      </c>
      <c r="D45" t="s">
        <v>3759</v>
      </c>
      <c r="E45" t="s">
        <v>1650</v>
      </c>
      <c r="F45">
        <v>1</v>
      </c>
      <c r="G45">
        <v>2</v>
      </c>
      <c r="H45" t="s">
        <v>3857</v>
      </c>
      <c r="I45" t="s">
        <v>8038</v>
      </c>
      <c r="J45" t="s">
        <v>8041</v>
      </c>
      <c r="K45" t="s">
        <v>8040</v>
      </c>
    </row>
    <row r="46" spans="1:12" x14ac:dyDescent="0.25">
      <c r="A46" t="s">
        <v>8026</v>
      </c>
      <c r="B46" t="s">
        <v>222</v>
      </c>
      <c r="C46" t="s">
        <v>3793</v>
      </c>
      <c r="D46" t="s">
        <v>3759</v>
      </c>
      <c r="E46" t="s">
        <v>1650</v>
      </c>
      <c r="F46">
        <v>1</v>
      </c>
      <c r="G46">
        <v>2</v>
      </c>
      <c r="H46" t="s">
        <v>3771</v>
      </c>
      <c r="I46" t="s">
        <v>8027</v>
      </c>
      <c r="J46" t="s">
        <v>3466</v>
      </c>
      <c r="K46" t="s">
        <v>8026</v>
      </c>
      <c r="L46" t="s">
        <v>8039</v>
      </c>
    </row>
    <row r="47" spans="1:12" x14ac:dyDescent="0.25">
      <c r="A47" t="s">
        <v>3866</v>
      </c>
      <c r="B47" t="s">
        <v>222</v>
      </c>
      <c r="C47" t="s">
        <v>3793</v>
      </c>
      <c r="D47" t="s">
        <v>3759</v>
      </c>
      <c r="E47" t="s">
        <v>1650</v>
      </c>
      <c r="F47">
        <v>1</v>
      </c>
      <c r="G47">
        <v>2</v>
      </c>
      <c r="H47" t="s">
        <v>3767</v>
      </c>
      <c r="I47" t="s">
        <v>3867</v>
      </c>
      <c r="J47" t="s">
        <v>7438</v>
      </c>
      <c r="K47" t="s">
        <v>3866</v>
      </c>
    </row>
    <row r="48" spans="1:12" x14ac:dyDescent="0.25">
      <c r="A48" t="s">
        <v>3868</v>
      </c>
      <c r="B48" t="s">
        <v>222</v>
      </c>
      <c r="C48" t="s">
        <v>3793</v>
      </c>
      <c r="D48" t="s">
        <v>3759</v>
      </c>
      <c r="E48" t="s">
        <v>1650</v>
      </c>
      <c r="F48">
        <v>1</v>
      </c>
      <c r="G48">
        <v>2</v>
      </c>
      <c r="H48" t="s">
        <v>3767</v>
      </c>
      <c r="I48" t="s">
        <v>3869</v>
      </c>
      <c r="J48" t="s">
        <v>7434</v>
      </c>
      <c r="K48" t="s">
        <v>3870</v>
      </c>
      <c r="L48" t="s">
        <v>3836</v>
      </c>
    </row>
    <row r="49" spans="1:12" x14ac:dyDescent="0.25">
      <c r="A49" t="s">
        <v>3871</v>
      </c>
      <c r="B49" t="s">
        <v>222</v>
      </c>
      <c r="C49" t="s">
        <v>3793</v>
      </c>
      <c r="D49" t="s">
        <v>3804</v>
      </c>
      <c r="E49" t="s">
        <v>501</v>
      </c>
      <c r="F49">
        <v>1</v>
      </c>
      <c r="G49">
        <v>2</v>
      </c>
      <c r="H49" t="s">
        <v>3767</v>
      </c>
      <c r="I49" t="s">
        <v>3872</v>
      </c>
      <c r="J49" t="s">
        <v>7431</v>
      </c>
      <c r="K49" t="s">
        <v>3871</v>
      </c>
    </row>
    <row r="50" spans="1:12" x14ac:dyDescent="0.25">
      <c r="A50" t="s">
        <v>3873</v>
      </c>
      <c r="B50" t="s">
        <v>222</v>
      </c>
      <c r="C50" t="s">
        <v>3793</v>
      </c>
      <c r="D50" t="s">
        <v>3759</v>
      </c>
      <c r="E50" t="s">
        <v>1650</v>
      </c>
      <c r="F50">
        <v>1</v>
      </c>
      <c r="G50">
        <v>2</v>
      </c>
      <c r="H50" t="s">
        <v>3760</v>
      </c>
      <c r="I50" t="s">
        <v>3874</v>
      </c>
      <c r="J50" t="s">
        <v>3466</v>
      </c>
      <c r="K50" t="s">
        <v>3873</v>
      </c>
      <c r="L50" t="s">
        <v>3875</v>
      </c>
    </row>
    <row r="51" spans="1:12" x14ac:dyDescent="0.25">
      <c r="A51" t="s">
        <v>3876</v>
      </c>
      <c r="B51" t="s">
        <v>222</v>
      </c>
      <c r="C51" t="s">
        <v>3793</v>
      </c>
      <c r="D51" t="s">
        <v>3759</v>
      </c>
      <c r="E51" t="s">
        <v>1650</v>
      </c>
      <c r="F51">
        <v>1</v>
      </c>
      <c r="G51">
        <v>2</v>
      </c>
      <c r="H51" t="s">
        <v>3767</v>
      </c>
      <c r="I51" t="s">
        <v>3877</v>
      </c>
      <c r="J51" t="s">
        <v>7726</v>
      </c>
      <c r="K51" t="s">
        <v>3876</v>
      </c>
      <c r="L51" t="s">
        <v>3878</v>
      </c>
    </row>
    <row r="52" spans="1:12" x14ac:dyDescent="0.25">
      <c r="A52" t="s">
        <v>3879</v>
      </c>
      <c r="B52" t="s">
        <v>222</v>
      </c>
      <c r="C52" t="s">
        <v>3793</v>
      </c>
      <c r="D52" t="s">
        <v>3759</v>
      </c>
      <c r="E52" t="s">
        <v>1650</v>
      </c>
      <c r="F52">
        <v>1</v>
      </c>
      <c r="G52">
        <v>2</v>
      </c>
      <c r="H52" t="s">
        <v>3767</v>
      </c>
      <c r="I52" t="s">
        <v>3880</v>
      </c>
      <c r="J52" t="s">
        <v>3466</v>
      </c>
      <c r="K52" t="s">
        <v>3881</v>
      </c>
      <c r="L52" t="s">
        <v>3882</v>
      </c>
    </row>
    <row r="53" spans="1:12" x14ac:dyDescent="0.25">
      <c r="A53" t="s">
        <v>3883</v>
      </c>
      <c r="B53" t="s">
        <v>222</v>
      </c>
      <c r="C53" t="s">
        <v>3793</v>
      </c>
      <c r="D53" t="s">
        <v>3759</v>
      </c>
      <c r="E53" t="s">
        <v>1130</v>
      </c>
      <c r="F53">
        <v>1</v>
      </c>
      <c r="G53">
        <v>2</v>
      </c>
      <c r="H53" t="s">
        <v>3857</v>
      </c>
      <c r="I53" t="s">
        <v>3884</v>
      </c>
      <c r="J53" t="s">
        <v>3466</v>
      </c>
      <c r="K53" t="s">
        <v>3883</v>
      </c>
    </row>
    <row r="54" spans="1:12" x14ac:dyDescent="0.25">
      <c r="A54" t="s">
        <v>3885</v>
      </c>
      <c r="B54" t="s">
        <v>222</v>
      </c>
      <c r="C54" t="s">
        <v>3807</v>
      </c>
      <c r="D54" t="s">
        <v>3759</v>
      </c>
      <c r="E54" t="s">
        <v>501</v>
      </c>
      <c r="F54">
        <v>1</v>
      </c>
      <c r="G54">
        <v>3</v>
      </c>
      <c r="H54" t="s">
        <v>3857</v>
      </c>
      <c r="I54" t="s">
        <v>3886</v>
      </c>
      <c r="J54" t="s">
        <v>7495</v>
      </c>
      <c r="K54" t="s">
        <v>3887</v>
      </c>
    </row>
    <row r="55" spans="1:12" x14ac:dyDescent="0.25">
      <c r="A55" t="s">
        <v>8031</v>
      </c>
      <c r="B55" t="s">
        <v>222</v>
      </c>
      <c r="C55" t="s">
        <v>3807</v>
      </c>
      <c r="D55" t="s">
        <v>3759</v>
      </c>
      <c r="E55" t="s">
        <v>1650</v>
      </c>
      <c r="F55">
        <v>1</v>
      </c>
      <c r="G55">
        <v>3</v>
      </c>
      <c r="H55" t="s">
        <v>3760</v>
      </c>
      <c r="I55" t="s">
        <v>8034</v>
      </c>
      <c r="J55" t="s">
        <v>8032</v>
      </c>
      <c r="K55" t="s">
        <v>8036</v>
      </c>
      <c r="L55" t="s">
        <v>8035</v>
      </c>
    </row>
    <row r="56" spans="1:12" x14ac:dyDescent="0.25">
      <c r="A56" t="s">
        <v>3888</v>
      </c>
      <c r="B56" t="s">
        <v>222</v>
      </c>
      <c r="C56" t="s">
        <v>3807</v>
      </c>
      <c r="D56" t="s">
        <v>3759</v>
      </c>
      <c r="E56" t="s">
        <v>1650</v>
      </c>
      <c r="F56">
        <v>1</v>
      </c>
      <c r="G56">
        <v>3</v>
      </c>
      <c r="H56" t="s">
        <v>3767</v>
      </c>
      <c r="I56" t="s">
        <v>3889</v>
      </c>
      <c r="J56" t="s">
        <v>7725</v>
      </c>
      <c r="K56" t="s">
        <v>3890</v>
      </c>
      <c r="L56" t="s">
        <v>3891</v>
      </c>
    </row>
    <row r="57" spans="1:12" x14ac:dyDescent="0.25">
      <c r="A57" t="s">
        <v>1169</v>
      </c>
      <c r="B57" t="s">
        <v>222</v>
      </c>
      <c r="C57" t="s">
        <v>3932</v>
      </c>
      <c r="D57" t="s">
        <v>3759</v>
      </c>
      <c r="E57" t="s">
        <v>1650</v>
      </c>
      <c r="F57">
        <v>1</v>
      </c>
      <c r="G57">
        <v>4</v>
      </c>
      <c r="H57" t="s">
        <v>3767</v>
      </c>
      <c r="I57" t="s">
        <v>7734</v>
      </c>
      <c r="J57" t="s">
        <v>7740</v>
      </c>
      <c r="K57" t="s">
        <v>1169</v>
      </c>
      <c r="L57" t="s">
        <v>458</v>
      </c>
    </row>
    <row r="58" spans="1:12" x14ac:dyDescent="0.25">
      <c r="A58" t="s">
        <v>8028</v>
      </c>
      <c r="B58" t="s">
        <v>222</v>
      </c>
      <c r="C58" t="s">
        <v>3932</v>
      </c>
      <c r="D58" t="s">
        <v>3759</v>
      </c>
      <c r="E58" t="s">
        <v>1650</v>
      </c>
      <c r="F58">
        <v>1</v>
      </c>
      <c r="G58">
        <v>4</v>
      </c>
      <c r="H58" t="s">
        <v>3760</v>
      </c>
      <c r="I58" t="s">
        <v>8029</v>
      </c>
      <c r="J58" t="s">
        <v>3466</v>
      </c>
      <c r="K58" t="s">
        <v>8030</v>
      </c>
      <c r="L58" t="s">
        <v>3882</v>
      </c>
    </row>
    <row r="59" spans="1:12" x14ac:dyDescent="0.25">
      <c r="A59" t="s">
        <v>7945</v>
      </c>
      <c r="B59" t="s">
        <v>179</v>
      </c>
      <c r="C59" t="s">
        <v>3758</v>
      </c>
      <c r="D59" t="s">
        <v>3759</v>
      </c>
      <c r="E59" t="s">
        <v>1796</v>
      </c>
      <c r="F59">
        <v>1</v>
      </c>
      <c r="G59">
        <v>1</v>
      </c>
      <c r="H59" t="s">
        <v>3849</v>
      </c>
      <c r="I59" t="s">
        <v>7946</v>
      </c>
      <c r="J59" t="s">
        <v>3466</v>
      </c>
      <c r="K59" t="s">
        <v>7947</v>
      </c>
    </row>
    <row r="60" spans="1:12" x14ac:dyDescent="0.25">
      <c r="A60" t="s">
        <v>3892</v>
      </c>
      <c r="B60" t="s">
        <v>179</v>
      </c>
      <c r="C60" t="s">
        <v>3758</v>
      </c>
      <c r="D60" t="s">
        <v>3759</v>
      </c>
      <c r="E60" t="s">
        <v>1796</v>
      </c>
      <c r="F60">
        <v>1</v>
      </c>
      <c r="G60">
        <v>1</v>
      </c>
      <c r="H60" t="s">
        <v>3857</v>
      </c>
      <c r="I60" t="s">
        <v>3893</v>
      </c>
      <c r="J60" t="s">
        <v>7496</v>
      </c>
      <c r="K60" t="s">
        <v>3892</v>
      </c>
    </row>
    <row r="61" spans="1:12" x14ac:dyDescent="0.25">
      <c r="A61" t="s">
        <v>7727</v>
      </c>
      <c r="B61" t="s">
        <v>179</v>
      </c>
      <c r="C61" t="s">
        <v>3758</v>
      </c>
      <c r="D61" t="s">
        <v>3759</v>
      </c>
      <c r="E61" t="s">
        <v>689</v>
      </c>
      <c r="F61">
        <v>1</v>
      </c>
      <c r="G61">
        <v>1</v>
      </c>
      <c r="H61" t="s">
        <v>3760</v>
      </c>
      <c r="I61" t="s">
        <v>7728</v>
      </c>
      <c r="J61" t="s">
        <v>3466</v>
      </c>
      <c r="K61" t="s">
        <v>7727</v>
      </c>
      <c r="L61" t="s">
        <v>7729</v>
      </c>
    </row>
    <row r="62" spans="1:12" x14ac:dyDescent="0.25">
      <c r="A62" t="s">
        <v>3894</v>
      </c>
      <c r="B62" t="s">
        <v>179</v>
      </c>
      <c r="C62" t="s">
        <v>3793</v>
      </c>
      <c r="D62" t="s">
        <v>3759</v>
      </c>
      <c r="E62" t="s">
        <v>1796</v>
      </c>
      <c r="F62">
        <v>1</v>
      </c>
      <c r="G62">
        <v>2</v>
      </c>
      <c r="H62" t="s">
        <v>3849</v>
      </c>
      <c r="I62" t="s">
        <v>3895</v>
      </c>
      <c r="J62" t="s">
        <v>7426</v>
      </c>
      <c r="K62" t="s">
        <v>3896</v>
      </c>
    </row>
    <row r="63" spans="1:12" x14ac:dyDescent="0.25">
      <c r="A63" t="s">
        <v>3897</v>
      </c>
      <c r="B63" t="s">
        <v>179</v>
      </c>
      <c r="C63" t="s">
        <v>3793</v>
      </c>
      <c r="D63" t="s">
        <v>3759</v>
      </c>
      <c r="E63" t="s">
        <v>1796</v>
      </c>
      <c r="F63">
        <v>1</v>
      </c>
      <c r="G63">
        <v>2</v>
      </c>
      <c r="H63" t="s">
        <v>3767</v>
      </c>
      <c r="I63" t="s">
        <v>3898</v>
      </c>
      <c r="J63" t="s">
        <v>7427</v>
      </c>
      <c r="K63" t="s">
        <v>3897</v>
      </c>
    </row>
    <row r="64" spans="1:12" x14ac:dyDescent="0.25">
      <c r="A64" t="s">
        <v>7942</v>
      </c>
      <c r="B64" t="s">
        <v>179</v>
      </c>
      <c r="C64" t="s">
        <v>3807</v>
      </c>
      <c r="D64" t="s">
        <v>3759</v>
      </c>
      <c r="E64" t="s">
        <v>553</v>
      </c>
      <c r="F64">
        <v>1</v>
      </c>
      <c r="G64">
        <v>3</v>
      </c>
      <c r="H64" t="s">
        <v>3767</v>
      </c>
      <c r="I64" t="s">
        <v>7943</v>
      </c>
      <c r="J64" t="s">
        <v>3466</v>
      </c>
      <c r="K64" t="s">
        <v>7944</v>
      </c>
      <c r="L64" t="s">
        <v>3836</v>
      </c>
    </row>
    <row r="65" spans="1:11" x14ac:dyDescent="0.25">
      <c r="A65" t="s">
        <v>3899</v>
      </c>
      <c r="B65" t="s">
        <v>179</v>
      </c>
      <c r="C65" t="s">
        <v>3807</v>
      </c>
      <c r="D65" t="s">
        <v>3759</v>
      </c>
      <c r="E65" t="s">
        <v>1796</v>
      </c>
      <c r="F65">
        <v>1</v>
      </c>
      <c r="G65">
        <v>3</v>
      </c>
      <c r="H65" t="s">
        <v>3767</v>
      </c>
      <c r="I65" t="s">
        <v>3900</v>
      </c>
      <c r="J65" t="s">
        <v>3466</v>
      </c>
      <c r="K65"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c r="E2" t="inlineStr">
        <is>
          <t xml:space="preserve">death: apply_tile Y</t>
        </is>
      </c>
    </row>
    <row r="3" spans="1:5">
      <c r="A3" t="inlineStr">
        <is>
          <t xml:space="preserve">Agile</t>
        </is>
      </c>
      <c r="B3" t="inlineStr">
        <is>
          <t xml:space="preserve">Movement</t>
        </is>
      </c>
      <c r="C3" t="inlineStr">
        <is>
          <t xml:space="preserve">N/A</t>
        </is>
      </c>
      <c r="D3" t="inlineStr">
        <is>
          <t xml:space="preserve">Can move diagonally if necessary</t>
        </is>
      </c>
      <c r="E3" t="inlineStr">
        <is>
          <t xml:space="preserve">passive: move_diagonal</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c r="E4" t="inlineStr">
        <is>
          <t xml:space="preserve">passive: aura_status Y X</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c r="E5" t="inlineStr">
        <is>
          <t xml:space="preserve">first_turn: gain_status dexterity X</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c r="E6" t="inlineStr">
        <is>
          <t xml:space="preserve">hit: destroy_loot X</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c r="E7" t="inlineStr">
        <is>
          <t xml:space="preserve">hit: devour</t>
        </is>
      </c>
    </row>
    <row r="8" spans="1:5">
      <c r="A8" t="inlineStr">
        <is>
          <t xml:space="preserve">Drain</t>
        </is>
      </c>
      <c r="B8" t="inlineStr">
        <is>
          <t xml:space="preserve">Attack</t>
        </is>
      </c>
      <c r="C8" t="inlineStr">
        <is>
          <t xml:space="preserve">Amount, Stats</t>
        </is>
      </c>
      <c r="D8" t="inlineStr">
        <is>
          <t xml:space="preserve">When this Enemy attacks and deals damage, decrease by X the player's Y(Max Health, Luck, Scramble, Bash, Dash, Transmute)</t>
        </is>
      </c>
      <c r="E8" t="inlineStr">
        <is>
          <t xml:space="preserve">hit: drain_stat Y X</t>
        </is>
      </c>
    </row>
    <row r="9" spans="1:5">
      <c r="A9" t="inlineStr">
        <is>
          <t xml:space="preserve">Entry Summon</t>
        </is>
      </c>
      <c r="B9" t="inlineStr">
        <is>
          <t xml:space="preserve">Summoner</t>
        </is>
      </c>
      <c r="C9" t="inlineStr">
        <is>
          <t xml:space="preserve">Amount, Enemy Type</t>
        </is>
      </c>
      <c r="D9" t="inlineStr">
        <is>
          <t xml:space="preserve">Instead of moving or attacking on it's first turn, it will Summon X amount of Y Enemies to a random adjacent tile</t>
        </is>
      </c>
      <c r="E9" t="inlineStr">
        <is>
          <t xml:space="preserve">first_turn: summon_adjacent X Y</t>
        </is>
      </c>
    </row>
    <row r="10" spans="1:5">
      <c r="A10" t="inlineStr">
        <is>
          <t xml:space="preserve">Fading</t>
        </is>
      </c>
      <c r="B10" t="inlineStr">
        <is>
          <t xml:space="preserve">Death</t>
        </is>
      </c>
      <c r="C10" t="inlineStr">
        <is>
          <t xml:space="preserve">Amount</t>
        </is>
      </c>
      <c r="D10" t="inlineStr">
        <is>
          <t xml:space="preserve">Will die at the end of X amount of combats</t>
        </is>
      </c>
      <c r="E10" t="inlineStr">
        <is>
          <t xml:space="preserve">spawn: set_fades X</t>
        </is>
      </c>
    </row>
    <row r="11" spans="1:5">
      <c r="A11" t="inlineStr">
        <is>
          <t xml:space="preserve">Fireproof</t>
        </is>
      </c>
      <c r="B11" t="inlineStr">
        <is>
          <t xml:space="preserve">Resistance</t>
        </is>
      </c>
      <c r="C11" t="inlineStr">
        <is>
          <t xml:space="preserve">N/A</t>
        </is>
      </c>
      <c r="D11" t="inlineStr">
        <is>
          <t xml:space="preserve">Cannot be Burned</t>
        </is>
      </c>
      <c r="E11" t="inlineStr">
        <is>
          <t xml:space="preserve">passive: immune burn</t>
        </is>
      </c>
    </row>
    <row r="12" spans="1:5">
      <c r="A12" t="inlineStr">
        <is>
          <t xml:space="preserve">Haste</t>
        </is>
      </c>
      <c r="B12" t="inlineStr">
        <is>
          <t xml:space="preserve">Buff</t>
        </is>
      </c>
      <c r="C12" t="inlineStr">
        <is>
          <t xml:space="preserve">Stacks</t>
        </is>
      </c>
      <c r="D12" t="inlineStr">
        <is>
          <t xml:space="preserve">Spawns with X Speed</t>
        </is>
      </c>
      <c r="E12" t="inlineStr">
        <is>
          <t xml:space="preserve">spawn: gain_status speed X</t>
        </is>
      </c>
    </row>
    <row r="13" spans="1:5">
      <c r="A13" t="inlineStr">
        <is>
          <t xml:space="preserve">Hexer</t>
        </is>
      </c>
      <c r="B13" t="inlineStr">
        <is>
          <t xml:space="preserve">Attack</t>
        </is>
      </c>
      <c r="C13" t="inlineStr">
        <is>
          <t xml:space="preserve">Amount</t>
        </is>
      </c>
      <c r="D13" t="inlineStr">
        <is>
          <t xml:space="preserve">When this Enemy attacks and deals damage, it will give the player X amount of random curses</t>
        </is>
      </c>
      <c r="E13" t="inlineStr">
        <is>
          <t xml:space="preserve">hit: add_curse random X</t>
        </is>
      </c>
    </row>
    <row r="14" spans="1:5">
      <c r="A14" t="inlineStr">
        <is>
          <t xml:space="preserve">Illusion</t>
        </is>
      </c>
      <c r="B14" t="inlineStr">
        <is>
          <t xml:space="preserve">Death</t>
        </is>
      </c>
      <c r="C14" t="inlineStr">
        <is>
          <t xml:space="preserve">N/A</t>
        </is>
      </c>
      <c r="D14" t="inlineStr">
        <is>
          <t xml:space="preserve">Will die when it's Illusionist does</t>
        </is>
      </c>
      <c r="E14" t="inlineStr">
        <is>
          <t xml:space="preserve">death: dies_with_illusionist</t>
        </is>
      </c>
    </row>
    <row r="15" spans="1:5">
      <c r="A15" t="inlineStr">
        <is>
          <t xml:space="preserve">Illusionist</t>
        </is>
      </c>
      <c r="B15" t="inlineStr">
        <is>
          <t xml:space="preserve">Summoner</t>
        </is>
      </c>
      <c r="C15" t="inlineStr">
        <is>
          <t xml:space="preserve">Amount, Enemy Type</t>
        </is>
      </c>
      <c r="D15" t="inlineStr">
        <is>
          <t xml:space="preserve">Will spend it's first turn Summoning X amount of Y Enemies and gives the Illusion Ability to Enemies Summoned</t>
        </is>
      </c>
      <c r="E15" t="inlineStr">
        <is>
          <t xml:space="preserve">first_turn: summon_brood X Y illusion</t>
        </is>
      </c>
    </row>
    <row r="16" spans="1:5">
      <c r="A16" t="inlineStr">
        <is>
          <t xml:space="preserve">Immobile</t>
        </is>
      </c>
      <c r="B16" t="inlineStr">
        <is>
          <t xml:space="preserve">Movement</t>
        </is>
      </c>
      <c r="C16" t="inlineStr">
        <is>
          <t xml:space="preserve">N/A</t>
        </is>
      </c>
      <c r="D16" t="inlineStr">
        <is>
          <t xml:space="preserve">Cannot Move</t>
        </is>
      </c>
      <c r="E16" t="inlineStr">
        <is>
          <t xml:space="preserve">passive: no_move</t>
        </is>
      </c>
    </row>
    <row r="17" spans="1:5">
      <c r="A17" t="inlineStr">
        <is>
          <t xml:space="preserve">Infliction</t>
        </is>
      </c>
      <c r="B17" t="inlineStr">
        <is>
          <t xml:space="preserve">Attack</t>
        </is>
      </c>
      <c r="C17" t="inlineStr">
        <is>
          <t xml:space="preserve">Amount, Status Type</t>
        </is>
      </c>
      <c r="D17" t="inlineStr">
        <is>
          <t xml:space="preserve">When this Enemy attacks and deals damage, it will Apply X amount of Y Status to the Player</t>
        </is>
      </c>
      <c r="E17" t="inlineStr">
        <is>
          <t xml:space="preserve">hit: apply_status Y X</t>
        </is>
      </c>
    </row>
    <row r="18" spans="1:5">
      <c r="A18" t="inlineStr">
        <is>
          <t xml:space="preserve">Invisibility</t>
        </is>
      </c>
      <c r="B18" t="inlineStr">
        <is>
          <t xml:space="preserve">Buff</t>
        </is>
      </c>
      <c r="C18" t="inlineStr">
        <is>
          <t xml:space="preserve">N/A</t>
        </is>
      </c>
      <c r="D18" t="inlineStr">
        <is>
          <t xml:space="preserve">Spawns invisible to the player and will become visible again when it attacks</t>
        </is>
      </c>
      <c r="E18" t="inlineStr">
        <is>
          <t xml:space="preserve">spawn: hide</t>
        </is>
      </c>
    </row>
    <row r="19" spans="1:5">
      <c r="A19" t="inlineStr">
        <is>
          <t xml:space="preserve">Lacerator</t>
        </is>
      </c>
      <c r="B19" t="inlineStr">
        <is>
          <t xml:space="preserve">Attack</t>
        </is>
      </c>
      <c r="C19" t="inlineStr">
        <is>
          <t xml:space="preserve">N/A</t>
        </is>
      </c>
      <c r="D19" t="inlineStr">
        <is>
          <t xml:space="preserve">When this Enemy attacks and deals damage, it will give the player the Injury curse</t>
        </is>
      </c>
      <c r="E19" t="inlineStr">
        <is>
          <t xml:space="preserve">hit: add_curse injury 1</t>
        </is>
      </c>
    </row>
    <row r="20" spans="1:5">
      <c r="A20" t="inlineStr">
        <is>
          <t xml:space="preserve">Melee Ally Buff</t>
        </is>
      </c>
      <c r="B20" t="inlineStr">
        <is>
          <t xml:space="preserve">Intent</t>
        </is>
      </c>
      <c r="C20" t="inlineStr">
        <is>
          <t xml:space="preserve">Amount, Status Type</t>
        </is>
      </c>
      <c r="D20" t="inlineStr">
        <is>
          <t xml:space="preserve">If there is an Enemy present, this Enemy will use it's turn and movement to move towards the nearest Enemy and if in contact, will X amount of Y Status to them</t>
        </is>
      </c>
      <c r="E20" t="inlineStr">
        <is>
          <t xml:space="preserve">turn: buff_nearest_ally Y X</t>
        </is>
      </c>
    </row>
    <row r="21" spans="1:5">
      <c r="A21" t="inlineStr">
        <is>
          <t xml:space="preserve">Necromancy</t>
        </is>
      </c>
      <c r="B21" t="inlineStr">
        <is>
          <t xml:space="preserve">Summoner</t>
        </is>
      </c>
      <c r="C21" t="inlineStr">
        <is>
          <t xml:space="preserve">Amount</t>
        </is>
      </c>
      <c r="D21" t="inlineStr">
        <is>
          <t xml:space="preserve">Will not move, but each turn will Summon X Enemies that was previously defeated in the row in front of them in that lane if there is space and gives the Undead type to Enemies Summoned</t>
        </is>
      </c>
      <c r="E21" t="inlineStr">
        <is>
          <t xml:space="preserve">turn: summon_lane X defeated undead</t>
        </is>
      </c>
    </row>
    <row r="22" spans="1:5">
      <c r="A22" t="inlineStr">
        <is>
          <t xml:space="preserve">Nested Spawner</t>
        </is>
      </c>
      <c r="B22" t="inlineStr">
        <is>
          <t xml:space="preserve">Summoner</t>
        </is>
      </c>
      <c r="C22" t="inlineStr">
        <is>
          <t xml:space="preserve">Amount, Enemy Type</t>
        </is>
      </c>
      <c r="D22" t="inlineStr">
        <is>
          <t xml:space="preserve">Will not move, but each turn will Summon X number of Y type enemies in the row in front of them in that lane if there is space</t>
        </is>
      </c>
      <c r="E22" t="inlineStr">
        <is>
          <t xml:space="preserve">turn: summon_lane X Y</t>
        </is>
      </c>
    </row>
    <row r="23" spans="1:5">
      <c r="A23" t="inlineStr">
        <is>
          <t xml:space="preserve">Predatory Scent</t>
        </is>
      </c>
      <c r="B23" t="inlineStr">
        <is>
          <t xml:space="preserve">Movement</t>
        </is>
      </c>
      <c r="C23" t="inlineStr">
        <is>
          <t xml:space="preserve">N/A</t>
        </is>
      </c>
      <c r="D23" t="inlineStr">
        <is>
          <t xml:space="preserve">Will take an extra turn if the player doesn't complete a status goal if they have one</t>
        </is>
      </c>
      <c r="E23" t="inlineStr">
        <is>
          <t xml:space="preserve">passive: extra_turn_on_unmet_status_goal</t>
        </is>
      </c>
    </row>
    <row r="24" spans="1:5">
      <c r="A24" t="inlineStr">
        <is>
          <t xml:space="preserve">Ranged</t>
        </is>
      </c>
      <c r="B24" t="inlineStr">
        <is>
          <t xml:space="preserve">Attack</t>
        </is>
      </c>
      <c r="C24" t="inlineStr">
        <is>
          <t xml:space="preserve">Grid Range</t>
        </is>
      </c>
      <c r="D24" t="inlineStr">
        <is>
          <t xml:space="preserve">Can Attack from X tiles away</t>
        </is>
      </c>
      <c r="E24" t="inlineStr">
        <is>
          <t xml:space="preserve">passive: reach X</t>
        </is>
      </c>
    </row>
    <row r="25" spans="1:5">
      <c r="A25" t="inlineStr">
        <is>
          <t xml:space="preserve">Ritual</t>
        </is>
      </c>
      <c r="B25" t="inlineStr">
        <is>
          <t xml:space="preserve">Intent</t>
        </is>
      </c>
      <c r="C25" t="inlineStr">
        <is>
          <t xml:space="preserve">N/A</t>
        </is>
      </c>
      <c r="D25" t="inlineStr">
        <is>
          <t xml:space="preserve">Will not move or attack on it's first turn, but every turn after that it Gains +1 Strength</t>
        </is>
      </c>
      <c r="E25" t="inlineStr">
        <is>
          <t xml:space="preserve">first_turn: idle; turn: gain_status strength 1 free</t>
        </is>
      </c>
    </row>
    <row r="26" spans="1:5">
      <c r="A26" t="inlineStr">
        <is>
          <t xml:space="preserve">Ruthless</t>
        </is>
      </c>
      <c r="B26" t="inlineStr">
        <is>
          <t xml:space="preserve">Attack</t>
        </is>
      </c>
      <c r="C26" t="inlineStr">
        <is>
          <t xml:space="preserve">N/A</t>
        </is>
      </c>
      <c r="D26" t="inlineStr">
        <is>
          <t xml:space="preserve">Will attack enemies in front of it to make space to hit the player</t>
        </is>
      </c>
      <c r="E26" t="inlineStr">
        <is>
          <t xml:space="preserve">passive: strike_through</t>
        </is>
      </c>
    </row>
    <row r="27" spans="1:5">
      <c r="A27" t="inlineStr">
        <is>
          <t xml:space="preserve">Split</t>
        </is>
      </c>
      <c r="B27" t="inlineStr">
        <is>
          <t xml:space="preserve">Death</t>
        </is>
      </c>
      <c r="C27" t="inlineStr">
        <is>
          <t xml:space="preserve">Amount, Enemy Type</t>
        </is>
      </c>
      <c r="D27" t="inlineStr">
        <is>
          <t xml:space="preserve">On Death, Splits into X number of Y type Enemies</t>
        </is>
      </c>
      <c r="E27" t="inlineStr">
        <is>
          <t xml:space="preserve">death: summon_here X Y</t>
        </is>
      </c>
    </row>
    <row r="28" spans="1:5">
      <c r="A28" t="inlineStr">
        <is>
          <t xml:space="preserve">Tanky</t>
        </is>
      </c>
      <c r="B28" t="inlineStr">
        <is>
          <t xml:space="preserve">Buff</t>
        </is>
      </c>
      <c r="C28" t="inlineStr">
        <is>
          <t xml:space="preserve">Stacks</t>
        </is>
      </c>
      <c r="D28" t="inlineStr">
        <is>
          <t xml:space="preserve">Spawns with X More Max Health</t>
        </is>
      </c>
      <c r="E28" t="inlineStr">
        <is>
          <t xml:space="preserve">spawn: gain_max_health X</t>
        </is>
      </c>
    </row>
    <row r="29" spans="1:5">
      <c r="A29" t="inlineStr">
        <is>
          <t xml:space="preserve">Theft</t>
        </is>
      </c>
      <c r="B29" t="inlineStr">
        <is>
          <t xml:space="preserve">Intent</t>
        </is>
      </c>
      <c r="C29" t="inlineStr">
        <is>
          <t xml:space="preserve">Amount, Goods</t>
        </is>
      </c>
      <c r="D29" t="inlineStr">
        <is>
          <t xml:space="preserve">While attacking and dealing damage, it will steal X amount of Y(Gold, Items, Loot) until defeated in which it will drop stolen goods on the battlefield, and then will start moving to the right and if they reach the last column they disappear</t>
        </is>
      </c>
      <c r="E29" t="inlineStr">
        <is>
          <t xml:space="preserve">hit: steal Y X; passive: flee_when_carrying</t>
        </is>
      </c>
    </row>
    <row r="30" spans="1:5">
      <c r="A30" t="inlineStr">
        <is>
          <t xml:space="preserve">Trample</t>
        </is>
      </c>
      <c r="B30" t="inlineStr">
        <is>
          <t xml:space="preserve">Movement</t>
        </is>
      </c>
      <c r="C30" t="inlineStr">
        <is>
          <t xml:space="preserve">N/A</t>
        </is>
      </c>
      <c r="D30" t="inlineStr">
        <is>
          <t xml:space="preserve">When moving forward, it wil push other units to the side or behind it to go forward</t>
        </is>
      </c>
      <c r="E30" t="inlineStr">
        <is>
          <t xml:space="preserve">passive: push_through</t>
        </is>
      </c>
    </row>
    <row r="31" spans="1:5">
      <c r="A31" t="inlineStr">
        <is>
          <t xml:space="preserve">Undying</t>
        </is>
      </c>
      <c r="B31" t="inlineStr">
        <is>
          <t xml:space="preserve">Death</t>
        </is>
      </c>
      <c r="C31" t="inlineStr">
        <is>
          <t xml:space="preserve">Amount</t>
        </is>
      </c>
      <c r="D31" t="inlineStr">
        <is>
          <t xml:space="preserve">On Death, will revive at the rightmost column at the start of the next combat X times</t>
        </is>
      </c>
      <c r="E31" t="inlineStr">
        <is>
          <t xml:space="preserve">spawn: set_revives X; death: revive_next_game</t>
        </is>
      </c>
    </row>
    <row r="32" spans="1:5">
      <c r="A32" t="inlineStr">
        <is>
          <t xml:space="preserve">Restless Remains</t>
        </is>
      </c>
      <c r="B32" t="inlineStr">
        <is>
          <t xml:space="preserve">Death</t>
        </is>
      </c>
      <c r="C32" t="inlineStr">
        <is>
          <t xml:space="preserve">N/A</t>
        </is>
      </c>
      <c r="D32" t="inlineStr">
        <is>
          <t xml:space="preserve">On Health depletion, will leave a corpse with 1 Max Health that will revive in it's current tile on game completion unless fully defeated</t>
        </is>
      </c>
      <c r="E32" t="inlineStr">
        <is>
          <t xml:space="preserve">death: leave_corpse 1 revive=game_end</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beat a run while skipping or trashing X items/upgrades or take 3 Damage."</t>
        </is>
      </c>
      <c r="E2" t="inlineStr">
        <is>
          <t xml:space="preserve">demand "skip or trash {X} [item/upgrade|items/upgrades]" else -&gt; take_damage 3</t>
        </is>
      </c>
      <c r="F2" t="inlineStr">
        <is>
          <t xml:space="preserve">Gains "or instead beat a run while skipping or trashing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on a winning run, Gain a [chest reward]"</t>
        </is>
      </c>
      <c r="E3" t="inlineStr">
        <is>
          <t xml:space="preserve">goal "{X} or all bosses were beaten without getting hit" -&gt; gain_chest reward {X}</t>
        </is>
      </c>
      <c r="F3" t="inlineStr">
        <is>
          <t xml:space="preserve">Gains "on a run where you beat X or all bosses without getting hit"</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beat the game while getting X achivements or take 3 Damage."</t>
        </is>
      </c>
      <c r="E4" t="inlineStr">
        <is>
          <t xml:space="preserve">demand "get {X} [achievement|achievements]" else -&gt; take_damage 3</t>
        </is>
      </c>
      <c r="F4" t="inlineStr">
        <is>
          <t xml:space="preserve">Gains "and if you get X achivements in the same run,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the goal must be completed 1+(1/2)^(X-2) hours or less into the run"</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beaten while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"on a run where the difficulty was increased X times or as much as possible"</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beat a run while not healing intentionally or take 3 Damage. This lasts for X games."</t>
        </is>
      </c>
      <c r="E7" t="inlineStr">
        <is>
          <t xml:space="preserve">demand "not heal intentionally" else -&gt; take_damage 3</t>
        </is>
      </c>
      <c r="F7" t="inlineStr">
        <is>
          <t xml:space="preserve">Gains "and if you didn't intentionally heal in the same run, Gain a [chest reward]"</t>
        </is>
      </c>
      <c r="G7" t="inlineStr">
        <is>
          <t xml:space="preserve">bonus "you didn't intentionally heal"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D8" t="inlineStr">
        <is>
          <t xml:space="preserve">Gain "You must beat a game twice in a row to set it as Completed or take 5 Damage. This lasts for X games."</t>
        </is>
      </c>
      <c r="E8" t="inlineStr">
        <is>
          <t xml:space="preserve">demand "beat a game twice in a row to set it as Completed" else -&gt; take_damage 5</t>
        </is>
      </c>
      <c r="F8" t="inlineStr">
        <is>
          <t xml:space="preserve">Gains "and if the goal was completed twice, Gain a [chest reward]"</t>
        </is>
      </c>
      <c r="G8" t="inlineStr">
        <is>
          <t xml:space="preserve">bonus "you beat the game twice in a row" -&gt; gain_chest reward {X}</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882</v>
      </c>
      <c r="C5" s="17" t="s">
        <v>4344</v>
      </c>
      <c r="E5" t="s">
        <v>4345</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0.60317460317460314</v>
      </c>
      <c r="C7" s="17" t="s">
        <v>4350</v>
      </c>
      <c r="E7" t="s">
        <v>4351</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1286</v>
      </c>
      <c r="C8" s="17" t="s">
        <v>4352</v>
      </c>
      <c r="E8" t="s">
        <v>4353</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4354</v>
      </c>
      <c r="B9" s="20">
        <f>IF(B5=0,0,2*B8/B5)</f>
        <v>2.9160997732426304</v>
      </c>
      <c r="C9" s="17" t="s">
        <v>4355</v>
      </c>
      <c r="E9" t="s">
        <v>4356</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3.6090225563909772</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346</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426</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90</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1142</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2026-09-18T09:55:13Z</dcterms:modified>
  <dc:language>en-US</dc:language>
</cp:coreProperties>
</file>