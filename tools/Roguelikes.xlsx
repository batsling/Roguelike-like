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4918F41-BE00-43FB-8577-3E914F6BA8D4}"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V1399" i="47"/>
  <c r="U1399" i="47"/>
  <c r="T1399" i="47"/>
  <c r="U1398" i="47"/>
  <c r="T1398" i="47"/>
  <c r="V1398" i="47" s="1"/>
  <c r="U1397" i="47"/>
  <c r="T1397" i="47"/>
  <c r="V1397" i="47" s="1"/>
  <c r="U1396" i="47"/>
  <c r="T1396" i="47"/>
  <c r="V1396" i="47" s="1"/>
  <c r="V1395" i="47"/>
  <c r="U1395" i="47"/>
  <c r="T1395" i="47"/>
  <c r="U1394" i="47"/>
  <c r="T1394" i="47"/>
  <c r="V1394" i="47" s="1"/>
  <c r="U1393" i="47"/>
  <c r="T1393" i="47"/>
  <c r="V1393" i="47" s="1"/>
  <c r="U1392" i="47"/>
  <c r="T1392" i="47"/>
  <c r="V1392" i="47" s="1"/>
  <c r="V1391" i="47"/>
  <c r="U1391" i="47"/>
  <c r="T1391" i="47"/>
  <c r="U1390" i="47"/>
  <c r="V1390" i="47" s="1"/>
  <c r="T1390" i="47"/>
  <c r="U1389" i="47"/>
  <c r="T1389" i="47"/>
  <c r="V1389" i="47" s="1"/>
  <c r="U1388" i="47"/>
  <c r="T1388" i="47"/>
  <c r="V1388" i="47" s="1"/>
  <c r="U1387" i="47"/>
  <c r="V1387" i="47" s="1"/>
  <c r="T1387" i="47"/>
  <c r="V1386" i="47"/>
  <c r="U1386" i="47"/>
  <c r="T1386" i="47"/>
  <c r="U1385" i="47"/>
  <c r="T1385" i="47"/>
  <c r="V1385" i="47" s="1"/>
  <c r="U1384" i="47"/>
  <c r="T1384" i="47"/>
  <c r="V1384" i="47" s="1"/>
  <c r="V1383" i="47"/>
  <c r="U1383" i="47"/>
  <c r="T1383" i="47"/>
  <c r="U1382" i="47"/>
  <c r="T1382" i="47"/>
  <c r="V1382" i="47" s="1"/>
  <c r="U1381" i="47"/>
  <c r="T1381" i="47"/>
  <c r="V1381" i="47" s="1"/>
  <c r="U1380" i="47"/>
  <c r="T1380" i="47"/>
  <c r="V1380" i="47" s="1"/>
  <c r="V1379" i="47"/>
  <c r="U1379" i="47"/>
  <c r="T1379" i="47"/>
  <c r="U1378" i="47"/>
  <c r="T1378" i="47"/>
  <c r="V1378" i="47" s="1"/>
  <c r="U1377" i="47"/>
  <c r="T1377" i="47"/>
  <c r="V1377" i="47" s="1"/>
  <c r="U1376" i="47"/>
  <c r="T1376" i="47"/>
  <c r="V1376" i="47" s="1"/>
  <c r="V1375" i="47"/>
  <c r="U1375" i="47"/>
  <c r="T1375" i="47"/>
  <c r="U1374" i="47"/>
  <c r="V1374" i="47" s="1"/>
  <c r="T1374" i="47"/>
  <c r="U1373" i="47"/>
  <c r="T1373" i="47"/>
  <c r="V1373" i="47" s="1"/>
  <c r="U1372" i="47"/>
  <c r="T1372" i="47"/>
  <c r="V1372" i="47" s="1"/>
  <c r="U1371" i="47"/>
  <c r="V1371" i="47" s="1"/>
  <c r="T1371" i="47"/>
  <c r="V1370" i="47"/>
  <c r="U1370" i="47"/>
  <c r="T1370" i="47"/>
  <c r="U1369" i="47"/>
  <c r="T1369" i="47"/>
  <c r="V1369" i="47" s="1"/>
  <c r="U1368" i="47"/>
  <c r="T1368" i="47"/>
  <c r="V1368" i="47" s="1"/>
  <c r="V1367" i="47"/>
  <c r="U1367" i="47"/>
  <c r="T1367" i="47"/>
  <c r="U1366" i="47"/>
  <c r="T1366" i="47"/>
  <c r="V1366" i="47" s="1"/>
  <c r="U1365" i="47"/>
  <c r="T1365" i="47"/>
  <c r="V1365" i="47" s="1"/>
  <c r="U1364" i="47"/>
  <c r="T1364" i="47"/>
  <c r="V1364" i="47" s="1"/>
  <c r="V1363" i="47"/>
  <c r="U1363" i="47"/>
  <c r="T1363" i="47"/>
  <c r="U1362" i="47"/>
  <c r="T1362" i="47"/>
  <c r="V1362" i="47" s="1"/>
  <c r="U1361" i="47"/>
  <c r="T1361" i="47"/>
  <c r="V1361" i="47" s="1"/>
  <c r="U1360" i="47"/>
  <c r="T1360" i="47"/>
  <c r="V1360" i="47" s="1"/>
  <c r="V1359" i="47"/>
  <c r="U1359" i="47"/>
  <c r="T1359" i="47"/>
  <c r="U1358" i="47"/>
  <c r="V1358" i="47" s="1"/>
  <c r="T1358" i="47"/>
  <c r="U1357" i="47"/>
  <c r="T1357" i="47"/>
  <c r="V1357" i="47" s="1"/>
  <c r="U1356" i="47"/>
  <c r="T1356" i="47"/>
  <c r="V1356" i="47" s="1"/>
  <c r="U1355" i="47"/>
  <c r="V1355" i="47" s="1"/>
  <c r="T1355" i="47"/>
  <c r="V1354" i="47"/>
  <c r="U1354" i="47"/>
  <c r="T1354" i="47"/>
  <c r="U1353" i="47"/>
  <c r="T1353" i="47"/>
  <c r="V1353" i="47" s="1"/>
  <c r="U1352" i="47"/>
  <c r="T1352" i="47"/>
  <c r="V1352" i="47" s="1"/>
  <c r="V1351" i="47"/>
  <c r="U1351" i="47"/>
  <c r="T1351" i="47"/>
  <c r="U1350" i="47"/>
  <c r="T1350" i="47"/>
  <c r="V1350" i="47" s="1"/>
  <c r="U1349" i="47"/>
  <c r="T1349" i="47"/>
  <c r="V1349" i="47" s="1"/>
  <c r="U1348" i="47"/>
  <c r="T1348" i="47"/>
  <c r="V1348" i="47" s="1"/>
  <c r="V1347" i="47"/>
  <c r="U1347" i="47"/>
  <c r="T1347" i="47"/>
  <c r="U1346" i="47"/>
  <c r="T1346" i="47"/>
  <c r="V1346" i="47" s="1"/>
  <c r="U1345" i="47"/>
  <c r="T1345" i="47"/>
  <c r="V1345" i="47" s="1"/>
  <c r="U1344" i="47"/>
  <c r="T1344" i="47"/>
  <c r="V1344" i="47" s="1"/>
  <c r="V1343" i="47"/>
  <c r="U1343" i="47"/>
  <c r="T1343" i="47"/>
  <c r="U1342" i="47"/>
  <c r="V1342" i="47" s="1"/>
  <c r="T1342" i="47"/>
  <c r="U1341" i="47"/>
  <c r="T1341" i="47"/>
  <c r="V1341" i="47" s="1"/>
  <c r="U1340" i="47"/>
  <c r="T1340" i="47"/>
  <c r="V1340" i="47" s="1"/>
  <c r="U1339" i="47"/>
  <c r="V1339" i="47" s="1"/>
  <c r="T1339" i="47"/>
  <c r="V1338" i="47"/>
  <c r="U1338" i="47"/>
  <c r="T1338" i="47"/>
  <c r="U1337" i="47"/>
  <c r="T1337" i="47"/>
  <c r="V1337" i="47" s="1"/>
  <c r="U1336" i="47"/>
  <c r="V1336" i="47" s="1"/>
  <c r="T1336" i="47"/>
  <c r="V1335" i="47"/>
  <c r="U1335" i="47"/>
  <c r="T1335" i="47"/>
  <c r="U1334" i="47"/>
  <c r="T1334" i="47"/>
  <c r="V1334" i="47" s="1"/>
  <c r="U1333" i="47"/>
  <c r="T1333" i="47"/>
  <c r="V1333" i="47" s="1"/>
  <c r="U1332" i="47"/>
  <c r="T1332" i="47"/>
  <c r="V1332" i="47" s="1"/>
  <c r="V1331" i="47"/>
  <c r="U1331" i="47"/>
  <c r="T1331" i="47"/>
  <c r="U1330" i="47"/>
  <c r="T1330" i="47"/>
  <c r="V1330" i="47" s="1"/>
  <c r="U1329" i="47"/>
  <c r="T1329" i="47"/>
  <c r="V1329" i="47" s="1"/>
  <c r="U1328" i="47"/>
  <c r="T1328" i="47"/>
  <c r="V1328" i="47" s="1"/>
  <c r="V1327" i="47"/>
  <c r="U1327" i="47"/>
  <c r="T1327" i="47"/>
  <c r="U1326" i="47"/>
  <c r="V1326" i="47" s="1"/>
  <c r="T1326" i="47"/>
  <c r="U1325" i="47"/>
  <c r="T1325" i="47"/>
  <c r="V1325" i="47" s="1"/>
  <c r="U1324" i="47"/>
  <c r="T1324" i="47"/>
  <c r="V1324" i="47" s="1"/>
  <c r="U1323" i="47"/>
  <c r="V1323" i="47" s="1"/>
  <c r="T1323" i="47"/>
  <c r="V1322" i="47"/>
  <c r="U1322" i="47"/>
  <c r="T1322" i="47"/>
  <c r="U1321" i="47"/>
  <c r="T1321" i="47"/>
  <c r="V1321" i="47" s="1"/>
  <c r="U1320" i="47"/>
  <c r="V1320" i="47" s="1"/>
  <c r="T1320" i="47"/>
  <c r="V1319" i="47"/>
  <c r="U1319" i="47"/>
  <c r="T1319" i="47"/>
  <c r="U1318" i="47"/>
  <c r="T1318" i="47"/>
  <c r="V1318" i="47" s="1"/>
  <c r="U1317" i="47"/>
  <c r="T1317" i="47"/>
  <c r="V1317" i="47" s="1"/>
  <c r="U1316" i="47"/>
  <c r="T1316" i="47"/>
  <c r="V1316" i="47" s="1"/>
  <c r="V1315" i="47"/>
  <c r="U1315" i="47"/>
  <c r="T1315" i="47"/>
  <c r="U1314" i="47"/>
  <c r="T1314" i="47"/>
  <c r="V1314" i="47" s="1"/>
  <c r="U1313" i="47"/>
  <c r="T1313" i="47"/>
  <c r="V1313" i="47" s="1"/>
  <c r="U1312" i="47"/>
  <c r="T1312" i="47"/>
  <c r="V1312" i="47" s="1"/>
  <c r="V1311" i="47"/>
  <c r="U1311" i="47"/>
  <c r="T1311" i="47"/>
  <c r="U1310" i="47"/>
  <c r="V1310" i="47" s="1"/>
  <c r="T1310" i="47"/>
  <c r="U1309" i="47"/>
  <c r="T1309" i="47"/>
  <c r="V1309" i="47" s="1"/>
  <c r="U1308" i="47"/>
  <c r="T1308" i="47"/>
  <c r="V1308" i="47" s="1"/>
  <c r="U1307" i="47"/>
  <c r="V1307" i="47" s="1"/>
  <c r="T1307" i="47"/>
  <c r="V1306" i="47"/>
  <c r="U1306" i="47"/>
  <c r="T1306" i="47"/>
  <c r="U1305" i="47"/>
  <c r="T1305" i="47"/>
  <c r="V1305" i="47" s="1"/>
  <c r="U1304" i="47"/>
  <c r="V1304" i="47" s="1"/>
  <c r="T1304" i="47"/>
  <c r="V1303" i="47"/>
  <c r="U1303" i="47"/>
  <c r="T1303" i="47"/>
  <c r="U1302" i="47"/>
  <c r="T1302" i="47"/>
  <c r="V1302" i="47" s="1"/>
  <c r="U1301" i="47"/>
  <c r="T1301" i="47"/>
  <c r="V1301" i="47" s="1"/>
  <c r="U1300" i="47"/>
  <c r="T1300" i="47"/>
  <c r="V1300" i="47" s="1"/>
  <c r="V1299" i="47"/>
  <c r="U1299" i="47"/>
  <c r="T1299" i="47"/>
  <c r="U1298" i="47"/>
  <c r="T1298" i="47"/>
  <c r="V1298" i="47" s="1"/>
  <c r="U1297" i="47"/>
  <c r="T1297" i="47"/>
  <c r="V1297" i="47" s="1"/>
  <c r="U1296" i="47"/>
  <c r="T1296" i="47"/>
  <c r="V1296" i="47" s="1"/>
  <c r="V1295" i="47"/>
  <c r="U1295" i="47"/>
  <c r="T1295" i="47"/>
  <c r="U1294" i="47"/>
  <c r="V1294" i="47" s="1"/>
  <c r="T1294" i="47"/>
  <c r="U1293" i="47"/>
  <c r="T1293" i="47"/>
  <c r="V1293" i="47" s="1"/>
  <c r="U1292" i="47"/>
  <c r="T1292" i="47"/>
  <c r="V1292" i="47" s="1"/>
  <c r="U1291" i="47"/>
  <c r="V1291" i="47" s="1"/>
  <c r="T1291" i="47"/>
  <c r="V1290" i="47"/>
  <c r="U1290" i="47"/>
  <c r="T1290" i="47"/>
  <c r="U1289" i="47"/>
  <c r="T1289" i="47"/>
  <c r="V1289" i="47" s="1"/>
  <c r="U1288" i="47"/>
  <c r="V1288" i="47" s="1"/>
  <c r="T1288" i="47"/>
  <c r="V1287" i="47"/>
  <c r="U1287" i="47"/>
  <c r="T1287" i="47"/>
  <c r="U1286" i="47"/>
  <c r="T1286" i="47"/>
  <c r="V1286" i="47" s="1"/>
  <c r="U1285" i="47"/>
  <c r="T1285" i="47"/>
  <c r="V1285" i="47" s="1"/>
  <c r="U1284" i="47"/>
  <c r="T1284" i="47"/>
  <c r="V1284" i="47" s="1"/>
  <c r="V1283" i="47"/>
  <c r="U1283" i="47"/>
  <c r="T1283" i="47"/>
  <c r="U1282" i="47"/>
  <c r="T1282" i="47"/>
  <c r="V1282" i="47" s="1"/>
  <c r="U1281" i="47"/>
  <c r="T1281" i="47"/>
  <c r="V1281" i="47" s="1"/>
  <c r="U1280" i="47"/>
  <c r="T1280" i="47"/>
  <c r="V1280" i="47" s="1"/>
  <c r="V1279" i="47"/>
  <c r="U1279" i="47"/>
  <c r="T1279" i="47"/>
  <c r="U1278" i="47"/>
  <c r="V1278" i="47" s="1"/>
  <c r="T1278" i="47"/>
  <c r="U1277" i="47"/>
  <c r="T1277" i="47"/>
  <c r="V1277" i="47" s="1"/>
  <c r="U1276" i="47"/>
  <c r="T1276" i="47"/>
  <c r="V1276" i="47" s="1"/>
  <c r="U1275" i="47"/>
  <c r="V1275" i="47" s="1"/>
  <c r="T1275" i="47"/>
  <c r="V1274" i="47"/>
  <c r="U1274" i="47"/>
  <c r="T1274" i="47"/>
  <c r="U1273" i="47"/>
  <c r="T1273" i="47"/>
  <c r="V1273" i="47" s="1"/>
  <c r="U1272" i="47"/>
  <c r="T1272" i="47"/>
  <c r="V1272" i="47" s="1"/>
  <c r="V1271" i="47"/>
  <c r="U1271" i="47"/>
  <c r="T1271" i="47"/>
  <c r="U1270" i="47"/>
  <c r="T1270" i="47"/>
  <c r="V1270" i="47" s="1"/>
  <c r="U1269" i="47"/>
  <c r="T1269" i="47"/>
  <c r="V1269" i="47" s="1"/>
  <c r="U1268" i="47"/>
  <c r="T1268" i="47"/>
  <c r="V1268" i="47" s="1"/>
  <c r="V1267" i="47"/>
  <c r="U1267" i="47"/>
  <c r="T1267" i="47"/>
  <c r="U1266" i="47"/>
  <c r="T1266" i="47"/>
  <c r="V1266" i="47" s="1"/>
  <c r="U1265" i="47"/>
  <c r="T1265" i="47"/>
  <c r="V1265" i="47" s="1"/>
  <c r="U1264" i="47"/>
  <c r="T1264" i="47"/>
  <c r="V1264" i="47" s="1"/>
  <c r="V1263" i="47"/>
  <c r="U1263" i="47"/>
  <c r="T1263" i="47"/>
  <c r="U1262" i="47"/>
  <c r="V1262" i="47" s="1"/>
  <c r="T1262" i="47"/>
  <c r="U1261" i="47"/>
  <c r="T1261" i="47"/>
  <c r="V1261" i="47" s="1"/>
  <c r="U1260" i="47"/>
  <c r="V1260" i="47" s="1"/>
  <c r="T1260" i="47"/>
  <c r="U1259" i="47"/>
  <c r="V1259" i="47" s="1"/>
  <c r="T1259" i="47"/>
  <c r="V1258" i="47"/>
  <c r="U1258" i="47"/>
  <c r="T1258" i="47"/>
  <c r="U1257" i="47"/>
  <c r="T1257" i="47"/>
  <c r="V1257" i="47" s="1"/>
  <c r="U1256" i="47"/>
  <c r="V1256" i="47" s="1"/>
  <c r="T1256" i="47"/>
  <c r="V1255" i="47"/>
  <c r="U1255" i="47"/>
  <c r="T1255" i="47"/>
  <c r="U1254" i="47"/>
  <c r="T1254" i="47"/>
  <c r="V1254" i="47" s="1"/>
  <c r="U1253" i="47"/>
  <c r="T1253" i="47"/>
  <c r="V1253" i="47" s="1"/>
  <c r="U1252" i="47"/>
  <c r="T1252" i="47"/>
  <c r="V1252" i="47" s="1"/>
  <c r="V1251" i="47"/>
  <c r="U1251" i="47"/>
  <c r="T1251" i="47"/>
  <c r="U1250" i="47"/>
  <c r="T1250" i="47"/>
  <c r="V1250" i="47" s="1"/>
  <c r="U1249" i="47"/>
  <c r="T1249" i="47"/>
  <c r="V1249" i="47" s="1"/>
  <c r="U1248" i="47"/>
  <c r="T1248" i="47"/>
  <c r="V1248" i="47" s="1"/>
  <c r="V1247" i="47"/>
  <c r="U1247" i="47"/>
  <c r="T1247" i="47"/>
  <c r="U1246" i="47"/>
  <c r="V1246" i="47" s="1"/>
  <c r="T1246" i="47"/>
  <c r="U1245" i="47"/>
  <c r="T1245" i="47"/>
  <c r="V1245" i="47" s="1"/>
  <c r="U1244" i="47"/>
  <c r="V1244" i="47" s="1"/>
  <c r="T1244" i="47"/>
  <c r="U1243" i="47"/>
  <c r="V1243" i="47" s="1"/>
  <c r="T1243" i="47"/>
  <c r="V1242" i="47"/>
  <c r="U1242" i="47"/>
  <c r="T1242" i="47"/>
  <c r="U1241" i="47"/>
  <c r="T1241" i="47"/>
  <c r="V1241" i="47" s="1"/>
  <c r="U1240" i="47"/>
  <c r="T1240" i="47"/>
  <c r="V1240" i="47" s="1"/>
  <c r="V1239" i="47"/>
  <c r="U1239" i="47"/>
  <c r="T1239" i="47"/>
  <c r="U1238" i="47"/>
  <c r="T1238" i="47"/>
  <c r="V1238" i="47" s="1"/>
  <c r="U1237" i="47"/>
  <c r="T1237" i="47"/>
  <c r="V1237" i="47" s="1"/>
  <c r="U1236" i="47"/>
  <c r="T1236" i="47"/>
  <c r="V1236" i="47" s="1"/>
  <c r="V1235" i="47"/>
  <c r="U1235" i="47"/>
  <c r="T1235" i="47"/>
  <c r="U1234" i="47"/>
  <c r="T1234" i="47"/>
  <c r="V1234" i="47" s="1"/>
  <c r="U1233" i="47"/>
  <c r="T1233" i="47"/>
  <c r="V1233" i="47" s="1"/>
  <c r="U1232" i="47"/>
  <c r="T1232" i="47"/>
  <c r="V1232" i="47" s="1"/>
  <c r="V1231" i="47"/>
  <c r="U1231" i="47"/>
  <c r="T1231" i="47"/>
  <c r="U1230" i="47"/>
  <c r="V1230" i="47" s="1"/>
  <c r="T1230" i="47"/>
  <c r="U1229" i="47"/>
  <c r="T1229" i="47"/>
  <c r="V1229" i="47" s="1"/>
  <c r="U1228" i="47"/>
  <c r="T1228" i="47"/>
  <c r="V1228" i="47" s="1"/>
  <c r="U1227" i="47"/>
  <c r="T1227" i="47"/>
  <c r="V1227" i="47" s="1"/>
  <c r="U1226" i="47"/>
  <c r="T1226" i="47"/>
  <c r="V1226" i="47" s="1"/>
  <c r="U1225" i="47"/>
  <c r="T1225" i="47"/>
  <c r="V1225" i="47" s="1"/>
  <c r="U1224" i="47"/>
  <c r="T1224" i="47"/>
  <c r="V1224" i="47" s="1"/>
  <c r="U1223" i="47"/>
  <c r="T1223" i="47"/>
  <c r="V1223" i="47" s="1"/>
  <c r="U1222" i="47"/>
  <c r="T1222" i="47"/>
  <c r="V1222" i="47" s="1"/>
  <c r="U1221" i="47"/>
  <c r="T1221" i="47"/>
  <c r="V1221" i="47" s="1"/>
  <c r="U1220" i="47"/>
  <c r="T1220" i="47"/>
  <c r="V1220" i="47" s="1"/>
  <c r="U1219" i="47"/>
  <c r="T1219" i="47"/>
  <c r="V1219" i="47" s="1"/>
  <c r="U1218" i="47"/>
  <c r="T1218" i="47"/>
  <c r="V1218" i="47" s="1"/>
  <c r="U1217" i="47"/>
  <c r="T1217" i="47"/>
  <c r="V1217" i="47" s="1"/>
  <c r="U1216" i="47"/>
  <c r="T1216" i="47"/>
  <c r="V1216" i="47" s="1"/>
  <c r="V1215" i="47"/>
  <c r="U1215" i="47"/>
  <c r="T1215" i="47"/>
  <c r="V1214" i="47"/>
  <c r="U1214" i="47"/>
  <c r="T1214" i="47"/>
  <c r="U1213" i="47"/>
  <c r="T1213" i="47"/>
  <c r="V1213" i="47" s="1"/>
  <c r="U1212" i="47"/>
  <c r="T1212" i="47"/>
  <c r="V1212" i="47" s="1"/>
  <c r="V1211" i="47"/>
  <c r="U1211" i="47"/>
  <c r="T1211" i="47"/>
  <c r="U1210" i="47"/>
  <c r="V1210" i="47" s="1"/>
  <c r="T1210" i="47"/>
  <c r="U1209" i="47"/>
  <c r="T1209" i="47"/>
  <c r="V1209" i="47" s="1"/>
  <c r="U1208" i="47"/>
  <c r="T1208" i="47"/>
  <c r="V1208" i="47" s="1"/>
  <c r="V1207" i="47"/>
  <c r="U1207" i="47"/>
  <c r="T1207" i="47"/>
  <c r="U1206" i="47"/>
  <c r="T1206" i="47"/>
  <c r="V1206" i="47" s="1"/>
  <c r="U1205" i="47"/>
  <c r="T1205" i="47"/>
  <c r="V1205" i="47" s="1"/>
  <c r="U1204" i="47"/>
  <c r="T1204" i="47"/>
  <c r="V1204" i="47" s="1"/>
  <c r="U1203" i="47"/>
  <c r="T1203" i="47"/>
  <c r="V1203" i="47" s="1"/>
  <c r="U1202" i="47"/>
  <c r="T1202" i="47"/>
  <c r="V1202" i="47" s="1"/>
  <c r="U1201" i="47"/>
  <c r="T1201" i="47"/>
  <c r="V1201" i="47" s="1"/>
  <c r="U1200" i="47"/>
  <c r="T1200" i="47"/>
  <c r="V1200" i="47" s="1"/>
  <c r="V1199" i="47"/>
  <c r="U1199" i="47"/>
  <c r="T1199" i="47"/>
  <c r="V1198" i="47"/>
  <c r="U1198" i="47"/>
  <c r="T1198" i="47"/>
  <c r="U1197" i="47"/>
  <c r="T1197" i="47"/>
  <c r="V1197" i="47" s="1"/>
  <c r="U1196" i="47"/>
  <c r="T1196" i="47"/>
  <c r="V1196" i="47" s="1"/>
  <c r="V1195" i="47"/>
  <c r="U1195" i="47"/>
  <c r="T1195" i="47"/>
  <c r="V1194" i="47"/>
  <c r="U1194" i="47"/>
  <c r="T1194" i="47"/>
  <c r="U1193" i="47"/>
  <c r="T1193" i="47"/>
  <c r="V1193" i="47" s="1"/>
  <c r="U1192" i="47"/>
  <c r="T1192" i="47"/>
  <c r="V1192" i="47" s="1"/>
  <c r="V1191" i="47"/>
  <c r="U1191" i="47"/>
  <c r="T1191" i="47"/>
  <c r="U1190" i="47"/>
  <c r="T1190" i="47"/>
  <c r="V1190" i="47" s="1"/>
  <c r="U1189" i="47"/>
  <c r="T1189" i="47"/>
  <c r="V1189" i="47" s="1"/>
  <c r="U1188" i="47"/>
  <c r="T1188" i="47"/>
  <c r="V1188" i="47" s="1"/>
  <c r="U1187" i="47"/>
  <c r="T1187" i="47"/>
  <c r="V1187" i="47" s="1"/>
  <c r="U1186" i="47"/>
  <c r="T1186" i="47"/>
  <c r="V1186" i="47" s="1"/>
  <c r="U1185" i="47"/>
  <c r="T1185" i="47"/>
  <c r="V1185" i="47" s="1"/>
  <c r="U1184" i="47"/>
  <c r="T1184" i="47"/>
  <c r="V1184" i="47" s="1"/>
  <c r="V1183" i="47"/>
  <c r="U1183" i="47"/>
  <c r="T1183" i="47"/>
  <c r="V1182" i="47"/>
  <c r="U1182" i="47"/>
  <c r="T1182" i="47"/>
  <c r="U1181" i="47"/>
  <c r="T1181" i="47"/>
  <c r="V1181" i="47" s="1"/>
  <c r="U1180" i="47"/>
  <c r="V1180" i="47" s="1"/>
  <c r="T1180" i="47"/>
  <c r="U1179" i="47"/>
  <c r="T1179" i="47"/>
  <c r="V1179" i="47" s="1"/>
  <c r="V1178" i="47"/>
  <c r="U1178" i="47"/>
  <c r="T1178" i="47"/>
  <c r="U1177" i="47"/>
  <c r="T1177" i="47"/>
  <c r="V1177" i="47" s="1"/>
  <c r="U1176" i="47"/>
  <c r="T1176" i="47"/>
  <c r="V1176" i="47" s="1"/>
  <c r="V1175" i="47"/>
  <c r="U1175" i="47"/>
  <c r="T1175" i="47"/>
  <c r="U1174" i="47"/>
  <c r="T1174" i="47"/>
  <c r="V1174" i="47" s="1"/>
  <c r="U1173" i="47"/>
  <c r="V1173" i="47" s="1"/>
  <c r="T1173" i="47"/>
  <c r="U1172" i="47"/>
  <c r="T1172" i="47"/>
  <c r="V1172" i="47" s="1"/>
  <c r="U1171" i="47"/>
  <c r="T1171" i="47"/>
  <c r="V1171" i="47" s="1"/>
  <c r="U1170" i="47"/>
  <c r="T1170" i="47"/>
  <c r="V1170" i="47" s="1"/>
  <c r="U1169" i="47"/>
  <c r="T1169" i="47"/>
  <c r="V1169" i="47" s="1"/>
  <c r="U1168" i="47"/>
  <c r="T1168" i="47"/>
  <c r="V1168" i="47" s="1"/>
  <c r="V1167" i="47"/>
  <c r="U1167" i="47"/>
  <c r="T1167" i="47"/>
  <c r="V1166" i="47"/>
  <c r="U1166" i="47"/>
  <c r="T1166" i="47"/>
  <c r="U1165" i="47"/>
  <c r="T1165" i="47"/>
  <c r="V1165" i="47" s="1"/>
  <c r="U1164" i="47"/>
  <c r="V1164" i="47" s="1"/>
  <c r="T1164" i="47"/>
  <c r="V1163" i="47"/>
  <c r="U1163" i="47"/>
  <c r="T1163" i="47"/>
  <c r="V1162" i="47"/>
  <c r="U1162" i="47"/>
  <c r="T1162" i="47"/>
  <c r="U1161" i="47"/>
  <c r="T1161" i="47"/>
  <c r="V1161" i="47" s="1"/>
  <c r="U1160" i="47"/>
  <c r="T1160" i="47"/>
  <c r="V1160" i="47" s="1"/>
  <c r="V1159" i="47"/>
  <c r="U1159" i="47"/>
  <c r="T1159" i="47"/>
  <c r="U1158" i="47"/>
  <c r="T1158" i="47"/>
  <c r="V1158" i="47" s="1"/>
  <c r="U1157" i="47"/>
  <c r="V1157" i="47" s="1"/>
  <c r="T1157" i="47"/>
  <c r="U1156" i="47"/>
  <c r="T1156" i="47"/>
  <c r="V1156" i="47" s="1"/>
  <c r="U1155" i="47"/>
  <c r="T1155" i="47"/>
  <c r="V1155" i="47" s="1"/>
  <c r="U1154" i="47"/>
  <c r="T1154" i="47"/>
  <c r="V1154" i="47" s="1"/>
  <c r="U1153" i="47"/>
  <c r="T1153" i="47"/>
  <c r="V1153" i="47" s="1"/>
  <c r="U1152" i="47"/>
  <c r="T1152" i="47"/>
  <c r="V1152" i="47" s="1"/>
  <c r="V1151" i="47"/>
  <c r="U1151" i="47"/>
  <c r="T1151" i="47"/>
  <c r="V1150" i="47"/>
  <c r="U1150" i="47"/>
  <c r="T1150" i="47"/>
  <c r="U1149" i="47"/>
  <c r="T1149" i="47"/>
  <c r="V1149" i="47" s="1"/>
  <c r="U1148" i="47"/>
  <c r="V1148" i="47" s="1"/>
  <c r="T1148" i="47"/>
  <c r="V1147" i="47"/>
  <c r="U1147" i="47"/>
  <c r="T1147" i="47"/>
  <c r="V1146" i="47"/>
  <c r="U1146" i="47"/>
  <c r="T1146" i="47"/>
  <c r="U1145" i="47"/>
  <c r="T1145" i="47"/>
  <c r="V1145" i="47" s="1"/>
  <c r="U1144" i="47"/>
  <c r="T1144" i="47"/>
  <c r="V1144" i="47" s="1"/>
  <c r="U1143" i="47"/>
  <c r="T1143" i="47"/>
  <c r="V1143" i="47" s="1"/>
  <c r="U1142" i="47"/>
  <c r="T1142" i="47"/>
  <c r="V1142" i="47" s="1"/>
  <c r="U1141" i="47"/>
  <c r="V1141" i="47" s="1"/>
  <c r="T1141" i="47"/>
  <c r="U1140" i="47"/>
  <c r="T1140" i="47"/>
  <c r="V1140" i="47" s="1"/>
  <c r="U1139" i="47"/>
  <c r="T1139" i="47"/>
  <c r="V1139" i="47" s="1"/>
  <c r="U1138" i="47"/>
  <c r="T1138" i="47"/>
  <c r="V1138" i="47" s="1"/>
  <c r="U1137" i="47"/>
  <c r="T1137" i="47"/>
  <c r="V1137" i="47" s="1"/>
  <c r="U1136" i="47"/>
  <c r="T1136" i="47"/>
  <c r="V1136" i="47" s="1"/>
  <c r="V1135" i="47"/>
  <c r="U1135" i="47"/>
  <c r="T1135" i="47"/>
  <c r="V1134" i="47"/>
  <c r="U1134" i="47"/>
  <c r="T1134" i="47"/>
  <c r="U1133" i="47"/>
  <c r="T1133" i="47"/>
  <c r="V1133" i="47" s="1"/>
  <c r="U1132" i="47"/>
  <c r="V1132" i="47" s="1"/>
  <c r="T1132" i="47"/>
  <c r="V1131" i="47"/>
  <c r="U1131" i="47"/>
  <c r="T1131" i="47"/>
  <c r="V1130" i="47"/>
  <c r="U1130" i="47"/>
  <c r="T1130" i="47"/>
  <c r="U1129" i="47"/>
  <c r="V1129" i="47" s="1"/>
  <c r="T1129" i="47"/>
  <c r="U1128" i="47"/>
  <c r="T1128" i="47"/>
  <c r="V1128" i="47" s="1"/>
  <c r="U1127" i="47"/>
  <c r="T1127" i="47"/>
  <c r="V1127" i="47" s="1"/>
  <c r="U1126" i="47"/>
  <c r="T1126" i="47"/>
  <c r="V1126" i="47" s="1"/>
  <c r="U1125" i="47"/>
  <c r="V1125" i="47" s="1"/>
  <c r="T1125" i="47"/>
  <c r="U1124" i="47"/>
  <c r="T1124" i="47"/>
  <c r="V1124" i="47" s="1"/>
  <c r="U1123" i="47"/>
  <c r="T1123" i="47"/>
  <c r="V1123" i="47" s="1"/>
  <c r="U1122" i="47"/>
  <c r="T1122" i="47"/>
  <c r="V1122" i="47" s="1"/>
  <c r="U1121" i="47"/>
  <c r="T1121" i="47"/>
  <c r="V1121" i="47" s="1"/>
  <c r="U1120" i="47"/>
  <c r="T1120" i="47"/>
  <c r="V1120" i="47" s="1"/>
  <c r="U1119" i="47"/>
  <c r="T1119" i="47"/>
  <c r="V1119" i="47" s="1"/>
  <c r="V1118" i="47"/>
  <c r="U1118" i="47"/>
  <c r="T1118" i="47"/>
  <c r="U1117" i="47"/>
  <c r="T1117" i="47"/>
  <c r="V1117" i="47" s="1"/>
  <c r="U1116" i="47"/>
  <c r="V1116" i="47" s="1"/>
  <c r="T1116" i="47"/>
  <c r="U1115" i="47"/>
  <c r="T1115" i="47"/>
  <c r="V1115" i="47" s="1"/>
  <c r="V1114" i="47"/>
  <c r="U1114" i="47"/>
  <c r="T1114" i="47"/>
  <c r="U1113" i="47"/>
  <c r="V1113" i="47" s="1"/>
  <c r="T1113" i="47"/>
  <c r="U1112" i="47"/>
  <c r="T1112" i="47"/>
  <c r="V1112" i="47" s="1"/>
  <c r="U1111" i="47"/>
  <c r="T1111" i="47"/>
  <c r="V1111" i="47" s="1"/>
  <c r="U1110" i="47"/>
  <c r="T1110" i="47"/>
  <c r="V1110" i="47" s="1"/>
  <c r="U1109" i="47"/>
  <c r="T1109" i="47"/>
  <c r="V1109" i="47" s="1"/>
  <c r="U1108" i="47"/>
  <c r="T1108" i="47"/>
  <c r="V1108" i="47" s="1"/>
  <c r="U1107" i="47"/>
  <c r="T1107" i="47"/>
  <c r="V1107" i="47" s="1"/>
  <c r="U1106" i="47"/>
  <c r="T1106" i="47"/>
  <c r="V1106" i="47" s="1"/>
  <c r="V1105" i="47"/>
  <c r="U1105" i="47"/>
  <c r="T1105" i="47"/>
  <c r="U1104" i="47"/>
  <c r="T1104" i="47"/>
  <c r="V1104" i="47" s="1"/>
  <c r="U1103" i="47"/>
  <c r="T1103" i="47"/>
  <c r="V1103" i="47" s="1"/>
  <c r="U1102" i="47"/>
  <c r="V1102" i="47" s="1"/>
  <c r="T1102" i="47"/>
  <c r="V1101" i="47"/>
  <c r="U1101" i="47"/>
  <c r="T1101" i="47"/>
  <c r="U1100" i="47"/>
  <c r="V1100" i="47" s="1"/>
  <c r="T1100" i="47"/>
  <c r="U1099" i="47"/>
  <c r="T1099" i="47"/>
  <c r="V1099" i="47" s="1"/>
  <c r="V1098" i="47"/>
  <c r="U1098" i="47"/>
  <c r="T1098" i="47"/>
  <c r="U1097" i="47"/>
  <c r="T1097" i="47"/>
  <c r="V1097" i="47" s="1"/>
  <c r="U1096" i="47"/>
  <c r="T1096" i="47"/>
  <c r="V1096" i="47" s="1"/>
  <c r="U1095" i="47"/>
  <c r="T1095" i="47"/>
  <c r="V1095" i="47" s="1"/>
  <c r="U1094" i="47"/>
  <c r="V1094" i="47" s="1"/>
  <c r="T1094" i="47"/>
  <c r="U1093" i="47"/>
  <c r="V1093" i="47" s="1"/>
  <c r="T1093" i="47"/>
  <c r="U1092" i="47"/>
  <c r="T1092" i="47"/>
  <c r="V1092" i="47" s="1"/>
  <c r="U1091" i="47"/>
  <c r="T1091" i="47"/>
  <c r="V1091" i="47" s="1"/>
  <c r="U1090" i="47"/>
  <c r="T1090" i="47"/>
  <c r="V1090" i="47" s="1"/>
  <c r="U1089" i="47"/>
  <c r="T1089" i="47"/>
  <c r="V1089" i="47" s="1"/>
  <c r="U1088" i="47"/>
  <c r="T1088" i="47"/>
  <c r="V1088" i="47" s="1"/>
  <c r="U1087" i="47"/>
  <c r="T1087" i="47"/>
  <c r="V1087" i="47" s="1"/>
  <c r="U1086" i="47"/>
  <c r="V1086" i="47" s="1"/>
  <c r="T1086" i="47"/>
  <c r="V1085" i="47"/>
  <c r="U1085" i="47"/>
  <c r="T1085" i="47"/>
  <c r="U1084" i="47"/>
  <c r="V1084" i="47" s="1"/>
  <c r="T1084" i="47"/>
  <c r="U1083" i="47"/>
  <c r="T1083" i="47"/>
  <c r="V1083" i="47" s="1"/>
  <c r="V1082" i="47"/>
  <c r="U1082" i="47"/>
  <c r="T1082" i="47"/>
  <c r="U1081" i="47"/>
  <c r="T1081" i="47"/>
  <c r="V1081" i="47" s="1"/>
  <c r="U1080" i="47"/>
  <c r="T1080" i="47"/>
  <c r="V1080" i="47" s="1"/>
  <c r="U1079" i="47"/>
  <c r="T1079" i="47"/>
  <c r="V1079" i="47" s="1"/>
  <c r="U1078" i="47"/>
  <c r="T1078" i="47"/>
  <c r="V1077" i="47"/>
  <c r="U1077" i="47"/>
  <c r="T1077" i="47"/>
  <c r="U1076" i="47"/>
  <c r="T1076" i="47"/>
  <c r="V1076" i="47" s="1"/>
  <c r="U1075" i="47"/>
  <c r="T1075" i="47"/>
  <c r="V1075" i="47" s="1"/>
  <c r="U1074" i="47"/>
  <c r="T1074" i="47"/>
  <c r="V1074" i="47" s="1"/>
  <c r="U1073" i="47"/>
  <c r="T1073" i="47"/>
  <c r="V1073" i="47" s="1"/>
  <c r="U1072" i="47"/>
  <c r="T1072" i="47"/>
  <c r="V1072" i="47" s="1"/>
  <c r="U1071" i="47"/>
  <c r="T1071" i="47"/>
  <c r="V1071" i="47" s="1"/>
  <c r="U1070" i="47"/>
  <c r="V1070" i="47" s="1"/>
  <c r="T1070" i="47"/>
  <c r="V1069" i="47"/>
  <c r="U1069" i="47"/>
  <c r="T1069" i="47"/>
  <c r="U1068" i="47"/>
  <c r="V1068" i="47" s="1"/>
  <c r="T1068" i="47"/>
  <c r="V1067" i="47"/>
  <c r="U1067" i="47"/>
  <c r="T1067" i="47"/>
  <c r="V1066" i="47"/>
  <c r="U1066" i="47"/>
  <c r="T1066" i="47"/>
  <c r="U1065" i="47"/>
  <c r="T1065" i="47"/>
  <c r="V1065" i="47" s="1"/>
  <c r="U1064" i="47"/>
  <c r="T1064" i="47"/>
  <c r="V1064" i="47" s="1"/>
  <c r="U1063" i="47"/>
  <c r="T1063" i="47"/>
  <c r="U1062" i="47"/>
  <c r="T1062" i="47"/>
  <c r="V1062" i="47" s="1"/>
  <c r="U1061" i="47"/>
  <c r="V1061" i="47" s="1"/>
  <c r="T1061" i="47"/>
  <c r="U1060" i="47"/>
  <c r="T1060" i="47"/>
  <c r="V1060" i="47" s="1"/>
  <c r="U1059" i="47"/>
  <c r="T1059" i="47"/>
  <c r="V1059" i="47" s="1"/>
  <c r="U1058" i="47"/>
  <c r="T1058" i="47"/>
  <c r="V1058" i="47" s="1"/>
  <c r="V1057" i="47"/>
  <c r="U1057" i="47"/>
  <c r="T1057" i="47"/>
  <c r="U1056" i="47"/>
  <c r="T1056" i="47"/>
  <c r="V1056" i="47" s="1"/>
  <c r="U1055" i="47"/>
  <c r="T1055" i="47"/>
  <c r="V1055" i="47" s="1"/>
  <c r="U1054" i="47"/>
  <c r="V1054" i="47" s="1"/>
  <c r="T1054" i="47"/>
  <c r="V1053" i="47"/>
  <c r="U1053" i="47"/>
  <c r="T1053" i="47"/>
  <c r="V1052" i="47"/>
  <c r="U1052" i="47"/>
  <c r="T1052" i="47"/>
  <c r="V1051" i="47"/>
  <c r="U1051" i="47"/>
  <c r="T1051" i="47"/>
  <c r="V1050" i="47"/>
  <c r="U1050" i="47"/>
  <c r="T1050" i="47"/>
  <c r="U1049" i="47"/>
  <c r="T1049" i="47"/>
  <c r="V1049" i="47" s="1"/>
  <c r="U1048" i="47"/>
  <c r="T1048" i="47"/>
  <c r="V1048" i="47" s="1"/>
  <c r="U1047" i="47"/>
  <c r="T1047" i="47"/>
  <c r="U1046" i="47"/>
  <c r="T1046" i="47"/>
  <c r="V1046" i="47" s="1"/>
  <c r="U1045" i="47"/>
  <c r="V1045" i="47" s="1"/>
  <c r="T1045" i="47"/>
  <c r="U1044" i="47"/>
  <c r="T1044" i="47"/>
  <c r="V1044" i="47" s="1"/>
  <c r="U1043" i="47"/>
  <c r="T1043" i="47"/>
  <c r="V1043" i="47" s="1"/>
  <c r="U1042" i="47"/>
  <c r="T1042" i="47"/>
  <c r="V1042" i="47" s="1"/>
  <c r="V1041" i="47"/>
  <c r="U1041" i="47"/>
  <c r="T1041" i="47"/>
  <c r="U1040" i="47"/>
  <c r="T1040" i="47"/>
  <c r="V1040" i="47" s="1"/>
  <c r="U1039" i="47"/>
  <c r="T1039" i="47"/>
  <c r="V1039" i="47" s="1"/>
  <c r="U1038" i="47"/>
  <c r="T1038" i="47"/>
  <c r="V1038" i="47" s="1"/>
  <c r="V1037" i="47"/>
  <c r="U1037" i="47"/>
  <c r="T1037" i="47"/>
  <c r="U1036" i="47"/>
  <c r="V1036" i="47" s="1"/>
  <c r="T1036" i="47"/>
  <c r="U1035" i="47"/>
  <c r="T1035" i="47"/>
  <c r="V1035" i="47" s="1"/>
  <c r="V1034" i="47"/>
  <c r="U1034" i="47"/>
  <c r="T1034" i="47"/>
  <c r="V1033" i="47"/>
  <c r="U1033" i="47"/>
  <c r="T1033" i="47"/>
  <c r="U1032" i="47"/>
  <c r="T1032" i="47"/>
  <c r="U1031" i="47"/>
  <c r="T1031" i="47"/>
  <c r="U1030" i="47"/>
  <c r="T1030" i="47"/>
  <c r="V1030" i="47" s="1"/>
  <c r="U1029" i="47"/>
  <c r="V1029" i="47" s="1"/>
  <c r="T1029" i="47"/>
  <c r="U1028" i="47"/>
  <c r="T1028" i="47"/>
  <c r="U1027" i="47"/>
  <c r="T1027" i="47"/>
  <c r="V1027" i="47" s="1"/>
  <c r="U1026" i="47"/>
  <c r="T1026" i="47"/>
  <c r="V1026" i="47" s="1"/>
  <c r="V1025" i="47"/>
  <c r="U1025" i="47"/>
  <c r="T1025" i="47"/>
  <c r="U1024" i="47"/>
  <c r="T1024" i="47"/>
  <c r="V1024" i="47" s="1"/>
  <c r="U1023" i="47"/>
  <c r="T1023" i="47"/>
  <c r="V1023" i="47" s="1"/>
  <c r="U1022" i="47"/>
  <c r="V1022" i="47" s="1"/>
  <c r="T1022" i="47"/>
  <c r="V1021" i="47"/>
  <c r="U1021" i="47"/>
  <c r="T1021" i="47"/>
  <c r="U1020" i="47"/>
  <c r="V1020" i="47" s="1"/>
  <c r="T1020" i="47"/>
  <c r="U1019" i="47"/>
  <c r="T1019" i="47"/>
  <c r="V1019" i="47" s="1"/>
  <c r="V1018" i="47"/>
  <c r="U1018" i="47"/>
  <c r="T1018" i="47"/>
  <c r="U1017" i="47"/>
  <c r="T1017" i="47"/>
  <c r="V1017" i="47" s="1"/>
  <c r="U1016" i="47"/>
  <c r="T1016" i="47"/>
  <c r="V1016" i="47" s="1"/>
  <c r="U1015" i="47"/>
  <c r="T1015" i="47"/>
  <c r="U1014" i="47"/>
  <c r="T1014" i="47"/>
  <c r="V1014" i="47" s="1"/>
  <c r="U1013" i="47"/>
  <c r="V1013" i="47" s="1"/>
  <c r="T1013" i="47"/>
  <c r="U1012" i="47"/>
  <c r="T1012" i="47"/>
  <c r="U1011" i="47"/>
  <c r="T1011" i="47"/>
  <c r="V1011" i="47" s="1"/>
  <c r="U1010" i="47"/>
  <c r="T1010" i="47"/>
  <c r="V1010" i="47" s="1"/>
  <c r="V1009" i="47"/>
  <c r="U1009" i="47"/>
  <c r="T1009" i="47"/>
  <c r="U1008" i="47"/>
  <c r="T1008" i="47"/>
  <c r="V1008" i="47" s="1"/>
  <c r="U1007" i="47"/>
  <c r="T1007" i="47"/>
  <c r="V1007" i="47" s="1"/>
  <c r="U1006" i="47"/>
  <c r="T1006" i="47"/>
  <c r="V1006" i="47" s="1"/>
  <c r="V1005" i="47"/>
  <c r="U1005" i="47"/>
  <c r="T1005" i="47"/>
  <c r="U1004" i="47"/>
  <c r="V1004" i="47" s="1"/>
  <c r="T1004" i="47"/>
  <c r="U1003" i="47"/>
  <c r="T1003" i="47"/>
  <c r="V1003" i="47" s="1"/>
  <c r="V1002" i="47"/>
  <c r="U1002" i="47"/>
  <c r="T1002" i="47"/>
  <c r="U1001" i="47"/>
  <c r="T1001" i="47"/>
  <c r="V1001" i="47" s="1"/>
  <c r="U1000" i="47"/>
  <c r="T1000" i="47"/>
  <c r="V1000" i="47" s="1"/>
  <c r="U999" i="47"/>
  <c r="T999" i="47"/>
  <c r="U998" i="47"/>
  <c r="T998" i="47"/>
  <c r="V998" i="47" s="1"/>
  <c r="U997" i="47"/>
  <c r="V997" i="47" s="1"/>
  <c r="T997" i="47"/>
  <c r="U996" i="47"/>
  <c r="T996" i="47"/>
  <c r="U995" i="47"/>
  <c r="T995" i="47"/>
  <c r="V995" i="47" s="1"/>
  <c r="U994" i="47"/>
  <c r="T994" i="47"/>
  <c r="V994" i="47" s="1"/>
  <c r="U993" i="47"/>
  <c r="T993" i="47"/>
  <c r="V993" i="47" s="1"/>
  <c r="U992" i="47"/>
  <c r="T992" i="47"/>
  <c r="V992" i="47" s="1"/>
  <c r="U991" i="47"/>
  <c r="T991" i="47"/>
  <c r="V991" i="47" s="1"/>
  <c r="U990" i="47"/>
  <c r="T990" i="47"/>
  <c r="V989" i="47"/>
  <c r="U989" i="47"/>
  <c r="T989" i="47"/>
  <c r="U988" i="47"/>
  <c r="V988" i="47" s="1"/>
  <c r="T988" i="47"/>
  <c r="U987" i="47"/>
  <c r="T987" i="47"/>
  <c r="V987" i="47" s="1"/>
  <c r="V986" i="47"/>
  <c r="U986" i="47"/>
  <c r="T986" i="47"/>
  <c r="U985" i="47"/>
  <c r="T985" i="47"/>
  <c r="V985" i="47" s="1"/>
  <c r="U984" i="47"/>
  <c r="T984" i="47"/>
  <c r="V984" i="47" s="1"/>
  <c r="U983" i="47"/>
  <c r="T983" i="47"/>
  <c r="U982" i="47"/>
  <c r="T982" i="47"/>
  <c r="V982" i="47" s="1"/>
  <c r="U981" i="47"/>
  <c r="V981" i="47" s="1"/>
  <c r="T981" i="47"/>
  <c r="U980" i="47"/>
  <c r="T980" i="47"/>
  <c r="U979" i="47"/>
  <c r="T979" i="47"/>
  <c r="V979" i="47" s="1"/>
  <c r="U978" i="47"/>
  <c r="T978" i="47"/>
  <c r="V978" i="47" s="1"/>
  <c r="V977" i="47"/>
  <c r="U977" i="47"/>
  <c r="T977" i="47"/>
  <c r="U976" i="47"/>
  <c r="T976" i="47"/>
  <c r="V976" i="47" s="1"/>
  <c r="U975" i="47"/>
  <c r="T975" i="47"/>
  <c r="V975" i="47" s="1"/>
  <c r="U974" i="47"/>
  <c r="T974" i="47"/>
  <c r="V973" i="47"/>
  <c r="U973" i="47"/>
  <c r="T973" i="47"/>
  <c r="U972" i="47"/>
  <c r="V972" i="47" s="1"/>
  <c r="T972" i="47"/>
  <c r="U971" i="47"/>
  <c r="T971" i="47"/>
  <c r="V971" i="47" s="1"/>
  <c r="V970" i="47"/>
  <c r="U970" i="47"/>
  <c r="T970" i="47"/>
  <c r="U969" i="47"/>
  <c r="T969" i="47"/>
  <c r="V969" i="47" s="1"/>
  <c r="U968" i="47"/>
  <c r="T968" i="47"/>
  <c r="V968" i="47" s="1"/>
  <c r="U967" i="47"/>
  <c r="T967" i="47"/>
  <c r="U966" i="47"/>
  <c r="T966" i="47"/>
  <c r="U965" i="47"/>
  <c r="V965" i="47" s="1"/>
  <c r="T965" i="47"/>
  <c r="U964" i="47"/>
  <c r="T964" i="47"/>
  <c r="U963" i="47"/>
  <c r="T963" i="47"/>
  <c r="V963" i="47" s="1"/>
  <c r="U962" i="47"/>
  <c r="T962" i="47"/>
  <c r="V962" i="47" s="1"/>
  <c r="U961" i="47"/>
  <c r="T961" i="47"/>
  <c r="V961" i="47" s="1"/>
  <c r="U960" i="47"/>
  <c r="T960" i="47"/>
  <c r="V960" i="47" s="1"/>
  <c r="U959" i="47"/>
  <c r="T959" i="47"/>
  <c r="V959" i="47" s="1"/>
  <c r="U958" i="47"/>
  <c r="T958" i="47"/>
  <c r="V957" i="47"/>
  <c r="U957" i="47"/>
  <c r="T957" i="47"/>
  <c r="U956" i="47"/>
  <c r="V956" i="47" s="1"/>
  <c r="T956" i="47"/>
  <c r="U955" i="47"/>
  <c r="T955" i="47"/>
  <c r="V955" i="47" s="1"/>
  <c r="V954" i="47"/>
  <c r="U954" i="47"/>
  <c r="T954" i="47"/>
  <c r="U953" i="47"/>
  <c r="T953" i="47"/>
  <c r="V953" i="47" s="1"/>
  <c r="U952" i="47"/>
  <c r="T952" i="47"/>
  <c r="V952" i="47" s="1"/>
  <c r="U951" i="47"/>
  <c r="T951" i="47"/>
  <c r="U950" i="47"/>
  <c r="T950" i="47"/>
  <c r="V950" i="47" s="1"/>
  <c r="P950" i="47"/>
  <c r="K950" i="47"/>
  <c r="E950" i="47"/>
  <c r="C950" i="47"/>
  <c r="A950" i="47"/>
  <c r="V949" i="47"/>
  <c r="U949" i="47"/>
  <c r="T949" i="47"/>
  <c r="G949" i="47"/>
  <c r="D949" i="47"/>
  <c r="A949" i="47"/>
  <c r="U948" i="47"/>
  <c r="T948" i="47"/>
  <c r="V948" i="47" s="1"/>
  <c r="N948" i="47"/>
  <c r="M948" i="47"/>
  <c r="K948" i="47"/>
  <c r="I948" i="47"/>
  <c r="A948" i="47"/>
  <c r="U947" i="47"/>
  <c r="T947" i="47"/>
  <c r="V947" i="47" s="1"/>
  <c r="B947" i="47"/>
  <c r="A947" i="47"/>
  <c r="U946" i="47"/>
  <c r="T946" i="47"/>
  <c r="I946" i="47"/>
  <c r="E946" i="47"/>
  <c r="C946" i="47"/>
  <c r="A946" i="47"/>
  <c r="V945" i="47"/>
  <c r="U945" i="47"/>
  <c r="T945" i="47"/>
  <c r="O945" i="47"/>
  <c r="M945" i="47"/>
  <c r="A945" i="47"/>
  <c r="U944" i="47"/>
  <c r="T944" i="47"/>
  <c r="V944" i="47" s="1"/>
  <c r="N944" i="47"/>
  <c r="M944" i="47"/>
  <c r="K944" i="47"/>
  <c r="I944" i="47"/>
  <c r="H944" i="47"/>
  <c r="E944" i="47"/>
  <c r="C944" i="47"/>
  <c r="A944" i="47"/>
  <c r="U943" i="47"/>
  <c r="T943" i="47"/>
  <c r="V943" i="47" s="1"/>
  <c r="M943" i="47"/>
  <c r="I943" i="47"/>
  <c r="B943" i="47"/>
  <c r="A943" i="47"/>
  <c r="U942" i="47"/>
  <c r="T942" i="47"/>
  <c r="V942" i="47" s="1"/>
  <c r="P942" i="47"/>
  <c r="Q942" i="47" s="1"/>
  <c r="C942" i="47"/>
  <c r="A942" i="47"/>
  <c r="V941" i="47"/>
  <c r="U941" i="47"/>
  <c r="T941" i="47"/>
  <c r="O941" i="47"/>
  <c r="M941" i="47"/>
  <c r="J941" i="47"/>
  <c r="I941" i="47"/>
  <c r="G941" i="47"/>
  <c r="A941" i="47"/>
  <c r="U940" i="47"/>
  <c r="T940" i="47"/>
  <c r="A940" i="47"/>
  <c r="U939" i="47"/>
  <c r="T939" i="47"/>
  <c r="V939" i="47" s="1"/>
  <c r="G939" i="47"/>
  <c r="B939" i="47"/>
  <c r="A939" i="47"/>
  <c r="U938" i="47"/>
  <c r="T938" i="47"/>
  <c r="V938" i="47" s="1"/>
  <c r="P938" i="47"/>
  <c r="Q938" i="47" s="1"/>
  <c r="M938" i="47"/>
  <c r="K938" i="47"/>
  <c r="I938" i="47"/>
  <c r="A938" i="47"/>
  <c r="V937" i="47"/>
  <c r="U937" i="47"/>
  <c r="T937" i="47"/>
  <c r="E937" i="47"/>
  <c r="A937" i="47"/>
  <c r="U936" i="47"/>
  <c r="T936" i="47"/>
  <c r="K936" i="47"/>
  <c r="A936" i="47"/>
  <c r="U935" i="47"/>
  <c r="T935" i="47"/>
  <c r="V935" i="47" s="1"/>
  <c r="O935" i="47"/>
  <c r="M935" i="47"/>
  <c r="A935" i="47"/>
  <c r="U934" i="47"/>
  <c r="T934" i="47"/>
  <c r="V934" i="47" s="1"/>
  <c r="P934" i="47"/>
  <c r="Q934" i="47" s="1"/>
  <c r="M934" i="47"/>
  <c r="K934" i="47"/>
  <c r="I934" i="47"/>
  <c r="F934" i="47"/>
  <c r="E934" i="47"/>
  <c r="C934" i="47"/>
  <c r="A934" i="47"/>
  <c r="V933" i="47"/>
  <c r="U933" i="47"/>
  <c r="T933" i="47"/>
  <c r="A933" i="47"/>
  <c r="U932" i="47"/>
  <c r="T932" i="47"/>
  <c r="E932" i="47"/>
  <c r="A932" i="47"/>
  <c r="U931" i="47"/>
  <c r="T931" i="47"/>
  <c r="V931" i="47" s="1"/>
  <c r="O931" i="47"/>
  <c r="M931" i="47"/>
  <c r="L931" i="47"/>
  <c r="I931" i="47"/>
  <c r="G931" i="47"/>
  <c r="A931" i="47"/>
  <c r="U930" i="47"/>
  <c r="T930" i="47"/>
  <c r="V930" i="47" s="1"/>
  <c r="C930" i="47"/>
  <c r="A930" i="47"/>
  <c r="V929" i="47"/>
  <c r="U929" i="47"/>
  <c r="T929" i="47"/>
  <c r="M929" i="47"/>
  <c r="A929" i="47"/>
  <c r="U928" i="47"/>
  <c r="T928" i="47"/>
  <c r="V928" i="47" s="1"/>
  <c r="H928" i="47"/>
  <c r="E928" i="47"/>
  <c r="C928" i="47"/>
  <c r="A928" i="47"/>
  <c r="U927" i="47"/>
  <c r="T927" i="47"/>
  <c r="V927" i="47" s="1"/>
  <c r="O927" i="47"/>
  <c r="M927" i="47"/>
  <c r="L927" i="47"/>
  <c r="I927" i="47"/>
  <c r="G927" i="47"/>
  <c r="C927" i="47"/>
  <c r="B927" i="47"/>
  <c r="A927" i="47"/>
  <c r="U926" i="47"/>
  <c r="T926" i="47"/>
  <c r="Q926" i="47"/>
  <c r="P926" i="47"/>
  <c r="M926" i="47"/>
  <c r="K926" i="47"/>
  <c r="I926" i="47"/>
  <c r="G926" i="47"/>
  <c r="F926" i="47"/>
  <c r="E926" i="47"/>
  <c r="C926" i="47"/>
  <c r="A926" i="47"/>
  <c r="V925" i="47"/>
  <c r="U925" i="47"/>
  <c r="T925" i="47"/>
  <c r="A925" i="47"/>
  <c r="U924" i="47"/>
  <c r="T924" i="47"/>
  <c r="I924" i="47"/>
  <c r="A924" i="47"/>
  <c r="U923" i="47"/>
  <c r="T923" i="47"/>
  <c r="A923" i="47"/>
  <c r="U922" i="47"/>
  <c r="T922" i="47"/>
  <c r="V922" i="47" s="1"/>
  <c r="P922" i="47"/>
  <c r="Q922" i="47" s="1"/>
  <c r="M922" i="47"/>
  <c r="K922" i="47"/>
  <c r="I922" i="47"/>
  <c r="G922" i="47"/>
  <c r="F922" i="47"/>
  <c r="E922" i="47"/>
  <c r="C922" i="47"/>
  <c r="A922" i="47"/>
  <c r="V921" i="47"/>
  <c r="U921" i="47"/>
  <c r="T921" i="47"/>
  <c r="M921" i="47"/>
  <c r="J921" i="47"/>
  <c r="I921" i="47"/>
  <c r="E921" i="47"/>
  <c r="D921" i="47"/>
  <c r="A921" i="47"/>
  <c r="U920" i="47"/>
  <c r="T920" i="47"/>
  <c r="A920" i="47"/>
  <c r="U919" i="47"/>
  <c r="T919" i="47"/>
  <c r="V919" i="47" s="1"/>
  <c r="O919" i="47"/>
  <c r="M919" i="47"/>
  <c r="B919" i="47"/>
  <c r="A919" i="47"/>
  <c r="U918" i="47"/>
  <c r="T918" i="47"/>
  <c r="P918" i="47"/>
  <c r="Q918" i="47" s="1"/>
  <c r="M918" i="47"/>
  <c r="K918" i="47"/>
  <c r="I918" i="47"/>
  <c r="G918" i="47"/>
  <c r="F918" i="47"/>
  <c r="E918" i="47"/>
  <c r="A918" i="47"/>
  <c r="V917" i="47"/>
  <c r="U917" i="47"/>
  <c r="T917" i="47"/>
  <c r="O917" i="47"/>
  <c r="K917" i="47"/>
  <c r="J917" i="47"/>
  <c r="I917" i="47"/>
  <c r="E917" i="47"/>
  <c r="D917" i="47"/>
  <c r="A917" i="47"/>
  <c r="U916" i="47"/>
  <c r="T916" i="47"/>
  <c r="C916" i="47"/>
  <c r="A916" i="47"/>
  <c r="U915" i="47"/>
  <c r="T915" i="47"/>
  <c r="V915" i="47" s="1"/>
  <c r="O915" i="47"/>
  <c r="C915" i="47"/>
  <c r="A915" i="47"/>
  <c r="U914" i="47"/>
  <c r="T914" i="47"/>
  <c r="V914" i="47" s="1"/>
  <c r="P914" i="47"/>
  <c r="Q914" i="47" s="1"/>
  <c r="M914" i="47"/>
  <c r="K914" i="47"/>
  <c r="I914" i="47"/>
  <c r="G914" i="47"/>
  <c r="F914" i="47"/>
  <c r="A914" i="47"/>
  <c r="V913" i="47"/>
  <c r="U913" i="47"/>
  <c r="T913" i="47"/>
  <c r="M913" i="47"/>
  <c r="K913" i="47"/>
  <c r="J913" i="47"/>
  <c r="I913" i="47"/>
  <c r="G913" i="47"/>
  <c r="E913" i="47"/>
  <c r="D913" i="47"/>
  <c r="A913" i="47"/>
  <c r="O913" i="47" s="1"/>
  <c r="U912" i="47"/>
  <c r="T912" i="47"/>
  <c r="V912" i="47" s="1"/>
  <c r="A912" i="47"/>
  <c r="U911" i="47"/>
  <c r="T911" i="47"/>
  <c r="E911" i="47"/>
  <c r="C911" i="47"/>
  <c r="B911" i="47"/>
  <c r="A911" i="47"/>
  <c r="U910" i="47"/>
  <c r="T910" i="47"/>
  <c r="V910" i="47" s="1"/>
  <c r="P910" i="47"/>
  <c r="Q910" i="47" s="1"/>
  <c r="M910" i="47"/>
  <c r="K910" i="47"/>
  <c r="I910" i="47"/>
  <c r="G910" i="47"/>
  <c r="F910" i="47"/>
  <c r="E910" i="47"/>
  <c r="C910" i="47"/>
  <c r="A910" i="47"/>
  <c r="V909" i="47"/>
  <c r="U909" i="47"/>
  <c r="T909" i="47"/>
  <c r="O909" i="47"/>
  <c r="M909" i="47"/>
  <c r="K909" i="47"/>
  <c r="J909" i="47"/>
  <c r="I909" i="47"/>
  <c r="G909" i="47"/>
  <c r="E909" i="47"/>
  <c r="D909" i="47"/>
  <c r="A909" i="47"/>
  <c r="U908" i="47"/>
  <c r="T908" i="47"/>
  <c r="V908" i="47" s="1"/>
  <c r="A908" i="47"/>
  <c r="U907" i="47"/>
  <c r="T907" i="47"/>
  <c r="A907" i="47"/>
  <c r="U906" i="47"/>
  <c r="T906" i="47"/>
  <c r="Q906" i="47"/>
  <c r="P906" i="47"/>
  <c r="M906" i="47"/>
  <c r="F906" i="47"/>
  <c r="E906" i="47"/>
  <c r="C906" i="47"/>
  <c r="A906" i="47"/>
  <c r="V905" i="47"/>
  <c r="U905" i="47"/>
  <c r="T905" i="47"/>
  <c r="O905" i="47"/>
  <c r="N905" i="47"/>
  <c r="M905" i="47"/>
  <c r="E905" i="47"/>
  <c r="A905" i="47"/>
  <c r="U904" i="47"/>
  <c r="T904" i="47"/>
  <c r="A904" i="47"/>
  <c r="U903" i="47"/>
  <c r="T903" i="47"/>
  <c r="V903" i="47" s="1"/>
  <c r="A903" i="47"/>
  <c r="U902" i="47"/>
  <c r="V902" i="47" s="1"/>
  <c r="T902" i="47"/>
  <c r="M902" i="47"/>
  <c r="J902" i="47"/>
  <c r="H902" i="47"/>
  <c r="G902" i="47"/>
  <c r="F902" i="47"/>
  <c r="D902" i="47"/>
  <c r="C902" i="47"/>
  <c r="B902" i="47"/>
  <c r="A902" i="47"/>
  <c r="U901" i="47"/>
  <c r="T901" i="47"/>
  <c r="V901" i="47" s="1"/>
  <c r="O901" i="47"/>
  <c r="N901" i="47"/>
  <c r="M901" i="47"/>
  <c r="L901" i="47"/>
  <c r="K901" i="47"/>
  <c r="J901" i="47"/>
  <c r="I901" i="47"/>
  <c r="H901" i="47"/>
  <c r="G901" i="47"/>
  <c r="F901" i="47"/>
  <c r="E901" i="47"/>
  <c r="D901" i="47"/>
  <c r="A901" i="47"/>
  <c r="P901" i="47" s="1"/>
  <c r="U900" i="47"/>
  <c r="T900" i="47"/>
  <c r="V900" i="47" s="1"/>
  <c r="A900" i="47"/>
  <c r="U899" i="47"/>
  <c r="T899" i="47"/>
  <c r="V899" i="47" s="1"/>
  <c r="A899" i="47"/>
  <c r="U898" i="47"/>
  <c r="T898" i="47"/>
  <c r="V898" i="47" s="1"/>
  <c r="A898" i="47"/>
  <c r="U897" i="47"/>
  <c r="T897" i="47"/>
  <c r="V897" i="47" s="1"/>
  <c r="P897" i="47"/>
  <c r="O897" i="47"/>
  <c r="M897" i="47"/>
  <c r="L897" i="47"/>
  <c r="K897" i="47"/>
  <c r="J897" i="47"/>
  <c r="I897" i="47"/>
  <c r="H897" i="47"/>
  <c r="G897" i="47"/>
  <c r="F897" i="47"/>
  <c r="E897" i="47"/>
  <c r="D897" i="47"/>
  <c r="C897" i="47"/>
  <c r="B897" i="47"/>
  <c r="A897" i="47"/>
  <c r="Q897" i="47" s="1"/>
  <c r="U896" i="47"/>
  <c r="V896" i="47" s="1"/>
  <c r="T896" i="47"/>
  <c r="A896" i="47"/>
  <c r="U895" i="47"/>
  <c r="V895" i="47" s="1"/>
  <c r="T895" i="47"/>
  <c r="A895" i="47"/>
  <c r="V894" i="47"/>
  <c r="U894" i="47"/>
  <c r="T894" i="47"/>
  <c r="A894" i="47"/>
  <c r="U893" i="47"/>
  <c r="T893" i="47"/>
  <c r="V893" i="47" s="1"/>
  <c r="P893" i="47"/>
  <c r="O893" i="47"/>
  <c r="M893" i="47"/>
  <c r="L893" i="47"/>
  <c r="K893" i="47"/>
  <c r="J893" i="47"/>
  <c r="I893" i="47"/>
  <c r="H893" i="47"/>
  <c r="G893" i="47"/>
  <c r="F893" i="47"/>
  <c r="E893" i="47"/>
  <c r="D893" i="47"/>
  <c r="C893" i="47"/>
  <c r="B893" i="47"/>
  <c r="A893" i="47"/>
  <c r="Q893" i="47" s="1"/>
  <c r="U892" i="47"/>
  <c r="V892" i="47" s="1"/>
  <c r="T892" i="47"/>
  <c r="O892" i="47"/>
  <c r="N892" i="47"/>
  <c r="L892" i="47"/>
  <c r="K892" i="47"/>
  <c r="J892" i="47"/>
  <c r="I892" i="47"/>
  <c r="H892" i="47"/>
  <c r="G892" i="47"/>
  <c r="F892" i="47"/>
  <c r="A892" i="47"/>
  <c r="V891" i="47"/>
  <c r="U891" i="47"/>
  <c r="T891" i="47"/>
  <c r="P891" i="47"/>
  <c r="O891" i="47"/>
  <c r="N891" i="47"/>
  <c r="M891" i="47"/>
  <c r="L891" i="47"/>
  <c r="K891" i="47"/>
  <c r="J891" i="47"/>
  <c r="G891" i="47"/>
  <c r="E891" i="47"/>
  <c r="D891" i="47"/>
  <c r="B891" i="47"/>
  <c r="A891" i="47"/>
  <c r="Q891" i="47" s="1"/>
  <c r="U890" i="47"/>
  <c r="T890" i="47"/>
  <c r="V890" i="47" s="1"/>
  <c r="Q890" i="47"/>
  <c r="P890" i="47"/>
  <c r="O890" i="47"/>
  <c r="N890" i="47"/>
  <c r="K890" i="47"/>
  <c r="I890" i="47"/>
  <c r="H890" i="47"/>
  <c r="G890" i="47"/>
  <c r="F890" i="47"/>
  <c r="E890" i="47"/>
  <c r="D890" i="47"/>
  <c r="C890" i="47"/>
  <c r="B890" i="47"/>
  <c r="A890" i="47"/>
  <c r="U889" i="47"/>
  <c r="T889" i="47"/>
  <c r="V889" i="47" s="1"/>
  <c r="P889" i="47"/>
  <c r="O889" i="47"/>
  <c r="N889" i="47"/>
  <c r="M889" i="47"/>
  <c r="L889" i="47"/>
  <c r="K889" i="47"/>
  <c r="J889" i="47"/>
  <c r="I889" i="47"/>
  <c r="H889" i="47"/>
  <c r="G889" i="47"/>
  <c r="F889" i="47"/>
  <c r="E889" i="47"/>
  <c r="D889" i="47"/>
  <c r="C889" i="47"/>
  <c r="B889" i="47"/>
  <c r="A889" i="47"/>
  <c r="Q889" i="47" s="1"/>
  <c r="U888" i="47"/>
  <c r="V888" i="47" s="1"/>
  <c r="T888" i="47"/>
  <c r="O888" i="47"/>
  <c r="N888" i="47"/>
  <c r="M888" i="47"/>
  <c r="L888" i="47"/>
  <c r="K888" i="47"/>
  <c r="A888" i="47"/>
  <c r="U887" i="47"/>
  <c r="T887" i="47"/>
  <c r="V887" i="47" s="1"/>
  <c r="P887" i="47"/>
  <c r="O887" i="47"/>
  <c r="N887" i="47"/>
  <c r="M887" i="47"/>
  <c r="L887" i="47"/>
  <c r="B887" i="47"/>
  <c r="A887" i="47"/>
  <c r="Q887" i="47" s="1"/>
  <c r="U886" i="47"/>
  <c r="T886" i="47"/>
  <c r="V886" i="47" s="1"/>
  <c r="P886" i="47"/>
  <c r="Q886" i="47" s="1"/>
  <c r="O886" i="47"/>
  <c r="N886" i="47"/>
  <c r="K886" i="47"/>
  <c r="H886" i="47"/>
  <c r="C886" i="47"/>
  <c r="B886" i="47"/>
  <c r="A886" i="47"/>
  <c r="U885" i="47"/>
  <c r="T885" i="47"/>
  <c r="V885" i="47" s="1"/>
  <c r="P885" i="47"/>
  <c r="O885" i="47"/>
  <c r="N885" i="47"/>
  <c r="M885" i="47"/>
  <c r="L885" i="47"/>
  <c r="K885" i="47"/>
  <c r="J885" i="47"/>
  <c r="I885" i="47"/>
  <c r="H885" i="47"/>
  <c r="G885" i="47"/>
  <c r="F885" i="47"/>
  <c r="E885" i="47"/>
  <c r="D885" i="47"/>
  <c r="C885" i="47"/>
  <c r="B885" i="47"/>
  <c r="A885" i="47"/>
  <c r="Q885" i="47" s="1"/>
  <c r="U884" i="47"/>
  <c r="V884" i="47" s="1"/>
  <c r="T884" i="47"/>
  <c r="P884" i="47"/>
  <c r="Q884" i="47" s="1"/>
  <c r="A884" i="47"/>
  <c r="U883" i="47"/>
  <c r="T883" i="47"/>
  <c r="V883" i="47" s="1"/>
  <c r="A883" i="47"/>
  <c r="V882" i="47"/>
  <c r="U882" i="47"/>
  <c r="T882" i="47"/>
  <c r="L882" i="47"/>
  <c r="K882" i="47"/>
  <c r="I882" i="47"/>
  <c r="H882" i="47"/>
  <c r="G882" i="47"/>
  <c r="F882" i="47"/>
  <c r="E882" i="47"/>
  <c r="D882" i="47"/>
  <c r="C882" i="47"/>
  <c r="B882" i="47"/>
  <c r="A882" i="47"/>
  <c r="V881" i="47"/>
  <c r="U881" i="47"/>
  <c r="T881" i="47"/>
  <c r="P881" i="47"/>
  <c r="O881" i="47"/>
  <c r="N881" i="47"/>
  <c r="M881" i="47"/>
  <c r="L881" i="47"/>
  <c r="K881" i="47"/>
  <c r="J881" i="47"/>
  <c r="I881" i="47"/>
  <c r="H881" i="47"/>
  <c r="G881" i="47"/>
  <c r="F881" i="47"/>
  <c r="E881" i="47"/>
  <c r="D881" i="47"/>
  <c r="C881" i="47"/>
  <c r="B881" i="47"/>
  <c r="A881" i="47"/>
  <c r="Q881" i="47" s="1"/>
  <c r="U880" i="47"/>
  <c r="V880" i="47" s="1"/>
  <c r="T880" i="47"/>
  <c r="Q880" i="47"/>
  <c r="P880" i="47"/>
  <c r="O880" i="47"/>
  <c r="N880" i="47"/>
  <c r="M880" i="47"/>
  <c r="L880" i="47"/>
  <c r="K880" i="47"/>
  <c r="J880" i="47"/>
  <c r="I880" i="47"/>
  <c r="G880" i="47"/>
  <c r="A880" i="47"/>
  <c r="V879" i="47"/>
  <c r="U879" i="47"/>
  <c r="T879" i="47"/>
  <c r="P879" i="47"/>
  <c r="O879" i="47"/>
  <c r="N879" i="47"/>
  <c r="M879" i="47"/>
  <c r="L879" i="47"/>
  <c r="K879" i="47"/>
  <c r="B879" i="47"/>
  <c r="A879" i="47"/>
  <c r="Q879" i="47" s="1"/>
  <c r="U878" i="47"/>
  <c r="T878" i="47"/>
  <c r="V878" i="47" s="1"/>
  <c r="P878" i="47"/>
  <c r="Q878" i="47" s="1"/>
  <c r="O878" i="47"/>
  <c r="N878" i="47"/>
  <c r="L878" i="47"/>
  <c r="A878" i="47"/>
  <c r="U877" i="47"/>
  <c r="T877" i="47"/>
  <c r="V877" i="47" s="1"/>
  <c r="P877" i="47"/>
  <c r="O877" i="47"/>
  <c r="N877" i="47"/>
  <c r="M877" i="47"/>
  <c r="L877" i="47"/>
  <c r="K877" i="47"/>
  <c r="J877" i="47"/>
  <c r="I877" i="47"/>
  <c r="H877" i="47"/>
  <c r="G877" i="47"/>
  <c r="F877" i="47"/>
  <c r="E877" i="47"/>
  <c r="D877" i="47"/>
  <c r="C877" i="47"/>
  <c r="B877" i="47"/>
  <c r="A877" i="47"/>
  <c r="U876" i="47"/>
  <c r="V876" i="47" s="1"/>
  <c r="T876" i="47"/>
  <c r="A876" i="47"/>
  <c r="V875" i="47"/>
  <c r="U875" i="47"/>
  <c r="T875" i="47"/>
  <c r="N875" i="47"/>
  <c r="M875" i="47"/>
  <c r="L875" i="47"/>
  <c r="K875" i="47"/>
  <c r="J875" i="47"/>
  <c r="H875" i="47"/>
  <c r="G875" i="47"/>
  <c r="E875" i="47"/>
  <c r="D875" i="47"/>
  <c r="C875" i="47"/>
  <c r="B875" i="47"/>
  <c r="A875" i="47"/>
  <c r="V874"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V872" i="47" s="1"/>
  <c r="T872" i="47"/>
  <c r="P872" i="47"/>
  <c r="Q872" i="47" s="1"/>
  <c r="O872" i="47"/>
  <c r="N872" i="47"/>
  <c r="M872" i="47"/>
  <c r="L872" i="47"/>
  <c r="K872" i="47"/>
  <c r="I872" i="47"/>
  <c r="C872" i="47"/>
  <c r="B872" i="47"/>
  <c r="A872" i="47"/>
  <c r="E872" i="47" s="1"/>
  <c r="U871" i="47"/>
  <c r="T871" i="47"/>
  <c r="V871" i="47" s="1"/>
  <c r="O871" i="47"/>
  <c r="N871" i="47"/>
  <c r="A871" i="47"/>
  <c r="I871" i="47" s="1"/>
  <c r="U870" i="47"/>
  <c r="T870" i="47"/>
  <c r="V870" i="47" s="1"/>
  <c r="A870" i="47"/>
  <c r="V869" i="47"/>
  <c r="U869" i="47"/>
  <c r="T869" i="47"/>
  <c r="P869" i="47"/>
  <c r="O869" i="47"/>
  <c r="N869" i="47"/>
  <c r="M869" i="47"/>
  <c r="L869" i="47"/>
  <c r="K869" i="47"/>
  <c r="J869" i="47"/>
  <c r="I869" i="47"/>
  <c r="H869" i="47"/>
  <c r="G869" i="47"/>
  <c r="F869" i="47"/>
  <c r="E869" i="47"/>
  <c r="D869" i="47"/>
  <c r="C869" i="47"/>
  <c r="B869" i="47"/>
  <c r="A869" i="47"/>
  <c r="Q869" i="47" s="1"/>
  <c r="V868" i="47"/>
  <c r="U868" i="47"/>
  <c r="T868" i="47"/>
  <c r="P868" i="47"/>
  <c r="Q868" i="47" s="1"/>
  <c r="O868" i="47"/>
  <c r="N868" i="47"/>
  <c r="M868" i="47"/>
  <c r="L868" i="47"/>
  <c r="K868" i="47"/>
  <c r="J868" i="47"/>
  <c r="I868" i="47"/>
  <c r="H868" i="47"/>
  <c r="G868" i="47"/>
  <c r="F868" i="47"/>
  <c r="D868" i="47"/>
  <c r="C868" i="47"/>
  <c r="B868" i="47"/>
  <c r="A868" i="47"/>
  <c r="E868" i="47" s="1"/>
  <c r="U867" i="47"/>
  <c r="T867" i="47"/>
  <c r="V867" i="47" s="1"/>
  <c r="O867" i="47"/>
  <c r="N867" i="47"/>
  <c r="M867" i="47"/>
  <c r="L867" i="47"/>
  <c r="K867" i="47"/>
  <c r="J867" i="47"/>
  <c r="B867" i="47"/>
  <c r="A867" i="47"/>
  <c r="I867" i="47" s="1"/>
  <c r="U866" i="47"/>
  <c r="T866" i="47"/>
  <c r="V866" i="47" s="1"/>
  <c r="Q866" i="47"/>
  <c r="P866" i="47"/>
  <c r="O866" i="47"/>
  <c r="N866" i="47"/>
  <c r="L866" i="47"/>
  <c r="A866" i="47"/>
  <c r="M866" i="47" s="1"/>
  <c r="U865" i="47"/>
  <c r="T865" i="47"/>
  <c r="V865" i="47" s="1"/>
  <c r="P865" i="47"/>
  <c r="O865" i="47"/>
  <c r="N865" i="47"/>
  <c r="M865" i="47"/>
  <c r="L865" i="47"/>
  <c r="K865" i="47"/>
  <c r="J865" i="47"/>
  <c r="I865" i="47"/>
  <c r="H865" i="47"/>
  <c r="G865" i="47"/>
  <c r="F865" i="47"/>
  <c r="E865" i="47"/>
  <c r="D865" i="47"/>
  <c r="C865" i="47"/>
  <c r="B865" i="47"/>
  <c r="A865" i="47"/>
  <c r="Q865" i="47" s="1"/>
  <c r="U864" i="47"/>
  <c r="V864" i="47" s="1"/>
  <c r="T864" i="47"/>
  <c r="L864" i="47"/>
  <c r="K864" i="47"/>
  <c r="J864" i="47"/>
  <c r="I864" i="47"/>
  <c r="H864" i="47"/>
  <c r="G864" i="47"/>
  <c r="F864" i="47"/>
  <c r="D864" i="47"/>
  <c r="C864" i="47"/>
  <c r="B864" i="47"/>
  <c r="A864" i="47"/>
  <c r="E864" i="47" s="1"/>
  <c r="V863" i="47"/>
  <c r="U863" i="47"/>
  <c r="T863" i="47"/>
  <c r="O863" i="47"/>
  <c r="N863" i="47"/>
  <c r="M863" i="47"/>
  <c r="L863" i="47"/>
  <c r="K863" i="47"/>
  <c r="J863" i="47"/>
  <c r="H863" i="47"/>
  <c r="G863" i="47"/>
  <c r="F863" i="47"/>
  <c r="E863" i="47"/>
  <c r="D863" i="47"/>
  <c r="C863" i="47"/>
  <c r="B863" i="47"/>
  <c r="A863" i="47"/>
  <c r="I863" i="47" s="1"/>
  <c r="U862" i="47"/>
  <c r="T862" i="47"/>
  <c r="V862" i="47" s="1"/>
  <c r="L862" i="47"/>
  <c r="K862" i="47"/>
  <c r="J862" i="47"/>
  <c r="I862" i="47"/>
  <c r="H862" i="47"/>
  <c r="A862" i="47"/>
  <c r="M862" i="47" s="1"/>
  <c r="U861" i="47"/>
  <c r="T861" i="47"/>
  <c r="V861" i="47" s="1"/>
  <c r="P861" i="47"/>
  <c r="O861" i="47"/>
  <c r="N861" i="47"/>
  <c r="M861" i="47"/>
  <c r="L861" i="47"/>
  <c r="K861" i="47"/>
  <c r="J861" i="47"/>
  <c r="I861" i="47"/>
  <c r="H861" i="47"/>
  <c r="G861" i="47"/>
  <c r="F861" i="47"/>
  <c r="E861" i="47"/>
  <c r="D861" i="47"/>
  <c r="C861" i="47"/>
  <c r="B861" i="47"/>
  <c r="A861" i="47"/>
  <c r="U860" i="47"/>
  <c r="T860" i="47"/>
  <c r="V860" i="47" s="1"/>
  <c r="P860" i="47"/>
  <c r="Q860" i="47" s="1"/>
  <c r="A860" i="47"/>
  <c r="U859" i="47"/>
  <c r="T859" i="47"/>
  <c r="V859" i="47" s="1"/>
  <c r="D859" i="47"/>
  <c r="A859" i="47"/>
  <c r="U858" i="47"/>
  <c r="V858" i="47" s="1"/>
  <c r="T858" i="47"/>
  <c r="N858" i="47"/>
  <c r="L858" i="47"/>
  <c r="K858" i="47"/>
  <c r="J858" i="47"/>
  <c r="I858" i="47"/>
  <c r="H858" i="47"/>
  <c r="G858" i="47"/>
  <c r="F858" i="47"/>
  <c r="E858" i="47"/>
  <c r="D858" i="47"/>
  <c r="B858" i="47"/>
  <c r="A858" i="47"/>
  <c r="M858" i="47" s="1"/>
  <c r="U857" i="47"/>
  <c r="T857" i="47"/>
  <c r="V857" i="47" s="1"/>
  <c r="P857" i="47"/>
  <c r="O857" i="47"/>
  <c r="N857" i="47"/>
  <c r="M857" i="47"/>
  <c r="L857" i="47"/>
  <c r="K857" i="47"/>
  <c r="J857" i="47"/>
  <c r="I857" i="47"/>
  <c r="H857" i="47"/>
  <c r="G857" i="47"/>
  <c r="F857" i="47"/>
  <c r="E857" i="47"/>
  <c r="D857" i="47"/>
  <c r="A857" i="47"/>
  <c r="V856" i="47"/>
  <c r="U856" i="47"/>
  <c r="T856" i="47"/>
  <c r="P856" i="47"/>
  <c r="O856" i="47"/>
  <c r="N856" i="47"/>
  <c r="M856" i="47"/>
  <c r="L856" i="47"/>
  <c r="K856" i="47"/>
  <c r="D856" i="47"/>
  <c r="C856" i="47"/>
  <c r="A856" i="47"/>
  <c r="J856" i="47" s="1"/>
  <c r="U855" i="47"/>
  <c r="T855" i="47"/>
  <c r="V855" i="47" s="1"/>
  <c r="A855" i="47"/>
  <c r="U854" i="47"/>
  <c r="V854" i="47" s="1"/>
  <c r="T854" i="47"/>
  <c r="F854" i="47"/>
  <c r="D854" i="47"/>
  <c r="C854" i="47"/>
  <c r="A854" i="47"/>
  <c r="B854" i="47" s="1"/>
  <c r="V853" i="47"/>
  <c r="U853" i="47"/>
  <c r="T853" i="47"/>
  <c r="P853" i="47"/>
  <c r="J853" i="47"/>
  <c r="I853" i="47"/>
  <c r="H853" i="47"/>
  <c r="F853" i="47"/>
  <c r="D853" i="47"/>
  <c r="O853" i="47" s="1"/>
  <c r="A853" i="47"/>
  <c r="C853" i="47" s="1"/>
  <c r="V852" i="47"/>
  <c r="U852" i="47"/>
  <c r="T852" i="47"/>
  <c r="P852" i="47"/>
  <c r="L852" i="47"/>
  <c r="K852" i="47"/>
  <c r="H852" i="47"/>
  <c r="D852" i="47"/>
  <c r="O852" i="47" s="1"/>
  <c r="C852" i="47"/>
  <c r="A852" i="47"/>
  <c r="J852" i="47" s="1"/>
  <c r="U851" i="47"/>
  <c r="T851" i="47"/>
  <c r="V851" i="47" s="1"/>
  <c r="P851" i="47"/>
  <c r="A851" i="47"/>
  <c r="U850" i="47"/>
  <c r="V850" i="47" s="1"/>
  <c r="T850" i="47"/>
  <c r="P850" i="47"/>
  <c r="F850" i="47"/>
  <c r="E850" i="47"/>
  <c r="D850" i="47"/>
  <c r="C850" i="47"/>
  <c r="B850" i="47"/>
  <c r="A850" i="47"/>
  <c r="V849" i="47"/>
  <c r="U849" i="47"/>
  <c r="T849" i="47"/>
  <c r="P849" i="47"/>
  <c r="O849" i="47"/>
  <c r="N849" i="47"/>
  <c r="M849" i="47"/>
  <c r="L849" i="47"/>
  <c r="J849" i="47"/>
  <c r="I849" i="47"/>
  <c r="H849" i="47"/>
  <c r="G849" i="47"/>
  <c r="F849" i="47"/>
  <c r="E849" i="47"/>
  <c r="D849" i="47"/>
  <c r="C849" i="47"/>
  <c r="A849" i="47"/>
  <c r="B849" i="47" s="1"/>
  <c r="K849" i="47" s="1"/>
  <c r="U848" i="47"/>
  <c r="V848" i="47" s="1"/>
  <c r="T848" i="47"/>
  <c r="P848" i="47"/>
  <c r="H848" i="47"/>
  <c r="D848" i="47"/>
  <c r="O848" i="47" s="1"/>
  <c r="C848" i="47"/>
  <c r="A848" i="47"/>
  <c r="V847" i="47"/>
  <c r="U847" i="47"/>
  <c r="T847" i="47"/>
  <c r="A847" i="47"/>
  <c r="V846"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V843" i="47"/>
  <c r="U843" i="47"/>
  <c r="T843" i="47"/>
  <c r="P843" i="47"/>
  <c r="A843" i="47"/>
  <c r="U842" i="47"/>
  <c r="T842" i="47"/>
  <c r="V842" i="47" s="1"/>
  <c r="P842" i="47"/>
  <c r="F842" i="47"/>
  <c r="E842" i="47"/>
  <c r="D842" i="47"/>
  <c r="C842" i="47"/>
  <c r="B842" i="47"/>
  <c r="A842" i="47"/>
  <c r="Q842" i="47" s="1"/>
  <c r="V841" i="47"/>
  <c r="U841" i="47"/>
  <c r="T841" i="47"/>
  <c r="P841" i="47"/>
  <c r="N841" i="47"/>
  <c r="M841" i="47"/>
  <c r="K841" i="47"/>
  <c r="J841" i="47"/>
  <c r="I841" i="47"/>
  <c r="H841" i="47"/>
  <c r="G841" i="47"/>
  <c r="F841" i="47"/>
  <c r="L841" i="47" s="1"/>
  <c r="E841" i="47"/>
  <c r="D841" i="47"/>
  <c r="O841" i="47" s="1"/>
  <c r="C841" i="47"/>
  <c r="A841" i="47"/>
  <c r="B841" i="47" s="1"/>
  <c r="V840" i="47"/>
  <c r="U840" i="47"/>
  <c r="T840" i="47"/>
  <c r="P840" i="47"/>
  <c r="C840" i="47"/>
  <c r="B840" i="47"/>
  <c r="A840" i="47"/>
  <c r="U839" i="47"/>
  <c r="V839" i="47" s="1"/>
  <c r="T839" i="47"/>
  <c r="P839" i="47"/>
  <c r="F839" i="47"/>
  <c r="A839" i="47"/>
  <c r="V838" i="47"/>
  <c r="U838" i="47"/>
  <c r="T838" i="47"/>
  <c r="D838" i="47"/>
  <c r="B838" i="47"/>
  <c r="A838" i="47"/>
  <c r="V837" i="47"/>
  <c r="U837" i="47"/>
  <c r="T837" i="47"/>
  <c r="P837" i="47"/>
  <c r="N837" i="47"/>
  <c r="M837" i="47"/>
  <c r="L837" i="47"/>
  <c r="K837" i="47"/>
  <c r="J837" i="47"/>
  <c r="I837" i="47"/>
  <c r="H837" i="47"/>
  <c r="G837" i="47"/>
  <c r="F837" i="47"/>
  <c r="E837" i="47"/>
  <c r="D837" i="47"/>
  <c r="O837" i="47" s="1"/>
  <c r="C837" i="47"/>
  <c r="A837" i="47"/>
  <c r="B837" i="47" s="1"/>
  <c r="V836" i="47"/>
  <c r="U836" i="47"/>
  <c r="T836" i="47"/>
  <c r="A836" i="47"/>
  <c r="U835" i="47"/>
  <c r="T835" i="47"/>
  <c r="V835" i="47" s="1"/>
  <c r="P835" i="47"/>
  <c r="Q835" i="47" s="1"/>
  <c r="O835" i="47"/>
  <c r="F835" i="47"/>
  <c r="D835" i="47"/>
  <c r="B835" i="47"/>
  <c r="A835" i="47"/>
  <c r="U834" i="47"/>
  <c r="T834" i="47"/>
  <c r="V834" i="47" s="1"/>
  <c r="P834" i="47"/>
  <c r="Q834" i="47" s="1"/>
  <c r="L834" i="47"/>
  <c r="J834" i="47"/>
  <c r="I834" i="47"/>
  <c r="F834" i="47"/>
  <c r="E834" i="47"/>
  <c r="C834" i="47"/>
  <c r="A834" i="47"/>
  <c r="V833" i="47"/>
  <c r="U833" i="47"/>
  <c r="T833" i="47"/>
  <c r="P833" i="47"/>
  <c r="O833" i="47"/>
  <c r="N833" i="47"/>
  <c r="M833" i="47"/>
  <c r="L833" i="47"/>
  <c r="K833" i="47"/>
  <c r="I833" i="47"/>
  <c r="H833" i="47"/>
  <c r="G833" i="47"/>
  <c r="F833" i="47"/>
  <c r="J833" i="47" s="1"/>
  <c r="E833" i="47"/>
  <c r="D833" i="47"/>
  <c r="C833" i="47"/>
  <c r="A833" i="47"/>
  <c r="B833" i="47" s="1"/>
  <c r="U832" i="47"/>
  <c r="T832" i="47"/>
  <c r="V832" i="47" s="1"/>
  <c r="A832" i="47"/>
  <c r="V831" i="47"/>
  <c r="U831" i="47"/>
  <c r="T831" i="47"/>
  <c r="A831" i="47"/>
  <c r="V830" i="47"/>
  <c r="U830" i="47"/>
  <c r="T830" i="47"/>
  <c r="A830" i="47"/>
  <c r="V829"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V827" i="47"/>
  <c r="U827" i="47"/>
  <c r="T827" i="47"/>
  <c r="P827" i="47"/>
  <c r="D827" i="47"/>
  <c r="B827" i="47"/>
  <c r="A827" i="47"/>
  <c r="U826" i="47"/>
  <c r="T826" i="47"/>
  <c r="V826" i="47" s="1"/>
  <c r="P826" i="47"/>
  <c r="Q826" i="47" s="1"/>
  <c r="F826" i="47"/>
  <c r="D826" i="47"/>
  <c r="O826" i="47" s="1"/>
  <c r="C826" i="47"/>
  <c r="B826" i="47"/>
  <c r="A826" i="47"/>
  <c r="V825" i="47"/>
  <c r="U825" i="47"/>
  <c r="T825" i="47"/>
  <c r="P825" i="47"/>
  <c r="F825" i="47"/>
  <c r="D825" i="47"/>
  <c r="O825" i="47" s="1"/>
  <c r="C825" i="47"/>
  <c r="A825" i="47"/>
  <c r="B825" i="47" s="1"/>
  <c r="V824" i="47"/>
  <c r="U824" i="47"/>
  <c r="T824" i="47"/>
  <c r="P824" i="47"/>
  <c r="D824" i="47"/>
  <c r="Q824" i="47" s="1"/>
  <c r="B824" i="47"/>
  <c r="A824" i="47"/>
  <c r="U823" i="47"/>
  <c r="T823" i="47"/>
  <c r="O823" i="47"/>
  <c r="F823" i="47"/>
  <c r="D823" i="47"/>
  <c r="A823" i="47"/>
  <c r="U822" i="47"/>
  <c r="V822" i="47" s="1"/>
  <c r="T822" i="47"/>
  <c r="A822" i="47"/>
  <c r="U821" i="47"/>
  <c r="V821" i="47" s="1"/>
  <c r="T821" i="47"/>
  <c r="P821" i="47"/>
  <c r="O821" i="47"/>
  <c r="N821" i="47"/>
  <c r="L821" i="47"/>
  <c r="K821" i="47"/>
  <c r="J821" i="47"/>
  <c r="I821" i="47"/>
  <c r="H821" i="47"/>
  <c r="G821" i="47"/>
  <c r="F821" i="47"/>
  <c r="E821" i="47"/>
  <c r="D821" i="47"/>
  <c r="C821" i="47"/>
  <c r="A821" i="47"/>
  <c r="B821" i="47" s="1"/>
  <c r="M821" i="47" s="1"/>
  <c r="U820" i="47"/>
  <c r="T820" i="47"/>
  <c r="V820" i="47" s="1"/>
  <c r="P820" i="47"/>
  <c r="N820" i="47"/>
  <c r="L820" i="47"/>
  <c r="I820" i="47"/>
  <c r="H820" i="47"/>
  <c r="C820" i="47"/>
  <c r="B820" i="47"/>
  <c r="A820" i="47"/>
  <c r="V819" i="47"/>
  <c r="U819" i="47"/>
  <c r="T819" i="47"/>
  <c r="P819" i="47"/>
  <c r="Q819" i="47" s="1"/>
  <c r="D819" i="47"/>
  <c r="B819" i="47"/>
  <c r="A819" i="47"/>
  <c r="U818" i="47"/>
  <c r="T818" i="47"/>
  <c r="V818" i="47" s="1"/>
  <c r="F818" i="47"/>
  <c r="A818" i="47"/>
  <c r="V817" i="47"/>
  <c r="U817" i="47"/>
  <c r="T817" i="47"/>
  <c r="P817" i="47"/>
  <c r="M817" i="47"/>
  <c r="L817" i="47"/>
  <c r="F817" i="47"/>
  <c r="E817" i="47"/>
  <c r="D817" i="47"/>
  <c r="O817" i="47" s="1"/>
  <c r="C817" i="47"/>
  <c r="A817" i="47"/>
  <c r="B817" i="47" s="1"/>
  <c r="V816" i="47"/>
  <c r="U816" i="47"/>
  <c r="T816" i="47"/>
  <c r="P816" i="47"/>
  <c r="Q816" i="47" s="1"/>
  <c r="D816" i="47"/>
  <c r="O816" i="47" s="1"/>
  <c r="B816" i="47"/>
  <c r="A816" i="47"/>
  <c r="U815" i="47"/>
  <c r="T815" i="47"/>
  <c r="V815" i="47" s="1"/>
  <c r="F815" i="47"/>
  <c r="A815" i="47"/>
  <c r="U814" i="47"/>
  <c r="V814" i="47" s="1"/>
  <c r="T814" i="47"/>
  <c r="C814" i="47"/>
  <c r="L814" i="47" s="1"/>
  <c r="B814" i="47"/>
  <c r="A814" i="47"/>
  <c r="U813" i="47"/>
  <c r="V813" i="47" s="1"/>
  <c r="T813" i="47"/>
  <c r="P813" i="47"/>
  <c r="N813" i="47"/>
  <c r="M813" i="47"/>
  <c r="L813" i="47"/>
  <c r="K813" i="47"/>
  <c r="J813" i="47"/>
  <c r="I813" i="47"/>
  <c r="G813" i="47"/>
  <c r="F813" i="47"/>
  <c r="H813" i="47" s="1"/>
  <c r="E813" i="47"/>
  <c r="D813" i="47"/>
  <c r="O813" i="47" s="1"/>
  <c r="C813" i="47"/>
  <c r="B813" i="47"/>
  <c r="A813" i="47"/>
  <c r="Q813" i="47" s="1"/>
  <c r="U812" i="47"/>
  <c r="T812" i="47"/>
  <c r="V812" i="47" s="1"/>
  <c r="P812" i="47"/>
  <c r="Q812" i="47" s="1"/>
  <c r="A812" i="47"/>
  <c r="U811" i="47"/>
  <c r="V811" i="47" s="1"/>
  <c r="T811" i="47"/>
  <c r="K811" i="47"/>
  <c r="F811" i="47"/>
  <c r="C811" i="47"/>
  <c r="E811" i="47" s="1"/>
  <c r="B811" i="47"/>
  <c r="A811" i="47"/>
  <c r="U810" i="47"/>
  <c r="V810" i="47" s="1"/>
  <c r="T810" i="47"/>
  <c r="L810" i="47"/>
  <c r="K810" i="47"/>
  <c r="G810" i="47"/>
  <c r="E810" i="47"/>
  <c r="D810" i="47"/>
  <c r="C810" i="47"/>
  <c r="A810" i="47"/>
  <c r="U809" i="47"/>
  <c r="V809" i="47" s="1"/>
  <c r="T809" i="47"/>
  <c r="P809" i="47"/>
  <c r="N809" i="47"/>
  <c r="M809" i="47"/>
  <c r="K809" i="47"/>
  <c r="J809" i="47"/>
  <c r="F809" i="47"/>
  <c r="H809" i="47" s="1"/>
  <c r="E809" i="47"/>
  <c r="D809" i="47"/>
  <c r="O809" i="47" s="1"/>
  <c r="C809" i="47"/>
  <c r="L809" i="47" s="1"/>
  <c r="B809" i="47"/>
  <c r="G809" i="47" s="1"/>
  <c r="A809" i="47"/>
  <c r="U808" i="47"/>
  <c r="T808" i="47"/>
  <c r="A808" i="47"/>
  <c r="V807" i="47"/>
  <c r="U807" i="47"/>
  <c r="T807" i="47"/>
  <c r="A807" i="47"/>
  <c r="V806" i="47"/>
  <c r="U806" i="47"/>
  <c r="T806" i="47"/>
  <c r="P806" i="47"/>
  <c r="Q806" i="47" s="1"/>
  <c r="D806" i="47"/>
  <c r="O806" i="47" s="1"/>
  <c r="B806" i="47"/>
  <c r="A806" i="47"/>
  <c r="U805" i="47"/>
  <c r="T805" i="47"/>
  <c r="V805" i="47" s="1"/>
  <c r="P805" i="47"/>
  <c r="L805" i="47"/>
  <c r="F805" i="47"/>
  <c r="D805" i="47"/>
  <c r="C805" i="47"/>
  <c r="B805" i="47"/>
  <c r="K805" i="47" s="1"/>
  <c r="A805" i="47"/>
  <c r="V804" i="47"/>
  <c r="U804" i="47"/>
  <c r="T804" i="47"/>
  <c r="F804" i="47"/>
  <c r="A804" i="47"/>
  <c r="U803" i="47"/>
  <c r="V803" i="47" s="1"/>
  <c r="T803" i="47"/>
  <c r="A803" i="47"/>
  <c r="V802" i="47"/>
  <c r="U802" i="47"/>
  <c r="T802" i="47"/>
  <c r="P802" i="47"/>
  <c r="A802" i="47"/>
  <c r="U801" i="47"/>
  <c r="V801" i="47" s="1"/>
  <c r="T801" i="47"/>
  <c r="P801" i="47"/>
  <c r="M801" i="47"/>
  <c r="L801" i="47"/>
  <c r="K801" i="47"/>
  <c r="I801" i="47"/>
  <c r="F801" i="47"/>
  <c r="H801" i="47" s="1"/>
  <c r="E801" i="47"/>
  <c r="D801" i="47"/>
  <c r="O801" i="47" s="1"/>
  <c r="C801" i="47"/>
  <c r="N801" i="47" s="1"/>
  <c r="B801" i="47"/>
  <c r="A801" i="47"/>
  <c r="J801" i="47" s="1"/>
  <c r="V800" i="47"/>
  <c r="U800" i="47"/>
  <c r="T800" i="47"/>
  <c r="P800" i="47"/>
  <c r="F800" i="47"/>
  <c r="A800" i="47"/>
  <c r="U799" i="47"/>
  <c r="V799" i="47" s="1"/>
  <c r="T799" i="47"/>
  <c r="Q799" i="47"/>
  <c r="P799" i="47"/>
  <c r="M799" i="47"/>
  <c r="J799" i="47"/>
  <c r="D799" i="47"/>
  <c r="C799" i="47"/>
  <c r="A799" i="47"/>
  <c r="U798" i="47"/>
  <c r="T798" i="47"/>
  <c r="V798" i="47" s="1"/>
  <c r="P798" i="47"/>
  <c r="Q798" i="47" s="1"/>
  <c r="D798" i="47"/>
  <c r="B798" i="47"/>
  <c r="A798" i="47"/>
  <c r="U797" i="47"/>
  <c r="T797" i="47"/>
  <c r="V797" i="47" s="1"/>
  <c r="P797" i="47"/>
  <c r="M797" i="47"/>
  <c r="L797" i="47"/>
  <c r="H797" i="47"/>
  <c r="F797" i="47"/>
  <c r="E797" i="47"/>
  <c r="D797" i="47"/>
  <c r="O797" i="47" s="1"/>
  <c r="C797" i="47"/>
  <c r="B797" i="47"/>
  <c r="A797" i="47"/>
  <c r="J797" i="47" s="1"/>
  <c r="V796" i="47"/>
  <c r="U796" i="47"/>
  <c r="T796" i="47"/>
  <c r="F796" i="47"/>
  <c r="A796" i="47"/>
  <c r="U795" i="47"/>
  <c r="V795" i="47" s="1"/>
  <c r="T795" i="47"/>
  <c r="D795" i="47"/>
  <c r="C795" i="47"/>
  <c r="A795" i="47"/>
  <c r="U794" i="47"/>
  <c r="T794" i="47"/>
  <c r="V794" i="47" s="1"/>
  <c r="D794" i="47"/>
  <c r="A794" i="47"/>
  <c r="U793" i="47"/>
  <c r="T793" i="47"/>
  <c r="V793" i="47" s="1"/>
  <c r="P793" i="47"/>
  <c r="H793" i="47"/>
  <c r="F793" i="47"/>
  <c r="D793" i="47"/>
  <c r="O793" i="47" s="1"/>
  <c r="C793" i="47"/>
  <c r="B793" i="47"/>
  <c r="A793" i="47"/>
  <c r="J793" i="47" s="1"/>
  <c r="V792" i="47"/>
  <c r="U792" i="47"/>
  <c r="T792" i="47"/>
  <c r="A792" i="47"/>
  <c r="U791" i="47"/>
  <c r="V791" i="47" s="1"/>
  <c r="T791" i="47"/>
  <c r="P791" i="47"/>
  <c r="A791" i="47"/>
  <c r="U790" i="47"/>
  <c r="T790" i="47"/>
  <c r="V790" i="47" s="1"/>
  <c r="D790" i="47"/>
  <c r="O790" i="47" s="1"/>
  <c r="A790" i="47"/>
  <c r="U789" i="47"/>
  <c r="T789" i="47"/>
  <c r="V789" i="47" s="1"/>
  <c r="P789" i="47"/>
  <c r="K789" i="47"/>
  <c r="F789" i="47"/>
  <c r="D789" i="47"/>
  <c r="O789" i="47" s="1"/>
  <c r="C789" i="47"/>
  <c r="L789" i="47" s="1"/>
  <c r="B789" i="47"/>
  <c r="A789" i="47"/>
  <c r="V788" i="47"/>
  <c r="U788" i="47"/>
  <c r="T788" i="47"/>
  <c r="D788" i="47"/>
  <c r="A788" i="47"/>
  <c r="U787" i="47"/>
  <c r="V787" i="47" s="1"/>
  <c r="T787" i="47"/>
  <c r="P787" i="47"/>
  <c r="A787" i="47"/>
  <c r="U786" i="47"/>
  <c r="T786" i="47"/>
  <c r="V786" i="47" s="1"/>
  <c r="P786" i="47"/>
  <c r="Q786" i="47" s="1"/>
  <c r="A786" i="47"/>
  <c r="U785" i="47"/>
  <c r="V785" i="47" s="1"/>
  <c r="T785" i="47"/>
  <c r="P785" i="47"/>
  <c r="M785" i="47"/>
  <c r="K785" i="47"/>
  <c r="I785" i="47"/>
  <c r="H785" i="47"/>
  <c r="F785" i="47"/>
  <c r="L785" i="47" s="1"/>
  <c r="E785" i="47"/>
  <c r="D785" i="47"/>
  <c r="O785" i="47" s="1"/>
  <c r="C785" i="47"/>
  <c r="N785" i="47" s="1"/>
  <c r="B785" i="47"/>
  <c r="A785" i="47"/>
  <c r="J785" i="47" s="1"/>
  <c r="V784" i="47"/>
  <c r="U784" i="47"/>
  <c r="T784" i="47"/>
  <c r="P784" i="47"/>
  <c r="A784" i="47"/>
  <c r="V783" i="47"/>
  <c r="U783" i="47"/>
  <c r="T783" i="47"/>
  <c r="A783" i="47"/>
  <c r="U782" i="47"/>
  <c r="T782" i="47"/>
  <c r="V782" i="47" s="1"/>
  <c r="P782" i="47"/>
  <c r="B782" i="47"/>
  <c r="A782" i="47"/>
  <c r="U781" i="47"/>
  <c r="T781" i="47"/>
  <c r="V781" i="47" s="1"/>
  <c r="P781" i="47"/>
  <c r="N781" i="47"/>
  <c r="L781" i="47"/>
  <c r="F781" i="47"/>
  <c r="D781" i="47"/>
  <c r="O781" i="47" s="1"/>
  <c r="C781" i="47"/>
  <c r="B781" i="47"/>
  <c r="A781" i="47"/>
  <c r="U780" i="47"/>
  <c r="V780" i="47" s="1"/>
  <c r="T780" i="47"/>
  <c r="A780" i="47"/>
  <c r="U779" i="47"/>
  <c r="V779" i="47" s="1"/>
  <c r="T779" i="47"/>
  <c r="P779" i="47"/>
  <c r="M779" i="47"/>
  <c r="F779" i="47"/>
  <c r="C779" i="47"/>
  <c r="A779" i="47"/>
  <c r="U778" i="47"/>
  <c r="T778" i="47"/>
  <c r="V778" i="47" s="1"/>
  <c r="A778" i="47"/>
  <c r="U777" i="47"/>
  <c r="V777" i="47" s="1"/>
  <c r="T777" i="47"/>
  <c r="P777" i="47"/>
  <c r="N777" i="47"/>
  <c r="F777" i="47"/>
  <c r="D777" i="47"/>
  <c r="O777" i="47" s="1"/>
  <c r="C777" i="47"/>
  <c r="B777" i="47"/>
  <c r="A777" i="47"/>
  <c r="U776" i="47"/>
  <c r="T776" i="47"/>
  <c r="A776" i="47"/>
  <c r="V775" i="47"/>
  <c r="U775" i="47"/>
  <c r="T775" i="47"/>
  <c r="C775" i="47"/>
  <c r="L775" i="47" s="1"/>
  <c r="A775" i="47"/>
  <c r="V774" i="47"/>
  <c r="U774" i="47"/>
  <c r="T774" i="47"/>
  <c r="D774" i="47"/>
  <c r="B774" i="47"/>
  <c r="A774" i="47"/>
  <c r="U773" i="47"/>
  <c r="V773" i="47" s="1"/>
  <c r="T773" i="47"/>
  <c r="P773" i="47"/>
  <c r="M773" i="47"/>
  <c r="L773" i="47"/>
  <c r="H773" i="47"/>
  <c r="F773" i="47"/>
  <c r="E773" i="47"/>
  <c r="D773" i="47"/>
  <c r="O773" i="47" s="1"/>
  <c r="C773" i="47"/>
  <c r="K773" i="47" s="1"/>
  <c r="B773" i="47"/>
  <c r="A773" i="47"/>
  <c r="V772" i="47"/>
  <c r="U772" i="47"/>
  <c r="T772" i="47"/>
  <c r="C772" i="47"/>
  <c r="I772" i="47" s="1"/>
  <c r="A772" i="47"/>
  <c r="U771" i="47"/>
  <c r="V771" i="47" s="1"/>
  <c r="T771" i="47"/>
  <c r="P771" i="47"/>
  <c r="F771" i="47"/>
  <c r="D771" i="47"/>
  <c r="C771" i="47"/>
  <c r="A771" i="47"/>
  <c r="U770" i="47"/>
  <c r="T770" i="47"/>
  <c r="V770" i="47" s="1"/>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V767" i="47" s="1"/>
  <c r="T767" i="47"/>
  <c r="P767" i="47"/>
  <c r="M767" i="47"/>
  <c r="H767" i="47"/>
  <c r="C767" i="47"/>
  <c r="A767" i="47"/>
  <c r="V766" i="47"/>
  <c r="U766" i="47"/>
  <c r="T766" i="47"/>
  <c r="P766" i="47"/>
  <c r="B766" i="47"/>
  <c r="A766" i="47"/>
  <c r="U765" i="47"/>
  <c r="T765" i="47"/>
  <c r="P765" i="47"/>
  <c r="O765" i="47"/>
  <c r="M765" i="47"/>
  <c r="L765" i="47"/>
  <c r="K765" i="47"/>
  <c r="I765" i="47"/>
  <c r="F765" i="47"/>
  <c r="D765" i="47"/>
  <c r="C765" i="47"/>
  <c r="N765" i="47" s="1"/>
  <c r="B765" i="47"/>
  <c r="A765" i="47"/>
  <c r="U764" i="47"/>
  <c r="T764" i="47"/>
  <c r="V764" i="47" s="1"/>
  <c r="P764" i="47"/>
  <c r="D764" i="47"/>
  <c r="O764" i="47" s="1"/>
  <c r="A764" i="47"/>
  <c r="V763" i="47"/>
  <c r="U763" i="47"/>
  <c r="T763" i="47"/>
  <c r="Q763" i="47"/>
  <c r="P763" i="47"/>
  <c r="A763" i="47"/>
  <c r="V762" i="47"/>
  <c r="U762" i="47"/>
  <c r="T762" i="47"/>
  <c r="D762" i="47"/>
  <c r="O762" i="47" s="1"/>
  <c r="B762" i="47"/>
  <c r="A762" i="47"/>
  <c r="V761" i="47"/>
  <c r="U761" i="47"/>
  <c r="T761" i="47"/>
  <c r="P761" i="47"/>
  <c r="F761" i="47"/>
  <c r="D761" i="47"/>
  <c r="O761" i="47" s="1"/>
  <c r="C761" i="47"/>
  <c r="B761" i="47"/>
  <c r="A761" i="47"/>
  <c r="V760" i="47"/>
  <c r="U760" i="47"/>
  <c r="T760" i="47"/>
  <c r="A760" i="47"/>
  <c r="V759" i="47"/>
  <c r="U759" i="47"/>
  <c r="T759" i="47"/>
  <c r="L759" i="47"/>
  <c r="J759" i="47"/>
  <c r="F759" i="47"/>
  <c r="D759" i="47"/>
  <c r="C759" i="47"/>
  <c r="A759" i="47"/>
  <c r="U758" i="47"/>
  <c r="T758" i="47"/>
  <c r="V758" i="47" s="1"/>
  <c r="D758" i="47"/>
  <c r="C758" i="47"/>
  <c r="N758" i="47" s="1"/>
  <c r="B758" i="47"/>
  <c r="A758" i="47"/>
  <c r="V757" i="47"/>
  <c r="U757" i="47"/>
  <c r="T757" i="47"/>
  <c r="P757" i="47"/>
  <c r="F757" i="47"/>
  <c r="D757" i="47"/>
  <c r="O757" i="47" s="1"/>
  <c r="C757" i="47"/>
  <c r="B757" i="47"/>
  <c r="A757" i="47"/>
  <c r="U756" i="47"/>
  <c r="T756" i="47"/>
  <c r="V756" i="47" s="1"/>
  <c r="P756" i="47"/>
  <c r="Q756" i="47" s="1"/>
  <c r="F756" i="47"/>
  <c r="D756" i="47"/>
  <c r="O756" i="47" s="1"/>
  <c r="B756" i="47"/>
  <c r="A756" i="47"/>
  <c r="V755" i="47"/>
  <c r="U755" i="47"/>
  <c r="T755" i="47"/>
  <c r="A755" i="47"/>
  <c r="U754" i="47"/>
  <c r="T754" i="47"/>
  <c r="V754" i="47" s="1"/>
  <c r="A754" i="47"/>
  <c r="U753" i="47"/>
  <c r="T753" i="47"/>
  <c r="V753" i="47" s="1"/>
  <c r="A753" i="47"/>
  <c r="V752" i="47"/>
  <c r="U752" i="47"/>
  <c r="T752" i="47"/>
  <c r="J752" i="47"/>
  <c r="F752" i="47"/>
  <c r="D752" i="47"/>
  <c r="O752" i="47" s="1"/>
  <c r="C752" i="47"/>
  <c r="A752" i="47"/>
  <c r="B752" i="47" s="1"/>
  <c r="U751" i="47"/>
  <c r="T751" i="47"/>
  <c r="V751" i="47" s="1"/>
  <c r="A751" i="47"/>
  <c r="U750" i="47"/>
  <c r="T750" i="47"/>
  <c r="V750" i="47" s="1"/>
  <c r="P750" i="47"/>
  <c r="L750" i="47"/>
  <c r="K750" i="47"/>
  <c r="E750" i="47"/>
  <c r="C750" i="47"/>
  <c r="A750" i="47"/>
  <c r="U749" i="47"/>
  <c r="T749" i="47"/>
  <c r="V749" i="47" s="1"/>
  <c r="A749" i="47"/>
  <c r="V748" i="47"/>
  <c r="U748" i="47"/>
  <c r="T748" i="47"/>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V745" i="47" s="1"/>
  <c r="P745" i="47"/>
  <c r="A745" i="47"/>
  <c r="U744" i="47"/>
  <c r="V744" i="47" s="1"/>
  <c r="T744" i="47"/>
  <c r="O744" i="47"/>
  <c r="F744" i="47"/>
  <c r="E744" i="47"/>
  <c r="D744" i="47"/>
  <c r="C744" i="47"/>
  <c r="A744" i="47"/>
  <c r="B744" i="47" s="1"/>
  <c r="U743" i="47"/>
  <c r="T743" i="47"/>
  <c r="V743" i="47" s="1"/>
  <c r="A743" i="47"/>
  <c r="U742" i="47"/>
  <c r="T742" i="47"/>
  <c r="P742" i="47"/>
  <c r="N742" i="47"/>
  <c r="L742" i="47"/>
  <c r="F742" i="47"/>
  <c r="E742" i="47"/>
  <c r="C742" i="47"/>
  <c r="B742" i="47"/>
  <c r="M742" i="47" s="1"/>
  <c r="A742" i="47"/>
  <c r="U741" i="47"/>
  <c r="V741" i="47" s="1"/>
  <c r="T741" i="47"/>
  <c r="Q741" i="47"/>
  <c r="P741" i="47"/>
  <c r="K741" i="47"/>
  <c r="F741" i="47"/>
  <c r="D741" i="47"/>
  <c r="C741" i="47"/>
  <c r="A741" i="47"/>
  <c r="V740"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V737" i="47"/>
  <c r="U737" i="47"/>
  <c r="T737" i="47"/>
  <c r="A737" i="47"/>
  <c r="U736" i="47"/>
  <c r="V736" i="47" s="1"/>
  <c r="T736" i="47"/>
  <c r="K736" i="47"/>
  <c r="F736" i="47"/>
  <c r="C736" i="47"/>
  <c r="A736" i="47"/>
  <c r="U735" i="47"/>
  <c r="T735" i="47"/>
  <c r="P735" i="47"/>
  <c r="F735" i="47"/>
  <c r="B735" i="47"/>
  <c r="A735" i="47"/>
  <c r="V734" i="47"/>
  <c r="U734" i="47"/>
  <c r="T734" i="47"/>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V730" i="47" s="1"/>
  <c r="F730" i="47"/>
  <c r="D730" i="47"/>
  <c r="Q730" i="47" s="1"/>
  <c r="A730" i="47"/>
  <c r="P730" i="47" s="1"/>
  <c r="U729" i="47"/>
  <c r="T729" i="47"/>
  <c r="V729" i="47" s="1"/>
  <c r="K729" i="47"/>
  <c r="C729" i="47"/>
  <c r="A729" i="47"/>
  <c r="U728" i="47"/>
  <c r="T728" i="47"/>
  <c r="V728" i="47" s="1"/>
  <c r="P728" i="47"/>
  <c r="A728" i="47"/>
  <c r="U727" i="47"/>
  <c r="T727" i="47"/>
  <c r="P727" i="47"/>
  <c r="F727" i="47"/>
  <c r="D727" i="47"/>
  <c r="Q727" i="47" s="1"/>
  <c r="B727" i="47"/>
  <c r="A727" i="47"/>
  <c r="U726" i="47"/>
  <c r="T726" i="47"/>
  <c r="V726" i="47" s="1"/>
  <c r="G726" i="47"/>
  <c r="E726" i="47"/>
  <c r="C726" i="47"/>
  <c r="B726" i="47"/>
  <c r="A726" i="47"/>
  <c r="U725" i="47"/>
  <c r="T725" i="47"/>
  <c r="V725" i="47" s="1"/>
  <c r="A725" i="47"/>
  <c r="U724" i="47"/>
  <c r="T724" i="47"/>
  <c r="V724" i="47" s="1"/>
  <c r="Q724" i="47"/>
  <c r="P724" i="47"/>
  <c r="F724" i="47"/>
  <c r="D724" i="47"/>
  <c r="O724" i="47" s="1"/>
  <c r="A724" i="47"/>
  <c r="U723" i="47"/>
  <c r="T723" i="47"/>
  <c r="V723" i="47" s="1"/>
  <c r="P723" i="47"/>
  <c r="J723" i="47"/>
  <c r="C723" i="47"/>
  <c r="I723" i="47" s="1"/>
  <c r="A723" i="47"/>
  <c r="U722" i="47"/>
  <c r="T722" i="47"/>
  <c r="V722" i="47" s="1"/>
  <c r="Q722" i="47"/>
  <c r="F722" i="47"/>
  <c r="D722" i="47"/>
  <c r="O722" i="47" s="1"/>
  <c r="B722" i="47"/>
  <c r="A722" i="47"/>
  <c r="P722" i="47" s="1"/>
  <c r="U721" i="47"/>
  <c r="T721" i="47"/>
  <c r="A721" i="47"/>
  <c r="U720" i="47"/>
  <c r="V720" i="47" s="1"/>
  <c r="T720" i="47"/>
  <c r="P720" i="47"/>
  <c r="B720" i="47"/>
  <c r="A720" i="47"/>
  <c r="U719" i="47"/>
  <c r="T719" i="47"/>
  <c r="V719" i="47" s="1"/>
  <c r="P719" i="47"/>
  <c r="O719" i="47"/>
  <c r="F719" i="47"/>
  <c r="D719" i="47"/>
  <c r="B719" i="47"/>
  <c r="A719" i="47"/>
  <c r="U718" i="47"/>
  <c r="T718" i="47"/>
  <c r="O718" i="47"/>
  <c r="D718" i="47"/>
  <c r="A718" i="47"/>
  <c r="U717" i="47"/>
  <c r="T717" i="47"/>
  <c r="V717" i="47" s="1"/>
  <c r="A717" i="47"/>
  <c r="U716" i="47"/>
  <c r="T716" i="47"/>
  <c r="V716" i="47" s="1"/>
  <c r="P716" i="47"/>
  <c r="Q716" i="47" s="1"/>
  <c r="O716" i="47"/>
  <c r="F716" i="47"/>
  <c r="D716" i="47"/>
  <c r="B716" i="47"/>
  <c r="A716" i="47"/>
  <c r="V715" i="47"/>
  <c r="U715" i="47"/>
  <c r="T715" i="47"/>
  <c r="P715" i="47"/>
  <c r="Q715" i="47" s="1"/>
  <c r="N715" i="47"/>
  <c r="I715" i="47"/>
  <c r="C715" i="47"/>
  <c r="B715" i="47"/>
  <c r="A715" i="47"/>
  <c r="U714" i="47"/>
  <c r="V714" i="47" s="1"/>
  <c r="T714" i="47"/>
  <c r="Q714" i="47"/>
  <c r="L714" i="47"/>
  <c r="H714" i="47"/>
  <c r="F714" i="47"/>
  <c r="D714" i="47"/>
  <c r="O714" i="47" s="1"/>
  <c r="C714" i="47"/>
  <c r="M714" i="47" s="1"/>
  <c r="B714" i="47"/>
  <c r="A714" i="47"/>
  <c r="P714" i="47" s="1"/>
  <c r="U713" i="47"/>
  <c r="T713" i="47"/>
  <c r="V713" i="47" s="1"/>
  <c r="A713" i="47"/>
  <c r="P713" i="47" s="1"/>
  <c r="U712" i="47"/>
  <c r="T712" i="47"/>
  <c r="P712" i="47"/>
  <c r="D712" i="47"/>
  <c r="A712" i="47"/>
  <c r="U711" i="47"/>
  <c r="V711" i="47" s="1"/>
  <c r="T711" i="47"/>
  <c r="Q711" i="47"/>
  <c r="P711" i="47"/>
  <c r="O711" i="47"/>
  <c r="H711" i="47"/>
  <c r="G711" i="47"/>
  <c r="F711" i="47"/>
  <c r="E711" i="47"/>
  <c r="D711" i="47"/>
  <c r="C711" i="47"/>
  <c r="I711" i="47" s="1"/>
  <c r="B711" i="47"/>
  <c r="A711" i="47"/>
  <c r="V710" i="47"/>
  <c r="U710" i="47"/>
  <c r="T710" i="47"/>
  <c r="J710" i="47"/>
  <c r="H710" i="47"/>
  <c r="F710" i="47"/>
  <c r="E710" i="47"/>
  <c r="C710" i="47"/>
  <c r="N710" i="47" s="1"/>
  <c r="A710" i="47"/>
  <c r="U709" i="47"/>
  <c r="T709" i="47"/>
  <c r="B709" i="47"/>
  <c r="A709" i="47"/>
  <c r="V708" i="47"/>
  <c r="U708" i="47"/>
  <c r="T708" i="47"/>
  <c r="P708" i="47"/>
  <c r="M708" i="47"/>
  <c r="K708" i="47"/>
  <c r="F708" i="47"/>
  <c r="E708" i="47"/>
  <c r="D708" i="47"/>
  <c r="O708" i="47" s="1"/>
  <c r="C708" i="47"/>
  <c r="N708" i="47" s="1"/>
  <c r="B708" i="47"/>
  <c r="A708" i="47"/>
  <c r="V707" i="47"/>
  <c r="U707" i="47"/>
  <c r="T707" i="47"/>
  <c r="P707" i="47"/>
  <c r="N707" i="47"/>
  <c r="I707" i="47"/>
  <c r="G707" i="47"/>
  <c r="F707" i="47"/>
  <c r="E707" i="47"/>
  <c r="C707" i="47"/>
  <c r="B707" i="47"/>
  <c r="A707" i="47"/>
  <c r="L707" i="47" s="1"/>
  <c r="U706" i="47"/>
  <c r="T706" i="47"/>
  <c r="V706" i="47" s="1"/>
  <c r="A706" i="47"/>
  <c r="U705" i="47"/>
  <c r="T705" i="47"/>
  <c r="A705" i="47"/>
  <c r="U704" i="47"/>
  <c r="T704" i="47"/>
  <c r="A704" i="47"/>
  <c r="V703" i="47"/>
  <c r="U703" i="47"/>
  <c r="T703" i="47"/>
  <c r="F703" i="47"/>
  <c r="C703" i="47"/>
  <c r="A703" i="47"/>
  <c r="U702" i="47"/>
  <c r="V702" i="47" s="1"/>
  <c r="T702" i="47"/>
  <c r="D702" i="47"/>
  <c r="O702" i="47" s="1"/>
  <c r="C702" i="47"/>
  <c r="K702" i="47" s="1"/>
  <c r="B702" i="47"/>
  <c r="A702" i="47"/>
  <c r="V701" i="47"/>
  <c r="U701" i="47"/>
  <c r="T701" i="47"/>
  <c r="A701" i="47"/>
  <c r="U700" i="47"/>
  <c r="T700" i="47"/>
  <c r="P700" i="47"/>
  <c r="A700" i="47"/>
  <c r="V699" i="47"/>
  <c r="U699" i="47"/>
  <c r="T699" i="47"/>
  <c r="F699" i="47"/>
  <c r="D699" i="47"/>
  <c r="O699" i="47" s="1"/>
  <c r="C699" i="47"/>
  <c r="L699" i="47" s="1"/>
  <c r="A699" i="47"/>
  <c r="P699" i="47" s="1"/>
  <c r="Q699" i="47" s="1"/>
  <c r="U698" i="47"/>
  <c r="T698" i="47"/>
  <c r="V698" i="47" s="1"/>
  <c r="P698" i="47"/>
  <c r="J698" i="47"/>
  <c r="G698" i="47"/>
  <c r="D698" i="47"/>
  <c r="O698" i="47" s="1"/>
  <c r="C698" i="47"/>
  <c r="B698" i="47"/>
  <c r="A698" i="47"/>
  <c r="Q698" i="47" s="1"/>
  <c r="U697" i="47"/>
  <c r="V697" i="47" s="1"/>
  <c r="T697" i="47"/>
  <c r="F697" i="47"/>
  <c r="D697" i="47"/>
  <c r="A697" i="47"/>
  <c r="O697" i="47" s="1"/>
  <c r="U696" i="47"/>
  <c r="T696" i="47"/>
  <c r="C696" i="47"/>
  <c r="A696" i="47"/>
  <c r="P696" i="47" s="1"/>
  <c r="Q696" i="47" s="1"/>
  <c r="V695" i="47"/>
  <c r="U695" i="47"/>
  <c r="T695" i="47"/>
  <c r="A695" i="47"/>
  <c r="U694" i="47"/>
  <c r="T694" i="47"/>
  <c r="V694" i="47" s="1"/>
  <c r="P694" i="47"/>
  <c r="Q694" i="47" s="1"/>
  <c r="O694" i="47"/>
  <c r="M694" i="47"/>
  <c r="K694" i="47"/>
  <c r="J694" i="47"/>
  <c r="I694" i="47"/>
  <c r="E694" i="47"/>
  <c r="D694" i="47"/>
  <c r="C694" i="47"/>
  <c r="B694" i="47"/>
  <c r="G694" i="47" s="1"/>
  <c r="A694" i="47"/>
  <c r="V693" i="47"/>
  <c r="U693" i="47"/>
  <c r="T693" i="47"/>
  <c r="D693" i="47"/>
  <c r="O693" i="47" s="1"/>
  <c r="A693" i="47"/>
  <c r="U692" i="47"/>
  <c r="T692" i="47"/>
  <c r="V692" i="47" s="1"/>
  <c r="P692" i="47"/>
  <c r="M692" i="47"/>
  <c r="L692" i="47"/>
  <c r="K692" i="47"/>
  <c r="J692" i="47"/>
  <c r="C692" i="47"/>
  <c r="A692" i="47"/>
  <c r="U691" i="47"/>
  <c r="V691" i="47" s="1"/>
  <c r="T691" i="47"/>
  <c r="P691" i="47"/>
  <c r="M691" i="47"/>
  <c r="I691" i="47"/>
  <c r="E691" i="47"/>
  <c r="C691" i="47"/>
  <c r="G691" i="47" s="1"/>
  <c r="A691" i="47"/>
  <c r="U690" i="47"/>
  <c r="T690" i="47"/>
  <c r="V690" i="47" s="1"/>
  <c r="P690" i="47"/>
  <c r="K690" i="47"/>
  <c r="C690" i="47"/>
  <c r="M690" i="47" s="1"/>
  <c r="A690" i="47"/>
  <c r="U689" i="47"/>
  <c r="V689" i="47" s="1"/>
  <c r="T689" i="47"/>
  <c r="A689" i="47"/>
  <c r="U688" i="47"/>
  <c r="T688" i="47"/>
  <c r="P688" i="47"/>
  <c r="A688" i="47"/>
  <c r="V687" i="47"/>
  <c r="U687" i="47"/>
  <c r="T687" i="47"/>
  <c r="A687" i="47"/>
  <c r="U686" i="47"/>
  <c r="T686" i="47"/>
  <c r="P686" i="47"/>
  <c r="Q686" i="47" s="1"/>
  <c r="O686" i="47"/>
  <c r="M686" i="47"/>
  <c r="G686" i="47"/>
  <c r="D686" i="47"/>
  <c r="C686" i="47"/>
  <c r="K686" i="47" s="1"/>
  <c r="B686" i="47"/>
  <c r="A686" i="47"/>
  <c r="V685" i="47"/>
  <c r="U685" i="47"/>
  <c r="T685" i="47"/>
  <c r="F685" i="47"/>
  <c r="C685" i="47"/>
  <c r="I685" i="47" s="1"/>
  <c r="A685" i="47"/>
  <c r="U684" i="47"/>
  <c r="T684" i="47"/>
  <c r="P684" i="47"/>
  <c r="B684" i="47"/>
  <c r="A684" i="47"/>
  <c r="U683" i="47"/>
  <c r="T683" i="47"/>
  <c r="V683" i="47" s="1"/>
  <c r="D683" i="47"/>
  <c r="O683" i="47" s="1"/>
  <c r="C683" i="47"/>
  <c r="B683" i="47"/>
  <c r="A683" i="47"/>
  <c r="V682" i="47"/>
  <c r="U682" i="47"/>
  <c r="T682" i="47"/>
  <c r="K682" i="47"/>
  <c r="F682" i="47"/>
  <c r="D682" i="47"/>
  <c r="Q682" i="47" s="1"/>
  <c r="C682" i="47"/>
  <c r="J682" i="47" s="1"/>
  <c r="B682" i="47"/>
  <c r="A682" i="47"/>
  <c r="P682" i="47" s="1"/>
  <c r="U681" i="47"/>
  <c r="V681" i="47" s="1"/>
  <c r="T681" i="47"/>
  <c r="A681" i="47"/>
  <c r="U680" i="47"/>
  <c r="T680" i="47"/>
  <c r="V680" i="47" s="1"/>
  <c r="P680" i="47"/>
  <c r="Q680" i="47" s="1"/>
  <c r="N680" i="47"/>
  <c r="M680" i="47"/>
  <c r="L680" i="47"/>
  <c r="K680" i="47"/>
  <c r="I680" i="47"/>
  <c r="H680" i="47"/>
  <c r="G680" i="47"/>
  <c r="E680" i="47"/>
  <c r="C680" i="47"/>
  <c r="B680" i="47"/>
  <c r="A680" i="47"/>
  <c r="V679" i="47"/>
  <c r="U679" i="47"/>
  <c r="T679" i="47"/>
  <c r="P679" i="47"/>
  <c r="F679" i="47"/>
  <c r="D679" i="47"/>
  <c r="O679" i="47" s="1"/>
  <c r="B679" i="47"/>
  <c r="A679" i="47"/>
  <c r="U678" i="47"/>
  <c r="T678" i="47"/>
  <c r="V678" i="47" s="1"/>
  <c r="P678" i="47"/>
  <c r="D678" i="47"/>
  <c r="A678" i="47"/>
  <c r="V677" i="47"/>
  <c r="U677" i="47"/>
  <c r="T677" i="47"/>
  <c r="O677" i="47"/>
  <c r="D677" i="47"/>
  <c r="C677" i="47"/>
  <c r="A677" i="47"/>
  <c r="U676" i="47"/>
  <c r="T676" i="47"/>
  <c r="V676" i="47" s="1"/>
  <c r="P676" i="47"/>
  <c r="A676" i="47"/>
  <c r="Q676" i="47" s="1"/>
  <c r="U675" i="47"/>
  <c r="V675" i="47" s="1"/>
  <c r="T675" i="47"/>
  <c r="P675" i="47"/>
  <c r="F675" i="47"/>
  <c r="B675" i="47"/>
  <c r="A675" i="47"/>
  <c r="U674" i="47"/>
  <c r="T674" i="47"/>
  <c r="V674" i="47" s="1"/>
  <c r="F674" i="47"/>
  <c r="D674" i="47"/>
  <c r="A674" i="47"/>
  <c r="P674" i="47" s="1"/>
  <c r="U673" i="47"/>
  <c r="V673" i="47" s="1"/>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V671" i="47" s="1"/>
  <c r="A671" i="47"/>
  <c r="U670" i="47"/>
  <c r="V670" i="47" s="1"/>
  <c r="T670" i="47"/>
  <c r="A670" i="47"/>
  <c r="V669" i="47"/>
  <c r="U669" i="47"/>
  <c r="T669" i="47"/>
  <c r="P669" i="47"/>
  <c r="L669" i="47"/>
  <c r="K669" i="47"/>
  <c r="J669" i="47"/>
  <c r="I669" i="47"/>
  <c r="F669" i="47"/>
  <c r="D669" i="47"/>
  <c r="Q669" i="47" s="1"/>
  <c r="C669" i="47"/>
  <c r="H669" i="47" s="1"/>
  <c r="B669" i="47"/>
  <c r="A669" i="47"/>
  <c r="U668" i="47"/>
  <c r="T668" i="47"/>
  <c r="V668" i="47" s="1"/>
  <c r="P668" i="47"/>
  <c r="O668" i="47"/>
  <c r="N668" i="47"/>
  <c r="M668" i="47"/>
  <c r="L668" i="47"/>
  <c r="J668" i="47"/>
  <c r="I668" i="47"/>
  <c r="H668" i="47"/>
  <c r="G668" i="47"/>
  <c r="F668" i="47"/>
  <c r="E668" i="47"/>
  <c r="D668" i="47"/>
  <c r="C668" i="47"/>
  <c r="B668" i="47"/>
  <c r="K668" i="47" s="1"/>
  <c r="A668" i="47"/>
  <c r="U667" i="47"/>
  <c r="T667" i="47"/>
  <c r="V667" i="47" s="1"/>
  <c r="A667" i="47"/>
  <c r="U666" i="47"/>
  <c r="V666" i="47" s="1"/>
  <c r="T666" i="47"/>
  <c r="A666" i="47"/>
  <c r="V665" i="47"/>
  <c r="U665" i="47"/>
  <c r="T665" i="47"/>
  <c r="F665" i="47"/>
  <c r="D665" i="47"/>
  <c r="C665" i="47"/>
  <c r="B665" i="47"/>
  <c r="A665" i="47"/>
  <c r="U664" i="47"/>
  <c r="T664" i="47"/>
  <c r="V664" i="47" s="1"/>
  <c r="P664" i="47"/>
  <c r="N664" i="47"/>
  <c r="M664" i="47"/>
  <c r="L664" i="47"/>
  <c r="K664" i="47"/>
  <c r="I664" i="47"/>
  <c r="H664" i="47"/>
  <c r="G664" i="47"/>
  <c r="F664" i="47"/>
  <c r="J664" i="47" s="1"/>
  <c r="E664" i="47"/>
  <c r="D664" i="47"/>
  <c r="O664" i="47" s="1"/>
  <c r="C664" i="47"/>
  <c r="B664" i="47"/>
  <c r="A664" i="47"/>
  <c r="U663" i="47"/>
  <c r="T663" i="47"/>
  <c r="V663" i="47" s="1"/>
  <c r="B663" i="47"/>
  <c r="A663" i="47"/>
  <c r="V662" i="47"/>
  <c r="U662" i="47"/>
  <c r="T662" i="47"/>
  <c r="N662" i="47"/>
  <c r="M662" i="47"/>
  <c r="J662" i="47"/>
  <c r="H662" i="47"/>
  <c r="D662" i="47"/>
  <c r="C662" i="47"/>
  <c r="B662" i="47"/>
  <c r="A662" i="47"/>
  <c r="U661" i="47"/>
  <c r="T661" i="47"/>
  <c r="V661" i="47" s="1"/>
  <c r="P661" i="47"/>
  <c r="F661" i="47"/>
  <c r="D661" i="47"/>
  <c r="A661" i="47"/>
  <c r="Q661" i="47" s="1"/>
  <c r="U660" i="47"/>
  <c r="T660" i="47"/>
  <c r="V660" i="47" s="1"/>
  <c r="P660" i="47"/>
  <c r="O660" i="47"/>
  <c r="N660" i="47"/>
  <c r="M660" i="47"/>
  <c r="L660" i="47"/>
  <c r="K660" i="47"/>
  <c r="J660" i="47"/>
  <c r="I660" i="47"/>
  <c r="H660" i="47"/>
  <c r="G660" i="47"/>
  <c r="F660" i="47"/>
  <c r="E660" i="47"/>
  <c r="D660" i="47"/>
  <c r="C660" i="47"/>
  <c r="B660" i="47"/>
  <c r="A660" i="47"/>
  <c r="V659" i="47"/>
  <c r="U659" i="47"/>
  <c r="T659" i="47"/>
  <c r="C659" i="47"/>
  <c r="B659" i="47"/>
  <c r="A659" i="47"/>
  <c r="V658" i="47"/>
  <c r="U658" i="47"/>
  <c r="T658" i="47"/>
  <c r="P658" i="47"/>
  <c r="N658" i="47"/>
  <c r="K658" i="47"/>
  <c r="F658" i="47"/>
  <c r="E658" i="47"/>
  <c r="D658" i="47"/>
  <c r="O658" i="47" s="1"/>
  <c r="C658" i="47"/>
  <c r="M658" i="47" s="1"/>
  <c r="A658" i="47"/>
  <c r="U657" i="47"/>
  <c r="T657" i="47"/>
  <c r="B657" i="47"/>
  <c r="A657" i="47"/>
  <c r="P657" i="47" s="1"/>
  <c r="Q657" i="47" s="1"/>
  <c r="V656" i="47"/>
  <c r="U656" i="47"/>
  <c r="T656" i="47"/>
  <c r="P656" i="47"/>
  <c r="F656" i="47"/>
  <c r="E656" i="47"/>
  <c r="D656" i="47"/>
  <c r="O656" i="47" s="1"/>
  <c r="C656" i="47"/>
  <c r="B656" i="47"/>
  <c r="A656" i="47"/>
  <c r="V655" i="47"/>
  <c r="U655" i="47"/>
  <c r="T655" i="47"/>
  <c r="P655" i="47"/>
  <c r="Q655" i="47" s="1"/>
  <c r="N655" i="47"/>
  <c r="H655" i="47"/>
  <c r="G655" i="47"/>
  <c r="F655" i="47"/>
  <c r="C655" i="47"/>
  <c r="M655" i="47" s="1"/>
  <c r="A655" i="47"/>
  <c r="U654" i="47"/>
  <c r="T654" i="47"/>
  <c r="V654" i="47" s="1"/>
  <c r="B654" i="47"/>
  <c r="A654" i="47"/>
  <c r="V653" i="47"/>
  <c r="U653" i="47"/>
  <c r="T653" i="47"/>
  <c r="Q653" i="47"/>
  <c r="P653" i="47"/>
  <c r="F653" i="47"/>
  <c r="D653" i="47"/>
  <c r="O653" i="47" s="1"/>
  <c r="C653" i="47"/>
  <c r="B653" i="47"/>
  <c r="A653" i="47"/>
  <c r="U652" i="47"/>
  <c r="T652" i="47"/>
  <c r="V652" i="47" s="1"/>
  <c r="P652" i="47"/>
  <c r="O652" i="47"/>
  <c r="N652" i="47"/>
  <c r="M652" i="47"/>
  <c r="L652" i="47"/>
  <c r="K652" i="47"/>
  <c r="I652" i="47"/>
  <c r="H652" i="47"/>
  <c r="G652" i="47"/>
  <c r="F652" i="47"/>
  <c r="J652" i="47" s="1"/>
  <c r="E652" i="47"/>
  <c r="D652" i="47"/>
  <c r="C652" i="47"/>
  <c r="B652" i="47"/>
  <c r="A652" i="47"/>
  <c r="U651" i="47"/>
  <c r="V651" i="47" s="1"/>
  <c r="T651" i="47"/>
  <c r="P651" i="47"/>
  <c r="D651" i="47"/>
  <c r="C651" i="47"/>
  <c r="B651" i="47"/>
  <c r="A651" i="47"/>
  <c r="Q651" i="47" s="1"/>
  <c r="U650" i="47"/>
  <c r="T650" i="47"/>
  <c r="P650" i="47"/>
  <c r="Q650" i="47" s="1"/>
  <c r="O650" i="47"/>
  <c r="F650" i="47"/>
  <c r="D650" i="47"/>
  <c r="B650" i="47"/>
  <c r="A650" i="47"/>
  <c r="U649" i="47"/>
  <c r="T649" i="47"/>
  <c r="V649" i="47" s="1"/>
  <c r="A649" i="47"/>
  <c r="V648" i="47"/>
  <c r="U648" i="47"/>
  <c r="T648" i="47"/>
  <c r="P648" i="47"/>
  <c r="K648" i="47"/>
  <c r="F648" i="47"/>
  <c r="D648" i="47"/>
  <c r="O648" i="47" s="1"/>
  <c r="C648" i="47"/>
  <c r="B648" i="47"/>
  <c r="A648" i="47"/>
  <c r="U647" i="47"/>
  <c r="V647" i="47" s="1"/>
  <c r="T647" i="47"/>
  <c r="Q647" i="47"/>
  <c r="P647" i="47"/>
  <c r="O647" i="47"/>
  <c r="L647" i="47"/>
  <c r="K647" i="47"/>
  <c r="J647" i="47"/>
  <c r="I647" i="47"/>
  <c r="H647" i="47"/>
  <c r="G647" i="47"/>
  <c r="F647" i="47"/>
  <c r="N647" i="47" s="1"/>
  <c r="D647" i="47"/>
  <c r="C647" i="47"/>
  <c r="B647" i="47"/>
  <c r="M647" i="47" s="1"/>
  <c r="A647" i="47"/>
  <c r="U646" i="47"/>
  <c r="V646" i="47" s="1"/>
  <c r="T646" i="47"/>
  <c r="A646" i="47"/>
  <c r="U645" i="47"/>
  <c r="T645" i="47"/>
  <c r="V645" i="47" s="1"/>
  <c r="A645" i="47"/>
  <c r="U644" i="47"/>
  <c r="T644" i="47"/>
  <c r="V644" i="47" s="1"/>
  <c r="P644" i="47"/>
  <c r="O644" i="47"/>
  <c r="M644" i="47"/>
  <c r="I644" i="47"/>
  <c r="H644" i="47"/>
  <c r="G644" i="47"/>
  <c r="F644" i="47"/>
  <c r="N644" i="47" s="1"/>
  <c r="D644" i="47"/>
  <c r="C644" i="47"/>
  <c r="L644" i="47" s="1"/>
  <c r="B644" i="47"/>
  <c r="A644" i="47"/>
  <c r="U643" i="47"/>
  <c r="T643" i="47"/>
  <c r="V643" i="47" s="1"/>
  <c r="A643" i="47"/>
  <c r="V642" i="47"/>
  <c r="U642" i="47"/>
  <c r="T642" i="47"/>
  <c r="P642" i="47"/>
  <c r="N642" i="47"/>
  <c r="F642" i="47"/>
  <c r="E642" i="47"/>
  <c r="D642" i="47"/>
  <c r="O642" i="47" s="1"/>
  <c r="C642" i="47"/>
  <c r="A642" i="47"/>
  <c r="U641" i="47"/>
  <c r="T641" i="47"/>
  <c r="V641" i="47" s="1"/>
  <c r="P641" i="47"/>
  <c r="A641" i="47"/>
  <c r="V640" i="47"/>
  <c r="U640" i="47"/>
  <c r="T640" i="47"/>
  <c r="P640" i="47"/>
  <c r="F640" i="47"/>
  <c r="D640" i="47"/>
  <c r="O640" i="47" s="1"/>
  <c r="B640" i="47"/>
  <c r="A640" i="47"/>
  <c r="U639" i="47"/>
  <c r="T639" i="47"/>
  <c r="V639" i="47" s="1"/>
  <c r="Q639" i="47"/>
  <c r="P639" i="47"/>
  <c r="A639" i="47"/>
  <c r="V638" i="47"/>
  <c r="U638" i="47"/>
  <c r="T638" i="47"/>
  <c r="N638" i="47"/>
  <c r="M638" i="47"/>
  <c r="L638" i="47"/>
  <c r="J638" i="47"/>
  <c r="G638" i="47"/>
  <c r="F638" i="47"/>
  <c r="E638" i="47"/>
  <c r="D638" i="47"/>
  <c r="O638" i="47" s="1"/>
  <c r="C638" i="47"/>
  <c r="A638" i="47"/>
  <c r="B638" i="47" s="1"/>
  <c r="U637" i="47"/>
  <c r="T637" i="47"/>
  <c r="V637" i="47" s="1"/>
  <c r="A637" i="47"/>
  <c r="V636" i="47"/>
  <c r="U636" i="47"/>
  <c r="T636" i="47"/>
  <c r="P636" i="47"/>
  <c r="F636" i="47"/>
  <c r="D636" i="47"/>
  <c r="O636" i="47" s="1"/>
  <c r="B636" i="47"/>
  <c r="A636" i="47"/>
  <c r="U635" i="47"/>
  <c r="T635" i="47"/>
  <c r="C635" i="47"/>
  <c r="J635" i="47" s="1"/>
  <c r="B635" i="47"/>
  <c r="A635" i="47"/>
  <c r="V634" i="47"/>
  <c r="U634" i="47"/>
  <c r="T634" i="47"/>
  <c r="O634" i="47"/>
  <c r="N634" i="47"/>
  <c r="F634" i="47"/>
  <c r="D634" i="47"/>
  <c r="C634" i="47"/>
  <c r="A634" i="47"/>
  <c r="B634" i="47" s="1"/>
  <c r="U633" i="47"/>
  <c r="T633" i="47"/>
  <c r="Q633" i="47"/>
  <c r="P633" i="47"/>
  <c r="B633" i="47"/>
  <c r="A633" i="47"/>
  <c r="U632" i="47"/>
  <c r="T632" i="47"/>
  <c r="V632" i="47" s="1"/>
  <c r="P632" i="47"/>
  <c r="F632" i="47"/>
  <c r="D632" i="47"/>
  <c r="O632" i="47" s="1"/>
  <c r="B632" i="47"/>
  <c r="A632" i="47"/>
  <c r="U631" i="47"/>
  <c r="T631" i="47"/>
  <c r="V631" i="47" s="1"/>
  <c r="P631" i="47"/>
  <c r="J631" i="47"/>
  <c r="F631" i="47"/>
  <c r="H631" i="47" s="1"/>
  <c r="C631" i="47"/>
  <c r="K631" i="47" s="1"/>
  <c r="A631" i="47"/>
  <c r="V630" i="47"/>
  <c r="U630" i="47"/>
  <c r="T630" i="47"/>
  <c r="F630" i="47"/>
  <c r="D630" i="47"/>
  <c r="O630" i="47" s="1"/>
  <c r="C630" i="47"/>
  <c r="A630" i="47"/>
  <c r="B630" i="47" s="1"/>
  <c r="U629" i="47"/>
  <c r="T629" i="47"/>
  <c r="V629" i="47" s="1"/>
  <c r="B629" i="47"/>
  <c r="A629" i="47"/>
  <c r="V628" i="47"/>
  <c r="U628" i="47"/>
  <c r="T628" i="47"/>
  <c r="P628" i="47"/>
  <c r="N628" i="47"/>
  <c r="M628" i="47"/>
  <c r="L628" i="47"/>
  <c r="K628" i="47"/>
  <c r="F628" i="47"/>
  <c r="E628" i="47"/>
  <c r="D628" i="47"/>
  <c r="O628" i="47" s="1"/>
  <c r="C628" i="47"/>
  <c r="B628" i="47"/>
  <c r="G628" i="47" s="1"/>
  <c r="A628" i="47"/>
  <c r="J628" i="47" s="1"/>
  <c r="U627" i="47"/>
  <c r="T627" i="47"/>
  <c r="V627" i="47" s="1"/>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V622" i="47" s="1"/>
  <c r="T622" i="47"/>
  <c r="M622" i="47"/>
  <c r="L622" i="47"/>
  <c r="G622" i="47"/>
  <c r="F622" i="47"/>
  <c r="E622" i="47"/>
  <c r="D622" i="47"/>
  <c r="O622" i="47" s="1"/>
  <c r="C622" i="47"/>
  <c r="N622" i="47" s="1"/>
  <c r="B622" i="47"/>
  <c r="A622" i="47"/>
  <c r="U621" i="47"/>
  <c r="T621" i="47"/>
  <c r="A621" i="47"/>
  <c r="V620" i="47"/>
  <c r="U620" i="47"/>
  <c r="T620" i="47"/>
  <c r="P620" i="47"/>
  <c r="N620" i="47"/>
  <c r="M620" i="47"/>
  <c r="L620" i="47"/>
  <c r="K620" i="47"/>
  <c r="F620" i="47"/>
  <c r="E620" i="47"/>
  <c r="D620" i="47"/>
  <c r="O620" i="47" s="1"/>
  <c r="C620" i="47"/>
  <c r="J620" i="47" s="1"/>
  <c r="B620" i="47"/>
  <c r="G620" i="47" s="1"/>
  <c r="A620" i="47"/>
  <c r="I620" i="47" s="1"/>
  <c r="U619" i="47"/>
  <c r="T619" i="47"/>
  <c r="F619" i="47"/>
  <c r="A619" i="47"/>
  <c r="U618" i="47"/>
  <c r="V618" i="47" s="1"/>
  <c r="T618" i="47"/>
  <c r="O618" i="47"/>
  <c r="F618" i="47"/>
  <c r="D618" i="47"/>
  <c r="C618" i="47"/>
  <c r="B618" i="47"/>
  <c r="A618" i="47"/>
  <c r="U617" i="47"/>
  <c r="T617" i="47"/>
  <c r="P617" i="47"/>
  <c r="A617" i="47"/>
  <c r="U616" i="47"/>
  <c r="T616" i="47"/>
  <c r="V616" i="47" s="1"/>
  <c r="P616" i="47"/>
  <c r="O616" i="47"/>
  <c r="N616" i="47"/>
  <c r="M616" i="47"/>
  <c r="L616" i="47"/>
  <c r="K616" i="47"/>
  <c r="G616" i="47"/>
  <c r="F616" i="47"/>
  <c r="E616" i="47"/>
  <c r="D616" i="47"/>
  <c r="C616" i="47"/>
  <c r="J616" i="47" s="1"/>
  <c r="B616" i="47"/>
  <c r="A616" i="47"/>
  <c r="I616" i="47" s="1"/>
  <c r="U615" i="47"/>
  <c r="T615" i="47"/>
  <c r="V615" i="47" s="1"/>
  <c r="P615" i="47"/>
  <c r="A615" i="47"/>
  <c r="V614" i="47"/>
  <c r="U614" i="47"/>
  <c r="T614" i="47"/>
  <c r="N614" i="47"/>
  <c r="M614" i="47"/>
  <c r="L614" i="47"/>
  <c r="H614" i="47"/>
  <c r="F614" i="47"/>
  <c r="E614" i="47"/>
  <c r="D614" i="47"/>
  <c r="O614" i="47" s="1"/>
  <c r="C614" i="47"/>
  <c r="I614" i="47" s="1"/>
  <c r="B614" i="47"/>
  <c r="A614" i="47"/>
  <c r="U613" i="47"/>
  <c r="T613" i="47"/>
  <c r="V613" i="47" s="1"/>
  <c r="P613" i="47"/>
  <c r="A613" i="47"/>
  <c r="Q613" i="47" s="1"/>
  <c r="U612" i="47"/>
  <c r="T612" i="47"/>
  <c r="V612" i="47" s="1"/>
  <c r="P612" i="47"/>
  <c r="O612" i="47"/>
  <c r="N612" i="47"/>
  <c r="F612" i="47"/>
  <c r="D612" i="47"/>
  <c r="C612" i="47"/>
  <c r="J612" i="47" s="1"/>
  <c r="B612" i="47"/>
  <c r="A612" i="47"/>
  <c r="I612" i="47" s="1"/>
  <c r="U611" i="47"/>
  <c r="T611" i="47"/>
  <c r="V611" i="47" s="1"/>
  <c r="P611" i="47"/>
  <c r="O611" i="47"/>
  <c r="D611" i="47"/>
  <c r="A611" i="47"/>
  <c r="Q611" i="47" s="1"/>
  <c r="V610" i="47"/>
  <c r="U610" i="47"/>
  <c r="T610" i="47"/>
  <c r="N610" i="47"/>
  <c r="M610" i="47"/>
  <c r="L610" i="47"/>
  <c r="F610" i="47"/>
  <c r="H610" i="47" s="1"/>
  <c r="E610" i="47"/>
  <c r="D610" i="47"/>
  <c r="O610" i="47" s="1"/>
  <c r="C610" i="47"/>
  <c r="I610" i="47" s="1"/>
  <c r="B610" i="47"/>
  <c r="A610" i="47"/>
  <c r="U609" i="47"/>
  <c r="T609" i="47"/>
  <c r="V609" i="47" s="1"/>
  <c r="P609" i="47"/>
  <c r="F609" i="47"/>
  <c r="B609" i="47"/>
  <c r="A609" i="47"/>
  <c r="U608" i="47"/>
  <c r="V608" i="47" s="1"/>
  <c r="T608" i="47"/>
  <c r="P608" i="47"/>
  <c r="O608" i="47"/>
  <c r="F608" i="47"/>
  <c r="E608" i="47"/>
  <c r="D608" i="47"/>
  <c r="C608" i="47"/>
  <c r="N608" i="47" s="1"/>
  <c r="B608" i="47"/>
  <c r="A608" i="47"/>
  <c r="U607" i="47"/>
  <c r="T607" i="47"/>
  <c r="V607" i="47" s="1"/>
  <c r="A607" i="47"/>
  <c r="U606" i="47"/>
  <c r="T606" i="47"/>
  <c r="V606" i="47" s="1"/>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V604" i="47"/>
  <c r="U604" i="47"/>
  <c r="T604" i="47"/>
  <c r="P604" i="47"/>
  <c r="K604" i="47"/>
  <c r="F604" i="47"/>
  <c r="D604" i="47"/>
  <c r="O604" i="47" s="1"/>
  <c r="C604" i="47"/>
  <c r="N604" i="47" s="1"/>
  <c r="B604" i="47"/>
  <c r="A604" i="47"/>
  <c r="I604" i="47" s="1"/>
  <c r="V603" i="47"/>
  <c r="U603" i="47"/>
  <c r="T603" i="47"/>
  <c r="B603" i="47"/>
  <c r="A603" i="47"/>
  <c r="V602" i="47"/>
  <c r="U602" i="47"/>
  <c r="T602" i="47"/>
  <c r="F602" i="47"/>
  <c r="D602" i="47"/>
  <c r="O602" i="47" s="1"/>
  <c r="C602" i="47"/>
  <c r="B602" i="47"/>
  <c r="A602" i="47"/>
  <c r="U601" i="47"/>
  <c r="T601" i="47"/>
  <c r="V601" i="47" s="1"/>
  <c r="P601" i="47"/>
  <c r="Q601" i="47" s="1"/>
  <c r="N601" i="47"/>
  <c r="M601" i="47"/>
  <c r="L601" i="47"/>
  <c r="K601" i="47"/>
  <c r="J601" i="47"/>
  <c r="I601" i="47"/>
  <c r="F601" i="47"/>
  <c r="C601" i="47"/>
  <c r="H601" i="47" s="1"/>
  <c r="A601" i="47"/>
  <c r="U600" i="47"/>
  <c r="T600" i="47"/>
  <c r="V600" i="47" s="1"/>
  <c r="Q600" i="47"/>
  <c r="P600" i="47"/>
  <c r="F600" i="47"/>
  <c r="B600" i="47"/>
  <c r="A600" i="47"/>
  <c r="U599" i="47"/>
  <c r="T599" i="47"/>
  <c r="V599" i="47" s="1"/>
  <c r="A599" i="47"/>
  <c r="V598" i="47"/>
  <c r="U598" i="47"/>
  <c r="T598" i="47"/>
  <c r="O598" i="47"/>
  <c r="J598" i="47"/>
  <c r="F598" i="47"/>
  <c r="D598" i="47"/>
  <c r="C598" i="47"/>
  <c r="B598" i="47"/>
  <c r="A598" i="47"/>
  <c r="U597" i="47"/>
  <c r="T597" i="47"/>
  <c r="V597" i="47" s="1"/>
  <c r="P597" i="47"/>
  <c r="F597" i="47"/>
  <c r="A597" i="47"/>
  <c r="D597" i="47" s="1"/>
  <c r="U596" i="47"/>
  <c r="V596" i="47" s="1"/>
  <c r="T596" i="47"/>
  <c r="P596" i="47"/>
  <c r="Q596" i="47" s="1"/>
  <c r="J596" i="47"/>
  <c r="I596" i="47"/>
  <c r="F596" i="47"/>
  <c r="E596" i="47"/>
  <c r="D596" i="47"/>
  <c r="O596" i="47" s="1"/>
  <c r="C596" i="47"/>
  <c r="L596" i="47" s="1"/>
  <c r="B596" i="47"/>
  <c r="G596" i="47" s="1"/>
  <c r="A596" i="47"/>
  <c r="V595" i="47"/>
  <c r="U595" i="47"/>
  <c r="T595" i="47"/>
  <c r="K595" i="47"/>
  <c r="F595" i="47"/>
  <c r="C595" i="47"/>
  <c r="B595" i="47"/>
  <c r="G595" i="47" s="1"/>
  <c r="A595" i="47"/>
  <c r="U594" i="47"/>
  <c r="T594" i="47"/>
  <c r="V594" i="47" s="1"/>
  <c r="F594" i="47"/>
  <c r="D594" i="47"/>
  <c r="O594" i="47" s="1"/>
  <c r="A594" i="47"/>
  <c r="P594" i="47" s="1"/>
  <c r="U593" i="47"/>
  <c r="T593" i="47"/>
  <c r="V593" i="47" s="1"/>
  <c r="Q593" i="47"/>
  <c r="P593" i="47"/>
  <c r="A593" i="47"/>
  <c r="D593" i="47" s="1"/>
  <c r="V592" i="47"/>
  <c r="U592" i="47"/>
  <c r="T592" i="47"/>
  <c r="P592" i="47"/>
  <c r="D592" i="47"/>
  <c r="C592" i="47"/>
  <c r="B592" i="47"/>
  <c r="A592" i="47"/>
  <c r="U591" i="47"/>
  <c r="V591" i="47" s="1"/>
  <c r="T591" i="47"/>
  <c r="N591" i="47"/>
  <c r="M591" i="47"/>
  <c r="F591" i="47"/>
  <c r="E591" i="47"/>
  <c r="C591" i="47"/>
  <c r="B591" i="47"/>
  <c r="G591" i="47" s="1"/>
  <c r="A591" i="47"/>
  <c r="P591" i="47" s="1"/>
  <c r="U590" i="47"/>
  <c r="T590" i="47"/>
  <c r="V590" i="47" s="1"/>
  <c r="A590" i="47"/>
  <c r="U589" i="47"/>
  <c r="T589" i="47"/>
  <c r="F589" i="47"/>
  <c r="C589" i="47"/>
  <c r="B589" i="47"/>
  <c r="A589" i="47"/>
  <c r="D589" i="47" s="1"/>
  <c r="U588" i="47"/>
  <c r="T588" i="47"/>
  <c r="V588" i="47" s="1"/>
  <c r="P588" i="47"/>
  <c r="F588" i="47"/>
  <c r="D588" i="47"/>
  <c r="O588" i="47" s="1"/>
  <c r="A588" i="47"/>
  <c r="U587" i="47"/>
  <c r="T587" i="47"/>
  <c r="A587" i="47"/>
  <c r="V586" i="47"/>
  <c r="U586" i="47"/>
  <c r="T586" i="47"/>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V584" i="47" s="1"/>
  <c r="P584" i="47"/>
  <c r="J584" i="47"/>
  <c r="I584" i="47"/>
  <c r="C584" i="47"/>
  <c r="K584" i="47" s="1"/>
  <c r="A584" i="47"/>
  <c r="U583" i="47"/>
  <c r="V583" i="47" s="1"/>
  <c r="T583" i="47"/>
  <c r="P583" i="47"/>
  <c r="F583" i="47"/>
  <c r="D583" i="47"/>
  <c r="O583" i="47" s="1"/>
  <c r="C583" i="47"/>
  <c r="B583" i="47"/>
  <c r="A583" i="47"/>
  <c r="U582" i="47"/>
  <c r="T582" i="47"/>
  <c r="V582" i="47" s="1"/>
  <c r="F582" i="47"/>
  <c r="B582" i="47"/>
  <c r="A582" i="47"/>
  <c r="P582" i="47" s="1"/>
  <c r="U581" i="47"/>
  <c r="T581" i="47"/>
  <c r="A581" i="47"/>
  <c r="V580" i="47"/>
  <c r="U580" i="47"/>
  <c r="T580" i="47"/>
  <c r="P580" i="47"/>
  <c r="C580" i="47"/>
  <c r="K580" i="47" s="1"/>
  <c r="A580" i="47"/>
  <c r="U579" i="47"/>
  <c r="T579" i="47"/>
  <c r="V579" i="47" s="1"/>
  <c r="P579" i="47"/>
  <c r="F579" i="47"/>
  <c r="B579" i="47"/>
  <c r="A579" i="47"/>
  <c r="U578" i="47"/>
  <c r="T578" i="47"/>
  <c r="V578" i="47" s="1"/>
  <c r="A578" i="47"/>
  <c r="U577" i="47"/>
  <c r="T577" i="47"/>
  <c r="P577" i="47"/>
  <c r="Q577" i="47" s="1"/>
  <c r="L577" i="47"/>
  <c r="I577" i="47"/>
  <c r="G577" i="47"/>
  <c r="F577" i="47"/>
  <c r="E577" i="47"/>
  <c r="C577" i="47"/>
  <c r="K577" i="47" s="1"/>
  <c r="B577" i="47"/>
  <c r="A577" i="47"/>
  <c r="D577" i="47" s="1"/>
  <c r="O577" i="47" s="1"/>
  <c r="U576" i="47"/>
  <c r="T576" i="47"/>
  <c r="V576" i="47" s="1"/>
  <c r="P576" i="47"/>
  <c r="Q576" i="47" s="1"/>
  <c r="O576" i="47"/>
  <c r="F576" i="47"/>
  <c r="D576" i="47"/>
  <c r="B576" i="47"/>
  <c r="A576" i="47"/>
  <c r="U575" i="47"/>
  <c r="V575" i="47" s="1"/>
  <c r="T575" i="47"/>
  <c r="B575" i="47"/>
  <c r="A575" i="47"/>
  <c r="U574" i="47"/>
  <c r="T574" i="47"/>
  <c r="F574" i="47"/>
  <c r="B574" i="47"/>
  <c r="A574" i="47"/>
  <c r="U573" i="47"/>
  <c r="T573" i="47"/>
  <c r="P573" i="47"/>
  <c r="A573" i="47"/>
  <c r="U572" i="47"/>
  <c r="T572" i="47"/>
  <c r="A572" i="47"/>
  <c r="V571" i="47"/>
  <c r="U571" i="47"/>
  <c r="T571" i="47"/>
  <c r="P571" i="47"/>
  <c r="M571" i="47"/>
  <c r="I571" i="47"/>
  <c r="G571" i="47"/>
  <c r="F571" i="47"/>
  <c r="E571" i="47"/>
  <c r="D571" i="47"/>
  <c r="Q571" i="47" s="1"/>
  <c r="C571" i="47"/>
  <c r="K571" i="47" s="1"/>
  <c r="B571" i="47"/>
  <c r="A571" i="47"/>
  <c r="U570" i="47"/>
  <c r="T570" i="47"/>
  <c r="V570" i="47" s="1"/>
  <c r="A570" i="47"/>
  <c r="U569" i="47"/>
  <c r="T569" i="47"/>
  <c r="P569" i="47"/>
  <c r="A569" i="47"/>
  <c r="U568" i="47"/>
  <c r="T568" i="47"/>
  <c r="V568" i="47" s="1"/>
  <c r="P568" i="47"/>
  <c r="F568" i="47"/>
  <c r="B568" i="47"/>
  <c r="A568" i="47"/>
  <c r="U567" i="47"/>
  <c r="V567" i="47" s="1"/>
  <c r="T567" i="47"/>
  <c r="P567" i="47"/>
  <c r="I567" i="47"/>
  <c r="H567" i="47"/>
  <c r="G567" i="47"/>
  <c r="F567" i="47"/>
  <c r="E567" i="47"/>
  <c r="D567" i="47"/>
  <c r="C567" i="47"/>
  <c r="B567" i="47"/>
  <c r="A567" i="47"/>
  <c r="U566" i="47"/>
  <c r="T566" i="47"/>
  <c r="V566" i="47" s="1"/>
  <c r="A566" i="47"/>
  <c r="U565" i="47"/>
  <c r="T565" i="47"/>
  <c r="Q565" i="47"/>
  <c r="P565" i="47"/>
  <c r="O565" i="47"/>
  <c r="N565" i="47"/>
  <c r="K565" i="47"/>
  <c r="I565" i="47"/>
  <c r="F565" i="47"/>
  <c r="H565" i="47" s="1"/>
  <c r="E565" i="47"/>
  <c r="C565" i="47"/>
  <c r="B565" i="47"/>
  <c r="A565" i="47"/>
  <c r="D565" i="47" s="1"/>
  <c r="U564" i="47"/>
  <c r="T564" i="47"/>
  <c r="V564" i="47" s="1"/>
  <c r="A564" i="47"/>
  <c r="V563" i="47"/>
  <c r="U563" i="47"/>
  <c r="T563" i="47"/>
  <c r="Q563" i="47"/>
  <c r="P563" i="47"/>
  <c r="N563" i="47"/>
  <c r="K563" i="47"/>
  <c r="J563" i="47"/>
  <c r="I563" i="47"/>
  <c r="F563" i="47"/>
  <c r="D563" i="47"/>
  <c r="O563" i="47" s="1"/>
  <c r="C563" i="47"/>
  <c r="B563" i="47"/>
  <c r="A563" i="47"/>
  <c r="U562" i="47"/>
  <c r="V562" i="47" s="1"/>
  <c r="T562" i="47"/>
  <c r="A562" i="47"/>
  <c r="U561" i="47"/>
  <c r="T561" i="47"/>
  <c r="P561" i="47"/>
  <c r="Q561" i="47" s="1"/>
  <c r="O561" i="47"/>
  <c r="J561" i="47"/>
  <c r="I561" i="47"/>
  <c r="H561" i="47"/>
  <c r="F561" i="47"/>
  <c r="C561" i="47"/>
  <c r="B561" i="47"/>
  <c r="A561" i="47"/>
  <c r="D561" i="47" s="1"/>
  <c r="U560" i="47"/>
  <c r="T560" i="47"/>
  <c r="V560" i="47" s="1"/>
  <c r="M560" i="47"/>
  <c r="L560" i="47"/>
  <c r="K560" i="47"/>
  <c r="I560" i="47"/>
  <c r="G560" i="47"/>
  <c r="F560" i="47"/>
  <c r="H560" i="47" s="1"/>
  <c r="D560" i="47"/>
  <c r="O560" i="47" s="1"/>
  <c r="C560" i="47"/>
  <c r="B560" i="47"/>
  <c r="A560" i="47"/>
  <c r="U559" i="47"/>
  <c r="V559" i="47" s="1"/>
  <c r="T559" i="47"/>
  <c r="P559" i="47"/>
  <c r="F559" i="47"/>
  <c r="C559" i="47"/>
  <c r="A559" i="47"/>
  <c r="U558" i="47"/>
  <c r="V558" i="47" s="1"/>
  <c r="T558" i="47"/>
  <c r="C558" i="47"/>
  <c r="N558" i="47" s="1"/>
  <c r="B558" i="47"/>
  <c r="A558" i="47"/>
  <c r="U557" i="47"/>
  <c r="T557" i="47"/>
  <c r="V557" i="47" s="1"/>
  <c r="P557" i="47"/>
  <c r="F557" i="47"/>
  <c r="D557" i="47"/>
  <c r="O557" i="47" s="1"/>
  <c r="C557" i="47"/>
  <c r="N557" i="47" s="1"/>
  <c r="B557" i="47"/>
  <c r="A557" i="47"/>
  <c r="U556" i="47"/>
  <c r="T556" i="47"/>
  <c r="V556" i="47" s="1"/>
  <c r="F556" i="47"/>
  <c r="D556" i="47"/>
  <c r="O556" i="47" s="1"/>
  <c r="C556" i="47"/>
  <c r="E556" i="47" s="1"/>
  <c r="B556" i="47"/>
  <c r="A556" i="47"/>
  <c r="U555" i="47"/>
  <c r="V555" i="47" s="1"/>
  <c r="T555" i="47"/>
  <c r="A555" i="47"/>
  <c r="V554" i="47"/>
  <c r="U554" i="47"/>
  <c r="T554" i="47"/>
  <c r="A554" i="47"/>
  <c r="V553" i="47"/>
  <c r="U553" i="47"/>
  <c r="T553" i="47"/>
  <c r="P553" i="47"/>
  <c r="F553" i="47"/>
  <c r="D553" i="47"/>
  <c r="O553" i="47" s="1"/>
  <c r="C553" i="47"/>
  <c r="N553" i="47" s="1"/>
  <c r="B553" i="47"/>
  <c r="A553" i="47"/>
  <c r="M553" i="47" s="1"/>
  <c r="V552" i="47"/>
  <c r="U552" i="47"/>
  <c r="T552" i="47"/>
  <c r="F552" i="47"/>
  <c r="D552" i="47"/>
  <c r="O552" i="47" s="1"/>
  <c r="C552" i="47"/>
  <c r="E552" i="47" s="1"/>
  <c r="B552" i="47"/>
  <c r="A552" i="47"/>
  <c r="U551" i="47"/>
  <c r="T551" i="47"/>
  <c r="F551" i="47"/>
  <c r="C551" i="47"/>
  <c r="A551" i="47"/>
  <c r="V550" i="47"/>
  <c r="U550" i="47"/>
  <c r="T550" i="47"/>
  <c r="C550" i="47"/>
  <c r="B550" i="47"/>
  <c r="A550" i="47"/>
  <c r="V549" i="47"/>
  <c r="U549" i="47"/>
  <c r="T549" i="47"/>
  <c r="P549" i="47"/>
  <c r="F549" i="47"/>
  <c r="D549" i="47"/>
  <c r="O549" i="47" s="1"/>
  <c r="C549" i="47"/>
  <c r="B549" i="47"/>
  <c r="A549" i="47"/>
  <c r="V548" i="47"/>
  <c r="U548" i="47"/>
  <c r="T548" i="47"/>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V544" i="47" s="1"/>
  <c r="F544" i="47"/>
  <c r="D544" i="47"/>
  <c r="O544" i="47" s="1"/>
  <c r="C544" i="47"/>
  <c r="B544" i="47"/>
  <c r="A544" i="47"/>
  <c r="U543" i="47"/>
  <c r="T543" i="47"/>
  <c r="G543" i="47"/>
  <c r="F543" i="47"/>
  <c r="C543" i="47"/>
  <c r="A543" i="47"/>
  <c r="V542" i="47"/>
  <c r="U542" i="47"/>
  <c r="T542" i="47"/>
  <c r="A542" i="47"/>
  <c r="V541" i="47"/>
  <c r="U541" i="47"/>
  <c r="T541" i="47"/>
  <c r="F541" i="47"/>
  <c r="D541" i="47"/>
  <c r="B541" i="47"/>
  <c r="A541" i="47"/>
  <c r="U540" i="47"/>
  <c r="T540" i="47"/>
  <c r="V540" i="47" s="1"/>
  <c r="F540" i="47"/>
  <c r="E540" i="47"/>
  <c r="D540" i="47"/>
  <c r="O540" i="47" s="1"/>
  <c r="C540" i="47"/>
  <c r="B540" i="47"/>
  <c r="A540" i="47"/>
  <c r="U539" i="47"/>
  <c r="T539" i="47"/>
  <c r="P539" i="47"/>
  <c r="J539" i="47"/>
  <c r="I539" i="47"/>
  <c r="H539" i="47"/>
  <c r="G539" i="47"/>
  <c r="F539" i="47"/>
  <c r="C539" i="47"/>
  <c r="N539" i="47" s="1"/>
  <c r="A539" i="47"/>
  <c r="V538" i="47"/>
  <c r="U538" i="47"/>
  <c r="T538" i="47"/>
  <c r="K538" i="47"/>
  <c r="J538" i="47"/>
  <c r="E538" i="47"/>
  <c r="D538" i="47"/>
  <c r="O538" i="47" s="1"/>
  <c r="C538" i="47"/>
  <c r="A538" i="47"/>
  <c r="U537" i="47"/>
  <c r="T537" i="47"/>
  <c r="V537" i="47" s="1"/>
  <c r="P537" i="47"/>
  <c r="F537" i="47"/>
  <c r="D537" i="47"/>
  <c r="B537" i="47"/>
  <c r="A537" i="47"/>
  <c r="U536" i="47"/>
  <c r="V536" i="47" s="1"/>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V534" i="47" s="1"/>
  <c r="D534" i="47"/>
  <c r="A534" i="47"/>
  <c r="U533" i="47"/>
  <c r="V533" i="47" s="1"/>
  <c r="T533" i="47"/>
  <c r="P533" i="47"/>
  <c r="O533" i="47"/>
  <c r="F533" i="47"/>
  <c r="D533" i="47"/>
  <c r="Q533" i="47" s="1"/>
  <c r="B533" i="47"/>
  <c r="A533" i="47"/>
  <c r="V532" i="47"/>
  <c r="U532" i="47"/>
  <c r="T532" i="47"/>
  <c r="M532" i="47"/>
  <c r="L532" i="47"/>
  <c r="K532" i="47"/>
  <c r="J532" i="47"/>
  <c r="I532" i="47"/>
  <c r="H532" i="47"/>
  <c r="F532" i="47"/>
  <c r="E532" i="47"/>
  <c r="D532" i="47"/>
  <c r="O532" i="47" s="1"/>
  <c r="C532" i="47"/>
  <c r="G532" i="47" s="1"/>
  <c r="B532" i="47"/>
  <c r="A532" i="47"/>
  <c r="U531" i="47"/>
  <c r="T531" i="47"/>
  <c r="V531" i="47" s="1"/>
  <c r="P531" i="47"/>
  <c r="A531" i="47"/>
  <c r="U530" i="47"/>
  <c r="T530" i="47"/>
  <c r="V530" i="47" s="1"/>
  <c r="P530" i="47"/>
  <c r="Q530" i="47" s="1"/>
  <c r="O530" i="47"/>
  <c r="N530" i="47"/>
  <c r="M530" i="47"/>
  <c r="L530" i="47"/>
  <c r="K530" i="47"/>
  <c r="J530" i="47"/>
  <c r="E530" i="47"/>
  <c r="D530" i="47"/>
  <c r="C530" i="47"/>
  <c r="B530" i="47"/>
  <c r="G530" i="47" s="1"/>
  <c r="A530" i="47"/>
  <c r="U529" i="47"/>
  <c r="T529" i="47"/>
  <c r="V529" i="47" s="1"/>
  <c r="P529" i="47"/>
  <c r="Q529" i="47" s="1"/>
  <c r="N529" i="47"/>
  <c r="K529" i="47"/>
  <c r="H529" i="47"/>
  <c r="F529" i="47"/>
  <c r="C529" i="47"/>
  <c r="G529" i="47" s="1"/>
  <c r="A529" i="47"/>
  <c r="U528" i="47"/>
  <c r="T528" i="47"/>
  <c r="V528" i="47" s="1"/>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V526" i="47" s="1"/>
  <c r="T526" i="47"/>
  <c r="A526" i="47"/>
  <c r="V525" i="47"/>
  <c r="U525" i="47"/>
  <c r="T525" i="47"/>
  <c r="F525" i="47"/>
  <c r="B525" i="47"/>
  <c r="A525" i="47"/>
  <c r="U524" i="47"/>
  <c r="V524" i="47" s="1"/>
  <c r="T524" i="47"/>
  <c r="O524" i="47"/>
  <c r="F524" i="47"/>
  <c r="D524" i="47"/>
  <c r="C524" i="47"/>
  <c r="B524" i="47"/>
  <c r="A524" i="47"/>
  <c r="U523" i="47"/>
  <c r="T523" i="47"/>
  <c r="F523" i="47"/>
  <c r="A523" i="47"/>
  <c r="V522" i="47"/>
  <c r="U522" i="47"/>
  <c r="T522" i="47"/>
  <c r="A522" i="47"/>
  <c r="V521" i="47"/>
  <c r="U521" i="47"/>
  <c r="T521" i="47"/>
  <c r="A521" i="47"/>
  <c r="V520" i="47"/>
  <c r="U520" i="47"/>
  <c r="T520" i="47"/>
  <c r="F520" i="47"/>
  <c r="D520" i="47"/>
  <c r="O520" i="47" s="1"/>
  <c r="C520" i="47"/>
  <c r="B520" i="47"/>
  <c r="A520" i="47"/>
  <c r="U519" i="47"/>
  <c r="T519" i="47"/>
  <c r="V519" i="47" s="1"/>
  <c r="M519" i="47"/>
  <c r="I519" i="47"/>
  <c r="H519" i="47"/>
  <c r="F519" i="47"/>
  <c r="E519" i="47"/>
  <c r="C519" i="47"/>
  <c r="J519" i="47" s="1"/>
  <c r="A519" i="47"/>
  <c r="P519" i="47" s="1"/>
  <c r="V518" i="47"/>
  <c r="U518" i="47"/>
  <c r="T518" i="47"/>
  <c r="D518" i="47"/>
  <c r="O518" i="47" s="1"/>
  <c r="B518" i="47"/>
  <c r="A518" i="47"/>
  <c r="P518" i="47" s="1"/>
  <c r="Q518" i="47" s="1"/>
  <c r="U517" i="47"/>
  <c r="V517" i="47" s="1"/>
  <c r="T517" i="47"/>
  <c r="F517" i="47"/>
  <c r="D517" i="47"/>
  <c r="A517" i="47"/>
  <c r="P517" i="47" s="1"/>
  <c r="Q517" i="47" s="1"/>
  <c r="U516" i="47"/>
  <c r="V516" i="47" s="1"/>
  <c r="T516" i="47"/>
  <c r="F516" i="47"/>
  <c r="A516" i="47"/>
  <c r="U515" i="47"/>
  <c r="T515" i="47"/>
  <c r="V515" i="47" s="1"/>
  <c r="P515" i="47"/>
  <c r="Q515" i="47" s="1"/>
  <c r="F515" i="47"/>
  <c r="C515" i="47"/>
  <c r="N515" i="47" s="1"/>
  <c r="A515" i="47"/>
  <c r="U514" i="47"/>
  <c r="T514" i="47"/>
  <c r="V514" i="47" s="1"/>
  <c r="A514" i="47"/>
  <c r="U513" i="47"/>
  <c r="T513" i="47"/>
  <c r="V513" i="47" s="1"/>
  <c r="P513" i="47"/>
  <c r="Q513" i="47" s="1"/>
  <c r="C513" i="47"/>
  <c r="A513" i="47"/>
  <c r="V512" i="47"/>
  <c r="U512" i="47"/>
  <c r="T512" i="47"/>
  <c r="Q512" i="47"/>
  <c r="F512" i="47"/>
  <c r="D512" i="47"/>
  <c r="O512" i="47" s="1"/>
  <c r="C512" i="47"/>
  <c r="K512" i="47" s="1"/>
  <c r="B512" i="47"/>
  <c r="A512" i="47"/>
  <c r="P512" i="47" s="1"/>
  <c r="U511" i="47"/>
  <c r="T511" i="47"/>
  <c r="P511" i="47"/>
  <c r="F511" i="47"/>
  <c r="B511" i="47"/>
  <c r="A511" i="47"/>
  <c r="D511" i="47" s="1"/>
  <c r="U510" i="47"/>
  <c r="V510" i="47" s="1"/>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V508" i="47" s="1"/>
  <c r="F508" i="47"/>
  <c r="B508" i="47"/>
  <c r="A508" i="47"/>
  <c r="U507" i="47"/>
  <c r="T507" i="47"/>
  <c r="V507" i="47" s="1"/>
  <c r="P507" i="47"/>
  <c r="Q507" i="47" s="1"/>
  <c r="N507" i="47"/>
  <c r="M507" i="47"/>
  <c r="K507" i="47"/>
  <c r="E507" i="47"/>
  <c r="C507" i="47"/>
  <c r="B507" i="47"/>
  <c r="A507" i="47"/>
  <c r="U506" i="47"/>
  <c r="V506" i="47" s="1"/>
  <c r="T506" i="47"/>
  <c r="P506" i="47"/>
  <c r="N506" i="47"/>
  <c r="L506" i="47"/>
  <c r="G506" i="47"/>
  <c r="F506" i="47"/>
  <c r="E506" i="47"/>
  <c r="D506" i="47"/>
  <c r="Q506" i="47" s="1"/>
  <c r="C506" i="47"/>
  <c r="I506" i="47" s="1"/>
  <c r="B506" i="47"/>
  <c r="A506" i="47"/>
  <c r="V505" i="47"/>
  <c r="U505" i="47"/>
  <c r="T505" i="47"/>
  <c r="Q505" i="47"/>
  <c r="O505" i="47"/>
  <c r="F505" i="47"/>
  <c r="D505" i="47"/>
  <c r="C505" i="47"/>
  <c r="K505" i="47" s="1"/>
  <c r="B505" i="47"/>
  <c r="A505" i="47"/>
  <c r="P505" i="47" s="1"/>
  <c r="U504" i="47"/>
  <c r="T504" i="47"/>
  <c r="V504" i="47" s="1"/>
  <c r="A504" i="47"/>
  <c r="U503" i="47"/>
  <c r="T503" i="47"/>
  <c r="V503" i="47" s="1"/>
  <c r="P503" i="47"/>
  <c r="Q503" i="47" s="1"/>
  <c r="O503" i="47"/>
  <c r="F503" i="47"/>
  <c r="C503" i="47"/>
  <c r="A503" i="47"/>
  <c r="D503" i="47" s="1"/>
  <c r="U502" i="47"/>
  <c r="T502" i="47"/>
  <c r="V502" i="47" s="1"/>
  <c r="P502" i="47"/>
  <c r="B502" i="47"/>
  <c r="A502" i="47"/>
  <c r="U501" i="47"/>
  <c r="T501" i="47"/>
  <c r="V501" i="47" s="1"/>
  <c r="O501" i="47"/>
  <c r="D501" i="47"/>
  <c r="B501" i="47"/>
  <c r="A501" i="47"/>
  <c r="U500" i="47"/>
  <c r="T500" i="47"/>
  <c r="V500" i="47" s="1"/>
  <c r="F500" i="47"/>
  <c r="D500" i="47"/>
  <c r="B500" i="47"/>
  <c r="A500" i="47"/>
  <c r="U499" i="47"/>
  <c r="T499" i="47"/>
  <c r="O499" i="47"/>
  <c r="F499" i="47"/>
  <c r="C499" i="47"/>
  <c r="B499" i="47"/>
  <c r="A499" i="47"/>
  <c r="D499" i="47" s="1"/>
  <c r="V498" i="47"/>
  <c r="U498" i="47"/>
  <c r="T498" i="47"/>
  <c r="A498" i="47"/>
  <c r="U497" i="47"/>
  <c r="T497" i="47"/>
  <c r="V497" i="47" s="1"/>
  <c r="P497" i="47"/>
  <c r="Q497" i="47" s="1"/>
  <c r="F497" i="47"/>
  <c r="D497" i="47"/>
  <c r="O497" i="47" s="1"/>
  <c r="B497" i="47"/>
  <c r="A497" i="47"/>
  <c r="U496" i="47"/>
  <c r="T496" i="47"/>
  <c r="V496" i="47" s="1"/>
  <c r="B496" i="47"/>
  <c r="A496" i="47"/>
  <c r="U495" i="47"/>
  <c r="T495" i="47"/>
  <c r="A495" i="47"/>
  <c r="U494" i="47"/>
  <c r="T494" i="47"/>
  <c r="V494" i="47" s="1"/>
  <c r="A494" i="47"/>
  <c r="V493" i="47"/>
  <c r="U493" i="47"/>
  <c r="T493" i="47"/>
  <c r="A493" i="47"/>
  <c r="U492" i="47"/>
  <c r="T492" i="47"/>
  <c r="V492" i="47" s="1"/>
  <c r="A492" i="47"/>
  <c r="U491" i="47"/>
  <c r="T491" i="47"/>
  <c r="V491" i="47" s="1"/>
  <c r="A491" i="47"/>
  <c r="U490" i="47"/>
  <c r="V490" i="47" s="1"/>
  <c r="T490" i="47"/>
  <c r="B490" i="47"/>
  <c r="A490" i="47"/>
  <c r="V489" i="47"/>
  <c r="U489" i="47"/>
  <c r="T489" i="47"/>
  <c r="A489" i="47"/>
  <c r="U488" i="47"/>
  <c r="T488" i="47"/>
  <c r="V488" i="47" s="1"/>
  <c r="A488" i="47"/>
  <c r="U487" i="47"/>
  <c r="V487" i="47" s="1"/>
  <c r="T487" i="47"/>
  <c r="D487" i="47"/>
  <c r="C487" i="47"/>
  <c r="N487" i="47" s="1"/>
  <c r="B487" i="47"/>
  <c r="A487" i="47"/>
  <c r="P487" i="47" s="1"/>
  <c r="Q487" i="47" s="1"/>
  <c r="V486" i="47"/>
  <c r="U486" i="47"/>
  <c r="T486" i="47"/>
  <c r="F486" i="47"/>
  <c r="D486" i="47"/>
  <c r="O486" i="47" s="1"/>
  <c r="C486" i="47"/>
  <c r="E486" i="47" s="1"/>
  <c r="A486" i="47"/>
  <c r="U485" i="47"/>
  <c r="V485" i="47" s="1"/>
  <c r="T485" i="47"/>
  <c r="O485" i="47"/>
  <c r="F485" i="47"/>
  <c r="H485" i="47" s="1"/>
  <c r="E485" i="47"/>
  <c r="D485" i="47"/>
  <c r="C485" i="47"/>
  <c r="M485" i="47" s="1"/>
  <c r="A485" i="47"/>
  <c r="U484" i="47"/>
  <c r="T484" i="47"/>
  <c r="P484" i="47"/>
  <c r="J484" i="47"/>
  <c r="I484" i="47"/>
  <c r="C484" i="47"/>
  <c r="E484" i="47" s="1"/>
  <c r="A484" i="47"/>
  <c r="U483" i="47"/>
  <c r="T483" i="47"/>
  <c r="V483" i="47" s="1"/>
  <c r="N483" i="47"/>
  <c r="M483" i="47"/>
  <c r="L483" i="47"/>
  <c r="K483" i="47"/>
  <c r="I483" i="47"/>
  <c r="F483" i="47"/>
  <c r="E483" i="47"/>
  <c r="C483" i="47"/>
  <c r="A483" i="47"/>
  <c r="P483" i="47" s="1"/>
  <c r="V482" i="47"/>
  <c r="U482" i="47"/>
  <c r="T482" i="47"/>
  <c r="P482" i="47"/>
  <c r="B482" i="47"/>
  <c r="A482" i="47"/>
  <c r="U481" i="47"/>
  <c r="V481" i="47" s="1"/>
  <c r="T481" i="47"/>
  <c r="O481" i="47"/>
  <c r="D481" i="47"/>
  <c r="A481" i="47"/>
  <c r="U480" i="47"/>
  <c r="T480" i="47"/>
  <c r="P480" i="47"/>
  <c r="Q480" i="47" s="1"/>
  <c r="A480" i="47"/>
  <c r="U479" i="47"/>
  <c r="T479" i="47"/>
  <c r="V479" i="47" s="1"/>
  <c r="P479" i="47"/>
  <c r="A479" i="47"/>
  <c r="U478" i="47"/>
  <c r="T478" i="47"/>
  <c r="V478" i="47" s="1"/>
  <c r="A478" i="47"/>
  <c r="V477" i="47"/>
  <c r="U477" i="47"/>
  <c r="T477" i="47"/>
  <c r="F477" i="47"/>
  <c r="D477" i="47"/>
  <c r="C477" i="47"/>
  <c r="A477" i="47"/>
  <c r="U476" i="47"/>
  <c r="T476" i="47"/>
  <c r="C476" i="47"/>
  <c r="A476" i="47"/>
  <c r="U475" i="47"/>
  <c r="V475" i="47" s="1"/>
  <c r="T475" i="47"/>
  <c r="P475" i="47"/>
  <c r="I475" i="47"/>
  <c r="F475" i="47"/>
  <c r="E475" i="47"/>
  <c r="D475" i="47"/>
  <c r="O475" i="47" s="1"/>
  <c r="C475" i="47"/>
  <c r="L475" i="47" s="1"/>
  <c r="A475" i="47"/>
  <c r="Q475" i="47" s="1"/>
  <c r="U474" i="47"/>
  <c r="T474" i="47"/>
  <c r="V474" i="47" s="1"/>
  <c r="M474" i="47"/>
  <c r="K474" i="47"/>
  <c r="J474" i="47"/>
  <c r="I474" i="47"/>
  <c r="H474" i="47"/>
  <c r="F474" i="47"/>
  <c r="E474" i="47"/>
  <c r="C474" i="47"/>
  <c r="A474" i="47"/>
  <c r="P474" i="47" s="1"/>
  <c r="V473" i="47"/>
  <c r="U473" i="47"/>
  <c r="T473" i="47"/>
  <c r="L473" i="47"/>
  <c r="K473" i="47"/>
  <c r="J473" i="47"/>
  <c r="I473" i="47"/>
  <c r="C473" i="47"/>
  <c r="A473" i="47"/>
  <c r="U472" i="47"/>
  <c r="T472" i="47"/>
  <c r="V472" i="47" s="1"/>
  <c r="P472" i="47"/>
  <c r="N472" i="47"/>
  <c r="M472" i="47"/>
  <c r="L472" i="47"/>
  <c r="K472" i="47"/>
  <c r="C472" i="47"/>
  <c r="J472" i="47" s="1"/>
  <c r="B472" i="47"/>
  <c r="A472" i="47"/>
  <c r="U471" i="47"/>
  <c r="T471" i="47"/>
  <c r="V471" i="47" s="1"/>
  <c r="P471" i="47"/>
  <c r="Q471" i="47" s="1"/>
  <c r="O471" i="47"/>
  <c r="D471" i="47"/>
  <c r="A471" i="47"/>
  <c r="U470" i="47"/>
  <c r="T470" i="47"/>
  <c r="V470" i="47" s="1"/>
  <c r="P470" i="47"/>
  <c r="F470" i="47"/>
  <c r="A470" i="47"/>
  <c r="U469" i="47"/>
  <c r="V469" i="47" s="1"/>
  <c r="T469" i="47"/>
  <c r="A469" i="47"/>
  <c r="U468" i="47"/>
  <c r="T468" i="47"/>
  <c r="A468" i="47"/>
  <c r="V467" i="47"/>
  <c r="U467" i="47"/>
  <c r="T467" i="47"/>
  <c r="F467" i="47"/>
  <c r="E467" i="47"/>
  <c r="D467" i="47"/>
  <c r="C467" i="47"/>
  <c r="N467" i="47" s="1"/>
  <c r="B467" i="47"/>
  <c r="A467" i="47"/>
  <c r="U466" i="47"/>
  <c r="V466" i="47" s="1"/>
  <c r="T466" i="47"/>
  <c r="P466" i="47"/>
  <c r="F466" i="47"/>
  <c r="H466" i="47" s="1"/>
  <c r="E466" i="47"/>
  <c r="D466" i="47"/>
  <c r="O466" i="47" s="1"/>
  <c r="C466" i="47"/>
  <c r="J466" i="47" s="1"/>
  <c r="A466" i="47"/>
  <c r="Q466" i="47" s="1"/>
  <c r="U465" i="47"/>
  <c r="V465" i="47" s="1"/>
  <c r="T465" i="47"/>
  <c r="F465" i="47"/>
  <c r="D465" i="47"/>
  <c r="A465" i="47"/>
  <c r="O465" i="47" s="1"/>
  <c r="U464" i="47"/>
  <c r="T464" i="47"/>
  <c r="V464" i="47" s="1"/>
  <c r="A464" i="47"/>
  <c r="V463" i="47"/>
  <c r="U463" i="47"/>
  <c r="T463" i="47"/>
  <c r="Q463" i="47"/>
  <c r="P463" i="47"/>
  <c r="O463" i="47"/>
  <c r="N463" i="47"/>
  <c r="M463" i="47"/>
  <c r="L463" i="47"/>
  <c r="K463" i="47"/>
  <c r="F463" i="47"/>
  <c r="D463" i="47"/>
  <c r="C463" i="47"/>
  <c r="I463" i="47" s="1"/>
  <c r="B463" i="47"/>
  <c r="A463" i="47"/>
  <c r="U462" i="47"/>
  <c r="T462" i="47"/>
  <c r="V462" i="47" s="1"/>
  <c r="P462" i="47"/>
  <c r="Q462" i="47" s="1"/>
  <c r="D462" i="47"/>
  <c r="O462" i="47" s="1"/>
  <c r="A462" i="47"/>
  <c r="U461" i="47"/>
  <c r="V461" i="47" s="1"/>
  <c r="T461" i="47"/>
  <c r="A461" i="47"/>
  <c r="U460" i="47"/>
  <c r="T460" i="47"/>
  <c r="V460" i="47" s="1"/>
  <c r="Q460" i="47"/>
  <c r="P460" i="47"/>
  <c r="A460" i="47"/>
  <c r="V459" i="47"/>
  <c r="U459" i="47"/>
  <c r="T459" i="47"/>
  <c r="A459" i="47"/>
  <c r="V458" i="47"/>
  <c r="U458" i="47"/>
  <c r="T458" i="47"/>
  <c r="K458" i="47"/>
  <c r="F458" i="47"/>
  <c r="E458" i="47"/>
  <c r="D458" i="47"/>
  <c r="C458" i="47"/>
  <c r="M458" i="47" s="1"/>
  <c r="B458" i="47"/>
  <c r="A458" i="47"/>
  <c r="U457" i="47"/>
  <c r="V457" i="47" s="1"/>
  <c r="T457" i="47"/>
  <c r="O457" i="47"/>
  <c r="F457" i="47"/>
  <c r="D457" i="47"/>
  <c r="A457" i="47"/>
  <c r="U456" i="47"/>
  <c r="T456" i="47"/>
  <c r="V456" i="47" s="1"/>
  <c r="P456" i="47"/>
  <c r="M456" i="47"/>
  <c r="K456" i="47"/>
  <c r="J456" i="47"/>
  <c r="I456" i="47"/>
  <c r="H456" i="47"/>
  <c r="G456" i="47"/>
  <c r="E456" i="47"/>
  <c r="C456" i="47"/>
  <c r="N456" i="47" s="1"/>
  <c r="B456" i="47"/>
  <c r="A456" i="47"/>
  <c r="U455" i="47"/>
  <c r="T455" i="47"/>
  <c r="A455" i="47"/>
  <c r="V454" i="47"/>
  <c r="U454" i="47"/>
  <c r="T454" i="47"/>
  <c r="Q454" i="47"/>
  <c r="P454" i="47"/>
  <c r="O454" i="47"/>
  <c r="M454" i="47"/>
  <c r="K454" i="47"/>
  <c r="J454" i="47"/>
  <c r="I454" i="47"/>
  <c r="H454" i="47"/>
  <c r="F454" i="47"/>
  <c r="D454" i="47"/>
  <c r="C454" i="47"/>
  <c r="B454" i="47"/>
  <c r="A454" i="47"/>
  <c r="U453" i="47"/>
  <c r="V453" i="47" s="1"/>
  <c r="T453" i="47"/>
  <c r="F453" i="47"/>
  <c r="A453" i="47"/>
  <c r="U452" i="47"/>
  <c r="T452" i="47"/>
  <c r="V452" i="47" s="1"/>
  <c r="A452" i="47"/>
  <c r="V451" i="47"/>
  <c r="U451" i="47"/>
  <c r="T451" i="47"/>
  <c r="L451" i="47"/>
  <c r="D451" i="47"/>
  <c r="C451" i="47"/>
  <c r="J451" i="47" s="1"/>
  <c r="B451" i="47"/>
  <c r="A451" i="47"/>
  <c r="V450" i="47"/>
  <c r="U450" i="47"/>
  <c r="T450" i="47"/>
  <c r="N450" i="47"/>
  <c r="M450" i="47"/>
  <c r="G450" i="47"/>
  <c r="F450" i="47"/>
  <c r="D450" i="47"/>
  <c r="O450" i="47" s="1"/>
  <c r="C450" i="47"/>
  <c r="B450" i="47"/>
  <c r="A450" i="47"/>
  <c r="P450" i="47" s="1"/>
  <c r="U449" i="47"/>
  <c r="T449" i="47"/>
  <c r="V449" i="47" s="1"/>
  <c r="F449" i="47"/>
  <c r="A449" i="47"/>
  <c r="U448" i="47"/>
  <c r="T448" i="47"/>
  <c r="V448" i="47" s="1"/>
  <c r="K448" i="47"/>
  <c r="C448" i="47"/>
  <c r="I448" i="47" s="1"/>
  <c r="A448" i="47"/>
  <c r="U447" i="47"/>
  <c r="T447" i="47"/>
  <c r="V447" i="47" s="1"/>
  <c r="P447" i="47"/>
  <c r="F447" i="47"/>
  <c r="D447" i="47"/>
  <c r="O447" i="47" s="1"/>
  <c r="A447" i="47"/>
  <c r="U446" i="47"/>
  <c r="T446" i="47"/>
  <c r="V446" i="47" s="1"/>
  <c r="A446" i="47"/>
  <c r="U445" i="47"/>
  <c r="T445" i="47"/>
  <c r="V445" i="47" s="1"/>
  <c r="B445" i="47"/>
  <c r="A445" i="47"/>
  <c r="U444" i="47"/>
  <c r="T444" i="47"/>
  <c r="O444" i="47"/>
  <c r="N444" i="47"/>
  <c r="H444" i="47"/>
  <c r="G444" i="47"/>
  <c r="F444" i="47"/>
  <c r="E444" i="47"/>
  <c r="C444" i="47"/>
  <c r="B444" i="47"/>
  <c r="A444" i="47"/>
  <c r="D444" i="47" s="1"/>
  <c r="U443" i="47"/>
  <c r="T443" i="47"/>
  <c r="V443" i="47" s="1"/>
  <c r="Q443" i="47"/>
  <c r="P443" i="47"/>
  <c r="A443" i="47"/>
  <c r="V442" i="47"/>
  <c r="U442" i="47"/>
  <c r="T442" i="47"/>
  <c r="P442" i="47"/>
  <c r="J442" i="47"/>
  <c r="I442" i="47"/>
  <c r="F442" i="47"/>
  <c r="D442" i="47"/>
  <c r="O442" i="47" s="1"/>
  <c r="C442" i="47"/>
  <c r="G442" i="47" s="1"/>
  <c r="B442" i="47"/>
  <c r="A442" i="47"/>
  <c r="U441" i="47"/>
  <c r="T441" i="47"/>
  <c r="V441" i="47" s="1"/>
  <c r="F441" i="47"/>
  <c r="B441" i="47"/>
  <c r="A441" i="47"/>
  <c r="P441" i="47" s="1"/>
  <c r="U440" i="47"/>
  <c r="T440" i="47"/>
  <c r="V440" i="47" s="1"/>
  <c r="P440" i="47"/>
  <c r="B440" i="47"/>
  <c r="A440" i="47"/>
  <c r="U439" i="47"/>
  <c r="T439" i="47"/>
  <c r="V439" i="47" s="1"/>
  <c r="A439" i="47"/>
  <c r="V438" i="47"/>
  <c r="U438" i="47"/>
  <c r="T438" i="47"/>
  <c r="P438" i="47"/>
  <c r="O438" i="47"/>
  <c r="F438" i="47"/>
  <c r="D438" i="47"/>
  <c r="A438" i="47"/>
  <c r="U437" i="47"/>
  <c r="T437" i="47"/>
  <c r="V437" i="47" s="1"/>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V434" i="47" s="1"/>
  <c r="T434" i="47"/>
  <c r="P434" i="47"/>
  <c r="Q434" i="47" s="1"/>
  <c r="I434" i="47"/>
  <c r="D434" i="47"/>
  <c r="O434" i="47" s="1"/>
  <c r="C434" i="47"/>
  <c r="M434" i="47" s="1"/>
  <c r="B434" i="47"/>
  <c r="A434" i="47"/>
  <c r="U433" i="47"/>
  <c r="T433" i="47"/>
  <c r="V433" i="47" s="1"/>
  <c r="F433" i="47"/>
  <c r="A433" i="47"/>
  <c r="U432" i="47"/>
  <c r="T432" i="47"/>
  <c r="V432" i="47" s="1"/>
  <c r="P432" i="47"/>
  <c r="F432" i="47"/>
  <c r="B432" i="47"/>
  <c r="A432" i="47"/>
  <c r="U431" i="47"/>
  <c r="T431" i="47"/>
  <c r="D431" i="47"/>
  <c r="A431" i="47"/>
  <c r="U430" i="47"/>
  <c r="V430" i="47" s="1"/>
  <c r="T430" i="47"/>
  <c r="P430" i="47"/>
  <c r="Q430" i="47" s="1"/>
  <c r="O430" i="47"/>
  <c r="K430" i="47"/>
  <c r="G430" i="47"/>
  <c r="E430" i="47"/>
  <c r="D430" i="47"/>
  <c r="C430" i="47"/>
  <c r="N430" i="47" s="1"/>
  <c r="B430" i="47"/>
  <c r="A430" i="47"/>
  <c r="U429" i="47"/>
  <c r="T429" i="47"/>
  <c r="V429" i="47" s="1"/>
  <c r="M429" i="47"/>
  <c r="H429" i="47"/>
  <c r="G429" i="47"/>
  <c r="F429" i="47"/>
  <c r="E429" i="47"/>
  <c r="C429" i="47"/>
  <c r="L429" i="47" s="1"/>
  <c r="B429" i="47"/>
  <c r="A429" i="47"/>
  <c r="N429" i="47" s="1"/>
  <c r="U428" i="47"/>
  <c r="T428" i="47"/>
  <c r="V428" i="47" s="1"/>
  <c r="P428" i="47"/>
  <c r="N428" i="47"/>
  <c r="I428" i="47"/>
  <c r="H428" i="47"/>
  <c r="F428" i="47"/>
  <c r="E428" i="47"/>
  <c r="C428" i="47"/>
  <c r="M428" i="47" s="1"/>
  <c r="B428" i="47"/>
  <c r="A428" i="47"/>
  <c r="U427" i="47"/>
  <c r="T427" i="47"/>
  <c r="V427" i="47" s="1"/>
  <c r="I427" i="47"/>
  <c r="F427" i="47"/>
  <c r="D427" i="47"/>
  <c r="C427" i="47"/>
  <c r="E427" i="47" s="1"/>
  <c r="A427" i="47"/>
  <c r="P427" i="47" s="1"/>
  <c r="Q427" i="47" s="1"/>
  <c r="U426" i="47"/>
  <c r="V426" i="47" s="1"/>
  <c r="T426" i="47"/>
  <c r="P426" i="47"/>
  <c r="Q426" i="47" s="1"/>
  <c r="J426" i="47"/>
  <c r="I426" i="47"/>
  <c r="G426" i="47"/>
  <c r="F426" i="47"/>
  <c r="H426" i="47" s="1"/>
  <c r="E426" i="47"/>
  <c r="D426" i="47"/>
  <c r="O426" i="47" s="1"/>
  <c r="C426" i="47"/>
  <c r="M426" i="47" s="1"/>
  <c r="B426" i="47"/>
  <c r="A426" i="47"/>
  <c r="U425" i="47"/>
  <c r="T425" i="47"/>
  <c r="V425" i="47" s="1"/>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V423" i="47"/>
  <c r="U423" i="47"/>
  <c r="T423" i="47"/>
  <c r="P423" i="47"/>
  <c r="A423" i="47"/>
  <c r="Q423" i="47" s="1"/>
  <c r="U422" i="47"/>
  <c r="T422" i="47"/>
  <c r="V422" i="47" s="1"/>
  <c r="P422" i="47"/>
  <c r="Q422" i="47" s="1"/>
  <c r="J422" i="47"/>
  <c r="F422" i="47"/>
  <c r="C422" i="47"/>
  <c r="N422" i="47" s="1"/>
  <c r="A422" i="47"/>
  <c r="U421" i="47"/>
  <c r="T421" i="47"/>
  <c r="V421" i="47" s="1"/>
  <c r="A421" i="47"/>
  <c r="V420" i="47"/>
  <c r="U420" i="47"/>
  <c r="T420" i="47"/>
  <c r="P420" i="47"/>
  <c r="I420" i="47"/>
  <c r="E420" i="47"/>
  <c r="D420" i="47"/>
  <c r="A420" i="47"/>
  <c r="C420" i="47" s="1"/>
  <c r="U419" i="47"/>
  <c r="V419" i="47" s="1"/>
  <c r="T419" i="47"/>
  <c r="P419" i="47"/>
  <c r="H419" i="47"/>
  <c r="F419" i="47"/>
  <c r="L419" i="47" s="1"/>
  <c r="D419" i="47"/>
  <c r="O419" i="47" s="1"/>
  <c r="C419" i="47"/>
  <c r="E419" i="47" s="1"/>
  <c r="B419" i="47"/>
  <c r="A419" i="47"/>
  <c r="Q419" i="47" s="1"/>
  <c r="U418" i="47"/>
  <c r="T418" i="47"/>
  <c r="V418" i="47" s="1"/>
  <c r="A418" i="47"/>
  <c r="U417" i="47"/>
  <c r="T417" i="47"/>
  <c r="V417" i="47" s="1"/>
  <c r="D417" i="47"/>
  <c r="A417" i="47"/>
  <c r="U416" i="47"/>
  <c r="T416" i="47"/>
  <c r="V416" i="47" s="1"/>
  <c r="P416" i="47"/>
  <c r="Q416" i="47" s="1"/>
  <c r="N416" i="47"/>
  <c r="M416" i="47"/>
  <c r="I416" i="47"/>
  <c r="H416" i="47"/>
  <c r="G416" i="47"/>
  <c r="E416" i="47"/>
  <c r="A416" i="47"/>
  <c r="C416" i="47" s="1"/>
  <c r="U415" i="47"/>
  <c r="V415" i="47" s="1"/>
  <c r="T415" i="47"/>
  <c r="Q415" i="47"/>
  <c r="P415" i="47"/>
  <c r="K415" i="47"/>
  <c r="C415" i="47"/>
  <c r="H415" i="47" s="1"/>
  <c r="B415" i="47"/>
  <c r="A415" i="47"/>
  <c r="V414" i="47"/>
  <c r="U414" i="47"/>
  <c r="T414" i="47"/>
  <c r="F414" i="47"/>
  <c r="N414" i="47" s="1"/>
  <c r="C414" i="47"/>
  <c r="E414" i="47" s="1"/>
  <c r="A414" i="47"/>
  <c r="U413" i="47"/>
  <c r="T413" i="47"/>
  <c r="V413" i="47" s="1"/>
  <c r="Q413" i="47"/>
  <c r="F413" i="47"/>
  <c r="D413" i="47"/>
  <c r="A413" i="47"/>
  <c r="P413" i="47" s="1"/>
  <c r="V412" i="47"/>
  <c r="U412" i="47"/>
  <c r="T412" i="47"/>
  <c r="N412" i="47"/>
  <c r="M412" i="47"/>
  <c r="L412" i="47"/>
  <c r="K412" i="47"/>
  <c r="J412" i="47"/>
  <c r="I412" i="47"/>
  <c r="H412" i="47"/>
  <c r="G412" i="47"/>
  <c r="F412" i="47"/>
  <c r="E412" i="47"/>
  <c r="D412" i="47"/>
  <c r="B412" i="47"/>
  <c r="A412" i="47"/>
  <c r="C412" i="47" s="1"/>
  <c r="V411" i="47"/>
  <c r="U411" i="47"/>
  <c r="T411" i="47"/>
  <c r="P411" i="47"/>
  <c r="M411" i="47"/>
  <c r="K411" i="47"/>
  <c r="F411" i="47"/>
  <c r="C411" i="47"/>
  <c r="L411" i="47" s="1"/>
  <c r="A411" i="47"/>
  <c r="U410" i="47"/>
  <c r="T410" i="47"/>
  <c r="V410" i="47" s="1"/>
  <c r="P410" i="47"/>
  <c r="A410" i="47"/>
  <c r="U409" i="47"/>
  <c r="T409" i="47"/>
  <c r="Q409" i="47"/>
  <c r="D409" i="47"/>
  <c r="B409" i="47"/>
  <c r="A409" i="47"/>
  <c r="P409" i="47" s="1"/>
  <c r="V408" i="47"/>
  <c r="U408" i="47"/>
  <c r="T408" i="47"/>
  <c r="P408" i="47"/>
  <c r="F408" i="47"/>
  <c r="D408" i="47"/>
  <c r="A408" i="47"/>
  <c r="C408" i="47" s="1"/>
  <c r="V407" i="47"/>
  <c r="U407" i="47"/>
  <c r="T407" i="47"/>
  <c r="D407" i="47"/>
  <c r="A407" i="47"/>
  <c r="U406" i="47"/>
  <c r="T406" i="47"/>
  <c r="V406" i="47" s="1"/>
  <c r="A406" i="47"/>
  <c r="U405" i="47"/>
  <c r="T405" i="47"/>
  <c r="V405" i="47" s="1"/>
  <c r="P405" i="47"/>
  <c r="Q405" i="47" s="1"/>
  <c r="D405" i="47"/>
  <c r="A405" i="47"/>
  <c r="V404" i="47"/>
  <c r="U404" i="47"/>
  <c r="T404" i="47"/>
  <c r="P404" i="47"/>
  <c r="M404" i="47"/>
  <c r="H404" i="47"/>
  <c r="F404" i="47"/>
  <c r="D404" i="47"/>
  <c r="A404" i="47"/>
  <c r="C404" i="47" s="1"/>
  <c r="I404" i="47" s="1"/>
  <c r="V403" i="47"/>
  <c r="U403" i="47"/>
  <c r="T403" i="47"/>
  <c r="D403" i="47"/>
  <c r="A403" i="47"/>
  <c r="U402" i="47"/>
  <c r="T402" i="47"/>
  <c r="V402" i="47" s="1"/>
  <c r="P402" i="47"/>
  <c r="A402" i="47"/>
  <c r="V401" i="47"/>
  <c r="U401" i="47"/>
  <c r="T401" i="47"/>
  <c r="P401" i="47"/>
  <c r="B401" i="47"/>
  <c r="A401" i="47"/>
  <c r="V400" i="47"/>
  <c r="U400" i="47"/>
  <c r="T400" i="47"/>
  <c r="P400" i="47"/>
  <c r="I400" i="47"/>
  <c r="H400" i="47"/>
  <c r="F400" i="47"/>
  <c r="E400" i="47"/>
  <c r="D400" i="47"/>
  <c r="A400" i="47"/>
  <c r="C400" i="47" s="1"/>
  <c r="G400" i="47" s="1"/>
  <c r="V399" i="47"/>
  <c r="U399" i="47"/>
  <c r="T399" i="47"/>
  <c r="A399" i="47"/>
  <c r="U398" i="47"/>
  <c r="T398" i="47"/>
  <c r="V398" i="47" s="1"/>
  <c r="P398" i="47"/>
  <c r="A398" i="47"/>
  <c r="U397" i="47"/>
  <c r="T397" i="47"/>
  <c r="V397" i="47" s="1"/>
  <c r="D397" i="47"/>
  <c r="C397" i="47"/>
  <c r="A397" i="47"/>
  <c r="V396" i="47"/>
  <c r="U396" i="47"/>
  <c r="T396" i="47"/>
  <c r="P396" i="47"/>
  <c r="I396" i="47"/>
  <c r="H396" i="47"/>
  <c r="F396" i="47"/>
  <c r="E396" i="47"/>
  <c r="D396" i="47"/>
  <c r="A396" i="47"/>
  <c r="C396" i="47" s="1"/>
  <c r="M396" i="47" s="1"/>
  <c r="V395" i="47"/>
  <c r="U395" i="47"/>
  <c r="T395" i="47"/>
  <c r="D395" i="47"/>
  <c r="A395" i="47"/>
  <c r="U394" i="47"/>
  <c r="T394" i="47"/>
  <c r="V394" i="47" s="1"/>
  <c r="A394" i="47"/>
  <c r="U393" i="47"/>
  <c r="T393" i="47"/>
  <c r="V393" i="47" s="1"/>
  <c r="Q393" i="47"/>
  <c r="P393" i="47"/>
  <c r="D393" i="47"/>
  <c r="C393" i="47"/>
  <c r="L393" i="47" s="1"/>
  <c r="B393" i="47"/>
  <c r="A393" i="47"/>
  <c r="V392" i="47"/>
  <c r="U392" i="47"/>
  <c r="T392" i="47"/>
  <c r="P392" i="47"/>
  <c r="F392" i="47"/>
  <c r="D392" i="47"/>
  <c r="A392" i="47"/>
  <c r="C392" i="47" s="1"/>
  <c r="M392" i="47" s="1"/>
  <c r="V391" i="47"/>
  <c r="U391" i="47"/>
  <c r="T391" i="47"/>
  <c r="A391" i="47"/>
  <c r="U390" i="47"/>
  <c r="T390" i="47"/>
  <c r="V390" i="47" s="1"/>
  <c r="A390" i="47"/>
  <c r="P390" i="47" s="1"/>
  <c r="U389" i="47"/>
  <c r="T389" i="47"/>
  <c r="V389" i="47" s="1"/>
  <c r="D389" i="47"/>
  <c r="C389" i="47"/>
  <c r="L389" i="47" s="1"/>
  <c r="A389" i="47"/>
  <c r="P389" i="47" s="1"/>
  <c r="Q389" i="47" s="1"/>
  <c r="V388" i="47"/>
  <c r="U388" i="47"/>
  <c r="T388" i="47"/>
  <c r="A388" i="47"/>
  <c r="V387" i="47"/>
  <c r="U387" i="47"/>
  <c r="T387" i="47"/>
  <c r="A387" i="47"/>
  <c r="U386" i="47"/>
  <c r="T386" i="47"/>
  <c r="V386" i="47" s="1"/>
  <c r="P386" i="47"/>
  <c r="A386" i="47"/>
  <c r="V385" i="47"/>
  <c r="U385" i="47"/>
  <c r="T385" i="47"/>
  <c r="A385" i="47"/>
  <c r="P385" i="47" s="1"/>
  <c r="V384" i="47"/>
  <c r="U384" i="47"/>
  <c r="T384" i="47"/>
  <c r="F384" i="47"/>
  <c r="A384" i="47"/>
  <c r="P384" i="47" s="1"/>
  <c r="Q384" i="47" s="1"/>
  <c r="V383" i="47"/>
  <c r="U383" i="47"/>
  <c r="T383" i="47"/>
  <c r="A383" i="47"/>
  <c r="U382" i="47"/>
  <c r="T382" i="47"/>
  <c r="V382" i="47" s="1"/>
  <c r="A382" i="47"/>
  <c r="V381" i="47"/>
  <c r="U381" i="47"/>
  <c r="T381" i="47"/>
  <c r="P381" i="47"/>
  <c r="Q381" i="47" s="1"/>
  <c r="D381" i="47"/>
  <c r="A381" i="47"/>
  <c r="V380" i="47"/>
  <c r="U380" i="47"/>
  <c r="T380" i="47"/>
  <c r="A380" i="47"/>
  <c r="V379" i="47"/>
  <c r="U379" i="47"/>
  <c r="T379" i="47"/>
  <c r="A379" i="47"/>
  <c r="U378" i="47"/>
  <c r="T378" i="47"/>
  <c r="V378" i="47" s="1"/>
  <c r="A378" i="47"/>
  <c r="U377" i="47"/>
  <c r="V377" i="47" s="1"/>
  <c r="T377" i="47"/>
  <c r="L377" i="47"/>
  <c r="D377" i="47"/>
  <c r="C377" i="47"/>
  <c r="A377" i="47"/>
  <c r="V376" i="47"/>
  <c r="U376" i="47"/>
  <c r="T376" i="47"/>
  <c r="P376" i="47"/>
  <c r="F376" i="47"/>
  <c r="A376" i="47"/>
  <c r="V375" i="47"/>
  <c r="U375" i="47"/>
  <c r="T375" i="47"/>
  <c r="A375" i="47"/>
  <c r="U374" i="47"/>
  <c r="T374" i="47"/>
  <c r="V374" i="47" s="1"/>
  <c r="P374" i="47"/>
  <c r="Q374" i="47" s="1"/>
  <c r="A374" i="47"/>
  <c r="V373" i="47"/>
  <c r="U373" i="47"/>
  <c r="T373" i="47"/>
  <c r="A373" i="47"/>
  <c r="V372" i="47"/>
  <c r="U372" i="47"/>
  <c r="T372" i="47"/>
  <c r="F372" i="47"/>
  <c r="C372" i="47"/>
  <c r="G372" i="47" s="1"/>
  <c r="A372" i="47"/>
  <c r="V371" i="47"/>
  <c r="U371" i="47"/>
  <c r="T371" i="47"/>
  <c r="A371" i="47"/>
  <c r="U370" i="47"/>
  <c r="T370" i="47"/>
  <c r="V370" i="47" s="1"/>
  <c r="P370" i="47"/>
  <c r="A370" i="47"/>
  <c r="U369" i="47"/>
  <c r="T369" i="47"/>
  <c r="V369" i="47" s="1"/>
  <c r="A369" i="47"/>
  <c r="U368" i="47"/>
  <c r="V368" i="47" s="1"/>
  <c r="T368" i="47"/>
  <c r="A368" i="47"/>
  <c r="V367" i="47"/>
  <c r="U367" i="47"/>
  <c r="T367" i="47"/>
  <c r="D367" i="47"/>
  <c r="A367" i="47"/>
  <c r="U366" i="47"/>
  <c r="T366" i="47"/>
  <c r="V366" i="47" s="1"/>
  <c r="A366" i="47"/>
  <c r="U365" i="47"/>
  <c r="T365" i="47"/>
  <c r="V365" i="47" s="1"/>
  <c r="P365" i="47"/>
  <c r="M365" i="47"/>
  <c r="L365" i="47"/>
  <c r="K365" i="47"/>
  <c r="I365" i="47"/>
  <c r="E365" i="47"/>
  <c r="C365" i="47"/>
  <c r="B365" i="47"/>
  <c r="A365" i="47"/>
  <c r="V364" i="47"/>
  <c r="U364" i="47"/>
  <c r="T364" i="47"/>
  <c r="A364" i="47"/>
  <c r="U363" i="47"/>
  <c r="V363" i="47" s="1"/>
  <c r="T363" i="47"/>
  <c r="F363" i="47"/>
  <c r="C363" i="47"/>
  <c r="A363" i="47"/>
  <c r="U362" i="47"/>
  <c r="T362" i="47"/>
  <c r="V362" i="47" s="1"/>
  <c r="B362" i="47"/>
  <c r="A362" i="47"/>
  <c r="P362" i="47" s="1"/>
  <c r="Q362" i="47" s="1"/>
  <c r="U361" i="47"/>
  <c r="T361" i="47"/>
  <c r="V361" i="47" s="1"/>
  <c r="C361" i="47"/>
  <c r="A361" i="47"/>
  <c r="U360" i="47"/>
  <c r="V360" i="47" s="1"/>
  <c r="T360" i="47"/>
  <c r="P360" i="47"/>
  <c r="D360" i="47"/>
  <c r="A360" i="47"/>
  <c r="Q360" i="47" s="1"/>
  <c r="V359" i="47"/>
  <c r="U359" i="47"/>
  <c r="T359" i="47"/>
  <c r="L359" i="47"/>
  <c r="K359" i="47"/>
  <c r="F359" i="47"/>
  <c r="D359" i="47"/>
  <c r="C359" i="47"/>
  <c r="I359" i="47" s="1"/>
  <c r="B359" i="47"/>
  <c r="A359" i="47"/>
  <c r="U358" i="47"/>
  <c r="T358" i="47"/>
  <c r="V358" i="47" s="1"/>
  <c r="A358" i="47"/>
  <c r="D358" i="47" s="1"/>
  <c r="O358" i="47" s="1"/>
  <c r="U357" i="47"/>
  <c r="T357" i="47"/>
  <c r="V357" i="47" s="1"/>
  <c r="D357" i="47"/>
  <c r="A357" i="47"/>
  <c r="V356" i="47"/>
  <c r="U356" i="47"/>
  <c r="T356" i="47"/>
  <c r="O356" i="47"/>
  <c r="F356" i="47"/>
  <c r="D356" i="47"/>
  <c r="C356" i="47"/>
  <c r="A356" i="47"/>
  <c r="U355" i="47"/>
  <c r="T355" i="47"/>
  <c r="V355" i="47" s="1"/>
  <c r="A355" i="47"/>
  <c r="U354" i="47"/>
  <c r="T354" i="47"/>
  <c r="V354" i="47" s="1"/>
  <c r="P354" i="47"/>
  <c r="Q354" i="47" s="1"/>
  <c r="C354" i="47"/>
  <c r="M354" i="47" s="1"/>
  <c r="A354" i="47"/>
  <c r="D354" i="47" s="1"/>
  <c r="U353" i="47"/>
  <c r="V353" i="47" s="1"/>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V350" i="47" s="1"/>
  <c r="O350" i="47"/>
  <c r="H350" i="47"/>
  <c r="F350" i="47"/>
  <c r="E350" i="47"/>
  <c r="C350" i="47"/>
  <c r="A350" i="47"/>
  <c r="D350" i="47" s="1"/>
  <c r="U349" i="47"/>
  <c r="T349" i="47"/>
  <c r="V349" i="47" s="1"/>
  <c r="P349" i="47"/>
  <c r="A349" i="47"/>
  <c r="U348" i="47"/>
  <c r="T348" i="47"/>
  <c r="V348" i="47" s="1"/>
  <c r="D348" i="47"/>
  <c r="B348" i="47"/>
  <c r="A348" i="47"/>
  <c r="P348" i="47" s="1"/>
  <c r="Q348" i="47" s="1"/>
  <c r="V347" i="47"/>
  <c r="U347" i="47"/>
  <c r="T347" i="47"/>
  <c r="Q347" i="47"/>
  <c r="M347" i="47"/>
  <c r="F347" i="47"/>
  <c r="D347" i="47"/>
  <c r="O347" i="47" s="1"/>
  <c r="C347" i="47"/>
  <c r="B347" i="47"/>
  <c r="A347" i="47"/>
  <c r="P347" i="47" s="1"/>
  <c r="U346" i="47"/>
  <c r="T346" i="47"/>
  <c r="P346" i="47"/>
  <c r="O346" i="47"/>
  <c r="F346" i="47"/>
  <c r="B346" i="47"/>
  <c r="A346" i="47"/>
  <c r="D346" i="47" s="1"/>
  <c r="U345" i="47"/>
  <c r="T345" i="47"/>
  <c r="V345" i="47" s="1"/>
  <c r="A345" i="47"/>
  <c r="U344" i="47"/>
  <c r="T344" i="47"/>
  <c r="V344" i="47" s="1"/>
  <c r="P344" i="47"/>
  <c r="Q344" i="47" s="1"/>
  <c r="F344" i="47"/>
  <c r="D344" i="47"/>
  <c r="O344" i="47" s="1"/>
  <c r="B344" i="47"/>
  <c r="A344" i="47"/>
  <c r="U343" i="47"/>
  <c r="T343" i="47"/>
  <c r="B343" i="47"/>
  <c r="A343" i="47"/>
  <c r="P343" i="47" s="1"/>
  <c r="U342" i="47"/>
  <c r="T342" i="47"/>
  <c r="V342" i="47" s="1"/>
  <c r="B342" i="47"/>
  <c r="A342" i="47"/>
  <c r="V341" i="47"/>
  <c r="U341" i="47"/>
  <c r="T341" i="47"/>
  <c r="P341" i="47"/>
  <c r="N341" i="47"/>
  <c r="F341" i="47"/>
  <c r="D341" i="47"/>
  <c r="O341" i="47" s="1"/>
  <c r="C341" i="47"/>
  <c r="K341" i="47" s="1"/>
  <c r="B341" i="47"/>
  <c r="A341" i="47"/>
  <c r="V340" i="47"/>
  <c r="U340" i="47"/>
  <c r="T340" i="47"/>
  <c r="P340" i="47"/>
  <c r="Q340" i="47" s="1"/>
  <c r="J340" i="47"/>
  <c r="H340" i="47"/>
  <c r="G340" i="47"/>
  <c r="F340" i="47"/>
  <c r="C340" i="47"/>
  <c r="N340" i="47" s="1"/>
  <c r="B340" i="47"/>
  <c r="A340" i="47"/>
  <c r="V339" i="47"/>
  <c r="U339" i="47"/>
  <c r="T339" i="47"/>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V336" i="47"/>
  <c r="U336" i="47"/>
  <c r="T336" i="47"/>
  <c r="J336" i="47"/>
  <c r="C336" i="47"/>
  <c r="K336" i="47" s="1"/>
  <c r="B336" i="47"/>
  <c r="A336" i="47"/>
  <c r="U335" i="47"/>
  <c r="T335" i="47"/>
  <c r="V335" i="47" s="1"/>
  <c r="D335" i="47"/>
  <c r="A335" i="47"/>
  <c r="U334" i="47"/>
  <c r="T334" i="47"/>
  <c r="Q334" i="47"/>
  <c r="P334" i="47"/>
  <c r="K334" i="47"/>
  <c r="I334" i="47"/>
  <c r="C334" i="47"/>
  <c r="B334" i="47"/>
  <c r="A334" i="47"/>
  <c r="D334" i="47" s="1"/>
  <c r="V333" i="47"/>
  <c r="U333" i="47"/>
  <c r="T333" i="47"/>
  <c r="P333" i="47"/>
  <c r="Q333" i="47" s="1"/>
  <c r="J333" i="47"/>
  <c r="F333" i="47"/>
  <c r="D333" i="47"/>
  <c r="C333" i="47"/>
  <c r="B333" i="47"/>
  <c r="A333" i="47"/>
  <c r="U332" i="47"/>
  <c r="V332" i="47" s="1"/>
  <c r="T332" i="47"/>
  <c r="P332" i="47"/>
  <c r="N332" i="47"/>
  <c r="M332" i="47"/>
  <c r="I332" i="47"/>
  <c r="G332" i="47"/>
  <c r="F332" i="47"/>
  <c r="H332" i="47" s="1"/>
  <c r="E332" i="47"/>
  <c r="C332" i="47"/>
  <c r="K332" i="47" s="1"/>
  <c r="B332" i="47"/>
  <c r="A332" i="47"/>
  <c r="U331" i="47"/>
  <c r="T331" i="47"/>
  <c r="V331" i="47" s="1"/>
  <c r="I331" i="47"/>
  <c r="H331" i="47"/>
  <c r="C331" i="47"/>
  <c r="A331" i="47"/>
  <c r="U330" i="47"/>
  <c r="T330" i="47"/>
  <c r="V330" i="47" s="1"/>
  <c r="A330" i="47"/>
  <c r="U329" i="47"/>
  <c r="T329" i="47"/>
  <c r="V329" i="47" s="1"/>
  <c r="A329" i="47"/>
  <c r="V328" i="47"/>
  <c r="U328" i="47"/>
  <c r="T328" i="47"/>
  <c r="D328" i="47"/>
  <c r="C328" i="47"/>
  <c r="K328" i="47" s="1"/>
  <c r="B328" i="47"/>
  <c r="A328" i="47"/>
  <c r="V327"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V325" i="47"/>
  <c r="U325" i="47"/>
  <c r="T325" i="47"/>
  <c r="P325" i="47"/>
  <c r="A325" i="47"/>
  <c r="U324" i="47"/>
  <c r="V324" i="47" s="1"/>
  <c r="T324" i="47"/>
  <c r="P324" i="47"/>
  <c r="O324" i="47"/>
  <c r="N324" i="47"/>
  <c r="F324" i="47"/>
  <c r="D324" i="47"/>
  <c r="C324" i="47"/>
  <c r="B324" i="47"/>
  <c r="A324" i="47"/>
  <c r="Q324" i="47" s="1"/>
  <c r="U323" i="47"/>
  <c r="T323" i="47"/>
  <c r="V323" i="47" s="1"/>
  <c r="F323" i="47"/>
  <c r="A323" i="47"/>
  <c r="V322" i="47"/>
  <c r="U322" i="47"/>
  <c r="T322" i="47"/>
  <c r="F322" i="47"/>
  <c r="D322" i="47"/>
  <c r="C322" i="47"/>
  <c r="L322" i="47" s="1"/>
  <c r="A322" i="47"/>
  <c r="B322" i="47" s="1"/>
  <c r="U321" i="47"/>
  <c r="T321" i="47"/>
  <c r="V321" i="47" s="1"/>
  <c r="P321" i="47"/>
  <c r="O321" i="47"/>
  <c r="N321" i="47"/>
  <c r="K321" i="47"/>
  <c r="J321" i="47"/>
  <c r="I321" i="47"/>
  <c r="H321" i="47"/>
  <c r="G321" i="47"/>
  <c r="E321" i="47"/>
  <c r="D321" i="47"/>
  <c r="C321" i="47"/>
  <c r="B321" i="47"/>
  <c r="A321" i="47"/>
  <c r="F321" i="47" s="1"/>
  <c r="V320" i="47"/>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V317" i="47" s="1"/>
  <c r="P317" i="47"/>
  <c r="N317" i="47"/>
  <c r="K317" i="47"/>
  <c r="J317" i="47"/>
  <c r="I317" i="47"/>
  <c r="H317" i="47"/>
  <c r="E317" i="47"/>
  <c r="D317" i="47"/>
  <c r="O317" i="47" s="1"/>
  <c r="C317" i="47"/>
  <c r="B317" i="47"/>
  <c r="G317" i="47" s="1"/>
  <c r="A317" i="47"/>
  <c r="F317" i="47" s="1"/>
  <c r="U316" i="47"/>
  <c r="T316" i="47"/>
  <c r="V316" i="47" s="1"/>
  <c r="O316" i="47"/>
  <c r="F316" i="47"/>
  <c r="D316" i="47"/>
  <c r="C316" i="47"/>
  <c r="B316" i="47"/>
  <c r="A316" i="47"/>
  <c r="U315" i="47"/>
  <c r="T315" i="47"/>
  <c r="F315" i="47"/>
  <c r="A315" i="47"/>
  <c r="V314" i="47"/>
  <c r="U314" i="47"/>
  <c r="T314" i="47"/>
  <c r="P314" i="47"/>
  <c r="F314" i="47"/>
  <c r="D314" i="47"/>
  <c r="C314" i="47"/>
  <c r="N314" i="47" s="1"/>
  <c r="A314" i="47"/>
  <c r="B314" i="47" s="1"/>
  <c r="U313" i="47"/>
  <c r="T313" i="47"/>
  <c r="V313" i="47" s="1"/>
  <c r="P313" i="47"/>
  <c r="O313" i="47"/>
  <c r="N313" i="47"/>
  <c r="K313" i="47"/>
  <c r="J313" i="47"/>
  <c r="I313" i="47"/>
  <c r="H313" i="47"/>
  <c r="E313" i="47"/>
  <c r="D313" i="47"/>
  <c r="C313" i="47"/>
  <c r="B313" i="47"/>
  <c r="G313" i="47" s="1"/>
  <c r="A313" i="47"/>
  <c r="F313" i="47" s="1"/>
  <c r="U312" i="47"/>
  <c r="T312" i="47"/>
  <c r="V312" i="47" s="1"/>
  <c r="N312" i="47"/>
  <c r="F312" i="47"/>
  <c r="D312" i="47"/>
  <c r="O312" i="47" s="1"/>
  <c r="C312" i="47"/>
  <c r="M312" i="47" s="1"/>
  <c r="B312" i="47"/>
  <c r="A312" i="47"/>
  <c r="J312" i="47" s="1"/>
  <c r="U311" i="47"/>
  <c r="T311" i="47"/>
  <c r="A311" i="47"/>
  <c r="U310" i="47"/>
  <c r="V310" i="47" s="1"/>
  <c r="T310" i="47"/>
  <c r="P310" i="47"/>
  <c r="N310" i="47"/>
  <c r="L310" i="47"/>
  <c r="K310" i="47"/>
  <c r="J310" i="47"/>
  <c r="G310" i="47"/>
  <c r="F310" i="47"/>
  <c r="E310" i="47"/>
  <c r="D310" i="47"/>
  <c r="C310" i="47"/>
  <c r="A310" i="47"/>
  <c r="B310" i="47" s="1"/>
  <c r="U309" i="47"/>
  <c r="T309" i="47"/>
  <c r="V309" i="47" s="1"/>
  <c r="P309" i="47"/>
  <c r="O309" i="47"/>
  <c r="N309" i="47"/>
  <c r="K309" i="47"/>
  <c r="J309" i="47"/>
  <c r="I309" i="47"/>
  <c r="H309" i="47"/>
  <c r="G309" i="47"/>
  <c r="E309" i="47"/>
  <c r="D309" i="47"/>
  <c r="C309" i="47"/>
  <c r="B309" i="47"/>
  <c r="A309" i="47"/>
  <c r="F309" i="47" s="1"/>
  <c r="U308" i="47"/>
  <c r="T308" i="47"/>
  <c r="V308" i="47" s="1"/>
  <c r="O308" i="47"/>
  <c r="N308" i="47"/>
  <c r="M308" i="47"/>
  <c r="F308" i="47"/>
  <c r="D308" i="47"/>
  <c r="C308" i="47"/>
  <c r="B308" i="47"/>
  <c r="A308" i="47"/>
  <c r="U307" i="47"/>
  <c r="T307" i="47"/>
  <c r="V307" i="47" s="1"/>
  <c r="P307" i="47"/>
  <c r="B307" i="47"/>
  <c r="A307" i="47"/>
  <c r="V306"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V304" i="47"/>
  <c r="U304" i="47"/>
  <c r="T304" i="47"/>
  <c r="F304" i="47"/>
  <c r="D304" i="47"/>
  <c r="O304" i="47" s="1"/>
  <c r="C304" i="47"/>
  <c r="B304" i="47"/>
  <c r="A304" i="47"/>
  <c r="U303" i="47"/>
  <c r="T303" i="47"/>
  <c r="V303" i="47" s="1"/>
  <c r="B303" i="47"/>
  <c r="A303" i="47"/>
  <c r="V302" i="47"/>
  <c r="U302" i="47"/>
  <c r="T302" i="47"/>
  <c r="A302" i="47"/>
  <c r="V301" i="47"/>
  <c r="U301" i="47"/>
  <c r="T301" i="47"/>
  <c r="P301" i="47"/>
  <c r="N301" i="47"/>
  <c r="K301" i="47"/>
  <c r="J301" i="47"/>
  <c r="I301" i="47"/>
  <c r="E301" i="47"/>
  <c r="D301" i="47"/>
  <c r="O301" i="47" s="1"/>
  <c r="C301" i="47"/>
  <c r="B301" i="47"/>
  <c r="G301" i="47" s="1"/>
  <c r="A301" i="47"/>
  <c r="F301" i="47" s="1"/>
  <c r="H301" i="47" s="1"/>
  <c r="V300" i="47"/>
  <c r="U300" i="47"/>
  <c r="T300" i="47"/>
  <c r="O300" i="47"/>
  <c r="F300" i="47"/>
  <c r="D300" i="47"/>
  <c r="C300" i="47"/>
  <c r="N300" i="47" s="1"/>
  <c r="B300" i="47"/>
  <c r="A300" i="47"/>
  <c r="U299" i="47"/>
  <c r="T299" i="47"/>
  <c r="A299" i="47"/>
  <c r="U298" i="47"/>
  <c r="V298" i="47" s="1"/>
  <c r="T298" i="47"/>
  <c r="F298" i="47"/>
  <c r="A298" i="47"/>
  <c r="P298" i="47" s="1"/>
  <c r="V297" i="47"/>
  <c r="U297" i="47"/>
  <c r="T297" i="47"/>
  <c r="P297" i="47"/>
  <c r="O297" i="47"/>
  <c r="K297" i="47"/>
  <c r="J297" i="47"/>
  <c r="I297" i="47"/>
  <c r="H297" i="47"/>
  <c r="G297" i="47"/>
  <c r="E297" i="47"/>
  <c r="D297" i="47"/>
  <c r="C297" i="47"/>
  <c r="B297" i="47"/>
  <c r="A297" i="47"/>
  <c r="F297" i="47" s="1"/>
  <c r="N297" i="47" s="1"/>
  <c r="V296" i="47"/>
  <c r="U296" i="47"/>
  <c r="T296" i="47"/>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V293" i="47" s="1"/>
  <c r="P293" i="47"/>
  <c r="O293" i="47"/>
  <c r="N293" i="47"/>
  <c r="D293" i="47"/>
  <c r="C293" i="47"/>
  <c r="K293" i="47" s="1"/>
  <c r="B293" i="47"/>
  <c r="A293" i="47"/>
  <c r="F293" i="47" s="1"/>
  <c r="U292" i="47"/>
  <c r="T292" i="47"/>
  <c r="V292" i="47" s="1"/>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V289" i="47" s="1"/>
  <c r="P289" i="47"/>
  <c r="D289" i="47"/>
  <c r="O289" i="47" s="1"/>
  <c r="C289" i="47"/>
  <c r="N289" i="47" s="1"/>
  <c r="B289" i="47"/>
  <c r="A289" i="47"/>
  <c r="F289" i="47" s="1"/>
  <c r="U288" i="47"/>
  <c r="T288" i="47"/>
  <c r="V288" i="47" s="1"/>
  <c r="F288" i="47"/>
  <c r="D288" i="47"/>
  <c r="O288" i="47" s="1"/>
  <c r="C288" i="47"/>
  <c r="B288" i="47"/>
  <c r="A288" i="47"/>
  <c r="U287" i="47"/>
  <c r="T287" i="47"/>
  <c r="V287" i="47" s="1"/>
  <c r="C287" i="47"/>
  <c r="L287" i="47" s="1"/>
  <c r="B287" i="47"/>
  <c r="M287" i="47" s="1"/>
  <c r="A287" i="47"/>
  <c r="P287" i="47" s="1"/>
  <c r="U286" i="47"/>
  <c r="V286" i="47" s="1"/>
  <c r="T286" i="47"/>
  <c r="D286" i="47"/>
  <c r="C286" i="47"/>
  <c r="A286" i="47"/>
  <c r="P286" i="47" s="1"/>
  <c r="Q286" i="47" s="1"/>
  <c r="U285" i="47"/>
  <c r="T285" i="47"/>
  <c r="V285" i="47" s="1"/>
  <c r="P285" i="47"/>
  <c r="D285" i="47"/>
  <c r="O285" i="47" s="1"/>
  <c r="C285" i="47"/>
  <c r="N285" i="47" s="1"/>
  <c r="B285" i="47"/>
  <c r="A285" i="47"/>
  <c r="F285" i="47" s="1"/>
  <c r="U284" i="47"/>
  <c r="T284" i="47"/>
  <c r="V284" i="47" s="1"/>
  <c r="O284" i="47"/>
  <c r="F284" i="47"/>
  <c r="D284" i="47"/>
  <c r="C284" i="47"/>
  <c r="B284" i="47"/>
  <c r="A284" i="47"/>
  <c r="U283" i="47"/>
  <c r="T283" i="47"/>
  <c r="V283" i="47" s="1"/>
  <c r="A283" i="47"/>
  <c r="V282" i="47"/>
  <c r="U282" i="47"/>
  <c r="T282" i="47"/>
  <c r="A282" i="47"/>
  <c r="V281" i="47"/>
  <c r="U281" i="47"/>
  <c r="T281" i="47"/>
  <c r="P281" i="47"/>
  <c r="F281" i="47"/>
  <c r="D281" i="47"/>
  <c r="O281" i="47" s="1"/>
  <c r="C281" i="47"/>
  <c r="B281" i="47"/>
  <c r="A281" i="47"/>
  <c r="U280" i="47"/>
  <c r="T280" i="47"/>
  <c r="V280" i="47" s="1"/>
  <c r="F280" i="47"/>
  <c r="D280" i="47"/>
  <c r="O280" i="47" s="1"/>
  <c r="C280" i="47"/>
  <c r="B280" i="47"/>
  <c r="A280" i="47"/>
  <c r="U279" i="47"/>
  <c r="T279" i="47"/>
  <c r="V279" i="47" s="1"/>
  <c r="A279" i="47"/>
  <c r="V278" i="47"/>
  <c r="U278" i="47"/>
  <c r="T278" i="47"/>
  <c r="D278" i="47"/>
  <c r="A278" i="47"/>
  <c r="V277" i="47"/>
  <c r="U277" i="47"/>
  <c r="T277" i="47"/>
  <c r="P277" i="47"/>
  <c r="F277" i="47"/>
  <c r="D277" i="47"/>
  <c r="O277" i="47" s="1"/>
  <c r="C277" i="47"/>
  <c r="B277" i="47"/>
  <c r="A277" i="47"/>
  <c r="U276" i="47"/>
  <c r="T276" i="47"/>
  <c r="V276" i="47" s="1"/>
  <c r="F276" i="47"/>
  <c r="D276" i="47"/>
  <c r="O276" i="47" s="1"/>
  <c r="C276" i="47"/>
  <c r="B276" i="47"/>
  <c r="A276" i="47"/>
  <c r="U275" i="47"/>
  <c r="T275" i="47"/>
  <c r="V275" i="47" s="1"/>
  <c r="A275" i="47"/>
  <c r="V274" i="47"/>
  <c r="U274" i="47"/>
  <c r="T274" i="47"/>
  <c r="A274" i="47"/>
  <c r="V273" i="47"/>
  <c r="U273" i="47"/>
  <c r="T273" i="47"/>
  <c r="P273" i="47"/>
  <c r="F273" i="47"/>
  <c r="D273" i="47"/>
  <c r="O273" i="47" s="1"/>
  <c r="C273" i="47"/>
  <c r="B273" i="47"/>
  <c r="A273" i="47"/>
  <c r="U272" i="47"/>
  <c r="T272" i="47"/>
  <c r="V272" i="47" s="1"/>
  <c r="F272" i="47"/>
  <c r="D272" i="47"/>
  <c r="O272" i="47" s="1"/>
  <c r="C272" i="47"/>
  <c r="B272" i="47"/>
  <c r="A272" i="47"/>
  <c r="U271" i="47"/>
  <c r="T271" i="47"/>
  <c r="V271" i="47" s="1"/>
  <c r="C271" i="47"/>
  <c r="A271" i="47"/>
  <c r="V270" i="47"/>
  <c r="U270" i="47"/>
  <c r="T270" i="47"/>
  <c r="D270" i="47"/>
  <c r="C270" i="47"/>
  <c r="B270" i="47"/>
  <c r="A270" i="47"/>
  <c r="U269" i="47"/>
  <c r="T269" i="47"/>
  <c r="V269" i="47" s="1"/>
  <c r="P269" i="47"/>
  <c r="F269" i="47"/>
  <c r="D269" i="47"/>
  <c r="O269" i="47" s="1"/>
  <c r="C269" i="47"/>
  <c r="B269" i="47"/>
  <c r="A269" i="47"/>
  <c r="U268" i="47"/>
  <c r="T268" i="47"/>
  <c r="V268" i="47" s="1"/>
  <c r="F268" i="47"/>
  <c r="D268" i="47"/>
  <c r="O268" i="47" s="1"/>
  <c r="C268" i="47"/>
  <c r="B268" i="47"/>
  <c r="A268" i="47"/>
  <c r="U267" i="47"/>
  <c r="T267" i="47"/>
  <c r="V267" i="47" s="1"/>
  <c r="P267" i="47"/>
  <c r="H267" i="47"/>
  <c r="G267" i="47"/>
  <c r="F267" i="47"/>
  <c r="C267" i="47"/>
  <c r="A267" i="47"/>
  <c r="U266" i="47"/>
  <c r="V266" i="47" s="1"/>
  <c r="T266" i="47"/>
  <c r="P266" i="47"/>
  <c r="F266" i="47"/>
  <c r="D266" i="47"/>
  <c r="O266" i="47" s="1"/>
  <c r="B266" i="47"/>
  <c r="A266" i="47"/>
  <c r="V265" i="47"/>
  <c r="U265" i="47"/>
  <c r="T265" i="47"/>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V263" i="47" s="1"/>
  <c r="L263" i="47"/>
  <c r="K263" i="47"/>
  <c r="J263" i="47"/>
  <c r="H263" i="47"/>
  <c r="F263" i="47"/>
  <c r="C263" i="47"/>
  <c r="G263" i="47" s="1"/>
  <c r="B263" i="47"/>
  <c r="M263" i="47" s="1"/>
  <c r="A263" i="47"/>
  <c r="P263" i="47" s="1"/>
  <c r="Q263" i="47" s="1"/>
  <c r="U262" i="47"/>
  <c r="T262" i="47"/>
  <c r="V262" i="47" s="1"/>
  <c r="L262" i="47"/>
  <c r="K262" i="47"/>
  <c r="J262" i="47"/>
  <c r="G262" i="47"/>
  <c r="C262" i="47"/>
  <c r="A262" i="47"/>
  <c r="V261" i="47"/>
  <c r="U261" i="47"/>
  <c r="T261" i="47"/>
  <c r="P261" i="47"/>
  <c r="K261" i="47"/>
  <c r="J261" i="47"/>
  <c r="I261" i="47"/>
  <c r="H261" i="47"/>
  <c r="G261" i="47"/>
  <c r="F261" i="47"/>
  <c r="N261" i="47" s="1"/>
  <c r="E261" i="47"/>
  <c r="D261" i="47"/>
  <c r="O261" i="47" s="1"/>
  <c r="C261" i="47"/>
  <c r="B261" i="47"/>
  <c r="A261" i="47"/>
  <c r="V260" i="47"/>
  <c r="U260" i="47"/>
  <c r="T260" i="47"/>
  <c r="M260" i="47"/>
  <c r="L260" i="47"/>
  <c r="K260" i="47"/>
  <c r="F260" i="47"/>
  <c r="J260" i="47" s="1"/>
  <c r="D260" i="47"/>
  <c r="O260" i="47" s="1"/>
  <c r="C260" i="47"/>
  <c r="E260" i="47" s="1"/>
  <c r="B260" i="47"/>
  <c r="A260" i="47"/>
  <c r="U259" i="47"/>
  <c r="T259" i="47"/>
  <c r="B259" i="47"/>
  <c r="A259" i="47"/>
  <c r="U258" i="47"/>
  <c r="T258" i="47"/>
  <c r="V258" i="47" s="1"/>
  <c r="P258" i="47"/>
  <c r="Q258" i="47" s="1"/>
  <c r="O258" i="47"/>
  <c r="L258" i="47"/>
  <c r="F258" i="47"/>
  <c r="D258" i="47"/>
  <c r="C258" i="47"/>
  <c r="B258" i="47"/>
  <c r="A258" i="47"/>
  <c r="U257" i="47"/>
  <c r="T257" i="47"/>
  <c r="V257" i="47" s="1"/>
  <c r="P257" i="47"/>
  <c r="N257" i="47"/>
  <c r="K257" i="47"/>
  <c r="G257" i="47"/>
  <c r="F257" i="47"/>
  <c r="E257" i="47"/>
  <c r="D257" i="47"/>
  <c r="O257" i="47" s="1"/>
  <c r="C257" i="47"/>
  <c r="J257" i="47" s="1"/>
  <c r="B257" i="47"/>
  <c r="A257" i="47"/>
  <c r="U256" i="47"/>
  <c r="T256" i="47"/>
  <c r="V256" i="47" s="1"/>
  <c r="O256" i="47"/>
  <c r="N256" i="47"/>
  <c r="M256" i="47"/>
  <c r="L256" i="47"/>
  <c r="K256" i="47"/>
  <c r="I256" i="47"/>
  <c r="H256" i="47"/>
  <c r="G256" i="47"/>
  <c r="F256" i="47"/>
  <c r="J256" i="47" s="1"/>
  <c r="E256" i="47"/>
  <c r="D256" i="47"/>
  <c r="C256" i="47"/>
  <c r="B256" i="47"/>
  <c r="A256" i="47"/>
  <c r="U255" i="47"/>
  <c r="T255" i="47"/>
  <c r="V255" i="47" s="1"/>
  <c r="P255" i="47"/>
  <c r="A255" i="47"/>
  <c r="U254" i="47"/>
  <c r="T254" i="47"/>
  <c r="V254" i="47" s="1"/>
  <c r="K254" i="47"/>
  <c r="C254" i="47"/>
  <c r="A254" i="47"/>
  <c r="V253" i="47"/>
  <c r="U253" i="47"/>
  <c r="T253" i="47"/>
  <c r="P253" i="47"/>
  <c r="Q253" i="47" s="1"/>
  <c r="K253" i="47"/>
  <c r="F253" i="47"/>
  <c r="E253" i="47"/>
  <c r="D253" i="47"/>
  <c r="O253" i="47" s="1"/>
  <c r="C253" i="47"/>
  <c r="B253" i="47"/>
  <c r="A253" i="47"/>
  <c r="I253" i="47" s="1"/>
  <c r="U252" i="47"/>
  <c r="T252" i="47"/>
  <c r="V252" i="47" s="1"/>
  <c r="N252" i="47"/>
  <c r="M252" i="47"/>
  <c r="L252" i="47"/>
  <c r="G252" i="47"/>
  <c r="F252" i="47"/>
  <c r="H252" i="47" s="1"/>
  <c r="E252" i="47"/>
  <c r="D252" i="47"/>
  <c r="O252" i="47" s="1"/>
  <c r="C252" i="47"/>
  <c r="K252" i="47" s="1"/>
  <c r="B252" i="47"/>
  <c r="A252" i="47"/>
  <c r="U251" i="47"/>
  <c r="T251" i="47"/>
  <c r="A251" i="47"/>
  <c r="P251" i="47" s="1"/>
  <c r="U250" i="47"/>
  <c r="T250" i="47"/>
  <c r="V250" i="47" s="1"/>
  <c r="A250" i="47"/>
  <c r="V249" i="47"/>
  <c r="U249" i="47"/>
  <c r="T249" i="47"/>
  <c r="K249" i="47"/>
  <c r="J249" i="47"/>
  <c r="I249" i="47"/>
  <c r="C249" i="47"/>
  <c r="E249" i="47" s="1"/>
  <c r="B249" i="47"/>
  <c r="A249" i="47"/>
  <c r="V248" i="47"/>
  <c r="U248" i="47"/>
  <c r="T248" i="47"/>
  <c r="N248" i="47"/>
  <c r="M248" i="47"/>
  <c r="L248" i="47"/>
  <c r="K248" i="47"/>
  <c r="G248" i="47"/>
  <c r="F248" i="47"/>
  <c r="E248" i="47"/>
  <c r="D248" i="47"/>
  <c r="O248" i="47" s="1"/>
  <c r="C248" i="47"/>
  <c r="J248" i="47" s="1"/>
  <c r="B248" i="47"/>
  <c r="A248" i="47"/>
  <c r="U247" i="47"/>
  <c r="T247" i="47"/>
  <c r="V247" i="47" s="1"/>
  <c r="P247" i="47"/>
  <c r="N247" i="47"/>
  <c r="M247" i="47"/>
  <c r="L247" i="47"/>
  <c r="K247" i="47"/>
  <c r="J247" i="47"/>
  <c r="H247" i="47"/>
  <c r="G247" i="47"/>
  <c r="F247" i="47"/>
  <c r="C247" i="47"/>
  <c r="A247" i="47"/>
  <c r="U246" i="47"/>
  <c r="T246" i="47"/>
  <c r="V246" i="47" s="1"/>
  <c r="P246" i="47"/>
  <c r="A246" i="47"/>
  <c r="V245" i="47"/>
  <c r="U245" i="47"/>
  <c r="T245" i="47"/>
  <c r="A245" i="47"/>
  <c r="V244"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V241" i="47" s="1"/>
  <c r="D241" i="47"/>
  <c r="B241" i="47"/>
  <c r="A241" i="47"/>
  <c r="V240" i="47"/>
  <c r="U240" i="47"/>
  <c r="T240" i="47"/>
  <c r="N240" i="47"/>
  <c r="M240" i="47"/>
  <c r="L240" i="47"/>
  <c r="K240" i="47"/>
  <c r="G240" i="47"/>
  <c r="F240" i="47"/>
  <c r="E240" i="47"/>
  <c r="D240" i="47"/>
  <c r="C240" i="47"/>
  <c r="J240" i="47" s="1"/>
  <c r="B240" i="47"/>
  <c r="A240" i="47"/>
  <c r="P240" i="47" s="1"/>
  <c r="U239" i="47"/>
  <c r="T239" i="47"/>
  <c r="V239" i="47" s="1"/>
  <c r="A239" i="47"/>
  <c r="P239" i="47" s="1"/>
  <c r="U238" i="47"/>
  <c r="T238" i="47"/>
  <c r="V238" i="47" s="1"/>
  <c r="P238" i="47"/>
  <c r="N238" i="47"/>
  <c r="L238" i="47"/>
  <c r="K238" i="47"/>
  <c r="F238" i="47"/>
  <c r="E238" i="47"/>
  <c r="D238" i="47"/>
  <c r="O238" i="47" s="1"/>
  <c r="C238" i="47"/>
  <c r="B238" i="47"/>
  <c r="A238" i="47"/>
  <c r="Q238" i="47" s="1"/>
  <c r="U237" i="47"/>
  <c r="T237" i="47"/>
  <c r="V237" i="47" s="1"/>
  <c r="P237" i="47"/>
  <c r="O237" i="47"/>
  <c r="F237" i="47"/>
  <c r="D237" i="47"/>
  <c r="B237" i="47"/>
  <c r="A237" i="47"/>
  <c r="V236" i="47"/>
  <c r="U236" i="47"/>
  <c r="T236" i="47"/>
  <c r="M236" i="47"/>
  <c r="L236" i="47"/>
  <c r="F236" i="47"/>
  <c r="D236" i="47"/>
  <c r="C236" i="47"/>
  <c r="B236" i="47"/>
  <c r="A236" i="47"/>
  <c r="U235" i="47"/>
  <c r="T235" i="47"/>
  <c r="V235" i="47" s="1"/>
  <c r="P235" i="47"/>
  <c r="A235" i="47"/>
  <c r="U234" i="47"/>
  <c r="T234" i="47"/>
  <c r="V234" i="47" s="1"/>
  <c r="P234" i="47"/>
  <c r="N234" i="47"/>
  <c r="L234" i="47"/>
  <c r="F234" i="47"/>
  <c r="E234" i="47"/>
  <c r="D234" i="47"/>
  <c r="O234" i="47" s="1"/>
  <c r="C234" i="47"/>
  <c r="B234" i="47"/>
  <c r="K234" i="47" s="1"/>
  <c r="A234" i="47"/>
  <c r="U233" i="47"/>
  <c r="T233" i="47"/>
  <c r="V233" i="47" s="1"/>
  <c r="P233" i="47"/>
  <c r="F233" i="47"/>
  <c r="D233" i="47"/>
  <c r="O233" i="47" s="1"/>
  <c r="B233" i="47"/>
  <c r="A233" i="47"/>
  <c r="V232" i="47"/>
  <c r="U232" i="47"/>
  <c r="T232" i="47"/>
  <c r="H232" i="47"/>
  <c r="F232" i="47"/>
  <c r="D232" i="47"/>
  <c r="C232" i="47"/>
  <c r="M232" i="47" s="1"/>
  <c r="B232" i="47"/>
  <c r="A232" i="47"/>
  <c r="U231" i="47"/>
  <c r="T231" i="47"/>
  <c r="V231" i="47" s="1"/>
  <c r="P231" i="47"/>
  <c r="Q231" i="47" s="1"/>
  <c r="F231" i="47"/>
  <c r="A231" i="47"/>
  <c r="U230" i="47"/>
  <c r="V230" i="47" s="1"/>
  <c r="T230" i="47"/>
  <c r="P230" i="47"/>
  <c r="N230" i="47"/>
  <c r="L230" i="47"/>
  <c r="K230" i="47"/>
  <c r="J230" i="47"/>
  <c r="F230" i="47"/>
  <c r="E230" i="47"/>
  <c r="D230" i="47"/>
  <c r="O230" i="47" s="1"/>
  <c r="C230" i="47"/>
  <c r="M230" i="47" s="1"/>
  <c r="B230" i="47"/>
  <c r="A230" i="47"/>
  <c r="V229" i="47"/>
  <c r="U229" i="47"/>
  <c r="T229" i="47"/>
  <c r="P229" i="47"/>
  <c r="O229" i="47"/>
  <c r="F229" i="47"/>
  <c r="D229" i="47"/>
  <c r="B229" i="47"/>
  <c r="A229" i="47"/>
  <c r="U228" i="47"/>
  <c r="T228" i="47"/>
  <c r="V228" i="47" s="1"/>
  <c r="M228" i="47"/>
  <c r="L228" i="47"/>
  <c r="K228" i="47"/>
  <c r="J228" i="47"/>
  <c r="H228" i="47"/>
  <c r="F228" i="47"/>
  <c r="D228" i="47"/>
  <c r="C228" i="47"/>
  <c r="B228" i="47"/>
  <c r="A228" i="47"/>
  <c r="I228" i="47" s="1"/>
  <c r="U227" i="47"/>
  <c r="T227" i="47"/>
  <c r="V227" i="47" s="1"/>
  <c r="F227" i="47"/>
  <c r="A227" i="47"/>
  <c r="V226" i="47"/>
  <c r="U226" i="47"/>
  <c r="T226" i="47"/>
  <c r="P226" i="47"/>
  <c r="N226" i="47"/>
  <c r="L226" i="47"/>
  <c r="K226" i="47"/>
  <c r="F226" i="47"/>
  <c r="E226" i="47"/>
  <c r="D226" i="47"/>
  <c r="O226" i="47" s="1"/>
  <c r="C226" i="47"/>
  <c r="B226" i="47"/>
  <c r="A226" i="47"/>
  <c r="U225" i="47"/>
  <c r="T225" i="47"/>
  <c r="V225" i="47" s="1"/>
  <c r="P225" i="47"/>
  <c r="O225" i="47"/>
  <c r="F225" i="47"/>
  <c r="D225" i="47"/>
  <c r="B225" i="47"/>
  <c r="A225" i="47"/>
  <c r="U224" i="47"/>
  <c r="T224" i="47"/>
  <c r="V224" i="47" s="1"/>
  <c r="K224" i="47"/>
  <c r="F224" i="47"/>
  <c r="D224" i="47"/>
  <c r="C224" i="47"/>
  <c r="B224" i="47"/>
  <c r="A224" i="47"/>
  <c r="U223" i="47"/>
  <c r="T223" i="47"/>
  <c r="V223" i="47" s="1"/>
  <c r="A223" i="47"/>
  <c r="U222" i="47"/>
  <c r="T222" i="47"/>
  <c r="V222" i="47" s="1"/>
  <c r="P222" i="47"/>
  <c r="K222" i="47"/>
  <c r="F222" i="47"/>
  <c r="E222" i="47"/>
  <c r="D222" i="47"/>
  <c r="O222" i="47" s="1"/>
  <c r="C222" i="47"/>
  <c r="M222" i="47" s="1"/>
  <c r="B222" i="47"/>
  <c r="A222" i="47"/>
  <c r="Q222" i="47" s="1"/>
  <c r="U221" i="47"/>
  <c r="T221" i="47"/>
  <c r="V221" i="47" s="1"/>
  <c r="P221" i="47"/>
  <c r="F221" i="47"/>
  <c r="D221" i="47"/>
  <c r="O221" i="47" s="1"/>
  <c r="B221" i="47"/>
  <c r="A221" i="47"/>
  <c r="U220" i="47"/>
  <c r="V220" i="47" s="1"/>
  <c r="T220" i="47"/>
  <c r="M220" i="47"/>
  <c r="L220" i="47"/>
  <c r="K220" i="47"/>
  <c r="J220" i="47"/>
  <c r="H220" i="47"/>
  <c r="F220" i="47"/>
  <c r="D220" i="47"/>
  <c r="C220" i="47"/>
  <c r="B220" i="47"/>
  <c r="A220" i="47"/>
  <c r="U219" i="47"/>
  <c r="T219" i="47"/>
  <c r="V219" i="47" s="1"/>
  <c r="F219" i="47"/>
  <c r="A219" i="47"/>
  <c r="P219" i="47" s="1"/>
  <c r="U218" i="47"/>
  <c r="V218" i="47" s="1"/>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V215" i="47" s="1"/>
  <c r="P215" i="47"/>
  <c r="F215" i="47"/>
  <c r="B215" i="47"/>
  <c r="A215" i="47"/>
  <c r="V214" i="47"/>
  <c r="U214" i="47"/>
  <c r="T214" i="47"/>
  <c r="P214" i="47"/>
  <c r="N214" i="47"/>
  <c r="L214" i="47"/>
  <c r="F214" i="47"/>
  <c r="E214" i="47"/>
  <c r="D214" i="47"/>
  <c r="O214" i="47" s="1"/>
  <c r="C214" i="47"/>
  <c r="M214" i="47" s="1"/>
  <c r="B214" i="47"/>
  <c r="K214" i="47" s="1"/>
  <c r="A214" i="47"/>
  <c r="U213" i="47"/>
  <c r="T213" i="47"/>
  <c r="V213" i="47" s="1"/>
  <c r="P213" i="47"/>
  <c r="O213" i="47"/>
  <c r="F213" i="47"/>
  <c r="D213" i="47"/>
  <c r="B213" i="47"/>
  <c r="A213" i="47"/>
  <c r="V212" i="47"/>
  <c r="U212" i="47"/>
  <c r="T212" i="47"/>
  <c r="N212" i="47"/>
  <c r="M212" i="47"/>
  <c r="L212" i="47"/>
  <c r="K212" i="47"/>
  <c r="J212" i="47"/>
  <c r="F212" i="47"/>
  <c r="H212" i="47" s="1"/>
  <c r="D212" i="47"/>
  <c r="C212" i="47"/>
  <c r="B212" i="47"/>
  <c r="A212" i="47"/>
  <c r="I212" i="47" s="1"/>
  <c r="U211" i="47"/>
  <c r="T211" i="47"/>
  <c r="V211" i="47" s="1"/>
  <c r="A211" i="47"/>
  <c r="U210" i="47"/>
  <c r="T210" i="47"/>
  <c r="V210" i="47" s="1"/>
  <c r="P210" i="47"/>
  <c r="L210" i="47"/>
  <c r="J210" i="47"/>
  <c r="F210" i="47"/>
  <c r="E210" i="47"/>
  <c r="D210" i="47"/>
  <c r="O210" i="47" s="1"/>
  <c r="C210" i="47"/>
  <c r="M210" i="47" s="1"/>
  <c r="B210" i="47"/>
  <c r="K210" i="47" s="1"/>
  <c r="A210" i="47"/>
  <c r="V209" i="47"/>
  <c r="U209" i="47"/>
  <c r="T209" i="47"/>
  <c r="P209" i="47"/>
  <c r="N209" i="47"/>
  <c r="J209" i="47"/>
  <c r="I209" i="47"/>
  <c r="H209" i="47"/>
  <c r="G209" i="47"/>
  <c r="F209" i="47"/>
  <c r="D209" i="47"/>
  <c r="O209" i="47" s="1"/>
  <c r="C209" i="47"/>
  <c r="B209" i="47"/>
  <c r="A209" i="47"/>
  <c r="E209" i="47" s="1"/>
  <c r="U208" i="47"/>
  <c r="T208" i="47"/>
  <c r="V208" i="47" s="1"/>
  <c r="K208" i="47"/>
  <c r="H208" i="47"/>
  <c r="F208" i="47"/>
  <c r="D208" i="47"/>
  <c r="C208" i="47"/>
  <c r="B208" i="47"/>
  <c r="A208" i="47"/>
  <c r="U207" i="47"/>
  <c r="T207" i="47"/>
  <c r="V207" i="47" s="1"/>
  <c r="F207" i="47"/>
  <c r="A207" i="47"/>
  <c r="U206" i="47"/>
  <c r="V206" i="47" s="1"/>
  <c r="T206" i="47"/>
  <c r="P206" i="47"/>
  <c r="F206" i="47"/>
  <c r="D206" i="47"/>
  <c r="O206" i="47" s="1"/>
  <c r="C206" i="47"/>
  <c r="N206" i="47" s="1"/>
  <c r="B206" i="47"/>
  <c r="A206" i="47"/>
  <c r="Q206" i="47" s="1"/>
  <c r="V205" i="47"/>
  <c r="U205" i="47"/>
  <c r="T205" i="47"/>
  <c r="P205" i="47"/>
  <c r="N205" i="47"/>
  <c r="J205" i="47"/>
  <c r="I205" i="47"/>
  <c r="H205" i="47"/>
  <c r="G205" i="47"/>
  <c r="F205" i="47"/>
  <c r="D205" i="47"/>
  <c r="O205" i="47" s="1"/>
  <c r="C205" i="47"/>
  <c r="B205" i="47"/>
  <c r="A205" i="47"/>
  <c r="E205" i="47" s="1"/>
  <c r="V204" i="47"/>
  <c r="U204" i="47"/>
  <c r="T204" i="47"/>
  <c r="N204" i="47"/>
  <c r="M204" i="47"/>
  <c r="J204" i="47"/>
  <c r="H204" i="47"/>
  <c r="F204" i="47"/>
  <c r="L204" i="47" s="1"/>
  <c r="D204" i="47"/>
  <c r="C204" i="47"/>
  <c r="B204" i="47"/>
  <c r="K204" i="47" s="1"/>
  <c r="A204" i="47"/>
  <c r="I204" i="47" s="1"/>
  <c r="U203" i="47"/>
  <c r="T203" i="47"/>
  <c r="V203" i="47" s="1"/>
  <c r="A203" i="47"/>
  <c r="U202" i="47"/>
  <c r="T202" i="47"/>
  <c r="V202" i="47" s="1"/>
  <c r="P202" i="47"/>
  <c r="L202" i="47"/>
  <c r="K202" i="47"/>
  <c r="J202" i="47"/>
  <c r="F202" i="47"/>
  <c r="E202" i="47"/>
  <c r="D202" i="47"/>
  <c r="O202" i="47" s="1"/>
  <c r="C202" i="47"/>
  <c r="B202" i="47"/>
  <c r="A202" i="47"/>
  <c r="V201"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V199" i="47" s="1"/>
  <c r="A199" i="47"/>
  <c r="U198" i="47"/>
  <c r="T198" i="47"/>
  <c r="V198" i="47" s="1"/>
  <c r="P198" i="47"/>
  <c r="F198" i="47"/>
  <c r="D198" i="47"/>
  <c r="O198" i="47" s="1"/>
  <c r="C198" i="47"/>
  <c r="N198" i="47" s="1"/>
  <c r="B198" i="47"/>
  <c r="A198" i="47"/>
  <c r="Q198" i="47" s="1"/>
  <c r="V197" i="47"/>
  <c r="U197" i="47"/>
  <c r="T197" i="47"/>
  <c r="P197" i="47"/>
  <c r="F197" i="47"/>
  <c r="D197" i="47"/>
  <c r="O197" i="47" s="1"/>
  <c r="C197" i="47"/>
  <c r="N197" i="47" s="1"/>
  <c r="B197" i="47"/>
  <c r="G197" i="47" s="1"/>
  <c r="A197" i="47"/>
  <c r="U196" i="47"/>
  <c r="T196" i="47"/>
  <c r="V196" i="47" s="1"/>
  <c r="M196" i="47"/>
  <c r="J196" i="47"/>
  <c r="F196" i="47"/>
  <c r="D196" i="47"/>
  <c r="O196" i="47" s="1"/>
  <c r="C196" i="47"/>
  <c r="E196" i="47" s="1"/>
  <c r="B196" i="47"/>
  <c r="A196" i="47"/>
  <c r="I196" i="47" s="1"/>
  <c r="U195" i="47"/>
  <c r="T195" i="47"/>
  <c r="V195" i="47" s="1"/>
  <c r="P195" i="47"/>
  <c r="F195" i="47"/>
  <c r="A195" i="47"/>
  <c r="U194" i="47"/>
  <c r="V194" i="47" s="1"/>
  <c r="T194" i="47"/>
  <c r="P194" i="47"/>
  <c r="O194" i="47"/>
  <c r="N194" i="47"/>
  <c r="L194" i="47"/>
  <c r="K194" i="47"/>
  <c r="J194" i="47"/>
  <c r="F194" i="47"/>
  <c r="E194" i="47"/>
  <c r="D194" i="47"/>
  <c r="C194" i="47"/>
  <c r="B194" i="47"/>
  <c r="A194" i="47"/>
  <c r="U193" i="47"/>
  <c r="T193" i="47"/>
  <c r="V193" i="47" s="1"/>
  <c r="P193" i="47"/>
  <c r="N193" i="47"/>
  <c r="J193" i="47"/>
  <c r="H193" i="47"/>
  <c r="F193" i="47"/>
  <c r="D193" i="47"/>
  <c r="O193" i="47" s="1"/>
  <c r="C193" i="47"/>
  <c r="I193" i="47" s="1"/>
  <c r="B193" i="47"/>
  <c r="A193" i="47"/>
  <c r="E193" i="47" s="1"/>
  <c r="U192" i="47"/>
  <c r="T192" i="47"/>
  <c r="V192" i="47" s="1"/>
  <c r="N192" i="47"/>
  <c r="J192" i="47"/>
  <c r="G192" i="47"/>
  <c r="F192" i="47"/>
  <c r="D192" i="47"/>
  <c r="O192" i="47" s="1"/>
  <c r="C192" i="47"/>
  <c r="E192" i="47" s="1"/>
  <c r="B192" i="47"/>
  <c r="A192" i="47"/>
  <c r="U191" i="47"/>
  <c r="T191" i="47"/>
  <c r="V191" i="47" s="1"/>
  <c r="A191" i="47"/>
  <c r="U190" i="47"/>
  <c r="T190" i="47"/>
  <c r="V190" i="47" s="1"/>
  <c r="P190" i="47"/>
  <c r="O190" i="47"/>
  <c r="L190" i="47"/>
  <c r="F190" i="47"/>
  <c r="D190" i="47"/>
  <c r="C190" i="47"/>
  <c r="B190" i="47"/>
  <c r="A190" i="47"/>
  <c r="V189" i="47"/>
  <c r="U189" i="47"/>
  <c r="T189" i="47"/>
  <c r="P189" i="47"/>
  <c r="N189" i="47"/>
  <c r="J189" i="47"/>
  <c r="I189" i="47"/>
  <c r="F189" i="47"/>
  <c r="D189" i="47"/>
  <c r="O189" i="47" s="1"/>
  <c r="C189" i="47"/>
  <c r="H189" i="47" s="1"/>
  <c r="B189" i="47"/>
  <c r="G189" i="47" s="1"/>
  <c r="A189" i="47"/>
  <c r="U188" i="47"/>
  <c r="T188" i="47"/>
  <c r="V188" i="47" s="1"/>
  <c r="M188" i="47"/>
  <c r="H188" i="47"/>
  <c r="F188" i="47"/>
  <c r="D188" i="47"/>
  <c r="O188" i="47" s="1"/>
  <c r="C188" i="47"/>
  <c r="E188" i="47" s="1"/>
  <c r="B188" i="47"/>
  <c r="A188" i="47"/>
  <c r="U187" i="47"/>
  <c r="T187" i="47"/>
  <c r="V187" i="47" s="1"/>
  <c r="A187" i="47"/>
  <c r="U186" i="47"/>
  <c r="V186" i="47" s="1"/>
  <c r="T186" i="47"/>
  <c r="P186" i="47"/>
  <c r="O186" i="47"/>
  <c r="L186" i="47"/>
  <c r="F186" i="47"/>
  <c r="E186" i="47"/>
  <c r="D186" i="47"/>
  <c r="C186" i="47"/>
  <c r="N186" i="47" s="1"/>
  <c r="B186" i="47"/>
  <c r="A186" i="47"/>
  <c r="Q186" i="47" s="1"/>
  <c r="U185" i="47"/>
  <c r="V185" i="47" s="1"/>
  <c r="T185" i="47"/>
  <c r="F185" i="47"/>
  <c r="A185" i="47"/>
  <c r="U184" i="47"/>
  <c r="V184" i="47" s="1"/>
  <c r="T184" i="47"/>
  <c r="M184" i="47"/>
  <c r="J184" i="47"/>
  <c r="F184" i="47"/>
  <c r="E184" i="47"/>
  <c r="D184" i="47"/>
  <c r="O184" i="47" s="1"/>
  <c r="C184" i="47"/>
  <c r="H184" i="47" s="1"/>
  <c r="B184" i="47"/>
  <c r="A184" i="47"/>
  <c r="I184" i="47" s="1"/>
  <c r="U183" i="47"/>
  <c r="T183" i="47"/>
  <c r="V183" i="47" s="1"/>
  <c r="F183" i="47"/>
  <c r="A183" i="47"/>
  <c r="V182" i="47"/>
  <c r="U182" i="47"/>
  <c r="T182" i="47"/>
  <c r="P182" i="47"/>
  <c r="N182" i="47"/>
  <c r="K182" i="47"/>
  <c r="F182" i="47"/>
  <c r="D182" i="47"/>
  <c r="O182" i="47" s="1"/>
  <c r="C182" i="47"/>
  <c r="M182" i="47" s="1"/>
  <c r="B182" i="47"/>
  <c r="A182" i="47"/>
  <c r="V181" i="47"/>
  <c r="U181" i="47"/>
  <c r="T181" i="47"/>
  <c r="I181" i="47"/>
  <c r="D181" i="47"/>
  <c r="O181" i="47" s="1"/>
  <c r="C181" i="47"/>
  <c r="A181" i="47"/>
  <c r="V180" i="47"/>
  <c r="U180" i="47"/>
  <c r="T180" i="47"/>
  <c r="L180" i="47"/>
  <c r="H180" i="47"/>
  <c r="F180" i="47"/>
  <c r="D180" i="47"/>
  <c r="O180" i="47" s="1"/>
  <c r="C180" i="47"/>
  <c r="G180" i="47" s="1"/>
  <c r="B180" i="47"/>
  <c r="A180" i="47"/>
  <c r="U179" i="47"/>
  <c r="T179" i="47"/>
  <c r="V179" i="47" s="1"/>
  <c r="F179" i="47"/>
  <c r="B179" i="47"/>
  <c r="A179" i="47"/>
  <c r="P179" i="47" s="1"/>
  <c r="U178" i="47"/>
  <c r="V178" i="47" s="1"/>
  <c r="T178" i="47"/>
  <c r="P178" i="47"/>
  <c r="F178" i="47"/>
  <c r="D178" i="47"/>
  <c r="O178" i="47" s="1"/>
  <c r="C178" i="47"/>
  <c r="B178" i="47"/>
  <c r="A178" i="47"/>
  <c r="U177" i="47"/>
  <c r="V177" i="47" s="1"/>
  <c r="T177" i="47"/>
  <c r="D177" i="47"/>
  <c r="C177" i="47"/>
  <c r="B177" i="47"/>
  <c r="A177" i="47"/>
  <c r="P177" i="47" s="1"/>
  <c r="Q177" i="47" s="1"/>
  <c r="U176" i="47"/>
  <c r="V176" i="47" s="1"/>
  <c r="T176" i="47"/>
  <c r="F176" i="47"/>
  <c r="D176" i="47"/>
  <c r="O176" i="47" s="1"/>
  <c r="C176" i="47"/>
  <c r="B176" i="47"/>
  <c r="A176" i="47"/>
  <c r="U175" i="47"/>
  <c r="T175" i="47"/>
  <c r="V175" i="47" s="1"/>
  <c r="P175" i="47"/>
  <c r="F175" i="47"/>
  <c r="B175" i="47"/>
  <c r="A175" i="47"/>
  <c r="Q175" i="47" s="1"/>
  <c r="U174" i="47"/>
  <c r="T174" i="47"/>
  <c r="V174" i="47" s="1"/>
  <c r="P174" i="47"/>
  <c r="O174" i="47"/>
  <c r="F174" i="47"/>
  <c r="D174" i="47"/>
  <c r="C174" i="47"/>
  <c r="B174" i="47"/>
  <c r="A174" i="47"/>
  <c r="Q174" i="47" s="1"/>
  <c r="U173" i="47"/>
  <c r="T173" i="47"/>
  <c r="V173" i="47" s="1"/>
  <c r="P173" i="47"/>
  <c r="C173" i="47"/>
  <c r="J173" i="47" s="1"/>
  <c r="B173" i="47"/>
  <c r="G173" i="47" s="1"/>
  <c r="A173" i="47"/>
  <c r="U172" i="47"/>
  <c r="T172" i="47"/>
  <c r="V172" i="47" s="1"/>
  <c r="F172" i="47"/>
  <c r="D172" i="47"/>
  <c r="O172" i="47" s="1"/>
  <c r="C172" i="47"/>
  <c r="B172" i="47"/>
  <c r="A172" i="47"/>
  <c r="U171" i="47"/>
  <c r="T171" i="47"/>
  <c r="V171" i="47" s="1"/>
  <c r="H171" i="47"/>
  <c r="F171" i="47"/>
  <c r="C171" i="47"/>
  <c r="B171" i="47"/>
  <c r="A171" i="47"/>
  <c r="P171" i="47" s="1"/>
  <c r="U170" i="47"/>
  <c r="T170" i="47"/>
  <c r="V170" i="47" s="1"/>
  <c r="P170" i="47"/>
  <c r="F170" i="47"/>
  <c r="D170" i="47"/>
  <c r="O170" i="47" s="1"/>
  <c r="C170" i="47"/>
  <c r="B170" i="47"/>
  <c r="A170" i="47"/>
  <c r="U169" i="47"/>
  <c r="V169" i="47" s="1"/>
  <c r="T169" i="47"/>
  <c r="F169" i="47"/>
  <c r="D169" i="47"/>
  <c r="A169" i="47"/>
  <c r="P169" i="47" s="1"/>
  <c r="V168" i="47"/>
  <c r="U168" i="47"/>
  <c r="T168" i="47"/>
  <c r="M168" i="47"/>
  <c r="J168" i="47"/>
  <c r="G168" i="47"/>
  <c r="F168" i="47"/>
  <c r="E168" i="47"/>
  <c r="D168" i="47"/>
  <c r="O168" i="47" s="1"/>
  <c r="C168" i="47"/>
  <c r="B168" i="47"/>
  <c r="A168" i="47"/>
  <c r="I168" i="47" s="1"/>
  <c r="U167" i="47"/>
  <c r="T167" i="47"/>
  <c r="V167" i="47" s="1"/>
  <c r="A167" i="47"/>
  <c r="U166" i="47"/>
  <c r="V166" i="47" s="1"/>
  <c r="T166" i="47"/>
  <c r="P166" i="47"/>
  <c r="L166" i="47"/>
  <c r="J166" i="47"/>
  <c r="F166" i="47"/>
  <c r="E166" i="47"/>
  <c r="D166" i="47"/>
  <c r="O166" i="47" s="1"/>
  <c r="C166" i="47"/>
  <c r="I166" i="47" s="1"/>
  <c r="B166" i="47"/>
  <c r="G166" i="47" s="1"/>
  <c r="A166" i="47"/>
  <c r="V165" i="47"/>
  <c r="U165" i="47"/>
  <c r="T165" i="47"/>
  <c r="A165" i="47"/>
  <c r="U164" i="47"/>
  <c r="T164" i="47"/>
  <c r="V164" i="47" s="1"/>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V162" i="47" s="1"/>
  <c r="T162" i="47"/>
  <c r="P162" i="47"/>
  <c r="O162" i="47"/>
  <c r="L162" i="47"/>
  <c r="F162" i="47"/>
  <c r="D162" i="47"/>
  <c r="C162" i="47"/>
  <c r="B162" i="47"/>
  <c r="A162" i="47"/>
  <c r="Q162" i="47" s="1"/>
  <c r="V161" i="47"/>
  <c r="U161" i="47"/>
  <c r="T161" i="47"/>
  <c r="F161" i="47"/>
  <c r="D161" i="47"/>
  <c r="O161" i="47" s="1"/>
  <c r="A161" i="47"/>
  <c r="U160" i="47"/>
  <c r="T160" i="47"/>
  <c r="V160" i="47" s="1"/>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V158" i="47" s="1"/>
  <c r="T158" i="47"/>
  <c r="P158" i="47"/>
  <c r="O158" i="47"/>
  <c r="N158" i="47"/>
  <c r="M158" i="47"/>
  <c r="J158" i="47"/>
  <c r="G158" i="47"/>
  <c r="F158" i="47"/>
  <c r="D158" i="47"/>
  <c r="C158" i="47"/>
  <c r="I158" i="47" s="1"/>
  <c r="B158" i="47"/>
  <c r="A158" i="47"/>
  <c r="V157" i="47"/>
  <c r="U157" i="47"/>
  <c r="T157" i="47"/>
  <c r="P157" i="47"/>
  <c r="Q157" i="47" s="1"/>
  <c r="A157" i="47"/>
  <c r="U156" i="47"/>
  <c r="T156" i="47"/>
  <c r="V156" i="47" s="1"/>
  <c r="O156" i="47"/>
  <c r="N156" i="47"/>
  <c r="M156" i="47"/>
  <c r="L156" i="47"/>
  <c r="K156" i="47"/>
  <c r="J156" i="47"/>
  <c r="H156" i="47"/>
  <c r="G156" i="47"/>
  <c r="F156" i="47"/>
  <c r="E156" i="47"/>
  <c r="D156" i="47"/>
  <c r="C156" i="47"/>
  <c r="B156" i="47"/>
  <c r="A156" i="47"/>
  <c r="U155" i="47"/>
  <c r="T155" i="47"/>
  <c r="V155" i="47" s="1"/>
  <c r="P155" i="47"/>
  <c r="Q155" i="47" s="1"/>
  <c r="N155" i="47"/>
  <c r="L155" i="47"/>
  <c r="J155" i="47"/>
  <c r="I155" i="47"/>
  <c r="H155" i="47"/>
  <c r="G155" i="47"/>
  <c r="F155" i="47"/>
  <c r="C155" i="47"/>
  <c r="B155" i="47"/>
  <c r="K155" i="47" s="1"/>
  <c r="A155" i="47"/>
  <c r="U154" i="47"/>
  <c r="T154" i="47"/>
  <c r="V154" i="47" s="1"/>
  <c r="P154" i="47"/>
  <c r="O154" i="47"/>
  <c r="M154" i="47"/>
  <c r="K154" i="47"/>
  <c r="F154" i="47"/>
  <c r="D154" i="47"/>
  <c r="C154" i="47"/>
  <c r="L154" i="47" s="1"/>
  <c r="B154" i="47"/>
  <c r="A154" i="47"/>
  <c r="V153" i="47"/>
  <c r="U153" i="47"/>
  <c r="T153" i="47"/>
  <c r="N153" i="47"/>
  <c r="K153" i="47"/>
  <c r="E153" i="47"/>
  <c r="C153" i="47"/>
  <c r="B153" i="47"/>
  <c r="A153" i="47"/>
  <c r="V152" i="47"/>
  <c r="U152" i="47"/>
  <c r="T152" i="47"/>
  <c r="G152" i="47"/>
  <c r="F152" i="47"/>
  <c r="D152" i="47"/>
  <c r="O152" i="47" s="1"/>
  <c r="C152" i="47"/>
  <c r="B152" i="47"/>
  <c r="M152" i="47" s="1"/>
  <c r="A152" i="47"/>
  <c r="U151" i="47"/>
  <c r="T151" i="47"/>
  <c r="V151" i="47" s="1"/>
  <c r="P151" i="47"/>
  <c r="F151" i="47"/>
  <c r="C151" i="47"/>
  <c r="G151" i="47" s="1"/>
  <c r="A151" i="47"/>
  <c r="U150" i="47"/>
  <c r="T150" i="47"/>
  <c r="V150" i="47" s="1"/>
  <c r="B150" i="47"/>
  <c r="A150" i="47"/>
  <c r="V149" i="47"/>
  <c r="U149" i="47"/>
  <c r="T149" i="47"/>
  <c r="N149" i="47"/>
  <c r="J149" i="47"/>
  <c r="H149" i="47"/>
  <c r="G149" i="47"/>
  <c r="F149" i="47"/>
  <c r="E149" i="47"/>
  <c r="D149" i="47"/>
  <c r="C149" i="47"/>
  <c r="B149" i="47"/>
  <c r="I149" i="47" s="1"/>
  <c r="A149" i="47"/>
  <c r="P149" i="47" s="1"/>
  <c r="U148" i="47"/>
  <c r="V148" i="47" s="1"/>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V146" i="47" s="1"/>
  <c r="T146" i="47"/>
  <c r="D146" i="47"/>
  <c r="A146" i="47"/>
  <c r="P146" i="47" s="1"/>
  <c r="Q146" i="47" s="1"/>
  <c r="U145" i="47"/>
  <c r="T145" i="47"/>
  <c r="V145" i="47" s="1"/>
  <c r="P145" i="47"/>
  <c r="A145" i="47"/>
  <c r="U144" i="47"/>
  <c r="T144" i="47"/>
  <c r="V144" i="47" s="1"/>
  <c r="O144" i="47"/>
  <c r="N144" i="47"/>
  <c r="M144" i="47"/>
  <c r="K144" i="47"/>
  <c r="F144" i="47"/>
  <c r="D144" i="47"/>
  <c r="C144" i="47"/>
  <c r="L144" i="47" s="1"/>
  <c r="B144" i="47"/>
  <c r="A144" i="47"/>
  <c r="U143" i="47"/>
  <c r="T143" i="47"/>
  <c r="P143" i="47"/>
  <c r="F143" i="47"/>
  <c r="B143" i="47"/>
  <c r="A143" i="47"/>
  <c r="U142" i="47"/>
  <c r="V142" i="47" s="1"/>
  <c r="T142" i="47"/>
  <c r="F142" i="47"/>
  <c r="D142" i="47"/>
  <c r="C142" i="47"/>
  <c r="A142" i="47"/>
  <c r="U141" i="47"/>
  <c r="T141" i="47"/>
  <c r="V141" i="47" s="1"/>
  <c r="A141" i="47"/>
  <c r="V140" i="47"/>
  <c r="U140" i="47"/>
  <c r="T140" i="47"/>
  <c r="L140" i="47"/>
  <c r="H140" i="47"/>
  <c r="F140" i="47"/>
  <c r="E140" i="47"/>
  <c r="D140" i="47"/>
  <c r="O140" i="47" s="1"/>
  <c r="C140" i="47"/>
  <c r="G140" i="47" s="1"/>
  <c r="B140" i="47"/>
  <c r="I140" i="47" s="1"/>
  <c r="A140" i="47"/>
  <c r="N140" i="47" s="1"/>
  <c r="U139" i="47"/>
  <c r="T139" i="47"/>
  <c r="V139" i="47" s="1"/>
  <c r="A139" i="47"/>
  <c r="U138" i="47"/>
  <c r="T138" i="47"/>
  <c r="V138" i="47" s="1"/>
  <c r="P138" i="47"/>
  <c r="O138" i="47"/>
  <c r="D138" i="47"/>
  <c r="A138" i="47"/>
  <c r="U137" i="47"/>
  <c r="T137" i="47"/>
  <c r="V137" i="47" s="1"/>
  <c r="Q137" i="47"/>
  <c r="P137" i="47"/>
  <c r="B137" i="47"/>
  <c r="A137" i="47"/>
  <c r="U136" i="47"/>
  <c r="V136" i="47" s="1"/>
  <c r="T136" i="47"/>
  <c r="N136" i="47"/>
  <c r="M136" i="47"/>
  <c r="J136" i="47"/>
  <c r="E136" i="47"/>
  <c r="D136" i="47"/>
  <c r="O136" i="47" s="1"/>
  <c r="C136" i="47"/>
  <c r="B136" i="47"/>
  <c r="G136" i="47" s="1"/>
  <c r="A136" i="47"/>
  <c r="U135" i="47"/>
  <c r="T135" i="47"/>
  <c r="A135" i="47"/>
  <c r="U134" i="47"/>
  <c r="V134" i="47" s="1"/>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V132" i="47" s="1"/>
  <c r="T132" i="47"/>
  <c r="Q132" i="47"/>
  <c r="O132" i="47"/>
  <c r="N132" i="47"/>
  <c r="M132" i="47"/>
  <c r="L132" i="47"/>
  <c r="K132" i="47"/>
  <c r="J132" i="47"/>
  <c r="H132" i="47"/>
  <c r="G132" i="47"/>
  <c r="F132" i="47"/>
  <c r="E132" i="47"/>
  <c r="D132" i="47"/>
  <c r="C132" i="47"/>
  <c r="B132" i="47"/>
  <c r="I132" i="47" s="1"/>
  <c r="A132" i="47"/>
  <c r="P132" i="47" s="1"/>
  <c r="U131" i="47"/>
  <c r="T131" i="47"/>
  <c r="A131" i="47"/>
  <c r="V130" i="47"/>
  <c r="U130" i="47"/>
  <c r="T130" i="47"/>
  <c r="P130" i="47"/>
  <c r="M130" i="47"/>
  <c r="D130" i="47"/>
  <c r="C130" i="47"/>
  <c r="G130" i="47" s="1"/>
  <c r="B130" i="47"/>
  <c r="A130" i="47"/>
  <c r="Q130" i="47" s="1"/>
  <c r="U129" i="47"/>
  <c r="V129" i="47" s="1"/>
  <c r="T129" i="47"/>
  <c r="A129" i="47"/>
  <c r="U128" i="47"/>
  <c r="V128" i="47" s="1"/>
  <c r="T128" i="47"/>
  <c r="Q128" i="47"/>
  <c r="F128" i="47"/>
  <c r="D128" i="47"/>
  <c r="O128" i="47" s="1"/>
  <c r="C128" i="47"/>
  <c r="G128" i="47" s="1"/>
  <c r="B128" i="47"/>
  <c r="A128" i="47"/>
  <c r="P128" i="47" s="1"/>
  <c r="U127" i="47"/>
  <c r="T127" i="47"/>
  <c r="V127" i="47" s="1"/>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V125" i="47" s="1"/>
  <c r="T125" i="47"/>
  <c r="G125" i="47"/>
  <c r="E125" i="47"/>
  <c r="C125" i="47"/>
  <c r="B125" i="47"/>
  <c r="K125" i="47" s="1"/>
  <c r="A125" i="47"/>
  <c r="P125" i="47" s="1"/>
  <c r="Q125" i="47" s="1"/>
  <c r="U124" i="47"/>
  <c r="V124" i="47" s="1"/>
  <c r="T124" i="47"/>
  <c r="N124" i="47"/>
  <c r="J124" i="47"/>
  <c r="E124" i="47"/>
  <c r="D124" i="47"/>
  <c r="C124" i="47"/>
  <c r="B124" i="47"/>
  <c r="A124" i="47"/>
  <c r="O124" i="47" s="1"/>
  <c r="U123" i="47"/>
  <c r="T123" i="47"/>
  <c r="V123" i="47" s="1"/>
  <c r="C123" i="47"/>
  <c r="A123" i="47"/>
  <c r="U122" i="47"/>
  <c r="V122" i="47" s="1"/>
  <c r="T122" i="47"/>
  <c r="P122" i="47"/>
  <c r="L122" i="47"/>
  <c r="I122" i="47"/>
  <c r="E122" i="47"/>
  <c r="D122" i="47"/>
  <c r="C122" i="47"/>
  <c r="B122" i="47"/>
  <c r="A122" i="47"/>
  <c r="Q122" i="47" s="1"/>
  <c r="U121" i="47"/>
  <c r="V121" i="47" s="1"/>
  <c r="T121" i="47"/>
  <c r="J121" i="47"/>
  <c r="G121" i="47"/>
  <c r="F121" i="47"/>
  <c r="N121" i="47" s="1"/>
  <c r="E121" i="47"/>
  <c r="D121" i="47"/>
  <c r="O121" i="47" s="1"/>
  <c r="C121" i="47"/>
  <c r="I121" i="47" s="1"/>
  <c r="B121" i="47"/>
  <c r="A121" i="47"/>
  <c r="V120" i="47"/>
  <c r="U120" i="47"/>
  <c r="T120" i="47"/>
  <c r="I120" i="47"/>
  <c r="F120" i="47"/>
  <c r="C120" i="47"/>
  <c r="A120" i="47"/>
  <c r="U119" i="47"/>
  <c r="T119" i="47"/>
  <c r="J119" i="47"/>
  <c r="H119" i="47"/>
  <c r="F119" i="47"/>
  <c r="C119" i="47"/>
  <c r="N119" i="47" s="1"/>
  <c r="B119" i="47"/>
  <c r="A119" i="47"/>
  <c r="P119" i="47" s="1"/>
  <c r="U118" i="47"/>
  <c r="T118" i="47"/>
  <c r="V118" i="47" s="1"/>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V116" i="47"/>
  <c r="U116" i="47"/>
  <c r="T116" i="47"/>
  <c r="F116" i="47"/>
  <c r="A116" i="47"/>
  <c r="U115" i="47"/>
  <c r="T115" i="47"/>
  <c r="O115" i="47"/>
  <c r="N115" i="47"/>
  <c r="M115" i="47"/>
  <c r="L115" i="47"/>
  <c r="K115" i="47"/>
  <c r="J115" i="47"/>
  <c r="H115" i="47"/>
  <c r="G115" i="47"/>
  <c r="F115" i="47"/>
  <c r="E115" i="47"/>
  <c r="C115" i="47"/>
  <c r="B115" i="47"/>
  <c r="I115" i="47" s="1"/>
  <c r="A115" i="47"/>
  <c r="D115" i="47" s="1"/>
  <c r="V114" i="47"/>
  <c r="U114" i="47"/>
  <c r="T114" i="47"/>
  <c r="P114" i="47"/>
  <c r="A114" i="47"/>
  <c r="U113" i="47"/>
  <c r="T113" i="47"/>
  <c r="V113" i="47" s="1"/>
  <c r="P113" i="47"/>
  <c r="K113" i="47"/>
  <c r="G113" i="47"/>
  <c r="C113" i="47"/>
  <c r="A113" i="47"/>
  <c r="J113" i="47" s="1"/>
  <c r="U112" i="47"/>
  <c r="V112" i="47" s="1"/>
  <c r="T112" i="47"/>
  <c r="A112" i="47"/>
  <c r="U111" i="47"/>
  <c r="T111" i="47"/>
  <c r="V111" i="47" s="1"/>
  <c r="P111" i="47"/>
  <c r="C111" i="47"/>
  <c r="G111" i="47" s="1"/>
  <c r="B111" i="47"/>
  <c r="A111" i="47"/>
  <c r="U110" i="47"/>
  <c r="T110" i="47"/>
  <c r="V110" i="47" s="1"/>
  <c r="I110" i="47"/>
  <c r="E110" i="47"/>
  <c r="D110" i="47"/>
  <c r="O110" i="47" s="1"/>
  <c r="C110" i="47"/>
  <c r="B110" i="47"/>
  <c r="A110" i="47"/>
  <c r="P110" i="47" s="1"/>
  <c r="Q110" i="47" s="1"/>
  <c r="U109" i="47"/>
  <c r="V109" i="47" s="1"/>
  <c r="T109" i="47"/>
  <c r="F109" i="47"/>
  <c r="A109" i="47"/>
  <c r="P109" i="47" s="1"/>
  <c r="U108" i="47"/>
  <c r="T108" i="47"/>
  <c r="V108" i="47" s="1"/>
  <c r="F108" i="47"/>
  <c r="D108" i="47"/>
  <c r="O108" i="47" s="1"/>
  <c r="B108" i="47"/>
  <c r="A108" i="47"/>
  <c r="U107" i="47"/>
  <c r="T107" i="47"/>
  <c r="J107" i="47"/>
  <c r="E107" i="47"/>
  <c r="C107" i="47"/>
  <c r="K107" i="47" s="1"/>
  <c r="A107" i="47"/>
  <c r="P107" i="47" s="1"/>
  <c r="Q107" i="47" s="1"/>
  <c r="U106" i="47"/>
  <c r="T106" i="47"/>
  <c r="V106" i="47" s="1"/>
  <c r="F106" i="47"/>
  <c r="A106" i="47"/>
  <c r="U105" i="47"/>
  <c r="T105" i="47"/>
  <c r="V105" i="47" s="1"/>
  <c r="P105" i="47"/>
  <c r="J105" i="47"/>
  <c r="H105" i="47"/>
  <c r="G105" i="47"/>
  <c r="C105" i="47"/>
  <c r="A105" i="47"/>
  <c r="V104" i="47"/>
  <c r="U104" i="47"/>
  <c r="T104" i="47"/>
  <c r="O104" i="47"/>
  <c r="M104" i="47"/>
  <c r="L104" i="47"/>
  <c r="J104" i="47"/>
  <c r="I104" i="47"/>
  <c r="G104" i="47"/>
  <c r="F104" i="47"/>
  <c r="E104" i="47"/>
  <c r="D104" i="47"/>
  <c r="C104" i="47"/>
  <c r="H104" i="47" s="1"/>
  <c r="B104" i="47"/>
  <c r="K104" i="47" s="1"/>
  <c r="A104" i="47"/>
  <c r="U103" i="47"/>
  <c r="T103" i="47"/>
  <c r="V103" i="47" s="1"/>
  <c r="P103" i="47"/>
  <c r="N103" i="47"/>
  <c r="L103" i="47"/>
  <c r="K103" i="47"/>
  <c r="G103" i="47"/>
  <c r="F103" i="47"/>
  <c r="C103" i="47"/>
  <c r="I103" i="47" s="1"/>
  <c r="A103" i="47"/>
  <c r="U102" i="47"/>
  <c r="T102" i="47"/>
  <c r="V102" i="47" s="1"/>
  <c r="A102" i="47"/>
  <c r="D102" i="47" s="1"/>
  <c r="U101" i="47"/>
  <c r="V101" i="47" s="1"/>
  <c r="T101" i="47"/>
  <c r="Q101" i="47"/>
  <c r="P101" i="47"/>
  <c r="L101" i="47"/>
  <c r="I101" i="47"/>
  <c r="E101" i="47"/>
  <c r="D101" i="47"/>
  <c r="C101" i="47"/>
  <c r="K101" i="47" s="1"/>
  <c r="B101" i="47"/>
  <c r="A101" i="47"/>
  <c r="O101" i="47" s="1"/>
  <c r="V100" i="47"/>
  <c r="U100" i="47"/>
  <c r="T100" i="47"/>
  <c r="O100" i="47"/>
  <c r="G100" i="47"/>
  <c r="F100" i="47"/>
  <c r="D100" i="47"/>
  <c r="C100" i="47"/>
  <c r="K100" i="47" s="1"/>
  <c r="B100" i="47"/>
  <c r="A100" i="47"/>
  <c r="P100" i="47" s="1"/>
  <c r="Q100" i="47" s="1"/>
  <c r="U99" i="47"/>
  <c r="T99" i="47"/>
  <c r="V99" i="47" s="1"/>
  <c r="F99" i="47"/>
  <c r="A99" i="47"/>
  <c r="P99" i="47" s="1"/>
  <c r="U98" i="47"/>
  <c r="T98" i="47"/>
  <c r="N98" i="47"/>
  <c r="M98" i="47"/>
  <c r="K98" i="47"/>
  <c r="I98" i="47"/>
  <c r="H98" i="47"/>
  <c r="F98" i="47"/>
  <c r="C98" i="47"/>
  <c r="L98" i="47" s="1"/>
  <c r="B98" i="47"/>
  <c r="A98" i="47"/>
  <c r="D98" i="47" s="1"/>
  <c r="O98" i="47" s="1"/>
  <c r="V97" i="47"/>
  <c r="U97" i="47"/>
  <c r="T97" i="47"/>
  <c r="P97" i="47"/>
  <c r="Q97" i="47" s="1"/>
  <c r="N97" i="47"/>
  <c r="M97" i="47"/>
  <c r="L97" i="47"/>
  <c r="K97" i="47"/>
  <c r="F97" i="47"/>
  <c r="D97" i="47"/>
  <c r="O97" i="47" s="1"/>
  <c r="C97" i="47"/>
  <c r="A97" i="47"/>
  <c r="J97" i="47" s="1"/>
  <c r="U96" i="47"/>
  <c r="V96" i="47" s="1"/>
  <c r="T96" i="47"/>
  <c r="P96" i="47"/>
  <c r="N96" i="47"/>
  <c r="F96" i="47"/>
  <c r="C96" i="47"/>
  <c r="K96" i="47" s="1"/>
  <c r="B96" i="47"/>
  <c r="A96" i="47"/>
  <c r="M96" i="47" s="1"/>
  <c r="U95" i="47"/>
  <c r="T95" i="47"/>
  <c r="V95" i="47" s="1"/>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V91" i="47" s="1"/>
  <c r="A91" i="47"/>
  <c r="P91" i="47" s="1"/>
  <c r="U90" i="47"/>
  <c r="T90" i="47"/>
  <c r="Q90" i="47"/>
  <c r="P90" i="47"/>
  <c r="O90" i="47"/>
  <c r="N90" i="47"/>
  <c r="J90" i="47"/>
  <c r="C90" i="47"/>
  <c r="G90" i="47" s="1"/>
  <c r="B90" i="47"/>
  <c r="A90" i="47"/>
  <c r="D90" i="47" s="1"/>
  <c r="U89" i="47"/>
  <c r="T89" i="47"/>
  <c r="V89" i="47" s="1"/>
  <c r="A89" i="47"/>
  <c r="V88" i="47"/>
  <c r="U88" i="47"/>
  <c r="T88" i="47"/>
  <c r="P88" i="47"/>
  <c r="H88" i="47"/>
  <c r="F88" i="47"/>
  <c r="D88" i="47"/>
  <c r="C88" i="47"/>
  <c r="M88" i="47" s="1"/>
  <c r="A88" i="47"/>
  <c r="Q88" i="47" s="1"/>
  <c r="U87" i="47"/>
  <c r="T87" i="47"/>
  <c r="V87" i="47" s="1"/>
  <c r="F87" i="47"/>
  <c r="D87" i="47"/>
  <c r="O87" i="47" s="1"/>
  <c r="B87" i="47"/>
  <c r="A87" i="47"/>
  <c r="P87" i="47" s="1"/>
  <c r="U86" i="47"/>
  <c r="T86" i="47"/>
  <c r="B86" i="47"/>
  <c r="A86" i="47"/>
  <c r="D86" i="47" s="1"/>
  <c r="O86" i="47" s="1"/>
  <c r="U85" i="47"/>
  <c r="T85" i="47"/>
  <c r="V85" i="47" s="1"/>
  <c r="D85" i="47"/>
  <c r="O85" i="47" s="1"/>
  <c r="A85" i="47"/>
  <c r="P85" i="47" s="1"/>
  <c r="Q85" i="47" s="1"/>
  <c r="V84" i="47"/>
  <c r="U84" i="47"/>
  <c r="T84" i="47"/>
  <c r="P84" i="47"/>
  <c r="C84" i="47"/>
  <c r="A84" i="47"/>
  <c r="U83" i="47"/>
  <c r="T83" i="47"/>
  <c r="V83" i="47" s="1"/>
  <c r="F83" i="47"/>
  <c r="B83" i="47"/>
  <c r="A83" i="47"/>
  <c r="P83" i="47" s="1"/>
  <c r="U82" i="47"/>
  <c r="T82" i="47"/>
  <c r="V82" i="47" s="1"/>
  <c r="P82" i="47"/>
  <c r="E82" i="47"/>
  <c r="C82" i="47"/>
  <c r="M82" i="47" s="1"/>
  <c r="A82" i="47"/>
  <c r="D82" i="47" s="1"/>
  <c r="U81" i="47"/>
  <c r="T81" i="47"/>
  <c r="V81" i="47" s="1"/>
  <c r="P81" i="47"/>
  <c r="Q81" i="47" s="1"/>
  <c r="F81" i="47"/>
  <c r="D81" i="47"/>
  <c r="B81" i="47"/>
  <c r="A81" i="47"/>
  <c r="U80" i="47"/>
  <c r="V80" i="47" s="1"/>
  <c r="T80" i="47"/>
  <c r="P80" i="47"/>
  <c r="Q80" i="47" s="1"/>
  <c r="O80" i="47"/>
  <c r="N80" i="47"/>
  <c r="M80" i="47"/>
  <c r="J80" i="47"/>
  <c r="I80" i="47"/>
  <c r="G80" i="47"/>
  <c r="F80" i="47"/>
  <c r="E80" i="47"/>
  <c r="D80" i="47"/>
  <c r="C80" i="47"/>
  <c r="K80" i="47" s="1"/>
  <c r="B80" i="47"/>
  <c r="A80" i="47"/>
  <c r="U79" i="47"/>
  <c r="T79" i="47"/>
  <c r="V79" i="47" s="1"/>
  <c r="A79" i="47"/>
  <c r="P79" i="47" s="1"/>
  <c r="U78" i="47"/>
  <c r="T78" i="47"/>
  <c r="V78" i="47" s="1"/>
  <c r="P78" i="47"/>
  <c r="O78" i="47"/>
  <c r="C78" i="47"/>
  <c r="A78" i="47"/>
  <c r="D78" i="47" s="1"/>
  <c r="U77" i="47"/>
  <c r="T77" i="47"/>
  <c r="V77" i="47" s="1"/>
  <c r="F77" i="47"/>
  <c r="B77" i="47"/>
  <c r="A77" i="47"/>
  <c r="U76" i="47"/>
  <c r="V76" i="47" s="1"/>
  <c r="T76" i="47"/>
  <c r="P76" i="47"/>
  <c r="N76" i="47"/>
  <c r="J76" i="47"/>
  <c r="I76" i="47"/>
  <c r="H76" i="47"/>
  <c r="G76" i="47"/>
  <c r="F76" i="47"/>
  <c r="E76" i="47"/>
  <c r="D76" i="47"/>
  <c r="Q76" i="47" s="1"/>
  <c r="C76" i="47"/>
  <c r="K76" i="47" s="1"/>
  <c r="B76" i="47"/>
  <c r="A76" i="47"/>
  <c r="V75" i="47"/>
  <c r="U75" i="47"/>
  <c r="T75" i="47"/>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V73" i="47" s="1"/>
  <c r="A73" i="47"/>
  <c r="U72" i="47"/>
  <c r="V72" i="47" s="1"/>
  <c r="T72" i="47"/>
  <c r="Q72" i="47"/>
  <c r="P72" i="47"/>
  <c r="N72" i="47"/>
  <c r="H72" i="47"/>
  <c r="E72" i="47"/>
  <c r="D72" i="47"/>
  <c r="C72" i="47"/>
  <c r="J72" i="47" s="1"/>
  <c r="B72" i="47"/>
  <c r="K72" i="47" s="1"/>
  <c r="A72" i="47"/>
  <c r="V71" i="47"/>
  <c r="U71" i="47"/>
  <c r="T71" i="47"/>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V69" i="47"/>
  <c r="U69" i="47"/>
  <c r="T69" i="47"/>
  <c r="M69" i="47"/>
  <c r="K69" i="47"/>
  <c r="I69" i="47"/>
  <c r="G69" i="47"/>
  <c r="E69" i="47"/>
  <c r="C69" i="47"/>
  <c r="B69" i="47"/>
  <c r="A69" i="47"/>
  <c r="V68"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V65" i="47"/>
  <c r="U65" i="47"/>
  <c r="T65" i="47"/>
  <c r="G65" i="47"/>
  <c r="F65" i="47"/>
  <c r="D65" i="47"/>
  <c r="O65" i="47" s="1"/>
  <c r="C65" i="47"/>
  <c r="L65" i="47" s="1"/>
  <c r="B65" i="47"/>
  <c r="A65" i="47"/>
  <c r="P65" i="47" s="1"/>
  <c r="Q65" i="47" s="1"/>
  <c r="V64" i="47"/>
  <c r="U64" i="47"/>
  <c r="T64" i="47"/>
  <c r="J64" i="47"/>
  <c r="F64" i="47"/>
  <c r="H64" i="47" s="1"/>
  <c r="E64" i="47"/>
  <c r="C64" i="47"/>
  <c r="A64" i="47"/>
  <c r="U63" i="47"/>
  <c r="T63" i="47"/>
  <c r="V63" i="47" s="1"/>
  <c r="F63" i="47"/>
  <c r="A63" i="47"/>
  <c r="P63" i="47" s="1"/>
  <c r="U62" i="47"/>
  <c r="T62" i="47"/>
  <c r="V62" i="47" s="1"/>
  <c r="P62" i="47"/>
  <c r="Q62" i="47" s="1"/>
  <c r="O62" i="47"/>
  <c r="N62" i="47"/>
  <c r="M62" i="47"/>
  <c r="L62" i="47"/>
  <c r="K62" i="47"/>
  <c r="I62" i="47"/>
  <c r="F62" i="47"/>
  <c r="C62" i="47"/>
  <c r="J62" i="47" s="1"/>
  <c r="A62" i="47"/>
  <c r="D62" i="47" s="1"/>
  <c r="U61" i="47"/>
  <c r="V61" i="47" s="1"/>
  <c r="T61" i="47"/>
  <c r="Q61" i="47"/>
  <c r="P61" i="47"/>
  <c r="F61" i="47"/>
  <c r="B61" i="47"/>
  <c r="A61" i="47"/>
  <c r="U60" i="47"/>
  <c r="T60" i="47"/>
  <c r="V60" i="47" s="1"/>
  <c r="A60" i="47"/>
  <c r="V59" i="47"/>
  <c r="U59" i="47"/>
  <c r="T59" i="47"/>
  <c r="H59" i="47"/>
  <c r="F59" i="47"/>
  <c r="D59" i="47"/>
  <c r="C59" i="47"/>
  <c r="E59" i="47" s="1"/>
  <c r="A59" i="47"/>
  <c r="P59" i="47" s="1"/>
  <c r="U58" i="47"/>
  <c r="T58" i="47"/>
  <c r="V58" i="47" s="1"/>
  <c r="P58" i="47"/>
  <c r="F58" i="47"/>
  <c r="D58" i="47"/>
  <c r="O58" i="47" s="1"/>
  <c r="B58" i="47"/>
  <c r="A58" i="47"/>
  <c r="U57" i="47"/>
  <c r="V57" i="47" s="1"/>
  <c r="T57" i="47"/>
  <c r="P57" i="47"/>
  <c r="O57" i="47"/>
  <c r="M57" i="47"/>
  <c r="L57" i="47"/>
  <c r="J57" i="47"/>
  <c r="H57" i="47"/>
  <c r="F57" i="47"/>
  <c r="D57" i="47"/>
  <c r="C57" i="47"/>
  <c r="N57" i="47" s="1"/>
  <c r="A57" i="47"/>
  <c r="B57" i="47" s="1"/>
  <c r="K57" i="47" s="1"/>
  <c r="U56" i="47"/>
  <c r="T56" i="47"/>
  <c r="C56" i="47"/>
  <c r="A56" i="47"/>
  <c r="U55" i="47"/>
  <c r="T55" i="47"/>
  <c r="V55" i="47" s="1"/>
  <c r="P55" i="47"/>
  <c r="G55" i="47"/>
  <c r="F55" i="47"/>
  <c r="D55" i="47"/>
  <c r="C55" i="47"/>
  <c r="K55" i="47" s="1"/>
  <c r="B55" i="47"/>
  <c r="A55" i="47"/>
  <c r="J55" i="47" s="1"/>
  <c r="V54" i="47"/>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V51" i="47" s="1"/>
  <c r="P51" i="47"/>
  <c r="F51" i="47"/>
  <c r="D51" i="47"/>
  <c r="C51" i="47"/>
  <c r="B51" i="47"/>
  <c r="A51" i="47"/>
  <c r="V50" i="47"/>
  <c r="U50" i="47"/>
  <c r="T50" i="47"/>
  <c r="P50" i="47"/>
  <c r="F50" i="47"/>
  <c r="D50" i="47"/>
  <c r="O50" i="47" s="1"/>
  <c r="B50" i="47"/>
  <c r="A50" i="47"/>
  <c r="V49" i="47"/>
  <c r="U49" i="47"/>
  <c r="T49" i="47"/>
  <c r="P49" i="47"/>
  <c r="O49" i="47"/>
  <c r="M49" i="47"/>
  <c r="L49" i="47"/>
  <c r="K49" i="47"/>
  <c r="J49" i="47"/>
  <c r="H49" i="47"/>
  <c r="F49" i="47"/>
  <c r="D49" i="47"/>
  <c r="C49" i="47"/>
  <c r="N49" i="47" s="1"/>
  <c r="A49" i="47"/>
  <c r="B49" i="47" s="1"/>
  <c r="U48" i="47"/>
  <c r="T48" i="47"/>
  <c r="P48" i="47"/>
  <c r="C48" i="47"/>
  <c r="A48" i="47"/>
  <c r="U47" i="47"/>
  <c r="V47" i="47" s="1"/>
  <c r="T47" i="47"/>
  <c r="P47" i="47"/>
  <c r="F47" i="47"/>
  <c r="D47" i="47"/>
  <c r="C47" i="47"/>
  <c r="B47" i="47"/>
  <c r="A47" i="47"/>
  <c r="V46" i="47"/>
  <c r="U46" i="47"/>
  <c r="T46" i="47"/>
  <c r="P46" i="47"/>
  <c r="F46" i="47"/>
  <c r="D46" i="47"/>
  <c r="O46" i="47" s="1"/>
  <c r="B46" i="47"/>
  <c r="A46" i="47"/>
  <c r="V45"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V42" i="47"/>
  <c r="U42" i="47"/>
  <c r="T42" i="47"/>
  <c r="P42" i="47"/>
  <c r="F42" i="47"/>
  <c r="D42" i="47"/>
  <c r="O42" i="47" s="1"/>
  <c r="B42" i="47"/>
  <c r="A42" i="47"/>
  <c r="V41" i="47"/>
  <c r="U41" i="47"/>
  <c r="T41" i="47"/>
  <c r="P41" i="47"/>
  <c r="O41" i="47"/>
  <c r="M41" i="47"/>
  <c r="L41" i="47"/>
  <c r="K41" i="47"/>
  <c r="J41" i="47"/>
  <c r="H41" i="47"/>
  <c r="F41" i="47"/>
  <c r="D41" i="47"/>
  <c r="C41" i="47"/>
  <c r="N41" i="47" s="1"/>
  <c r="A41" i="47"/>
  <c r="B41" i="47" s="1"/>
  <c r="U40" i="47"/>
  <c r="T40" i="47"/>
  <c r="P40" i="47"/>
  <c r="C40" i="47"/>
  <c r="N40" i="47" s="1"/>
  <c r="A40" i="47"/>
  <c r="V39" i="47"/>
  <c r="U39" i="47"/>
  <c r="T39" i="47"/>
  <c r="P39" i="47"/>
  <c r="L39" i="47"/>
  <c r="G39" i="47"/>
  <c r="F39" i="47"/>
  <c r="D39" i="47"/>
  <c r="C39" i="47"/>
  <c r="B39" i="47"/>
  <c r="A39" i="47"/>
  <c r="V38" i="47"/>
  <c r="U38" i="47"/>
  <c r="T38" i="47"/>
  <c r="P38" i="47"/>
  <c r="F38" i="47"/>
  <c r="D38" i="47"/>
  <c r="O38" i="47" s="1"/>
  <c r="B38" i="47"/>
  <c r="A38" i="47"/>
  <c r="V37" i="47"/>
  <c r="U37" i="47"/>
  <c r="T37" i="47"/>
  <c r="P37" i="47"/>
  <c r="M37" i="47"/>
  <c r="L37" i="47"/>
  <c r="J37" i="47"/>
  <c r="H37" i="47"/>
  <c r="F37" i="47"/>
  <c r="D37" i="47"/>
  <c r="O37" i="47" s="1"/>
  <c r="C37" i="47"/>
  <c r="N37" i="47" s="1"/>
  <c r="A37" i="47"/>
  <c r="B37" i="47" s="1"/>
  <c r="K37" i="47" s="1"/>
  <c r="U36" i="47"/>
  <c r="T36" i="47"/>
  <c r="V36" i="47" s="1"/>
  <c r="P36" i="47"/>
  <c r="C36" i="47"/>
  <c r="N36" i="47" s="1"/>
  <c r="A36" i="47"/>
  <c r="V35" i="47"/>
  <c r="U35" i="47"/>
  <c r="T35" i="47"/>
  <c r="P35" i="47"/>
  <c r="G35" i="47"/>
  <c r="F35" i="47"/>
  <c r="D35" i="47"/>
  <c r="C35" i="47"/>
  <c r="B35" i="47"/>
  <c r="A35" i="47"/>
  <c r="V34" i="47"/>
  <c r="U34" i="47"/>
  <c r="T34" i="47"/>
  <c r="P34" i="47"/>
  <c r="F34" i="47"/>
  <c r="D34" i="47"/>
  <c r="O34" i="47" s="1"/>
  <c r="B34" i="47"/>
  <c r="A34" i="47"/>
  <c r="V33" i="47"/>
  <c r="U33" i="47"/>
  <c r="T33" i="47"/>
  <c r="P33" i="47"/>
  <c r="M33" i="47"/>
  <c r="L33" i="47"/>
  <c r="J33" i="47"/>
  <c r="H33" i="47"/>
  <c r="F33" i="47"/>
  <c r="D33" i="47"/>
  <c r="O33" i="47" s="1"/>
  <c r="C33" i="47"/>
  <c r="N33" i="47" s="1"/>
  <c r="A33" i="47"/>
  <c r="B33" i="47" s="1"/>
  <c r="K33" i="47" s="1"/>
  <c r="U32" i="47"/>
  <c r="T32" i="47"/>
  <c r="V32" i="47" s="1"/>
  <c r="P32" i="47"/>
  <c r="H32" i="47"/>
  <c r="C32" i="47"/>
  <c r="N32" i="47" s="1"/>
  <c r="A32" i="47"/>
  <c r="G32" i="47" s="1"/>
  <c r="U31" i="47"/>
  <c r="V31" i="47" s="1"/>
  <c r="T31" i="47"/>
  <c r="P31" i="47"/>
  <c r="L31" i="47"/>
  <c r="G31" i="47"/>
  <c r="F31" i="47"/>
  <c r="D31" i="47"/>
  <c r="C31" i="47"/>
  <c r="B31" i="47"/>
  <c r="A31" i="47"/>
  <c r="V30" i="47"/>
  <c r="U30" i="47"/>
  <c r="T30" i="47"/>
  <c r="P30" i="47"/>
  <c r="F30" i="47"/>
  <c r="D30" i="47"/>
  <c r="O30" i="47" s="1"/>
  <c r="B30" i="47"/>
  <c r="A30" i="47"/>
  <c r="V29"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V27" i="47" s="1"/>
  <c r="P27" i="47"/>
  <c r="L27" i="47"/>
  <c r="F27" i="47"/>
  <c r="D27" i="47"/>
  <c r="C27" i="47"/>
  <c r="B27" i="47"/>
  <c r="A27" i="47"/>
  <c r="J27" i="47" s="1"/>
  <c r="V26" i="47"/>
  <c r="U26" i="47"/>
  <c r="T26" i="47"/>
  <c r="P26" i="47"/>
  <c r="F26" i="47"/>
  <c r="D26" i="47"/>
  <c r="O26" i="47" s="1"/>
  <c r="B26" i="47"/>
  <c r="A26" i="47"/>
  <c r="V25"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V23" i="47" s="1"/>
  <c r="P23" i="47"/>
  <c r="L23" i="47"/>
  <c r="F23" i="47"/>
  <c r="D23" i="47"/>
  <c r="C23" i="47"/>
  <c r="B23" i="47"/>
  <c r="A23" i="47"/>
  <c r="V22" i="47"/>
  <c r="U22" i="47"/>
  <c r="T22" i="47"/>
  <c r="P22" i="47"/>
  <c r="F22" i="47"/>
  <c r="D22" i="47"/>
  <c r="O22" i="47" s="1"/>
  <c r="B22" i="47"/>
  <c r="A22" i="47"/>
  <c r="V21" i="47"/>
  <c r="U21" i="47"/>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V19" i="47" s="1"/>
  <c r="P19" i="47"/>
  <c r="F19" i="47"/>
  <c r="D19" i="47"/>
  <c r="C19" i="47"/>
  <c r="B19" i="47"/>
  <c r="A19" i="47"/>
  <c r="V18" i="47"/>
  <c r="U18" i="47"/>
  <c r="T18" i="47"/>
  <c r="P18" i="47"/>
  <c r="F18" i="47"/>
  <c r="D18" i="47"/>
  <c r="O18" i="47" s="1"/>
  <c r="B18" i="47"/>
  <c r="A18" i="47"/>
  <c r="V17" i="47"/>
  <c r="U17" i="47"/>
  <c r="T17" i="47"/>
  <c r="P17" i="47"/>
  <c r="L17" i="47"/>
  <c r="K17" i="47"/>
  <c r="J17" i="47"/>
  <c r="H17" i="47"/>
  <c r="F17" i="47"/>
  <c r="D17" i="47"/>
  <c r="O17" i="47" s="1"/>
  <c r="C17" i="47"/>
  <c r="N17" i="47" s="1"/>
  <c r="A17" i="47"/>
  <c r="B17" i="47" s="1"/>
  <c r="U16" i="47"/>
  <c r="T16" i="47"/>
  <c r="P16" i="47"/>
  <c r="N16" i="47"/>
  <c r="L16" i="47"/>
  <c r="C16" i="47"/>
  <c r="A16" i="47"/>
  <c r="F16" i="47" s="1"/>
  <c r="H16" i="47" s="1"/>
  <c r="V15" i="47"/>
  <c r="U15" i="47"/>
  <c r="T15" i="47"/>
  <c r="P15" i="47"/>
  <c r="L15" i="47"/>
  <c r="F15" i="47"/>
  <c r="D15" i="47"/>
  <c r="C15" i="47"/>
  <c r="B15" i="47"/>
  <c r="A15" i="47"/>
  <c r="V14" i="47"/>
  <c r="U14" i="47"/>
  <c r="T14" i="47"/>
  <c r="P14" i="47"/>
  <c r="F14" i="47"/>
  <c r="D14" i="47"/>
  <c r="O14" i="47" s="1"/>
  <c r="B14" i="47"/>
  <c r="A14" i="47"/>
  <c r="V13" i="47"/>
  <c r="U13" i="47"/>
  <c r="T13" i="47"/>
  <c r="P13" i="47"/>
  <c r="L13" i="47"/>
  <c r="K13" i="47"/>
  <c r="J13" i="47"/>
  <c r="H13" i="47"/>
  <c r="F13" i="47"/>
  <c r="D13" i="47"/>
  <c r="O13" i="47" s="1"/>
  <c r="C13" i="47"/>
  <c r="N13" i="47" s="1"/>
  <c r="B13" i="47"/>
  <c r="A13" i="47"/>
  <c r="Q13" i="47" s="1"/>
  <c r="U12" i="47"/>
  <c r="T12" i="47"/>
  <c r="P12" i="47"/>
  <c r="C12" i="47"/>
  <c r="A12" i="47"/>
  <c r="F12" i="47" s="1"/>
  <c r="U11" i="47"/>
  <c r="T11" i="47"/>
  <c r="Y43" i="18" s="1"/>
  <c r="P11" i="47"/>
  <c r="F11" i="47"/>
  <c r="D11" i="47"/>
  <c r="C11" i="47"/>
  <c r="L11" i="47" s="1"/>
  <c r="B11" i="47"/>
  <c r="A11" i="47"/>
  <c r="J11" i="47" s="1"/>
  <c r="V10" i="47"/>
  <c r="U10" i="47"/>
  <c r="T10" i="47"/>
  <c r="P10" i="47"/>
  <c r="F10" i="47"/>
  <c r="D10" i="47"/>
  <c r="O10" i="47" s="1"/>
  <c r="B10" i="47"/>
  <c r="A10" i="47"/>
  <c r="V9" i="47"/>
  <c r="U9" i="47"/>
  <c r="T9" i="47"/>
  <c r="P9" i="47"/>
  <c r="O9" i="47"/>
  <c r="L9" i="47"/>
  <c r="K9" i="47"/>
  <c r="J9" i="47"/>
  <c r="H9" i="47"/>
  <c r="F9" i="47"/>
  <c r="D9" i="47"/>
  <c r="C9" i="47"/>
  <c r="N9" i="47" s="1"/>
  <c r="B9" i="47"/>
  <c r="A9" i="47"/>
  <c r="Q9" i="47" s="1"/>
  <c r="U8" i="47"/>
  <c r="T8" i="47"/>
  <c r="P8" i="47"/>
  <c r="L8" i="47"/>
  <c r="H8" i="47"/>
  <c r="C8" i="47"/>
  <c r="A8" i="47"/>
  <c r="F8" i="47" s="1"/>
  <c r="U7" i="47"/>
  <c r="T7" i="47"/>
  <c r="Y42" i="18" s="1"/>
  <c r="P7" i="47"/>
  <c r="L7" i="47"/>
  <c r="F7" i="47"/>
  <c r="D7" i="47"/>
  <c r="C7" i="47"/>
  <c r="B7" i="47"/>
  <c r="G7" i="47" s="1"/>
  <c r="A7" i="47"/>
  <c r="J7" i="47" s="1"/>
  <c r="V6" i="47"/>
  <c r="U6" i="47"/>
  <c r="T6" i="47"/>
  <c r="P6" i="47"/>
  <c r="F6" i="47"/>
  <c r="D6" i="47"/>
  <c r="O6" i="47" s="1"/>
  <c r="B6" i="47"/>
  <c r="A6" i="47"/>
  <c r="V5" i="47"/>
  <c r="U5" i="47"/>
  <c r="T5" i="47"/>
  <c r="P5" i="47"/>
  <c r="O5" i="47"/>
  <c r="L5" i="47"/>
  <c r="K5" i="47"/>
  <c r="J5" i="47"/>
  <c r="H5" i="47"/>
  <c r="F5" i="47"/>
  <c r="D5" i="47"/>
  <c r="C5" i="47"/>
  <c r="N5" i="47" s="1"/>
  <c r="B5" i="47"/>
  <c r="A5" i="47"/>
  <c r="Q5" i="47" s="1"/>
  <c r="U4" i="47"/>
  <c r="T4" i="47"/>
  <c r="V4" i="47" s="1"/>
  <c r="P4" i="47"/>
  <c r="L4" i="47"/>
  <c r="H4" i="47"/>
  <c r="C4" i="47"/>
  <c r="G4" i="47" s="1"/>
  <c r="A4" i="47"/>
  <c r="F4" i="47" s="1"/>
  <c r="V3" i="47"/>
  <c r="U3" i="47"/>
  <c r="T3" i="47"/>
  <c r="P3" i="47"/>
  <c r="L3" i="47"/>
  <c r="F3" i="47"/>
  <c r="D3" i="47"/>
  <c r="O3" i="47" s="1"/>
  <c r="C3" i="47"/>
  <c r="B3" i="47"/>
  <c r="A3" i="47"/>
  <c r="V2" i="47"/>
  <c r="U2" i="47"/>
  <c r="T2" i="47"/>
  <c r="P2" i="47"/>
  <c r="F2" i="47"/>
  <c r="D2" i="47"/>
  <c r="O2" i="47" s="1"/>
  <c r="B2" i="47"/>
  <c r="A2" i="47"/>
  <c r="X53" i="18"/>
  <c r="W53" i="18"/>
  <c r="X52" i="18"/>
  <c r="W52" i="18"/>
  <c r="X51" i="18"/>
  <c r="W51" i="18"/>
  <c r="X50" i="18"/>
  <c r="W50" i="18"/>
  <c r="Y49" i="18"/>
  <c r="X49" i="18"/>
  <c r="W49" i="18"/>
  <c r="X48" i="18"/>
  <c r="W48" i="18"/>
  <c r="X47" i="18"/>
  <c r="W47" i="18"/>
  <c r="Y46" i="18"/>
  <c r="X46" i="18"/>
  <c r="W46" i="18"/>
  <c r="X45" i="18"/>
  <c r="W45" i="18"/>
  <c r="X44" i="18"/>
  <c r="W44" i="18"/>
  <c r="X43" i="18"/>
  <c r="W43" i="18"/>
  <c r="X42" i="18"/>
  <c r="W42" i="18"/>
  <c r="X41" i="18"/>
  <c r="W41" i="18"/>
  <c r="Y40" i="18"/>
  <c r="X40" i="18"/>
  <c r="W40" i="18"/>
  <c r="X39" i="18"/>
  <c r="W39" i="18"/>
  <c r="Y38" i="18"/>
  <c r="X38" i="18"/>
  <c r="W38" i="18"/>
  <c r="X37" i="18"/>
  <c r="W37" i="18"/>
  <c r="Y36" i="18"/>
  <c r="X36" i="18"/>
  <c r="W36" i="18"/>
  <c r="Y35" i="18"/>
  <c r="X35" i="18"/>
  <c r="W35" i="18"/>
  <c r="X34" i="18"/>
  <c r="W34" i="18"/>
  <c r="Y33" i="18"/>
  <c r="X33" i="18"/>
  <c r="W33" i="18"/>
  <c r="Y32" i="18"/>
  <c r="X32" i="18"/>
  <c r="W32" i="18"/>
  <c r="Y31" i="18"/>
  <c r="X31" i="18"/>
  <c r="W31" i="18"/>
  <c r="Y30" i="18"/>
  <c r="X30" i="18"/>
  <c r="W30" i="18"/>
  <c r="Y29" i="18"/>
  <c r="X29" i="18"/>
  <c r="W29" i="18"/>
  <c r="Y28" i="18"/>
  <c r="X28" i="18"/>
  <c r="W28" i="18"/>
  <c r="X27" i="18"/>
  <c r="W27" i="18"/>
  <c r="X26" i="18"/>
  <c r="W26" i="18"/>
  <c r="X25" i="18"/>
  <c r="W25" i="18"/>
  <c r="Y24" i="18"/>
  <c r="X24" i="18"/>
  <c r="W24" i="18"/>
  <c r="X23" i="18"/>
  <c r="W23" i="18"/>
  <c r="B23" i="18"/>
  <c r="X22" i="18"/>
  <c r="W22" i="18"/>
  <c r="B22" i="18"/>
  <c r="Y21" i="18"/>
  <c r="X21" i="18"/>
  <c r="W21" i="18"/>
  <c r="B21" i="18"/>
  <c r="Y20" i="18"/>
  <c r="X20" i="18"/>
  <c r="W20" i="18"/>
  <c r="X19" i="18"/>
  <c r="W19" i="18"/>
  <c r="Y18" i="18"/>
  <c r="X18" i="18"/>
  <c r="W18" i="18"/>
  <c r="Y17" i="18"/>
  <c r="X17" i="18"/>
  <c r="W17" i="18"/>
  <c r="Y16" i="18"/>
  <c r="X16" i="18"/>
  <c r="W16" i="18"/>
  <c r="Y15" i="18"/>
  <c r="X15" i="18"/>
  <c r="W15" i="18"/>
  <c r="Y14" i="18"/>
  <c r="X14" i="18"/>
  <c r="W14" i="18"/>
  <c r="Y13" i="18"/>
  <c r="X13" i="18"/>
  <c r="W13" i="18"/>
  <c r="Y12" i="18"/>
  <c r="X12" i="18"/>
  <c r="W12" i="18"/>
  <c r="Y11" i="18"/>
  <c r="X11" i="18"/>
  <c r="W11" i="18"/>
  <c r="Y10" i="18"/>
  <c r="X10" i="18"/>
  <c r="W10" i="18"/>
  <c r="Y9" i="18"/>
  <c r="X9" i="18"/>
  <c r="W9" i="18"/>
  <c r="Y8" i="18"/>
  <c r="X8" i="18"/>
  <c r="W8" i="18"/>
  <c r="K8" i="18"/>
  <c r="J8" i="18"/>
  <c r="L8" i="18" s="1"/>
  <c r="B8" i="18"/>
  <c r="Y7" i="18"/>
  <c r="X7" i="18"/>
  <c r="W7" i="18"/>
  <c r="K7" i="18"/>
  <c r="J7" i="18"/>
  <c r="L7" i="18" s="1"/>
  <c r="Y6" i="18"/>
  <c r="X6" i="18"/>
  <c r="W6" i="18"/>
  <c r="K6" i="18"/>
  <c r="L6" i="18" s="1"/>
  <c r="J6" i="18"/>
  <c r="B6" i="18"/>
  <c r="Y5" i="18"/>
  <c r="X5" i="18"/>
  <c r="W5" i="18"/>
  <c r="K5" i="18"/>
  <c r="K9" i="18" s="1"/>
  <c r="J5" i="18"/>
  <c r="J9" i="18" s="1"/>
  <c r="B5" i="18"/>
  <c r="B7" i="18"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8" l="1"/>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B107" i="47"/>
  <c r="P108" i="47"/>
  <c r="Q108" i="47" s="1"/>
  <c r="C108" i="47"/>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K106"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N106" i="47"/>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O106" i="47"/>
  <c r="M107" i="47"/>
  <c r="K108"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Q106" i="47" s="1"/>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M780" i="47" l="1"/>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<sst xmlns="http://schemas.openxmlformats.org/spreadsheetml/2006/main" count="19986" uniqueCount="7544">
  <si>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</si>
  <si>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</si>
  <si>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</si>
  <si>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</si>
  <si>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</si>
  <si>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</si>
  <si>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</si>
  <si>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</si>
  <si>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</si>
  <si>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</si>
  <si>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</si>
  <si>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</si>
  <si>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</si>
  <si>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</si>
  <si>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</si>
  <si>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</si>
  <si>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</si>
  <si>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</si>
  <si>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</si>
  <si>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</si>
  <si>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</si>
  <si>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</si>
  <si>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</si>
  <si>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</si>
  <si>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</si>
  <si>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</si>
  <si>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</si>
  <si>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</si>
  <si>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</si>
  <si>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</si>
  <si>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</si>
  <si>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</si>
  <si>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</si>
  <si>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</si>
  <si>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</si>
  <si>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</si>
  <si>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</si>
  <si>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</si>
  <si>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</si>
  <si>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</si>
  <si>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</si>
  <si>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</si>
  <si>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</si>
  <si>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</si>
  <si>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</si>
  <si>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</si>
  <si>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</si>
  <si>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</si>
  <si>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</si>
  <si>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</si>
  <si>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</si>
  <si>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</si>
  <si>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</si>
  <si>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</si>
  <si>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</si>
  <si>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</si>
  <si>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</si>
  <si>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</si>
  <si>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</si>
  <si>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</si>
  <si>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</si>
  <si>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</si>
  <si>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</si>
  <si>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</si>
  <si>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</si>
  <si>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</si>
  <si>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</si>
  <si>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</si>
  <si>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</si>
  <si>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</si>
  <si>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</si>
  <si>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</si>
  <si>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</si>
  <si>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</si>
  <si>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</si>
  <si>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</si>
  <si>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</si>
  <si>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</si>
  <si>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</si>
  <si>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</si>
  <si>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</si>
  <si>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</si>
  <si>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</si>
  <si>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</si>
  <si>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</si>
  <si>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</si>
  <si>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</si>
  <si>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</si>
  <si>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</si>
  <si>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</si>
  <si>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</si>
  <si>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</si>
  <si>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</si>
  <si>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</si>
  <si>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</si>
  <si>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</si>
  <si>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</si>
  <si>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</si>
  <si>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</si>
  <si>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</si>
  <si>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</si>
  <si>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</si>
  <si>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</si>
  <si>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</si>
  <si>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</si>
  <si>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</si>
  <si>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</si>
  <si>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</si>
  <si>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</si>
  <si>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</si>
  <si>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</si>
  <si>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</si>
  <si>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</si>
  <si>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</si>
  <si>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</si>
  <si>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</si>
  <si>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</si>
  <si>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</si>
  <si>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</si>
  <si>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</si>
  <si>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</si>
  <si>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</si>
  <si>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</si>
  <si>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</si>
  <si>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</si>
  <si>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</si>
  <si>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</si>
  <si>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</si>
  <si>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</si>
  <si>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</si>
  <si>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</si>
  <si>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</si>
  <si>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</si>
  <si>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</si>
  <si>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</si>
  <si>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</si>
  <si>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</si>
  <si>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</si>
  <si>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</si>
  <si>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</si>
  <si>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</si>
  <si>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</si>
  <si>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</si>
  <si>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</si>
  <si>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</si>
  <si>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</si>
  <si>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</si>
  <si>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</si>
  <si>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</si>
  <si>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</si>
  <si>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</si>
  <si>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</si>
  <si>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</si>
  <si>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</si>
  <si>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</si>
  <si>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</si>
  <si>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</si>
  <si>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</si>
  <si>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</si>
  <si>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</si>
  <si>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</si>
  <si>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</si>
  <si>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</si>
  <si>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</si>
  <si>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</si>
  <si>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</si>
  <si>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</si>
  <si>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</si>
  <si>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</si>
  <si>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</si>
  <si>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</si>
  <si>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</si>
  <si>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</si>
  <si>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</si>
  <si>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</si>
  <si>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</si>
  <si>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</si>
  <si>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</si>
  <si>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</si>
  <si>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</si>
  <si>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</si>
  <si>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</si>
  <si>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</si>
  <si>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</si>
  <si>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</si>
  <si>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</si>
  <si>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</si>
  <si>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</si>
  <si>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</si>
  <si>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</si>
  <si>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</si>
  <si>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</si>
  <si>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</si>
  <si>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</si>
  <si>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</si>
  <si>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</si>
  <si>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</si>
  <si>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</si>
  <si>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</si>
  <si>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</si>
  <si>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</si>
  <si>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</si>
  <si>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</si>
  <si>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</si>
  <si>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</si>
  <si>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</si>
  <si>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</si>
  <si>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</si>
  <si>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</si>
  <si>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</si>
  <si>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</si>
  <si>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</si>
  <si>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</si>
  <si>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</si>
  <si>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</si>
  <si>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</si>
  <si>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</si>
  <si>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</si>
  <si>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</si>
  <si>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</si>
  <si>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</si>
  <si>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</si>
  <si>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</si>
  <si>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</si>
  <si>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</si>
  <si>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</si>
  <si>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</si>
  <si>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</si>
  <si>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</si>
  <si>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</si>
  <si>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</si>
  <si>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</si>
  <si>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</si>
  <si>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</si>
  <si>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</si>
  <si>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</si>
  <si>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</si>
  <si>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</si>
  <si>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</si>
  <si>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</si>
  <si>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</si>
  <si>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</si>
  <si>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</si>
  <si>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</si>
  <si>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</si>
  <si>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</si>
  <si>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</si>
  <si>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</si>
  <si>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</si>
  <si>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</si>
  <si>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</si>
  <si>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</si>
  <si>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</si>
  <si>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</si>
  <si>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</si>
  <si>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</si>
  <si>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</si>
  <si>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</si>
  <si>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</si>
  <si>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</si>
  <si>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</si>
  <si>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</si>
  <si>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</si>
  <si>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</si>
  <si>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</si>
  <si>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</si>
  <si>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</si>
  <si>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</si>
  <si>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</si>
  <si>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</si>
  <si>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</si>
  <si>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</si>
  <si>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</si>
  <si>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</si>
  <si>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</si>
  <si>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</si>
  <si>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</si>
  <si>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</si>
  <si>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</si>
  <si>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</si>
  <si>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</si>
  <si>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</si>
  <si>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</si>
  <si>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</si>
  <si>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</si>
  <si>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</si>
  <si>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</si>
  <si>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</si>
  <si>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</si>
  <si>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</si>
  <si>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</si>
  <si>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</si>
  <si>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</si>
  <si>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</si>
  <si>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</si>
  <si>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</si>
  <si>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</si>
  <si>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</si>
  <si>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</si>
  <si>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</si>
  <si>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</si>
  <si>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</si>
  <si>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</si>
  <si>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</si>
  <si>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</si>
  <si>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</si>
  <si>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</si>
  <si>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</si>
  <si>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</si>
  <si>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</si>
  <si>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</si>
  <si>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</si>
  <si>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</si>
  <si>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</si>
  <si>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</si>
  <si>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</si>
  <si>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</si>
  <si>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</si>
  <si>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</si>
  <si>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</si>
  <si>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</si>
  <si>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</si>
  <si>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</si>
  <si>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</si>
  <si>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</si>
  <si>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</si>
  <si>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</si>
  <si>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</si>
  <si>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</si>
  <si>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</si>
  <si>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</si>
  <si>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</si>
  <si>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</si>
  <si>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</si>
  <si>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</si>
  <si>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</si>
  <si>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</si>
  <si>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</si>
  <si>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</si>
  <si>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</si>
  <si>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</si>
  <si>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</si>
  <si>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</si>
  <si>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</si>
  <si>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</si>
  <si>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</si>
  <si>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</si>
  <si>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</si>
  <si>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</si>
  <si>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</si>
  <si>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</si>
  <si>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</si>
  <si>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</si>
  <si>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</si>
  <si>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</si>
  <si>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</si>
  <si>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</si>
  <si>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</si>
  <si>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</si>
  <si>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</si>
  <si>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</si>
  <si>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</si>
  <si>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</si>
  <si>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</si>
  <si>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</si>
  <si>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</si>
  <si>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</si>
  <si>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</si>
  <si>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</si>
  <si>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</si>
  <si>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</si>
  <si>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</si>
  <si>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</si>
  <si>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</si>
  <si>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</si>
  <si>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</si>
  <si>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</si>
  <si>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</si>
  <si>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</si>
  <si>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</si>
  <si>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</si>
  <si>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</si>
  <si>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</si>
  <si>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</si>
  <si>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</si>
  <si>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</si>
  <si>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</si>
  <si>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</si>
  <si>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</si>
  <si>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</si>
  <si>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</si>
  <si>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</si>
  <si>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</si>
  <si>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</si>
  <si>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</si>
  <si>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</si>
  <si>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</si>
  <si>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</si>
  <si>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</si>
  <si>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</si>
  <si>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</si>
  <si>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</si>
  <si>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</si>
  <si>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</si>
  <si>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</si>
  <si>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</si>
  <si>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</si>
  <si>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</si>
  <si>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</si>
  <si>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</si>
  <si>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</si>
  <si>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</si>
  <si>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</si>
  <si>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</si>
  <si>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</si>
  <si>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</si>
  <si>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</si>
  <si>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</si>
  <si>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</si>
  <si>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</si>
  <si>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</si>
  <si>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</si>
  <si>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</si>
  <si>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</si>
  <si>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</si>
  <si>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</si>
  <si>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</si>
  <si>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</si>
  <si>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</si>
  <si>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</si>
  <si>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</si>
  <si>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</si>
  <si>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</si>
  <si>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</si>
  <si>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</si>
  <si>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</si>
  <si>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</si>
  <si>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</si>
  <si>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</si>
  <si>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</si>
  <si>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</si>
  <si>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</si>
  <si>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</si>
  <si>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</si>
  <si>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</si>
  <si>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</si>
  <si>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</si>
  <si>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</si>
  <si>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</si>
  <si>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</si>
  <si>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</si>
  <si>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</si>
  <si>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</si>
  <si>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</si>
  <si>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</si>
  <si>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</si>
  <si>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</si>
  <si>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</si>
  <si>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</si>
  <si>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</si>
  <si>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</si>
  <si>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</si>
  <si>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</si>
  <si>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</si>
  <si>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</si>
  <si>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</si>
  <si>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</si>
  <si>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</si>
  <si>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</si>
  <si>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</si>
  <si>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</si>
  <si>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</si>
  <si>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</si>
  <si>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</si>
  <si>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</si>
  <si>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</si>
  <si>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</si>
  <si>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</si>
  <si>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</si>
  <si>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</si>
  <si>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</si>
  <si>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</si>
  <si>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</si>
  <si>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</si>
  <si>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</si>
  <si>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</si>
  <si>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</si>
  <si>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</si>
  <si>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</si>
  <si>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</si>
  <si>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</si>
  <si>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</si>
  <si>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</si>
  <si>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</si>
  <si>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</si>
  <si>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</si>
  <si>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</si>
  <si>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</si>
  <si>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</si>
  <si>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</si>
  <si>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</si>
  <si>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</si>
  <si>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</si>
  <si>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</si>
  <si>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</si>
  <si>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</si>
  <si>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</si>
  <si>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</si>
  <si>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</si>
  <si>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</si>
  <si>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</si>
  <si>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</si>
  <si>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</si>
  <si>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</si>
  <si>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</si>
  <si>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</si>
  <si>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</si>
  <si>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</si>
  <si>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</si>
  <si>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</si>
  <si>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</si>
  <si>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</si>
  <si>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</si>
  <si>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</si>
  <si>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</si>
  <si>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</si>
  <si>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</si>
  <si>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</si>
  <si>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</si>
  <si>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</si>
  <si>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</si>
  <si>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</si>
  <si>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</si>
  <si>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</si>
  <si>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</si>
  <si>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</si>
  <si>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</si>
  <si>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</si>
  <si>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</si>
  <si>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</si>
  <si>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</si>
  <si>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</si>
  <si>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</si>
  <si>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</si>
  <si>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</si>
  <si>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</si>
  <si>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</si>
  <si>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</si>
  <si>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</si>
  <si>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</si>
  <si>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</si>
  <si>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</si>
  <si>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</si>
  <si>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</si>
  <si>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</si>
  <si>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</si>
  <si>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</si>
  <si>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</si>
  <si>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</si>
  <si>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</si>
  <si>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</si>
  <si>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</si>
  <si>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</si>
  <si>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</si>
  <si>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</si>
  <si>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</si>
  <si>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</si>
  <si>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</si>
  <si>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</si>
  <si>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</si>
  <si>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</si>
  <si>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</si>
  <si>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</si>
  <si>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</si>
  <si>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</si>
  <si>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</si>
  <si>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</si>
  <si>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</si>
  <si>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</si>
  <si>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</si>
  <si>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</si>
  <si>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</si>
  <si>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</si>
  <si>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</si>
  <si>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</si>
  <si>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</si>
  <si>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</si>
  <si>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</si>
  <si>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</si>
  <si>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</si>
  <si>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</si>
  <si>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</si>
  <si>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</si>
  <si>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</si>
  <si>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</si>
  <si>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</si>
  <si>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</si>
  <si>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</si>
  <si>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</si>
  <si>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</si>
  <si>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</si>
  <si>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</si>
  <si>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</si>
  <si>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</si>
  <si>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</si>
  <si>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</si>
  <si>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</si>
  <si>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</si>
  <si>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</si>
  <si>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</si>
  <si>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</si>
  <si>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</si>
  <si>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</si>
  <si>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</si>
  <si>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</si>
  <si>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</si>
  <si>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</si>
  <si>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</si>
  <si>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</si>
  <si>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</si>
  <si>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</si>
  <si>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</si>
  <si>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</si>
  <si>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</si>
  <si>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</si>
  <si>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</si>
  <si>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</si>
  <si>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</si>
  <si>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</si>
  <si>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</si>
  <si>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</si>
  <si>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</si>
  <si>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</si>
  <si>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</si>
  <si>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</si>
  <si>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</si>
  <si>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</si>
  <si>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</si>
  <si>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</si>
  <si>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</si>
  <si>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</si>
  <si>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</si>
  <si>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</si>
  <si>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</si>
  <si>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</si>
  <si>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</si>
  <si>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</si>
  <si>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</si>
  <si>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</si>
  <si>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</si>
  <si>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</si>
  <si>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</si>
  <si>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</si>
  <si>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</si>
  <si>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</si>
  <si>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</si>
  <si>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</si>
  <si>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</si>
  <si>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</si>
  <si>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</si>
  <si>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</si>
  <si>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</si>
  <si>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</si>
  <si>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</si>
  <si>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</si>
  <si>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</si>
  <si>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</si>
  <si>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</si>
  <si>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</si>
  <si>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</si>
  <si>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</si>
  <si>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</si>
  <si>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</si>
  <si>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</si>
  <si>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</si>
  <si>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</si>
  <si>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</si>
  <si>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</si>
  <si>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</si>
  <si>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</si>
  <si>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</si>
  <si>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</si>
  <si>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</si>
  <si>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</si>
  <si>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</si>
  <si>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</si>
  <si>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</si>
  <si>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</si>
  <si>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</si>
  <si>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</si>
  <si>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</si>
  <si>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</si>
  <si>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</si>
  <si>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</si>
  <si>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</si>
  <si>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</si>
  <si>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</si>
  <si>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</si>
  <si>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</si>
  <si>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</si>
  <si>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</si>
  <si>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</si>
  <si>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</si>
  <si>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</si>
  <si>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</si>
  <si>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</si>
  <si>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</si>
  <si>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</si>
  <si>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</si>
  <si>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</si>
  <si>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</si>
  <si>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</si>
  <si>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</si>
  <si>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</si>
  <si>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</si>
  <si>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</si>
  <si>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</si>
  <si>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</si>
  <si>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</si>
  <si>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</si>
  <si>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</si>
  <si>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</si>
  <si>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</si>
  <si>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</si>
  <si>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</si>
  <si>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</si>
  <si>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</si>
  <si>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</si>
  <si>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</si>
  <si>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</si>
  <si>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</si>
  <si>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</si>
  <si>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</si>
  <si>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</si>
  <si>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</si>
  <si>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</si>
  <si>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</si>
  <si>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</si>
  <si>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</si>
  <si>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</si>
  <si>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</si>
  <si>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</si>
  <si>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</si>
  <si>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</si>
  <si>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</si>
  <si>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</si>
  <si>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</si>
  <si>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</si>
  <si>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</si>
  <si>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</si>
  <si>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</si>
  <si>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</si>
  <si>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</si>
  <si>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</si>
  <si>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</si>
  <si>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</si>
  <si>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</si>
  <si>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</si>
  <si>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</si>
  <si>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</si>
  <si>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</si>
  <si>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</si>
  <si>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</si>
  <si>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</si>
  <si>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</si>
  <si>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</si>
  <si>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</si>
  <si>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</si>
  <si>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</si>
  <si>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</si>
  <si>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</si>
  <si>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</si>
  <si>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</si>
  <si>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</si>
  <si>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</si>
  <si>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</si>
  <si>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</si>
  <si>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</si>
  <si>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</si>
  <si>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</si>
  <si>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</si>
  <si>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</si>
  <si>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</si>
  <si>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</si>
  <si>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</si>
  <si>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</si>
  <si>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</si>
  <si>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</si>
  <si>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</si>
  <si>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</si>
  <si>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</si>
  <si>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</si>
  <si>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</si>
  <si>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</si>
  <si>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</si>
  <si>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</si>
  <si>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</si>
  <si>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</si>
  <si>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</si>
  <si>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</si>
  <si>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</si>
  <si>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</si>
  <si>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</si>
  <si>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</si>
  <si>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</si>
  <si>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</si>
  <si>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</si>
  <si>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</si>
  <si>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</si>
  <si>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</si>
  <si>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</si>
  <si>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</si>
  <si>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</si>
  <si>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</si>
  <si>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</si>
  <si>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</si>
  <si>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</si>
  <si>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</si>
  <si>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</si>
  <si>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</si>
  <si>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</si>
  <si>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</si>
  <si>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</si>
  <si>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</si>
  <si>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</si>
  <si>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</si>
  <si>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</si>
  <si>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</si>
  <si>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</si>
  <si>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</si>
  <si>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</si>
  <si>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</si>
  <si>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</si>
  <si>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</si>
  <si>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</si>
  <si>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</si>
  <si>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</si>
  <si>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</si>
  <si>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</si>
  <si>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</si>
  <si>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</si>
  <si>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</si>
  <si>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</si>
  <si>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</si>
  <si>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</si>
  <si>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</si>
  <si>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</si>
  <si>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</si>
  <si>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</si>
  <si>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</si>
  <si>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</si>
  <si>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</si>
  <si>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</si>
  <si>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</si>
  <si>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</si>
  <si>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</si>
  <si>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</si>
  <si>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</si>
  <si>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</si>
  <si>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</si>
  <si>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</si>
  <si>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</si>
  <si>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</si>
  <si>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</si>
  <si>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</si>
  <si>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</si>
  <si>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</si>
  <si>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</si>
  <si>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</si>
  <si>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</si>
  <si>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</si>
  <si>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</si>
  <si>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</si>
  <si>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</si>
  <si>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</si>
  <si>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</si>
  <si>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</si>
  <si>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</si>
  <si>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</si>
  <si>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</si>
  <si>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</si>
  <si>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</si>
  <si>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</si>
  <si>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</si>
  <si>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</si>
  <si>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</si>
  <si>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</si>
  <si>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</si>
  <si>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</si>
  <si>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</si>
  <si>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</si>
  <si>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</si>
  <si>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</si>
  <si>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</si>
  <si>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</si>
  <si>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</si>
  <si>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</si>
  <si>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</si>
  <si>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</si>
  <si>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</si>
  <si>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</si>
  <si>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</si>
  <si>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</si>
  <si>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</si>
  <si>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</si>
  <si>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</si>
  <si>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</si>
  <si>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</si>
  <si>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</si>
  <si>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</si>
  <si>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</si>
  <si>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</si>
  <si>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</si>
  <si>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</si>
  <si>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</si>
  <si>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</si>
  <si>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</si>
  <si>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</si>
  <si>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</si>
  <si>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</si>
  <si>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</si>
  <si>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</si>
  <si>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</si>
  <si>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</si>
  <si>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</si>
  <si>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</si>
  <si>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</si>
  <si>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</si>
  <si>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</si>
  <si>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</si>
  <si>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</si>
  <si>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</si>
  <si>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</si>
  <si>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</si>
  <si>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</si>
  <si>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</si>
  <si>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</si>
  <si>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</si>
  <si>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</si>
  <si>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</si>
  <si>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</si>
  <si>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</si>
  <si>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</si>
  <si>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</si>
  <si>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</si>
  <si>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</si>
  <si>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</si>
  <si>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</si>
  <si>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</si>
  <si>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</si>
  <si>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</si>
  <si>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</si>
  <si>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</si>
  <si>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</si>
  <si>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</si>
  <si>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</si>
  <si>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</si>
  <si>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</si>
  <si>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</si>
  <si>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</si>
  <si>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</si>
  <si>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</si>
  <si>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</si>
  <si>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</si>
  <si>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</si>
  <si>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</si>
  <si>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</si>
  <si>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</si>
  <si>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</si>
  <si>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</si>
  <si>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</si>
  <si>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</si>
  <si>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</si>
  <si>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</si>
  <si>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</si>
  <si>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</si>
  <si>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</si>
  <si>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</si>
  <si>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</si>
  <si>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</si>
  <si>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</si>
  <si>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</si>
  <si>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</si>
  <si>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</si>
  <si>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</si>
  <si>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</si>
  <si>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</si>
  <si>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</si>
  <si>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</si>
  <si>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</si>
  <si>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</si>
  <si>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</si>
  <si>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</si>
  <si>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</si>
  <si>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</si>
  <si>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</si>
  <si>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</si>
  <si>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</si>
  <si>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</si>
  <si>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</si>
  <si>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</si>
  <si>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</si>
  <si>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</si>
  <si>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</si>
  <si>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</si>
  <si>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</si>
  <si>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</si>
  <si>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</si>
  <si>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</si>
  <si>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</si>
  <si>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</si>
  <si>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</si>
  <si>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</si>
  <si>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</si>
  <si>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</si>
  <si>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</si>
  <si>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</si>
  <si>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</si>
  <si>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</si>
  <si>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</si>
  <si>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</si>
  <si>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</si>
  <si>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</si>
  <si>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</si>
  <si>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</si>
  <si>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</si>
  <si>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</si>
  <si>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</si>
  <si>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</si>
  <si>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</si>
  <si>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</si>
  <si>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</si>
  <si>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</si>
  <si>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</si>
  <si>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</si>
  <si>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</si>
  <si>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</si>
  <si>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</si>
  <si>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</si>
  <si>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</si>
  <si>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</si>
  <si>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</si>
  <si>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</si>
  <si>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</si>
  <si>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</si>
  <si>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</si>
  <si>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</si>
  <si>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</si>
  <si>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</si>
  <si>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</si>
  <si>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</si>
  <si>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</si>
  <si>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</si>
  <si>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</si>
  <si>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</si>
  <si>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</si>
  <si>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</si>
  <si>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</si>
  <si>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</si>
  <si>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</si>
  <si>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</si>
  <si>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</si>
  <si>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</si>
  <si>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</si>
  <si>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</si>
  <si>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</si>
  <si>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</si>
  <si>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</si>
  <si>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</si>
  <si>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</si>
  <si>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</si>
  <si>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</si>
  <si>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</si>
  <si>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</si>
  <si>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</si>
  <si>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</si>
  <si>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</si>
  <si>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</si>
  <si>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</si>
  <si>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</si>
  <si>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</si>
  <si>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</si>
  <si>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</si>
  <si>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</si>
  <si>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</si>
  <si>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</si>
  <si>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</si>
  <si>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</si>
  <si>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</si>
  <si>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</si>
  <si>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</si>
  <si>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</si>
  <si>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</si>
  <si>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</si>
  <si>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</si>
  <si>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</si>
  <si>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</si>
  <si>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</si>
  <si>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</si>
  <si>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</si>
  <si>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</si>
  <si>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</si>
  <si>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</si>
  <si>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</si>
  <si>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</si>
  <si>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</si>
  <si>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</si>
  <si>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</si>
  <si>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</si>
  <si>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</si>
  <si>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</si>
  <si>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</si>
  <si>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</si>
  <si>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</si>
  <si>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</si>
  <si>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</si>
  <si>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</si>
  <si>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</si>
  <si>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</si>
  <si>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</si>
  <si>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</si>
  <si>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</si>
  <si>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</si>
  <si>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</si>
  <si>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</si>
  <si>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</si>
  <si>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</si>
  <si>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</si>
  <si>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</si>
  <si>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</si>
  <si>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</si>
  <si>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</si>
  <si>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</si>
  <si>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</si>
  <si>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</si>
  <si>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</si>
  <si>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</si>
  <si>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</si>
  <si>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</si>
  <si>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</si>
  <si>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</si>
  <si>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</si>
  <si>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</si>
  <si>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</si>
  <si>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</si>
  <si>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</si>
  <si>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</si>
  <si>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</si>
  <si>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</si>
  <si>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</si>
  <si>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</si>
  <si>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</si>
  <si>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</si>
  <si>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</si>
  <si>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</si>
  <si>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</si>
  <si>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</si>
  <si>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</si>
  <si>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</si>
  <si>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</si>
  <si>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</si>
  <si>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</si>
  <si>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</si>
  <si>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</si>
  <si>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</si>
  <si>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</si>
  <si>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</si>
  <si>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</si>
  <si>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</si>
  <si>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</si>
  <si>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</si>
  <si>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</si>
  <si>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</si>
  <si>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</si>
  <si>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</si>
  <si>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</si>
  <si>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</si>
  <si>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</si>
  <si>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</si>
  <si>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</si>
  <si>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</si>
  <si>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</si>
  <si>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</si>
  <si>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</si>
  <si>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</si>
  <si>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</si>
  <si>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</si>
  <si>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</si>
  <si>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</si>
  <si>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</si>
  <si>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</si>
  <si>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</si>
  <si>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</si>
  <si>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</si>
  <si>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</si>
  <si>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</si>
  <si>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</si>
  <si>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</si>
  <si>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</si>
  <si>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</si>
  <si>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</si>
  <si>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</si>
  <si>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</si>
  <si>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</si>
  <si>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</si>
  <si>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</si>
  <si>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</si>
  <si>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</si>
  <si>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</si>
  <si>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</si>
  <si>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</si>
  <si>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</si>
  <si>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</si>
  <si>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</si>
  <si>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</si>
  <si>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</si>
  <si>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</si>
  <si>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</si>
  <si>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</si>
  <si>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</si>
  <si>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</si>
  <si>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</si>
  <si>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</si>
  <si>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</si>
  <si>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</si>
  <si>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</si>
  <si>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</si>
  <si>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</si>
  <si>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</si>
  <si>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</si>
  <si>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</si>
  <si>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</si>
  <si>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</si>
  <si>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</si>
  <si>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</si>
  <si>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</si>
  <si>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</si>
  <si>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</si>
  <si>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</si>
  <si>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</si>
  <si>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</si>
  <si>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</si>
  <si>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</si>
  <si>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</si>
  <si>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</si>
  <si>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</si>
  <si>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</si>
  <si>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</si>
  <si>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</si>
  <si>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</si>
  <si>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</si>
  <si>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</si>
  <si>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</si>
  <si>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</si>
  <si>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</si>
  <si>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</si>
  <si>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</si>
  <si>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</si>
  <si>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</si>
  <si>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</si>
  <si>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</si>
  <si>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</si>
  <si>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</si>
  <si>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</si>
  <si>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</si>
  <si>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</si>
  <si>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</si>
  <si>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</si>
  <si>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</si>
  <si>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</si>
  <si>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</si>
  <si>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</si>
  <si>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</si>
  <si>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</si>
  <si>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</si>
  <si>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</si>
  <si>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</si>
  <si>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</si>
  <si>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</si>
  <si>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</si>
  <si>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</si>
  <si>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</si>
  <si>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</si>
  <si>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</si>
  <si>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</si>
  <si>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</si>
  <si>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</si>
  <si>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</si>
  <si>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</si>
  <si>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</si>
  <si>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</si>
  <si>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</si>
  <si>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</si>
  <si>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</si>
  <si>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</si>
  <si>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</si>
  <si>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</si>
  <si>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</si>
  <si>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</si>
  <si>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</si>
  <si>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</si>
  <si>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</si>
  <si>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</si>
  <si>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</si>
  <si>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</si>
  <si>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</si>
  <si>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</si>
  <si>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</si>
  <si>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</si>
  <si>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</si>
  <si>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</si>
  <si>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</si>
  <si>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</si>
  <si>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</si>
  <si>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</si>
  <si>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</si>
  <si>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</si>
  <si>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</si>
  <si>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</si>
  <si>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</si>
  <si>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</si>
  <si>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</si>
  <si>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</si>
  <si>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</si>
  <si>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</si>
  <si>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</si>
  <si>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</si>
  <si>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</si>
  <si>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</si>
  <si>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</si>
  <si>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</si>
  <si>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</si>
  <si>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</si>
  <si>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</si>
  <si>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</si>
  <si>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</si>
  <si>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</si>
  <si>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</si>
  <si>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</si>
  <si>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</si>
  <si>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</si>
  <si>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</si>
  <si>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</si>
  <si>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</si>
  <si>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</si>
  <si>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</si>
  <si>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</si>
  <si>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</si>
  <si>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</si>
  <si>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</si>
  <si>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</si>
  <si>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</si>
  <si>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</si>
  <si>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</si>
  <si>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</si>
  <si>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</si>
  <si>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</si>
  <si>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</si>
  <si>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</si>
  <si>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</si>
  <si>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</si>
  <si>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</si>
  <si>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</si>
  <si>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</si>
  <si>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</si>
  <si>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</si>
  <si>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</si>
  <si>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</si>
  <si>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</si>
  <si>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</si>
  <si>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</si>
  <si>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</si>
  <si>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</si>
  <si>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</si>
  <si>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</si>
  <si>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</si>
  <si>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</si>
  <si>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</si>
  <si>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</si>
  <si>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</si>
  <si>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</si>
  <si>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</si>
  <si>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</si>
  <si>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</si>
  <si>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</si>
  <si>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</si>
  <si>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</si>
  <si>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</si>
  <si>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</si>
  <si>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</si>
  <si>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</si>
  <si>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</si>
  <si>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</si>
  <si>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</si>
  <si>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</si>
  <si>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</si>
  <si>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</si>
  <si>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</si>
  <si>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</si>
  <si>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</si>
  <si>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</si>
  <si>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</si>
  <si>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</si>
  <si>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</si>
  <si>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</si>
  <si>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</si>
  <si>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</si>
  <si>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</si>
  <si>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</si>
  <si>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</si>
  <si>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</si>
  <si>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</si>
  <si>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</si>
  <si>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</si>
  <si>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</si>
  <si>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</si>
  <si>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</si>
  <si>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</si>
  <si>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</si>
  <si>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</si>
  <si>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</si>
  <si>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</si>
  <si>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</si>
  <si>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</si>
  <si>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</si>
  <si>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</si>
  <si>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</si>
  <si>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</si>
  <si>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</si>
  <si>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</si>
  <si>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</si>
  <si>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</si>
  <si>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</si>
  <si>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</si>
  <si>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</si>
  <si>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</si>
  <si>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</si>
  <si>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</si>
  <si>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</si>
  <si>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</si>
  <si>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</si>
  <si>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</si>
  <si>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</si>
  <si>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</si>
  <si>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</si>
  <si>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</si>
  <si>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</si>
  <si>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</si>
  <si>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</si>
  <si>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</si>
  <si>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</si>
  <si>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</si>
  <si>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</si>
  <si>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</si>
  <si>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</si>
  <si>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</si>
  <si>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</si>
  <si>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</si>
  <si>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</si>
  <si>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</si>
  <si>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</si>
  <si>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</si>
  <si>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</si>
  <si>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</si>
  <si>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</si>
  <si>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</si>
  <si>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</si>
  <si>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</si>
  <si>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</si>
  <si>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</si>
  <si>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</si>
  <si>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</si>
  <si>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</si>
  <si>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</si>
  <si>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</si>
  <si>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</si>
  <si>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</si>
  <si>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</si>
  <si>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</si>
  <si>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</si>
  <si>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</si>
  <si>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</si>
  <si>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</si>
  <si>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</si>
  <si>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</si>
  <si>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</si>
  <si>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</si>
  <si>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</si>
  <si>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</si>
  <si>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</si>
  <si>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</si>
  <si>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</si>
  <si>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</si>
  <si>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</si>
  <si>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</si>
  <si>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</si>
  <si>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</si>
  <si>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</si>
  <si>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</si>
  <si>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</si>
  <si>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</si>
  <si>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</si>
  <si>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</si>
  <si>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</si>
  <si>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</si>
  <si>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</si>
  <si>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</si>
  <si>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</si>
  <si>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</si>
  <si>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</si>
  <si>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</si>
  <si>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</si>
  <si>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</si>
  <si>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</si>
  <si>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</si>
  <si>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</si>
  <si>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</si>
  <si>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</si>
  <si>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</si>
  <si>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</si>
  <si>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</si>
  <si>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</si>
  <si>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</si>
  <si>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</si>
  <si>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</si>
  <si>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</si>
  <si>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</si>
  <si>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</si>
  <si>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</si>
  <si>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</si>
  <si>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</si>
  <si>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</si>
  <si>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</si>
  <si>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</si>
  <si>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</si>
  <si>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</si>
  <si>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</si>
  <si>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</si>
  <si>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</si>
  <si>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</si>
  <si>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</si>
  <si>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</si>
  <si>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</si>
  <si>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</si>
  <si>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</si>
  <si>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</si>
  <si>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</si>
  <si>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</si>
  <si>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</si>
  <si>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</si>
  <si>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</si>
  <si>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</si>
  <si>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</si>
  <si>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</si>
  <si>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</si>
  <si>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</si>
  <si>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</si>
  <si>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</si>
  <si>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</si>
  <si>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</si>
  <si>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</si>
  <si>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</si>
  <si>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</si>
  <si>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</si>
  <si>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</si>
  <si>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</si>
  <si>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</si>
  <si>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</si>
  <si>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</si>
  <si>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</si>
  <si>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</si>
  <si>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</si>
  <si>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</si>
  <si>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</si>
  <si>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</si>
  <si>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</si>
  <si>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</si>
  <si>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</si>
  <si>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</si>
  <si>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</si>
  <si>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</si>
  <si>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</si>
  <si>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</si>
  <si>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</si>
  <si>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</si>
  <si>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</si>
  <si>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</si>
  <si>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</si>
  <si>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</si>
  <si>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</si>
  <si>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</si>
  <si>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</si>
  <si>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</si>
  <si>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</si>
  <si>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</si>
  <si>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</si>
  <si>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</si>
  <si>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</si>
  <si>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</si>
  <si>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</si>
  <si>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</si>
  <si>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</si>
  <si>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</si>
  <si>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</si>
  <si>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</si>
  <si>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</si>
  <si>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</si>
  <si>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</si>
  <si>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</si>
  <si>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</si>
  <si>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</si>
  <si>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</si>
  <si>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</si>
  <si>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</si>
  <si>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</si>
  <si>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</si>
  <si>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</si>
  <si>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</si>
  <si>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</si>
  <si>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</si>
  <si>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</si>
  <si>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</si>
  <si>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</si>
  <si>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</si>
  <si>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</si>
  <si>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</si>
  <si>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</si>
  <si>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</si>
  <si>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</si>
  <si>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</si>
  <si>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</si>
  <si>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</si>
  <si>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</si>
  <si>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</si>
  <si>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</si>
  <si>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</si>
  <si>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</si>
  <si>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</si>
  <si>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</si>
  <si>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</si>
  <si>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</si>
  <si>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</si>
  <si>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</si>
  <si>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</si>
  <si>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</si>
  <si>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</si>
  <si>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</si>
  <si>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</si>
  <si>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</si>
  <si>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</si>
  <si>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</si>
  <si>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</si>
  <si>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</si>
  <si>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</si>
  <si>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</si>
  <si>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</si>
  <si>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</si>
  <si>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</si>
  <si>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</si>
  <si>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</si>
  <si>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</si>
  <si>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</si>
  <si>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</si>
  <si>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</si>
  <si>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</si>
  <si>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</si>
  <si>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</si>
  <si>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</si>
  <si>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</si>
  <si>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</si>
  <si>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</si>
  <si>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</si>
  <si>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</si>
  <si>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</si>
  <si>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</si>
  <si>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</si>
  <si>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</si>
  <si>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</si>
  <si>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</si>
  <si>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</si>
  <si>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</si>
  <si>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</si>
  <si>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</si>
  <si>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</si>
  <si>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</si>
  <si>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</si>
  <si>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</si>
  <si>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</si>
  <si>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</si>
  <si>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</si>
  <si>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</si>
  <si>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</si>
  <si>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</si>
  <si>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</si>
  <si>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</si>
  <si>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</si>
  <si>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</si>
  <si>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</si>
  <si>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</si>
  <si>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</si>
  <si>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</si>
  <si>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</si>
  <si>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</si>
  <si>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</si>
  <si>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</si>
  <si>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</si>
  <si>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</si>
  <si>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</si>
  <si>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</si>
  <si>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</si>
  <si>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</si>
  <si>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</si>
  <si>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</si>
  <si>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</si>
  <si>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</si>
  <si>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</si>
  <si>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</si>
  <si>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</si>
  <si>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</si>
  <si>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</si>
  <si>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</si>
  <si>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</si>
  <si>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</si>
  <si>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</si>
  <si>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</si>
  <si>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</si>
  <si>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</si>
  <si>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</si>
  <si>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</si>
  <si>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</si>
  <si>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</si>
  <si>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</si>
  <si>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</si>
  <si>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</si>
  <si>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</si>
  <si>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</si>
  <si>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</si>
  <si>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</si>
  <si>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</si>
  <si>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</si>
  <si>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</si>
  <si>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</si>
  <si>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</si>
  <si>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</si>
  <si>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</si>
  <si>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</si>
  <si>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</si>
  <si>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</si>
  <si>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</si>
  <si>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</si>
  <si>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</si>
  <si>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</si>
  <si>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</si>
  <si>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</si>
  <si>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</si>
  <si>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</si>
  <si>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</si>
  <si>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</si>
  <si>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</si>
  <si>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</si>
  <si>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</si>
  <si>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</si>
  <si>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</si>
  <si>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</si>
  <si>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</si>
  <si>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</si>
  <si>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</si>
  <si>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</si>
  <si>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</si>
  <si>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</si>
  <si>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</si>
  <si>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</si>
  <si>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</si>
  <si>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</si>
  <si>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</si>
  <si>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</si>
  <si>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</si>
  <si>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</si>
  <si>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</si>
  <si>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</si>
  <si>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</si>
  <si>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</si>
  <si>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</si>
  <si>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</si>
  <si>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</si>
  <si>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</si>
  <si>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</si>
  <si>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</si>
  <si>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</si>
  <si>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</si>
  <si>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</si>
  <si>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</si>
  <si>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</si>
  <si>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</si>
  <si>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</si>
  <si>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</si>
  <si>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</si>
  <si>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</si>
  <si>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</si>
  <si>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</si>
  <si>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</si>
  <si>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</si>
  <si>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</si>
  <si>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</si>
  <si>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</si>
  <si>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</si>
  <si>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</si>
  <si>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</si>
  <si>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</si>
  <si>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</si>
  <si>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</si>
  <si>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</si>
  <si>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</si>
  <si>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</si>
  <si>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</si>
  <si>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</si>
  <si>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</si>
  <si>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</si>
  <si>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</si>
  <si>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</si>
  <si>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</si>
  <si>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</si>
  <si>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</si>
  <si>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</si>
  <si>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</si>
  <si>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</si>
  <si>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</si>
  <si>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</si>
  <si>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</si>
  <si>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</si>
  <si>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</si>
  <si>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</si>
  <si>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</si>
  <si>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</si>
  <si>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</si>
  <si>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</si>
  <si>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</si>
  <si>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</si>
  <si>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</si>
  <si>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</si>
  <si>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</si>
  <si>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</si>
  <si>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</si>
  <si>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</si>
  <si>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</si>
  <si>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</si>
  <si>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</si>
  <si>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</si>
  <si>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</si>
  <si>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</si>
  <si>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</si>
  <si>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</si>
  <si>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</si>
  <si>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</si>
  <si>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</si>
  <si>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</si>
  <si>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</si>
  <si>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</si>
  <si>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</si>
  <si>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</si>
  <si>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</si>
  <si>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</si>
  <si>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</si>
  <si>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</si>
  <si>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</si>
  <si>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</si>
  <si>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</si>
  <si>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</si>
  <si>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</si>
  <si>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</si>
  <si>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</si>
  <si>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</si>
  <si>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</si>
  <si>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</si>
  <si>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</si>
  <si>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</si>
  <si>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</si>
  <si>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</si>
  <si>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</si>
  <si>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</si>
  <si>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</si>
  <si>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</si>
  <si>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</si>
  <si>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</si>
  <si>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</si>
  <si>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</si>
  <si>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</si>
  <si>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</si>
  <si>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</si>
  <si>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</si>
  <si>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</si>
  <si>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</si>
  <si>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</si>
  <si>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</si>
  <si>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</si>
  <si>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</si>
  <si>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</si>
  <si>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</si>
  <si>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</si>
  <si>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</si>
  <si>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</si>
  <si>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</si>
  <si>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</si>
  <si>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</si>
  <si>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</si>
  <si>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</si>
  <si>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</si>
  <si>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</si>
  <si>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</si>
  <si>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</si>
  <si>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</si>
  <si>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</si>
  <si>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</si>
  <si>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</si>
  <si>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</si>
  <si>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</si>
  <si>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</si>
  <si>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</si>
  <si>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</si>
  <si>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</si>
  <si>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</si>
  <si>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</si>
  <si>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</si>
  <si>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</si>
  <si>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</si>
  <si>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</si>
  <si>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</si>
  <si>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</si>
  <si>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</si>
  <si>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</si>
  <si>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</si>
  <si>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</si>
  <si>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</si>
  <si>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</si>
  <si>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</si>
  <si>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</si>
  <si>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</si>
  <si>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</si>
  <si>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</si>
  <si>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</si>
  <si>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</si>
  <si>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</si>
  <si>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</si>
  <si>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</si>
  <si>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</si>
  <si>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</si>
  <si>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</si>
  <si>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</si>
  <si>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</si>
  <si>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</si>
  <si>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</si>
  <si>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</si>
  <si>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</si>
  <si>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</si>
  <si>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</si>
  <si>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</si>
  <si>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</si>
  <si>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</si>
  <si>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</si>
  <si>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</si>
  <si>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</si>
  <si>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</si>
  <si>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</si>
  <si>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</si>
  <si>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</si>
  <si>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</si>
  <si>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</si>
  <si>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</si>
  <si>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</si>
  <si>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</si>
  <si>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</si>
  <si>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</si>
  <si>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</si>
  <si>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</si>
  <si>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</si>
  <si>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</si>
  <si>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</si>
  <si>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</si>
  <si>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</si>
  <si>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</si>
  <si>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</si>
  <si>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</si>
  <si>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</si>
  <si>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</si>
  <si>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</si>
  <si>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</si>
  <si>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</si>
  <si>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</si>
  <si>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</si>
  <si>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</si>
  <si>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</si>
  <si>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</si>
  <si>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</si>
  <si>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</si>
  <si>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</si>
  <si>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</si>
  <si>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</si>
  <si>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</si>
  <si>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</si>
  <si>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</si>
  <si>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</si>
  <si>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</si>
  <si>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</si>
  <si>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</si>
  <si>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</si>
  <si>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</si>
  <si>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</si>
  <si>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</si>
  <si>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</si>
  <si>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</si>
  <si>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</si>
  <si>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</si>
  <si>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</si>
  <si>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</si>
  <si>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</si>
  <si>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</si>
  <si>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</si>
  <si>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</si>
  <si>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</si>
  <si>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</si>
  <si>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</si>
  <si>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</si>
  <si>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</si>
  <si>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</si>
  <si>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</si>
  <si>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</si>
  <si>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</si>
  <si>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</si>
  <si>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</si>
  <si>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</si>
  <si>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</si>
  <si>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</si>
  <si>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</si>
  <si>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</si>
  <si>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</si>
  <si>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</si>
  <si>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</si>
  <si>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</si>
  <si>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</si>
  <si>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</si>
  <si>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</si>
  <si>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</si>
  <si>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</si>
  <si>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</si>
  <si>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</si>
  <si>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</si>
  <si>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</si>
  <si>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</si>
  <si>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</si>
  <si>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</si>
  <si>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</si>
  <si>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</si>
  <si>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</si>
  <si>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</si>
  <si>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</si>
  <si>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</si>
  <si>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</si>
  <si>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</si>
  <si>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</si>
  <si>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</si>
  <si>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</si>
  <si>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</si>
  <si>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</si>
  <si>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</si>
  <si>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</si>
  <si>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</si>
  <si>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</si>
  <si>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</si>
  <si>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</si>
  <si>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</si>
  <si>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</si>
  <si>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</si>
  <si>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</si>
  <si>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</si>
  <si>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</si>
  <si>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</si>
  <si>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</si>
  <si>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</si>
  <si>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</si>
  <si>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</si>
  <si>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</si>
  <si>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</si>
  <si>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</si>
  <si>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</si>
  <si>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</si>
  <si>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</si>
  <si>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</si>
  <si>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</si>
  <si>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</si>
  <si>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</si>
  <si>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</si>
  <si>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</si>
  <si>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</si>
  <si>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</si>
  <si>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</si>
  <si>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</si>
  <si>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</si>
  <si>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</si>
  <si>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</si>
  <si>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</si>
  <si>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</si>
  <si>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</si>
  <si>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</si>
  <si>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</si>
  <si>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</si>
  <si>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</si>
  <si>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</si>
  <si>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</si>
  <si>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</si>
  <si>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</si>
  <si>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</si>
  <si>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</si>
  <si>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</si>
  <si>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</si>
  <si>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</si>
  <si>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</si>
  <si>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</si>
  <si>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</si>
  <si>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</si>
  <si>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</si>
  <si>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</si>
  <si>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</si>
  <si>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</si>
  <si>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</si>
  <si>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</si>
  <si>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</si>
  <si>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</si>
  <si>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</si>
  <si>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</si>
  <si>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</si>
  <si>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</si>
  <si>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</si>
  <si>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</si>
  <si>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</si>
  <si>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</si>
  <si>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</si>
  <si>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</si>
  <si>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</si>
  <si>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</si>
  <si>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</si>
  <si>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</si>
  <si>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</si>
  <si>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</si>
  <si>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</si>
  <si>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</si>
  <si>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</si>
  <si>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</si>
  <si>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</si>
  <si>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</si>
  <si>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</si>
  <si>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</si>
  <si>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</si>
  <si>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</si>
  <si>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</si>
  <si>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</si>
  <si>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</si>
  <si>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</si>
  <si>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</si>
  <si>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</si>
  <si>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</si>
  <si>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</si>
  <si>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</si>
  <si>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</si>
  <si>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</si>
  <si>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</si>
  <si>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</si>
  <si>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</si>
  <si>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</si>
  <si>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</si>
  <si>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</si>
  <si>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</si>
  <si>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</si>
  <si>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</si>
  <si>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</si>
  <si>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</si>
  <si>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</si>
  <si>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</si>
  <si>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</si>
  <si>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</si>
  <si>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</si>
  <si>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</si>
  <si>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</si>
  <si>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</si>
  <si>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</si>
  <si>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</si>
  <si>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</si>
  <si>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</si>
  <si>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</si>
  <si>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</si>
  <si>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</si>
  <si>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</si>
  <si>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</si>
  <si>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</si>
  <si>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</si>
  <si>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</si>
  <si>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</si>
  <si>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</si>
  <si>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</si>
  <si>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</si>
  <si>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</si>
  <si>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</si>
  <si>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</si>
  <si>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</si>
  <si>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</si>
  <si>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</si>
  <si>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</si>
  <si>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</si>
  <si>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</si>
  <si>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</si>
  <si>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</si>
  <si>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</si>
  <si>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</si>
  <si>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</si>
  <si>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</si>
  <si>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</si>
  <si>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</si>
  <si>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</si>
  <si>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</si>
  <si>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</si>
  <si>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</si>
  <si>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</si>
  <si>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</si>
  <si>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</si>
  <si>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</si>
  <si>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</si>
  <si>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</si>
  <si>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</si>
  <si>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</si>
  <si>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</si>
  <si>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</si>
  <si>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</si>
  <si>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</si>
  <si>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</si>
  <si>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</si>
  <si>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</si>
  <si>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</si>
  <si>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</si>
  <si>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</si>
  <si>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</si>
  <si>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</si>
  <si>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</si>
  <si>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</si>
  <si>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</si>
  <si>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</si>
  <si>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</si>
  <si>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</si>
  <si>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</si>
  <si>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</si>
  <si>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</si>
  <si>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</si>
  <si>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</si>
  <si>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</si>
  <si>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</si>
  <si>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</si>
  <si>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</si>
  <si>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</si>
  <si>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</si>
  <si>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</si>
  <si>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</si>
  <si>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</si>
  <si>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</si>
  <si>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</si>
  <si>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</si>
  <si>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</si>
  <si>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</si>
  <si>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</si>
  <si>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</si>
  <si>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</si>
  <si>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</si>
  <si>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</si>
  <si>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</si>
  <si>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</si>
  <si>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</si>
  <si>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</si>
  <si>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</si>
  <si>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</si>
  <si>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</si>
  <si>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</si>
  <si>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</si>
  <si>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</si>
  <si>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</si>
  <si>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</si>
  <si>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</si>
  <si>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</si>
  <si>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</si>
  <si>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</si>
  <si>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</si>
  <si>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</si>
  <si>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</si>
  <si>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</si>
  <si>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</si>
  <si>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</si>
  <si>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</si>
  <si>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</si>
  <si>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</si>
  <si>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</si>
  <si>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</si>
  <si>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</si>
  <si>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</si>
  <si>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</si>
  <si>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</si>
  <si>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</si>
  <si>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</si>
  <si>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</si>
  <si>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</si>
  <si>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</si>
  <si>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</si>
  <si>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</si>
  <si>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</si>
  <si>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</si>
  <si>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</si>
  <si>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</si>
  <si>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</si>
  <si>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</si>
  <si>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</si>
  <si>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</si>
  <si>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</si>
  <si>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</si>
  <si>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</si>
  <si>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</si>
  <si>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</si>
  <si>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</si>
  <si>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</si>
  <si>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</si>
  <si>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</si>
  <si>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</si>
  <si>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</si>
  <si>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</si>
  <si>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</si>
  <si>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</si>
  <si>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</si>
  <si>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</si>
  <si>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</si>
  <si>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</si>
  <si>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</si>
  <si>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</si>
  <si>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</si>
  <si>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</si>
  <si>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</si>
  <si>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</si>
  <si>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</si>
  <si>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</si>
  <si>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</si>
  <si>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</si>
  <si>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</si>
  <si>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</si>
  <si>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</si>
  <si>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</si>
  <si>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</si>
  <si>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</si>
  <si>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</si>
  <si>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</si>
  <si>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</si>
  <si>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</si>
  <si>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</si>
  <si>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</si>
  <si>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</si>
  <si>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</si>
  <si>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</si>
  <si>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</si>
  <si>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</si>
  <si>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</si>
  <si>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</si>
  <si>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</si>
  <si>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</si>
  <si>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</si>
  <si>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</si>
  <si>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</si>
  <si>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</si>
  <si>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</si>
  <si>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</si>
  <si>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</si>
  <si>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</si>
  <si>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</si>
  <si>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</si>
  <si>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</si>
  <si>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</si>
  <si>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</si>
  <si>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</si>
  <si>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</si>
  <si>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</si>
  <si>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</si>
  <si>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</si>
  <si>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</si>
  <si>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</si>
  <si>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</si>
  <si>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</si>
  <si>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</si>
  <si>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</si>
  <si>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</si>
  <si>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</si>
  <si>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</si>
  <si>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</si>
  <si>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</si>
  <si>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</si>
  <si>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</si>
  <si>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</si>
  <si>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</si>
  <si>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</si>
  <si>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</si>
  <si>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</si>
  <si>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</si>
  <si>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</si>
  <si>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</si>
  <si>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</si>
  <si>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</si>
  <si>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</si>
  <si>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</si>
  <si>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</si>
  <si>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</si>
  <si>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</si>
  <si>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</si>
  <si>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</si>
  <si>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</si>
  <si>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</si>
  <si>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</si>
  <si>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</si>
  <si>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</si>
  <si>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</si>
  <si>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</si>
  <si>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</si>
  <si>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</si>
  <si>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</si>
  <si>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</si>
  <si>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</si>
  <si>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</si>
  <si>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</si>
  <si>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</si>
  <si>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</si>
  <si>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</si>
  <si>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</si>
  <si>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</si>
  <si>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</si>
  <si>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</si>
  <si>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</si>
  <si>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</si>
  <si>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</si>
  <si>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</si>
  <si>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</si>
  <si>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</si>
  <si>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</si>
  <si>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</si>
  <si>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</si>
  <si>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</si>
  <si>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</si>
  <si>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</si>
  <si>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</si>
  <si>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</si>
  <si>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</si>
  <si>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</si>
  <si>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</si>
  <si>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</si>
  <si>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</si>
  <si>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</si>
  <si>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</si>
  <si>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</si>
  <si>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</si>
  <si>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</si>
  <si>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</si>
  <si>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</si>
  <si>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</si>
  <si>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</si>
  <si>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</si>
  <si>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</si>
  <si>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</si>
  <si>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</si>
  <si>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</si>
  <si>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</si>
  <si>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</si>
  <si>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</si>
  <si>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</si>
  <si>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</si>
  <si>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</si>
  <si>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</si>
  <si>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</si>
  <si>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</si>
  <si>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</si>
  <si>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</si>
  <si>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</si>
  <si>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</si>
  <si>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</si>
  <si>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</si>
  <si>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</si>
  <si>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</si>
  <si>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</si>
  <si>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</si>
  <si>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</si>
  <si>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</si>
  <si>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</si>
  <si>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</si>
  <si>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</si>
  <si>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</si>
  <si>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</si>
  <si>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</si>
  <si>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</si>
  <si>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</si>
  <si>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</si>
  <si>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</si>
  <si>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</si>
  <si>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</si>
  <si>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</si>
  <si>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</si>
  <si>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</si>
  <si>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</si>
  <si>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</si>
  <si>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</si>
  <si>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</si>
  <si>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</si>
  <si>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</si>
  <si>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</si>
  <si>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</si>
  <si>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</si>
  <si>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</si>
  <si>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</si>
  <si>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</si>
  <si>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</si>
  <si>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</si>
  <si>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</si>
  <si>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</si>
  <si>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</si>
  <si>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</si>
  <si>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</si>
  <si>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</si>
  <si>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</si>
  <si>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</si>
  <si>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</si>
  <si>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</si>
  <si>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</si>
  <si>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</si>
  <si>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</si>
  <si>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</si>
  <si>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</si>
  <si>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</si>
  <si>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</si>
  <si>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</si>
  <si>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</si>
  <si>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</si>
  <si>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</si>
  <si>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</si>
  <si>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</si>
  <si>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</si>
  <si>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</si>
  <si>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</si>
  <si>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</si>
  <si>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</si>
  <si>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</si>
  <si>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</si>
  <si>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</si>
  <si>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</si>
  <si>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</si>
  <si>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</si>
  <si>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</si>
  <si>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</si>
  <si>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</si>
  <si>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</si>
  <si>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</si>
  <si>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</si>
  <si>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</si>
  <si>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</si>
  <si>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</si>
  <si>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</si>
  <si>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</si>
  <si>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</si>
  <si>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</si>
  <si>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</si>
  <si>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</si>
  <si>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</si>
  <si>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</si>
  <si>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</si>
  <si>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</si>
  <si>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</si>
  <si>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</si>
  <si>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</si>
  <si>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</si>
  <si>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</si>
  <si>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</si>
  <si>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</si>
  <si>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</si>
  <si>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</si>
  <si>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</si>
  <si>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</si>
  <si>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</si>
  <si>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</si>
  <si>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</si>
  <si>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</si>
  <si>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</si>
  <si>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</si>
  <si>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</si>
  <si>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</si>
  <si>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</si>
  <si>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</si>
  <si>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</si>
  <si>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</si>
  <si>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</si>
  <si>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</si>
  <si>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</si>
  <si>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</si>
  <si>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</si>
  <si>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</si>
  <si>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</si>
  <si>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</si>
  <si>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</si>
  <si>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</si>
  <si>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</si>
  <si>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</si>
  <si>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</si>
  <si>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</si>
  <si>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</si>
  <si>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</si>
  <si>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</si>
  <si>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</si>
  <si>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</si>
  <si>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</si>
  <si>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</si>
  <si>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</si>
  <si>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</si>
  <si>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</si>
  <si>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</si>
  <si>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</si>
  <si>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</si>
  <si>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</si>
  <si>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</si>
  <si>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</si>
  <si>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</si>
  <si>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</si>
  <si>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</si>
  <si>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</si>
  <si>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</si>
  <si>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</si>
  <si>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</si>
  <si>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</si>
  <si>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</si>
  <si>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</si>
  <si>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</si>
  <si>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</si>
  <si>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</si>
  <si>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</si>
  <si>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</si>
  <si>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</si>
  <si>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</si>
  <si>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</si>
  <si>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</si>
  <si>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</si>
  <si>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</si>
  <si>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</si>
  <si>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</si>
  <si>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</si>
  <si>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</si>
  <si>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</si>
  <si>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</si>
  <si>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</si>
  <si>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</si>
  <si>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</si>
  <si>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</si>
  <si>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</si>
  <si>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</si>
  <si>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</si>
  <si>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</si>
  <si>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</si>
  <si>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</si>
  <si>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</si>
  <si>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</si>
  <si>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</si>
  <si>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</si>
  <si>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</si>
  <si>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</si>
  <si>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</si>
  <si>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</si>
  <si>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</si>
  <si>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</si>
  <si>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</si>
  <si>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</si>
  <si>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</si>
  <si>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</si>
  <si>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</si>
  <si>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</si>
  <si>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</si>
  <si>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</si>
  <si>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</si>
  <si>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</si>
  <si>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</si>
  <si>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</si>
  <si>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</si>
  <si>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</si>
  <si>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</si>
  <si>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</si>
  <si>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</si>
  <si>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</si>
  <si>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</si>
  <si>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</si>
  <si>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</si>
  <si>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</si>
  <si>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</si>
  <si>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</si>
  <si>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</si>
  <si>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</si>
  <si>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</si>
  <si>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</si>
  <si>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</si>
  <si>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</si>
  <si>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</si>
  <si>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</si>
  <si>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</si>
  <si>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</si>
  <si>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</si>
  <si>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</si>
  <si>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</si>
  <si>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</si>
  <si>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</si>
  <si>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</si>
  <si>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</si>
  <si>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</si>
  <si>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</si>
  <si>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</si>
  <si>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</si>
  <si>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</si>
  <si>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</si>
  <si>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</si>
  <si>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</si>
  <si>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</si>
  <si>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</si>
  <si>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</si>
  <si>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</si>
  <si>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</si>
  <si>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</si>
  <si>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</si>
  <si>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</si>
  <si>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</si>
  <si>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</si>
  <si>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</si>
  <si>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</si>
  <si>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</si>
  <si>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</si>
  <si>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</si>
  <si>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</si>
  <si>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</si>
  <si>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</si>
  <si>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</si>
  <si>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</si>
  <si>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</si>
  <si>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</si>
  <si>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</si>
  <si>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</si>
  <si>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</si>
  <si>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</si>
  <si>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</si>
  <si>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</si>
  <si>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</si>
  <si>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</si>
  <si>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</si>
  <si>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</si>
  <si>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</si>
  <si>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</si>
  <si>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</si>
  <si>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</si>
  <si>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</si>
  <si>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</si>
  <si>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</si>
  <si>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</si>
  <si>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</si>
  <si>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</si>
  <si>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</si>
  <si>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</si>
  <si>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</si>
  <si>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</si>
  <si>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</si>
  <si>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</si>
  <si>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</si>
  <si>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</si>
  <si>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</si>
  <si>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</si>
  <si>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</si>
  <si>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</si>
  <si>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</si>
  <si>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</si>
  <si>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</si>
  <si>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</si>
  <si>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</si>
  <si>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</si>
  <si>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</si>
  <si>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</si>
  <si>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</si>
  <si>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</si>
  <si>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</si>
  <si>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</si>
  <si>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</si>
  <si>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</si>
  <si>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</si>
  <si>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</si>
  <si>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</si>
  <si>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</si>
  <si>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</si>
  <si>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</si>
  <si>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</si>
  <si>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</si>
  <si>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</si>
  <si>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</si>
  <si>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</si>
  <si>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</si>
  <si>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</si>
  <si>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</si>
  <si>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</si>
  <si>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</si>
  <si>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</si>
  <si>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</si>
  <si>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</si>
  <si>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</si>
  <si>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</si>
  <si>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</si>
  <si>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</si>
  <si>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</si>
  <si>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</si>
  <si>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</si>
  <si>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</si>
  <si>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</si>
  <si>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</si>
  <si>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</si>
  <si>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</si>
  <si>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</si>
  <si>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</si>
  <si>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</si>
  <si>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</si>
  <si>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</si>
  <si>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</si>
  <si>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</si>
  <si>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</si>
  <si>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</si>
  <si>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</si>
  <si>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</si>
  <si>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</si>
  <si>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</si>
  <si>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</si>
  <si>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</si>
  <si>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</si>
  <si>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</si>
  <si>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</si>
  <si>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</si>
  <si>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</si>
  <si>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</si>
  <si>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</si>
  <si>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</si>
  <si>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</si>
  <si>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</si>
  <si>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</si>
  <si>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</si>
  <si>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</si>
  <si>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</si>
  <si>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</si>
  <si>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</si>
  <si>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</si>
  <si>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</si>
  <si>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</si>
  <si>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</si>
  <si>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</si>
  <si>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</si>
  <si>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</si>
  <si>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</si>
  <si>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</si>
  <si>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</si>
  <si>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</si>
  <si>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</si>
  <si>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</si>
  <si>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</si>
  <si>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</si>
  <si>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</si>
  <si>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</si>
  <si>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</si>
  <si>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</si>
  <si>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</si>
  <si>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</si>
  <si>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</si>
  <si>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</si>
  <si>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</si>
  <si>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</si>
  <si>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</si>
  <si>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</si>
  <si>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</si>
  <si>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</si>
  <si>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</si>
  <si>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</si>
  <si>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</si>
  <si>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</si>
  <si>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</si>
  <si>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</si>
  <si>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</si>
  <si>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</si>
  <si>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</si>
  <si>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</si>
  <si>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</si>
  <si>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</si>
  <si>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</si>
  <si>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</si>
  <si>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</si>
  <si>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</si>
  <si>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</si>
  <si>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</si>
  <si>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</si>
  <si>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</si>
  <si>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</si>
  <si>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</si>
  <si>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</si>
  <si>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</si>
  <si>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</si>
  <si>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</si>
  <si>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</si>
  <si>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</si>
  <si>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</si>
  <si>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</si>
  <si>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</si>
  <si>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</si>
  <si>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</si>
  <si>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</si>
  <si>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</si>
  <si>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</si>
  <si>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</si>
  <si>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</si>
  <si>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</si>
  <si>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</si>
  <si>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</si>
  <si>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</si>
  <si>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</si>
  <si>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</si>
  <si>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</si>
  <si>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</si>
  <si>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</si>
  <si>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</si>
  <si>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</si>
  <si>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</si>
  <si>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</si>
  <si>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</si>
  <si>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</si>
  <si>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</si>
  <si>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</si>
  <si>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</si>
  <si>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</si>
  <si>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</si>
  <si>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</si>
  <si>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</si>
  <si>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</si>
  <si>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</si>
  <si>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</si>
  <si>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</si>
  <si>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</si>
  <si>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</si>
  <si>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</si>
  <si>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</si>
  <si>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</si>
  <si>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</si>
  <si>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</si>
  <si>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</si>
  <si>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</si>
  <si>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</si>
  <si>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</si>
  <si>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</si>
  <si>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</si>
  <si>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</si>
  <si>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</si>
  <si>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</si>
  <si>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</si>
  <si>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</si>
  <si>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</si>
  <si>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</si>
  <si>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</si>
  <si>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</si>
  <si>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</si>
  <si>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</si>
  <si>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</si>
  <si>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</si>
  <si>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</si>
  <si>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</si>
  <si>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</si>
  <si>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</si>
  <si>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</si>
  <si>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</si>
  <si>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</si>
  <si>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</si>
  <si>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</si>
  <si>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</si>
  <si>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</si>
  <si>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</si>
  <si>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</si>
  <si>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</si>
  <si>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</si>
  <si>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</si>
  <si>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</si>
  <si>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</si>
  <si>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</si>
  <si>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</si>
  <si>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</si>
  <si>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</si>
  <si>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</si>
  <si>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</si>
  <si>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</si>
  <si>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</si>
  <si>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</si>
  <si>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</si>
  <si>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</si>
  <si>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</si>
  <si>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</si>
  <si>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</si>
  <si>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</si>
  <si>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</si>
  <si>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</si>
  <si>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</si>
  <si>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</si>
  <si>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</si>
  <si>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</si>
  <si>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</si>
  <si>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</si>
  <si>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</si>
  <si>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</si>
  <si>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</si>
  <si>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</si>
  <si>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</si>
  <si>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</si>
  <si>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</si>
  <si>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</si>
  <si>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</si>
  <si>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</si>
  <si>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</si>
  <si>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</si>
  <si>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</si>
  <si>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</si>
  <si>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</si>
  <si>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</si>
  <si>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</si>
  <si>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</si>
  <si>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</si>
  <si>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</si>
  <si>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</si>
  <si>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</si>
  <si>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</si>
  <si>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</si>
  <si>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</si>
  <si>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</si>
  <si>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</si>
  <si>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</si>
  <si>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</si>
  <si>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</si>
  <si>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</si>
  <si>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</si>
  <si>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</si>
  <si>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</si>
  <si>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</si>
  <si>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</si>
  <si>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</si>
  <si>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</si>
  <si>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</si>
  <si>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</si>
  <si>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</si>
  <si>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</si>
  <si>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</si>
  <si>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</si>
  <si>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</si>
  <si>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</si>
  <si>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</si>
  <si>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</si>
  <si>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</si>
  <si>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</si>
  <si>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</si>
  <si>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</si>
  <si>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</si>
  <si>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</si>
  <si>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</si>
  <si>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</si>
  <si>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</si>
  <si>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</si>
  <si>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</si>
  <si>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</si>
  <si>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</si>
  <si>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</si>
  <si>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</si>
  <si>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</si>
  <si>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</si>
  <si>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</si>
  <si>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</si>
  <si>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</si>
  <si>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</si>
  <si>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</si>
  <si>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</si>
  <si>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</si>
  <si>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</si>
  <si>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</si>
  <si>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</si>
  <si>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</si>
  <si>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</si>
  <si>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</si>
  <si>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</si>
  <si>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</si>
  <si>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</si>
  <si>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</si>
  <si>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</si>
  <si>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</si>
  <si>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</si>
  <si>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</si>
  <si>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</si>
  <si>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</si>
  <si>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</si>
  <si>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</si>
  <si>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</si>
  <si>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</si>
  <si>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</si>
  <si>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</si>
  <si>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</si>
  <si>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</si>
  <si>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</si>
  <si>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</si>
  <si>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</si>
  <si>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</si>
  <si>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</si>
  <si>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</si>
  <si>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</si>
  <si>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</si>
  <si>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</si>
  <si>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</si>
  <si>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</si>
  <si>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</si>
  <si>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</si>
  <si>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</si>
  <si>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</si>
  <si>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</si>
  <si>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</si>
  <si>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</si>
  <si>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</si>
  <si>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</si>
  <si>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</si>
  <si>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</si>
  <si>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</si>
  <si>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</si>
  <si>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</si>
  <si>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</si>
  <si>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</si>
  <si>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</si>
  <si>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</si>
  <si>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</si>
  <si>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</si>
  <si>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</si>
  <si>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</si>
  <si>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</si>
  <si>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</si>
  <si>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</si>
  <si>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</si>
  <si>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</si>
  <si>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</si>
  <si>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</si>
  <si>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</si>
  <si>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</si>
  <si>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</si>
  <si>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</si>
  <si>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</si>
  <si>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</si>
  <si>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</si>
  <si>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</si>
  <si>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</si>
  <si>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</si>
  <si>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</si>
  <si>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</si>
  <si>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</si>
  <si>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</si>
  <si>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</si>
  <si>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</si>
  <si>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</si>
  <si>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</si>
  <si>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</si>
  <si>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</si>
  <si>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</si>
  <si>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</si>
  <si>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</si>
  <si>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</si>
  <si>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</si>
  <si>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</si>
  <si>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</si>
  <si>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</si>
  <si>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</si>
  <si>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</si>
  <si>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</si>
  <si>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</si>
  <si>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</si>
  <si>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</si>
  <si>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</si>
  <si>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</si>
  <si>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</si>
  <si>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</si>
  <si>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</si>
  <si>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</si>
  <si>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</si>
  <si>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</si>
  <si>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</si>
  <si>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</si>
  <si>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</si>
  <si>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</si>
  <si>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</si>
  <si>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</si>
  <si>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</si>
  <si>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</si>
  <si>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</si>
  <si>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</si>
  <si>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</si>
  <si>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</si>
  <si>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</si>
  <si>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</si>
  <si>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</si>
  <si>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</si>
  <si>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</si>
  <si>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</si>
  <si>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</si>
  <si>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</si>
  <si>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</si>
  <si>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</si>
  <si>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</si>
  <si>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</si>
  <si>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</si>
  <si>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</si>
  <si>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</si>
  <si>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</si>
  <si>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</si>
  <si>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</si>
  <si>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</si>
  <si>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</si>
  <si>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</si>
  <si>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</si>
  <si>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</si>
  <si>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</si>
  <si>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</si>
  <si>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</si>
  <si>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</si>
  <si>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</si>
  <si>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</si>
  <si>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</si>
  <si>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</si>
  <si>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</si>
  <si>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</si>
  <si>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</si>
  <si>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</si>
  <si>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</si>
  <si>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</si>
  <si>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</si>
  <si>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</si>
  <si>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</si>
  <si>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</si>
  <si>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</si>
  <si>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</si>
  <si>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</si>
  <si>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</si>
  <si>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</si>
  <si>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</si>
  <si>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</si>
  <si>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</si>
  <si>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</si>
  <si>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</si>
  <si>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</si>
  <si>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</si>
  <si>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</si>
  <si>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</si>
  <si>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</si>
  <si>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</si>
  <si>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</si>
  <si>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</si>
  <si>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</si>
  <si>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</si>
  <si>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</si>
  <si>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</si>
  <si>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</si>
  <si>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</si>
  <si>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</si>
  <si>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</si>
  <si>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</si>
  <si>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</si>
  <si>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</si>
  <si>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</si>
  <si>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</si>
  <si>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</si>
  <si>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</si>
  <si>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</si>
  <si>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</si>
  <si>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</si>
  <si>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</si>
  <si>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</si>
  <si>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</si>
  <si>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</si>
  <si>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</si>
  <si>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</si>
  <si>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</si>
  <si>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</si>
  <si>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</si>
  <si>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</si>
  <si>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</si>
  <si>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</si>
  <si>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</si>
  <si>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</si>
  <si>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</si>
  <si>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</si>
  <si>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</si>
  <si>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</si>
  <si>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</si>
  <si>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</si>
  <si>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</si>
  <si>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</si>
  <si>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</si>
  <si>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</si>
  <si>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</si>
  <si>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</si>
  <si>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</si>
  <si>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</si>
  <si>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</si>
  <si>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</si>
  <si>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</si>
  <si>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</si>
  <si>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</si>
  <si>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</si>
  <si>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</si>
  <si>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</si>
  <si>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</si>
  <si>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</si>
  <si>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</si>
  <si>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</si>
  <si>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</si>
  <si>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</si>
  <si>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</si>
  <si>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</si>
  <si>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</si>
  <si>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</si>
  <si>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</si>
  <si>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</si>
  <si>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</si>
  <si>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</si>
  <si>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</si>
  <si>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</si>
  <si>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</si>
  <si>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</si>
  <si>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</si>
  <si>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</si>
  <si>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</si>
  <si>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</si>
  <si>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</si>
  <si>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</si>
  <si>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</si>
  <si>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</si>
  <si>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</si>
  <si>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</si>
  <si>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</si>
  <si>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</si>
  <si>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</si>
  <si>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</si>
  <si>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</si>
  <si>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</si>
  <si>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</si>
  <si>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</si>
  <si>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</si>
  <si>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</si>
  <si>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</si>
  <si>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</si>
  <si>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</si>
  <si>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</si>
  <si>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</si>
  <si>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</si>
  <si>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</si>
  <si>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</si>
  <si>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</si>
  <si>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</si>
  <si>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</si>
  <si>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</si>
  <si>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</si>
  <si>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</si>
  <si>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</si>
  <si>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</si>
  <si>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</si>
  <si>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</si>
  <si>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</si>
  <si>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</si>
  <si>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</si>
  <si>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</si>
  <si>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</si>
  <si>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</si>
  <si>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</si>
  <si>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</si>
  <si>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</si>
  <si>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</si>
  <si>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</si>
  <si>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</si>
  <si>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</si>
  <si>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</si>
  <si>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</si>
  <si>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</si>
  <si>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</si>
  <si>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</si>
  <si>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</si>
  <si>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</si>
  <si>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</si>
  <si>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</si>
  <si>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</si>
  <si>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</si>
  <si>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</si>
  <si>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</si>
  <si>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</si>
  <si>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</si>
  <si>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</si>
  <si>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</si>
  <si>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</si>
  <si>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</si>
  <si>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</si>
  <si>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</si>
  <si>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</si>
  <si>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</si>
  <si>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</si>
  <si>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</si>
  <si>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</si>
  <si>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</si>
  <si>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</si>
  <si>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</si>
  <si>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</si>
  <si>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</si>
  <si>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</si>
  <si>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</si>
  <si>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</si>
  <si>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</si>
  <si>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</si>
  <si>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</si>
  <si>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</si>
  <si>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</si>
  <si>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</si>
  <si>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</si>
  <si>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</si>
  <si>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</si>
  <si>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</si>
  <si>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</si>
  <si>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</si>
  <si>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</si>
  <si>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</si>
  <si>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</si>
  <si>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</si>
  <si>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</si>
  <si>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</si>
  <si>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</si>
  <si>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</si>
  <si>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</si>
  <si>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</si>
  <si>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</si>
  <si>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</si>
  <si>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</si>
  <si>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</si>
  <si>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</si>
  <si>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</si>
  <si>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</si>
  <si>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</si>
  <si>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</si>
  <si>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</si>
  <si>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</si>
  <si>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</si>
  <si>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</si>
  <si>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</si>
  <si>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</si>
  <si>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</si>
  <si>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</si>
  <si>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</si>
  <si>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</si>
  <si>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</si>
  <si>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</si>
  <si>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</si>
  <si>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</si>
  <si>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</si>
  <si>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</si>
  <si>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</si>
  <si>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</si>
  <si>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</si>
  <si>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</si>
  <si>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</si>
  <si>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</si>
  <si>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</si>
  <si>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</si>
  <si>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</si>
  <si>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</si>
  <si>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</si>
  <si>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</si>
  <si>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</si>
  <si>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</si>
  <si>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</si>
  <si>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</si>
  <si>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</si>
  <si>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</si>
  <si>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</si>
  <si>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</si>
  <si>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</si>
  <si>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</si>
  <si>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</si>
  <si>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</si>
  <si>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</si>
  <si>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</si>
  <si>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</si>
  <si>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</si>
  <si>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</si>
  <si>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</si>
  <si>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</si>
  <si>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</si>
  <si>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</si>
  <si>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</si>
  <si>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</si>
  <si>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</si>
  <si>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</si>
  <si>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</si>
  <si>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</si>
  <si>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</si>
  <si>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</si>
  <si>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</si>
  <si>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</si>
  <si>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</si>
  <si>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</si>
  <si>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</si>
  <si>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</si>
  <si>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</si>
  <si>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</si>
  <si>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</si>
  <si>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</si>
  <si>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</si>
  <si>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</si>
  <si>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</si>
  <si>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</si>
  <si>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</si>
  <si>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</si>
  <si>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</si>
  <si>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</si>
  <si>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</si>
  <si>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</si>
  <si>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</si>
  <si>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</si>
  <si>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</si>
  <si>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</si>
  <si>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</si>
  <si>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When a game is selected, Gain +1 Temporary Shield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</si>
  <si>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</si>
  <si>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</si>
  <si>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</si>
  <si>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</si>
  <si>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</si>
  <si>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</si>
  <si>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</si>
  <si>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</si>
  <si>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</si>
  <si>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</si>
  <si>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</si>
  <si>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</si>
  <si>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</si>
  <si>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</si>
  <si>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</si>
  <si>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</si>
  <si>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</si>
  <si>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</si>
  <si>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</si>
  <si>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</si>
  <si>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</si>
  <si>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</si>
  <si>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</si>
  <si>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</si>
  <si>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</si>
  <si>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</si>
  <si>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</si>
  <si>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</si>
  <si>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</si>
  <si>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</si>
  <si>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</si>
  <si>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</si>
  <si>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</si>
  <si>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</si>
  <si>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</si>
  <si>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</si>
  <si>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</si>
  <si>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</si>
  <si>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</si>
  <si>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</si>
  <si>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</si>
  <si>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</si>
  <si>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</si>
  <si>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</si>
  <si>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</si>
  <si>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</si>
  <si>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</si>
  <si>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</si>
  <si>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</si>
  <si>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</si>
  <si>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</si>
  <si>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</si>
  <si>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</si>
  <si>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</si>
  <si>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</si>
  <si>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</si>
  <si>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</si>
  <si>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</si>
  <si>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</si>
  <si>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</si>
  <si>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</si>
  <si>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</si>
  <si>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</si>
  <si>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</si>
  <si>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</si>
  <si>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</si>
  <si>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</si>
  <si>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</si>
  <si>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</si>
  <si>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</si>
  <si>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</si>
  <si>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</si>
  <si>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</si>
  <si>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</si>
  <si>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</si>
  <si>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</si>
  <si>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</si>
  <si>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</si>
  <si>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</si>
  <si>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</si>
  <si>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</si>
  <si>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</si>
  <si>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</si>
  <si>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</si>
  <si>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</si>
  <si>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</si>
  <si>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</si>
  <si>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</si>
  <si>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</si>
  <si>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</si>
  <si>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</si>
  <si>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</si>
  <si>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</si>
  <si>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</si>
  <si>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</si>
  <si>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</si>
  <si>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</si>
  <si>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</si>
  <si>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</si>
  <si>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</si>
  <si>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</si>
  <si>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</si>
  <si>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</si>
  <si>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</si>
  <si>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</si>
  <si>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</si>
  <si>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</si>
  <si>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</si>
  <si>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</si>
  <si>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</si>
  <si>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</si>
  <si>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</si>
  <si>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</si>
  <si>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</si>
  <si>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</si>
  <si>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</si>
  <si>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</si>
  <si>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</si>
  <si>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</si>
  <si>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</si>
  <si>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</si>
  <si>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</si>
  <si>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</si>
  <si>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</si>
  <si>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</si>
  <si>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</si>
  <si>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</si>
  <si>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</si>
  <si>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</si>
  <si>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</si>
  <si>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</si>
  <si>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</si>
  <si>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</si>
  <si>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</si>
  <si>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</si>
  <si>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</si>
  <si>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</si>
  <si>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</si>
  <si>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</si>
  <si>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</si>
  <si>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</si>
  <si>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</si>
  <si>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</si>
  <si>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</si>
  <si>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</si>
  <si>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</si>
  <si>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</si>
  <si>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</si>
  <si>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</si>
  <si>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</si>
  <si>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</si>
  <si>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</si>
  <si>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</si>
  <si>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</si>
  <si>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</si>
  <si>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</si>
  <si>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</si>
  <si>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</si>
  <si>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</si>
  <si>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</si>
  <si>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</si>
  <si>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</si>
  <si>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</si>
  <si>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</si>
  <si>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</si>
  <si>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</si>
  <si>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</si>
  <si>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</si>
  <si>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</si>
  <si>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</si>
  <si>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</si>
  <si>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</si>
  <si>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</si>
  <si>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</si>
  <si>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</si>
  <si>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</si>
  <si>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</si>
  <si>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</si>
  <si>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</si>
  <si>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</si>
  <si>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</si>
  <si>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</si>
  <si>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</si>
  <si>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</si>
  <si>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</si>
  <si>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</si>
  <si>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</si>
  <si>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</si>
  <si>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</si>
  <si>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</si>
  <si>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</si>
  <si>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</si>
  <si>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</si>
  <si>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</si>
  <si>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</si>
  <si>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</si>
  <si>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</si>
  <si>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</si>
  <si>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</si>
  <si>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</si>
  <si>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</si>
  <si>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</si>
  <si>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</si>
  <si>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</si>
  <si>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</si>
  <si>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</si>
  <si>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</si>
  <si>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</si>
  <si>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</si>
  <si>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</si>
  <si>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</si>
  <si>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</si>
  <si>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</si>
  <si>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</si>
  <si>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</si>
  <si>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</si>
  <si>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</si>
  <si>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</si>
  <si>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</si>
  <si>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</si>
  <si>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</si>
  <si>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</si>
  <si>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</si>
  <si>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</si>
  <si>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</si>
  <si>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</si>
  <si>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</si>
  <si>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</si>
  <si>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</si>
  <si>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</si>
  <si>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</si>
  <si>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</si>
  <si>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</si>
  <si>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</si>
  <si>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</si>
  <si>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</si>
  <si>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</si>
  <si>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</si>
  <si>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</si>
  <si>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</si>
  <si>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</si>
  <si>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</si>
  <si>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</si>
  <si>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</si>
  <si>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</si>
  <si>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</si>
  <si>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</si>
  <si>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</si>
  <si>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</si>
  <si>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</si>
  <si>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</si>
  <si>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</si>
  <si>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</si>
  <si>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</si>
  <si>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</si>
  <si>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</si>
  <si>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</si>
  <si>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</si>
  <si>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</si>
  <si>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</si>
  <si>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</si>
  <si>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</si>
  <si>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</si>
  <si>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</si>
  <si>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</si>
  <si>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</si>
  <si>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</si>
  <si>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</si>
  <si>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</si>
  <si>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</si>
  <si>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</si>
  <si>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</si>
  <si>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</si>
  <si>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</si>
  <si>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</si>
  <si>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</si>
  <si>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</si>
  <si>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</si>
  <si>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</si>
  <si>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</si>
  <si>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</si>
  <si>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</si>
  <si>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</si>
  <si>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</si>
  <si>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</si>
  <si>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</si>
  <si>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</si>
  <si>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</si>
  <si>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</si>
  <si>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</si>
  <si>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</si>
  <si>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</si>
  <si>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</si>
  <si>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</si>
  <si>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</si>
  <si>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</si>
  <si>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</si>
  <si>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</si>
  <si>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</si>
  <si>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</si>
  <si>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</si>
  <si>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</si>
  <si>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</si>
  <si>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</si>
  <si>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</si>
  <si>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</si>
  <si>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</si>
  <si>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</si>
  <si>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</si>
  <si>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</si>
  <si>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</si>
  <si>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</si>
  <si>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</si>
  <si>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</si>
  <si>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</si>
  <si>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</si>
  <si>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</si>
  <si>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</si>
  <si>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</si>
  <si>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</si>
  <si>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</si>
  <si>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</si>
  <si>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</si>
  <si>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</si>
  <si>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</si>
  <si>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</si>
  <si>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</si>
  <si>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</si>
  <si>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</si>
  <si>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</si>
  <si>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</si>
  <si>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</si>
  <si>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</si>
  <si>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</si>
  <si>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</si>
  <si>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</si>
  <si>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</si>
  <si>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</si>
  <si>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</si>
  <si>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</si>
  <si>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</si>
  <si>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</si>
  <si>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</si>
  <si>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</si>
  <si>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</si>
  <si>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</si>
  <si>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</si>
  <si>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</si>
  <si>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</si>
  <si>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</si>
  <si>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</si>
  <si>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</si>
  <si>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</si>
  <si>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</si>
  <si>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</si>
  <si>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</si>
  <si>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</si>
  <si>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</si>
  <si>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</si>
  <si>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</si>
  <si>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</si>
  <si>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</si>
  <si>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</si>
  <si>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</si>
  <si>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</si>
  <si>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</si>
  <si>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</si>
  <si>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</si>
  <si>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</si>
  <si>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</si>
  <si>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</si>
  <si>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</si>
  <si>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</si>
  <si>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</si>
  <si>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</si>
  <si>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</si>
  <si>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</si>
  <si>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</si>
  <si>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</si>
  <si>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</si>
  <si>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</si>
  <si>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</si>
  <si>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</si>
  <si>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</si>
  <si>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</si>
  <si>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</si>
  <si>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</si>
  <si>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</si>
  <si>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</si>
  <si>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</si>
  <si>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</si>
  <si>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</si>
  <si>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</si>
  <si>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</si>
  <si>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</si>
  <si>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</si>
  <si>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</si>
  <si>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</si>
  <si>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</si>
  <si>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</si>
  <si>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</si>
  <si>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</si>
  <si>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</si>
  <si>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</si>
  <si>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</si>
  <si>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</si>
  <si>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</si>
  <si>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</si>
  <si>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</si>
  <si>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</si>
  <si>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</si>
  <si>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</si>
  <si>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</si>
  <si>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</si>
  <si>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</si>
  <si>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</si>
  <si>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</si>
  <si>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</si>
  <si>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</si>
  <si>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</si>
  <si>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</si>
  <si>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</si>
  <si>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</si>
  <si>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</si>
  <si>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</si>
  <si>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</si>
  <si>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</si>
  <si>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</si>
  <si>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</si>
  <si>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</si>
  <si>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</si>
  <si>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</si>
  <si>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</si>
  <si>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</si>
  <si>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</si>
  <si>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</si>
  <si>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</si>
  <si>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</si>
  <si>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</si>
  <si>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</si>
  <si>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</si>
  <si>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</si>
  <si>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</si>
  <si>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</si>
  <si>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</si>
  <si>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</si>
  <si>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</si>
  <si>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</si>
  <si>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</si>
  <si>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</si>
  <si>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</si>
  <si>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</si>
  <si>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</si>
  <si>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</si>
  <si>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</si>
  <si>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</si>
  <si>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</si>
  <si>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</si>
  <si>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</si>
  <si>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</si>
  <si>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</si>
  <si>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</si>
  <si>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</si>
  <si>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</si>
  <si>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</si>
  <si>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</si>
  <si>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</si>
  <si>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</si>
  <si>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</si>
  <si>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</si>
  <si>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</si>
  <si>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</si>
  <si>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</si>
  <si>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</si>
  <si>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</si>
  <si>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</si>
  <si>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</si>
  <si>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</si>
  <si>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</si>
  <si>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</si>
  <si>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</si>
  <si>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</si>
  <si>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</si>
  <si>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</si>
  <si>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</si>
  <si>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</si>
  <si>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</si>
  <si>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</si>
  <si>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</si>
  <si>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</si>
  <si>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</si>
  <si>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</si>
  <si>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</si>
  <si>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</si>
  <si>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</si>
  <si>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</si>
  <si>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</si>
  <si>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</si>
  <si>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</si>
  <si>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</si>
  <si>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</si>
  <si>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</si>
  <si>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</si>
  <si>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</si>
  <si>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</si>
  <si>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</si>
  <si>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</si>
  <si>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</si>
  <si>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</si>
  <si>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</si>
  <si>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</si>
  <si>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</si>
  <si>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</si>
  <si>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</si>
  <si>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</si>
  <si>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</si>
  <si>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</si>
  <si>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</si>
  <si>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</si>
  <si>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</si>
  <si>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</si>
  <si>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</si>
  <si>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</si>
  <si>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</si>
  <si>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</si>
  <si>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</si>
  <si>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</si>
  <si>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</si>
  <si>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</si>
  <si>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</si>
  <si>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</si>
  <si>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</si>
  <si>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</si>
  <si>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</si>
  <si>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</si>
  <si>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</si>
  <si>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</si>
  <si>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</si>
  <si>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</si>
  <si>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</si>
  <si>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</si>
  <si>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</si>
  <si>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</si>
  <si>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</si>
  <si>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</si>
  <si>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</si>
  <si>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</si>
  <si>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</si>
  <si>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</si>
  <si>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</si>
  <si>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</si>
  <si>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</si>
  <si>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</si>
  <si>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</si>
  <si>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</si>
  <si>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</si>
  <si>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</si>
  <si>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</si>
  <si>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</si>
  <si>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</si>
  <si>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</si>
  <si>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</si>
  <si>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</si>
  <si>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</si>
  <si>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</si>
  <si>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</si>
  <si>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Has a +25% find rate</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</si>
  <si>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</si>
  <si>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</si>
  <si>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</si>
  <si>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</si>
  <si>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</si>
  <si>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</si>
  <si>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</si>
  <si>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</si>
  <si>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</si>
  <si>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</si>
  <si>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</si>
  <si>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</si>
  <si>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</si>
  <si>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</si>
  <si>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</si>
  <si>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</si>
  <si>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</si>
  <si>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</si>
  <si>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</si>
  <si>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</si>
  <si>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</si>
  <si>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</si>
  <si>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</si>
  <si>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</si>
  <si>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</si>
  <si>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</si>
  <si>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</si>
  <si>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</si>
  <si>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</si>
  <si>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</si>
  <si>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</si>
  <si>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</si>
  <si>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</si>
  <si>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</si>
  <si>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</si>
  <si>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</si>
  <si>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</si>
  <si>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</si>
  <si>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</si>
  <si>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</si>
  <si>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</si>
  <si>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</si>
  <si>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</si>
  <si>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</si>
  <si>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</si>
  <si>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</si>
  <si>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</si>
  <si>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</si>
  <si>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</si>
  <si>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</si>
  <si>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</si>
  <si>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</si>
  <si>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</si>
  <si>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</si>
  <si>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</si>
  <si>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</si>
  <si>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</si>
  <si>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</si>
  <si>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</si>
  <si>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</si>
  <si>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</si>
  <si>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</si>
  <si>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</si>
  <si>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</si>
  <si>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</si>
  <si>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</si>
  <si>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</si>
  <si>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</si>
  <si>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</si>
  <si>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</si>
  <si>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</si>
  <si>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</si>
  <si>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</si>
  <si>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</si>
  <si>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</si>
  <si>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</si>
  <si>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</si>
  <si>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</si>
  <si>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</si>
  <si>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</si>
  <si>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</si>
  <si>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</si>
  <si>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</si>
  <si>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</si>
  <si>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</si>
  <si>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</si>
  <si>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</si>
  <si>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</si>
  <si>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</si>
  <si>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</si>
  <si>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</si>
  <si>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</si>
  <si>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</si>
  <si>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</si>
  <si>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</si>
  <si>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</si>
  <si>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</si>
  <si>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</si>
  <si>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</si>
  <si>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</si>
  <si>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</si>
  <si>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</si>
  <si>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</si>
  <si>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</si>
  <si>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</si>
  <si>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</si>
  <si>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</si>
  <si>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</si>
  <si>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</si>
  <si>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</si>
  <si>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</si>
  <si>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</si>
  <si>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</si>
  <si>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</si>
  <si>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</si>
  <si>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</si>
  <si>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</si>
  <si>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</si>
  <si>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</si>
  <si>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</si>
  <si>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</si>
  <si>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</si>
  <si>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</si>
  <si>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</si>
  <si>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</si>
  <si>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</si>
  <si>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</si>
  <si>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</si>
  <si>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</si>
  <si>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</si>
  <si>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</si>
  <si>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</si>
  <si>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</si>
  <si>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</si>
  <si>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</si>
  <si>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</si>
  <si>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</si>
  <si>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</si>
  <si>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</si>
  <si>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</si>
  <si>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</si>
  <si>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</si>
  <si>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</si>
  <si>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</si>
  <si>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</si>
  <si>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</si>
  <si>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</si>
  <si>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</si>
  <si>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</si>
  <si>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</si>
  <si>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</si>
  <si>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</si>
  <si>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</si>
  <si>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</si>
  <si>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</si>
  <si>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</si>
  <si>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</si>
  <si>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</si>
  <si>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</si>
  <si>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</si>
  <si>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</si>
  <si>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</si>
  <si>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</si>
  <si>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</si>
  <si>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</si>
  <si>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</si>
  <si>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</si>
  <si>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</si>
  <si>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</si>
  <si>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</si>
  <si>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</si>
  <si>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</si>
  <si>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</si>
  <si>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</si>
  <si>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</si>
  <si>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</si>
  <si>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</si>
  <si>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</si>
  <si>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</si>
  <si>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</si>
  <si>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</si>
  <si>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</si>
  <si>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</si>
  <si>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</si>
  <si>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</si>
  <si>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</si>
  <si>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</si>
  <si>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</si>
  <si>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</si>
  <si>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</si>
  <si>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</si>
  <si>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</si>
  <si>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</si>
  <si>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</si>
  <si>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</si>
  <si>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</si>
  <si>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</si>
  <si>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</si>
  <si>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</si>
  <si>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</si>
  <si>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</si>
  <si>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</si>
  <si>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</si>
  <si>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</si>
  <si>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</si>
  <si>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</si>
  <si>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</si>
  <si>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</si>
  <si>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</si>
  <si>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</si>
  <si>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</si>
  <si>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</si>
  <si>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</si>
  <si>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</si>
  <si>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</si>
  <si>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</si>
  <si>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</si>
  <si>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</si>
  <si>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</si>
  <si>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</si>
  <si>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</si>
  <si>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</si>
  <si>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</si>
  <si>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</si>
  <si>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</si>
  <si>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</si>
  <si>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</si>
  <si>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</si>
  <si>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</si>
  <si>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</si>
  <si>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</si>
  <si>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</si>
  <si>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</si>
  <si>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</si>
  <si>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</si>
  <si>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</si>
  <si>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</si>
  <si>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</si>
  <si>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</si>
  <si>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</si>
  <si>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</si>
  <si>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</si>
  <si>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</si>
  <si>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</si>
  <si>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</si>
  <si>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</si>
  <si>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</si>
  <si>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</si>
  <si>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</si>
  <si>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</si>
  <si>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</si>
  <si>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</si>
  <si>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</si>
  <si>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</si>
  <si>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</si>
  <si>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</si>
  <si>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</si>
  <si>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</si>
  <si>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</si>
  <si>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</si>
  <si>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</si>
  <si>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</si>
  <si>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</si>
  <si>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</si>
  <si>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</si>
  <si>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</si>
  <si>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</si>
  <si>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</si>
  <si>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</si>
  <si>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</si>
  <si>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</si>
  <si>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</si>
  <si>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</si>
  <si>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</si>
  <si>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</si>
  <si>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</si>
  <si>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</si>
  <si>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</si>
  <si>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</si>
  <si>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</si>
  <si>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</si>
  <si>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</si>
  <si>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</si>
  <si>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</si>
  <si>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</si>
  <si>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</si>
  <si>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</si>
  <si>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</si>
  <si>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</si>
  <si>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</si>
  <si>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</si>
  <si>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</si>
  <si>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</si>
  <si>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</si>
  <si>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</si>
  <si>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</si>
  <si>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</si>
  <si>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</si>
  <si>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</si>
  <si>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</si>
  <si>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</si>
  <si>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</si>
  <si>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</si>
  <si>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</si>
  <si>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</si>
  <si>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</si>
  <si>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</si>
  <si>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</si>
  <si>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</si>
  <si>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</si>
  <si>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</si>
  <si>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</si>
  <si>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</si>
  <si>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</si>
  <si>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</si>
  <si>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</si>
  <si>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</si>
  <si>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</si>
  <si>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</si>
  <si>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</si>
  <si>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</si>
  <si>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</si>
  <si>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</si>
  <si>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</si>
  <si>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</si>
  <si>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</si>
  <si>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</si>
  <si>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</si>
  <si>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</si>
  <si>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</si>
  <si>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</si>
  <si>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</si>
  <si>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</si>
  <si>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</si>
  <si>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</si>
  <si>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</si>
  <si>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</si>
  <si>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</si>
  <si>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</si>
  <si>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</si>
  <si>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</si>
  <si>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</si>
  <si>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</si>
  <si>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</si>
  <si>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</si>
  <si>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</si>
  <si>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</si>
  <si>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</si>
  <si>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</si>
  <si>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</si>
  <si>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</si>
  <si>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</si>
  <si>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</si>
  <si>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</si>
  <si>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</si>
  <si>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</si>
  <si>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</si>
  <si>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</si>
  <si>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</si>
  <si>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</si>
  <si>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</si>
  <si>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</si>
  <si>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</si>
  <si>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</si>
  <si>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</si>
  <si>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</si>
  <si>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</si>
  <si>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</si>
  <si>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</si>
  <si>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</si>
  <si>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</si>
  <si>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</si>
  <si>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</si>
  <si>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</si>
  <si>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</si>
  <si>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</si>
  <si>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</si>
  <si>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</si>
  <si>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</si>
  <si>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</si>
  <si>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</si>
  <si>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</si>
  <si>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</si>
  <si>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</si>
  <si>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</si>
  <si>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</si>
  <si>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</si>
  <si>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</si>
  <si>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</si>
  <si>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</si>
  <si>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</si>
  <si>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</si>
  <si>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</si>
  <si>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</si>
  <si>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</si>
  <si>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</si>
  <si>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</si>
  <si>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</si>
  <si>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</si>
  <si>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</si>
  <si>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</si>
  <si>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</si>
  <si>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</si>
  <si>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</si>
  <si>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</si>
  <si>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</si>
  <si>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</si>
  <si>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</si>
  <si>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</si>
  <si>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</si>
  <si>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</si>
  <si>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</si>
  <si>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</si>
  <si>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</si>
  <si>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</si>
  <si>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</si>
  <si>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</si>
  <si>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</si>
  <si>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</si>
  <si>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</si>
  <si>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</si>
  <si>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</si>
  <si>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</si>
  <si>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</si>
  <si>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</si>
  <si>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</si>
  <si>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</si>
  <si>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</si>
  <si>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</si>
  <si>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</si>
  <si>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</si>
  <si>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</si>
  <si>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</si>
  <si>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</si>
  <si>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</si>
  <si>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</si>
  <si>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</si>
  <si>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</si>
  <si>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</si>
  <si>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</si>
  <si>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</si>
  <si>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</si>
  <si>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</si>
  <si>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</si>
  <si>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</si>
  <si>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</si>
  <si>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</si>
  <si>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</si>
  <si>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</si>
  <si>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</si>
  <si>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</si>
  <si>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</si>
  <si>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</si>
  <si>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</si>
  <si>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</si>
  <si>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</si>
  <si>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</si>
  <si>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</si>
  <si>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</si>
  <si>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</si>
  <si>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</si>
  <si>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</si>
  <si>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</si>
  <si>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</si>
  <si>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</si>
  <si>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</si>
  <si>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</si>
  <si>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</si>
  <si>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</si>
  <si>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</si>
  <si>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</si>
  <si>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</si>
  <si>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</si>
  <si>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</si>
  <si>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</si>
  <si>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</si>
  <si>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</si>
  <si>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</si>
  <si>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</si>
  <si>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</si>
  <si>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</si>
  <si>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</si>
  <si>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</si>
  <si>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</si>
  <si>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</si>
  <si>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</si>
  <si>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</si>
  <si>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</si>
  <si>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</si>
  <si>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</si>
  <si>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</si>
  <si>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</si>
  <si>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</si>
  <si>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</si>
  <si>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</si>
  <si>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</si>
  <si>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</si>
  <si>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</si>
  <si>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</si>
  <si>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</si>
  <si>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</si>
  <si>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</si>
  <si>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</si>
  <si>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</si>
  <si>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</si>
  <si>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</si>
  <si>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</si>
  <si>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</si>
  <si>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</si>
  <si>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</si>
  <si>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</si>
  <si>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</si>
  <si>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</si>
  <si>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</si>
  <si>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</si>
  <si>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</si>
  <si>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</si>
  <si>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</si>
  <si>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</si>
  <si>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</si>
  <si>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</si>
  <si>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</si>
  <si>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</si>
  <si>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</si>
  <si>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</si>
  <si>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</si>
  <si>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</si>
  <si>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</si>
  <si>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</si>
  <si>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</si>
  <si>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</si>
  <si>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</si>
  <si>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</si>
  <si>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</si>
  <si>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</si>
  <si>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</si>
  <si>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</si>
  <si>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</si>
  <si>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</si>
  <si>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</si>
  <si>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</si>
  <si>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</si>
  <si>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</si>
  <si>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</si>
  <si>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</si>
  <si>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</si>
  <si>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</si>
  <si>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</si>
  <si>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</si>
  <si>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</si>
  <si>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</si>
  <si>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</si>
  <si>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</si>
  <si>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</si>
  <si>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</si>
  <si>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</si>
  <si>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</si>
  <si>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</si>
  <si>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</si>
  <si>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</si>
  <si>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</si>
  <si>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</si>
  <si>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</si>
  <si>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</si>
  <si>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</si>
  <si>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</si>
  <si>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</si>
  <si>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</si>
  <si>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</si>
  <si>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</si>
  <si>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</si>
  <si>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</si>
  <si>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</si>
  <si>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</si>
  <si>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</si>
  <si>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</si>
  <si>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</si>
  <si>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</si>
  <si>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</si>
  <si>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</si>
  <si>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</si>
  <si>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</si>
  <si>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</si>
  <si>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</si>
  <si>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</si>
  <si>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</si>
  <si>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</si>
  <si>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</si>
  <si>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</si>
  <si>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</si>
  <si>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</si>
  <si>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</si>
  <si>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</si>
  <si>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</si>
  <si>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</si>
  <si>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</si>
  <si>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</si>
  <si>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</si>
  <si>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</si>
  <si>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</si>
  <si>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</si>
  <si>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</si>
  <si>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</si>
  <si>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</si>
  <si>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</si>
  <si>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</si>
  <si>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</si>
  <si>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</si>
  <si>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</si>
  <si>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</si>
  <si>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</si>
  <si>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</si>
  <si>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</si>
  <si>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</si>
  <si>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</si>
  <si>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</si>
  <si>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</si>
  <si>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</si>
  <si>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</si>
  <si>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</si>
  <si>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</si>
  <si>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</si>
  <si>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</si>
  <si>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</si>
  <si>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</si>
  <si>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</si>
  <si>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</si>
  <si>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</si>
  <si>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</si>
  <si>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</si>
  <si>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</si>
  <si>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</si>
  <si>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</si>
  <si>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</si>
  <si>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</si>
  <si>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</si>
  <si>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</si>
  <si>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</si>
  <si>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</si>
  <si>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</si>
  <si>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</si>
  <si>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</si>
  <si>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</si>
  <si>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</si>
  <si>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</si>
  <si>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</si>
  <si>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</si>
  <si>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</si>
  <si>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</si>
  <si>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</si>
  <si>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</si>
  <si>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</si>
  <si>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</si>
  <si>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</si>
  <si>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</si>
  <si>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</si>
  <si>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</si>
  <si>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</si>
  <si>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</si>
  <si>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</si>
  <si>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</si>
  <si>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</si>
  <si>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</si>
  <si>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</si>
  <si>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</si>
  <si>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</si>
  <si>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</si>
  <si>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</si>
  <si>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</si>
  <si>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</si>
  <si>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</si>
  <si>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</si>
  <si>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</si>
  <si>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</si>
  <si>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</si>
  <si>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</si>
  <si>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</si>
  <si>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</si>
  <si>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</si>
  <si>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</si>
  <si>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</si>
  <si>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</si>
  <si>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</si>
  <si>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</si>
  <si>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</si>
  <si>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</si>
  <si>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</si>
  <si>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</si>
  <si>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</si>
  <si>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</si>
  <si>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</si>
  <si>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</si>
  <si>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</si>
  <si>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</si>
  <si>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</si>
  <si>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</si>
  <si>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</si>
  <si>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</si>
  <si>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</si>
  <si>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</si>
  <si>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</si>
  <si>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</si>
  <si>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</si>
  <si>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</si>
  <si>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</si>
  <si>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</si>
  <si>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</si>
  <si>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</si>
  <si>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</si>
  <si>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</si>
  <si>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</si>
  <si>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</si>
  <si>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</si>
  <si>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</si>
  <si>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</si>
  <si>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</si>
  <si>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</si>
  <si>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</si>
  <si>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</si>
  <si>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</si>
  <si>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</si>
  <si>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</si>
  <si>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</si>
  <si>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</si>
  <si>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</si>
  <si>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</si>
  <si>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</si>
  <si>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</si>
  <si>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</si>
  <si>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</si>
  <si>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</si>
  <si>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</si>
  <si>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</si>
  <si>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</si>
  <si>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</si>
  <si>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</si>
  <si>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</si>
  <si>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</si>
  <si>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</si>
  <si>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</si>
  <si>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</si>
  <si>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</si>
  <si>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</si>
  <si>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</si>
  <si>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</si>
  <si>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</si>
  <si>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</si>
  <si>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</si>
  <si>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</si>
  <si>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</si>
  <si>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</si>
  <si>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</si>
  <si>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</si>
  <si>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</si>
  <si>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</si>
  <si>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</si>
  <si>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</si>
  <si>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</si>
  <si>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</si>
  <si>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</si>
  <si>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</si>
  <si>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</si>
  <si>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</si>
  <si>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</si>
  <si>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</si>
  <si>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</si>
  <si>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</si>
  <si>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</si>
  <si>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</si>
  <si>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</si>
  <si>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</si>
  <si>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</si>
  <si>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</si>
  <si>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</si>
  <si>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</si>
  <si>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</si>
  <si>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</si>
  <si>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</si>
  <si>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</si>
  <si>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</si>
  <si>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</si>
  <si>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</si>
  <si>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</si>
  <si>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</si>
  <si>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</si>
  <si>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</si>
  <si>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</si>
  <si>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</si>
  <si>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</si>
  <si>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</si>
  <si>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</si>
  <si>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</si>
  <si>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</si>
  <si>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</si>
  <si>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</si>
  <si>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</si>
  <si>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</si>
  <si>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</si>
  <si>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</si>
  <si>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</si>
  <si>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</si>
  <si>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</si>
  <si>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</si>
  <si>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</si>
  <si>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</si>
  <si>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</si>
  <si>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</si>
  <si>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</si>
  <si>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</si>
  <si>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</si>
  <si>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</si>
  <si>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</si>
  <si>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</si>
  <si>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</si>
  <si>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</si>
  <si>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</si>
  <si>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</si>
  <si>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</si>
  <si>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</si>
  <si>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</si>
  <si>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</si>
  <si>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</si>
  <si>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</si>
  <si>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</si>
  <si>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</si>
  <si>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</si>
  <si>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</si>
  <si>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</si>
  <si>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</si>
  <si>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</si>
  <si>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</si>
  <si>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</si>
  <si>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</si>
  <si>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</si>
  <si>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</si>
  <si>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</si>
  <si>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</si>
  <si>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</si>
  <si>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</si>
  <si>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</si>
  <si>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</si>
  <si>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</si>
  <si>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</si>
  <si>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</si>
  <si>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</si>
  <si>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</si>
  <si>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</si>
  <si>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</si>
  <si>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</si>
  <si>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</si>
  <si>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</si>
  <si>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</si>
  <si>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</si>
  <si>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</si>
  <si>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</si>
  <si>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</si>
  <si>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</si>
  <si>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</si>
  <si>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</si>
  <si>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</si>
  <si>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</si>
  <si>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</si>
  <si>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</si>
  <si>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</si>
  <si>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</si>
  <si>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</si>
  <si>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</si>
  <si>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</si>
  <si>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</si>
  <si>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</si>
  <si>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</si>
  <si>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</si>
  <si>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</si>
  <si>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</si>
  <si>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</si>
  <si>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</si>
  <si>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</si>
  <si>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</si>
  <si>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</si>
  <si>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</si>
  <si>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</si>
  <si>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</si>
  <si>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</si>
  <si>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</si>
  <si>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</si>
  <si>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</si>
  <si>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</si>
  <si>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</si>
  <si>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</si>
  <si>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</si>
  <si>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</si>
  <si>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</si>
  <si>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</si>
  <si>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</si>
  <si>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</si>
  <si>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</si>
  <si>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</si>
  <si>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</si>
  <si>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</si>
  <si>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</si>
  <si>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</si>
  <si>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</si>
  <si>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</si>
  <si>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</si>
  <si>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</si>
  <si>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</si>
  <si>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</si>
  <si>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</si>
  <si>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</si>
  <si>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</si>
  <si>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</si>
  <si>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</si>
  <si>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</si>
  <si>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</si>
  <si>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</si>
  <si>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</si>
  <si>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</si>
  <si>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</si>
  <si>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</si>
  <si>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</si>
  <si>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</si>
  <si>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</si>
  <si>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</si>
  <si>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</si>
  <si>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</si>
  <si>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</si>
  <si>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</si>
  <si>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</si>
  <si>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</si>
  <si>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</si>
  <si>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</si>
  <si>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</si>
  <si>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</si>
  <si>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</si>
  <si>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</si>
  <si>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</si>
  <si>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</si>
  <si>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</si>
  <si>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</si>
  <si>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</si>
  <si>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</si>
  <si>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</si>
  <si>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</si>
  <si>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</si>
  <si>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</si>
  <si>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</si>
  <si>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</si>
  <si>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</si>
  <si>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</si>
  <si>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</si>
  <si>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</si>
  <si>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</si>
  <si>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</si>
  <si>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</si>
  <si>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</si>
  <si>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</si>
  <si>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</si>
  <si>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</si>
  <si>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</si>
  <si>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</si>
  <si>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</si>
  <si>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</si>
  <si>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</si>
  <si>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</si>
  <si>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</si>
  <si>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</si>
  <si>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</si>
  <si>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</si>
  <si>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</si>
  <si>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</si>
  <si>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</si>
  <si>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</si>
  <si>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</si>
  <si>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</si>
  <si>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</si>
  <si>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</si>
  <si>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</si>
  <si>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</si>
  <si>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</si>
  <si>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</si>
  <si>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</si>
  <si>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</si>
  <si>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</si>
  <si>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</si>
  <si>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</si>
  <si>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</si>
  <si>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</si>
  <si>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</si>
  <si>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</si>
  <si>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</si>
  <si>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</si>
  <si>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</si>
  <si>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</si>
  <si>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</si>
  <si>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</si>
  <si>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</si>
  <si>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</si>
  <si>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</si>
  <si>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</si>
  <si>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</si>
  <si>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</si>
  <si>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</si>
  <si>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</si>
  <si>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</si>
  <si>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</si>
  <si>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</si>
  <si>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</si>
  <si>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</si>
  <si>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</si>
  <si>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</si>
  <si>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</si>
  <si>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</si>
  <si>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</si>
  <si>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</si>
  <si>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</si>
  <si>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</si>
  <si>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</si>
  <si>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</si>
  <si>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</si>
  <si>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</si>
  <si>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</si>
  <si>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</si>
  <si>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</si>
  <si>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</si>
  <si>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</si>
  <si>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</si>
  <si>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</si>
  <si>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</si>
  <si>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</si>
  <si>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</si>
  <si>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</si>
  <si>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</si>
  <si>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</si>
  <si>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</si>
  <si>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</si>
  <si>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</si>
  <si>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</si>
  <si>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</si>
  <si>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</si>
  <si>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</si>
  <si>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</si>
  <si>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</si>
  <si>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</si>
  <si>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</si>
  <si>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</si>
  <si>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</si>
  <si>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</si>
  <si>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</si>
  <si>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</si>
  <si>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</si>
  <si>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</si>
  <si>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</si>
  <si>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</si>
  <si>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</si>
  <si>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</si>
  <si>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</si>
  <si>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</si>
  <si>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</si>
  <si>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</si>
  <si>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</si>
  <si>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</si>
  <si>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</si>
  <si>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</si>
  <si>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</si>
  <si>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</si>
  <si>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</si>
  <si>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</si>
  <si>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</si>
  <si>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</si>
  <si>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</si>
  <si>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</si>
  <si>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</si>
  <si>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</si>
  <si>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</si>
  <si>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</si>
  <si>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</si>
  <si>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</si>
  <si>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</si>
  <si>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</si>
  <si>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</si>
  <si>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</si>
  <si>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</si>
  <si>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</si>
  <si>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</si>
  <si>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</si>
  <si>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</si>
  <si>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</si>
  <si>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</si>
  <si>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</si>
  <si>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</si>
  <si>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</si>
  <si>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</si>
  <si>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</si>
  <si>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</si>
  <si>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</si>
  <si>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</si>
  <si>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</si>
  <si>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</si>
  <si>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</si>
  <si>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</si>
  <si>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</si>
  <si>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</si>
  <si>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</si>
  <si>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</si>
  <si>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</si>
  <si>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</si>
  <si>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</si>
  <si>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</si>
  <si>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</si>
  <si>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</si>
  <si>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</si>
  <si>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</si>
  <si>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</si>
  <si>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</si>
  <si>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</si>
  <si>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</si>
  <si>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</si>
  <si>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</si>
  <si>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</si>
  <si>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</si>
  <si>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</si>
  <si>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</si>
  <si>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</si>
  <si>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</si>
  <si>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</si>
  <si>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</si>
  <si>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</si>
  <si>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</si>
  <si>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</si>
  <si>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</si>
  <si>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</si>
  <si>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</si>
  <si>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</si>
  <si>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</si>
  <si>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</si>
  <si>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</si>
  <si>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</si>
  <si>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</si>
  <si>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</si>
  <si>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</si>
  <si>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</si>
  <si>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</si>
  <si>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</si>
  <si>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</si>
  <si>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</si>
  <si>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</si>
  <si>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</si>
  <si>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</si>
  <si>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</si>
  <si>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</si>
  <si>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</si>
  <si>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</si>
  <si>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</si>
  <si>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</si>
  <si>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</si>
  <si>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</si>
  <si>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</si>
  <si>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</si>
  <si>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</si>
  <si>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</si>
  <si>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</si>
  <si>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</si>
  <si>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</si>
  <si>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</si>
  <si>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</si>
  <si>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</si>
  <si>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</si>
  <si>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</si>
  <si>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</si>
  <si>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</si>
  <si>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</si>
  <si>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</si>
  <si>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</si>
  <si>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</si>
  <si>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</si>
  <si>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</si>
  <si>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</si>
  <si>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</si>
  <si>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</si>
  <si>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</si>
  <si>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</si>
  <si>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</si>
  <si>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</si>
  <si>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</si>
  <si>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</si>
  <si>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</si>
  <si>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</si>
  <si>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</si>
  <si>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</si>
  <si>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</si>
  <si>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</si>
  <si>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</si>
  <si>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</si>
  <si>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</si>
  <si>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</si>
  <si>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</si>
  <si>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</si>
  <si>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</si>
  <si>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</si>
  <si>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</si>
  <si>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</si>
  <si>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</si>
  <si>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</si>
  <si>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</si>
  <si>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</si>
  <si>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</si>
  <si>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</si>
  <si>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</si>
  <si>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</si>
  <si>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</si>
  <si>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</si>
  <si>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</si>
  <si>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</si>
  <si>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</si>
  <si>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</si>
  <si>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</si>
  <si>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</si>
  <si>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</si>
  <si>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</si>
  <si>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</si>
  <si>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</si>
  <si>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</si>
  <si>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</si>
  <si>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</si>
  <si>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</si>
  <si>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</si>
  <si>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</si>
  <si>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</si>
  <si>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</si>
  <si>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</si>
  <si>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</si>
  <si>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</si>
  <si>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</si>
  <si>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</si>
  <si>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</si>
  <si>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</si>
  <si>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</si>
  <si>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</si>
  <si>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</si>
  <si>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</si>
  <si>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</si>
  <si>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</si>
  <si>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</si>
  <si>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</si>
  <si>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</si>
  <si>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</si>
  <si>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</si>
  <si>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</si>
  <si>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</si>
  <si>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</si>
  <si>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</si>
  <si>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</si>
  <si>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</si>
  <si>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</si>
  <si>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</si>
  <si>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</si>
  <si>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</si>
  <si>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</si>
  <si>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</si>
  <si>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</si>
  <si>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</si>
  <si>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</si>
  <si>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</si>
  <si>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</si>
  <si>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</si>
  <si>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</si>
  <si>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</si>
  <si>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</si>
  <si>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</si>
  <si>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</si>
  <si>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</si>
  <si>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</si>
  <si>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</si>
  <si>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</si>
  <si>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</si>
  <si>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</si>
  <si>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</si>
  <si>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</si>
  <si>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</si>
  <si>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</si>
  <si>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</si>
  <si>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</si>
  <si>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</si>
  <si>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</si>
  <si>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</si>
  <si>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</si>
  <si>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</si>
  <si>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</si>
  <si>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</si>
  <si>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</si>
  <si>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</si>
  <si>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</si>
  <si>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</si>
  <si>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</si>
  <si>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</si>
  <si>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</si>
  <si>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</si>
  <si>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</si>
  <si>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</si>
  <si>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</si>
  <si>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</si>
  <si>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</si>
  <si>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</si>
  <si>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</si>
  <si>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</si>
  <si>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</si>
  <si>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</si>
  <si>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</si>
  <si>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</si>
  <si>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</si>
  <si>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</si>
  <si>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</si>
  <si>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</si>
  <si>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</si>
  <si>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</si>
  <si>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</si>
  <si>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</si>
  <si>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</si>
  <si>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</si>
  <si>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</si>
  <si>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</si>
  <si>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</si>
  <si>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</si>
  <si>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</si>
  <si>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</si>
  <si>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</si>
  <si>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</si>
  <si>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</si>
  <si>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</si>
  <si>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</si>
  <si>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</si>
  <si>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</si>
  <si>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</si>
  <si>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</si>
  <si>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</si>
  <si>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</si>
  <si>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</si>
  <si>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</si>
  <si>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</si>
  <si>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</si>
  <si>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</si>
  <si>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</si>
  <si>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</si>
  <si>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</si>
  <si>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</si>
  <si>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</si>
  <si>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</si>
  <si>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</si>
  <si>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</si>
  <si>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</si>
  <si>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</si>
  <si>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</si>
  <si>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</si>
  <si>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</si>
  <si>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</si>
  <si>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</si>
  <si>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</si>
  <si>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</si>
  <si>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</si>
  <si>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</si>
  <si>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</si>
  <si>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</si>
  <si>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</si>
  <si>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</si>
  <si>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</si>
  <si>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</si>
  <si>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</si>
  <si>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</si>
  <si>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</si>
  <si>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</si>
  <si>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</si>
  <si>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</si>
  <si>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</si>
  <si>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</si>
  <si>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</si>
  <si>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</si>
  <si>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</si>
  <si>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</si>
  <si>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</si>
  <si>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</si>
  <si>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</si>
  <si>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</si>
  <si>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</si>
  <si>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</si>
  <si>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</si>
  <si>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</si>
  <si>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</si>
  <si>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</si>
  <si>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</si>
  <si>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</si>
  <si>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</si>
  <si>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</si>
  <si>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</si>
  <si>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</si>
  <si>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</si>
  <si>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</si>
  <si>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</si>
  <si>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</si>
  <si>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</si>
  <si>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</si>
  <si>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</si>
  <si>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</si>
  <si>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</si>
  <si>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</si>
  <si>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</si>
  <si>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</si>
  <si>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</si>
  <si>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</si>
  <si>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</si>
  <si>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</si>
  <si>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</si>
  <si>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</si>
  <si>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</si>
  <si>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</si>
  <si>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</si>
  <si>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</si>
  <si>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</si>
  <si>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</si>
  <si>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</si>
  <si>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</si>
  <si>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</si>
  <si>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</si>
  <si>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</si>
  <si>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</si>
  <si>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</si>
  <si>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</si>
  <si>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</si>
  <si>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</si>
  <si>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</si>
  <si>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</si>
  <si>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</si>
  <si>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</si>
  <si>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</si>
  <si>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</si>
  <si>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</si>
  <si>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</si>
  <si>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</si>
  <si>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</si>
  <si>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</si>
  <si>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</si>
  <si>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</si>
  <si>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</si>
  <si>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</si>
  <si>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</si>
  <si>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</si>
  <si>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</si>
  <si>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</si>
  <si>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</si>
  <si>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</si>
  <si>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</si>
  <si>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</si>
  <si>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</si>
  <si>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</si>
  <si>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</si>
  <si>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</si>
  <si>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</si>
  <si>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</si>
  <si>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</si>
  <si>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</si>
  <si>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</si>
  <si>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</si>
  <si>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</si>
  <si>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</si>
  <si>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</si>
  <si>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</si>
  <si>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</si>
  <si>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</si>
  <si>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</si>
  <si>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</si>
  <si>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</si>
  <si>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</si>
  <si>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</si>
  <si>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</si>
  <si>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</si>
  <si>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</si>
  <si>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</si>
  <si>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</si>
  <si>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</si>
  <si>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</si>
  <si>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</si>
  <si>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</si>
  <si>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</si>
  <si>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</si>
  <si>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</si>
  <si>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</si>
  <si>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</si>
  <si>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</si>
  <si>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</si>
  <si>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</si>
  <si>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</si>
  <si>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</si>
  <si>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</si>
  <si>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</si>
  <si>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</si>
  <si>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</si>
  <si>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</si>
  <si>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</si>
  <si>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</si>
  <si>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</si>
  <si>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</si>
  <si>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</si>
  <si>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</si>
  <si>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</si>
  <si>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</si>
  <si>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</si>
  <si>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</si>
  <si>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</si>
  <si>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</si>
  <si>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</si>
  <si>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</si>
  <si>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</si>
  <si>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</si>
  <si>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</si>
  <si>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</si>
  <si>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</si>
  <si>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</si>
  <si>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</si>
  <si>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</si>
  <si>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</si>
  <si>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</si>
  <si>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</si>
  <si>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</si>
  <si>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</si>
  <si>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</si>
  <si>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</si>
  <si>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</si>
  <si>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</si>
  <si>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</si>
  <si>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</si>
  <si>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</si>
  <si>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</si>
  <si>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</si>
  <si>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</si>
  <si>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</si>
  <si>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</si>
  <si>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</si>
  <si>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</si>
  <si>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</si>
  <si>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</si>
  <si>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</si>
  <si>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</si>
  <si>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</si>
  <si>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</si>
  <si>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</si>
  <si>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</si>
  <si>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</si>
  <si>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</si>
  <si>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</si>
  <si>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</si>
  <si>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</si>
  <si>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</si>
  <si>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</si>
  <si>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</si>
  <si>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</si>
  <si>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</si>
  <si>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</si>
  <si>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</si>
  <si>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</si>
  <si>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</si>
  <si>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</si>
  <si>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</si>
  <si>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</si>
  <si>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</si>
  <si>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</si>
  <si>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</si>
  <si>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</si>
  <si>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</si>
  <si>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</si>
  <si>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</si>
  <si>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</si>
  <si>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</si>
  <si>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</si>
  <si>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</si>
  <si>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</si>
  <si>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</si>
  <si>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</si>
  <si>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</si>
  <si>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</si>
  <si>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</si>
  <si>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</si>
  <si>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</si>
  <si>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</si>
  <si>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</si>
  <si>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</si>
  <si>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</si>
  <si>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</si>
  <si>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</si>
  <si>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</si>
  <si>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</si>
  <si>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</si>
  <si>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</si>
  <si>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</si>
  <si>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</si>
  <si>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</si>
  <si>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</si>
  <si>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</si>
  <si>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</si>
  <si>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</si>
  <si>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</si>
  <si>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</si>
  <si>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</si>
  <si>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</si>
  <si>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</si>
  <si>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</si>
  <si>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</si>
  <si>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</si>
  <si>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</si>
  <si>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</si>
  <si>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</si>
  <si>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</si>
  <si>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</si>
  <si>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</si>
  <si>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</si>
  <si>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</si>
  <si>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</si>
  <si>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</si>
  <si>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</si>
  <si>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</si>
  <si>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</si>
  <si>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</si>
  <si>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</si>
  <si>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</si>
  <si>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</si>
  <si>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</si>
  <si>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</si>
  <si>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</si>
  <si>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</si>
  <si>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</si>
  <si>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</si>
  <si>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</si>
  <si>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</si>
  <si>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</si>
  <si>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</si>
  <si>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</si>
  <si>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</si>
  <si>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</si>
  <si>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</si>
  <si>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</si>
  <si>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</si>
  <si>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</si>
  <si>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</si>
  <si>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</si>
  <si>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</si>
  <si>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</si>
  <si>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</si>
  <si>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</si>
  <si>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</si>
  <si>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</si>
  <si>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</si>
  <si>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</si>
  <si>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</si>
  <si>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</si>
  <si>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</si>
  <si>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</si>
  <si>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</si>
  <si>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</si>
  <si>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</si>
  <si>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</si>
  <si>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</si>
  <si>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</si>
  <si>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</si>
  <si>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</si>
  <si>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</si>
  <si>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</si>
  <si>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</si>
  <si>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</si>
  <si>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</si>
  <si>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</si>
  <si>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</si>
  <si>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</si>
  <si>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</si>
  <si>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</si>
  <si>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</si>
  <si>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</si>
  <si>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</si>
  <si>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</si>
  <si>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</si>
  <si>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</si>
  <si>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</si>
  <si>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</si>
  <si>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</si>
  <si>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</si>
  <si>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</si>
  <si>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</si>
  <si>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</si>
  <si>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</si>
  <si>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</si>
  <si>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</si>
  <si>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</si>
  <si>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</si>
  <si>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</si>
  <si>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</si>
  <si>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</si>
  <si>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</si>
  <si>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</si>
  <si>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</si>
  <si>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</si>
  <si>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</si>
  <si>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</si>
  <si>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</si>
  <si>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</si>
  <si>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</si>
  <si>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</si>
  <si>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</si>
  <si>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</si>
  <si>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</si>
  <si>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</si>
  <si>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</si>
  <si>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</si>
  <si>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</si>
  <si>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</si>
  <si>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</si>
  <si>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</si>
  <si>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</si>
  <si>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</si>
  <si>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</si>
  <si>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</si>
  <si>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</si>
  <si>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</si>
  <si>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</si>
  <si>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</si>
  <si>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</si>
  <si>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</si>
  <si>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</si>
  <si>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</si>
  <si>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</si>
  <si>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</si>
  <si>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</si>
  <si>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</si>
  <si>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</si>
  <si>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</si>
  <si>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</si>
  <si>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</si>
  <si>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</si>
  <si>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</si>
  <si>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</si>
  <si>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</si>
  <si>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</si>
  <si>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</si>
  <si>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</si>
  <si>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</si>
  <si>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</si>
  <si>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</si>
  <si>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</si>
  <si>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</si>
  <si>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</si>
  <si>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</si>
  <si>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</si>
  <si>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</si>
  <si>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</si>
  <si>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</si>
  <si>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</si>
  <si>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</si>
  <si>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</si>
  <si>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</si>
  <si>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</si>
  <si>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</si>
  <si>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</si>
  <si>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</si>
  <si>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</si>
  <si>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</si>
  <si>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</si>
  <si>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</si>
  <si>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</si>
  <si>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</si>
  <si>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</si>
  <si>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</si>
  <si>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</si>
  <si>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</si>
  <si>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</si>
  <si>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</si>
  <si>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</si>
  <si>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</si>
  <si>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</si>
  <si>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</si>
  <si>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</si>
  <si>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</si>
  <si>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</si>
  <si>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</si>
  <si>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</si>
  <si>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</si>
  <si>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</si>
  <si>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</si>
  <si>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</si>
  <si>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</si>
  <si>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</si>
  <si>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</si>
  <si>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</si>
  <si>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</si>
  <si>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</si>
  <si>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</si>
  <si>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</si>
  <si>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</si>
  <si>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</si>
  <si>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</si>
  <si>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</si>
  <si>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</si>
  <si>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</si>
  <si>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</si>
  <si>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</si>
  <si>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</si>
  <si>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</si>
  <si>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</si>
  <si>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</si>
  <si>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</si>
  <si>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</si>
  <si>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</si>
  <si>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</si>
  <si>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</si>
  <si>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</si>
  <si>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</si>
  <si>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</si>
  <si>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</si>
  <si>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</si>
  <si>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</si>
  <si>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</si>
  <si>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</si>
  <si>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</si>
  <si>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</si>
  <si>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</si>
  <si>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</si>
  <si>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</si>
  <si>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</si>
  <si>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</si>
  <si>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</si>
  <si>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</si>
  <si>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</si>
  <si>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</si>
  <si>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</si>
  <si>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</si>
  <si>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</si>
  <si>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</si>
  <si>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</si>
  <si>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</si>
  <si>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</si>
  <si>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</si>
  <si>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</si>
  <si>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</si>
  <si>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</si>
  <si>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</si>
  <si>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</si>
  <si>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</si>
  <si>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</si>
  <si>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</si>
  <si>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</si>
  <si>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</si>
  <si>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</si>
  <si>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</si>
  <si>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</si>
  <si>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</si>
  <si>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</si>
  <si>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</si>
  <si>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</si>
  <si>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</si>
  <si>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</si>
  <si>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</si>
  <si>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</si>
  <si>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</si>
  <si>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</si>
  <si>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</si>
  <si>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</si>
  <si>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</si>
  <si>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</si>
  <si>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</si>
  <si>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</si>
  <si>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</si>
  <si>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</si>
  <si>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</si>
  <si>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</si>
  <si>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</si>
  <si>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</si>
  <si>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</si>
  <si>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</si>
  <si>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</si>
  <si>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</si>
  <si>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</si>
  <si>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</si>
  <si>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</si>
  <si>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</si>
  <si>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</si>
  <si>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</si>
  <si>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</si>
  <si>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</si>
  <si>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</si>
  <si>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</si>
  <si>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</si>
  <si>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</si>
  <si>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</si>
  <si>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</si>
  <si>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</si>
  <si>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</si>
  <si>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</si>
  <si>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</si>
  <si>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</si>
  <si>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</si>
  <si>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</si>
  <si>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</si>
  <si>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</si>
  <si>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</si>
  <si>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</si>
  <si>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</si>
  <si>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</si>
  <si>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</si>
  <si>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</si>
  <si>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</si>
  <si>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</si>
  <si>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</si>
  <si>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</si>
  <si>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</si>
  <si>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</si>
  <si>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</si>
  <si>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</si>
  <si>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</si>
  <si>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</si>
  <si>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</si>
  <si>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</si>
  <si>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</si>
  <si>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</si>
  <si>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</si>
  <si>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</si>
  <si>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</si>
  <si>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</si>
  <si>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</si>
  <si>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</si>
  <si>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</si>
  <si>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</si>
  <si>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</si>
  <si>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</si>
  <si>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</si>
  <si>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</si>
  <si>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</si>
  <si>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</si>
  <si>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</si>
  <si>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</si>
  <si>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</si>
  <si>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</si>
  <si>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</si>
  <si>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</si>
  <si>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</si>
  <si>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</si>
  <si>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</si>
  <si>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</si>
  <si>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</si>
  <si>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</si>
  <si>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</si>
  <si>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</si>
  <si>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</si>
  <si>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</si>
  <si>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</si>
  <si>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</si>
  <si>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</si>
  <si>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</si>
  <si>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</si>
  <si>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</si>
  <si>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</si>
  <si>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</si>
  <si>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</si>
  <si>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</si>
  <si>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</si>
  <si>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</si>
  <si>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</si>
  <si>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</si>
  <si>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</si>
  <si>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</si>
  <si>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</si>
  <si>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</si>
  <si>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</si>
  <si>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</si>
  <si>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</si>
  <si>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</si>
  <si>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</si>
  <si>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</si>
  <si>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</si>
  <si>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</si>
  <si>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</si>
  <si>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</si>
  <si>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</si>
  <si>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</si>
  <si>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</si>
  <si>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</si>
  <si>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</si>
  <si>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</si>
  <si>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</si>
  <si>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</si>
  <si>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</si>
  <si>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</si>
  <si>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</si>
  <si>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</si>
  <si>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</si>
  <si>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</si>
  <si>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</si>
  <si>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</si>
  <si>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</si>
  <si>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</si>
  <si>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</si>
  <si>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</si>
  <si>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</si>
  <si>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</si>
  <si>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</si>
  <si>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</si>
  <si>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</si>
  <si>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</si>
  <si>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</si>
  <si>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</si>
  <si>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</si>
  <si>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</si>
  <si>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</si>
  <si>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</si>
  <si>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</si>
  <si>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</si>
  <si>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</si>
  <si>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</si>
  <si>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</si>
  <si>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</si>
  <si>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</si>
  <si>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</si>
  <si>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</si>
  <si>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</si>
  <si>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</si>
  <si>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</si>
  <si>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</si>
  <si>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</si>
  <si>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</si>
  <si>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</si>
  <si>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</si>
  <si>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</si>
  <si>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</si>
  <si>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</si>
  <si>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</si>
  <si>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</si>
  <si>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</si>
  <si>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</si>
  <si>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</si>
  <si>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</si>
  <si>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</si>
  <si>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</si>
  <si>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</si>
  <si>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</si>
  <si>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</si>
  <si>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</si>
  <si>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</si>
  <si>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</si>
  <si>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</si>
  <si>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</si>
  <si>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</si>
  <si>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</si>
  <si>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</si>
  <si>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</si>
  <si>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</si>
  <si>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</si>
  <si>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</si>
  <si>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</si>
  <si>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</si>
  <si>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</si>
  <si>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</si>
  <si>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</si>
  <si>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</si>
  <si>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</si>
  <si>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</si>
  <si>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</si>
  <si>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</si>
  <si>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</si>
  <si>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</si>
  <si>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</si>
  <si>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</si>
  <si>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</si>
  <si>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</si>
  <si>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</si>
  <si>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</si>
  <si>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</si>
  <si>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</si>
  <si>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</si>
  <si>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</si>
  <si>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</si>
  <si>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</si>
  <si>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</si>
  <si>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</si>
  <si>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</si>
  <si>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</si>
  <si>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</si>
  <si>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</si>
  <si>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</si>
  <si>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</si>
  <si>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</si>
  <si>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</si>
  <si>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</si>
  <si>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</si>
  <si>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</si>
  <si>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</si>
  <si>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</si>
  <si>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</si>
  <si>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</si>
  <si>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</si>
  <si>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</si>
  <si>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</si>
  <si>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</si>
  <si>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</si>
  <si>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</si>
  <si>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</si>
  <si>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</si>
  <si>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</si>
  <si>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</si>
  <si>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</si>
  <si>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</si>
  <si>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</si>
  <si>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</si>
  <si>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</si>
  <si>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</si>
  <si>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</si>
  <si>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</si>
  <si>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</si>
  <si>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</si>
  <si>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</si>
  <si>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</si>
  <si>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</si>
  <si>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</si>
  <si>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</si>
  <si>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</si>
  <si>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</si>
  <si>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</si>
  <si>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</si>
  <si>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</si>
  <si>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</si>
  <si>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</si>
  <si>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</si>
  <si>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</si>
  <si>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</si>
  <si>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</si>
  <si>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</si>
  <si>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</si>
  <si>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</si>
  <si>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</si>
  <si>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</si>
  <si>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</si>
  <si>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</si>
  <si>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</si>
  <si>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</si>
  <si>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</si>
  <si>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</si>
  <si>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</si>
  <si>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</si>
  <si>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</si>
  <si>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</si>
  <si>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</si>
  <si>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</si>
  <si>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</si>
  <si>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</si>
  <si>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</si>
  <si>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</si>
  <si>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</si>
  <si>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</si>
  <si>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</si>
  <si>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</si>
  <si>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</si>
  <si>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</si>
  <si>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</si>
  <si>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</si>
  <si>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</si>
  <si>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</si>
  <si>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</si>
  <si>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</si>
  <si>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</si>
  <si>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</si>
  <si>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</si>
  <si>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</si>
  <si>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</si>
  <si>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</si>
  <si>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</si>
  <si>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</si>
  <si>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</si>
  <si>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</si>
  <si>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</si>
  <si>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</si>
  <si>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</si>
  <si>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</si>
  <si>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</si>
  <si>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</si>
  <si>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</si>
  <si>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</si>
  <si>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</si>
  <si>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</si>
  <si>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</si>
  <si>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</si>
  <si>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</si>
  <si>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</si>
  <si>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</si>
  <si>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</si>
  <si>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</si>
  <si>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</si>
  <si>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</si>
  <si>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</si>
  <si>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</si>
  <si>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</si>
  <si>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</si>
  <si>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</si>
  <si>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</si>
  <si>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</si>
  <si>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</si>
  <si>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</si>
  <si>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</si>
  <si>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</si>
  <si>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</si>
  <si>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</si>
  <si>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</si>
  <si>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</si>
  <si>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</si>
  <si>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</si>
  <si>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</si>
  <si>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</si>
  <si>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</si>
  <si>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</si>
  <si>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</si>
  <si>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</si>
  <si>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</si>
  <si>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</si>
  <si>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</si>
  <si>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</si>
  <si>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</si>
  <si>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</si>
  <si>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</si>
  <si>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</si>
  <si>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</si>
  <si>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</si>
  <si>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</si>
  <si>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</si>
  <si>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</si>
  <si>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</si>
  <si>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</si>
  <si>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</si>
  <si>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</si>
  <si>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</si>
  <si>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</si>
  <si>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</si>
  <si>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</si>
  <si>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</si>
  <si>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</si>
  <si>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</si>
  <si>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</si>
  <si>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</si>
  <si>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</si>
  <si>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</si>
  <si>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</si>
  <si>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</si>
  <si>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</si>
  <si>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</si>
  <si>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</si>
  <si>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</si>
  <si>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</si>
  <si>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</si>
  <si>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</si>
  <si>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</si>
  <si>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</si>
  <si>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</si>
  <si>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</si>
  <si>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</si>
  <si>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</si>
  <si>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</si>
  <si>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</si>
  <si>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</si>
  <si>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</si>
  <si>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</si>
  <si>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</si>
  <si>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</si>
  <si>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</si>
  <si>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</si>
  <si>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</si>
  <si>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</si>
  <si>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</si>
  <si>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</si>
  <si>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</si>
  <si>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</si>
  <si>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</si>
  <si>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</si>
  <si>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</si>
  <si>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</si>
  <si>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</si>
  <si>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</si>
  <si>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</si>
  <si>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</si>
  <si>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</si>
  <si>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</si>
  <si>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</si>
  <si>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</si>
  <si>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</si>
  <si>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</si>
  <si>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</si>
  <si>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</si>
  <si>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</si>
  <si>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</si>
  <si>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</si>
  <si>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</si>
  <si>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</si>
  <si>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</si>
  <si>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</si>
  <si>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</si>
  <si>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</si>
  <si>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</si>
  <si>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</si>
  <si>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</si>
  <si>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</si>
  <si>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</si>
  <si>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</si>
  <si>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</si>
  <si>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</si>
  <si>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</si>
  <si>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</si>
  <si>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</si>
  <si>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</si>
  <si>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</si>
  <si>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</si>
  <si>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</si>
  <si>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</si>
  <si>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</si>
  <si>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</si>
  <si>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</si>
  <si>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</si>
  <si>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</si>
  <si>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</si>
  <si>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</si>
  <si>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</si>
  <si>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</si>
  <si>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</si>
  <si>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</si>
  <si>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</si>
  <si>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</si>
  <si>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</si>
  <si>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</si>
  <si>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</si>
  <si>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</si>
  <si>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</si>
  <si>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</si>
  <si>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</si>
  <si>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</si>
  <si>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</si>
  <si>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</si>
  <si>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</si>
  <si>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</si>
  <si>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</si>
  <si>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</si>
  <si>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</si>
  <si>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</si>
  <si>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</si>
  <si>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</si>
  <si>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</si>
  <si>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</si>
  <si>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</si>
  <si>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</si>
  <si>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</si>
  <si>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</si>
  <si>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</si>
  <si>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</si>
  <si>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</si>
  <si>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</si>
  <si>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</si>
  <si>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</si>
  <si>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</si>
  <si>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</si>
  <si>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</si>
  <si>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</si>
  <si>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</si>
  <si>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</si>
  <si>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</si>
  <si>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</si>
  <si>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</si>
  <si>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</si>
  <si>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</si>
  <si>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</si>
  <si>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</si>
  <si>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</si>
  <si>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</si>
  <si>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</si>
  <si>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</si>
  <si>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</si>
  <si>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</si>
  <si>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</si>
  <si>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</si>
  <si>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</si>
  <si>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</si>
  <si>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</si>
  <si>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</si>
  <si>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</si>
  <si>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</si>
  <si>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</si>
  <si>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</si>
  <si>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</si>
  <si>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</si>
  <si>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</si>
  <si>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</si>
  <si>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</si>
  <si>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</si>
  <si>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</si>
  <si>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</si>
  <si>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</si>
  <si>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</si>
  <si>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</si>
  <si>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</si>
  <si>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</si>
  <si>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</si>
  <si>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</si>
  <si>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</si>
  <si>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</si>
  <si>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</si>
  <si>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</si>
  <si>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</si>
  <si>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</si>
  <si>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</si>
  <si>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</si>
  <si>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</si>
  <si>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</si>
  <si>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</si>
  <si>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</si>
  <si>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</si>
  <si>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</si>
  <si>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</si>
  <si>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</si>
  <si>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</si>
  <si>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</si>
  <si>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</si>
  <si>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</si>
  <si>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</si>
  <si>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</si>
  <si>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</si>
  <si>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</si>
  <si>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</si>
  <si>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</si>
  <si>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</si>
  <si>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</si>
  <si>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</si>
  <si>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</si>
  <si>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</si>
  <si>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</si>
  <si>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</si>
  <si>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</si>
  <si>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</si>
  <si>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</si>
  <si>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</si>
  <si>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</si>
  <si>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</si>
  <si>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</si>
  <si>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</si>
  <si>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</si>
  <si>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</si>
  <si>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</si>
  <si>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</si>
  <si>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</si>
  <si>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</si>
  <si>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</si>
  <si>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</si>
  <si>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</si>
  <si>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</si>
  <si>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</si>
  <si>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</si>
  <si>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</si>
  <si>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</si>
  <si>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</si>
  <si>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</si>
  <si>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</si>
  <si>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</si>
  <si>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</si>
  <si>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</si>
  <si>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</si>
  <si>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</si>
  <si>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</si>
  <si>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</si>
  <si>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</si>
  <si>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</si>
  <si>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</si>
  <si>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</si>
  <si>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</si>
  <si>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</si>
  <si>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</si>
  <si>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</si>
  <si>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</si>
  <si>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</si>
  <si>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</si>
  <si>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</si>
  <si>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</si>
  <si>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</si>
  <si>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</si>
  <si>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</si>
  <si>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</si>
  <si>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</si>
  <si>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</si>
  <si>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</si>
  <si>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</si>
  <si>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</si>
  <si>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</si>
  <si>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</si>
  <si>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</si>
  <si>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</si>
  <si>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</si>
  <si>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</si>
  <si>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</si>
  <si>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</si>
  <si>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</si>
  <si>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</si>
  <si>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</si>
  <si>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</si>
  <si>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</si>
  <si>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</si>
  <si>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</si>
  <si>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</si>
  <si>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</si>
  <si>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</si>
  <si>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</si>
  <si>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</si>
  <si>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</si>
  <si>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</si>
  <si>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</si>
  <si>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</si>
  <si>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</si>
  <si>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</si>
  <si>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</si>
  <si>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</si>
  <si>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</si>
  <si>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</si>
  <si>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</si>
  <si>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</si>
  <si>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</si>
  <si>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</si>
  <si>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</si>
  <si>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</si>
  <si>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</si>
  <si>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</si>
  <si>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</si>
  <si>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</si>
  <si>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</si>
  <si>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</si>
  <si>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</si>
  <si>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</si>
  <si>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</si>
  <si>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</si>
  <si>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</si>
  <si>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</si>
  <si>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</si>
  <si>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</si>
  <si>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</si>
  <si>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</si>
  <si>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</si>
  <si>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</si>
  <si>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</si>
  <si>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</si>
  <si>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</si>
  <si>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</si>
  <si>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</si>
  <si>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</si>
  <si>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</si>
  <si>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</si>
  <si>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</si>
  <si>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</si>
  <si>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</si>
  <si>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</si>
  <si>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</si>
  <si>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</si>
  <si>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</si>
  <si>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</si>
  <si>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</si>
  <si>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</si>
  <si>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</si>
  <si>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</si>
  <si>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</si>
  <si>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</si>
  <si>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</si>
  <si>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</si>
  <si>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</si>
  <si>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</si>
  <si>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</si>
  <si>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</si>
  <si>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</si>
  <si>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</si>
  <si>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</si>
  <si>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</si>
  <si>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</si>
  <si>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</si>
  <si>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</si>
  <si>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</si>
  <si>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</si>
  <si>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</si>
  <si>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</si>
  <si>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</si>
  <si>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</si>
  <si>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</si>
  <si>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</si>
  <si>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</si>
  <si>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</si>
  <si>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</si>
  <si>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</si>
  <si>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</si>
  <si>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</si>
  <si>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</si>
  <si>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</si>
  <si>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</si>
  <si>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</si>
  <si>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</si>
  <si>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</si>
  <si>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</si>
  <si>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</si>
  <si>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</si>
  <si>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</si>
  <si>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</si>
  <si>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</si>
  <si>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</si>
  <si>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</si>
  <si>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</si>
  <si>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</si>
  <si>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</si>
  <si>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</si>
  <si>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</si>
  <si>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</si>
  <si>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</si>
  <si>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</si>
  <si>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</si>
  <si>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</si>
  <si>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</si>
  <si>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</si>
  <si>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</si>
  <si>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</si>
  <si>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</si>
  <si>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</si>
  <si>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</si>
  <si>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</si>
  <si>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</si>
  <si>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</si>
  <si>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</si>
  <si>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</si>
  <si>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</si>
  <si>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</si>
  <si>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</si>
  <si>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</si>
  <si>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</si>
  <si>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</si>
  <si>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</si>
  <si>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</si>
  <si>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</si>
  <si>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</si>
  <si>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</si>
  <si>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</si>
  <si>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</si>
  <si>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</si>
  <si>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</si>
  <si>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</si>
  <si>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</si>
  <si>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</si>
  <si>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</si>
  <si>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</si>
  <si>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</si>
  <si>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</si>
  <si>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</si>
  <si>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</si>
  <si>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</si>
  <si>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</si>
  <si>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</si>
  <si>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</si>
  <si>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</si>
  <si>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</si>
  <si>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</si>
  <si>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</si>
  <si>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</si>
  <si>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</si>
  <si>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</si>
  <si>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</si>
  <si>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</si>
  <si>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</si>
  <si>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</si>
  <si>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</si>
  <si>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</si>
  <si>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</si>
  <si>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</si>
  <si>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</si>
  <si>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</si>
  <si>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</si>
  <si>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</si>
  <si>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</si>
  <si>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</si>
  <si>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</si>
  <si>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</si>
  <si>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</si>
  <si>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</si>
  <si>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</si>
  <si>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</si>
  <si>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</si>
  <si>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</si>
  <si>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</si>
  <si>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</si>
  <si>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</si>
  <si>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</si>
  <si>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</si>
  <si>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</si>
  <si>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</si>
  <si>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</si>
  <si>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</si>
  <si>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</si>
  <si>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</si>
  <si>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</si>
  <si>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</si>
  <si>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</si>
  <si>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</si>
  <si>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</si>
  <si>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</si>
  <si>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</si>
  <si>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</si>
  <si>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</si>
  <si>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</si>
  <si>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</si>
  <si>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</si>
  <si>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</si>
  <si>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</si>
  <si>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</si>
  <si>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</si>
  <si>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</si>
  <si>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</si>
  <si>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</si>
  <si>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</si>
  <si>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</si>
  <si>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</si>
  <si>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</si>
  <si>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</si>
  <si>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</si>
  <si>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</si>
  <si>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</si>
  <si>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</si>
  <si>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</si>
  <si>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</si>
  <si>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</si>
  <si>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</si>
  <si>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</si>
  <si>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</si>
  <si>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</si>
  <si>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</si>
  <si>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</si>
  <si>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</si>
  <si>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</si>
  <si>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</si>
  <si>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</si>
  <si>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</si>
  <si>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</si>
  <si>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</si>
  <si>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</si>
  <si>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</si>
  <si>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</si>
  <si>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</si>
  <si>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</si>
  <si>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</si>
  <si>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</si>
  <si>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</si>
  <si>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</si>
  <si>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</si>
  <si>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</si>
  <si>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</si>
  <si>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</si>
  <si>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</si>
  <si>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</si>
  <si>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</si>
  <si>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</si>
  <si>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</si>
  <si>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</si>
  <si>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</si>
  <si>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</si>
  <si>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</si>
  <si>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</si>
  <si>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</si>
  <si>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</si>
  <si>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</si>
  <si>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</si>
  <si>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</si>
  <si>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</si>
  <si>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</si>
  <si>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</si>
  <si>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</si>
  <si>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</si>
  <si>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</si>
  <si>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</si>
  <si>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</si>
  <si>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</si>
  <si>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</si>
  <si>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</si>
  <si>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</si>
  <si>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</si>
  <si>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</si>
  <si>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</si>
  <si>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</si>
  <si>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</si>
  <si>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</si>
  <si>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</si>
  <si>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</si>
  <si>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</si>
  <si>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</si>
  <si>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</si>
  <si>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</si>
  <si>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</si>
  <si>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</si>
  <si>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</si>
  <si>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</si>
  <si>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</si>
  <si>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</si>
  <si>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</si>
  <si>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</si>
  <si>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</si>
  <si>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</si>
  <si>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</si>
  <si>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</si>
  <si>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</si>
  <si>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</si>
  <si>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</si>
  <si>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</si>
  <si>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</si>
  <si>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</si>
  <si>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</si>
  <si>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</si>
  <si>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</si>
  <si>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</si>
  <si>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</si>
  <si>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</si>
  <si>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</si>
  <si>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</si>
  <si>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</si>
  <si>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</si>
  <si>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</si>
  <si>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</si>
  <si>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</si>
  <si>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</si>
  <si>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</si>
  <si>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</si>
  <si>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</si>
  <si>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</si>
  <si>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</si>
  <si>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</si>
  <si>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</si>
  <si>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</si>
  <si>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</si>
  <si>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</si>
  <si>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</si>
  <si>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</si>
  <si>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</si>
  <si>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</si>
  <si>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</si>
  <si>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</si>
  <si>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</si>
  <si>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</si>
  <si>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</si>
  <si>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</si>
  <si>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</si>
  <si>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</si>
  <si>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</si>
  <si>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</si>
  <si>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</si>
  <si>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</si>
  <si>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</si>
  <si>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</si>
  <si>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</si>
  <si>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</si>
  <si>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</si>
  <si>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</si>
  <si>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</si>
  <si>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</si>
  <si>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</si>
  <si>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</si>
  <si>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</si>
  <si>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</si>
  <si>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</si>
  <si>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</si>
  <si>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</si>
  <si>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</si>
  <si>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</si>
  <si>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</si>
  <si>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</si>
  <si>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</si>
  <si>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</si>
  <si>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</si>
  <si>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</si>
  <si>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</si>
  <si>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</si>
  <si>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</si>
  <si>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</si>
  <si>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</si>
  <si>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</si>
  <si>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</si>
  <si>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</si>
  <si>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</si>
  <si>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</si>
  <si>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</si>
  <si>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</si>
  <si>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</si>
  <si>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</si>
  <si>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</si>
  <si>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</si>
  <si>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</si>
  <si>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</si>
  <si>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</si>
  <si>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</si>
  <si>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</si>
  <si>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</si>
  <si>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</si>
  <si>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</si>
  <si>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</si>
  <si>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</si>
  <si>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</si>
  <si>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</si>
  <si>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</si>
  <si>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</si>
  <si>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</si>
  <si>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</si>
  <si>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</si>
  <si>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</si>
  <si>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</si>
  <si>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</si>
  <si>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</si>
  <si>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</si>
  <si>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</si>
  <si>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</si>
  <si>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</si>
  <si>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</si>
  <si>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</si>
  <si>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</si>
  <si>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</si>
  <si>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</si>
  <si>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</si>
  <si>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</si>
  <si>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</si>
  <si>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</si>
  <si>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</si>
  <si>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</si>
  <si>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</si>
  <si>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</si>
  <si>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</si>
  <si>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</si>
  <si>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</si>
  <si>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</si>
  <si>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</si>
  <si>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</si>
  <si>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</si>
  <si>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</si>
  <si>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</si>
  <si>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</si>
  <si>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</si>
  <si>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</si>
  <si>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</si>
  <si>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</si>
  <si>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</si>
  <si>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</si>
  <si>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</si>
  <si>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</si>
  <si>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</si>
  <si>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</si>
  <si>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</si>
  <si>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</si>
  <si>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</si>
  <si>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</si>
  <si>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</si>
  <si>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</si>
  <si>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</si>
  <si>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</si>
  <si>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</si>
  <si>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</si>
  <si>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</si>
  <si>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</si>
  <si>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</si>
  <si>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</si>
  <si>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</si>
  <si>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</si>
  <si>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</si>
  <si>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</si>
  <si>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</si>
  <si>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</si>
  <si>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</si>
  <si>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</si>
  <si>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</si>
  <si>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</si>
  <si>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</si>
  <si>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</si>
  <si>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</si>
  <si>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</si>
  <si>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</si>
  <si>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</si>
  <si>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</si>
  <si>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</si>
  <si>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</si>
  <si>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</si>
  <si>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</si>
  <si>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</si>
  <si>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</si>
  <si>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</si>
  <si>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</si>
  <si>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</si>
  <si>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</si>
  <si>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</si>
  <si>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</si>
  <si>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</si>
  <si>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</si>
  <si>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</si>
  <si>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</si>
  <si>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</si>
  <si>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</si>
  <si>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</si>
  <si>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</si>
  <si>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</si>
  <si>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</si>
  <si>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</si>
  <si>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</si>
  <si>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</si>
  <si>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</si>
  <si>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</si>
  <si>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</si>
  <si>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</si>
  <si>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</si>
  <si>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</si>
  <si>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</si>
  <si>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</si>
  <si>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</si>
  <si>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</si>
  <si>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</si>
  <si>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</si>
  <si>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</si>
  <si>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</si>
  <si>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</si>
  <si>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</si>
  <si>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</si>
  <si>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</si>
  <si>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</si>
  <si>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</si>
  <si>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</si>
  <si>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</si>
  <si>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</si>
  <si>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</si>
  <si>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</si>
  <si>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</si>
  <si>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</si>
  <si>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</si>
  <si>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</si>
  <si>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</si>
  <si>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</si>
  <si>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</si>
  <si>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</si>
  <si>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</si>
  <si>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</si>
  <si>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</si>
  <si>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</si>
  <si>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</si>
  <si>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</si>
  <si>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</si>
  <si>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</si>
  <si>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</si>
  <si>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</si>
  <si>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</si>
  <si>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</si>
  <si>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</si>
  <si>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</si>
  <si>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</si>
  <si>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</si>
  <si>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</si>
  <si>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</si>
  <si>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</si>
  <si>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</si>
  <si>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</si>
  <si>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</si>
  <si>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</si>
  <si>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</si>
  <si>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</si>
  <si>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</si>
  <si>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</si>
  <si>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</si>
  <si>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</si>
  <si>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</si>
  <si>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</si>
  <si>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</si>
  <si>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</si>
  <si>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</si>
  <si>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</si>
  <si>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</si>
  <si>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</si>
  <si>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</si>
  <si>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</si>
  <si>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</si>
  <si>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</si>
  <si>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</si>
  <si>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</si>
  <si>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</si>
  <si>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</si>
  <si>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</si>
  <si>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</si>
  <si>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</si>
  <si>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</si>
  <si>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</si>
  <si>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</si>
  <si>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</si>
  <si>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</si>
  <si>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</si>
  <si>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</si>
  <si>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</si>
  <si>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</si>
  <si>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</si>
  <si>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</si>
  <si>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</si>
  <si>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</si>
  <si>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</si>
  <si>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</si>
  <si>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</si>
  <si>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</si>
  <si>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</si>
  <si>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</si>
  <si>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</si>
  <si>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</si>
  <si>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</si>
  <si>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</si>
  <si>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</si>
  <si>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</si>
  <si>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</si>
  <si>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</si>
  <si>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</si>
  <si>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</si>
  <si>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</si>
  <si>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</si>
  <si>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</si>
  <si>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</si>
  <si>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</si>
  <si>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</si>
  <si>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</si>
  <si>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</si>
  <si>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</si>
  <si>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</si>
  <si>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</si>
  <si>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</si>
  <si>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</si>
  <si>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</si>
  <si>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</si>
  <si>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</si>
  <si>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</si>
  <si>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</si>
  <si>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</si>
  <si>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</si>
  <si>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</si>
  <si>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</si>
  <si>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</si>
  <si>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</si>
  <si>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</si>
  <si>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</si>
  <si>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</si>
  <si>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</si>
  <si>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</si>
  <si>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</si>
  <si>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</si>
  <si>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</si>
  <si>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</si>
  <si>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</si>
  <si>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</si>
  <si>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</si>
  <si>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</si>
  <si>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</si>
  <si>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</si>
  <si>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</si>
  <si>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</si>
  <si>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</si>
  <si>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</si>
  <si>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</si>
  <si>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</si>
  <si>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</si>
  <si>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</si>
  <si>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</si>
  <si>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</si>
  <si>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</si>
  <si>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</si>
  <si>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</si>
  <si>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</si>
  <si>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</si>
  <si>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</si>
  <si>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</si>
  <si>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</si>
  <si>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</si>
  <si>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</si>
  <si>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</si>
  <si>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</si>
  <si>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</si>
  <si>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</si>
  <si>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</si>
  <si>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</si>
  <si>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</si>
  <si>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</si>
  <si>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</si>
  <si>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</si>
  <si>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</si>
  <si>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</si>
  <si>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</si>
  <si>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</si>
  <si>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</si>
  <si>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</si>
  <si>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</si>
  <si>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</si>
  <si>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</si>
  <si>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</si>
  <si>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</si>
  <si>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</si>
  <si>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</si>
  <si>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</si>
  <si>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</si>
  <si>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</si>
  <si>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</si>
  <si>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</si>
  <si>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</si>
  <si>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</si>
  <si>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</si>
  <si>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</si>
  <si>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</si>
  <si>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</si>
  <si>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</si>
  <si>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</si>
  <si>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</si>
  <si>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</si>
  <si>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</si>
  <si>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</si>
  <si>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</si>
  <si>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</si>
  <si>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</si>
  <si>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</si>
  <si>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</si>
  <si>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</si>
  <si>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</si>
  <si>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</si>
  <si>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</si>
  <si>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</si>
  <si>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</si>
  <si>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</si>
  <si>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</si>
  <si>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</si>
  <si>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</si>
  <si>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</si>
  <si>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</si>
  <si>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</si>
  <si>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</si>
  <si>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</si>
  <si>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</si>
  <si>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</si>
  <si>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</si>
  <si>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</si>
  <si>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</si>
  <si>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</si>
  <si>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</si>
  <si>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</si>
  <si>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</si>
  <si>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</si>
  <si>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</si>
  <si>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</si>
  <si>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</si>
  <si>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</si>
  <si>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</si>
  <si>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</si>
  <si>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</si>
  <si>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</si>
  <si>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</si>
  <si>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</si>
  <si>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</si>
  <si>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</si>
  <si>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</si>
  <si>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</si>
  <si>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</si>
  <si>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</si>
  <si>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</si>
  <si>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</si>
  <si>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</si>
  <si>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</si>
  <si>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</si>
  <si>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</si>
  <si>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</si>
  <si>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</si>
  <si>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</si>
  <si>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</si>
  <si>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</si>
  <si>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</si>
  <si>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</si>
  <si>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</si>
  <si>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</si>
  <si>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</si>
  <si>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</si>
  <si>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</si>
  <si>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</si>
  <si>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</si>
  <si>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</si>
  <si>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</si>
  <si>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</si>
  <si>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</si>
  <si>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</si>
  <si>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</si>
  <si>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</si>
  <si>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</si>
  <si>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</si>
  <si>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</si>
  <si>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</si>
  <si>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</si>
  <si>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</si>
  <si>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</si>
  <si>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</si>
  <si>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</si>
  <si>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</si>
  <si>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</si>
  <si>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</si>
  <si>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</si>
  <si>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</si>
  <si>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</si>
  <si>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</si>
  <si>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</si>
  <si>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</si>
  <si>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</si>
  <si>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</si>
  <si>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</si>
  <si>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</si>
  <si>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</si>
  <si>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</si>
  <si>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</si>
  <si>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</si>
  <si>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</si>
  <si>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</si>
  <si>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</si>
  <si>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</si>
  <si>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</si>
  <si>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</si>
  <si>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</si>
  <si>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</si>
  <si>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</si>
  <si>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</si>
  <si>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</si>
  <si>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</si>
  <si>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</si>
  <si>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</si>
  <si>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</si>
  <si>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</si>
  <si>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</si>
  <si>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</si>
  <si>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</si>
  <si>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</si>
  <si>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</si>
  <si>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</si>
  <si>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</si>
  <si>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</si>
  <si>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</si>
  <si>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</si>
  <si>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</si>
  <si>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</si>
  <si>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</si>
  <si>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</si>
  <si>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</si>
  <si>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</si>
  <si>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</si>
  <si>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</si>
  <si>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</si>
  <si>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</si>
  <si>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</si>
  <si>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</si>
  <si>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</si>
  <si>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</si>
  <si>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</si>
  <si>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</si>
  <si>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</si>
  <si>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</si>
  <si>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</si>
  <si>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</si>
  <si>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</si>
  <si>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</si>
  <si>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</si>
  <si>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</si>
  <si>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</si>
  <si>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</si>
  <si>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</si>
  <si>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</si>
  <si>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</si>
  <si>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</si>
  <si>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</si>
  <si>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</si>
  <si>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</si>
  <si>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</si>
  <si>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</si>
  <si>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</si>
  <si>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</si>
  <si>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</si>
  <si>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</si>
  <si>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</si>
  <si>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While attacking, it will steal X amount of Y(Gold, Items, Loot) until defeated in which it will drop stolen goods on the battlefield</t>
  </si>
  <si>
    <t>Amount, Goods</t>
  </si>
  <si>
    <t>Theft</t>
  </si>
  <si>
    <t>Theft (2, Gold)</t>
  </si>
  <si>
    <t>Theft (1, Item)</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</si>
  <si>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</si>
  <si>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</si>
  <si>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</si>
  <si>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</si>
  <si>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</si>
  <si>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</si>
  <si>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</si>
  <si>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</si>
  <si>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</si>
  <si>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</si>
  <si>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</si>
  <si>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</si>
  <si>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When this Enemy attacks, it will give the player the Injury curse</t>
  </si>
  <si>
    <t>When this Enemy attacks, it will give the player X amount of random curses</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</si>
  <si>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</si>
  <si>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</si>
  <si>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</si>
  <si>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</si>
  <si>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</si>
  <si>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</si>
  <si>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</si>
  <si>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</si>
  <si>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</si>
  <si>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</si>
  <si>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</si>
  <si>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</si>
  <si>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</si>
  <si>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</si>
  <si>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</si>
  <si>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</si>
  <si>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</si>
  <si>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Defeat an enemy with 3 phases</t>
  </si>
  <si>
    <t>Undying</t>
  </si>
  <si>
    <t>On Death, will revive at the rightmost column at the start of the next combat X times</t>
  </si>
  <si>
    <t>Image Changes on Revive</t>
  </si>
  <si>
    <t>Guillatina, Guillatina2, Guillatina3</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</si>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</sst>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11"/>
      <color rgb="FF000000"/>
      <name val="Arial"/>
      <family val="2"/>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10" fillId="0" borderId="0" xfId="0" applyFont="1" applyAlignment="1">
      <alignment vertical="center"/>
    </xf>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41</c:v>
                </c:pt>
                <c:pt idx="43">
                  <c:v>37</c:v>
                </c:pt>
                <c:pt idx="44">
                  <c:v>54</c:v>
                </c:pt>
                <c:pt idx="45">
                  <c:v>73</c:v>
                </c:pt>
                <c:pt idx="46">
                  <c:v>54</c:v>
                </c:pt>
                <c:pt idx="47">
                  <c:v>66</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197</c:v>
                </c:pt>
                <c:pt idx="2">
                  <c:v>118</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101</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name="Name"/>
    <tableColumn id="2" name="Type"/>
    <tableColumn id="3" name="Variables"/>
    <tableColumn id="4" name="Description"/>
    <tableColumn id="5"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16" zoomScaleNormal="100" workbookViewId="0">
      <selection activeCell="F295" sqref="F29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row>
    <row r="107" spans="1:10" ht="15" customHeight="1" x14ac:dyDescent="0.25">
      <c r="A107" t="s">
        <v>536</v>
      </c>
      <c r="B107">
        <v>2013</v>
      </c>
      <c r="C107" t="s">
        <v>179</v>
      </c>
      <c r="D107" t="b">
        <f>TRUE()</f>
        <v>1</v>
      </c>
      <c r="E107" t="b">
        <f>COUNTIF(connections!A:A, A107) &gt; 0</f>
        <v>1</v>
      </c>
      <c r="F107" t="s">
        <v>458</v>
      </c>
      <c r="G107" t="s">
        <v>537</v>
      </c>
    </row>
    <row r="108" spans="1:10" ht="15" customHeight="1" x14ac:dyDescent="0.25">
      <c r="A108" t="s">
        <v>538</v>
      </c>
      <c r="B108">
        <v>2025</v>
      </c>
      <c r="C108" t="s">
        <v>179</v>
      </c>
      <c r="D108" t="b">
        <f>TRUE()</f>
        <v>1</v>
      </c>
      <c r="E108" t="b">
        <f>COUNTIF(connections!A:A, A108) &gt; 0</f>
        <v>0</v>
      </c>
      <c r="F108" t="s">
        <v>458</v>
      </c>
      <c r="G108" t="s">
        <v>539</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3503</v>
      </c>
      <c r="O10" t="s">
        <v>3504</v>
      </c>
      <c r="P10" t="s">
        <v>3468</v>
      </c>
      <c r="Q10" t="s">
        <v>3501</v>
      </c>
    </row>
    <row r="11" spans="1:17" x14ac:dyDescent="0.25">
      <c r="A11" t="s">
        <v>3505</v>
      </c>
      <c r="B11" t="s">
        <v>1295</v>
      </c>
      <c r="C11">
        <v>8</v>
      </c>
      <c r="D11">
        <v>3</v>
      </c>
      <c r="E11">
        <v>1</v>
      </c>
      <c r="F11">
        <v>1</v>
      </c>
      <c r="G11">
        <v>0</v>
      </c>
      <c r="H11">
        <v>0</v>
      </c>
      <c r="I11">
        <v>0</v>
      </c>
      <c r="J11">
        <v>0</v>
      </c>
      <c r="K11">
        <v>0</v>
      </c>
      <c r="L11">
        <v>0</v>
      </c>
      <c r="M11" t="s">
        <v>3506</v>
      </c>
      <c r="N11" t="s">
        <v>3507</v>
      </c>
      <c r="O11" t="s">
        <v>3508</v>
      </c>
      <c r="P11" t="s">
        <v>3468</v>
      </c>
      <c r="Q11" t="s">
        <v>3505</v>
      </c>
    </row>
    <row r="12" spans="1:17" x14ac:dyDescent="0.25">
      <c r="A12" t="s">
        <v>3509</v>
      </c>
      <c r="B12" t="s">
        <v>1323</v>
      </c>
      <c r="C12">
        <v>8</v>
      </c>
      <c r="D12">
        <v>3</v>
      </c>
      <c r="E12">
        <v>0</v>
      </c>
      <c r="F12">
        <v>1</v>
      </c>
      <c r="G12">
        <v>1</v>
      </c>
      <c r="H12">
        <v>0</v>
      </c>
      <c r="I12">
        <v>0</v>
      </c>
      <c r="J12">
        <v>0</v>
      </c>
      <c r="K12">
        <v>0</v>
      </c>
      <c r="L12">
        <v>0</v>
      </c>
      <c r="M12" t="s">
        <v>3510</v>
      </c>
      <c r="N12" t="s">
        <v>3511</v>
      </c>
      <c r="O12" t="s">
        <v>3512</v>
      </c>
      <c r="P12" t="s">
        <v>3468</v>
      </c>
      <c r="Q12" t="s">
        <v>3509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Barricade</t>
        </is>
      </c>
      <c r="B5" t="inlineStr">
        <is>
          <t xml:space="preserve">Rare</t>
        </is>
      </c>
      <c r="C5" t="inlineStr">
        <is>
          <t xml:space="preserve">Triggered</t>
        </is>
      </c>
      <c r="D5" t="inlineStr">
        <is>
          <t xml:space="preserve">When a game resolves, unspent Temporary Shields become Shields</t>
        </is>
      </c>
      <c r="E5" t="inlineStr">
        <is>
          <t xml:space="preserve">bank_shields</t>
        </is>
      </c>
      <c r="F5" t="inlineStr">
        <is>
          <t xml:space="preserve">Slay the Spire</t>
        </is>
      </c>
      <c r="G5" t="inlineStr">
        <is>
          <t xml:space="preserve">card</t>
        </is>
      </c>
      <c r="I5" t="inlineStr">
        <is>
          <t xml:space="preserve">Barricade</t>
        </is>
      </c>
      <c r="J5" t="inlineStr">
        <is>
          <t xml:space="preserve">Stats</t>
        </is>
      </c>
    </row>
    <row r="6" spans="1:10">
      <c r="A6" t="inlineStr">
        <is>
          <t xml:space="preserve">Bionic Face Plating</t>
        </is>
      </c>
      <c r="B6" t="inlineStr">
        <is>
          <t xml:space="preserve">Uncommon</t>
        </is>
      </c>
      <c r="C6" t="inlineStr">
        <is>
          <t xml:space="preserve">Passive</t>
        </is>
      </c>
      <c r="D6" t="inlineStr">
        <is>
          <t xml:space="preserve">Gain +3 Speed, but this is destroyed when taking damage</t>
        </is>
      </c>
      <c r="E6" t="inlineStr">
        <is>
          <t xml:space="preserve">passive_status: speed 3; destroy_on_damage</t>
        </is>
      </c>
      <c r="F6" t="inlineStr">
        <is>
          <t xml:space="preserve">Mewgenics</t>
        </is>
      </c>
      <c r="G6" t="inlineStr">
        <is>
          <t xml:space="preserve">cybernetics</t>
        </is>
      </c>
      <c r="I6" t="inlineStr">
        <is>
          <t xml:space="preserve">BionicFacePlating</t>
        </is>
      </c>
      <c r="J6" t="inlineStr">
        <is>
          <t xml:space="preserve">Stats</t>
        </is>
      </c>
    </row>
    <row r="7" spans="1:10">
      <c r="A7" t="inlineStr">
        <is>
          <t xml:space="preserve">Blood Bag</t>
        </is>
      </c>
      <c r="B7" t="inlineStr">
        <is>
          <t xml:space="preserve">Event</t>
        </is>
      </c>
      <c r="C7" t="inlineStr">
        <is>
          <t xml:space="preserve">Pickup</t>
        </is>
      </c>
      <c r="D7" t="inlineStr">
        <is>
          <t xml:space="preserve">Gain +2 Max Health and +8 Health</t>
        </is>
      </c>
      <c r="E7" t="inlineStr">
        <is>
          <t xml:space="preserve">item_acquired: gain_max_hp 2; gain_hp 8</t>
        </is>
      </c>
      <c r="F7" t="inlineStr">
        <is>
          <t xml:space="preserve">The Binding of Isaac</t>
        </is>
      </c>
      <c r="G7" t="inlineStr">
        <is>
          <t xml:space="preserve">blood</t>
        </is>
      </c>
      <c r="I7" t="inlineStr">
        <is>
          <t xml:space="preserve">BloodBag</t>
        </is>
      </c>
      <c r="J7" t="inlineStr">
        <is>
          <t xml:space="preserve">Health</t>
        </is>
      </c>
    </row>
    <row r="8" spans="1:10">
      <c r="A8" t="inlineStr">
        <is>
          <t xml:space="preserve">Blood Bombs</t>
        </is>
      </c>
      <c r="B8" t="inlineStr">
        <is>
          <t xml:space="preserve">Uncommon</t>
        </is>
      </c>
      <c r="C8" t="inlineStr">
        <is>
          <t xml:space="preserve">Pickup, Triggered</t>
        </is>
      </c>
      <c r="D8" t="inlineStr">
        <is>
          <t xml:space="preserve">Gain +1 Bomb. When using a Bomb, Gain +1 Health</t>
        </is>
      </c>
      <c r="E8" t="inlineStr">
        <is>
          <t xml:space="preserve">item_acquired: gain_stat bombs 1; bomb_used: gain_hp 1</t>
        </is>
      </c>
      <c r="F8" t="inlineStr">
        <is>
          <t xml:space="preserve">The Binding of Isaac: Rebirth</t>
        </is>
      </c>
      <c r="G8" t="inlineStr">
        <is>
          <t xml:space="preserve">bomb, blood</t>
        </is>
      </c>
      <c r="I8" t="inlineStr">
        <is>
          <t xml:space="preserve">BloodBombs</t>
        </is>
      </c>
      <c r="J8" t="inlineStr">
        <is>
          <t xml:space="preserve">Bomb</t>
        </is>
      </c>
    </row>
    <row r="9" spans="1:10">
      <c r="A9" t="inlineStr">
        <is>
          <t xml:space="preserve">Brimstone Bombs</t>
        </is>
      </c>
      <c r="B9" t="inlineStr">
        <is>
          <t xml:space="preserve">Rare</t>
        </is>
      </c>
      <c r="C9" t="inlineStr">
        <is>
          <t xml:space="preserve">Pickup, Passive</t>
        </is>
      </c>
      <c r="D9" t="inlineStr">
        <is>
          <t xml:space="preserve">Gain +1 Bomb. Bombs now damage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Cauldron</t>
        </is>
      </c>
      <c r="B13" t="inlineStr">
        <is>
          <t xml:space="preserve">Rare</t>
        </is>
      </c>
      <c r="C13" t="inlineStr">
        <is>
          <t xml:space="preserve">Pickup</t>
        </is>
      </c>
      <c r="D13" t="inlineStr">
        <is>
          <t xml:space="preserve">Gain +5 Potions</t>
        </is>
      </c>
      <c r="E13" t="inlineStr">
        <is>
          <t xml:space="preserve">item_acquired: gain_potion 5</t>
        </is>
      </c>
      <c r="F13" t="inlineStr">
        <is>
          <t xml:space="preserve">Slay the Spire</t>
        </is>
      </c>
      <c r="G13" t="inlineStr">
        <is>
          <t xml:space="preserve">pot</t>
        </is>
      </c>
      <c r="H13" t="inlineStr">
        <is>
          <t xml:space="preserve">shop</t>
        </is>
      </c>
      <c r="I13" t="inlineStr">
        <is>
          <t xml:space="preserve">Cauldron</t>
        </is>
      </c>
      <c r="J13" t="inlineStr">
        <is>
          <t xml:space="preserve">Loot</t>
        </is>
      </c>
    </row>
    <row r="14" spans="1:10">
      <c r="A14" t="inlineStr">
        <is>
          <t xml:space="preserve">Charm of the Vampire</t>
        </is>
      </c>
      <c r="B14" t="inlineStr">
        <is>
          <t xml:space="preserve">Uncommon</t>
        </is>
      </c>
      <c r="C14" t="inlineStr">
        <is>
          <t xml:space="preserve">Triggered, Incremental</t>
        </is>
      </c>
      <c r="D14" t="inlineStr">
        <is>
          <t xml:space="preserve">When you defeat 3 enemies, Gain +1 Health</t>
        </is>
      </c>
      <c r="E14" t="inlineStr">
        <is>
          <t xml:space="preserve">enemy_killed: counter key=enemies_defeated every=3 -&gt; gain_hp 1</t>
        </is>
      </c>
      <c r="F14" t="inlineStr">
        <is>
          <t xml:space="preserve">The Binding of Isaac</t>
        </is>
      </c>
      <c r="G14" t="inlineStr">
        <is>
          <t xml:space="preserve">bat, vampire</t>
        </is>
      </c>
      <c r="I14" t="inlineStr">
        <is>
          <t xml:space="preserve">CharmOfTheVampire</t>
        </is>
      </c>
      <c r="J14" t="inlineStr">
        <is>
          <t xml:space="preserve">Health</t>
        </is>
      </c>
    </row>
    <row r="15" spans="1:10">
      <c r="A15" t="inlineStr">
        <is>
          <t xml:space="preserve">Clover</t>
        </is>
      </c>
      <c r="B15" t="inlineStr">
        <is>
          <t xml:space="preserve">Uncommon</t>
        </is>
      </c>
      <c r="C15" t="inlineStr">
        <is>
          <t xml:space="preserve">Passive</t>
        </is>
      </c>
      <c r="D15" t="inlineStr">
        <is>
          <t xml:space="preserve">Gain +1 Luck</t>
        </is>
      </c>
      <c r="E15" t="inlineStr">
        <is>
          <t xml:space="preserve">passive: +1 luck</t>
        </is>
      </c>
      <c r="F15" t="inlineStr">
        <is>
          <t xml:space="preserve">Vampire Survivors</t>
        </is>
      </c>
      <c r="G15" t="inlineStr">
        <is>
          <t xml:space="preserve">plant</t>
        </is>
      </c>
      <c r="I15" t="inlineStr">
        <is>
          <t xml:space="preserve">Clover</t>
        </is>
      </c>
      <c r="J15" t="inlineStr">
        <is>
          <t xml:space="preserve">Stats</t>
        </is>
      </c>
    </row>
    <row r="16" spans="1:10">
      <c r="A16" t="inlineStr">
        <is>
          <t xml:space="preserve">Crown</t>
        </is>
      </c>
      <c r="B16" t="inlineStr">
        <is>
          <t xml:space="preserve">Uncommon</t>
        </is>
      </c>
      <c r="C16" t="inlineStr">
        <is>
          <t xml:space="preserve">Triggered</t>
        </is>
      </c>
      <c r="D16" t="inlineStr">
        <is>
          <t xml:space="preserve">When Levelling Up, 50% chance to Level Up an additional time</t>
        </is>
      </c>
      <c r="E16" t="inlineStr">
        <is>
          <t xml:space="preserve">level_up: 50%</t>
        </is>
      </c>
      <c r="F16" t="inlineStr">
        <is>
          <t xml:space="preserve">Vampire Survivors</t>
        </is>
      </c>
      <c r="G16" t="inlineStr">
        <is>
          <t xml:space="preserve">wearable, hat, crown</t>
        </is>
      </c>
      <c r="I16" t="inlineStr">
        <is>
          <t xml:space="preserve">Crown</t>
        </is>
      </c>
      <c r="J16" t="inlineStr">
        <is>
          <t xml:space="preserve">Economy</t>
        </is>
      </c>
    </row>
    <row r="17" spans="1:10">
      <c r="A17" t="inlineStr">
        <is>
          <t xml:space="preserve">D10</t>
        </is>
      </c>
      <c r="B17" t="inlineStr">
        <is>
          <t xml:space="preserve">Common</t>
        </is>
      </c>
      <c r="C17" t="inlineStr">
        <is>
          <t xml:space="preserve">Charged, 2</t>
        </is>
      </c>
      <c r="D17" t="inlineStr">
        <is>
          <t xml:space="preserve">Reroll all non-boss enemies</t>
        </is>
      </c>
      <c r="E17" t="inlineStr">
        <is>
          <t xml:space="preserve">item_used: reroll_enemies</t>
        </is>
      </c>
      <c r="F17" t="inlineStr">
        <is>
          <t xml:space="preserve">The Binding of Isaac: Rebirth</t>
        </is>
      </c>
      <c r="G17" t="inlineStr">
        <is>
          <t xml:space="preserve">dice</t>
        </is>
      </c>
      <c r="I17" t="inlineStr">
        <is>
          <t xml:space="preserve">D10</t>
        </is>
      </c>
      <c r="J17" t="inlineStr">
        <is>
          <t xml:space="preserve">Grid</t>
        </is>
      </c>
    </row>
    <row r="18" spans="1:10">
      <c r="A18" t="inlineStr">
        <is>
          <t xml:space="preserve">D6</t>
        </is>
      </c>
      <c r="B18" t="inlineStr">
        <is>
          <t xml:space="preserve">Uncommon</t>
        </is>
      </c>
      <c r="C18" t="inlineStr">
        <is>
          <t xml:space="preserve">Charged, 2</t>
        </is>
      </c>
      <c r="D18" t="inlineStr">
        <is>
          <t xml:space="preserve">Gain +1 Scramble</t>
        </is>
      </c>
      <c r="E18" t="inlineStr">
        <is>
          <t xml:space="preserve">item_used: gain_stat scramble 1</t>
        </is>
      </c>
      <c r="F18" t="inlineStr">
        <is>
          <t xml:space="preserve">The Binding of Isaac</t>
        </is>
      </c>
      <c r="G18" t="inlineStr">
        <is>
          <t xml:space="preserve">dice</t>
        </is>
      </c>
      <c r="I18" t="inlineStr">
        <is>
          <t xml:space="preserve">D6</t>
        </is>
      </c>
      <c r="J18" t="inlineStr">
        <is>
          <t xml:space="preserve">Stats</t>
        </is>
      </c>
    </row>
    <row r="19" spans="1:10">
      <c r="A19" t="inlineStr">
        <is>
          <t xml:space="preserve">Echo Chamber</t>
        </is>
      </c>
      <c r="B19" t="inlineStr">
        <is>
          <t xml:space="preserve">Rare</t>
        </is>
      </c>
      <c r="C19" t="inlineStr">
        <is>
          <t xml:space="preserve">Passive</t>
        </is>
      </c>
      <c r="D19" t="inlineStr">
        <is>
          <t xml:space="preserve">Whenever you use Loot, you also use a copy of the last 3 Loot you used after picking up Echo Chamber</t>
        </is>
      </c>
      <c r="E19" t="inlineStr">
        <is>
          <t xml:space="preserve">echo_loot 3</t>
        </is>
      </c>
      <c r="F19" t="inlineStr">
        <is>
          <t xml:space="preserve">The Binding of Isaac: Rebirth</t>
        </is>
      </c>
      <c r="I19" t="inlineStr">
        <is>
          <t xml:space="preserve">EchoChamber</t>
        </is>
      </c>
      <c r="J19" t="inlineStr">
        <is>
          <t xml:space="preserve">Loot</t>
        </is>
      </c>
    </row>
    <row r="20" spans="1:10">
      <c r="A20" t="inlineStr">
        <is>
          <t xml:space="preserve">Fortune Necklace</t>
        </is>
      </c>
      <c r="B20" t="inlineStr">
        <is>
          <t xml:space="preserve">Common</t>
        </is>
      </c>
      <c r="C20" t="inlineStr">
        <is>
          <t xml:space="preserve">Triggered</t>
        </is>
      </c>
      <c r="D20" t="inlineStr">
        <is>
          <t xml:space="preserve">When selecting a game, Gain +1 Gold, but this is destroyed when taking damage</t>
        </is>
      </c>
      <c r="E20" t="inlineStr">
        <is>
          <t xml:space="preserve">game_selected: gain_gold 1; destroy_on_damage</t>
        </is>
      </c>
      <c r="F20" t="inlineStr">
        <is>
          <t xml:space="preserve">Mewgenics</t>
        </is>
      </c>
      <c r="G20" t="inlineStr">
        <is>
          <t xml:space="preserve">wearable, necklace</t>
        </is>
      </c>
      <c r="I20" t="inlineStr">
        <is>
          <t xml:space="preserve">FortuneNecklace</t>
        </is>
      </c>
      <c r="J20" t="inlineStr">
        <is>
          <t xml:space="preserve">Economy</t>
        </is>
      </c>
    </row>
    <row r="21" spans="1:10">
      <c r="A21" t="inlineStr">
        <is>
          <t xml:space="preserve">Golden Idol</t>
        </is>
      </c>
      <c r="B21" t="inlineStr">
        <is>
          <t xml:space="preserve">Event</t>
        </is>
      </c>
      <c r="C21" t="inlineStr">
        <is>
          <t xml:space="preserve">Passive</t>
        </is>
      </c>
      <c r="D21" t="inlineStr">
        <is>
          <t xml:space="preserve">All enemies drop +1 Gold</t>
        </is>
      </c>
      <c r="E21" t="inlineStr">
        <is>
          <t xml:space="preserve">gold_per_enemy: 1</t>
        </is>
      </c>
      <c r="F21" t="inlineStr">
        <is>
          <t xml:space="preserve">Slay the Spire</t>
        </is>
      </c>
      <c r="G21" t="inlineStr">
        <is>
          <t xml:space="preserve">gold</t>
        </is>
      </c>
      <c r="I21" t="inlineStr">
        <is>
          <t xml:space="preserve">GoldenIdol</t>
        </is>
      </c>
      <c r="J21" t="inlineStr">
        <is>
          <t xml:space="preserve">Economy</t>
        </is>
      </c>
    </row>
    <row r="22" spans="1:10">
      <c r="A22" t="inlineStr">
        <is>
          <t xml:space="preserve">Hollow Heart</t>
        </is>
      </c>
      <c r="B22" t="inlineStr">
        <is>
          <t xml:space="preserve">Common</t>
        </is>
      </c>
      <c r="C22" t="inlineStr">
        <is>
          <t xml:space="preserve">Pickup</t>
        </is>
      </c>
      <c r="D22" t="inlineStr">
        <is>
          <t xml:space="preserve">Gain +4 empty Max Health</t>
        </is>
      </c>
      <c r="E22" t="inlineStr">
        <is>
          <t xml:space="preserve">item_acquired: gain_empty_max_hp 4</t>
        </is>
      </c>
      <c r="F22" t="inlineStr">
        <is>
          <t xml:space="preserve">Vampire Survivors</t>
        </is>
      </c>
      <c r="G22" t="inlineStr">
        <is>
          <t xml:space="preserve">heart</t>
        </is>
      </c>
      <c r="I22" t="inlineStr">
        <is>
          <t xml:space="preserve">HollowHeart</t>
        </is>
      </c>
      <c r="J22" t="inlineStr">
        <is>
          <t xml:space="preserve">Health</t>
        </is>
      </c>
    </row>
    <row r="23" spans="1:10">
      <c r="A23" t="inlineStr">
        <is>
          <t xml:space="preserve">Hot Bombs</t>
        </is>
      </c>
      <c r="B23" t="inlineStr">
        <is>
          <t xml:space="preserve">Uncommon</t>
        </is>
      </c>
      <c r="C23" t="inlineStr">
        <is>
          <t xml:space="preserve">Passive</t>
        </is>
      </c>
      <c r="D23" t="inlineStr">
        <is>
          <t xml:space="preserve">Gain +1 Bomb. Bombs Apply the Fire Tile</t>
        </is>
      </c>
      <c r="E23" t="inlineStr">
        <is>
          <t xml:space="preserve">item_acquired: gain_stat bombs 1; bomb_tile fire</t>
        </is>
      </c>
      <c r="F23" t="inlineStr">
        <is>
          <t xml:space="preserve">The Binding of Isaac: Rebirth</t>
        </is>
      </c>
      <c r="G23" t="inlineStr">
        <is>
          <t xml:space="preserve">bomb, fire</t>
        </is>
      </c>
      <c r="I23" t="inlineStr">
        <is>
          <t xml:space="preserve">HotBombs</t>
        </is>
      </c>
      <c r="J23" t="inlineStr">
        <is>
          <t xml:space="preserve">Bomb, Grid</t>
        </is>
      </c>
    </row>
    <row r="24" spans="1:10">
      <c r="A24" t="inlineStr">
        <is>
          <t xml:space="preserve">IV Bag</t>
        </is>
      </c>
      <c r="B24" t="inlineStr">
        <is>
          <t xml:space="preserve">Event</t>
        </is>
      </c>
      <c r="C24" t="inlineStr">
        <is>
          <t xml:space="preserve">Usable, 0</t>
        </is>
      </c>
      <c r="D24" t="inlineStr">
        <is>
          <t xml:space="preserve">Lose 1 Health and Gain +1 Gold</t>
        </is>
      </c>
      <c r="E24" t="inlineStr">
        <is>
          <t xml:space="preserve">item_used: lose_hp 1; gain_gold 1</t>
        </is>
      </c>
      <c r="F24" t="inlineStr">
        <is>
          <t xml:space="preserve">The Binding of Isaac</t>
        </is>
      </c>
      <c r="G24" t="inlineStr">
        <is>
          <t xml:space="preserve">blood</t>
        </is>
      </c>
      <c r="I24" t="inlineStr">
        <is>
          <t xml:space="preserve">IvBag</t>
        </is>
      </c>
      <c r="J24" t="inlineStr">
        <is>
          <t xml:space="preserve">Economy</t>
        </is>
      </c>
    </row>
    <row r="25" spans="1:10">
      <c r="A25" t="inlineStr">
        <is>
          <t xml:space="preserve">Landmines</t>
        </is>
      </c>
      <c r="B25" t="inlineStr">
        <is>
          <t xml:space="preserve">Uncommon</t>
        </is>
      </c>
      <c r="C25" t="inlineStr">
        <is>
          <t xml:space="preserve">Passive</t>
        </is>
      </c>
      <c r="D25" t="inlineStr">
        <is>
          <t xml:space="preserve">After Combat ends, Apply the Landmine Unit to a random empty Tile</t>
        </is>
      </c>
      <c r="E25" t="inlineStr">
        <is>
          <t xml:space="preserve">game_beaten: apply_unit landmine target=random_empty</t>
        </is>
      </c>
      <c r="F25" t="inlineStr">
        <is>
          <t xml:space="preserve">Brotato</t>
        </is>
      </c>
      <c r="G25" t="inlineStr">
        <is>
          <t xml:space="preserve">bomb</t>
        </is>
      </c>
      <c r="I25" t="inlineStr">
        <is>
          <t xml:space="preserve">Landmines</t>
        </is>
      </c>
      <c r="J25" t="inlineStr">
        <is>
          <t xml:space="preserve">Grid</t>
        </is>
      </c>
    </row>
    <row r="26" spans="1:10">
      <c r="A26" t="inlineStr">
        <is>
          <t xml:space="preserve">Lord's Parasol</t>
        </is>
      </c>
      <c r="B26" t="inlineStr">
        <is>
          <t xml:space="preserve">Boss</t>
        </is>
      </c>
      <c r="C26" t="inlineStr">
        <is>
          <t xml:space="preserve">Passive</t>
        </is>
      </c>
      <c r="D26" t="inlineStr">
        <is>
          <t xml:space="preserve">When encountering a shop, purchase everything in it</t>
        </is>
      </c>
      <c r="E26" t="inlineStr">
        <is>
          <t xml:space="preserve">shop_sweep</t>
        </is>
      </c>
      <c r="F26" t="inlineStr">
        <is>
          <t xml:space="preserve">Slay the Spire 2</t>
        </is>
      </c>
      <c r="G26" t="inlineStr">
        <is>
          <t xml:space="preserve">umbrella</t>
        </is>
      </c>
      <c r="I26" t="inlineStr">
        <is>
          <t xml:space="preserve">LordsParasol</t>
        </is>
      </c>
      <c r="J26" t="inlineStr">
        <is>
          <t xml:space="preserve">Special</t>
        </is>
      </c>
    </row>
    <row r="27" spans="1:10">
      <c r="A27" t="inlineStr">
        <is>
          <t xml:space="preserve">Lucky Foot</t>
        </is>
      </c>
      <c r="B27" t="inlineStr">
        <is>
          <t xml:space="preserve">Uncommon</t>
        </is>
      </c>
      <c r="C27" t="inlineStr">
        <is>
          <t xml:space="preserve">Passive, Pickup</t>
        </is>
      </c>
      <c r="D27" t="inlineStr">
        <is>
          <t xml:space="preserve">Gain +1 Luck, +1 Pill, and all negative pills become positive</t>
        </is>
      </c>
      <c r="E27" t="inlineStr">
        <is>
          <t xml:space="preserve">passive: +1 luck; item_acquired: gain_pill 1; pills_positive</t>
        </is>
      </c>
      <c r="F27" t="inlineStr">
        <is>
          <t xml:space="preserve">The Binding of Isaac</t>
        </is>
      </c>
      <c r="G27" t="inlineStr">
        <is>
          <t xml:space="preserve">foot</t>
        </is>
      </c>
      <c r="I27" t="inlineStr">
        <is>
          <t xml:space="preserve">LuckyFoot</t>
        </is>
      </c>
      <c r="J27" t="inlineStr">
        <is>
          <t xml:space="preserve">Loot, Stats</t>
        </is>
      </c>
    </row>
    <row r="28" spans="1:10">
      <c r="A28" t="inlineStr">
        <is>
          <t xml:space="preserve">Lucky Hat</t>
        </is>
      </c>
      <c r="B28" t="inlineStr">
        <is>
          <t xml:space="preserve">Common</t>
        </is>
      </c>
      <c r="C28" t="inlineStr">
        <is>
          <t xml:space="preserve">Passive</t>
        </is>
      </c>
      <c r="D28" t="inlineStr">
        <is>
          <t xml:space="preserve">Gain +1 Luck, but this is destroyed when taking damage</t>
        </is>
      </c>
      <c r="E28" t="inlineStr">
        <is>
          <t xml:space="preserve">passive: +1 luck; destroy_on_damage</t>
        </is>
      </c>
      <c r="F28" t="inlineStr">
        <is>
          <t xml:space="preserve">Mewgenics</t>
        </is>
      </c>
      <c r="G28" t="inlineStr">
        <is>
          <t xml:space="preserve">wearable, hat</t>
        </is>
      </c>
      <c r="I28" t="inlineStr">
        <is>
          <t xml:space="preserve">LuckyHat</t>
        </is>
      </c>
      <c r="J28" t="inlineStr">
        <is>
          <t xml:space="preserve">Stats</t>
        </is>
      </c>
    </row>
    <row r="29" spans="1:10">
      <c r="A29" t="inlineStr">
        <is>
          <t xml:space="preserve">Lunch</t>
        </is>
      </c>
      <c r="B29" t="inlineStr">
        <is>
          <t xml:space="preserve">Common</t>
        </is>
      </c>
      <c r="C29" t="inlineStr">
        <is>
          <t xml:space="preserve">Pickup</t>
        </is>
      </c>
      <c r="D29" t="inlineStr">
        <is>
          <t xml:space="preserve">Gain +2 Max Health</t>
        </is>
      </c>
      <c r="E29" t="inlineStr">
        <is>
          <t xml:space="preserve">item_acquired: gain_max_hp 2</t>
        </is>
      </c>
      <c r="F29" t="inlineStr">
        <is>
          <t xml:space="preserve">The Binding of Isaac</t>
        </is>
      </c>
      <c r="G29" t="inlineStr">
        <is>
          <t xml:space="preserve">food</t>
        </is>
      </c>
      <c r="I29" t="inlineStr">
        <is>
          <t xml:space="preserve">Lunch</t>
        </is>
      </c>
      <c r="J29" t="inlineStr">
        <is>
          <t xml:space="preserve">Health</t>
        </is>
      </c>
    </row>
    <row r="30" spans="1:10">
      <c r="A30" t="inlineStr">
        <is>
          <t xml:space="preserve">Mango</t>
        </is>
      </c>
      <c r="B30" t="inlineStr">
        <is>
          <t xml:space="preserve">Rare</t>
        </is>
      </c>
      <c r="C30" t="inlineStr">
        <is>
          <t xml:space="preserve">Pickup</t>
        </is>
      </c>
      <c r="D30" t="inlineStr">
        <is>
          <t xml:space="preserve">Gain +4 Max Health</t>
        </is>
      </c>
      <c r="E30" t="inlineStr">
        <is>
          <t xml:space="preserve">item_acquired: gain_max_hp 4</t>
        </is>
      </c>
      <c r="F30" t="inlineStr">
        <is>
          <t xml:space="preserve">Slay the Spire</t>
        </is>
      </c>
      <c r="G30" t="inlineStr">
        <is>
          <t xml:space="preserve">food, fruit</t>
        </is>
      </c>
      <c r="I30" t="inlineStr">
        <is>
          <t xml:space="preserve">Mango</t>
        </is>
      </c>
      <c r="J30" t="inlineStr">
        <is>
          <t xml:space="preserve">Health</t>
        </is>
      </c>
    </row>
    <row r="31" spans="1:10">
      <c r="A31" t="inlineStr">
        <is>
          <t xml:space="preserve">Meat on the Bone</t>
        </is>
      </c>
      <c r="B31" t="inlineStr">
        <is>
          <t xml:space="preserve">Uncommon</t>
        </is>
      </c>
      <c r="C31" t="inlineStr">
        <is>
          <t xml:space="preserve">Triggered</t>
        </is>
      </c>
      <c r="D31" t="inlineStr">
        <is>
          <t xml:space="preserve">When your Health is at 50% or below Max Health after beating a game, gain +2 Health</t>
        </is>
      </c>
      <c r="E31" t="inlineStr">
        <is>
          <t xml:space="preserve">game_beaten: if_hp below 0.5 -&gt; gain_hp 2</t>
        </is>
      </c>
      <c r="F31" t="inlineStr">
        <is>
          <t xml:space="preserve">Slay the Spire</t>
        </is>
      </c>
      <c r="G31" t="inlineStr">
        <is>
          <t xml:space="preserve">food, meat</t>
        </is>
      </c>
      <c r="I31" t="inlineStr">
        <is>
          <t xml:space="preserve">MeatOnTheBone</t>
        </is>
      </c>
      <c r="J31" t="inlineStr">
        <is>
          <t xml:space="preserve">Health</t>
        </is>
      </c>
    </row>
    <row r="32" spans="1:10">
      <c r="A32" t="inlineStr">
        <is>
          <t xml:space="preserve">Mine-r Construction</t>
        </is>
      </c>
      <c r="B32" t="inlineStr">
        <is>
          <t xml:space="preserve">Uncommon</t>
        </is>
      </c>
      <c r="C32" t="inlineStr">
        <is>
          <t xml:space="preserve">Passive</t>
        </is>
      </c>
      <c r="D32" t="inlineStr">
        <is>
          <t xml:space="preserve">Increase the Grid length and width by 1 </t>
        </is>
      </c>
      <c r="E32" t="inlineStr">
        <is>
          <t xml:space="preserve">grid_grow</t>
        </is>
      </c>
      <c r="F32" t="inlineStr">
        <is>
          <t xml:space="preserve">BroomSweeper</t>
        </is>
      </c>
      <c r="G32" t="inlineStr">
        <is>
          <t xml:space="preserve">tool</t>
        </is>
      </c>
      <c r="I32" t="inlineStr">
        <is>
          <t xml:space="preserve">MinerConstruction</t>
        </is>
      </c>
      <c r="J32" t="inlineStr">
        <is>
          <t xml:space="preserve">Grid</t>
        </is>
      </c>
    </row>
    <row r="33" spans="1:10">
      <c r="A33" t="inlineStr">
        <is>
          <t xml:space="preserve">Mom's Bottle of Pills</t>
        </is>
      </c>
      <c r="B33" t="inlineStr">
        <is>
          <t xml:space="preserve">Common</t>
        </is>
      </c>
      <c r="C33" t="inlineStr">
        <is>
          <t xml:space="preserve">Charged, 2</t>
        </is>
      </c>
      <c r="D33" t="inlineStr">
        <is>
          <t xml:space="preserve">Gain +1 Pill</t>
        </is>
      </c>
      <c r="E33" t="inlineStr">
        <is>
          <t xml:space="preserve">item_used: gain_pill 1</t>
        </is>
      </c>
      <c r="F33" t="inlineStr">
        <is>
          <t xml:space="preserve">The Binding of Isaac</t>
        </is>
      </c>
      <c r="G33" t="inlineStr">
        <is>
          <t xml:space="preserve">mom, drugs, pills</t>
        </is>
      </c>
      <c r="I33" t="inlineStr">
        <is>
          <t xml:space="preserve">MomsBottleOfPills</t>
        </is>
      </c>
      <c r="J33" t="inlineStr">
        <is>
          <t xml:space="preserve">Loot</t>
        </is>
      </c>
    </row>
    <row r="34" spans="1:10">
      <c r="A34" t="inlineStr">
        <is>
          <t xml:space="preserve">Mom's Coin Purse</t>
        </is>
      </c>
      <c r="B34" t="inlineStr">
        <is>
          <t xml:space="preserve">Common</t>
        </is>
      </c>
      <c r="C34" t="inlineStr">
        <is>
          <t xml:space="preserve">Pickup</t>
        </is>
      </c>
      <c r="D34" t="inlineStr">
        <is>
          <t xml:space="preserve">Gain +4 Pills</t>
        </is>
      </c>
      <c r="E34" t="inlineStr">
        <is>
          <t xml:space="preserve">item_acquired: gain_pill 4</t>
        </is>
      </c>
      <c r="F34" t="inlineStr">
        <is>
          <t xml:space="preserve">The Binding of Isaac</t>
        </is>
      </c>
      <c r="G34" t="inlineStr">
        <is>
          <t xml:space="preserve">mom, purse, drugs, pills</t>
        </is>
      </c>
      <c r="I34" t="inlineStr">
        <is>
          <t xml:space="preserve">MomsCoinPurse</t>
        </is>
      </c>
      <c r="J34" t="inlineStr">
        <is>
          <t xml:space="preserve">Loot</t>
        </is>
      </c>
    </row>
    <row r="35" spans="1:10">
      <c r="A35" t="inlineStr">
        <is>
          <t xml:space="preserve">Oddly Smooth Stone</t>
        </is>
      </c>
      <c r="B35" t="inlineStr">
        <is>
          <t xml:space="preserve">Common</t>
        </is>
      </c>
      <c r="C35" t="inlineStr">
        <is>
          <t xml:space="preserve">Status</t>
        </is>
      </c>
      <c r="D35" t="inlineStr">
        <is>
          <t xml:space="preserve">Gain +1 Dexterity</t>
        </is>
      </c>
      <c r="E35" t="inlineStr">
        <is>
          <t xml:space="preserve">item_acquired: apply_status dexterity 1</t>
        </is>
      </c>
      <c r="F35" t="inlineStr">
        <is>
          <t xml:space="preserve">Slay the Spire</t>
        </is>
      </c>
      <c r="G35" t="inlineStr">
        <is>
          <t xml:space="preserve">stone</t>
        </is>
      </c>
      <c r="I35" t="inlineStr">
        <is>
          <t xml:space="preserve">OddlySmoothStone</t>
        </is>
      </c>
      <c r="J35" t="inlineStr">
        <is>
          <t xml:space="preserve">Stats</t>
        </is>
      </c>
    </row>
    <row r="36" spans="1:10">
      <c r="A36" t="inlineStr">
        <is>
          <t xml:space="preserve">Old Coin</t>
        </is>
      </c>
      <c r="B36" t="inlineStr">
        <is>
          <t xml:space="preserve">Rare</t>
        </is>
      </c>
      <c r="C36" t="inlineStr">
        <is>
          <t xml:space="preserve">Pickup</t>
        </is>
      </c>
      <c r="D36" t="inlineStr">
        <is>
          <t xml:space="preserve">Gain +6 Gold</t>
        </is>
      </c>
      <c r="E36" t="inlineStr">
        <is>
          <t xml:space="preserve">item_acquired: gain_gold 6</t>
        </is>
      </c>
      <c r="F36" t="inlineStr">
        <is>
          <t xml:space="preserve">Slay the Spire</t>
        </is>
      </c>
      <c r="G36" t="inlineStr">
        <is>
          <t xml:space="preserve">coin</t>
        </is>
      </c>
      <c r="I36" t="inlineStr">
        <is>
          <t xml:space="preserve">OldCoin</t>
        </is>
      </c>
      <c r="J36" t="inlineStr">
        <is>
          <t xml:space="preserve">Economy</t>
        </is>
      </c>
    </row>
    <row r="37" spans="1:10">
      <c r="A37" t="inlineStr">
        <is>
          <t xml:space="preserve">Philosophers Stone</t>
        </is>
      </c>
      <c r="B37" t="inlineStr">
        <is>
          <t xml:space="preserve">Boss</t>
        </is>
      </c>
      <c r="C37" t="inlineStr">
        <is>
          <t xml:space="preserve">Passive</t>
        </is>
      </c>
      <c r="D37" t="inlineStr">
        <is>
          <t xml:space="preserve">Increase the Grid length by 1, but give all spawned enemies +1 Strength</t>
        </is>
      </c>
      <c r="E37" t="inlineStr">
        <is>
          <t xml:space="preserve">grid_length; spawn_status strength 1</t>
        </is>
      </c>
      <c r="F37" t="inlineStr">
        <is>
          <t xml:space="preserve">Slay the Spire</t>
        </is>
      </c>
      <c r="G37" t="inlineStr">
        <is>
          <t xml:space="preserve">stone</t>
        </is>
      </c>
      <c r="I37" t="inlineStr">
        <is>
          <t xml:space="preserve">PhilosophersStone</t>
        </is>
      </c>
      <c r="J37" t="inlineStr">
        <is>
          <t xml:space="preserve">Grid</t>
        </is>
      </c>
    </row>
    <row r="38" spans="1:10">
      <c r="A38" t="inlineStr">
        <is>
          <t xml:space="preserve">Piggy Bank</t>
        </is>
      </c>
      <c r="B38" t="inlineStr">
        <is>
          <t xml:space="preserve">Uncommon</t>
        </is>
      </c>
      <c r="C38" t="inlineStr">
        <is>
          <t xml:space="preserve">Passive</t>
        </is>
      </c>
      <c r="D38" t="inlineStr">
        <is>
          <t xml:space="preserve">Whenever you lose Health, Gain +1 Gold</t>
        </is>
      </c>
      <c r="E38" t="inlineStr">
        <is>
          <t xml:space="preserve">health_lost: gain_gold 1</t>
        </is>
      </c>
      <c r="F38" t="inlineStr">
        <is>
          <t xml:space="preserve">The Binding of Isaac: Rebirth</t>
        </is>
      </c>
      <c r="G38" t="inlineStr">
        <is>
          <t xml:space="preserve">pig, bank</t>
        </is>
      </c>
      <c r="H38" t="inlineStr">
        <is>
          <t xml:space="preserve">shop</t>
        </is>
      </c>
      <c r="I38" t="inlineStr">
        <is>
          <t xml:space="preserve">PiggyBank</t>
        </is>
      </c>
      <c r="J38" t="inlineStr">
        <is>
          <t xml:space="preserve">Economy</t>
        </is>
      </c>
    </row>
    <row r="39" spans="1:10">
      <c r="A39" t="inlineStr">
        <is>
          <t xml:space="preserve">Pummarola</t>
        </is>
      </c>
      <c r="B39" t="inlineStr">
        <is>
          <t xml:space="preserve">Uncommon</t>
        </is>
      </c>
      <c r="C39" t="inlineStr">
        <is>
          <t xml:space="preserve">Triggered</t>
        </is>
      </c>
      <c r="D39" t="inlineStr">
        <is>
          <t xml:space="preserve">After beating a game, Gain +1 Health</t>
        </is>
      </c>
      <c r="E39" t="inlineStr">
        <is>
          <t xml:space="preserve">game_beaten: gain_hp 1</t>
        </is>
      </c>
      <c r="F39" t="inlineStr">
        <is>
          <t xml:space="preserve">Vampire Survivors</t>
        </is>
      </c>
      <c r="G39" t="inlineStr">
        <is>
          <t xml:space="preserve">heart</t>
        </is>
      </c>
      <c r="I39" t="inlineStr">
        <is>
          <t xml:space="preserve">Pummarola</t>
        </is>
      </c>
      <c r="J39" t="inlineStr">
        <is>
          <t xml:space="preserve">Health</t>
        </is>
      </c>
    </row>
    <row r="40" spans="1:10">
      <c r="A40" t="inlineStr">
        <is>
          <t xml:space="preserve">Red Candle</t>
        </is>
      </c>
      <c r="B40" t="inlineStr">
        <is>
          <t xml:space="preserve">Common</t>
        </is>
      </c>
      <c r="C40" t="inlineStr">
        <is>
          <t xml:space="preserve">Charged, 1</t>
        </is>
      </c>
      <c r="D40" t="inlineStr">
        <is>
          <t xml:space="preserve">Apply the Fire Tile to any tile within the columns 2 and 3</t>
        </is>
      </c>
      <c r="E40" t="inlineStr">
        <is>
          <t xml:space="preserve">item_used: apply_tile fire target=tile cols=2-3</t>
        </is>
      </c>
      <c r="F40" t="inlineStr">
        <is>
          <t xml:space="preserve">The Binding of Isaac: Rebirth</t>
        </is>
      </c>
      <c r="G40" t="inlineStr">
        <is>
          <t xml:space="preserve">fire</t>
        </is>
      </c>
      <c r="H40" t="inlineStr">
        <is>
          <t xml:space="preserve">shop</t>
        </is>
      </c>
      <c r="I40" t="inlineStr">
        <is>
          <t xml:space="preserve">RedCandle</t>
        </is>
      </c>
      <c r="J40" t="inlineStr">
        <is>
          <t xml:space="preserve">Grid</t>
        </is>
      </c>
    </row>
    <row r="41" spans="1:10">
      <c r="A41" t="inlineStr">
        <is>
          <t xml:space="preserve">Reptile Trinket</t>
        </is>
      </c>
      <c r="B41" t="inlineStr">
        <is>
          <t xml:space="preserve">Uncommon</t>
        </is>
      </c>
      <c r="C41" t="inlineStr">
        <is>
          <t xml:space="preserve">Triggered</t>
        </is>
      </c>
      <c r="D41" t="inlineStr">
        <is>
          <t xml:space="preserve">Whenever you drink or throw a potion, Gain +3 Strength until the end of the next combat</t>
        </is>
      </c>
      <c r="E41" t="inlineStr">
        <is>
          <t xml:space="preserve">potion_used: apply_status strength 3 games=1</t>
        </is>
      </c>
      <c r="F41" t="inlineStr">
        <is>
          <t xml:space="preserve">Slay the Spire 2</t>
        </is>
      </c>
      <c r="I41" t="inlineStr">
        <is>
          <t xml:space="preserve">ReptileTrinket</t>
        </is>
      </c>
      <c r="J41" t="inlineStr">
        <is>
          <t xml:space="preserve">Loot, Stats</t>
        </is>
      </c>
    </row>
    <row r="42" spans="1:10">
      <c r="A42" t="inlineStr">
        <is>
          <t xml:space="preserve">Ride the Bus</t>
        </is>
      </c>
      <c r="B42" t="inlineStr">
        <is>
          <t xml:space="preserve">Uncommon</t>
        </is>
      </c>
      <c r="C42" t="inlineStr">
        <is>
          <t xml:space="preserve">Usable, 1</t>
        </is>
      </c>
      <c r="D42" t="inlineStr">
        <is>
          <t xml:space="preserve">Teleport to a random Deckbuilder Game</t>
        </is>
      </c>
      <c r="E42" t="inlineStr">
        <is>
          <t xml:space="preserve">item_used: teleport_type deckbuilder</t>
        </is>
      </c>
      <c r="F42" t="inlineStr">
        <is>
          <t xml:space="preserve">Balatro</t>
        </is>
      </c>
      <c r="G42" t="inlineStr">
        <is>
          <t xml:space="preserve">card</t>
        </is>
      </c>
      <c r="I42" t="inlineStr">
        <is>
          <t xml:space="preserve">RideTheBus</t>
        </is>
      </c>
      <c r="J42" t="inlineStr">
        <is>
          <t xml:space="preserve">Movement</t>
        </is>
      </c>
    </row>
    <row r="43" spans="1:10">
      <c r="A43" t="inlineStr">
        <is>
          <t xml:space="preserve">Ripple Basin</t>
        </is>
      </c>
      <c r="B43" t="inlineStr">
        <is>
          <t xml:space="preserve">Uncommon</t>
        </is>
      </c>
      <c r="C43" t="inlineStr">
        <is>
          <t xml:space="preserve">Triggered</t>
        </is>
      </c>
      <c r="D43" t="inlineStr">
        <is>
          <t xml:space="preserve">If you lose a run before completing any goals, Gain +1 Temporary Shield</t>
        </is>
      </c>
      <c r="E43" t="inlineStr">
        <is>
          <t xml:space="preserve">run_lost if_goals=0: gain_stat shields 1</t>
        </is>
      </c>
      <c r="F43" t="inlineStr">
        <is>
          <t xml:space="preserve">Slay the Spire 2</t>
        </is>
      </c>
      <c r="I43" t="inlineStr">
        <is>
          <t xml:space="preserve">RippleBasin</t>
        </is>
      </c>
      <c r="J43" t="inlineStr">
        <is>
          <t xml:space="preserve">Combat</t>
        </is>
      </c>
    </row>
    <row r="44" spans="1:10">
      <c r="A44" t="inlineStr">
        <is>
          <t xml:space="preserve">Runic Dome</t>
        </is>
      </c>
      <c r="B44" t="inlineStr">
        <is>
          <t xml:space="preserve">Boss</t>
        </is>
      </c>
      <c r="C44" t="inlineStr">
        <is>
          <t xml:space="preserve">Passive</t>
        </is>
      </c>
      <c r="D44" t="inlineStr">
        <is>
          <t xml:space="preserve">Increase the Grid length by 1, but you can no longer see enemies that will spawn</t>
        </is>
      </c>
      <c r="E44" t="inlineStr">
        <is>
          <t xml:space="preserve">grid_length; hide_spawns</t>
        </is>
      </c>
      <c r="F44" t="inlineStr">
        <is>
          <t xml:space="preserve">Slay the Spire</t>
        </is>
      </c>
      <c r="I44" t="inlineStr">
        <is>
          <t xml:space="preserve">RunicDome</t>
        </is>
      </c>
      <c r="J44" t="inlineStr">
        <is>
          <t xml:space="preserve">Grid</t>
        </is>
      </c>
    </row>
    <row r="45" spans="1:10">
      <c r="A45" t="inlineStr">
        <is>
          <t xml:space="preserve">Sacred Bark</t>
        </is>
      </c>
      <c r="B45" t="inlineStr">
        <is>
          <t xml:space="preserve">Boss</t>
        </is>
      </c>
      <c r="C45" t="inlineStr">
        <is>
          <t xml:space="preserve">Passive</t>
        </is>
      </c>
      <c r="D45" t="inlineStr">
        <is>
          <t xml:space="preserve">Double the effect of all Loot consumables (Scrolls, Potions, etc)</t>
        </is>
      </c>
      <c r="E45" t="inlineStr">
        <is>
          <t xml:space="preserve">loot_multiplier: 2</t>
        </is>
      </c>
      <c r="F45" t="inlineStr">
        <is>
          <t xml:space="preserve">Slay the Spire</t>
        </is>
      </c>
      <c r="G45" t="inlineStr">
        <is>
          <t xml:space="preserve">wood</t>
        </is>
      </c>
      <c r="I45" t="inlineStr">
        <is>
          <t xml:space="preserve">SacredBark</t>
        </is>
      </c>
      <c r="J45" t="inlineStr">
        <is>
          <t xml:space="preserve">Special</t>
        </is>
      </c>
    </row>
    <row r="46" spans="1:10">
      <c r="A46" t="inlineStr">
        <is>
          <t xml:space="preserve">Snowball</t>
        </is>
      </c>
      <c r="B46" t="inlineStr">
        <is>
          <t xml:space="preserve">Uncommon</t>
        </is>
      </c>
      <c r="C46" t="inlineStr">
        <is>
          <t xml:space="preserve">Triggered</t>
        </is>
      </c>
      <c r="D46" t="inlineStr">
        <is>
          <t xml:space="preserve">When you would Gain +1 Transmute, Gain +1 Transmute</t>
        </is>
      </c>
      <c r="E46" t="inlineStr">
        <is>
          <t xml:space="preserve">stat_gain_bonus: {transmute: 1}</t>
        </is>
      </c>
      <c r="F46" t="inlineStr">
        <is>
          <t xml:space="preserve">Brotato</t>
        </is>
      </c>
      <c r="G46" t="inlineStr">
        <is>
          <t xml:space="preserve">snow</t>
        </is>
      </c>
      <c r="I46" t="inlineStr">
        <is>
          <t xml:space="preserve">Snowball</t>
        </is>
      </c>
      <c r="J46" t="inlineStr">
        <is>
          <t xml:space="preserve">Stats</t>
        </is>
      </c>
    </row>
    <row r="47" spans="1:10">
      <c r="A47" t="inlineStr">
        <is>
          <t xml:space="preserve">Staff of Flame</t>
        </is>
      </c>
      <c r="B47" t="inlineStr">
        <is>
          <t xml:space="preserve">Rare</t>
        </is>
      </c>
      <c r="C47" t="inlineStr">
        <is>
          <t xml:space="preserve">Charged, 2</t>
        </is>
      </c>
      <c r="D47" t="inlineStr">
        <is>
          <t xml:space="preserve">Apply +3 Burn to a target enemy</t>
        </is>
      </c>
      <c r="E47" t="inlineStr">
        <is>
          <t xml:space="preserve">item_used: apply_status burn 3 target=enemy</t>
        </is>
      </c>
      <c r="F47" t="inlineStr">
        <is>
          <t xml:space="preserve">Mewgenics</t>
        </is>
      </c>
      <c r="G47" t="inlineStr">
        <is>
          <t xml:space="preserve">magic, fire</t>
        </is>
      </c>
      <c r="I47" t="inlineStr">
        <is>
          <t xml:space="preserve">StaffOfFlame</t>
        </is>
      </c>
      <c r="J47" t="inlineStr">
        <is>
          <t xml:space="preserve">Grid</t>
        </is>
      </c>
    </row>
    <row r="48" spans="1:10">
      <c r="A48" t="inlineStr">
        <is>
          <t xml:space="preserve">Sticky Bombs</t>
        </is>
      </c>
      <c r="B48" t="inlineStr">
        <is>
          <t xml:space="preserve">Uncommon</t>
        </is>
      </c>
      <c r="C48" t="inlineStr">
        <is>
          <t xml:space="preserve">Pickup, Triggered</t>
        </is>
      </c>
      <c r="D48" t="inlineStr">
        <is>
          <t xml:space="preserve">Gain +1 Bomb. When using a Bomb, Stun enemies on hit</t>
        </is>
      </c>
      <c r="E48" t="inlineStr">
        <is>
          <t xml:space="preserve">item_acquired: gain_stat bombs 1; bomb_stun</t>
        </is>
      </c>
      <c r="F48" t="inlineStr">
        <is>
          <t xml:space="preserve">The Binding of Isaac: Rebirth</t>
        </is>
      </c>
      <c r="G48" t="inlineStr">
        <is>
          <t xml:space="preserve">bomb, spider</t>
        </is>
      </c>
      <c r="I48" t="inlineStr">
        <is>
          <t xml:space="preserve">StickyBombs</t>
        </is>
      </c>
      <c r="J48" t="inlineStr">
        <is>
          <t xml:space="preserve">Bomb</t>
        </is>
      </c>
    </row>
    <row r="49" spans="1:10">
      <c r="A49" t="inlineStr">
        <is>
          <t xml:space="preserve">Stigmata</t>
        </is>
      </c>
      <c r="B49" t="inlineStr">
        <is>
          <t xml:space="preserve">Uncommon</t>
        </is>
      </c>
      <c r="C49" t="inlineStr">
        <is>
          <t xml:space="preserve">Pickup</t>
        </is>
      </c>
      <c r="D49" t="inlineStr">
        <is>
          <t xml:space="preserve">Gain +2 Max Health, Gain +2 Health, and +1 Bash</t>
        </is>
      </c>
      <c r="E49" t="inlineStr">
        <is>
          <t xml:space="preserve">item_acquired: gain_max_hp 2; gain_hp 2; gain_stat bash 1</t>
        </is>
      </c>
      <c r="F49" t="inlineStr">
        <is>
          <t xml:space="preserve">The Binding of Isaac</t>
        </is>
      </c>
      <c r="G49" t="inlineStr">
        <is>
          <t xml:space="preserve">wood</t>
        </is>
      </c>
      <c r="H49" t="inlineStr">
        <is>
          <t xml:space="preserve">angel_room</t>
        </is>
      </c>
      <c r="I49" t="inlineStr">
        <is>
          <t xml:space="preserve">Stigmata</t>
        </is>
      </c>
      <c r="J49" t="inlineStr">
        <is>
          <t xml:space="preserve">Health, Stats</t>
        </is>
      </c>
    </row>
    <row r="50" spans="1:10">
      <c r="A50" t="inlineStr">
        <is>
          <t xml:space="preserve">The Mark</t>
        </is>
      </c>
      <c r="B50" t="inlineStr">
        <is>
          <t xml:space="preserve">Uncommon</t>
        </is>
      </c>
      <c r="C50" t="inlineStr">
        <is>
          <t xml:space="preserve">Pickup, Passive</t>
        </is>
      </c>
      <c r="D50" t="inlineStr">
        <is>
          <t xml:space="preserve">Gain +1 Bash and +1 Speed</t>
        </is>
      </c>
      <c r="E50" t="inlineStr">
        <is>
          <t xml:space="preserve">item_acquired: gain_stat bash 1; apply_status speed 1</t>
        </is>
      </c>
      <c r="F50" t="inlineStr">
        <is>
          <t xml:space="preserve">The Binding of Isaac</t>
        </is>
      </c>
      <c r="G50" t="inlineStr">
        <is>
          <t xml:space="preserve">devilish</t>
        </is>
      </c>
      <c r="H50" t="inlineStr">
        <is>
          <t xml:space="preserve">devil_room</t>
        </is>
      </c>
      <c r="I50" t="inlineStr">
        <is>
          <t xml:space="preserve">TheMark</t>
        </is>
      </c>
      <c r="J50" t="inlineStr">
        <is>
          <t xml:space="preserve">Stats</t>
        </is>
      </c>
    </row>
    <row r="51" spans="1:10">
      <c r="A51" t="inlineStr">
        <is>
          <t xml:space="preserve">There's Options</t>
        </is>
      </c>
      <c r="B51" t="inlineStr">
        <is>
          <t xml:space="preserve">Uncommon</t>
        </is>
      </c>
      <c r="C51" t="inlineStr">
        <is>
          <t xml:space="preserve">Passive</t>
        </is>
      </c>
      <c r="D51" t="inlineStr">
        <is>
          <t xml:space="preserve">Increase the chest size dropped from bosses by 1</t>
        </is>
      </c>
      <c r="E51" t="inlineStr">
        <is>
          <t xml:space="preserve">boss_chest_bonus: 1</t>
        </is>
      </c>
      <c r="F51" t="inlineStr">
        <is>
          <t xml:space="preserve">The Binding of Isaac: Rebirth</t>
        </is>
      </c>
      <c r="H51" t="inlineStr">
        <is>
          <t xml:space="preserve">shop</t>
        </is>
      </c>
      <c r="I51" t="inlineStr">
        <is>
          <t xml:space="preserve">TheresOptions</t>
        </is>
      </c>
      <c r="J51" t="inlineStr">
        <is>
          <t xml:space="preserve">Stats</t>
        </is>
      </c>
    </row>
    <row r="52" spans="1:10">
      <c r="A52" t="inlineStr">
        <is>
          <t xml:space="preserve">Unstable Genome</t>
        </is>
      </c>
      <c r="B52" t="inlineStr">
        <is>
          <t xml:space="preserve">Uncommon</t>
        </is>
      </c>
      <c r="C52" t="inlineStr">
        <is>
          <t xml:space="preserve">Triggered</t>
        </is>
      </c>
      <c r="D52" t="inlineStr">
        <is>
          <t xml:space="preserve">When you beat a game, there's a 33% chance for this item to be destroyed and you may gain 1 of 3 random items</t>
        </is>
      </c>
      <c r="E52" t="inlineStr">
        <is>
          <t xml:space="preserve">game_beaten: 33% chance random_item_choice 3 destroy_self</t>
        </is>
      </c>
      <c r="F52" t="inlineStr">
        <is>
          <t xml:space="preserve">Caves of Qud</t>
        </is>
      </c>
      <c r="G52" t="inlineStr">
        <is>
          <t xml:space="preserve">mutation</t>
        </is>
      </c>
      <c r="I52" t="inlineStr">
        <is>
          <t xml:space="preserve">UnstableGenome</t>
        </is>
      </c>
      <c r="J52" t="inlineStr">
        <is>
          <t xml:space="preserve">Economy</t>
        </is>
      </c>
    </row>
    <row r="53" spans="1:10">
      <c r="A53" t="inlineStr">
        <is>
          <t xml:space="preserve">Vajra</t>
        </is>
      </c>
      <c r="B53" t="inlineStr">
        <is>
          <t xml:space="preserve">Common</t>
        </is>
      </c>
      <c r="C53" t="inlineStr">
        <is>
          <t xml:space="preserve">Status</t>
        </is>
      </c>
      <c r="D53" t="inlineStr">
        <is>
          <t xml:space="preserve">Gain +1 Strength</t>
        </is>
      </c>
      <c r="E53" t="inlineStr">
        <is>
          <t xml:space="preserve">item_acquired: apply_status strength 1</t>
        </is>
      </c>
      <c r="F53" t="inlineStr">
        <is>
          <t xml:space="preserve">Slay the Spire</t>
        </is>
      </c>
      <c r="I53" t="inlineStr">
        <is>
          <t xml:space="preserve">Vajra</t>
        </is>
      </c>
      <c r="J53" t="inlineStr">
        <is>
          <t xml:space="preserve">Stats</t>
        </is>
      </c>
    </row>
    <row r="54" spans="1:10">
      <c r="A54" t="inlineStr">
        <is>
          <t xml:space="preserve">Wand of Wishing</t>
        </is>
      </c>
      <c r="B54" t="inlineStr">
        <is>
          <t xml:space="preserve">Legendary</t>
        </is>
      </c>
      <c r="C54" t="inlineStr">
        <is>
          <t xml:space="preserve">Usable, 1</t>
        </is>
      </c>
      <c r="D54" t="inlineStr">
        <is>
          <t xml:space="preserve">Obtain any one item in the game</t>
        </is>
      </c>
      <c r="E54" t="inlineStr">
        <is>
          <t xml:space="preserve">item_used: obtain_item any</t>
        </is>
      </c>
      <c r="F54" t="inlineStr">
        <is>
          <t xml:space="preserve">NetHack</t>
        </is>
      </c>
      <c r="G54" t="inlineStr">
        <is>
          <t xml:space="preserve">wand</t>
        </is>
      </c>
      <c r="I54" t="inlineStr">
        <is>
          <t xml:space="preserve">WandOfWishing</t>
        </is>
      </c>
      <c r="J54" t="inlineStr">
        <is>
          <t xml:space="preserve">Economy</t>
        </is>
      </c>
    </row>
    <row r="55" spans="1:10">
      <c r="A55" t="inlineStr">
        <is>
          <t xml:space="preserve">White Beast Statue</t>
        </is>
      </c>
      <c r="B55" t="inlineStr">
        <is>
          <t xml:space="preserve">Uncommon</t>
        </is>
      </c>
      <c r="C55" t="inlineStr">
        <is>
          <t xml:space="preserve">Passive</t>
        </is>
      </c>
      <c r="D55" t="inlineStr">
        <is>
          <t xml:space="preserve">Gain +1 Potion at the end of combat</t>
        </is>
      </c>
      <c r="E55" t="inlineStr">
        <is>
          <t xml:space="preserve">game_beaten: gain_potion 1</t>
        </is>
      </c>
      <c r="F55" t="inlineStr">
        <is>
          <t xml:space="preserve">Slay the Spire</t>
        </is>
      </c>
      <c r="G55" t="inlineStr">
        <is>
          <t xml:space="preserve">statue</t>
        </is>
      </c>
      <c r="I55" t="inlineStr">
        <is>
          <t xml:space="preserve">WhiteBeastStatue</t>
        </is>
      </c>
      <c r="J55" t="inlineStr">
        <is>
          <t xml:space="preserve">Loot</t>
        </is>
      </c>
    </row>
    <row r="56" spans="1:10">
      <c r="A56" t="inlineStr">
        <is>
          <t xml:space="preserve">Wooden Nickel</t>
        </is>
      </c>
      <c r="B56" t="inlineStr">
        <is>
          <t xml:space="preserve">Common</t>
        </is>
      </c>
      <c r="C56" t="inlineStr">
        <is>
          <t xml:space="preserve">Charged, 1</t>
        </is>
      </c>
      <c r="D56" t="inlineStr">
        <is>
          <t xml:space="preserve">50% chance to Gain +1 Gold</t>
        </is>
      </c>
      <c r="E56" t="inlineStr">
        <is>
          <t xml:space="preserve">item_used: 50% chance gain_gold 1</t>
        </is>
      </c>
      <c r="F56" t="inlineStr">
        <is>
          <t xml:space="preserve">The Binding of Isaac: Rebirth</t>
        </is>
      </c>
      <c r="G56" t="inlineStr">
        <is>
          <t xml:space="preserve">wood, coin</t>
        </is>
      </c>
      <c r="I56" t="inlineStr">
        <is>
          <t xml:space="preserve">WoodenNickel</t>
        </is>
      </c>
      <c r="J56"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1"/>
  <sheetViews>
    <sheetView tabSelected="1"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3">
      <c r="A1" t="inlineStr">
        <is>
          <t xml:space="preserve">Name</t>
        </is>
      </c>
      <c r="B1" t="inlineStr">
        <is>
          <t xml:space="preserve">Type</t>
        </is>
      </c>
      <c r="C1" t="inlineStr">
        <is>
          <t xml:space="preserve">Difficulty</t>
        </is>
      </c>
      <c r="D1" t="inlineStr">
        <is>
          <t xml:space="preserve">Size</t>
        </is>
      </c>
      <c r="E1" t="inlineStr">
        <is>
          <t xml:space="preserve">Game</t>
        </is>
      </c>
      <c r="F1" t="inlineStr">
        <is>
          <t xml:space="preserve">Health</t>
        </is>
      </c>
      <c r="G1" t="inlineStr">
        <is>
          <t xml:space="preserve">Damage</t>
        </is>
      </c>
      <c r="H1" t="inlineStr">
        <is>
          <t xml:space="preserve">Goal Type</t>
        </is>
      </c>
      <c r="I1" t="inlineStr">
        <is>
          <t xml:space="preserve">Goal</t>
        </is>
      </c>
      <c r="J1" t="inlineStr">
        <is>
          <t xml:space="preserve">Ability</t>
        </is>
      </c>
      <c r="K1" t="inlineStr">
        <is>
          <t xml:space="preserve">File</t>
        </is>
      </c>
      <c r="L1" t="inlineStr">
        <is>
          <t xml:space="preserve">Tag</t>
        </is>
      </c>
    </row>
    <row r="2" spans="1:13">
      <c r="A2" t="inlineStr">
        <is>
          <t xml:space="preserve">Attack Fly</t>
        </is>
      </c>
      <c r="B2" t="inlineStr">
        <is>
          <t xml:space="preserve">Action</t>
        </is>
      </c>
      <c r="C2" t="inlineStr">
        <is>
          <t xml:space="preserve">1-Low</t>
        </is>
      </c>
      <c r="D2" t="inlineStr">
        <is>
          <t xml:space="preserve">1x1</t>
        </is>
      </c>
      <c r="E2" t="inlineStr">
        <is>
          <t xml:space="preserve">The Binding of Isaac</t>
        </is>
      </c>
      <c r="F2">
        <v>1</v>
      </c>
      <c r="G2">
        <v>1</v>
      </c>
      <c r="H2" t="inlineStr">
        <is>
          <t xml:space="preserve">Bounty</t>
        </is>
      </c>
      <c r="I2" t="inlineStr">
        <is>
          <t xml:space="preserve">Defeat 10+ bugs</t>
        </is>
      </c>
      <c r="J2" t="inlineStr">
        <is>
          <t xml:space="preserve">N/A</t>
        </is>
      </c>
      <c r="K2" t="inlineStr">
        <is>
          <t xml:space="preserve">AttackFly</t>
        </is>
      </c>
      <c r="L2" t="inlineStr">
        <is>
          <t xml:space="preserve">bug, fly</t>
        </is>
      </c>
    </row>
    <row r="3" spans="1:13">
      <c r="A3" t="inlineStr">
        <is>
          <t xml:space="preserve">Baby Alien</t>
        </is>
      </c>
      <c r="B3" t="inlineStr">
        <is>
          <t xml:space="preserve">Action</t>
        </is>
      </c>
      <c r="C3" t="inlineStr">
        <is>
          <t xml:space="preserve">1-Low</t>
        </is>
      </c>
      <c r="D3" t="inlineStr">
        <is>
          <t xml:space="preserve">1x1</t>
        </is>
      </c>
      <c r="E3" t="inlineStr">
        <is>
          <t xml:space="preserve">Brotato</t>
        </is>
      </c>
      <c r="F3">
        <v>1</v>
      </c>
      <c r="G3">
        <v>1</v>
      </c>
      <c r="H3" t="inlineStr">
        <is>
          <t xml:space="preserve">Bounty</t>
        </is>
      </c>
      <c r="I3" t="inlineStr">
        <is>
          <t xml:space="preserve">Defeat an enemy that is an alien</t>
        </is>
      </c>
      <c r="J3" t="inlineStr">
        <is>
          <t xml:space="preserve">N/A</t>
        </is>
      </c>
      <c r="K3" t="inlineStr">
        <is>
          <t xml:space="preserve">BabyAlien</t>
        </is>
      </c>
      <c r="L3" t="inlineStr">
        <is>
          <t xml:space="preserve">alien</t>
        </is>
      </c>
    </row>
    <row r="4" spans="1:13">
      <c r="A4" t="inlineStr">
        <is>
          <t xml:space="preserve">Doomvas</t>
        </is>
      </c>
      <c r="B4" t="inlineStr">
        <is>
          <t xml:space="preserve">Action</t>
        </is>
      </c>
      <c r="C4" t="inlineStr">
        <is>
          <t xml:space="preserve">1-Low</t>
        </is>
      </c>
      <c r="D4" t="inlineStr">
        <is>
          <t xml:space="preserve">1x1</t>
        </is>
      </c>
      <c r="E4" t="inlineStr">
        <is>
          <t xml:space="preserve">Rogue Legacy</t>
        </is>
      </c>
      <c r="F4">
        <v>1</v>
      </c>
      <c r="G4">
        <v>1</v>
      </c>
      <c r="H4" t="inlineStr">
        <is>
          <t xml:space="preserve">Feat</t>
        </is>
      </c>
      <c r="I4" t="inlineStr">
        <is>
          <t xml:space="preserve">Destroy a painting</t>
        </is>
      </c>
      <c r="J4" t="inlineStr">
        <is>
          <t xml:space="preserve">N/A</t>
        </is>
      </c>
      <c r="K4" t="inlineStr">
        <is>
          <t xml:space="preserve">Doomvas</t>
        </is>
      </c>
      <c r="L4" t="inlineStr">
        <is>
          <t xml:space="preserve">art</t>
        </is>
      </c>
    </row>
    <row r="5" spans="1:13">
      <c r="A5" t="inlineStr">
        <is>
          <t xml:space="preserve">Flaming Fatty</t>
        </is>
      </c>
      <c r="B5" t="inlineStr">
        <is>
          <t xml:space="preserve">Action</t>
        </is>
      </c>
      <c r="C5" t="inlineStr">
        <is>
          <t xml:space="preserve">1-Low</t>
        </is>
      </c>
      <c r="D5" t="inlineStr">
        <is>
          <t xml:space="preserve">1x1</t>
        </is>
      </c>
      <c r="E5" t="inlineStr">
        <is>
          <t xml:space="preserve">The Binding of Isaac: Rebirth</t>
        </is>
      </c>
      <c r="F5">
        <v>1</v>
      </c>
      <c r="G5">
        <v>1</v>
      </c>
      <c r="H5" t="inlineStr">
        <is>
          <t xml:space="preserve">Feat</t>
        </is>
      </c>
      <c r="I5" t="inlineStr">
        <is>
          <t xml:space="preserve">Push an enemy into fire</t>
        </is>
      </c>
      <c r="J5" t="inlineStr">
        <is>
          <t xml:space="preserve">Aftermath (Fire)</t>
        </is>
      </c>
      <c r="K5" t="inlineStr">
        <is>
          <t xml:space="preserve">FlamingFatty</t>
        </is>
      </c>
      <c r="L5" t="inlineStr">
        <is>
          <t xml:space="preserve">fire</t>
        </is>
      </c>
    </row>
    <row r="6" spans="1:13">
      <c r="A6" t="inlineStr">
        <is>
          <t xml:space="preserve">Keybullet Kin</t>
        </is>
      </c>
      <c r="B6" t="inlineStr">
        <is>
          <t xml:space="preserve">Action</t>
        </is>
      </c>
      <c r="C6" t="inlineStr">
        <is>
          <t xml:space="preserve">1-Low</t>
        </is>
      </c>
      <c r="D6" t="inlineStr">
        <is>
          <t xml:space="preserve">1x1</t>
        </is>
      </c>
      <c r="E6" t="inlineStr">
        <is>
          <t xml:space="preserve">Enter the Gungeon</t>
        </is>
      </c>
      <c r="F6">
        <v>1</v>
      </c>
      <c r="G6">
        <v>1</v>
      </c>
      <c r="H6" t="inlineStr">
        <is>
          <t xml:space="preserve">Fetch</t>
        </is>
      </c>
      <c r="I6" t="inlineStr">
        <is>
          <t xml:space="preserve">Obtain 1 key</t>
        </is>
      </c>
      <c r="J6" t="inlineStr">
        <is>
          <t xml:space="preserve">N/A</t>
        </is>
      </c>
      <c r="K6" t="inlineStr">
        <is>
          <t xml:space="preserve">KeybulletKin</t>
        </is>
      </c>
    </row>
    <row r="7" spans="1:13">
      <c r="A7" t="inlineStr">
        <is>
          <t xml:space="preserve">Lil Dave</t>
        </is>
      </c>
      <c r="B7" t="inlineStr">
        <is>
          <t xml:space="preserve">Action</t>
        </is>
      </c>
      <c r="C7" t="inlineStr">
        <is>
          <t xml:space="preserve">1-Low</t>
        </is>
      </c>
      <c r="D7" t="inlineStr">
        <is>
          <t xml:space="preserve">1x1</t>
        </is>
      </c>
      <c r="E7" t="inlineStr">
        <is>
          <t xml:space="preserve">Muck</t>
        </is>
      </c>
      <c r="F7">
        <v>1</v>
      </c>
      <c r="G7">
        <v>1</v>
      </c>
      <c r="H7" t="inlineStr">
        <is>
          <t xml:space="preserve">Feat</t>
        </is>
      </c>
      <c r="I7" t="inlineStr">
        <is>
          <t xml:space="preserve">Destroy a wooden structure</t>
        </is>
      </c>
      <c r="J7" t="inlineStr">
        <is>
          <t xml:space="preserve">N/A</t>
        </is>
      </c>
      <c r="K7" t="inlineStr">
        <is>
          <t xml:space="preserve">LilDave</t>
        </is>
      </c>
    </row>
    <row r="8" spans="1:13">
      <c r="A8" t="inlineStr">
        <is>
          <t xml:space="preserve">Numbskull</t>
        </is>
      </c>
      <c r="B8" t="inlineStr">
        <is>
          <t xml:space="preserve">Action</t>
        </is>
      </c>
      <c r="C8" t="inlineStr">
        <is>
          <t xml:space="preserve">1-Low</t>
        </is>
      </c>
      <c r="D8" t="inlineStr">
        <is>
          <t xml:space="preserve">1x1</t>
        </is>
      </c>
      <c r="E8" t="inlineStr">
        <is>
          <t xml:space="preserve">Hades</t>
        </is>
      </c>
      <c r="F8">
        <v>1</v>
      </c>
      <c r="G8">
        <v>1</v>
      </c>
      <c r="H8" t="inlineStr">
        <is>
          <t xml:space="preserve">Bounty</t>
        </is>
      </c>
      <c r="I8" t="inlineStr">
        <is>
          <t xml:space="preserve">Defeat an animated body part</t>
        </is>
      </c>
      <c r="J8" t="inlineStr">
        <is>
          <t xml:space="preserve">N/A</t>
        </is>
      </c>
      <c r="K8" t="inlineStr">
        <is>
          <t xml:space="preserve">Numbskull</t>
        </is>
      </c>
      <c r="L8" t="inlineStr">
        <is>
          <t xml:space="preserve">undead, skeleton</t>
        </is>
      </c>
    </row>
    <row r="9" spans="1:13">
      <c r="A9" t="inlineStr">
        <is>
          <t xml:space="preserve">Psychic Horf</t>
        </is>
      </c>
      <c r="B9" t="inlineStr">
        <is>
          <t xml:space="preserve">Action</t>
        </is>
      </c>
      <c r="C9" t="inlineStr">
        <is>
          <t xml:space="preserve">1-Low</t>
        </is>
      </c>
      <c r="D9" t="inlineStr">
        <is>
          <t xml:space="preserve">1x1</t>
        </is>
      </c>
      <c r="E9" t="inlineStr">
        <is>
          <t xml:space="preserve">The Binding of Isaac: Rebirth</t>
        </is>
      </c>
      <c r="F9">
        <v>1</v>
      </c>
      <c r="G9">
        <v>1</v>
      </c>
      <c r="H9" t="inlineStr">
        <is>
          <t xml:space="preserve">Feat</t>
        </is>
      </c>
      <c r="I9" t="inlineStr">
        <is>
          <t xml:space="preserve">Use a homing attack</t>
        </is>
      </c>
      <c r="J9" t="inlineStr">
        <is>
          <t xml:space="preserve">Ranged (N/A)</t>
        </is>
      </c>
      <c r="K9" t="inlineStr">
        <is>
          <t xml:space="preserve">PsychicHorf</t>
        </is>
      </c>
    </row>
    <row r="10" spans="1:13">
      <c r="A10" t="inlineStr">
        <is>
          <t xml:space="preserve">Skeleton Warrior</t>
        </is>
      </c>
      <c r="B10" t="inlineStr">
        <is>
          <t xml:space="preserve">Action</t>
        </is>
      </c>
      <c r="C10" t="inlineStr">
        <is>
          <t xml:space="preserve">1-Low</t>
        </is>
      </c>
      <c r="D10" t="inlineStr">
        <is>
          <t xml:space="preserve">1x1</t>
        </is>
      </c>
      <c r="E10" t="inlineStr">
        <is>
          <t xml:space="preserve">Ball x Pit</t>
        </is>
      </c>
      <c r="F10">
        <v>1</v>
      </c>
      <c r="G10">
        <v>1</v>
      </c>
      <c r="H10" t="inlineStr">
        <is>
          <t xml:space="preserve">Bounty</t>
        </is>
      </c>
      <c r="I10" t="inlineStr">
        <is>
          <t xml:space="preserve">Defeat a skeleton with a ball</t>
        </is>
      </c>
      <c r="J10" t="inlineStr">
        <is>
          <t xml:space="preserve">N/A</t>
        </is>
      </c>
      <c r="K10" t="inlineStr">
        <is>
          <t xml:space="preserve">SkeletonWarrior</t>
        </is>
      </c>
      <c r="L10" t="inlineStr">
        <is>
          <t xml:space="preserve">undead, skeleton</t>
        </is>
      </c>
    </row>
    <row r="11" spans="1:13">
      <c r="A11" t="inlineStr">
        <is>
          <t xml:space="preserve">Spider</t>
        </is>
      </c>
      <c r="B11" t="inlineStr">
        <is>
          <t xml:space="preserve">Action</t>
        </is>
      </c>
      <c r="C11" t="inlineStr">
        <is>
          <t xml:space="preserve">1-Low</t>
        </is>
      </c>
      <c r="D11" t="inlineStr">
        <is>
          <t xml:space="preserve">1x1</t>
        </is>
      </c>
      <c r="E11" t="inlineStr">
        <is>
          <t xml:space="preserve">The Binding of Isaac</t>
        </is>
      </c>
      <c r="F11">
        <v>1</v>
      </c>
      <c r="G11">
        <v>1</v>
      </c>
      <c r="H11" t="inlineStr">
        <is>
          <t xml:space="preserve">Bounty</t>
        </is>
      </c>
      <c r="I11" t="inlineStr">
        <is>
          <t xml:space="preserve">Defeat 10+ spiders</t>
        </is>
      </c>
      <c r="J11" t="inlineStr">
        <is>
          <t xml:space="preserve">N/A</t>
        </is>
      </c>
      <c r="K11" t="inlineStr">
        <is>
          <t xml:space="preserve">Spider</t>
        </is>
      </c>
      <c r="L11" t="inlineStr">
        <is>
          <t xml:space="preserve">bug, spider</t>
        </is>
      </c>
    </row>
    <row r="12" spans="1:13">
      <c r="A12" t="inlineStr">
        <is>
          <t xml:space="preserve">Wisp</t>
        </is>
      </c>
      <c r="B12" t="inlineStr">
        <is>
          <t xml:space="preserve">Action</t>
        </is>
      </c>
      <c r="C12" t="inlineStr">
        <is>
          <t xml:space="preserve">1-Low</t>
        </is>
      </c>
      <c r="D12" t="inlineStr">
        <is>
          <t xml:space="preserve">1x1</t>
        </is>
      </c>
      <c r="E12" t="inlineStr">
        <is>
          <t xml:space="preserve">Risk of Rain</t>
        </is>
      </c>
      <c r="F12">
        <v>1</v>
      </c>
      <c r="G12">
        <v>1</v>
      </c>
      <c r="H12" t="inlineStr">
        <is>
          <t xml:space="preserve">Bounty</t>
        </is>
      </c>
      <c r="I12" t="inlineStr">
        <is>
          <t xml:space="preserve">Defeat an enemy made of fire</t>
        </is>
      </c>
      <c r="J12" t="inlineStr">
        <is>
          <t xml:space="preserve">N/A</t>
        </is>
      </c>
      <c r="K12" t="inlineStr">
        <is>
          <t xml:space="preserve">Wisp</t>
        </is>
      </c>
      <c r="L12" t="inlineStr">
        <is>
          <t xml:space="preserve">fire</t>
        </is>
      </c>
    </row>
    <row r="13" spans="1:13">
      <c r="A13" t="inlineStr">
        <is>
          <t xml:space="preserve">Wringer</t>
        </is>
      </c>
      <c r="B13" t="inlineStr">
        <is>
          <t xml:space="preserve">Action</t>
        </is>
      </c>
      <c r="C13" t="inlineStr">
        <is>
          <t xml:space="preserve">1-Low</t>
        </is>
      </c>
      <c r="D13" t="inlineStr">
        <is>
          <t xml:space="preserve">1x1</t>
        </is>
      </c>
      <c r="E13" t="inlineStr">
        <is>
          <t xml:space="preserve">Hades</t>
        </is>
      </c>
      <c r="F13">
        <v>1</v>
      </c>
      <c r="G13">
        <v>1</v>
      </c>
      <c r="H13" t="inlineStr">
        <is>
          <t xml:space="preserve">Feat</t>
        </is>
      </c>
      <c r="I13" t="inlineStr">
        <is>
          <t xml:space="preserve">Grab an enemy</t>
        </is>
      </c>
      <c r="J13" t="inlineStr">
        <is>
          <t xml:space="preserve">N/A</t>
        </is>
      </c>
      <c r="K13" t="inlineStr">
        <is>
          <t xml:space="preserve">Wringer</t>
        </is>
      </c>
      <c r="L13" t="inlineStr">
        <is>
          <t xml:space="preserve">undead</t>
        </is>
      </c>
    </row>
    <row r="14" spans="1:13">
      <c r="A14" t="inlineStr">
        <is>
          <t xml:space="preserve">Bony</t>
        </is>
      </c>
      <c r="B14" t="inlineStr">
        <is>
          <t xml:space="preserve">Action</t>
        </is>
      </c>
      <c r="C14" t="inlineStr">
        <is>
          <t xml:space="preserve">2-Medium</t>
        </is>
      </c>
      <c r="D14" t="inlineStr">
        <is>
          <t xml:space="preserve">1x1</t>
        </is>
      </c>
      <c r="E14" t="inlineStr">
        <is>
          <t xml:space="preserve">The Binding of Isaac: Rebirth</t>
        </is>
      </c>
      <c r="F14">
        <v>1</v>
      </c>
      <c r="G14">
        <v>2</v>
      </c>
      <c r="H14" t="inlineStr">
        <is>
          <t xml:space="preserve">Bounty</t>
        </is>
      </c>
      <c r="I14" t="inlineStr">
        <is>
          <t xml:space="preserve">Defeat 10+ skeletons</t>
        </is>
      </c>
      <c r="J14" t="inlineStr">
        <is>
          <t xml:space="preserve">Ranged (3)</t>
        </is>
      </c>
      <c r="K14" t="inlineStr">
        <is>
          <t xml:space="preserve">Bony</t>
        </is>
      </c>
      <c r="L14" t="inlineStr">
        <is>
          <t xml:space="preserve">undead, skeleton</t>
        </is>
      </c>
    </row>
    <row r="15" spans="1:13">
      <c r="A15" t="inlineStr">
        <is>
          <t xml:space="preserve">Child</t>
        </is>
      </c>
      <c r="B15" t="inlineStr">
        <is>
          <t xml:space="preserve">Action</t>
        </is>
      </c>
      <c r="C15" t="inlineStr">
        <is>
          <t xml:space="preserve">2-Medium</t>
        </is>
      </c>
      <c r="D15" t="inlineStr">
        <is>
          <t xml:space="preserve">1x1</t>
        </is>
      </c>
      <c r="E15" t="inlineStr">
        <is>
          <t xml:space="preserve">Risk of Rain</t>
        </is>
      </c>
      <c r="F15">
        <v>1</v>
      </c>
      <c r="G15">
        <v>2</v>
      </c>
      <c r="H15" t="inlineStr">
        <is>
          <t xml:space="preserve">Bounty</t>
        </is>
      </c>
      <c r="I15" t="inlineStr">
        <is>
          <t xml:space="preserve">Defeat a child</t>
        </is>
      </c>
      <c r="J15" t="inlineStr">
        <is>
          <t xml:space="preserve">N/A</t>
        </is>
      </c>
      <c r="K15" t="inlineStr">
        <is>
          <t xml:space="preserve">Child</t>
        </is>
      </c>
      <c r="L15" t="inlineStr">
        <is>
          <t xml:space="preserve">alien</t>
        </is>
      </c>
    </row>
    <row r="16" spans="1:13">
      <c r="A16" t="inlineStr">
        <is>
          <t xml:space="preserve">Coal Spider</t>
        </is>
      </c>
      <c r="B16" t="inlineStr">
        <is>
          <t xml:space="preserve">Action</t>
        </is>
      </c>
      <c r="C16" t="inlineStr">
        <is>
          <t xml:space="preserve">2-Medium</t>
        </is>
      </c>
      <c r="D16" t="inlineStr">
        <is>
          <t xml:space="preserve">1x1</t>
        </is>
      </c>
      <c r="E16" t="inlineStr">
        <is>
          <t xml:space="preserve">The Binding of Isaac: Rebirth</t>
        </is>
      </c>
      <c r="F16">
        <v>1</v>
      </c>
      <c r="G16">
        <v>2</v>
      </c>
      <c r="H16" t="inlineStr">
        <is>
          <t xml:space="preserve">Feat</t>
        </is>
      </c>
      <c r="I16" t="inlineStr">
        <is>
          <t xml:space="preserve">Set a rock on fire</t>
        </is>
      </c>
      <c r="J16" t="inlineStr">
        <is>
          <t xml:space="preserve">N/A</t>
        </is>
      </c>
      <c r="K16" t="inlineStr">
        <is>
          <t xml:space="preserve">CoalSpider</t>
        </is>
      </c>
      <c r="L16" t="inlineStr">
        <is>
          <t xml:space="preserve">spider, rock, fire</t>
        </is>
      </c>
    </row>
    <row r="17" spans="1:13">
      <c r="A17" t="inlineStr">
        <is>
          <t xml:space="preserve">Flaming Hopper</t>
        </is>
      </c>
      <c r="B17" t="inlineStr">
        <is>
          <t xml:space="preserve">Action</t>
        </is>
      </c>
      <c r="C17" t="inlineStr">
        <is>
          <t xml:space="preserve">2-Medium</t>
        </is>
      </c>
      <c r="D17" t="inlineStr">
        <is>
          <t xml:space="preserve">1x1</t>
        </is>
      </c>
      <c r="E17" t="inlineStr">
        <is>
          <t xml:space="preserve">The Binding of Isaac</t>
        </is>
      </c>
      <c r="F17">
        <v>1</v>
      </c>
      <c r="G17">
        <v>2</v>
      </c>
      <c r="H17" t="inlineStr">
        <is>
          <t xml:space="preserve">Bounty</t>
        </is>
      </c>
      <c r="I17" t="inlineStr">
        <is>
          <t xml:space="preserve">Defeat an enemy while on fire</t>
        </is>
      </c>
      <c r="J17" t="inlineStr">
        <is>
          <t xml:space="preserve">Infliction (2, Burn)</t>
        </is>
      </c>
      <c r="K17" t="inlineStr">
        <is>
          <t xml:space="preserve">FlamingHopper</t>
        </is>
      </c>
      <c r="L17" t="inlineStr">
        <is>
          <t xml:space="preserve">fire</t>
        </is>
      </c>
    </row>
    <row r="18" spans="1:13">
      <c r="A18" t="inlineStr">
        <is>
          <t xml:space="preserve">Skeletal Brute</t>
        </is>
      </c>
      <c r="B18" t="inlineStr">
        <is>
          <t xml:space="preserve">Action</t>
        </is>
      </c>
      <c r="C18" t="inlineStr">
        <is>
          <t xml:space="preserve">2-Medium</t>
        </is>
      </c>
      <c r="D18" t="inlineStr">
        <is>
          <t xml:space="preserve">1x2</t>
        </is>
      </c>
      <c r="E18" t="inlineStr">
        <is>
          <t xml:space="preserve">Ball x Pit</t>
        </is>
      </c>
      <c r="F18">
        <v>1</v>
      </c>
      <c r="G18">
        <v>2</v>
      </c>
      <c r="H18" t="inlineStr">
        <is>
          <t xml:space="preserve">Bounty</t>
        </is>
      </c>
      <c r="I18" t="inlineStr">
        <is>
          <t xml:space="preserve">Defeat a skeleton with a ball</t>
        </is>
      </c>
      <c r="J18" t="inlineStr">
        <is>
          <t xml:space="preserve">N/A</t>
        </is>
      </c>
      <c r="K18" t="inlineStr">
        <is>
          <t xml:space="preserve">SkeletalBrute</t>
        </is>
      </c>
      <c r="L18" t="inlineStr">
        <is>
          <t xml:space="preserve">undead, skeleton</t>
        </is>
      </c>
    </row>
    <row r="19" spans="1:13">
      <c r="A19" t="inlineStr">
        <is>
          <t xml:space="preserve">Bishop</t>
        </is>
      </c>
      <c r="B19" t="inlineStr">
        <is>
          <t xml:space="preserve">Action</t>
        </is>
      </c>
      <c r="C19" t="inlineStr">
        <is>
          <t xml:space="preserve">3-High</t>
        </is>
      </c>
      <c r="D19" t="inlineStr">
        <is>
          <t xml:space="preserve">1x1</t>
        </is>
      </c>
      <c r="E19" t="inlineStr">
        <is>
          <t xml:space="preserve">The Binding of Isaac: Rebirth</t>
        </is>
      </c>
      <c r="F19">
        <v>1</v>
      </c>
      <c r="G19">
        <v>3</v>
      </c>
      <c r="H19" t="inlineStr">
        <is>
          <t xml:space="preserve">Feat</t>
        </is>
      </c>
      <c r="I19" t="inlineStr">
        <is>
          <t xml:space="preserve">Block damage done to a friendly unit</t>
        </is>
      </c>
      <c r="J19" t="inlineStr">
        <is>
          <t xml:space="preserve">Bolster (1, Dexterity)</t>
        </is>
      </c>
      <c r="K19" t="inlineStr">
        <is>
          <t xml:space="preserve">Bishop</t>
        </is>
      </c>
    </row>
    <row r="20" spans="1:13">
      <c r="A20" t="inlineStr">
        <is>
          <t xml:space="preserve">Gigantic Vermin</t>
        </is>
      </c>
      <c r="B20" t="inlineStr">
        <is>
          <t xml:space="preserve">Action</t>
        </is>
      </c>
      <c r="C20" t="inlineStr">
        <is>
          <t xml:space="preserve">3-High</t>
        </is>
      </c>
      <c r="D20" t="inlineStr">
        <is>
          <t xml:space="preserve">2x2</t>
        </is>
      </c>
      <c r="E20" t="inlineStr">
        <is>
          <t xml:space="preserve">Hades</t>
        </is>
      </c>
      <c r="F20">
        <v>1</v>
      </c>
      <c r="G20">
        <v>3</v>
      </c>
      <c r="H20" t="inlineStr">
        <is>
          <t xml:space="preserve">Bounty</t>
        </is>
      </c>
      <c r="I20" t="inlineStr">
        <is>
          <t xml:space="preserve">Defeat a large rodent</t>
        </is>
      </c>
      <c r="J20" t="inlineStr">
        <is>
          <t xml:space="preserve">N/A</t>
        </is>
      </c>
      <c r="K20" t="inlineStr">
        <is>
          <t xml:space="preserve">GiganticVermin</t>
        </is>
      </c>
      <c r="L20" t="inlineStr">
        <is>
          <t xml:space="preserve">rodent, rat</t>
        </is>
      </c>
    </row>
    <row r="21" spans="1:13">
      <c r="A21" t="inlineStr">
        <is>
          <t xml:space="preserve">Nemean Chariot</t>
        </is>
      </c>
      <c r="B21" t="inlineStr">
        <is>
          <t xml:space="preserve">Action</t>
        </is>
      </c>
      <c r="C21" t="inlineStr">
        <is>
          <t xml:space="preserve">3-High</t>
        </is>
      </c>
      <c r="D21" t="inlineStr">
        <is>
          <t xml:space="preserve">1x1</t>
        </is>
      </c>
      <c r="E21" t="inlineStr">
        <is>
          <t xml:space="preserve">Hades</t>
        </is>
      </c>
      <c r="F21">
        <v>1</v>
      </c>
      <c r="G21">
        <v>3</v>
      </c>
      <c r="H21" t="inlineStr">
        <is>
          <t xml:space="preserve">Feat</t>
        </is>
      </c>
      <c r="I21" t="inlineStr">
        <is>
          <t xml:space="preserve">Hit an enemy with a vehicle</t>
        </is>
      </c>
      <c r="J21" t="inlineStr">
        <is>
          <t xml:space="preserve">Haste (1)</t>
        </is>
      </c>
      <c r="K21" t="inlineStr">
        <is>
          <t xml:space="preserve">NemeanChariot</t>
        </is>
      </c>
    </row>
    <row r="22" spans="1:13">
      <c r="A22" t="inlineStr">
        <is>
          <t xml:space="preserve">Skeletal Bastion</t>
        </is>
      </c>
      <c r="B22" t="inlineStr">
        <is>
          <t xml:space="preserve">Action</t>
        </is>
      </c>
      <c r="C22" t="inlineStr">
        <is>
          <t xml:space="preserve">3-High</t>
        </is>
      </c>
      <c r="D22" t="inlineStr">
        <is>
          <t xml:space="preserve">2x3 L 90 CC</t>
        </is>
      </c>
      <c r="E22" t="inlineStr">
        <is>
          <t xml:space="preserve">Ball x Pit</t>
        </is>
      </c>
      <c r="F22">
        <v>1</v>
      </c>
      <c r="G22">
        <v>3</v>
      </c>
      <c r="H22" t="inlineStr">
        <is>
          <t xml:space="preserve">Bounty</t>
        </is>
      </c>
      <c r="I22" t="inlineStr">
        <is>
          <t xml:space="preserve">Defeat a skeleton with a ball</t>
        </is>
      </c>
      <c r="J22" t="inlineStr">
        <is>
          <t xml:space="preserve">N/A</t>
        </is>
      </c>
      <c r="K22" t="inlineStr">
        <is>
          <t xml:space="preserve">SkeletalBastion</t>
        </is>
      </c>
      <c r="L22" t="inlineStr">
        <is>
          <t xml:space="preserve">undead, skeleton</t>
        </is>
      </c>
    </row>
    <row r="23" spans="1:13">
      <c r="A23" t="inlineStr">
        <is>
          <t xml:space="preserve">Cultist</t>
        </is>
      </c>
      <c r="B23" t="inlineStr">
        <is>
          <t xml:space="preserve">Deckbuilder</t>
        </is>
      </c>
      <c r="C23" t="inlineStr">
        <is>
          <t xml:space="preserve">1-Low</t>
        </is>
      </c>
      <c r="D23" t="inlineStr">
        <is>
          <t xml:space="preserve">1x1</t>
        </is>
      </c>
      <c r="E23" t="inlineStr">
        <is>
          <t xml:space="preserve">Slay the Spire</t>
        </is>
      </c>
      <c r="F23">
        <v>1</v>
      </c>
      <c r="G23">
        <v>1</v>
      </c>
      <c r="H23" t="inlineStr">
        <is>
          <t xml:space="preserve">Feat</t>
        </is>
      </c>
      <c r="I23" t="inlineStr">
        <is>
          <t xml:space="preserve">Perform a religious act</t>
        </is>
      </c>
      <c r="J23" t="inlineStr">
        <is>
          <t xml:space="preserve">Ritual</t>
        </is>
      </c>
      <c r="K23" t="inlineStr">
        <is>
          <t xml:space="preserve">Cultist</t>
        </is>
      </c>
    </row>
    <row r="24" spans="1:13">
      <c r="A24" t="inlineStr">
        <is>
          <t xml:space="preserve">Fungi Beast</t>
        </is>
      </c>
      <c r="B24" t="inlineStr">
        <is>
          <t xml:space="preserve">Deckbuilder</t>
        </is>
      </c>
      <c r="C24" t="inlineStr">
        <is>
          <t xml:space="preserve">1-Low</t>
        </is>
      </c>
      <c r="D24" t="inlineStr">
        <is>
          <t xml:space="preserve">1x1</t>
        </is>
      </c>
      <c r="E24" t="inlineStr">
        <is>
          <t xml:space="preserve">Slay the Spire</t>
        </is>
      </c>
      <c r="F24">
        <v>1</v>
      </c>
      <c r="G24">
        <v>1</v>
      </c>
      <c r="H24" t="inlineStr">
        <is>
          <t xml:space="preserve">Feat</t>
        </is>
      </c>
      <c r="I24" t="inlineStr">
        <is>
          <t xml:space="preserve">Get infected</t>
        </is>
      </c>
      <c r="J24" t="inlineStr">
        <is>
          <t xml:space="preserve">N/A</t>
        </is>
      </c>
      <c r="K24" t="inlineStr">
        <is>
          <t xml:space="preserve">FungiBeast</t>
        </is>
      </c>
      <c r="L24" t="inlineStr">
        <is>
          <t xml:space="preserve">mushroom</t>
        </is>
      </c>
    </row>
    <row r="25" spans="1:13">
      <c r="A25" t="inlineStr">
        <is>
          <t xml:space="preserve">Ice Slime</t>
        </is>
      </c>
      <c r="B25" t="inlineStr">
        <is>
          <t xml:space="preserve">Deckbuilder</t>
        </is>
      </c>
      <c r="C25" t="inlineStr">
        <is>
          <t xml:space="preserve">1-Low</t>
        </is>
      </c>
      <c r="D25" t="inlineStr">
        <is>
          <t xml:space="preserve">1x1</t>
        </is>
      </c>
      <c r="E25" t="inlineStr">
        <is>
          <t xml:space="preserve">Dungeon Clawler</t>
        </is>
      </c>
      <c r="F25">
        <v>1</v>
      </c>
      <c r="G25">
        <v>1</v>
      </c>
      <c r="H25" t="inlineStr">
        <is>
          <t xml:space="preserve">Feat</t>
        </is>
      </c>
      <c r="I25" t="inlineStr">
        <is>
          <t xml:space="preserve">Freeze an enemy</t>
        </is>
      </c>
      <c r="J25" t="inlineStr">
        <is>
          <t xml:space="preserve">N/A</t>
        </is>
      </c>
      <c r="K25" t="inlineStr">
        <is>
          <t xml:space="preserve">IceSlime</t>
        </is>
      </c>
      <c r="L25" t="inlineStr">
        <is>
          <t xml:space="preserve">slime, ice</t>
        </is>
      </c>
    </row>
    <row r="26" spans="1:13">
      <c r="A26" t="inlineStr">
        <is>
          <t xml:space="preserve">Lava Slime</t>
        </is>
      </c>
      <c r="B26" t="inlineStr">
        <is>
          <t xml:space="preserve">Deckbuilder</t>
        </is>
      </c>
      <c r="C26" t="inlineStr">
        <is>
          <t xml:space="preserve">1-Low</t>
        </is>
      </c>
      <c r="D26" t="inlineStr">
        <is>
          <t xml:space="preserve">1x1</t>
        </is>
      </c>
      <c r="E26" t="inlineStr">
        <is>
          <t xml:space="preserve">Dungeon Clawler</t>
        </is>
      </c>
      <c r="F26">
        <v>1</v>
      </c>
      <c r="G26">
        <v>1</v>
      </c>
      <c r="H26" t="inlineStr">
        <is>
          <t xml:space="preserve">Feat</t>
        </is>
      </c>
      <c r="I26" t="inlineStr">
        <is>
          <t xml:space="preserve">Touch lava</t>
        </is>
      </c>
      <c r="J26" t="inlineStr">
        <is>
          <t xml:space="preserve">Infliction (1, Burn)</t>
        </is>
      </c>
      <c r="K26" t="inlineStr">
        <is>
          <t xml:space="preserve">LavaSlime</t>
        </is>
      </c>
      <c r="L26" t="inlineStr">
        <is>
          <t xml:space="preserve">slime, lava</t>
        </is>
      </c>
    </row>
    <row r="27" spans="1:13">
      <c r="A27" t="inlineStr">
        <is>
          <t xml:space="preserve">Punch Construct</t>
        </is>
      </c>
      <c r="B27" t="inlineStr">
        <is>
          <t xml:space="preserve">Deckbuilder</t>
        </is>
      </c>
      <c r="C27" t="inlineStr">
        <is>
          <t xml:space="preserve">1-Low</t>
        </is>
      </c>
      <c r="D27" t="inlineStr">
        <is>
          <t xml:space="preserve">1x1</t>
        </is>
      </c>
      <c r="E27" t="inlineStr">
        <is>
          <t xml:space="preserve">Slay the Spire 2</t>
        </is>
      </c>
      <c r="F27">
        <v>1</v>
      </c>
      <c r="G27">
        <v>1</v>
      </c>
      <c r="H27" t="inlineStr">
        <is>
          <t xml:space="preserve">Feat</t>
        </is>
      </c>
      <c r="I27" t="inlineStr">
        <is>
          <t xml:space="preserve">Punch a robot</t>
        </is>
      </c>
      <c r="J27" t="inlineStr">
        <is>
          <t xml:space="preserve">N/A</t>
        </is>
      </c>
      <c r="K27" t="inlineStr">
        <is>
          <t xml:space="preserve">PunchConstruct</t>
        </is>
      </c>
      <c r="L27" t="inlineStr">
        <is>
          <t xml:space="preserve">robot</t>
        </is>
      </c>
    </row>
    <row r="28" spans="1:13">
      <c r="A28" t="inlineStr">
        <is>
          <t xml:space="preserve">Shrinker Beetle</t>
        </is>
      </c>
      <c r="B28" t="inlineStr">
        <is>
          <t xml:space="preserve">Deckbuilder</t>
        </is>
      </c>
      <c r="C28" t="inlineStr">
        <is>
          <t xml:space="preserve">1-Low</t>
        </is>
      </c>
      <c r="D28" t="inlineStr">
        <is>
          <t xml:space="preserve">1x1</t>
        </is>
      </c>
      <c r="E28" t="inlineStr">
        <is>
          <t xml:space="preserve">Slay the Spire 2</t>
        </is>
      </c>
      <c r="F28">
        <v>1</v>
      </c>
      <c r="G28">
        <v>1</v>
      </c>
      <c r="H28" t="inlineStr">
        <is>
          <t xml:space="preserve">Feat</t>
        </is>
      </c>
      <c r="I28" t="inlineStr">
        <is>
          <t xml:space="preserve">Shrink in size</t>
        </is>
      </c>
      <c r="J28" t="inlineStr">
        <is>
          <t xml:space="preserve">N/A</t>
        </is>
      </c>
      <c r="K28" t="inlineStr">
        <is>
          <t xml:space="preserve">ShrinkerBeetle</t>
        </is>
      </c>
      <c r="L28" t="inlineStr">
        <is>
          <t xml:space="preserve">bug, beetle</t>
        </is>
      </c>
    </row>
    <row r="29" spans="1:13">
      <c r="A29" t="inlineStr">
        <is>
          <t xml:space="preserve">Spike Slime (L)</t>
        </is>
      </c>
      <c r="B29" t="inlineStr">
        <is>
          <t xml:space="preserve">Deckbuilder</t>
        </is>
      </c>
      <c r="C29" t="inlineStr">
        <is>
          <t xml:space="preserve">1-Low</t>
        </is>
      </c>
      <c r="D29" t="inlineStr">
        <is>
          <t xml:space="preserve">2x2</t>
        </is>
      </c>
      <c r="E29" t="inlineStr">
        <is>
          <t xml:space="preserve">Slay the Spire</t>
        </is>
      </c>
      <c r="F29">
        <v>1</v>
      </c>
      <c r="G29">
        <v>1</v>
      </c>
      <c r="H29" t="inlineStr">
        <is>
          <t xml:space="preserve">Bounty</t>
        </is>
      </c>
      <c r="I29" t="inlineStr">
        <is>
          <t xml:space="preserve">Defeat an enemy that splits into another enemy</t>
        </is>
      </c>
      <c r="J29" t="inlineStr">
        <is>
          <t xml:space="preserve">Split (2, slime tag)</t>
        </is>
      </c>
      <c r="K29" t="inlineStr">
        <is>
          <t xml:space="preserve">SpikeSlime(L)</t>
        </is>
      </c>
      <c r="L29" t="inlineStr">
        <is>
          <t xml:space="preserve">slime</t>
        </is>
      </c>
    </row>
    <row r="30" spans="1:13">
      <c r="A30" t="inlineStr">
        <is>
          <t xml:space="preserve">Shelled Parasite</t>
        </is>
      </c>
      <c r="B30" t="inlineStr">
        <is>
          <t xml:space="preserve">Deckbuilder</t>
        </is>
      </c>
      <c r="C30" t="inlineStr">
        <is>
          <t xml:space="preserve">2-Medium</t>
        </is>
      </c>
      <c r="D30" t="inlineStr">
        <is>
          <t xml:space="preserve">1x1</t>
        </is>
      </c>
      <c r="E30" t="inlineStr">
        <is>
          <t xml:space="preserve">Slay the Spire</t>
        </is>
      </c>
      <c r="F30">
        <v>1</v>
      </c>
      <c r="G30">
        <v>2</v>
      </c>
      <c r="H30" t="inlineStr">
        <is>
          <t xml:space="preserve">Bounty</t>
        </is>
      </c>
      <c r="I30" t="inlineStr">
        <is>
          <t xml:space="preserve">Defeat an enemy that looks edible</t>
        </is>
      </c>
      <c r="J30" t="inlineStr">
        <is>
          <t xml:space="preserve">N/A</t>
        </is>
      </c>
      <c r="K30" t="inlineStr">
        <is>
          <t xml:space="preserve">ShelledParasite</t>
        </is>
      </c>
    </row>
    <row r="31" spans="1:13">
      <c r="A31" t="inlineStr">
        <is>
          <t xml:space="preserve">Snecko</t>
        </is>
      </c>
      <c r="B31" t="inlineStr">
        <is>
          <t xml:space="preserve">Deckbuilder</t>
        </is>
      </c>
      <c r="C31" t="inlineStr">
        <is>
          <t xml:space="preserve">2-Medium</t>
        </is>
      </c>
      <c r="D31" t="inlineStr">
        <is>
          <t xml:space="preserve">1x1</t>
        </is>
      </c>
      <c r="E31" t="inlineStr">
        <is>
          <t xml:space="preserve">Slay the Spire</t>
        </is>
      </c>
      <c r="F31">
        <v>1</v>
      </c>
      <c r="G31">
        <v>2</v>
      </c>
      <c r="H31" t="inlineStr">
        <is>
          <t xml:space="preserve">Restriction</t>
        </is>
      </c>
      <c r="I31" t="inlineStr">
        <is>
          <t xml:space="preserve">You must randomly select your starting character</t>
        </is>
      </c>
      <c r="J31" t="inlineStr">
        <is>
          <t xml:space="preserve">N/A</t>
        </is>
      </c>
      <c r="K31" t="inlineStr">
        <is>
          <t xml:space="preserve">Snecko</t>
        </is>
      </c>
    </row>
    <row r="32" spans="1:13">
      <c r="A32" t="inlineStr">
        <is>
          <t xml:space="preserve">The Obscura</t>
        </is>
      </c>
      <c r="B32" t="inlineStr">
        <is>
          <t xml:space="preserve">Deckbuilder</t>
        </is>
      </c>
      <c r="C32" t="inlineStr">
        <is>
          <t xml:space="preserve">2-Medium</t>
        </is>
      </c>
      <c r="D32" t="inlineStr">
        <is>
          <t xml:space="preserve">1x1</t>
        </is>
      </c>
      <c r="E32" t="inlineStr">
        <is>
          <t xml:space="preserve">Slay the Spire 2</t>
        </is>
      </c>
      <c r="F32">
        <v>1</v>
      </c>
      <c r="G32">
        <v>2</v>
      </c>
      <c r="H32" t="inlineStr">
        <is>
          <t xml:space="preserve">Feat</t>
        </is>
      </c>
      <c r="I32" t="inlineStr">
        <is>
          <t xml:space="preserve">Create an illusion</t>
        </is>
      </c>
      <c r="J32" t="inlineStr">
        <is>
          <t xml:space="preserve">Illusionist (1, Random Medium)</t>
        </is>
      </c>
      <c r="K32" t="inlineStr">
        <is>
          <t xml:space="preserve">TheObscura</t>
        </is>
      </c>
    </row>
    <row r="33" spans="1:13">
      <c r="A33" t="inlineStr">
        <is>
          <t xml:space="preserve">Chosen</t>
        </is>
      </c>
      <c r="B33" t="inlineStr">
        <is>
          <t xml:space="preserve">Deckbuilder</t>
        </is>
      </c>
      <c r="C33" t="inlineStr">
        <is>
          <t xml:space="preserve">3-High</t>
        </is>
      </c>
      <c r="D33" t="inlineStr">
        <is>
          <t xml:space="preserve">1x1</t>
        </is>
      </c>
      <c r="E33" t="inlineStr">
        <is>
          <t xml:space="preserve">Slay the Spire</t>
        </is>
      </c>
      <c r="F33">
        <v>1</v>
      </c>
      <c r="G33">
        <v>3</v>
      </c>
      <c r="H33" t="inlineStr">
        <is>
          <t xml:space="preserve">Restriction</t>
        </is>
      </c>
      <c r="I33" t="inlineStr">
        <is>
          <t xml:space="preserve">Do not use magic</t>
        </is>
      </c>
      <c r="J33" t="inlineStr">
        <is>
          <t xml:space="preserve">Hexer</t>
        </is>
      </c>
      <c r="K33" t="inlineStr">
        <is>
          <t xml:space="preserve">Chosen</t>
        </is>
      </c>
    </row>
    <row r="34" spans="1:13">
      <c r="A34" t="inlineStr">
        <is>
          <t xml:space="preserve">Transient</t>
        </is>
      </c>
      <c r="B34" t="inlineStr">
        <is>
          <t xml:space="preserve">Deckbuilder</t>
        </is>
      </c>
      <c r="C34" t="inlineStr">
        <is>
          <t xml:space="preserve">3-High</t>
        </is>
      </c>
      <c r="D34" t="inlineStr">
        <is>
          <t xml:space="preserve">2x2</t>
        </is>
      </c>
      <c r="E34" t="inlineStr">
        <is>
          <t xml:space="preserve">Slay the Spire</t>
        </is>
      </c>
      <c r="F34">
        <v>1</v>
      </c>
      <c r="G34">
        <v>3</v>
      </c>
      <c r="H34" t="inlineStr">
        <is>
          <t xml:space="preserve">Discovery</t>
        </is>
      </c>
      <c r="I34" t="inlineStr">
        <is>
          <t xml:space="preserve">Witness an enemy kill itself</t>
        </is>
      </c>
      <c r="J34" t="inlineStr">
        <is>
          <t xml:space="preserve">Tanky (8), Fading (3)</t>
        </is>
      </c>
      <c r="K34" t="inlineStr">
        <is>
          <t xml:space="preserve">Transient</t>
        </is>
      </c>
    </row>
    <row r="35" spans="1:13">
      <c r="A35" t="inlineStr">
        <is>
          <t xml:space="preserve">Carcass</t>
        </is>
      </c>
      <c r="B35" t="inlineStr">
        <is>
          <t xml:space="preserve">Strategy</t>
        </is>
      </c>
      <c r="C35" t="inlineStr">
        <is>
          <t xml:space="preserve">1-Low</t>
        </is>
      </c>
      <c r="D35" t="inlineStr">
        <is>
          <t xml:space="preserve">1x1</t>
        </is>
      </c>
      <c r="E35" t="inlineStr">
        <is>
          <t xml:space="preserve">Mewgenics</t>
        </is>
      </c>
      <c r="F35">
        <v>1</v>
      </c>
      <c r="G35">
        <v>1</v>
      </c>
      <c r="H35" t="inlineStr">
        <is>
          <t xml:space="preserve">Bounty</t>
        </is>
      </c>
      <c r="I35" t="inlineStr">
        <is>
          <t xml:space="preserve">Destroy an enemy spawner</t>
        </is>
      </c>
      <c r="J35" t="inlineStr">
        <is>
          <t xml:space="preserve">Nested Spawner (1, fly tag)</t>
        </is>
      </c>
      <c r="K35" t="inlineStr">
        <is>
          <t xml:space="preserve">Carcass</t>
        </is>
      </c>
    </row>
    <row r="36" spans="1:13">
      <c r="A36" t="inlineStr">
        <is>
          <t xml:space="preserve">Goblin</t>
        </is>
      </c>
      <c r="B36" t="inlineStr">
        <is>
          <t xml:space="preserve">Strategy</t>
        </is>
      </c>
      <c r="C36" t="inlineStr">
        <is>
          <t xml:space="preserve">1-Low</t>
        </is>
      </c>
      <c r="D36" t="inlineStr">
        <is>
          <t xml:space="preserve">1x1</t>
        </is>
      </c>
      <c r="E36" t="inlineStr">
        <is>
          <t xml:space="preserve">Gnomes</t>
        </is>
      </c>
      <c r="F36">
        <v>1</v>
      </c>
      <c r="G36">
        <v>1</v>
      </c>
      <c r="H36" t="inlineStr">
        <is>
          <t xml:space="preserve">Bounty</t>
        </is>
      </c>
      <c r="I36" t="inlineStr">
        <is>
          <t xml:space="preserve">Defeat 10+ goblins</t>
        </is>
      </c>
      <c r="J36" t="inlineStr">
        <is>
          <t xml:space="preserve">N/A</t>
        </is>
      </c>
      <c r="K36" t="inlineStr">
        <is>
          <t xml:space="preserve">Goblin</t>
        </is>
      </c>
      <c r="L36" t="inlineStr">
        <is>
          <t xml:space="preserve">goblin</t>
        </is>
      </c>
    </row>
    <row r="37" spans="1:13">
      <c r="A37" t="inlineStr">
        <is>
          <t xml:space="preserve">Maggot</t>
        </is>
      </c>
      <c r="B37" t="inlineStr">
        <is>
          <t xml:space="preserve">Strategy</t>
        </is>
      </c>
      <c r="C37" t="inlineStr">
        <is>
          <t xml:space="preserve">1-Low</t>
        </is>
      </c>
      <c r="D37" t="inlineStr">
        <is>
          <t xml:space="preserve">1x1</t>
        </is>
      </c>
      <c r="E37" t="inlineStr">
        <is>
          <t xml:space="preserve">Mewgenics</t>
        </is>
      </c>
      <c r="F37">
        <v>1</v>
      </c>
      <c r="G37">
        <v>1</v>
      </c>
      <c r="H37" t="inlineStr">
        <is>
          <t xml:space="preserve">Bounty</t>
        </is>
      </c>
      <c r="I37" t="inlineStr">
        <is>
          <t xml:space="preserve">Defeat an infested or rotted enemy</t>
        </is>
      </c>
      <c r="J37" t="inlineStr">
        <is>
          <t xml:space="preserve">N/A</t>
        </is>
      </c>
      <c r="K37" t="inlineStr">
        <is>
          <t xml:space="preserve">Maggot</t>
        </is>
      </c>
      <c r="L37" t="inlineStr">
        <is>
          <t xml:space="preserve">fly</t>
        </is>
      </c>
    </row>
    <row r="38" spans="1:13">
      <c r="A38" t="inlineStr">
        <is>
          <t xml:space="preserve">Mung</t>
        </is>
      </c>
      <c r="B38" t="inlineStr">
        <is>
          <t xml:space="preserve">Strategy</t>
        </is>
      </c>
      <c r="C38" t="inlineStr">
        <is>
          <t xml:space="preserve">1-Low</t>
        </is>
      </c>
      <c r="D38" t="inlineStr">
        <is>
          <t xml:space="preserve">1x1</t>
        </is>
      </c>
      <c r="E38" t="inlineStr">
        <is>
          <t xml:space="preserve">Brutal Orchestra</t>
        </is>
      </c>
      <c r="F38">
        <v>1</v>
      </c>
      <c r="G38">
        <v>1</v>
      </c>
      <c r="H38" t="inlineStr">
        <is>
          <t xml:space="preserve">Fetch</t>
        </is>
      </c>
      <c r="I38" t="inlineStr">
        <is>
          <t xml:space="preserve">Obtain 1 fish</t>
        </is>
      </c>
      <c r="J38" t="inlineStr">
        <is>
          <t xml:space="preserve">N/A</t>
        </is>
      </c>
      <c r="K38" t="inlineStr">
        <is>
          <t xml:space="preserve">Mung</t>
        </is>
      </c>
      <c r="L38" t="inlineStr">
        <is>
          <t xml:space="preserve">fish</t>
        </is>
      </c>
    </row>
    <row r="39" spans="1:13">
      <c r="A39" t="inlineStr">
        <is>
          <t xml:space="preserve">Host</t>
        </is>
      </c>
      <c r="B39" t="inlineStr">
        <is>
          <t xml:space="preserve">Strategy</t>
        </is>
      </c>
      <c r="C39" t="inlineStr">
        <is>
          <t xml:space="preserve">2-Medium</t>
        </is>
      </c>
      <c r="D39" t="inlineStr">
        <is>
          <t xml:space="preserve">1x1</t>
        </is>
      </c>
      <c r="E39" t="inlineStr">
        <is>
          <t xml:space="preserve">Mewgenics</t>
        </is>
      </c>
      <c r="F39">
        <v>1</v>
      </c>
      <c r="G39">
        <v>2</v>
      </c>
      <c r="H39" t="inlineStr">
        <is>
          <t xml:space="preserve">Feat</t>
        </is>
      </c>
      <c r="I39" t="inlineStr">
        <is>
          <t xml:space="preserve">Reflect a projectile</t>
        </is>
      </c>
      <c r="J39" t="inlineStr">
        <is>
          <t xml:space="preserve">Ranged (N/A), Immobile</t>
        </is>
      </c>
      <c r="K39" t="inlineStr">
        <is>
          <t xml:space="preserve">Host</t>
        </is>
      </c>
    </row>
    <row r="40" spans="1:13">
      <c r="A40" t="inlineStr">
        <is>
          <t xml:space="preserve">Love Bot</t>
        </is>
      </c>
      <c r="B40" t="inlineStr">
        <is>
          <t xml:space="preserve">Strategy</t>
        </is>
      </c>
      <c r="C40" t="inlineStr">
        <is>
          <t xml:space="preserve">2-Medium</t>
        </is>
      </c>
      <c r="D40" t="inlineStr">
        <is>
          <t xml:space="preserve">1x1</t>
        </is>
      </c>
      <c r="E40" t="inlineStr">
        <is>
          <t xml:space="preserve">Mewgenics</t>
        </is>
      </c>
      <c r="F40">
        <v>1</v>
      </c>
      <c r="G40">
        <v>2</v>
      </c>
      <c r="H40" t="inlineStr">
        <is>
          <t xml:space="preserve">Feat</t>
        </is>
      </c>
      <c r="I40" t="inlineStr">
        <is>
          <t xml:space="preserve">Use technology to heal yourself</t>
        </is>
      </c>
      <c r="J40" t="inlineStr">
        <is>
          <t xml:space="preserve">Melee Ally Buff (1, Speed)</t>
        </is>
      </c>
      <c r="K40" t="inlineStr">
        <is>
          <t xml:space="preserve">LoveBot</t>
        </is>
      </c>
      <c r="L40" t="inlineStr">
        <is>
          <t xml:space="preserve">robot</t>
        </is>
      </c>
    </row>
    <row r="41" spans="1:13">
      <c r="A41" t="inlineStr">
        <is>
          <t xml:space="preserve">Revola</t>
        </is>
      </c>
      <c r="B41" t="inlineStr">
        <is>
          <t xml:space="preserve">Strategy</t>
        </is>
      </c>
      <c r="C41" t="inlineStr">
        <is>
          <t xml:space="preserve">2-Medium</t>
        </is>
      </c>
      <c r="D41" t="inlineStr">
        <is>
          <t xml:space="preserve">1x2</t>
        </is>
      </c>
      <c r="E41" t="inlineStr">
        <is>
          <t xml:space="preserve">Brutal Orchestra</t>
        </is>
      </c>
      <c r="F41">
        <v>1</v>
      </c>
      <c r="G41">
        <v>2</v>
      </c>
      <c r="H41" t="inlineStr">
        <is>
          <t xml:space="preserve">Feat</t>
        </is>
      </c>
      <c r="I41" t="inlineStr">
        <is>
          <t xml:space="preserve">Body slam an enemy</t>
        </is>
      </c>
      <c r="J41" t="inlineStr">
        <is>
          <t xml:space="preserve">Defensive Stance</t>
        </is>
      </c>
      <c r="K41" t="inlineStr">
        <is>
          <t xml:space="preserve">Revola</t>
        </is>
      </c>
    </row>
    <row r="42" spans="1:13">
      <c r="A42" t="inlineStr">
        <is>
          <t xml:space="preserve">Robo-Cat</t>
        </is>
      </c>
      <c r="B42" t="inlineStr">
        <is>
          <t xml:space="preserve">Strategy</t>
        </is>
      </c>
      <c r="C42" t="inlineStr">
        <is>
          <t xml:space="preserve">2-Medium</t>
        </is>
      </c>
      <c r="D42" t="inlineStr">
        <is>
          <t xml:space="preserve">1x1</t>
        </is>
      </c>
      <c r="E42" t="inlineStr">
        <is>
          <t xml:space="preserve">Mewgenics</t>
        </is>
      </c>
      <c r="F42">
        <v>1</v>
      </c>
      <c r="G42">
        <v>2</v>
      </c>
      <c r="H42" t="inlineStr">
        <is>
          <t xml:space="preserve">Bounty</t>
        </is>
      </c>
      <c r="I42" t="inlineStr">
        <is>
          <t xml:space="preserve">Defeat a robot designed to look like an animal</t>
        </is>
      </c>
      <c r="J42" t="inlineStr">
        <is>
          <t xml:space="preserve">N/A</t>
        </is>
      </c>
      <c r="K42" t="inlineStr">
        <is>
          <t xml:space="preserve">Robo-Cat</t>
        </is>
      </c>
      <c r="L42" t="inlineStr">
        <is>
          <t xml:space="preserve">cat, robot</t>
        </is>
      </c>
    </row>
    <row r="43" spans="1:13">
      <c r="A43" t="inlineStr">
        <is>
          <t xml:space="preserve">Sharky</t>
        </is>
      </c>
      <c r="B43" t="inlineStr">
        <is>
          <t xml:space="preserve">Strategy</t>
        </is>
      </c>
      <c r="C43" t="inlineStr">
        <is>
          <t xml:space="preserve">2-Medium</t>
        </is>
      </c>
      <c r="D43" t="inlineStr">
        <is>
          <t xml:space="preserve">1x1</t>
        </is>
      </c>
      <c r="E43" t="inlineStr">
        <is>
          <t xml:space="preserve">Mewgenics</t>
        </is>
      </c>
      <c r="F43">
        <v>1</v>
      </c>
      <c r="G43">
        <v>2</v>
      </c>
      <c r="H43" t="inlineStr">
        <is>
          <t xml:space="preserve">Feat</t>
        </is>
      </c>
      <c r="I43" t="inlineStr">
        <is>
          <t xml:space="preserve">Bleed an enemy to death</t>
        </is>
      </c>
      <c r="J43" t="inlineStr">
        <is>
          <t xml:space="preserve">Predatory Scent</t>
        </is>
      </c>
      <c r="K43" t="inlineStr">
        <is>
          <t xml:space="preserve">Sharky</t>
        </is>
      </c>
      <c r="L43" t="inlineStr">
        <is>
          <t xml:space="preserve">cat, fish</t>
        </is>
      </c>
    </row>
    <row r="44" spans="1:13">
      <c r="A44" t="inlineStr">
        <is>
          <t xml:space="preserve">Spiked Cat</t>
        </is>
      </c>
      <c r="B44" t="inlineStr">
        <is>
          <t xml:space="preserve">Strategy</t>
        </is>
      </c>
      <c r="C44" t="inlineStr">
        <is>
          <t xml:space="preserve">2-Medium</t>
        </is>
      </c>
      <c r="D44" t="inlineStr">
        <is>
          <t xml:space="preserve">1x1</t>
        </is>
      </c>
      <c r="E44" t="inlineStr">
        <is>
          <t xml:space="preserve">Mewgenics</t>
        </is>
      </c>
      <c r="F44">
        <v>1</v>
      </c>
      <c r="G44">
        <v>2</v>
      </c>
      <c r="H44" t="inlineStr">
        <is>
          <t xml:space="preserve">Feat</t>
        </is>
      </c>
      <c r="I44" t="inlineStr">
        <is>
          <t xml:space="preserve">Break glass</t>
        </is>
      </c>
      <c r="J44" t="inlineStr">
        <is>
          <t xml:space="preserve">N/A</t>
        </is>
      </c>
      <c r="K44" t="inlineStr">
        <is>
          <t xml:space="preserve">SpikedCat</t>
        </is>
      </c>
      <c r="L44" t="inlineStr">
        <is>
          <t xml:space="preserve">cat</t>
        </is>
      </c>
    </row>
    <row r="45" spans="1:13">
      <c r="A45" t="inlineStr">
        <is>
          <t xml:space="preserve">Tornado</t>
        </is>
      </c>
      <c r="B45" t="inlineStr">
        <is>
          <t xml:space="preserve">Strategy</t>
        </is>
      </c>
      <c r="C45" t="inlineStr">
        <is>
          <t xml:space="preserve">2-Medium</t>
        </is>
      </c>
      <c r="D45" t="inlineStr">
        <is>
          <t xml:space="preserve">1x1</t>
        </is>
      </c>
      <c r="E45" t="inlineStr">
        <is>
          <t xml:space="preserve">Forward: Escape the Fold</t>
        </is>
      </c>
      <c r="F45">
        <v>1</v>
      </c>
      <c r="G45">
        <v>2</v>
      </c>
      <c r="H45" t="inlineStr">
        <is>
          <t xml:space="preserve">Discovery</t>
        </is>
      </c>
      <c r="I45" t="inlineStr">
        <is>
          <t xml:space="preserve">Find a Tornado</t>
        </is>
      </c>
      <c r="J45" t="inlineStr">
        <is>
          <t xml:space="preserve">N/A</t>
        </is>
      </c>
      <c r="K45" t="inlineStr">
        <is>
          <t xml:space="preserve">Tornado</t>
        </is>
      </c>
    </row>
    <row r="46" spans="1:13">
      <c r="A46" t="inlineStr">
        <is>
          <t xml:space="preserve">Giggling Minister</t>
        </is>
      </c>
      <c r="B46" t="inlineStr">
        <is>
          <t xml:space="preserve">Strategy</t>
        </is>
      </c>
      <c r="C46" t="inlineStr">
        <is>
          <t xml:space="preserve">3-High</t>
        </is>
      </c>
      <c r="D46" t="inlineStr">
        <is>
          <t xml:space="preserve">1x1</t>
        </is>
      </c>
      <c r="E46" t="inlineStr">
        <is>
          <t xml:space="preserve">Brutal Orchestra</t>
        </is>
      </c>
      <c r="F46">
        <v>1</v>
      </c>
      <c r="G46">
        <v>3</v>
      </c>
      <c r="H46" t="inlineStr">
        <is>
          <t xml:space="preserve">Discovery</t>
        </is>
      </c>
      <c r="I46" t="inlineStr">
        <is>
          <t xml:space="preserve">Get something stolen from you</t>
        </is>
      </c>
      <c r="J46" t="inlineStr">
        <is>
          <t xml:space="preserve">Theft (1, Item), Agile</t>
        </is>
      </c>
      <c r="K46" t="inlineStr">
        <is>
          <t xml:space="preserve">GigglingMinister</t>
        </is>
      </c>
    </row>
    <row r="47" spans="1:13">
      <c r="A47" t="inlineStr">
        <is>
          <t xml:space="preserve">Spider Kitten</t>
        </is>
      </c>
      <c r="B47" t="inlineStr">
        <is>
          <t xml:space="preserve">Strategy</t>
        </is>
      </c>
      <c r="C47" t="inlineStr">
        <is>
          <t xml:space="preserve">3-High</t>
        </is>
      </c>
      <c r="D47" t="inlineStr">
        <is>
          <t xml:space="preserve">1x1</t>
        </is>
      </c>
      <c r="E47" t="inlineStr">
        <is>
          <t xml:space="preserve">Mewgenics</t>
        </is>
      </c>
      <c r="F47">
        <v>1</v>
      </c>
      <c r="G47">
        <v>3</v>
      </c>
      <c r="H47" t="inlineStr">
        <is>
          <t xml:space="preserve">Feat</t>
        </is>
      </c>
      <c r="I47" t="inlineStr">
        <is>
          <t xml:space="preserve">Trap an enemy in place</t>
        </is>
      </c>
      <c r="J47" t="inlineStr">
        <is>
          <t xml:space="preserve">N/A</t>
        </is>
      </c>
      <c r="K47" t="inlineStr">
        <is>
          <t xml:space="preserve">SpiderKitten</t>
        </is>
      </c>
      <c r="L47" t="inlineStr">
        <is>
          <t xml:space="preserve">cat, bug, spider</t>
        </is>
      </c>
    </row>
    <row r="48" spans="1:13">
      <c r="A48" t="inlineStr">
        <is>
          <t xml:space="preserve">Leprechaun</t>
        </is>
      </c>
      <c r="B48" t="inlineStr">
        <is>
          <t xml:space="preserve">Traditional</t>
        </is>
      </c>
      <c r="C48" t="inlineStr">
        <is>
          <t xml:space="preserve">1-Low</t>
        </is>
      </c>
      <c r="D48" t="inlineStr">
        <is>
          <t xml:space="preserve">1x1</t>
        </is>
      </c>
      <c r="E48" t="inlineStr">
        <is>
          <t xml:space="preserve">NetHack</t>
        </is>
      </c>
      <c r="F48">
        <v>1</v>
      </c>
      <c r="G48">
        <v>1</v>
      </c>
      <c r="H48" t="inlineStr">
        <is>
          <t xml:space="preserve">Discovery</t>
        </is>
      </c>
      <c r="I48" t="inlineStr">
        <is>
          <t xml:space="preserve">Retrieve stolen currency or items</t>
        </is>
      </c>
      <c r="J48" t="inlineStr">
        <is>
          <t xml:space="preserve">Theft (2, Gold), Agile</t>
        </is>
      </c>
      <c r="K48" t="inlineStr">
        <is>
          <t xml:space="preserve">Leprechaun</t>
        </is>
      </c>
    </row>
    <row r="49" spans="1:13">
      <c r="A49" t="inlineStr">
        <is>
          <t xml:space="preserve">Rust Monster</t>
        </is>
      </c>
      <c r="B49" t="inlineStr">
        <is>
          <t xml:space="preserve">Traditional</t>
        </is>
      </c>
      <c r="C49" t="inlineStr">
        <is>
          <t xml:space="preserve">2-Medium</t>
        </is>
      </c>
      <c r="D49" t="inlineStr">
        <is>
          <t xml:space="preserve">1x1</t>
        </is>
      </c>
      <c r="E49" t="inlineStr">
        <is>
          <t xml:space="preserve">NetHack</t>
        </is>
      </c>
      <c r="F49">
        <v>1</v>
      </c>
      <c r="G49">
        <v>2</v>
      </c>
      <c r="H49" t="inlineStr">
        <is>
          <t xml:space="preserve">Restriction</t>
        </is>
      </c>
      <c r="I49" t="inlineStr">
        <is>
          <t xml:space="preserve">Do not use metal armor</t>
        </is>
      </c>
      <c r="J49" t="inlineStr">
        <is>
          <t xml:space="preserve">Degradation</t>
        </is>
      </c>
      <c r="K49" t="inlineStr">
        <is>
          <t xml:space="preserve">RustMonster</t>
        </is>
      </c>
    </row>
    <row r="50" spans="1:13">
      <c r="A50" t="inlineStr">
        <is>
          <t xml:space="preserve">Stalker</t>
        </is>
      </c>
      <c r="B50" t="inlineStr">
        <is>
          <t xml:space="preserve">Traditional</t>
        </is>
      </c>
      <c r="C50" t="inlineStr">
        <is>
          <t xml:space="preserve">2-Medium</t>
        </is>
      </c>
      <c r="D50" t="inlineStr">
        <is>
          <t xml:space="preserve">1x1</t>
        </is>
      </c>
      <c r="E50" t="inlineStr">
        <is>
          <t xml:space="preserve">NetHack</t>
        </is>
      </c>
      <c r="F50">
        <v>1</v>
      </c>
      <c r="G50">
        <v>2</v>
      </c>
      <c r="H50" t="inlineStr">
        <is>
          <t xml:space="preserve">Feat</t>
        </is>
      </c>
      <c r="I50" t="inlineStr">
        <is>
          <t xml:space="preserve">Become undetectable</t>
        </is>
      </c>
      <c r="J50" t="inlineStr">
        <is>
          <t xml:space="preserve">Invisibility</t>
        </is>
      </c>
      <c r="K50" t="inlineStr">
        <is>
          <t xml:space="preserve">Stalker</t>
        </is>
      </c>
    </row>
    <row r="51" spans="1:13">
      <c r="A51" t="inlineStr">
        <is>
          <t xml:space="preserve">Jabberwock</t>
        </is>
      </c>
      <c r="B51" t="inlineStr">
        <is>
          <t xml:space="preserve">Traditional</t>
        </is>
      </c>
      <c r="C51" t="inlineStr">
        <is>
          <t xml:space="preserve">3-High</t>
        </is>
      </c>
      <c r="D51" t="inlineStr">
        <is>
          <t xml:space="preserve">1x1</t>
        </is>
      </c>
      <c r="E51" t="inlineStr">
        <is>
          <t xml:space="preserve">NetHack</t>
        </is>
      </c>
      <c r="F51">
        <v>1</v>
      </c>
      <c r="G51">
        <v>3</v>
      </c>
      <c r="H51" t="inlineStr">
        <is>
          <t xml:space="preserve">Feat</t>
        </is>
      </c>
      <c r="I51" t="inlineStr">
        <is>
          <t xml:space="preserve">Behead an enemy</t>
        </is>
      </c>
      <c r="J51" t="inlineStr">
        <is>
          <t xml:space="preserve">N/A</t>
        </is>
      </c>
      <c r="K51" t="inlineStr">
        <is>
          <t xml:space="preserve">Jabberwock</t>
        </is>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c r="A1" t="inlineStr">
        <is>
          <t xml:space="preserve">Name</t>
        </is>
      </c>
      <c r="B1" t="inlineStr">
        <is>
          <t xml:space="preserve">Type</t>
        </is>
      </c>
      <c r="C1" t="inlineStr">
        <is>
          <t xml:space="preserve">Difficulty</t>
        </is>
      </c>
      <c r="D1" t="inlineStr">
        <is>
          <t xml:space="preserve">Size</t>
        </is>
      </c>
      <c r="E1" t="inlineStr">
        <is>
          <t xml:space="preserve">Game</t>
        </is>
      </c>
      <c r="F1" t="inlineStr">
        <is>
          <t xml:space="preserve">Health</t>
        </is>
      </c>
      <c r="G1" t="inlineStr">
        <is>
          <t xml:space="preserve">Damage</t>
        </is>
      </c>
      <c r="H1" t="inlineStr">
        <is>
          <t xml:space="preserve">Goal Type</t>
        </is>
      </c>
      <c r="I1" t="inlineStr">
        <is>
          <t xml:space="preserve">Goal</t>
        </is>
      </c>
      <c r="J1" t="inlineStr">
        <is>
          <t xml:space="preserve">Ability</t>
        </is>
      </c>
      <c r="K1" t="inlineStr">
        <is>
          <t xml:space="preserve">File</t>
        </is>
      </c>
      <c r="L1" t="inlineStr">
        <is>
          <t xml:space="preserve">Tag</t>
        </is>
      </c>
      <c r="M1" t="inlineStr">
        <is>
          <t xml:space="preserve">Phases</t>
        </is>
      </c>
    </row>
    <row r="2" spans="1:13">
      <c r="A2" t="inlineStr">
        <is>
          <t xml:space="preserve">Beholster</t>
        </is>
      </c>
      <c r="B2" t="inlineStr">
        <is>
          <t xml:space="preserve">Action</t>
        </is>
      </c>
      <c r="C2" t="inlineStr">
        <is>
          <t xml:space="preserve">1-Low</t>
        </is>
      </c>
      <c r="D2" t="inlineStr">
        <is>
          <t xml:space="preserve">2x2</t>
        </is>
      </c>
      <c r="E2" t="inlineStr">
        <is>
          <t xml:space="preserve">Enter the Gungeon</t>
        </is>
      </c>
      <c r="F2">
        <v>1</v>
      </c>
      <c r="G2">
        <v>3</v>
      </c>
      <c r="H2" t="inlineStr">
        <is>
          <t xml:space="preserve">Fetch</t>
        </is>
      </c>
      <c r="I2" t="inlineStr">
        <is>
          <t xml:space="preserve">Obtain 6+ Guns</t>
        </is>
      </c>
      <c r="J2" t="inlineStr">
        <is>
          <t xml:space="preserve">Ranged (4)</t>
        </is>
      </c>
      <c r="K2" t="inlineStr">
        <is>
          <t xml:space="preserve">Beholster</t>
        </is>
      </c>
      <c r="L2" t="inlineStr">
        <is>
          <t xml:space="preserve">gun</t>
        </is>
      </c>
    </row>
    <row r="3" spans="1:13">
      <c r="A3" t="inlineStr">
        <is>
          <t xml:space="preserve">Big Chunk</t>
        </is>
      </c>
      <c r="B3" t="inlineStr">
        <is>
          <t xml:space="preserve">Action</t>
        </is>
      </c>
      <c r="C3" t="inlineStr">
        <is>
          <t xml:space="preserve">1-Low</t>
        </is>
      </c>
      <c r="D3" t="inlineStr">
        <is>
          <t xml:space="preserve">2x2</t>
        </is>
      </c>
      <c r="E3" t="inlineStr">
        <is>
          <t xml:space="preserve">Muck</t>
        </is>
      </c>
      <c r="F3">
        <v>1</v>
      </c>
      <c r="G3">
        <v>3</v>
      </c>
      <c r="H3" t="inlineStr">
        <is>
          <t xml:space="preserve">Bounty</t>
        </is>
      </c>
      <c r="I3" t="inlineStr">
        <is>
          <t xml:space="preserve">Defeat an enemy made of stone</t>
        </is>
      </c>
      <c r="J3" t="inlineStr">
        <is>
          <t xml:space="preserve">N/A</t>
        </is>
      </c>
      <c r="K3" t="inlineStr">
        <is>
          <t xml:space="preserve">BigChunk</t>
        </is>
      </c>
      <c r="L3" t="inlineStr">
        <is>
          <t xml:space="preserve">rock</t>
        </is>
      </c>
    </row>
    <row r="4" spans="1:13">
      <c r="A4" t="inlineStr">
        <is>
          <t xml:space="preserve">Colossus</t>
        </is>
      </c>
      <c r="B4" t="inlineStr">
        <is>
          <t xml:space="preserve">Action</t>
        </is>
      </c>
      <c r="C4" t="inlineStr">
        <is>
          <t xml:space="preserve">1-Low</t>
        </is>
      </c>
      <c r="D4" t="inlineStr">
        <is>
          <t xml:space="preserve">2x2</t>
        </is>
      </c>
      <c r="E4" t="inlineStr">
        <is>
          <t xml:space="preserve">Risk of Rain</t>
        </is>
      </c>
      <c r="F4">
        <v>1</v>
      </c>
      <c r="G4">
        <v>3</v>
      </c>
      <c r="H4" t="inlineStr">
        <is>
          <t xml:space="preserve">Discovery</t>
        </is>
      </c>
      <c r="I4" t="inlineStr">
        <is>
          <t xml:space="preserve">Witness a living structure</t>
        </is>
      </c>
      <c r="J4" t="inlineStr">
        <is>
          <t xml:space="preserve">Trample</t>
        </is>
      </c>
      <c r="K4" t="inlineStr">
        <is>
          <t xml:space="preserve">Colossus</t>
        </is>
      </c>
    </row>
    <row r="5" spans="1:13">
      <c r="A5" t="inlineStr">
        <is>
          <t xml:space="preserve">Famine</t>
        </is>
      </c>
      <c r="B5" t="inlineStr">
        <is>
          <t xml:space="preserve">Action</t>
        </is>
      </c>
      <c r="C5" t="inlineStr">
        <is>
          <t xml:space="preserve">1-Low</t>
        </is>
      </c>
      <c r="D5" t="inlineStr">
        <is>
          <t xml:space="preserve">1x1</t>
        </is>
      </c>
      <c r="E5" t="inlineStr">
        <is>
          <t xml:space="preserve">The Binding of Isaac</t>
        </is>
      </c>
      <c r="F5">
        <v>1</v>
      </c>
      <c r="G5">
        <v>3</v>
      </c>
      <c r="H5" t="inlineStr">
        <is>
          <t xml:space="preserve">Restriction</t>
        </is>
      </c>
      <c r="I5" t="inlineStr">
        <is>
          <t xml:space="preserve">Don't eat any food</t>
        </is>
      </c>
      <c r="J5" t="inlineStr">
        <is>
          <t xml:space="preserve">Ranged (1)</t>
        </is>
      </c>
      <c r="K5" t="inlineStr">
        <is>
          <t xml:space="preserve">Famine</t>
        </is>
      </c>
    </row>
    <row r="6" spans="1:13">
      <c r="A6" t="inlineStr">
        <is>
          <t xml:space="preserve">Khidr</t>
        </is>
      </c>
      <c r="B6" t="inlineStr">
        <is>
          <t xml:space="preserve">Action</t>
        </is>
      </c>
      <c r="C6" t="inlineStr">
        <is>
          <t xml:space="preserve">1-Low</t>
        </is>
      </c>
      <c r="D6" t="inlineStr">
        <is>
          <t xml:space="preserve">2x2</t>
        </is>
      </c>
      <c r="E6" t="inlineStr">
        <is>
          <t xml:space="preserve">Rogue Legacy</t>
        </is>
      </c>
      <c r="F6">
        <v>1</v>
      </c>
      <c r="G6">
        <v>3</v>
      </c>
      <c r="H6" t="inlineStr">
        <is>
          <t xml:space="preserve">Feat</t>
        </is>
      </c>
      <c r="I6" t="inlineStr">
        <is>
          <t xml:space="preserve">Poke an eye</t>
        </is>
      </c>
      <c r="J6" t="inlineStr">
        <is>
          <t xml:space="preserve">N/A</t>
        </is>
      </c>
      <c r="K6" t="inlineStr">
        <is>
          <t xml:space="preserve">Khidr</t>
        </is>
      </c>
      <c r="L6" t="inlineStr">
        <is>
          <t xml:space="preserve">eye</t>
        </is>
      </c>
    </row>
    <row r="7" spans="1:13">
      <c r="A7" t="inlineStr">
        <is>
          <t xml:space="preserve">Mega Fatty</t>
        </is>
      </c>
      <c r="B7" t="inlineStr">
        <is>
          <t xml:space="preserve">Action</t>
        </is>
      </c>
      <c r="C7" t="inlineStr">
        <is>
          <t xml:space="preserve">1-Low</t>
        </is>
      </c>
      <c r="D7" t="inlineStr">
        <is>
          <t xml:space="preserve">2x2</t>
        </is>
      </c>
      <c r="E7" t="inlineStr">
        <is>
          <t xml:space="preserve">The Binding of Isaac: Rebirth</t>
        </is>
      </c>
      <c r="F7">
        <v>1</v>
      </c>
      <c r="G7">
        <v>3</v>
      </c>
      <c r="H7" t="inlineStr">
        <is>
          <t xml:space="preserve">Bounty</t>
        </is>
      </c>
      <c r="I7" t="inlineStr">
        <is>
          <t xml:space="preserve">Defeat an obese enemy</t>
        </is>
      </c>
      <c r="J7" t="inlineStr">
        <is>
          <t xml:space="preserve">Ranged (2)</t>
        </is>
      </c>
      <c r="K7" t="inlineStr">
        <is>
          <t xml:space="preserve">MegaFatty</t>
        </is>
      </c>
    </row>
    <row r="8" spans="1:13">
      <c r="A8" t="inlineStr">
        <is>
          <t xml:space="preserve">Megaera</t>
        </is>
      </c>
      <c r="B8" t="inlineStr">
        <is>
          <t xml:space="preserve">Action</t>
        </is>
      </c>
      <c r="C8" t="inlineStr">
        <is>
          <t xml:space="preserve">1-Low</t>
        </is>
      </c>
      <c r="D8" t="inlineStr">
        <is>
          <t xml:space="preserve">1x1</t>
        </is>
      </c>
      <c r="E8" t="inlineStr">
        <is>
          <t xml:space="preserve">Hades</t>
        </is>
      </c>
      <c r="F8">
        <v>1</v>
      </c>
      <c r="G8">
        <v>3</v>
      </c>
      <c r="H8" t="inlineStr">
        <is>
          <t xml:space="preserve">Fetch</t>
        </is>
      </c>
      <c r="I8" t="inlineStr">
        <is>
          <t xml:space="preserve">Date someone</t>
        </is>
      </c>
      <c r="J8" t="inlineStr">
        <is>
          <t xml:space="preserve">N/A</t>
        </is>
      </c>
      <c r="K8" t="inlineStr">
        <is>
          <t xml:space="preserve">Megaera</t>
        </is>
      </c>
    </row>
    <row r="9" spans="1:13">
      <c r="A9" t="inlineStr">
        <is>
          <t xml:space="preserve">Steven</t>
        </is>
      </c>
      <c r="B9" t="inlineStr">
        <is>
          <t xml:space="preserve">Action</t>
        </is>
      </c>
      <c r="C9" t="inlineStr">
        <is>
          <t xml:space="preserve">1-Low</t>
        </is>
      </c>
      <c r="D9" t="inlineStr">
        <is>
          <t xml:space="preserve">1x1</t>
        </is>
      </c>
      <c r="E9" t="inlineStr">
        <is>
          <t xml:space="preserve">The Binding of Isaac</t>
        </is>
      </c>
      <c r="F9">
        <v>1</v>
      </c>
      <c r="G9">
        <v>3</v>
      </c>
      <c r="H9" t="inlineStr">
        <is>
          <t xml:space="preserve">Discovery</t>
        </is>
      </c>
      <c r="I9" t="inlineStr">
        <is>
          <t xml:space="preserve">Be in a time loop</t>
        </is>
      </c>
      <c r="J9" t="inlineStr">
        <is>
          <t xml:space="preserve">N/A</t>
        </is>
      </c>
      <c r="K9" t="inlineStr">
        <is>
          <t xml:space="preserve">Steven</t>
        </is>
      </c>
    </row>
    <row r="10" spans="1:13">
      <c r="A10" t="inlineStr">
        <is>
          <t xml:space="preserve">Charon</t>
        </is>
      </c>
      <c r="B10" t="inlineStr">
        <is>
          <t xml:space="preserve">Action</t>
        </is>
      </c>
      <c r="C10" t="inlineStr">
        <is>
          <t xml:space="preserve">2-Medium</t>
        </is>
      </c>
      <c r="D10" t="inlineStr">
        <is>
          <t xml:space="preserve">2x1</t>
        </is>
      </c>
      <c r="E10" t="inlineStr">
        <is>
          <t xml:space="preserve">Hades</t>
        </is>
      </c>
      <c r="F10">
        <v>1</v>
      </c>
      <c r="G10">
        <v>5</v>
      </c>
      <c r="H10" t="inlineStr">
        <is>
          <t xml:space="preserve">Fetch</t>
        </is>
      </c>
      <c r="I10" t="inlineStr">
        <is>
          <t xml:space="preserve">Steal from a shop</t>
        </is>
      </c>
      <c r="J10" t="inlineStr">
        <is>
          <t xml:space="preserve">N/A</t>
        </is>
      </c>
      <c r="K10" t="inlineStr">
        <is>
          <t xml:space="preserve">Charon</t>
        </is>
      </c>
    </row>
    <row r="11" spans="1:13">
      <c r="A11" t="inlineStr">
        <is>
          <t xml:space="preserve">Mom's Heart</t>
        </is>
      </c>
      <c r="B11" t="inlineStr">
        <is>
          <t xml:space="preserve">Action</t>
        </is>
      </c>
      <c r="C11" t="inlineStr">
        <is>
          <t xml:space="preserve">2-Medium</t>
        </is>
      </c>
      <c r="D11" t="inlineStr">
        <is>
          <t xml:space="preserve">1x1</t>
        </is>
      </c>
      <c r="E11" t="inlineStr">
        <is>
          <t xml:space="preserve">The Binding of Isaac</t>
        </is>
      </c>
      <c r="F11">
        <v>1</v>
      </c>
      <c r="G11">
        <v>5</v>
      </c>
      <c r="H11" t="inlineStr">
        <is>
          <t xml:space="preserve">Feat</t>
        </is>
      </c>
      <c r="I11" t="inlineStr">
        <is>
          <t xml:space="preserve">Break a Heart</t>
        </is>
      </c>
      <c r="J11" t="inlineStr">
        <is>
          <t xml:space="preserve">N/A</t>
        </is>
      </c>
      <c r="K11" t="inlineStr">
        <is>
          <t xml:space="preserve">MomsHeart</t>
        </is>
      </c>
    </row>
    <row r="12" spans="1:13">
      <c r="A12" t="inlineStr">
        <is>
          <t xml:space="preserve">Royal Phalanx</t>
        </is>
      </c>
      <c r="B12" t="inlineStr">
        <is>
          <t xml:space="preserve">Action</t>
        </is>
      </c>
      <c r="C12" t="inlineStr">
        <is>
          <t xml:space="preserve">2-Medium</t>
        </is>
      </c>
      <c r="D12" t="inlineStr">
        <is>
          <t xml:space="preserve">1x1</t>
        </is>
      </c>
      <c r="E12" t="inlineStr">
        <is>
          <t xml:space="preserve">Ember Knights</t>
        </is>
      </c>
      <c r="F12">
        <v>1</v>
      </c>
      <c r="G12">
        <v>5</v>
      </c>
      <c r="H12" t="inlineStr">
        <is>
          <t xml:space="preserve">Feat</t>
        </is>
      </c>
      <c r="I12" t="inlineStr">
        <is>
          <t xml:space="preserve">Block an attack with an element</t>
        </is>
      </c>
      <c r="J12" t="inlineStr">
        <is>
          <t xml:space="preserve">Defensive Stance (2)</t>
        </is>
      </c>
      <c r="K12" t="inlineStr">
        <is>
          <t xml:space="preserve">RoyalPhalanx</t>
        </is>
      </c>
    </row>
    <row r="13" spans="1:13">
      <c r="A13" t="inlineStr">
        <is>
          <t xml:space="preserve">Scylla</t>
        </is>
      </c>
      <c r="B13" t="inlineStr">
        <is>
          <t xml:space="preserve">Action</t>
        </is>
      </c>
      <c r="C13" t="inlineStr">
        <is>
          <t xml:space="preserve">2-Medium</t>
        </is>
      </c>
      <c r="D13" t="inlineStr">
        <is>
          <t xml:space="preserve">1x1</t>
        </is>
      </c>
      <c r="E13" t="inlineStr">
        <is>
          <t xml:space="preserve">Hades II</t>
        </is>
      </c>
      <c r="F13">
        <v>1</v>
      </c>
      <c r="G13">
        <v>5</v>
      </c>
      <c r="H13" t="inlineStr">
        <is>
          <t xml:space="preserve">Feat</t>
        </is>
      </c>
      <c r="I13" t="inlineStr">
        <is>
          <t xml:space="preserve">Perform a song</t>
        </is>
      </c>
      <c r="J13" t="inlineStr">
        <is>
          <t xml:space="preserve">N/A</t>
        </is>
      </c>
      <c r="K13" t="inlineStr">
        <is>
          <t xml:space="preserve">Scylla</t>
        </is>
      </c>
    </row>
    <row r="14" spans="1:13">
      <c r="A14" t="inlineStr">
        <is>
          <t xml:space="preserve">Isaac</t>
        </is>
      </c>
      <c r="B14" t="inlineStr">
        <is>
          <t xml:space="preserve">Action</t>
        </is>
      </c>
      <c r="C14" t="inlineStr">
        <is>
          <t xml:space="preserve">3-High</t>
        </is>
      </c>
      <c r="D14" t="inlineStr">
        <is>
          <t xml:space="preserve">1x1</t>
        </is>
      </c>
      <c r="E14" t="inlineStr">
        <is>
          <t xml:space="preserve">The Binding of Isaac</t>
        </is>
      </c>
      <c r="F14">
        <v>1</v>
      </c>
      <c r="G14">
        <v>7</v>
      </c>
      <c r="H14" t="inlineStr">
        <is>
          <t xml:space="preserve">Bounty</t>
        </is>
      </c>
      <c r="I14" t="inlineStr">
        <is>
          <t xml:space="preserve">Defeat yourself</t>
        </is>
      </c>
      <c r="J14" t="inlineStr">
        <is>
          <t xml:space="preserve">N/A</t>
        </is>
      </c>
      <c r="K14" t="inlineStr">
        <is>
          <t xml:space="preserve">Isaac</t>
        </is>
      </c>
    </row>
    <row r="15" spans="1:13">
      <c r="A15" t="inlineStr">
        <is>
          <t xml:space="preserve">Lich</t>
        </is>
      </c>
      <c r="B15" t="inlineStr">
        <is>
          <t xml:space="preserve">Action</t>
        </is>
      </c>
      <c r="C15" t="inlineStr">
        <is>
          <t xml:space="preserve">4-Insane</t>
        </is>
      </c>
      <c r="D15" t="inlineStr">
        <is>
          <t xml:space="preserve">1x2</t>
        </is>
      </c>
      <c r="E15" t="inlineStr">
        <is>
          <t xml:space="preserve">Enter the Gungeon</t>
        </is>
      </c>
      <c r="F15">
        <v>1</v>
      </c>
      <c r="G15">
        <v>9</v>
      </c>
      <c r="H15" t="inlineStr">
        <is>
          <t xml:space="preserve">Bounty</t>
        </is>
      </c>
      <c r="I15" t="inlineStr">
        <is>
          <t xml:space="preserve">Defeat a magic enemy with a gun</t>
        </is>
      </c>
      <c r="J15" t="inlineStr">
        <is>
          <t xml:space="preserve">N/A</t>
        </is>
      </c>
      <c r="K15" t="inlineStr">
        <is>
          <t xml:space="preserve">Lich</t>
        </is>
      </c>
      <c r="L15" t="inlineStr">
        <is>
          <t xml:space="preserve">undead, skeleton</t>
        </is>
      </c>
    </row>
    <row r="16" spans="1:13">
      <c r="A16" t="inlineStr">
        <is>
          <t xml:space="preserve">Lagavulin </t>
        </is>
      </c>
      <c r="B16" t="inlineStr">
        <is>
          <t xml:space="preserve">Deckbuilder</t>
        </is>
      </c>
      <c r="C16" t="inlineStr">
        <is>
          <t xml:space="preserve">1-Low</t>
        </is>
      </c>
      <c r="D16" t="inlineStr">
        <is>
          <t xml:space="preserve">2x2</t>
        </is>
      </c>
      <c r="E16" t="inlineStr">
        <is>
          <t xml:space="preserve">Slay the Spire</t>
        </is>
      </c>
      <c r="F16">
        <v>1</v>
      </c>
      <c r="G16">
        <v>3</v>
      </c>
      <c r="H16" t="inlineStr">
        <is>
          <t xml:space="preserve">Feat</t>
        </is>
      </c>
      <c r="I16" t="inlineStr">
        <is>
          <t xml:space="preserve">Go to sleep</t>
        </is>
      </c>
      <c r="J16" t="inlineStr">
        <is>
          <t xml:space="preserve">N/A</t>
        </is>
      </c>
      <c r="K16" t="inlineStr">
        <is>
          <t xml:space="preserve">Lagavulin</t>
        </is>
      </c>
    </row>
    <row r="17" spans="1:13">
      <c r="A17" t="inlineStr">
        <is>
          <t xml:space="preserve">Vantom</t>
        </is>
      </c>
      <c r="B17" t="inlineStr">
        <is>
          <t xml:space="preserve">Deckbuilder</t>
        </is>
      </c>
      <c r="C17" t="inlineStr">
        <is>
          <t xml:space="preserve">1-Low</t>
        </is>
      </c>
      <c r="D17" t="inlineStr">
        <is>
          <t xml:space="preserve">1x1</t>
        </is>
      </c>
      <c r="E17" t="inlineStr">
        <is>
          <t xml:space="preserve">Slay the Spire 2</t>
        </is>
      </c>
      <c r="F17">
        <v>1</v>
      </c>
      <c r="G17">
        <v>3</v>
      </c>
      <c r="H17" t="inlineStr">
        <is>
          <t xml:space="preserve">Feat</t>
        </is>
      </c>
      <c r="I17" t="inlineStr">
        <is>
          <t xml:space="preserve">Use an attack that hits 4+ times</t>
        </is>
      </c>
      <c r="J17" t="inlineStr">
        <is>
          <t xml:space="preserve">Lacerator</t>
        </is>
      </c>
      <c r="K17" t="inlineStr">
        <is>
          <t xml:space="preserve">Vantom</t>
        </is>
      </c>
    </row>
    <row r="18" spans="1:13">
      <c r="A18" t="inlineStr">
        <is>
          <t xml:space="preserve">The Club</t>
        </is>
      </c>
      <c r="B18" t="inlineStr">
        <is>
          <t xml:space="preserve">Deckbuilder</t>
        </is>
      </c>
      <c r="C18" t="inlineStr">
        <is>
          <t xml:space="preserve">2-Medium</t>
        </is>
      </c>
      <c r="D18" t="inlineStr">
        <is>
          <t xml:space="preserve">1x1</t>
        </is>
      </c>
      <c r="E18" t="inlineStr">
        <is>
          <t xml:space="preserve">Balatro</t>
        </is>
      </c>
      <c r="F18">
        <v>1</v>
      </c>
      <c r="G18">
        <v>5</v>
      </c>
      <c r="H18" t="inlineStr">
        <is>
          <t xml:space="preserve">Restriction</t>
        </is>
      </c>
      <c r="I18" t="inlineStr">
        <is>
          <t xml:space="preserve">Do not backtrack</t>
        </is>
      </c>
      <c r="J18" t="inlineStr">
        <is>
          <t xml:space="preserve">N/A</t>
        </is>
      </c>
      <c r="K18" t="inlineStr">
        <is>
          <t xml:space="preserve">TheClub</t>
        </is>
      </c>
    </row>
    <row r="19" spans="1:13">
      <c r="A19" t="inlineStr">
        <is>
          <t xml:space="preserve">The Goad</t>
        </is>
      </c>
      <c r="B19" t="inlineStr">
        <is>
          <t xml:space="preserve">Deckbuilder</t>
        </is>
      </c>
      <c r="C19" t="inlineStr">
        <is>
          <t xml:space="preserve">2-Medium</t>
        </is>
      </c>
      <c r="D19" t="inlineStr">
        <is>
          <t xml:space="preserve">1x1</t>
        </is>
      </c>
      <c r="E19" t="inlineStr">
        <is>
          <t xml:space="preserve">Balatro</t>
        </is>
      </c>
      <c r="F19">
        <v>1</v>
      </c>
      <c r="G19">
        <v>5</v>
      </c>
      <c r="H19" t="inlineStr">
        <is>
          <t xml:space="preserve">Restriction</t>
        </is>
      </c>
      <c r="I19" t="inlineStr">
        <is>
          <t xml:space="preserve">Do not use a weapon</t>
        </is>
      </c>
      <c r="J19" t="inlineStr">
        <is>
          <t xml:space="preserve">N/A</t>
        </is>
      </c>
      <c r="K19" t="inlineStr">
        <is>
          <t xml:space="preserve">TheGoad</t>
        </is>
      </c>
    </row>
    <row r="20" spans="1:13">
      <c r="A20" t="inlineStr">
        <is>
          <t xml:space="preserve">The Head</t>
        </is>
      </c>
      <c r="B20" t="inlineStr">
        <is>
          <t xml:space="preserve">Deckbuilder</t>
        </is>
      </c>
      <c r="C20" t="inlineStr">
        <is>
          <t xml:space="preserve">2-Medium</t>
        </is>
      </c>
      <c r="D20" t="inlineStr">
        <is>
          <t xml:space="preserve">1x1</t>
        </is>
      </c>
      <c r="E20" t="inlineStr">
        <is>
          <t xml:space="preserve">Balatro</t>
        </is>
      </c>
      <c r="F20">
        <v>1</v>
      </c>
      <c r="G20">
        <v>5</v>
      </c>
      <c r="H20" t="inlineStr">
        <is>
          <t xml:space="preserve">Restriction</t>
        </is>
      </c>
      <c r="I20" t="inlineStr">
        <is>
          <t xml:space="preserve">Do not purposefully heal</t>
        </is>
      </c>
      <c r="J20" t="inlineStr">
        <is>
          <t xml:space="preserve">N/A</t>
        </is>
      </c>
      <c r="K20" t="inlineStr">
        <is>
          <t xml:space="preserve">TheHead</t>
        </is>
      </c>
    </row>
    <row r="21" spans="1:13">
      <c r="A21" t="inlineStr">
        <is>
          <t xml:space="preserve">The Insatiable </t>
        </is>
      </c>
      <c r="B21" t="inlineStr">
        <is>
          <t xml:space="preserve">Deckbuilder</t>
        </is>
      </c>
      <c r="C21" t="inlineStr">
        <is>
          <t xml:space="preserve">2-Medium</t>
        </is>
      </c>
      <c r="D21" t="inlineStr">
        <is>
          <t xml:space="preserve">2x2</t>
        </is>
      </c>
      <c r="E21" t="inlineStr">
        <is>
          <t xml:space="preserve">Slay the Spire 2</t>
        </is>
      </c>
      <c r="F21">
        <v>1</v>
      </c>
      <c r="G21">
        <v>5</v>
      </c>
      <c r="H21" t="inlineStr">
        <is>
          <t xml:space="preserve">Bounty</t>
        </is>
      </c>
      <c r="I21" t="inlineStr">
        <is>
          <t xml:space="preserve">Consume an enemy</t>
        </is>
      </c>
      <c r="J21" t="inlineStr">
        <is>
          <t xml:space="preserve">Ruthless, Devour Whole</t>
        </is>
      </c>
      <c r="K21" t="inlineStr">
        <is>
          <t xml:space="preserve">TheInsatiable</t>
        </is>
      </c>
    </row>
    <row r="22" spans="1:13">
      <c r="A22" t="inlineStr">
        <is>
          <t xml:space="preserve">The Window</t>
        </is>
      </c>
      <c r="B22" t="inlineStr">
        <is>
          <t xml:space="preserve">Deckbuilder</t>
        </is>
      </c>
      <c r="C22" t="inlineStr">
        <is>
          <t xml:space="preserve">2-Medium</t>
        </is>
      </c>
      <c r="D22" t="inlineStr">
        <is>
          <t xml:space="preserve">1x1</t>
        </is>
      </c>
      <c r="E22" t="inlineStr">
        <is>
          <t xml:space="preserve">Balatro</t>
        </is>
      </c>
      <c r="F22">
        <v>1</v>
      </c>
      <c r="G22">
        <v>5</v>
      </c>
      <c r="H22" t="inlineStr">
        <is>
          <t xml:space="preserve">Restriction</t>
        </is>
      </c>
      <c r="I22" t="inlineStr">
        <is>
          <t xml:space="preserve">Do not spend currency</t>
        </is>
      </c>
      <c r="J22" t="inlineStr">
        <is>
          <t xml:space="preserve">N/A</t>
        </is>
      </c>
      <c r="K22" t="inlineStr">
        <is>
          <t xml:space="preserve">TheWindow</t>
        </is>
      </c>
    </row>
    <row r="23" spans="1:13">
      <c r="A23" t="inlineStr">
        <is>
          <t xml:space="preserve">Cerulean Bell</t>
        </is>
      </c>
      <c r="B23" t="inlineStr">
        <is>
          <t xml:space="preserve">Deckbuilder</t>
        </is>
      </c>
      <c r="C23" t="inlineStr">
        <is>
          <t xml:space="preserve">3-High</t>
        </is>
      </c>
      <c r="D23" t="inlineStr">
        <is>
          <t xml:space="preserve">1x1</t>
        </is>
      </c>
      <c r="E23" t="inlineStr">
        <is>
          <t xml:space="preserve">Balatro</t>
        </is>
      </c>
      <c r="F23">
        <v>1</v>
      </c>
      <c r="G23">
        <v>7</v>
      </c>
      <c r="H23" t="inlineStr">
        <is>
          <t xml:space="preserve">Restriction</t>
        </is>
      </c>
      <c r="I23" t="inlineStr">
        <is>
          <t xml:space="preserve">When taking reward options, only take the first option offered</t>
        </is>
      </c>
      <c r="J23" t="inlineStr">
        <is>
          <t xml:space="preserve">N/A</t>
        </is>
      </c>
      <c r="K23" t="inlineStr">
        <is>
          <t xml:space="preserve">CeruleanBell</t>
        </is>
      </c>
    </row>
    <row r="24" spans="1:13">
      <c r="A24" t="inlineStr">
        <is>
          <t xml:space="preserve">Time Eater</t>
        </is>
      </c>
      <c r="B24" t="inlineStr">
        <is>
          <t xml:space="preserve">Deckbuilder</t>
        </is>
      </c>
      <c r="C24" t="inlineStr">
        <is>
          <t xml:space="preserve">3-High</t>
        </is>
      </c>
      <c r="D24" t="inlineStr">
        <is>
          <t xml:space="preserve">1x1</t>
        </is>
      </c>
      <c r="E24" t="inlineStr">
        <is>
          <t xml:space="preserve">Slay the Spire</t>
        </is>
      </c>
      <c r="F24">
        <v>1</v>
      </c>
      <c r="G24">
        <v>7</v>
      </c>
      <c r="H24" t="inlineStr">
        <is>
          <t xml:space="preserve">Restriction</t>
        </is>
      </c>
      <c r="I24" t="inlineStr">
        <is>
          <t xml:space="preserve">Beat the game in 2 hours or less</t>
        </is>
      </c>
      <c r="J24" t="inlineStr">
        <is>
          <t xml:space="preserve">Bolster (3, Speed)</t>
        </is>
      </c>
      <c r="K24" t="inlineStr">
        <is>
          <t xml:space="preserve">TimeEater</t>
        </is>
      </c>
    </row>
    <row r="25" spans="1:13">
      <c r="A25" t="inlineStr">
        <is>
          <t xml:space="preserve">Corrupt Heart</t>
        </is>
      </c>
      <c r="B25" t="inlineStr">
        <is>
          <t xml:space="preserve">Deckbuilder</t>
        </is>
      </c>
      <c r="C25" t="inlineStr">
        <is>
          <t xml:space="preserve">4-Insane</t>
        </is>
      </c>
      <c r="D25" t="inlineStr">
        <is>
          <t xml:space="preserve">2x2</t>
        </is>
      </c>
      <c r="E25" t="inlineStr">
        <is>
          <t xml:space="preserve">Slay the Spire</t>
        </is>
      </c>
      <c r="F25">
        <v>1</v>
      </c>
      <c r="G25">
        <v>9</v>
      </c>
      <c r="H25" t="inlineStr">
        <is>
          <t xml:space="preserve">Feat</t>
        </is>
      </c>
      <c r="I25" t="inlineStr">
        <is>
          <t xml:space="preserve">Get the true ending on the hardest difficulty possible</t>
        </is>
      </c>
      <c r="J25" t="inlineStr">
        <is>
          <t xml:space="preserve">Hexer (2)</t>
        </is>
      </c>
      <c r="K25" t="inlineStr">
        <is>
          <t xml:space="preserve">CorruptHeart</t>
        </is>
      </c>
    </row>
    <row r="26" spans="1:13">
      <c r="A26" t="inlineStr">
        <is>
          <t xml:space="preserve">Giant Spider</t>
        </is>
      </c>
      <c r="B26" t="inlineStr">
        <is>
          <t xml:space="preserve">Strategy</t>
        </is>
      </c>
      <c r="C26" t="inlineStr">
        <is>
          <t xml:space="preserve">1-Low</t>
        </is>
      </c>
      <c r="D26" t="inlineStr">
        <is>
          <t xml:space="preserve">2x2</t>
        </is>
      </c>
      <c r="E26" t="inlineStr">
        <is>
          <t xml:space="preserve">Forward: Escape the Fold</t>
        </is>
      </c>
      <c r="F26">
        <v>1</v>
      </c>
      <c r="G26">
        <v>3</v>
      </c>
      <c r="H26" t="inlineStr">
        <is>
          <t xml:space="preserve">Bounty</t>
        </is>
      </c>
      <c r="I26" t="inlineStr">
        <is>
          <t xml:space="preserve">Defeat a bug larger than you</t>
        </is>
      </c>
      <c r="J26" t="inlineStr">
        <is>
          <t xml:space="preserve">N/A</t>
        </is>
      </c>
      <c r="K26" t="inlineStr">
        <is>
          <t xml:space="preserve">GiantSpider</t>
        </is>
      </c>
      <c r="L26" t="inlineStr">
        <is>
          <t xml:space="preserve">bug, spider</t>
        </is>
      </c>
    </row>
    <row r="27" spans="1:13">
      <c r="A27" t="inlineStr">
        <is>
          <t xml:space="preserve">Hickory</t>
        </is>
      </c>
      <c r="B27" t="inlineStr">
        <is>
          <t xml:space="preserve">Strategy</t>
        </is>
      </c>
      <c r="C27" t="inlineStr">
        <is>
          <t xml:space="preserve">1-Low</t>
        </is>
      </c>
      <c r="D27" t="inlineStr">
        <is>
          <t xml:space="preserve">1x1</t>
        </is>
      </c>
      <c r="E27" t="inlineStr">
        <is>
          <t xml:space="preserve">Brutal Orchestra</t>
        </is>
      </c>
      <c r="F27">
        <v>1</v>
      </c>
      <c r="G27">
        <v>3</v>
      </c>
      <c r="H27" t="inlineStr">
        <is>
          <t xml:space="preserve">Feat</t>
        </is>
      </c>
      <c r="I27" t="inlineStr">
        <is>
          <t xml:space="preserve">Light a liquid on fire</t>
        </is>
      </c>
      <c r="J27" t="inlineStr">
        <is>
          <t xml:space="preserve">Infliction (1, Burn)</t>
        </is>
      </c>
      <c r="K27" t="inlineStr">
        <is>
          <t xml:space="preserve">Hickory</t>
        </is>
      </c>
      <c r="L27" t="inlineStr">
        <is>
          <t xml:space="preserve">fire</t>
        </is>
      </c>
    </row>
    <row r="28" spans="1:13">
      <c r="A28" t="inlineStr">
        <is>
          <t xml:space="preserve">Marshmallow</t>
        </is>
      </c>
      <c r="B28" t="inlineStr">
        <is>
          <t xml:space="preserve">Strategy</t>
        </is>
      </c>
      <c r="C28" t="inlineStr">
        <is>
          <t xml:space="preserve">1-Low</t>
        </is>
      </c>
      <c r="D28" t="inlineStr">
        <is>
          <t xml:space="preserve">1x1</t>
        </is>
      </c>
      <c r="E28" t="inlineStr">
        <is>
          <t xml:space="preserve">Mewgenics</t>
        </is>
      </c>
      <c r="F28">
        <v>1</v>
      </c>
      <c r="G28">
        <v>3</v>
      </c>
      <c r="H28" t="inlineStr">
        <is>
          <t xml:space="preserve">Feat</t>
        </is>
      </c>
      <c r="I28" t="inlineStr">
        <is>
          <t xml:space="preserve">Have an enemy defeat another enemy</t>
        </is>
      </c>
      <c r="J28" t="inlineStr">
        <is>
          <t xml:space="preserve">N/A</t>
        </is>
      </c>
      <c r="K28" t="inlineStr">
        <is>
          <t xml:space="preserve">Marshmallow</t>
        </is>
      </c>
      <c r="L28" t="inlineStr">
        <is>
          <t xml:space="preserve">cat</t>
        </is>
      </c>
    </row>
    <row r="29" spans="1:13">
      <c r="A29" t="inlineStr">
        <is>
          <t xml:space="preserve">Mobius</t>
        </is>
      </c>
      <c r="B29" t="inlineStr">
        <is>
          <t xml:space="preserve">Strategy</t>
        </is>
      </c>
      <c r="C29" t="inlineStr">
        <is>
          <t xml:space="preserve">1-Low</t>
        </is>
      </c>
      <c r="D29" t="inlineStr">
        <is>
          <t xml:space="preserve">2x2</t>
        </is>
      </c>
      <c r="E29" t="inlineStr">
        <is>
          <t xml:space="preserve">Brutal Orchestra</t>
        </is>
      </c>
      <c r="F29">
        <v>1</v>
      </c>
      <c r="G29">
        <v>3</v>
      </c>
      <c r="H29" t="inlineStr">
        <is>
          <t xml:space="preserve">Fetch</t>
        </is>
      </c>
      <c r="I29" t="inlineStr">
        <is>
          <t xml:space="preserve">Obtain a large fish</t>
        </is>
      </c>
      <c r="J29" t="inlineStr">
        <is>
          <t xml:space="preserve">N/A</t>
        </is>
      </c>
      <c r="K29" t="inlineStr">
        <is>
          <t xml:space="preserve">Mobius</t>
        </is>
      </c>
      <c r="L29" t="inlineStr">
        <is>
          <t xml:space="preserve">fish</t>
        </is>
      </c>
    </row>
    <row r="30" spans="1:13">
      <c r="A30" t="inlineStr">
        <is>
          <t xml:space="preserve">Morana</t>
        </is>
      </c>
      <c r="B30" t="inlineStr">
        <is>
          <t xml:space="preserve">Strategy</t>
        </is>
      </c>
      <c r="C30" t="inlineStr">
        <is>
          <t xml:space="preserve">1-Low</t>
        </is>
      </c>
      <c r="D30" t="inlineStr">
        <is>
          <t xml:space="preserve">1x1</t>
        </is>
      </c>
      <c r="E30" t="inlineStr">
        <is>
          <t xml:space="preserve">Mewgenics</t>
        </is>
      </c>
      <c r="F30">
        <v>1</v>
      </c>
      <c r="G30">
        <v>3</v>
      </c>
      <c r="H30" t="inlineStr">
        <is>
          <t xml:space="preserve">Feat</t>
        </is>
      </c>
      <c r="I30" t="inlineStr">
        <is>
          <t xml:space="preserve">Raise the dead</t>
        </is>
      </c>
      <c r="J30" t="inlineStr">
        <is>
          <t xml:space="preserve">Necromancy (1)</t>
        </is>
      </c>
      <c r="K30" t="inlineStr">
        <is>
          <t xml:space="preserve">Morana</t>
        </is>
      </c>
      <c r="L30" t="inlineStr">
        <is>
          <t xml:space="preserve">cat</t>
        </is>
      </c>
    </row>
    <row r="31" spans="1:13">
      <c r="A31" t="inlineStr">
        <is>
          <t xml:space="preserve">Trigger Fingers</t>
        </is>
      </c>
      <c r="B31" t="inlineStr">
        <is>
          <t xml:space="preserve">Strategy</t>
        </is>
      </c>
      <c r="C31" t="inlineStr">
        <is>
          <t xml:space="preserve">1-Low</t>
        </is>
      </c>
      <c r="D31" t="inlineStr">
        <is>
          <t xml:space="preserve">1x1</t>
        </is>
      </c>
      <c r="E31" t="inlineStr">
        <is>
          <t xml:space="preserve">Brutal Orchestra</t>
        </is>
      </c>
      <c r="F31">
        <v>1</v>
      </c>
      <c r="G31">
        <v>3</v>
      </c>
      <c r="H31" t="inlineStr">
        <is>
          <t xml:space="preserve">Bounty</t>
        </is>
      </c>
      <c r="I31" t="inlineStr">
        <is>
          <t xml:space="preserve">Defeat a fascist</t>
        </is>
      </c>
      <c r="J31" t="inlineStr">
        <is>
          <t xml:space="preserve">N/A</t>
        </is>
      </c>
      <c r="K31" t="inlineStr">
        <is>
          <t xml:space="preserve">TriggerFingers</t>
        </is>
      </c>
    </row>
    <row r="32" spans="1:13">
      <c r="A32" t="inlineStr">
        <is>
          <t xml:space="preserve">Flushmaster</t>
        </is>
      </c>
      <c r="B32" t="inlineStr">
        <is>
          <t xml:space="preserve">Strategy</t>
        </is>
      </c>
      <c r="C32" t="inlineStr">
        <is>
          <t xml:space="preserve">2-Medium</t>
        </is>
      </c>
      <c r="D32" t="inlineStr">
        <is>
          <t xml:space="preserve">1x1</t>
        </is>
      </c>
      <c r="E32" t="inlineStr">
        <is>
          <t xml:space="preserve">Mewgenics</t>
        </is>
      </c>
      <c r="F32">
        <v>1</v>
      </c>
      <c r="G32">
        <v>5</v>
      </c>
      <c r="H32" t="inlineStr">
        <is>
          <t xml:space="preserve">Feat</t>
        </is>
      </c>
      <c r="I32" t="inlineStr">
        <is>
          <t xml:space="preserve">Flush or get flushed</t>
        </is>
      </c>
      <c r="J32" t="inlineStr">
        <is>
          <t xml:space="preserve">N/A</t>
        </is>
      </c>
      <c r="K32" t="inlineStr">
        <is>
          <t xml:space="preserve">Flushmaster</t>
        </is>
      </c>
    </row>
    <row r="33" spans="1:13">
      <c r="A33" t="inlineStr">
        <is>
          <t xml:space="preserve">Guillatina</t>
        </is>
      </c>
      <c r="B33" t="inlineStr">
        <is>
          <t xml:space="preserve">Strategy</t>
        </is>
      </c>
      <c r="C33" t="inlineStr">
        <is>
          <t xml:space="preserve">2-Medium</t>
        </is>
      </c>
      <c r="D33" t="inlineStr">
        <is>
          <t xml:space="preserve">2x2</t>
        </is>
      </c>
      <c r="E33" t="inlineStr">
        <is>
          <t xml:space="preserve">Mewgenics</t>
        </is>
      </c>
      <c r="F33">
        <v>1</v>
      </c>
      <c r="G33">
        <v>5</v>
      </c>
      <c r="H33" t="inlineStr">
        <is>
          <t xml:space="preserve">Feat/Feat/Bounty</t>
        </is>
      </c>
      <c r="I33" t="inlineStr">
        <is>
          <t xml:space="preserve">Eat a living creature / Throw a body part / Defeat a rotten enemy</t>
        </is>
      </c>
      <c r="J33" t="inlineStr">
        <is>
          <t xml:space="preserve">Trample, Undying (2)</t>
        </is>
      </c>
      <c r="K33" t="inlineStr">
        <is>
          <t xml:space="preserve">Guillotina, Guillotina2, Guillotina3</t>
        </is>
      </c>
      <c r="L33" t="inlineStr">
        <is>
          <t xml:space="preserve">cat</t>
        </is>
      </c>
      <c r="M33">
        <v>3</v>
      </c>
    </row>
    <row r="34" spans="1:13">
      <c r="A34" t="inlineStr">
        <is>
          <t xml:space="preserve">Lord Bunga</t>
        </is>
      </c>
      <c r="B34" t="inlineStr">
        <is>
          <t xml:space="preserve">Strategy</t>
        </is>
      </c>
      <c r="C34" t="inlineStr">
        <is>
          <t xml:space="preserve">2-Medium</t>
        </is>
      </c>
      <c r="D34" t="inlineStr">
        <is>
          <t xml:space="preserve">2x1</t>
        </is>
      </c>
      <c r="E34" t="inlineStr">
        <is>
          <t xml:space="preserve">Mewgenics</t>
        </is>
      </c>
      <c r="F34">
        <v>1</v>
      </c>
      <c r="G34">
        <v>5</v>
      </c>
      <c r="H34" t="inlineStr">
        <is>
          <t xml:space="preserve">Fetch</t>
        </is>
      </c>
      <c r="I34" t="inlineStr">
        <is>
          <t xml:space="preserve">Become a cannibal</t>
        </is>
      </c>
      <c r="J34" t="inlineStr">
        <is>
          <t xml:space="preserve">Ruthless, Devour Whole</t>
        </is>
      </c>
      <c r="K34" t="inlineStr">
        <is>
          <t xml:space="preserve">LordBunga</t>
        </is>
      </c>
    </row>
    <row r="35" spans="1:13">
      <c r="A35" t="inlineStr">
        <is>
          <t xml:space="preserve">Trampy</t>
        </is>
      </c>
      <c r="B35" t="inlineStr">
        <is>
          <t xml:space="preserve">Strategy</t>
        </is>
      </c>
      <c r="C35" t="inlineStr">
        <is>
          <t xml:space="preserve">2-Medium</t>
        </is>
      </c>
      <c r="D35" t="inlineStr">
        <is>
          <t xml:space="preserve">1x1</t>
        </is>
      </c>
      <c r="E35" t="inlineStr">
        <is>
          <t xml:space="preserve">Mewgenics</t>
        </is>
      </c>
      <c r="F35">
        <v>1</v>
      </c>
      <c r="G35">
        <v>5</v>
      </c>
      <c r="H35" t="inlineStr">
        <is>
          <t xml:space="preserve">Feat</t>
        </is>
      </c>
      <c r="I35" t="inlineStr">
        <is>
          <t xml:space="preserve">Get drunk</t>
        </is>
      </c>
      <c r="J35" t="inlineStr">
        <is>
          <t xml:space="preserve">N/A</t>
        </is>
      </c>
      <c r="K35" t="inlineStr">
        <is>
          <t xml:space="preserve">Trampy</t>
        </is>
      </c>
      <c r="L35" t="inlineStr">
        <is>
          <t xml:space="preserve">cat</t>
        </is>
      </c>
    </row>
    <row r="36" spans="1:13">
      <c r="A36" t="inlineStr">
        <is>
          <t xml:space="preserve">The Man in the Moon</t>
        </is>
      </c>
      <c r="B36" t="inlineStr">
        <is>
          <t xml:space="preserve">Strategy</t>
        </is>
      </c>
      <c r="C36" t="inlineStr">
        <is>
          <t xml:space="preserve">3-High</t>
        </is>
      </c>
      <c r="D36" t="inlineStr">
        <is>
          <t xml:space="preserve">3x3</t>
        </is>
      </c>
      <c r="E36" t="inlineStr">
        <is>
          <t xml:space="preserve">Mewgenics</t>
        </is>
      </c>
      <c r="F36">
        <v>1</v>
      </c>
      <c r="G36">
        <v>7</v>
      </c>
      <c r="H36" t="inlineStr">
        <is>
          <t xml:space="preserve">Discovery</t>
        </is>
      </c>
      <c r="I36" t="inlineStr">
        <is>
          <t xml:space="preserve">Go to a Moon</t>
        </is>
      </c>
      <c r="J36" t="inlineStr">
        <is>
          <t xml:space="preserve">Trample</t>
        </is>
      </c>
      <c r="K36" t="inlineStr">
        <is>
          <t xml:space="preserve">TheManInTheMoon</t>
        </is>
      </c>
    </row>
    <row r="37" spans="1:13">
      <c r="A37" t="inlineStr">
        <is>
          <t xml:space="preserve">Throbbing King</t>
        </is>
      </c>
      <c r="B37" t="inlineStr">
        <is>
          <t xml:space="preserve">Strategy</t>
        </is>
      </c>
      <c r="C37" t="inlineStr">
        <is>
          <t xml:space="preserve">3-High</t>
        </is>
      </c>
      <c r="D37" t="inlineStr">
        <is>
          <t xml:space="preserve">2x2</t>
        </is>
      </c>
      <c r="E37" t="inlineStr">
        <is>
          <t xml:space="preserve">Mewgenics</t>
        </is>
      </c>
      <c r="F37">
        <v>1</v>
      </c>
      <c r="G37">
        <v>7</v>
      </c>
      <c r="H37" t="inlineStr">
        <is>
          <t xml:space="preserve">Fetch</t>
        </is>
      </c>
      <c r="I37" t="inlineStr">
        <is>
          <t xml:space="preserve">Steal a body part</t>
        </is>
      </c>
      <c r="J37" t="inlineStr">
        <is>
          <t xml:space="preserve">Ruthless</t>
        </is>
      </c>
      <c r="K37" t="inlineStr">
        <is>
          <t xml:space="preserve">ThrobbingKing</t>
        </is>
      </c>
    </row>
    <row r="38" spans="1:13">
      <c r="A38" t="inlineStr">
        <is>
          <t xml:space="preserve">The Creator</t>
        </is>
      </c>
      <c r="B38" t="inlineStr">
        <is>
          <t xml:space="preserve">Strategy</t>
        </is>
      </c>
      <c r="C38" t="inlineStr">
        <is>
          <t xml:space="preserve">4-Insane</t>
        </is>
      </c>
      <c r="D38" t="inlineStr">
        <is>
          <t xml:space="preserve">2x2</t>
        </is>
      </c>
      <c r="E38" t="inlineStr">
        <is>
          <t xml:space="preserve">Mewgenics</t>
        </is>
      </c>
      <c r="F38">
        <v>1</v>
      </c>
      <c r="G38">
        <v>9</v>
      </c>
      <c r="H38" t="inlineStr">
        <is>
          <t xml:space="preserve">Bounty</t>
        </is>
      </c>
      <c r="I38" t="inlineStr">
        <is>
          <t xml:space="preserve">Kill a God</t>
        </is>
      </c>
      <c r="J38" t="inlineStr">
        <is>
          <t xml:space="preserve">N/A</t>
        </is>
      </c>
      <c r="K38" t="inlineStr">
        <is>
          <t xml:space="preserve">TheCreator</t>
        </is>
      </c>
      <c r="L38" t="inlineStr">
        <is>
          <t xml:space="preserve">god</t>
        </is>
      </c>
    </row>
    <row r="39" spans="1:13">
      <c r="A39" t="inlineStr">
        <is>
          <t xml:space="preserve">Banshee</t>
        </is>
      </c>
      <c r="B39" t="inlineStr">
        <is>
          <t xml:space="preserve">Traditional</t>
        </is>
      </c>
      <c r="C39" t="inlineStr">
        <is>
          <t xml:space="preserve">1-Low</t>
        </is>
      </c>
      <c r="D39" t="inlineStr">
        <is>
          <t xml:space="preserve">1x1</t>
        </is>
      </c>
      <c r="E39" t="inlineStr">
        <is>
          <t xml:space="preserve">Crypt of the NecroDancer</t>
        </is>
      </c>
      <c r="F39">
        <v>1</v>
      </c>
      <c r="G39">
        <v>3</v>
      </c>
      <c r="H39" t="inlineStr">
        <is>
          <t xml:space="preserve">Restriction</t>
        </is>
      </c>
      <c r="I39" t="inlineStr">
        <is>
          <t xml:space="preserve">Mute the game</t>
        </is>
      </c>
      <c r="J39" t="inlineStr">
        <is>
          <t xml:space="preserve">N/A</t>
        </is>
      </c>
      <c r="K39" t="inlineStr">
        <is>
          <t xml:space="preserve">Banshee</t>
        </is>
      </c>
    </row>
    <row r="40" spans="1:13">
      <c r="A40" t="inlineStr">
        <is>
          <t xml:space="preserve">Green Banshee</t>
        </is>
      </c>
      <c r="B40" t="inlineStr">
        <is>
          <t xml:space="preserve">Traditional</t>
        </is>
      </c>
      <c r="C40" t="inlineStr">
        <is>
          <t xml:space="preserve">2-Medium</t>
        </is>
      </c>
      <c r="D40" t="inlineStr">
        <is>
          <t xml:space="preserve">1x1</t>
        </is>
      </c>
      <c r="E40" t="inlineStr">
        <is>
          <t xml:space="preserve">Crypt of the NecroDancer</t>
        </is>
      </c>
      <c r="F40">
        <v>1</v>
      </c>
      <c r="G40">
        <v>5</v>
      </c>
      <c r="H40" t="inlineStr">
        <is>
          <t xml:space="preserve">Restriction</t>
        </is>
      </c>
      <c r="I40" t="inlineStr">
        <is>
          <t xml:space="preserve">Mute the game</t>
        </is>
      </c>
      <c r="J40" t="inlineStr">
        <is>
          <t xml:space="preserve">N/A</t>
        </is>
      </c>
      <c r="K40" t="inlineStr">
        <is>
          <t xml:space="preserve">GreenBanshee</t>
        </is>
      </c>
    </row>
    <row r="41" spans="1:13">
      <c r="A41" t="inlineStr">
        <is>
          <t xml:space="preserve">Dragon</t>
        </is>
      </c>
      <c r="B41" t="inlineStr">
        <is>
          <t xml:space="preserve">Traditional</t>
        </is>
      </c>
      <c r="C41" t="inlineStr">
        <is>
          <t xml:space="preserve">3-High</t>
        </is>
      </c>
      <c r="D41" t="inlineStr">
        <is>
          <t xml:space="preserve">1x2</t>
        </is>
      </c>
      <c r="E41" t="inlineStr">
        <is>
          <t xml:space="preserve">Rogue</t>
        </is>
      </c>
      <c r="F41">
        <v>1</v>
      </c>
      <c r="G41">
        <v>7</v>
      </c>
      <c r="H41" t="inlineStr">
        <is>
          <t xml:space="preserve">Bounty</t>
        </is>
      </c>
      <c r="I41" t="inlineStr">
        <is>
          <t xml:space="preserve">Slay a dragon boss</t>
        </is>
      </c>
      <c r="J41" t="inlineStr">
        <is>
          <t xml:space="preserve">Ranged (2), Fireproof, Infliction (1, Burn)</t>
        </is>
      </c>
      <c r="K41" t="inlineStr">
        <is>
          <t xml:space="preserve">Dragon</t>
        </is>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A29" sqref="A29"/>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c r="A1" t="inlineStr">
        <is>
          <t xml:space="preserve">Name</t>
        </is>
      </c>
      <c r="B1" t="inlineStr">
        <is>
          <t xml:space="preserve">Type</t>
        </is>
      </c>
      <c r="C1" t="inlineStr">
        <is>
          <t xml:space="preserve">Variables</t>
        </is>
      </c>
      <c r="D1" t="inlineStr">
        <is>
          <t xml:space="preserve">Description</t>
        </is>
      </c>
      <c r="E1" t="inlineStr">
        <is>
          <t xml:space="preserve">Effect</t>
        </is>
      </c>
    </row>
    <row r="2" spans="1:5">
      <c r="A2" t="inlineStr">
        <is>
          <t xml:space="preserve">Aftermath</t>
        </is>
      </c>
      <c r="B2" t="inlineStr">
        <is>
          <t xml:space="preserve">Death</t>
        </is>
      </c>
      <c r="C2" t="inlineStr">
        <is>
          <t xml:space="preserve">Tile Effect</t>
        </is>
      </c>
      <c r="D2" t="inlineStr">
        <is>
          <t xml:space="preserve">On Death, will Add X Tile Effect to the Tile it died on</t>
        </is>
      </c>
    </row>
    <row r="3" spans="1:5">
      <c r="A3" t="inlineStr">
        <is>
          <t xml:space="preserve">Agile</t>
        </is>
      </c>
      <c r="B3" t="inlineStr">
        <is>
          <t xml:space="preserve">Movement</t>
        </is>
      </c>
      <c r="C3" t="inlineStr">
        <is>
          <t xml:space="preserve">N/A</t>
        </is>
      </c>
      <c r="D3" t="inlineStr">
        <is>
          <t xml:space="preserve">Can move diagonally if necessary</t>
        </is>
      </c>
    </row>
    <row r="4" spans="1:5">
      <c r="A4" t="inlineStr">
        <is>
          <t xml:space="preserve">Bolster</t>
        </is>
      </c>
      <c r="B4" t="inlineStr">
        <is>
          <t xml:space="preserve">Buff</t>
        </is>
      </c>
      <c r="C4" t="inlineStr">
        <is>
          <t xml:space="preserve">Amount, Status Type</t>
        </is>
      </c>
      <c r="D4" t="inlineStr">
        <is>
          <t xml:space="preserve">Grants X amount of X Status to all other Enemies and Bosses until death</t>
        </is>
      </c>
    </row>
    <row r="5" spans="1:5">
      <c r="A5" t="inlineStr">
        <is>
          <t xml:space="preserve">Defensive Stance</t>
        </is>
      </c>
      <c r="B5" t="inlineStr">
        <is>
          <t xml:space="preserve">Intent</t>
        </is>
      </c>
      <c r="C5" t="inlineStr">
        <is>
          <t xml:space="preserve">Stacks</t>
        </is>
      </c>
      <c r="D5" t="inlineStr">
        <is>
          <t xml:space="preserve">Will Gain X Dexterity on it's first turn instead of moving or attacking</t>
        </is>
      </c>
    </row>
    <row r="6" spans="1:5">
      <c r="A6" t="inlineStr">
        <is>
          <t xml:space="preserve">Degradation</t>
        </is>
      </c>
      <c r="B6" t="inlineStr">
        <is>
          <t xml:space="preserve">Attack</t>
        </is>
      </c>
      <c r="C6" t="inlineStr">
        <is>
          <t xml:space="preserve">Amount</t>
        </is>
      </c>
      <c r="D6" t="inlineStr">
        <is>
          <t xml:space="preserve">When this Enemy attacks and deals damage, it will Destroy X amount of random obtained Loot</t>
        </is>
      </c>
    </row>
    <row r="7" spans="1:5">
      <c r="A7" t="inlineStr">
        <is>
          <t xml:space="preserve">Devour Whole</t>
        </is>
      </c>
      <c r="B7" t="inlineStr">
        <is>
          <t xml:space="preserve">Attack</t>
        </is>
      </c>
      <c r="C7" t="inlineStr">
        <is>
          <t xml:space="preserve">N/A</t>
        </is>
      </c>
      <c r="D7" t="inlineStr">
        <is>
          <t xml:space="preserve">When this Enemy attacks and deals damage, the target is eaten and dies, including the plaer</t>
        </is>
      </c>
    </row>
    <row r="8" spans="1:5">
      <c r="A8" t="inlineStr">
        <is>
          <t xml:space="preserve">Fading</t>
        </is>
      </c>
      <c r="B8" t="inlineStr">
        <is>
          <t xml:space="preserve">Death</t>
        </is>
      </c>
      <c r="C8" t="inlineStr">
        <is>
          <t xml:space="preserve">Amount</t>
        </is>
      </c>
      <c r="D8" t="inlineStr">
        <is>
          <t xml:space="preserve">Will die at the end of X amount of combats</t>
        </is>
      </c>
    </row>
    <row r="9" spans="1:5">
      <c r="A9" t="inlineStr">
        <is>
          <t xml:space="preserve">Fireproof</t>
        </is>
      </c>
      <c r="B9" t="inlineStr">
        <is>
          <t xml:space="preserve">Resistance</t>
        </is>
      </c>
      <c r="C9" t="inlineStr">
        <is>
          <t xml:space="preserve">N/A</t>
        </is>
      </c>
      <c r="D9" t="inlineStr">
        <is>
          <t xml:space="preserve">Cannot be Burned</t>
        </is>
      </c>
    </row>
    <row r="10" spans="1:5">
      <c r="A10" t="inlineStr">
        <is>
          <t xml:space="preserve">Haste</t>
        </is>
      </c>
      <c r="B10" t="inlineStr">
        <is>
          <t xml:space="preserve">Buff</t>
        </is>
      </c>
      <c r="C10" t="inlineStr">
        <is>
          <t xml:space="preserve">Stacks</t>
        </is>
      </c>
      <c r="D10" t="inlineStr">
        <is>
          <t xml:space="preserve">Spawns with X Speed</t>
        </is>
      </c>
    </row>
    <row r="11" spans="1:5">
      <c r="A11" t="inlineStr">
        <is>
          <t xml:space="preserve">Hexer</t>
        </is>
      </c>
      <c r="B11" t="inlineStr">
        <is>
          <t xml:space="preserve">Attack</t>
        </is>
      </c>
      <c r="C11" t="inlineStr">
        <is>
          <t xml:space="preserve">Amount</t>
        </is>
      </c>
      <c r="D11" t="inlineStr">
        <is>
          <t xml:space="preserve">When this Enemy attacks and deals damage, it will give the player X amount of random curses</t>
        </is>
      </c>
    </row>
    <row r="12" spans="1:5">
      <c r="A12" t="inlineStr">
        <is>
          <t xml:space="preserve">Illusion</t>
        </is>
      </c>
      <c r="B12" t="inlineStr">
        <is>
          <t xml:space="preserve">Death</t>
        </is>
      </c>
      <c r="C12" t="inlineStr">
        <is>
          <t xml:space="preserve">N/A</t>
        </is>
      </c>
      <c r="D12" t="inlineStr">
        <is>
          <t xml:space="preserve">Will die when it's Illusionist does</t>
        </is>
      </c>
    </row>
    <row r="13" spans="1:5">
      <c r="A13" t="inlineStr">
        <is>
          <t xml:space="preserve">Illusionist</t>
        </is>
      </c>
      <c r="B13" t="inlineStr">
        <is>
          <t xml:space="preserve">Summoner</t>
        </is>
      </c>
      <c r="C13" t="inlineStr">
        <is>
          <t xml:space="preserve">Amount, Enemy Type</t>
        </is>
      </c>
      <c r="D13" t="inlineStr">
        <is>
          <t xml:space="preserve">Will spend it's first turn Summoning X amount of Y Enemies and gives the Illusion Ability to Enemies Summoned</t>
        </is>
      </c>
    </row>
    <row r="14" spans="1:5">
      <c r="A14" t="inlineStr">
        <is>
          <t xml:space="preserve">Immobile</t>
        </is>
      </c>
      <c r="B14" t="inlineStr">
        <is>
          <t xml:space="preserve">Movement</t>
        </is>
      </c>
      <c r="C14" t="inlineStr">
        <is>
          <t xml:space="preserve">N/A</t>
        </is>
      </c>
      <c r="D14" t="inlineStr">
        <is>
          <t xml:space="preserve">Cannot Move</t>
        </is>
      </c>
    </row>
    <row r="15" spans="1:5">
      <c r="A15" t="inlineStr">
        <is>
          <t xml:space="preserve">Infliction</t>
        </is>
      </c>
      <c r="B15" t="inlineStr">
        <is>
          <t xml:space="preserve">Attack</t>
        </is>
      </c>
      <c r="C15" t="inlineStr">
        <is>
          <t xml:space="preserve">Amount, Status Type</t>
        </is>
      </c>
      <c r="D15" t="inlineStr">
        <is>
          <t xml:space="preserve">When this Enemy attacks and deals damage, it will Apply X amount of Y Status to the Player</t>
        </is>
      </c>
    </row>
    <row r="16" spans="1:5">
      <c r="A16" t="inlineStr">
        <is>
          <t xml:space="preserve">Invisibility</t>
        </is>
      </c>
      <c r="B16" t="inlineStr">
        <is>
          <t xml:space="preserve">Buff</t>
        </is>
      </c>
      <c r="C16" t="inlineStr">
        <is>
          <t xml:space="preserve">N/A</t>
        </is>
      </c>
      <c r="D16" t="inlineStr">
        <is>
          <t xml:space="preserve">Spawns invisible to the player and will become visible again when it attacks</t>
        </is>
      </c>
    </row>
    <row r="17" spans="1:5">
      <c r="A17" t="inlineStr">
        <is>
          <t xml:space="preserve">Lacerator</t>
        </is>
      </c>
      <c r="B17" t="inlineStr">
        <is>
          <t xml:space="preserve">Attack</t>
        </is>
      </c>
      <c r="C17" t="inlineStr">
        <is>
          <t xml:space="preserve">N/A</t>
        </is>
      </c>
      <c r="D17" t="inlineStr">
        <is>
          <t xml:space="preserve">When this Enemy attacks and deals damage, it will give the player the Injury curse</t>
        </is>
      </c>
    </row>
    <row r="18" spans="1:5">
      <c r="A18" t="inlineStr">
        <is>
          <t xml:space="preserve">Melee Ally Buff</t>
        </is>
      </c>
      <c r="B18" t="inlineStr">
        <is>
          <t xml:space="preserve">Intent</t>
        </is>
      </c>
      <c r="C18" t="inlineStr">
        <is>
          <t xml:space="preserve">Amount, Status Type</t>
        </is>
      </c>
      <c r="D18" t="inlineStr">
        <is>
          <t xml:space="preserve">If there is an Enemy present, this Enemy will use it's turn and movement to move towards the nearest Enemy and if in contact, will X amount of Y Status to them</t>
        </is>
      </c>
    </row>
    <row r="19" spans="1:5">
      <c r="A19" t="inlineStr">
        <is>
          <t xml:space="preserve">Necromancy</t>
        </is>
      </c>
      <c r="B19" t="inlineStr">
        <is>
          <t xml:space="preserve">Summoner</t>
        </is>
      </c>
      <c r="C19" t="inlineStr">
        <is>
          <t xml:space="preserve">Amount</t>
        </is>
      </c>
      <c r="D19" t="inlineStr">
        <is>
          <t xml:space="preserve">Will not move, but each turn will Summon X Enemies that was previously defeated in the row in front of them in that lane if there is space and gives the Undead type to Enemies Summoned</t>
        </is>
      </c>
    </row>
    <row r="20" spans="1:5">
      <c r="A20" t="inlineStr">
        <is>
          <t xml:space="preserve">Nested Spawner</t>
        </is>
      </c>
      <c r="B20" t="inlineStr">
        <is>
          <t xml:space="preserve">Summoner</t>
        </is>
      </c>
      <c r="C20" t="inlineStr">
        <is>
          <t xml:space="preserve">Amount, Enemy Type</t>
        </is>
      </c>
      <c r="D20" t="inlineStr">
        <is>
          <t xml:space="preserve">Will not move, but each turn will Summon X number of Y type enemies in the row in front of them in that lane if there is space</t>
        </is>
      </c>
    </row>
    <row r="21" spans="1:5">
      <c r="A21" t="inlineStr">
        <is>
          <t xml:space="preserve">Predatory Scent</t>
        </is>
      </c>
      <c r="B21" t="inlineStr">
        <is>
          <t xml:space="preserve">Movement</t>
        </is>
      </c>
      <c r="C21" t="inlineStr">
        <is>
          <t xml:space="preserve">N/A</t>
        </is>
      </c>
      <c r="D21" t="inlineStr">
        <is>
          <t xml:space="preserve">Will take an extra turn if the player doesn't complete a status goal if they have one</t>
        </is>
      </c>
    </row>
    <row r="22" spans="1:5">
      <c r="A22" t="inlineStr">
        <is>
          <t xml:space="preserve">Ranged</t>
        </is>
      </c>
      <c r="B22" t="inlineStr">
        <is>
          <t xml:space="preserve">Attack</t>
        </is>
      </c>
      <c r="C22" t="inlineStr">
        <is>
          <t xml:space="preserve">Grid Range</t>
        </is>
      </c>
      <c r="D22" t="inlineStr">
        <is>
          <t xml:space="preserve">Can Attack from X tiles away</t>
        </is>
      </c>
    </row>
    <row r="23" spans="1:5">
      <c r="A23" t="inlineStr">
        <is>
          <t xml:space="preserve">Ritual</t>
        </is>
      </c>
      <c r="B23" t="inlineStr">
        <is>
          <t xml:space="preserve">Intent</t>
        </is>
      </c>
      <c r="C23" t="inlineStr">
        <is>
          <t xml:space="preserve">N/A</t>
        </is>
      </c>
      <c r="D23" t="inlineStr">
        <is>
          <t xml:space="preserve">Will not move or attack on it's first turn, but every turn after that it Gains +1 Strength</t>
        </is>
      </c>
    </row>
    <row r="24" spans="1:5">
      <c r="A24" t="inlineStr">
        <is>
          <t xml:space="preserve">Ruthless</t>
        </is>
      </c>
      <c r="B24" t="inlineStr">
        <is>
          <t xml:space="preserve">Attack</t>
        </is>
      </c>
      <c r="C24" t="inlineStr">
        <is>
          <t xml:space="preserve">N/A</t>
        </is>
      </c>
      <c r="D24" t="inlineStr">
        <is>
          <t xml:space="preserve">Will attack enemies in front of it to make space to hit the player</t>
        </is>
      </c>
    </row>
    <row r="25" spans="1:5">
      <c r="A25" t="inlineStr">
        <is>
          <t xml:space="preserve">Split</t>
        </is>
      </c>
      <c r="B25" t="inlineStr">
        <is>
          <t xml:space="preserve">Death</t>
        </is>
      </c>
      <c r="C25" t="inlineStr">
        <is>
          <t xml:space="preserve">Amount, Enemy Type</t>
        </is>
      </c>
      <c r="D25" t="inlineStr">
        <is>
          <t xml:space="preserve">On Death, Splits into X number of Y type Enemies</t>
        </is>
      </c>
    </row>
    <row r="26" spans="1:5">
      <c r="A26" t="inlineStr">
        <is>
          <t xml:space="preserve">Tanky</t>
        </is>
      </c>
      <c r="B26" t="inlineStr">
        <is>
          <t xml:space="preserve">Buff</t>
        </is>
      </c>
      <c r="C26" t="inlineStr">
        <is>
          <t xml:space="preserve">Stacks</t>
        </is>
      </c>
      <c r="D26" t="inlineStr">
        <is>
          <t xml:space="preserve">Spawns with X More Max Health</t>
        </is>
      </c>
    </row>
    <row r="27" spans="1:5">
      <c r="A27" t="inlineStr">
        <is>
          <t xml:space="preserve">Theft</t>
        </is>
      </c>
      <c r="B27" t="inlineStr">
        <is>
          <t xml:space="preserve">Intent</t>
        </is>
      </c>
      <c r="C27" t="inlineStr">
        <is>
          <t xml:space="preserve">Amount, Goods</t>
        </is>
      </c>
      <c r="D27" t="inlineStr">
        <is>
          <t xml:space="preserve">While attacking and dealing damage, it will steal X amount of Y(Gold, Items, Loot) until defeated in which it will drop stolen goods on the battlefield, and then will start moving to the right and if they reach the last column they disappear</t>
        </is>
      </c>
    </row>
    <row r="28" spans="1:5">
      <c r="A28" t="inlineStr">
        <is>
          <t xml:space="preserve">Trample</t>
        </is>
      </c>
      <c r="B28" t="inlineStr">
        <is>
          <t xml:space="preserve">Movement</t>
        </is>
      </c>
      <c r="C28" t="inlineStr">
        <is>
          <t xml:space="preserve">N/A</t>
        </is>
      </c>
      <c r="D28" t="inlineStr">
        <is>
          <t xml:space="preserve">When moving forward, it wil push other units to the side or behind it to go forward</t>
        </is>
      </c>
    </row>
    <row r="29" spans="1:5">
      <c r="A29" t="inlineStr">
        <is>
          <t xml:space="preserve">Undying</t>
        </is>
      </c>
      <c r="B29" t="inlineStr">
        <is>
          <t xml:space="preserve">Death</t>
        </is>
      </c>
      <c r="C29" t="inlineStr">
        <is>
          <t xml:space="preserve">Amount</t>
        </is>
      </c>
      <c r="D29" t="inlineStr">
        <is>
          <t xml:space="preserve">On Death, will revive at the rightmost column at the start of the next combat X times</t>
        </is>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13" sqref="D13"/>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4018</v>
      </c>
      <c r="E1" t="s">
        <v>4019</v>
      </c>
      <c r="F1" t="s">
        <v>4020</v>
      </c>
      <c r="G1" t="s">
        <v>4021</v>
      </c>
      <c r="H1" t="s">
        <v>4022</v>
      </c>
      <c r="I1" t="s">
        <v>4023</v>
      </c>
      <c r="J1" t="s">
        <v>4024</v>
      </c>
      <c r="K1" t="s">
        <v>4025</v>
      </c>
      <c r="L1" t="s">
        <v>4026</v>
      </c>
      <c r="M1" t="s">
        <v>7</v>
      </c>
    </row>
    <row r="2" spans="1:13" x14ac:dyDescent="0.25">
      <c r="A2" t="s">
        <v>4027</v>
      </c>
      <c r="B2" t="s">
        <v>4028</v>
      </c>
      <c r="C2" t="s">
        <v>90</v>
      </c>
      <c r="D2" t="s">
        <v>4029</v>
      </c>
      <c r="E2" t="s">
        <v>4030</v>
      </c>
      <c r="F2" t="s">
        <v>4031</v>
      </c>
      <c r="G2" t="s">
        <v>4032</v>
      </c>
      <c r="H2" t="s">
        <v>4033</v>
      </c>
      <c r="I2" t="s">
        <v>3468</v>
      </c>
      <c r="J2" t="s">
        <v>187</v>
      </c>
      <c r="K2" t="s">
        <v>4034</v>
      </c>
      <c r="L2" t="s">
        <v>4035</v>
      </c>
      <c r="M2" t="s">
        <v>4027</v>
      </c>
    </row>
    <row r="3" spans="1:13" x14ac:dyDescent="0.25">
      <c r="A3" t="s">
        <v>4036</v>
      </c>
      <c r="B3" t="s">
        <v>4028</v>
      </c>
      <c r="C3" t="s">
        <v>1650</v>
      </c>
      <c r="D3" t="s">
        <v>4037</v>
      </c>
      <c r="E3" t="s">
        <v>4038</v>
      </c>
      <c r="F3" t="s">
        <v>4039</v>
      </c>
      <c r="G3" t="s">
        <v>4040</v>
      </c>
      <c r="H3" t="s">
        <v>4041</v>
      </c>
      <c r="I3" t="s">
        <v>3468</v>
      </c>
      <c r="J3" t="s">
        <v>187</v>
      </c>
      <c r="K3" t="s">
        <v>4042</v>
      </c>
      <c r="L3" t="s">
        <v>4035</v>
      </c>
      <c r="M3" t="s">
        <v>4036</v>
      </c>
    </row>
    <row r="4" spans="1:13" x14ac:dyDescent="0.25">
      <c r="A4" t="s">
        <v>4043</v>
      </c>
      <c r="B4" t="s">
        <v>4044</v>
      </c>
      <c r="C4" t="s">
        <v>1650</v>
      </c>
      <c r="D4" t="s">
        <v>4045</v>
      </c>
      <c r="E4" t="s">
        <v>4046</v>
      </c>
      <c r="F4" t="s">
        <v>4047</v>
      </c>
      <c r="G4" t="s">
        <v>4048</v>
      </c>
      <c r="H4" t="s">
        <v>4049</v>
      </c>
      <c r="I4" t="s">
        <v>4050</v>
      </c>
      <c r="J4" t="s">
        <v>4051</v>
      </c>
      <c r="K4" t="s">
        <v>4052</v>
      </c>
      <c r="L4" t="s">
        <v>4035</v>
      </c>
      <c r="M4" t="s">
        <v>4043</v>
      </c>
    </row>
    <row r="5" spans="1:13" x14ac:dyDescent="0.25">
      <c r="A5" t="s">
        <v>4053</v>
      </c>
      <c r="B5" t="s">
        <v>4028</v>
      </c>
      <c r="C5" t="s">
        <v>90</v>
      </c>
      <c r="D5" t="s">
        <v>4054</v>
      </c>
      <c r="E5" t="s">
        <v>4055</v>
      </c>
      <c r="F5" t="s">
        <v>4056</v>
      </c>
      <c r="G5" t="s">
        <v>4057</v>
      </c>
      <c r="H5" t="s">
        <v>4058</v>
      </c>
      <c r="I5" t="s">
        <v>3468</v>
      </c>
      <c r="J5" t="s">
        <v>187</v>
      </c>
      <c r="K5" t="s">
        <v>4059</v>
      </c>
      <c r="L5" t="s">
        <v>4035</v>
      </c>
      <c r="M5" t="s">
        <v>4053</v>
      </c>
    </row>
    <row r="6" spans="1:13" x14ac:dyDescent="0.25">
      <c r="A6" t="s">
        <v>4060</v>
      </c>
      <c r="B6" t="s">
        <v>4044</v>
      </c>
      <c r="C6" t="s">
        <v>501</v>
      </c>
      <c r="D6" t="s">
        <v>4061</v>
      </c>
      <c r="E6" t="s">
        <v>4062</v>
      </c>
      <c r="F6" t="s">
        <v>4063</v>
      </c>
      <c r="G6" t="s">
        <v>4064</v>
      </c>
      <c r="H6" t="s">
        <v>4065</v>
      </c>
      <c r="I6" t="s">
        <v>4050</v>
      </c>
      <c r="J6" t="s">
        <v>187</v>
      </c>
      <c r="K6" t="s">
        <v>4066</v>
      </c>
      <c r="L6" t="s">
        <v>4067</v>
      </c>
      <c r="M6" t="s">
        <v>4060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3" sqref="A13"/>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58</v>
      </c>
      <c r="B3" t="s">
        <v>38</v>
      </c>
      <c r="C3" t="s">
        <v>39</v>
      </c>
      <c r="F3" t="s">
        <v>40</v>
      </c>
      <c r="G3" t="s">
        <v>41</v>
      </c>
      <c r="H3" t="s">
        <v>59</v>
      </c>
      <c r="I3" t="s">
        <v>60</v>
      </c>
      <c r="J3" t="s">
        <v>61</v>
      </c>
      <c r="K3" t="s">
        <v>62</v>
      </c>
      <c r="N3" t="s">
        <v>63</v>
      </c>
      <c r="Q3" t="s">
        <v>64</v>
      </c>
      <c r="R3" t="s">
        <v>65</v>
      </c>
      <c r="U3" t="s">
        <v>66</v>
      </c>
      <c r="V3" t="s">
        <v>67</v>
      </c>
      <c r="Y3" t="s">
        <v>68</v>
      </c>
    </row>
    <row r="4" spans="1:37" x14ac:dyDescent="0.25">
      <c r="A4" t="s">
        <v>69</v>
      </c>
      <c r="B4" t="s">
        <v>38</v>
      </c>
      <c r="C4" t="s">
        <v>39</v>
      </c>
      <c r="E4" t="s">
        <v>70</v>
      </c>
      <c r="F4" t="s">
        <v>40</v>
      </c>
      <c r="G4" t="s">
        <v>41</v>
      </c>
      <c r="H4" t="s">
        <v>71</v>
      </c>
      <c r="I4" t="s">
        <v>72</v>
      </c>
      <c r="N4" t="s">
        <v>73</v>
      </c>
      <c r="P4" t="s">
        <v>74</v>
      </c>
      <c r="Q4" t="s">
        <v>75</v>
      </c>
      <c r="R4" t="s">
        <v>76</v>
      </c>
      <c r="T4" t="s">
        <v>77</v>
      </c>
      <c r="U4" t="s">
        <v>78</v>
      </c>
    </row>
    <row r="5" spans="1:37" x14ac:dyDescent="0.25">
      <c r="A5" t="s">
        <v>79</v>
      </c>
      <c r="B5" t="s">
        <v>38</v>
      </c>
      <c r="C5" t="s">
        <v>39</v>
      </c>
      <c r="E5" t="s">
        <v>80</v>
      </c>
      <c r="F5" t="s">
        <v>40</v>
      </c>
      <c r="G5" t="s">
        <v>41</v>
      </c>
      <c r="H5" t="s">
        <v>81</v>
      </c>
      <c r="I5" t="s">
        <v>82</v>
      </c>
      <c r="N5" t="s">
        <v>83</v>
      </c>
      <c r="P5" t="s">
        <v>84</v>
      </c>
      <c r="Q5" t="s">
        <v>85</v>
      </c>
      <c r="R5" t="s">
        <v>86</v>
      </c>
      <c r="T5" t="s">
        <v>87</v>
      </c>
      <c r="U5" t="s">
        <v>88</v>
      </c>
    </row>
    <row r="6" spans="1:37" x14ac:dyDescent="0.25">
      <c r="A6" t="s">
        <v>89</v>
      </c>
      <c r="B6" t="s">
        <v>90</v>
      </c>
      <c r="C6" t="s">
        <v>39</v>
      </c>
      <c r="F6" t="s">
        <v>40</v>
      </c>
      <c r="G6" t="s">
        <v>41</v>
      </c>
      <c r="H6" t="s">
        <v>91</v>
      </c>
      <c r="I6" t="s">
        <v>92</v>
      </c>
      <c r="L6" t="s">
        <v>93</v>
      </c>
      <c r="M6" t="s">
        <v>94</v>
      </c>
      <c r="N6" t="s">
        <v>95</v>
      </c>
      <c r="O6" t="s">
        <v>45</v>
      </c>
      <c r="Q6" t="s">
        <v>96</v>
      </c>
      <c r="R6" t="s">
        <v>97</v>
      </c>
      <c r="S6" t="s">
        <v>49</v>
      </c>
      <c r="U6" t="s">
        <v>98</v>
      </c>
      <c r="V6" t="s">
        <v>99</v>
      </c>
      <c r="X6" t="s">
        <v>100</v>
      </c>
      <c r="Y6" t="s">
        <v>101</v>
      </c>
    </row>
    <row r="7" spans="1:37" x14ac:dyDescent="0.25">
      <c r="A7" t="s">
        <v>102</v>
      </c>
      <c r="B7" t="s">
        <v>38</v>
      </c>
      <c r="C7" t="s">
        <v>39</v>
      </c>
      <c r="F7" t="s">
        <v>40</v>
      </c>
      <c r="G7" t="s">
        <v>41</v>
      </c>
      <c r="H7" t="s">
        <v>103</v>
      </c>
      <c r="I7" t="s">
        <v>104</v>
      </c>
      <c r="N7" t="s">
        <v>105</v>
      </c>
      <c r="P7" t="s">
        <v>106</v>
      </c>
      <c r="Q7" t="s">
        <v>107</v>
      </c>
      <c r="R7" t="s">
        <v>108</v>
      </c>
      <c r="T7" t="s">
        <v>109</v>
      </c>
      <c r="U7" t="s">
        <v>110</v>
      </c>
    </row>
    <row r="8" spans="1:37" x14ac:dyDescent="0.25">
      <c r="A8" t="s">
        <v>111</v>
      </c>
      <c r="B8" t="s">
        <v>38</v>
      </c>
      <c r="C8" t="s">
        <v>39</v>
      </c>
      <c r="E8" t="s">
        <v>112</v>
      </c>
      <c r="F8" t="s">
        <v>40</v>
      </c>
      <c r="G8" t="s">
        <v>41</v>
      </c>
      <c r="H8" t="s">
        <v>113</v>
      </c>
      <c r="I8" t="s">
        <v>114</v>
      </c>
      <c r="N8" t="s">
        <v>115</v>
      </c>
      <c r="P8" t="s">
        <v>116</v>
      </c>
      <c r="Q8" t="s">
        <v>117</v>
      </c>
      <c r="R8" t="s">
        <v>118</v>
      </c>
      <c r="T8" t="s">
        <v>119</v>
      </c>
      <c r="U8" t="s">
        <v>120</v>
      </c>
    </row>
    <row r="9" spans="1:37" x14ac:dyDescent="0.25">
      <c r="A9" t="s">
        <v>121</v>
      </c>
      <c r="B9" t="s">
        <v>38</v>
      </c>
      <c r="C9" t="s">
        <v>39</v>
      </c>
      <c r="E9" t="s">
        <v>122</v>
      </c>
      <c r="F9" t="s">
        <v>40</v>
      </c>
      <c r="G9" t="s">
        <v>41</v>
      </c>
      <c r="H9" t="s">
        <v>123</v>
      </c>
      <c r="I9" t="s">
        <v>124</v>
      </c>
      <c r="N9" t="s">
        <v>125</v>
      </c>
      <c r="P9" t="s">
        <v>126</v>
      </c>
      <c r="Q9" t="s">
        <v>127</v>
      </c>
      <c r="R9" t="s">
        <v>128</v>
      </c>
      <c r="T9" t="s">
        <v>129</v>
      </c>
      <c r="U9" t="s">
        <v>130</v>
      </c>
    </row>
    <row r="10" spans="1:37" x14ac:dyDescent="0.25">
      <c r="A10" t="s">
        <v>131</v>
      </c>
      <c r="B10" t="s">
        <v>90</v>
      </c>
      <c r="C10" t="s">
        <v>39</v>
      </c>
      <c r="F10" t="s">
        <v>40</v>
      </c>
      <c r="G10" t="s">
        <v>41</v>
      </c>
      <c r="H10" t="s">
        <v>132</v>
      </c>
      <c r="I10" t="s">
        <v>133</v>
      </c>
      <c r="N10" t="s">
        <v>134</v>
      </c>
      <c r="O10" t="s">
        <v>45</v>
      </c>
      <c r="P10" t="s">
        <v>135</v>
      </c>
      <c r="Q10" t="s">
        <v>136</v>
      </c>
      <c r="R10" t="s">
        <v>99</v>
      </c>
      <c r="T10" t="s">
        <v>137</v>
      </c>
      <c r="U10" t="s">
        <v>138</v>
      </c>
      <c r="V10" t="s">
        <v>139</v>
      </c>
      <c r="X10" t="s">
        <v>140</v>
      </c>
      <c r="Y10" t="s">
        <v>141</v>
      </c>
      <c r="Z10" t="s">
        <v>142</v>
      </c>
      <c r="AB10" t="s">
        <v>143</v>
      </c>
      <c r="AC10" t="s">
        <v>144</v>
      </c>
      <c r="AD10" t="s">
        <v>145</v>
      </c>
      <c r="AF10" t="s">
        <v>146</v>
      </c>
      <c r="AG10" t="s">
        <v>147</v>
      </c>
    </row>
    <row r="11" spans="1:37" x14ac:dyDescent="0.25">
      <c r="A11" t="s">
        <v>148</v>
      </c>
      <c r="B11" t="s">
        <v>38</v>
      </c>
      <c r="C11" t="s">
        <v>39</v>
      </c>
      <c r="E11" t="s">
        <v>149</v>
      </c>
      <c r="F11" t="s">
        <v>40</v>
      </c>
      <c r="G11" t="s">
        <v>41</v>
      </c>
      <c r="H11" t="s">
        <v>150</v>
      </c>
      <c r="I11" t="s">
        <v>151</v>
      </c>
      <c r="N11" t="s">
        <v>152</v>
      </c>
      <c r="P11" t="s">
        <v>153</v>
      </c>
      <c r="Q11" t="s">
        <v>154</v>
      </c>
      <c r="R11" t="s">
        <v>155</v>
      </c>
      <c r="T11" t="s">
        <v>153</v>
      </c>
      <c r="U11" t="s">
        <v>156</v>
      </c>
      <c r="V11" t="s">
        <v>157</v>
      </c>
      <c r="X11" t="s">
        <v>153</v>
      </c>
      <c r="Y11" t="s">
        <v>158</v>
      </c>
    </row>
    <row r="12" spans="1:37" x14ac:dyDescent="0.25">
      <c r="A12" t="s">
        <v>159</v>
      </c>
      <c r="B12" t="s">
        <v>160</v>
      </c>
      <c r="C12" t="s">
        <v>39</v>
      </c>
      <c r="E12" t="s">
        <v>161</v>
      </c>
      <c r="F12" t="s">
        <v>40</v>
      </c>
      <c r="G12" t="s">
        <v>41</v>
      </c>
      <c r="H12" t="s">
        <v>162</v>
      </c>
      <c r="N12" t="s">
        <v>163</v>
      </c>
      <c r="O12" t="s">
        <v>45</v>
      </c>
      <c r="Q12" t="s">
        <v>164</v>
      </c>
      <c r="R12" t="s">
        <v>99</v>
      </c>
      <c r="U12" t="s">
        <v>101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37" sqref="E37"/>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18.85546875" bestFit="1" customWidth="1"/>
    <col min="10" max="10" width="25.5703125" bestFit="1" customWidth="1"/>
    <col min="13" max="13" width="20.140625" bestFit="1" customWidth="1"/>
    <col min="14" max="14" width="8.5703125" bestFit="1" customWidth="1"/>
  </cols>
  <sheetData>
    <row r="1" spans="1:14">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File</t>
        </is>
      </c>
      <c r="H1" t="inlineStr">
        <is>
          <t xml:space="preserve">Notes</t>
        </is>
      </c>
      <c r="J1" t="inlineStr">
        <is>
          <t xml:space="preserve">Random Scroll Name</t>
        </is>
      </c>
      <c r="K1" t="inlineStr">
        <is>
          <t xml:space="preserve">Game</t>
        </is>
      </c>
      <c r="M1" t="inlineStr">
        <is>
          <t xml:space="preserve">Random Scroll Part</t>
        </is>
      </c>
      <c r="N1" t="inlineStr">
        <is>
          <t xml:space="preserve">Game</t>
        </is>
      </c>
    </row>
    <row r="2" spans="1:14">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c r="J2" t="inlineStr">
        <is>
          <t xml:space="preserve">ANDOVA BEGARIN</t>
        </is>
      </c>
      <c r="K2" t="inlineStr">
        <is>
          <t xml:space="preserve">NetHack</t>
        </is>
      </c>
      <c r="M2" t="inlineStr">
        <is>
          <t xml:space="preserve">ah</t>
        </is>
      </c>
      <c r="N2" t="inlineStr">
        <is>
          <t xml:space="preserve">Rogue</t>
        </is>
      </c>
    </row>
    <row r="3" spans="1:14">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G3" t="inlineStr">
        <is>
          <t xml:space="preserve">Amnesia</t>
        </is>
      </c>
      <c r="J3" t="inlineStr">
        <is>
          <t xml:space="preserve">DAIYEN FOOELS</t>
        </is>
      </c>
      <c r="K3" t="inlineStr">
        <is>
          <t xml:space="preserve">NetHack</t>
        </is>
      </c>
      <c r="M3" t="inlineStr">
        <is>
          <t xml:space="preserve">arek</t>
        </is>
      </c>
      <c r="N3" t="inlineStr">
        <is>
          <t xml:space="preserve">Rogue</t>
        </is>
      </c>
    </row>
    <row r="4" spans="1:14">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c r="J4" t="inlineStr">
        <is>
          <t xml:space="preserve">DUAM XNAHT</t>
        </is>
      </c>
      <c r="K4" t="inlineStr">
        <is>
          <t xml:space="preserve">NetHack</t>
        </is>
      </c>
      <c r="M4" t="inlineStr">
        <is>
          <t xml:space="preserve">bahl</t>
        </is>
      </c>
      <c r="N4" t="inlineStr">
        <is>
          <t xml:space="preserve">Rogue</t>
        </is>
      </c>
    </row>
    <row r="5" spans="1:14">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G5" t="inlineStr">
        <is>
          <t xml:space="preserve">Identify</t>
        </is>
      </c>
      <c r="H5" t="inlineStr">
        <is>
          <t xml:space="preserve">Not rolled with the other scrolls: 10% of every loot drop is this one instead.</t>
        </is>
      </c>
      <c r="J5" t="inlineStr">
        <is>
          <t xml:space="preserve">ELAM EBOW</t>
        </is>
      </c>
      <c r="K5" t="inlineStr">
        <is>
          <t xml:space="preserve">NetHack</t>
        </is>
      </c>
      <c r="M5" t="inlineStr">
        <is>
          <t xml:space="preserve">bar</t>
        </is>
      </c>
      <c r="N5" t="inlineStr">
        <is>
          <t xml:space="preserve">Rogue</t>
        </is>
      </c>
    </row>
    <row r="6" spans="1:14">
      <c r="A6" t="inlineStr">
        <is>
          <t xml:space="preserve">Scroll of Scare Monster</t>
        </is>
      </c>
      <c r="B6" t="inlineStr">
        <is>
          <t xml:space="preserve">Rogue</t>
        </is>
      </c>
      <c r="C6" t="inlineStr">
        <is>
          <t xml:space="preserve">Positive</t>
        </is>
      </c>
      <c r="D6" t="inlineStr">
        <is>
          <t xml:space="preserve">Uncommon</t>
        </is>
      </c>
      <c r="E6" t="inlineStr">
        <is>
          <t xml:space="preserve">Choose 1 Enemy to Stun.</t>
        </is>
      </c>
      <c r="F6" t="inlineStr">
        <is>
          <t xml:space="preserve">stun_enemies choose 1</t>
        </is>
      </c>
      <c r="J6" t="inlineStr">
        <is>
          <t xml:space="preserve">ELBIB YLOH</t>
        </is>
      </c>
      <c r="K6" t="inlineStr">
        <is>
          <t xml:space="preserve">NetHack</t>
        </is>
      </c>
      <c r="M6" t="inlineStr">
        <is>
          <t xml:space="preserve">barf</t>
        </is>
      </c>
      <c r="N6" t="inlineStr">
        <is>
          <t xml:space="preserve">Rogue</t>
        </is>
      </c>
    </row>
    <row r="7" spans="1:14">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G7" t="inlineStr">
        <is>
          <t xml:space="preserve">Teleportation</t>
        </is>
      </c>
      <c r="J7" t="inlineStr">
        <is>
          <t xml:space="preserve">FOOBIE BLETCH</t>
        </is>
      </c>
      <c r="K7" t="inlineStr">
        <is>
          <t xml:space="preserve">NetHack</t>
        </is>
      </c>
      <c r="M7" t="inlineStr">
        <is>
          <t xml:space="preserve">behil</t>
        </is>
      </c>
      <c r="N7" t="inlineStr">
        <is>
          <t xml:space="preserve">Rogue</t>
        </is>
      </c>
    </row>
    <row r="8" spans="1:14">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c r="J8" t="inlineStr">
        <is>
          <t xml:space="preserve">GARVEN DEH</t>
        </is>
      </c>
      <c r="K8" t="inlineStr">
        <is>
          <t xml:space="preserve">NetHack</t>
        </is>
      </c>
      <c r="M8" t="inlineStr">
        <is>
          <t xml:space="preserve">blech</t>
        </is>
      </c>
      <c r="N8" t="inlineStr">
        <is>
          <t xml:space="preserve">Rogue</t>
        </is>
      </c>
    </row>
    <row r="9" spans="1:14">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c r="J9" t="inlineStr">
        <is>
          <t xml:space="preserve">HACKEM MUCHE</t>
        </is>
      </c>
      <c r="K9" t="inlineStr">
        <is>
          <t xml:space="preserve">NetHack</t>
        </is>
      </c>
      <c r="M9" t="inlineStr">
        <is>
          <t xml:space="preserve">blorp</t>
        </is>
      </c>
      <c r="N9" t="inlineStr">
        <is>
          <t xml:space="preserve">Rogue</t>
        </is>
      </c>
    </row>
    <row r="10" spans="1:14">
      <c r="J10" t="inlineStr">
        <is>
          <t xml:space="preserve">JUYED AWK YACC</t>
        </is>
      </c>
      <c r="K10" t="inlineStr">
        <is>
          <t xml:space="preserve">NetHack</t>
        </is>
      </c>
      <c r="M10" t="inlineStr">
        <is>
          <t xml:space="preserve">bloto</t>
        </is>
      </c>
      <c r="N10" t="inlineStr">
        <is>
          <t xml:space="preserve">Rogue</t>
        </is>
      </c>
    </row>
    <row r="11" spans="1:14">
      <c r="J11" t="inlineStr">
        <is>
          <t xml:space="preserve">KERNOD WEL</t>
        </is>
      </c>
      <c r="K11" t="inlineStr">
        <is>
          <t xml:space="preserve">NetHack</t>
        </is>
      </c>
      <c r="M11" t="inlineStr">
        <is>
          <t xml:space="preserve">caca</t>
        </is>
      </c>
      <c r="N11" t="inlineStr">
        <is>
          <t xml:space="preserve">Rogue</t>
        </is>
      </c>
    </row>
    <row r="12" spans="1:14">
      <c r="J12" t="inlineStr">
        <is>
          <t xml:space="preserve">KIRJE</t>
        </is>
      </c>
      <c r="K12" t="inlineStr">
        <is>
          <t xml:space="preserve">NetHack</t>
        </is>
      </c>
      <c r="M12" t="inlineStr">
        <is>
          <t xml:space="preserve">coph</t>
        </is>
      </c>
      <c r="N12" t="inlineStr">
        <is>
          <t xml:space="preserve">Rogue</t>
        </is>
      </c>
    </row>
    <row r="13" spans="1:14">
      <c r="J13" t="inlineStr">
        <is>
          <t xml:space="preserve">LEP GEX VEN ZEA</t>
        </is>
      </c>
      <c r="K13" t="inlineStr">
        <is>
          <t xml:space="preserve">NetHack</t>
        </is>
      </c>
      <c r="M13" t="inlineStr">
        <is>
          <t xml:space="preserve">druhl</t>
        </is>
      </c>
      <c r="N13" t="inlineStr">
        <is>
          <t xml:space="preserve">Rogue</t>
        </is>
      </c>
    </row>
    <row r="14" spans="1:14">
      <c r="J14" t="inlineStr">
        <is>
          <t xml:space="preserve">NR 9</t>
        </is>
      </c>
      <c r="K14" t="inlineStr">
        <is>
          <t xml:space="preserve">NetHack</t>
        </is>
      </c>
      <c r="M14" t="inlineStr">
        <is>
          <t xml:space="preserve">erp</t>
        </is>
      </c>
      <c r="N14" t="inlineStr">
        <is>
          <t xml:space="preserve">Rogue</t>
        </is>
      </c>
    </row>
    <row r="15" spans="1:14">
      <c r="J15" t="inlineStr">
        <is>
          <t xml:space="preserve">PRATYAVAYAH</t>
        </is>
      </c>
      <c r="K15" t="inlineStr">
        <is>
          <t xml:space="preserve">NetHack</t>
        </is>
      </c>
      <c r="M15" t="inlineStr">
        <is>
          <t xml:space="preserve">festr</t>
        </is>
      </c>
      <c r="N15" t="inlineStr">
        <is>
          <t xml:space="preserve">Rogue</t>
        </is>
      </c>
    </row>
    <row r="16" spans="1:14">
      <c r="J16" t="inlineStr">
        <is>
          <t xml:space="preserve">PRIRUTSENIE</t>
        </is>
      </c>
      <c r="K16" t="inlineStr">
        <is>
          <t xml:space="preserve">NetHack</t>
        </is>
      </c>
      <c r="M16" t="inlineStr">
        <is>
          <t xml:space="preserve">flem</t>
        </is>
      </c>
      <c r="N16" t="inlineStr">
        <is>
          <t xml:space="preserve">Rogue</t>
        </is>
      </c>
    </row>
    <row r="17" spans="1:14">
      <c r="J17" t="inlineStr">
        <is>
          <t xml:space="preserve">READ ME</t>
        </is>
      </c>
      <c r="K17" t="inlineStr">
        <is>
          <t xml:space="preserve">NetHack</t>
        </is>
      </c>
      <c r="M17" t="inlineStr">
        <is>
          <t xml:space="preserve">foo</t>
        </is>
      </c>
      <c r="N17" t="inlineStr">
        <is>
          <t xml:space="preserve">Rogue</t>
        </is>
      </c>
    </row>
    <row r="18" spans="1:14">
      <c r="J18" t="inlineStr">
        <is>
          <t xml:space="preserve">TEMOV</t>
        </is>
      </c>
      <c r="K18" t="inlineStr">
        <is>
          <t xml:space="preserve">NetHack</t>
        </is>
      </c>
      <c r="M18" t="inlineStr">
        <is>
          <t xml:space="preserve">grit</t>
        </is>
      </c>
      <c r="N18" t="inlineStr">
        <is>
          <t xml:space="preserve">Rogue</t>
        </is>
      </c>
    </row>
    <row r="19" spans="1:14">
      <c r="J19" t="inlineStr">
        <is>
          <t xml:space="preserve">THARR</t>
        </is>
      </c>
      <c r="K19" t="inlineStr">
        <is>
          <t xml:space="preserve">NetHack</t>
        </is>
      </c>
      <c r="M19" t="inlineStr">
        <is>
          <t xml:space="preserve">ichi</t>
        </is>
      </c>
      <c r="N19" t="inlineStr">
        <is>
          <t xml:space="preserve">Rogue</t>
        </is>
      </c>
    </row>
    <row r="20" spans="1:14">
      <c r="J20" t="inlineStr">
        <is>
          <t xml:space="preserve">VE FORBRYDERNE</t>
        </is>
      </c>
      <c r="K20" t="inlineStr">
        <is>
          <t xml:space="preserve">NetHack</t>
        </is>
      </c>
      <c r="M20" t="inlineStr">
        <is>
          <t xml:space="preserve">ighr</t>
        </is>
      </c>
      <c r="N20" t="inlineStr">
        <is>
          <t xml:space="preserve">Rogue</t>
        </is>
      </c>
    </row>
    <row r="21" spans="1:14">
      <c r="J21" t="inlineStr">
        <is>
          <t xml:space="preserve">VELOX NEB </t>
        </is>
      </c>
      <c r="K21" t="inlineStr">
        <is>
          <t xml:space="preserve">NetHack</t>
        </is>
      </c>
      <c r="M21" t="inlineStr">
        <is>
          <t xml:space="preserve">iky</t>
        </is>
      </c>
      <c r="N21" t="inlineStr">
        <is>
          <t xml:space="preserve">Rogue</t>
        </is>
      </c>
    </row>
    <row r="22" spans="1:14">
      <c r="J22" t="inlineStr">
        <is>
          <t xml:space="preserve">VENZAR BORGAVVE</t>
        </is>
      </c>
      <c r="K22" t="inlineStr">
        <is>
          <t xml:space="preserve">NetHack</t>
        </is>
      </c>
      <c r="M22" t="inlineStr">
        <is>
          <t xml:space="preserve">kini</t>
        </is>
      </c>
      <c r="N22" t="inlineStr">
        <is>
          <t xml:space="preserve">Rogue</t>
        </is>
      </c>
    </row>
    <row r="23" spans="1:14">
      <c r="J23" t="inlineStr">
        <is>
          <t xml:space="preserve">VERR YED HORRE</t>
        </is>
      </c>
      <c r="K23" t="inlineStr">
        <is>
          <t xml:space="preserve">NetHack</t>
        </is>
      </c>
      <c r="M23" t="inlineStr">
        <is>
          <t xml:space="preserve">kona</t>
        </is>
      </c>
      <c r="N23" t="inlineStr">
        <is>
          <t xml:space="preserve">Rogue</t>
        </is>
      </c>
    </row>
    <row r="24" spans="1:14">
      <c r="J24" t="inlineStr">
        <is>
          <t xml:space="preserve">XIXAXA XOXAXA XUXAXA</t>
        </is>
      </c>
      <c r="K24" t="inlineStr">
        <is>
          <t xml:space="preserve">NetHack</t>
        </is>
      </c>
      <c r="M24" t="inlineStr">
        <is>
          <t xml:space="preserve">mep</t>
        </is>
      </c>
      <c r="N24" t="inlineStr">
        <is>
          <t xml:space="preserve">Rogue</t>
        </is>
      </c>
    </row>
    <row r="25" spans="1:14">
      <c r="J25" t="inlineStr">
        <is>
          <t xml:space="preserve">YUM YUM</t>
        </is>
      </c>
      <c r="K25" t="inlineStr">
        <is>
          <t xml:space="preserve">NetHack</t>
        </is>
      </c>
      <c r="M25" t="inlineStr">
        <is>
          <t xml:space="preserve">mihln</t>
        </is>
      </c>
      <c r="N25" t="inlineStr">
        <is>
          <t xml:space="preserve">Rogue</t>
        </is>
      </c>
    </row>
    <row r="26" spans="1:14">
      <c r="J26" t="inlineStr">
        <is>
          <t xml:space="preserve">ZELGO MER</t>
        </is>
      </c>
      <c r="K26" t="inlineStr">
        <is>
          <t xml:space="preserve">NetHack</t>
        </is>
      </c>
      <c r="M26" t="inlineStr">
        <is>
          <t xml:space="preserve">ogr</t>
        </is>
      </c>
      <c r="N26" t="inlineStr">
        <is>
          <t xml:space="preserve">Rogue</t>
        </is>
      </c>
    </row>
    <row r="27" spans="1:14">
      <c r="J27" t="inlineStr">
        <is>
          <t xml:space="preserve">9 KR</t>
        </is>
      </c>
      <c r="K27" t="inlineStr">
        <is>
          <t xml:space="preserve">WazHack</t>
        </is>
      </c>
      <c r="M27" t="inlineStr">
        <is>
          <t xml:space="preserve">oh</t>
        </is>
      </c>
      <c r="N27" t="inlineStr">
        <is>
          <t xml:space="preserve">Rogue</t>
        </is>
      </c>
    </row>
    <row r="28" spans="1:14">
      <c r="J28" t="inlineStr">
        <is>
          <t xml:space="preserve">BAYOWOKI</t>
        </is>
      </c>
      <c r="K28" t="inlineStr">
        <is>
          <t xml:space="preserve">WazHack</t>
        </is>
      </c>
      <c r="M28" t="inlineStr">
        <is>
          <t xml:space="preserve">oo</t>
        </is>
      </c>
      <c r="N28" t="inlineStr">
        <is>
          <t xml:space="preserve">Rogue</t>
        </is>
      </c>
    </row>
    <row r="29" spans="1:14">
      <c r="J29" t="inlineStr">
        <is>
          <t xml:space="preserve">BITEME</t>
        </is>
      </c>
      <c r="K29" t="inlineStr">
        <is>
          <t xml:space="preserve">WazHack</t>
        </is>
      </c>
      <c r="M29" t="inlineStr">
        <is>
          <t xml:space="preserve">ooze</t>
        </is>
      </c>
      <c r="N29" t="inlineStr">
        <is>
          <t xml:space="preserve">Rogue</t>
        </is>
      </c>
    </row>
    <row r="30" spans="1:14">
      <c r="J30" t="inlineStr">
        <is>
          <t xml:space="preserve">FIIK</t>
        </is>
      </c>
      <c r="K30" t="inlineStr">
        <is>
          <t xml:space="preserve">WazHack</t>
        </is>
      </c>
      <c r="M30" t="inlineStr">
        <is>
          <t xml:space="preserve">poxi</t>
        </is>
      </c>
      <c r="N30" t="inlineStr">
        <is>
          <t xml:space="preserve">Rogue</t>
        </is>
      </c>
    </row>
    <row r="31" spans="1:14">
      <c r="J31" t="inlineStr">
        <is>
          <t xml:space="preserve">GA NI VEN ZEA</t>
        </is>
      </c>
      <c r="K31" t="inlineStr">
        <is>
          <t xml:space="preserve">WazHack</t>
        </is>
      </c>
      <c r="M31" t="inlineStr">
        <is>
          <t xml:space="preserve">quo</t>
        </is>
      </c>
      <c r="N31" t="inlineStr">
        <is>
          <t xml:space="preserve">Rogue</t>
        </is>
      </c>
    </row>
    <row r="32" spans="1:14">
      <c r="J32" t="inlineStr">
        <is>
          <t xml:space="preserve">HACHEM MUCHE</t>
        </is>
      </c>
      <c r="K32" t="inlineStr">
        <is>
          <t xml:space="preserve">WazHack</t>
        </is>
      </c>
      <c r="M32" t="inlineStr">
        <is>
          <t xml:space="preserve">rech</t>
        </is>
      </c>
      <c r="N32" t="inlineStr">
        <is>
          <t xml:space="preserve">Rogue</t>
        </is>
      </c>
    </row>
    <row r="33" spans="1:14">
      <c r="J33" t="inlineStr">
        <is>
          <t xml:space="preserve">PRIRUCHENIE</t>
        </is>
      </c>
      <c r="K33" t="inlineStr">
        <is>
          <t xml:space="preserve">WazHack</t>
        </is>
      </c>
      <c r="M33" t="inlineStr">
        <is>
          <t xml:space="preserve">rot</t>
        </is>
      </c>
      <c r="N33" t="inlineStr">
        <is>
          <t xml:space="preserve">Rogue</t>
        </is>
      </c>
    </row>
    <row r="34" spans="1:14">
      <c r="J34" t="inlineStr">
        <is>
          <t xml:space="preserve">RE ADME</t>
        </is>
      </c>
      <c r="K34" t="inlineStr">
        <is>
          <t xml:space="preserve">WazHack</t>
        </is>
      </c>
      <c r="M34" t="inlineStr">
        <is>
          <t xml:space="preserve">slie</t>
        </is>
      </c>
      <c r="N34" t="inlineStr">
        <is>
          <t xml:space="preserve">Rogue</t>
        </is>
      </c>
    </row>
    <row r="35" spans="1:14">
      <c r="J35" t="inlineStr">
        <is>
          <t xml:space="preserve">ROCH HOCH</t>
        </is>
      </c>
      <c r="K35" t="inlineStr">
        <is>
          <t xml:space="preserve">WazHack</t>
        </is>
      </c>
      <c r="M35" t="inlineStr">
        <is>
          <t xml:space="preserve">snorf</t>
        </is>
      </c>
      <c r="N35" t="inlineStr">
        <is>
          <t xml:space="preserve">Rogue</t>
        </is>
      </c>
    </row>
    <row r="36" spans="1:14">
      <c r="J36" t="inlineStr">
        <is>
          <t xml:space="preserve">TEMOV</t>
        </is>
      </c>
      <c r="K36" t="inlineStr">
        <is>
          <t xml:space="preserve">WazHack</t>
        </is>
      </c>
      <c r="M36" t="inlineStr">
        <is>
          <t xml:space="preserve">swerr</t>
        </is>
      </c>
      <c r="N36" t="inlineStr">
        <is>
          <t xml:space="preserve">Rogue</t>
        </is>
      </c>
    </row>
    <row r="37" spans="1:14">
      <c r="J37" t="inlineStr">
        <is>
          <t xml:space="preserve">TIDDER ROF</t>
        </is>
      </c>
      <c r="K37" t="inlineStr">
        <is>
          <t xml:space="preserve">WazHack</t>
        </is>
      </c>
      <c r="M37" t="inlineStr">
        <is>
          <t xml:space="preserve">tims</t>
        </is>
      </c>
      <c r="N37" t="inlineStr">
        <is>
          <t xml:space="preserve">Rogue</t>
        </is>
      </c>
    </row>
    <row r="38" spans="1:14">
      <c r="M38" t="inlineStr">
        <is>
          <t xml:space="preserve">yuky</t>
        </is>
      </c>
      <c r="N38" t="inlineStr">
        <is>
          <t xml:space="preserve">Rogue</t>
        </is>
      </c>
    </row>
    <row r="39" spans="1:14">
      <c r="M39" t="inlineStr">
        <is>
          <t xml:space="preserve">zep</t>
        </is>
      </c>
      <c r="N39" t="inlineStr">
        <is>
          <t xml:space="preserve">Rogue</t>
        </is>
      </c>
    </row>
    <row r="40" spans="1:14">
      <c r="M40" t="inlineStr">
        <is>
          <t xml:space="preserve">zihr</t>
        </is>
      </c>
      <c r="N40" t="inlineStr">
        <is>
          <t xml:space="preserve">Rogue</t>
        </is>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5" sqref="E2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4069</v>
      </c>
      <c r="C1" t="s">
        <v>3462</v>
      </c>
      <c r="D1" t="s">
        <v>3514</v>
      </c>
      <c r="E1" t="s">
        <v>4178</v>
      </c>
      <c r="F1" t="s">
        <v>4179</v>
      </c>
      <c r="G1" t="s">
        <v>4070</v>
      </c>
    </row>
    <row r="2" spans="1:7" x14ac:dyDescent="0.25">
      <c r="A2" t="s">
        <v>4180</v>
      </c>
      <c r="B2" t="s">
        <v>4091</v>
      </c>
      <c r="C2" t="s">
        <v>3593</v>
      </c>
      <c r="D2" t="s">
        <v>4181</v>
      </c>
      <c r="E2" t="s">
        <v>4182</v>
      </c>
      <c r="F2" t="s">
        <v>4183</v>
      </c>
    </row>
    <row r="3" spans="1:7" x14ac:dyDescent="0.25">
      <c r="A3" t="s">
        <v>4184</v>
      </c>
      <c r="B3" t="s">
        <v>4074</v>
      </c>
      <c r="C3" t="s">
        <v>4185</v>
      </c>
      <c r="D3" t="s">
        <v>4186</v>
      </c>
      <c r="E3" t="s">
        <v>4187</v>
      </c>
      <c r="F3" t="s">
        <v>4188</v>
      </c>
    </row>
    <row r="4" spans="1:7" x14ac:dyDescent="0.25">
      <c r="A4" t="s">
        <v>4189</v>
      </c>
      <c r="B4" t="s">
        <v>4104</v>
      </c>
      <c r="C4" t="s">
        <v>4105</v>
      </c>
      <c r="D4" t="s">
        <v>4106</v>
      </c>
      <c r="E4" t="s">
        <v>4190</v>
      </c>
      <c r="F4" t="s">
        <v>4191</v>
      </c>
    </row>
    <row r="5" spans="1:7" x14ac:dyDescent="0.25">
      <c r="A5" t="s">
        <v>4192</v>
      </c>
      <c r="B5" t="s">
        <v>4091</v>
      </c>
      <c r="C5" t="s">
        <v>4193</v>
      </c>
      <c r="D5" t="s">
        <v>4194</v>
      </c>
      <c r="E5" t="s">
        <v>4195</v>
      </c>
      <c r="F5" t="s">
        <v>4196</v>
      </c>
    </row>
    <row r="6" spans="1:7" x14ac:dyDescent="0.25">
      <c r="A6" t="s">
        <v>4197</v>
      </c>
      <c r="B6" t="s">
        <v>4091</v>
      </c>
      <c r="C6" t="s">
        <v>3654</v>
      </c>
      <c r="D6" t="s">
        <v>4198</v>
      </c>
      <c r="E6" t="s">
        <v>3657</v>
      </c>
      <c r="F6" t="s">
        <v>4199</v>
      </c>
    </row>
    <row r="7" spans="1:7" x14ac:dyDescent="0.25">
      <c r="A7" t="s">
        <v>4200</v>
      </c>
      <c r="B7" t="s">
        <v>4074</v>
      </c>
      <c r="C7" t="s">
        <v>4201</v>
      </c>
      <c r="D7" t="s">
        <v>4202</v>
      </c>
      <c r="E7" t="s">
        <v>4203</v>
      </c>
      <c r="F7" t="s">
        <v>4204</v>
      </c>
    </row>
    <row r="8" spans="1:7" x14ac:dyDescent="0.25">
      <c r="A8" t="s">
        <v>4205</v>
      </c>
      <c r="B8" t="s">
        <v>4074</v>
      </c>
      <c r="C8" t="s">
        <v>4206</v>
      </c>
      <c r="D8" t="s">
        <v>4207</v>
      </c>
      <c r="E8" t="s">
        <v>4208</v>
      </c>
      <c r="F8" t="s">
        <v>4209</v>
      </c>
      <c r="G8" t="s">
        <v>4210</v>
      </c>
    </row>
    <row r="9" spans="1:7" x14ac:dyDescent="0.25">
      <c r="A9" t="s">
        <v>4211</v>
      </c>
      <c r="B9" t="s">
        <v>4091</v>
      </c>
      <c r="C9" t="s">
        <v>4212</v>
      </c>
      <c r="D9" t="s">
        <v>4213</v>
      </c>
      <c r="E9" t="s">
        <v>4214</v>
      </c>
      <c r="F9" t="s">
        <v>4215</v>
      </c>
    </row>
    <row r="10" spans="1:7" x14ac:dyDescent="0.25">
      <c r="A10" t="s">
        <v>4216</v>
      </c>
      <c r="B10" t="s">
        <v>4091</v>
      </c>
      <c r="C10" t="s">
        <v>4217</v>
      </c>
      <c r="D10" t="s">
        <v>4218</v>
      </c>
      <c r="E10" t="s">
        <v>4219</v>
      </c>
      <c r="F10" t="s">
        <v>4220</v>
      </c>
    </row>
    <row r="11" spans="1:7" x14ac:dyDescent="0.25">
      <c r="A11" t="s">
        <v>4082</v>
      </c>
      <c r="B11" t="s">
        <v>4074</v>
      </c>
      <c r="C11" t="s">
        <v>4221</v>
      </c>
      <c r="D11" t="s">
        <v>4222</v>
      </c>
      <c r="E11" t="s">
        <v>4223</v>
      </c>
      <c r="F11" t="s">
        <v>4224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4069</v>
      </c>
      <c r="D1" t="s">
        <v>4018</v>
      </c>
      <c r="E1" t="s">
        <v>4019</v>
      </c>
      <c r="F1" t="s">
        <v>4225</v>
      </c>
      <c r="G1" t="s">
        <v>4226</v>
      </c>
      <c r="H1" t="s">
        <v>3515</v>
      </c>
      <c r="I1" t="s">
        <v>171</v>
      </c>
    </row>
    <row r="2" spans="1:9" x14ac:dyDescent="0.25">
      <c r="A2" t="s">
        <v>4227</v>
      </c>
      <c r="B2" t="s">
        <v>41</v>
      </c>
      <c r="C2" t="s">
        <v>4074</v>
      </c>
      <c r="D2" t="s">
        <v>4228</v>
      </c>
      <c r="E2" t="s">
        <v>4229</v>
      </c>
      <c r="F2" t="s">
        <v>4230</v>
      </c>
      <c r="G2" t="s">
        <v>4231</v>
      </c>
      <c r="H2" t="s">
        <v>90</v>
      </c>
      <c r="I2" t="s">
        <v>4232</v>
      </c>
    </row>
    <row r="3" spans="1:9" x14ac:dyDescent="0.25">
      <c r="A3" t="s">
        <v>4233</v>
      </c>
      <c r="B3" t="s">
        <v>41</v>
      </c>
      <c r="C3" t="s">
        <v>4091</v>
      </c>
      <c r="D3" t="s">
        <v>4217</v>
      </c>
      <c r="E3" t="s">
        <v>4218</v>
      </c>
      <c r="F3" t="s">
        <v>4234</v>
      </c>
      <c r="G3" t="s">
        <v>4235</v>
      </c>
      <c r="H3" t="s">
        <v>90</v>
      </c>
      <c r="I3" t="s">
        <v>4236</v>
      </c>
    </row>
    <row r="4" spans="1:9" x14ac:dyDescent="0.25">
      <c r="A4" t="s">
        <v>4237</v>
      </c>
      <c r="B4" t="s">
        <v>41</v>
      </c>
      <c r="C4" t="s">
        <v>4091</v>
      </c>
      <c r="D4" t="s">
        <v>4238</v>
      </c>
      <c r="E4" t="s">
        <v>4239</v>
      </c>
      <c r="F4" t="s">
        <v>4240</v>
      </c>
      <c r="G4" t="s">
        <v>4241</v>
      </c>
      <c r="H4" t="s">
        <v>90</v>
      </c>
      <c r="I4" t="s">
        <v>4242</v>
      </c>
    </row>
    <row r="5" spans="1:9" x14ac:dyDescent="0.25">
      <c r="A5" t="s">
        <v>4243</v>
      </c>
      <c r="B5" t="s">
        <v>41</v>
      </c>
      <c r="C5" t="s">
        <v>4091</v>
      </c>
      <c r="D5" t="s">
        <v>4244</v>
      </c>
      <c r="E5" t="s">
        <v>4245</v>
      </c>
      <c r="F5" t="s">
        <v>4246</v>
      </c>
      <c r="G5" t="s">
        <v>4247</v>
      </c>
      <c r="H5" t="s">
        <v>90</v>
      </c>
      <c r="I5" t="s">
        <v>4248</v>
      </c>
    </row>
    <row r="6" spans="1:9" x14ac:dyDescent="0.25">
      <c r="A6" t="s">
        <v>4249</v>
      </c>
      <c r="B6" t="s">
        <v>3520</v>
      </c>
      <c r="C6" t="s">
        <v>4091</v>
      </c>
      <c r="D6" t="s">
        <v>3654</v>
      </c>
      <c r="E6" t="s">
        <v>4198</v>
      </c>
      <c r="F6" t="s">
        <v>4250</v>
      </c>
      <c r="G6" t="s">
        <v>4251</v>
      </c>
      <c r="H6" t="s">
        <v>90</v>
      </c>
      <c r="I6" t="s">
        <v>4252</v>
      </c>
    </row>
    <row r="7" spans="1:9" x14ac:dyDescent="0.25">
      <c r="A7" t="s">
        <v>4253</v>
      </c>
      <c r="B7" t="s">
        <v>41</v>
      </c>
      <c r="C7" t="s">
        <v>4091</v>
      </c>
      <c r="D7" t="s">
        <v>4254</v>
      </c>
      <c r="E7" t="s">
        <v>4255</v>
      </c>
      <c r="F7" t="s">
        <v>4256</v>
      </c>
      <c r="G7" t="s">
        <v>4257</v>
      </c>
      <c r="H7" t="s">
        <v>90</v>
      </c>
      <c r="I7" t="s">
        <v>4258</v>
      </c>
    </row>
    <row r="8" spans="1:9" x14ac:dyDescent="0.25">
      <c r="A8" t="s">
        <v>4259</v>
      </c>
      <c r="B8" t="s">
        <v>41</v>
      </c>
      <c r="C8" t="s">
        <v>4091</v>
      </c>
      <c r="D8" t="s">
        <v>4260</v>
      </c>
      <c r="E8" t="s">
        <v>4261</v>
      </c>
      <c r="F8" t="s">
        <v>4262</v>
      </c>
      <c r="G8" t="s">
        <v>4263</v>
      </c>
      <c r="H8" t="s">
        <v>90</v>
      </c>
      <c r="I8" t="s">
        <v>4264</v>
      </c>
    </row>
    <row r="9" spans="1:9" x14ac:dyDescent="0.25">
      <c r="A9" t="s">
        <v>4265</v>
      </c>
      <c r="B9" t="s">
        <v>41</v>
      </c>
      <c r="C9" t="s">
        <v>4074</v>
      </c>
      <c r="D9" t="s">
        <v>4266</v>
      </c>
      <c r="E9" t="s">
        <v>4267</v>
      </c>
      <c r="F9" t="s">
        <v>4268</v>
      </c>
      <c r="G9" t="s">
        <v>4269</v>
      </c>
      <c r="H9" t="s">
        <v>90</v>
      </c>
      <c r="I9" t="s">
        <v>4270</v>
      </c>
    </row>
    <row r="10" spans="1:9" x14ac:dyDescent="0.25">
      <c r="A10" t="s">
        <v>4271</v>
      </c>
      <c r="B10" t="s">
        <v>3533</v>
      </c>
      <c r="C10" t="s">
        <v>4091</v>
      </c>
      <c r="D10" t="s">
        <v>4272</v>
      </c>
      <c r="E10" t="s">
        <v>4273</v>
      </c>
      <c r="F10" t="s">
        <v>4274</v>
      </c>
      <c r="G10" t="s">
        <v>4275</v>
      </c>
      <c r="H10" t="s">
        <v>38</v>
      </c>
      <c r="I10" t="s">
        <v>4276</v>
      </c>
    </row>
    <row r="11" spans="1:9" x14ac:dyDescent="0.25">
      <c r="A11" t="s">
        <v>4277</v>
      </c>
      <c r="B11" t="s">
        <v>41</v>
      </c>
      <c r="C11" t="s">
        <v>4091</v>
      </c>
      <c r="D11" t="s">
        <v>4278</v>
      </c>
      <c r="E11" t="s">
        <v>4279</v>
      </c>
      <c r="F11" t="s">
        <v>4280</v>
      </c>
      <c r="G11" t="s">
        <v>4281</v>
      </c>
      <c r="H11" t="s">
        <v>2155</v>
      </c>
      <c r="I11" t="s">
        <v>3468</v>
      </c>
    </row>
    <row r="12" spans="1:9" x14ac:dyDescent="0.25">
      <c r="A12" t="s">
        <v>4282</v>
      </c>
      <c r="B12" t="s">
        <v>3520</v>
      </c>
      <c r="C12" t="s">
        <v>4091</v>
      </c>
      <c r="D12" t="s">
        <v>4283</v>
      </c>
      <c r="E12" t="s">
        <v>4284</v>
      </c>
      <c r="F12" t="s">
        <v>3468</v>
      </c>
      <c r="G12" t="s">
        <v>4285</v>
      </c>
      <c r="H12" t="s">
        <v>2155</v>
      </c>
      <c r="I12" t="s">
        <v>3468</v>
      </c>
    </row>
    <row r="13" spans="1:9" x14ac:dyDescent="0.25">
      <c r="A13" t="s">
        <v>4286</v>
      </c>
      <c r="B13" t="s">
        <v>3520</v>
      </c>
      <c r="C13" t="s">
        <v>4091</v>
      </c>
      <c r="D13" t="s">
        <v>4287</v>
      </c>
      <c r="E13" t="s">
        <v>4288</v>
      </c>
      <c r="F13" t="s">
        <v>4289</v>
      </c>
      <c r="G13" t="s">
        <v>4290</v>
      </c>
      <c r="H13" t="s">
        <v>2155</v>
      </c>
      <c r="I13" t="s">
        <v>3468</v>
      </c>
    </row>
    <row r="14" spans="1:9" x14ac:dyDescent="0.25">
      <c r="A14" t="s">
        <v>4291</v>
      </c>
      <c r="B14" t="s">
        <v>3533</v>
      </c>
      <c r="C14" t="s">
        <v>4091</v>
      </c>
      <c r="D14" t="s">
        <v>4292</v>
      </c>
      <c r="E14" t="s">
        <v>4293</v>
      </c>
      <c r="F14" t="s">
        <v>4294</v>
      </c>
      <c r="G14" t="s">
        <v>4295</v>
      </c>
      <c r="H14" t="s">
        <v>2155</v>
      </c>
      <c r="I14" t="s">
        <v>3468</v>
      </c>
    </row>
    <row r="15" spans="1:9" x14ac:dyDescent="0.25">
      <c r="A15" t="s">
        <v>4296</v>
      </c>
      <c r="B15" t="s">
        <v>41</v>
      </c>
      <c r="C15" t="s">
        <v>4074</v>
      </c>
      <c r="D15" t="s">
        <v>4266</v>
      </c>
      <c r="E15" t="s">
        <v>4267</v>
      </c>
      <c r="F15" t="s">
        <v>4297</v>
      </c>
      <c r="G15" t="s">
        <v>4298</v>
      </c>
      <c r="H15" t="s">
        <v>256</v>
      </c>
      <c r="I15" t="s">
        <v>3468</v>
      </c>
    </row>
    <row r="16" spans="1:9" x14ac:dyDescent="0.25">
      <c r="A16" t="s">
        <v>4299</v>
      </c>
      <c r="B16" t="s">
        <v>3533</v>
      </c>
      <c r="C16" t="s">
        <v>4104</v>
      </c>
      <c r="D16" t="s">
        <v>4300</v>
      </c>
      <c r="E16" t="s">
        <v>4285</v>
      </c>
      <c r="F16" t="s">
        <v>4300</v>
      </c>
      <c r="G16" t="s">
        <v>4285</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3770</v>
      </c>
      <c r="D1" t="s">
        <v>7</v>
      </c>
      <c r="E1" t="s">
        <v>6</v>
      </c>
      <c r="F1" t="s">
        <v>4301</v>
      </c>
      <c r="G1" t="s">
        <v>4302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4303</v>
      </c>
      <c r="B2" t="s">
        <v>160</v>
      </c>
      <c r="C2" t="s">
        <v>4304</v>
      </c>
      <c r="D2" t="s">
        <v>4305</v>
      </c>
      <c r="E2" t="s">
        <v>41</v>
      </c>
      <c r="L2" t="s">
        <v>4306</v>
      </c>
      <c r="N2" t="s">
        <v>4307</v>
      </c>
      <c r="O2" t="s">
        <v>49</v>
      </c>
      <c r="Q2" t="s">
        <v>4308</v>
      </c>
      <c r="R2" t="s">
        <v>3560</v>
      </c>
      <c r="U2" t="s">
        <v>4309</v>
      </c>
    </row>
    <row r="3" spans="1:37" x14ac:dyDescent="0.25">
      <c r="A3" t="s">
        <v>4310</v>
      </c>
      <c r="B3" t="s">
        <v>2620</v>
      </c>
      <c r="C3" t="s">
        <v>4304</v>
      </c>
      <c r="D3" t="s">
        <v>4311</v>
      </c>
      <c r="E3" t="s">
        <v>41</v>
      </c>
      <c r="G3" t="s">
        <v>187</v>
      </c>
      <c r="N3" t="s">
        <v>4312</v>
      </c>
      <c r="O3" t="s">
        <v>49</v>
      </c>
      <c r="Q3" t="s">
        <v>4313</v>
      </c>
      <c r="R3" t="s">
        <v>3560</v>
      </c>
      <c r="U3" t="s">
        <v>4314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4315</v>
      </c>
      <c r="B1" t="s">
        <v>1</v>
      </c>
      <c r="C1" t="s">
        <v>4316</v>
      </c>
      <c r="D1" t="s">
        <v>4317</v>
      </c>
      <c r="E1" t="s">
        <v>4318</v>
      </c>
      <c r="F1" t="s">
        <v>7</v>
      </c>
    </row>
    <row r="2" spans="1:6" x14ac:dyDescent="0.25">
      <c r="A2" t="s">
        <v>4319</v>
      </c>
      <c r="B2" t="s">
        <v>90</v>
      </c>
      <c r="C2" t="s">
        <v>4320</v>
      </c>
      <c r="D2" t="s">
        <v>4321</v>
      </c>
      <c r="E2" t="s">
        <v>3468</v>
      </c>
      <c r="F2" t="s">
        <v>4322</v>
      </c>
    </row>
    <row r="3" spans="1:6" x14ac:dyDescent="0.25">
      <c r="A3" t="s">
        <v>4323</v>
      </c>
      <c r="B3" t="s">
        <v>38</v>
      </c>
      <c r="C3" t="s">
        <v>4324</v>
      </c>
      <c r="D3" t="s">
        <v>4321</v>
      </c>
      <c r="E3">
        <v>3</v>
      </c>
      <c r="F3" t="s">
        <v>4323</v>
      </c>
    </row>
    <row r="4" spans="1:6" x14ac:dyDescent="0.25">
      <c r="A4" t="s">
        <v>4325</v>
      </c>
      <c r="B4" t="s">
        <v>38</v>
      </c>
      <c r="C4" t="s">
        <v>4326</v>
      </c>
      <c r="D4" t="s">
        <v>4321</v>
      </c>
      <c r="E4">
        <v>3</v>
      </c>
      <c r="F4" t="s">
        <v>4327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4328</v>
      </c>
      <c r="E1" t="s">
        <v>4329</v>
      </c>
      <c r="F1" t="s">
        <v>4330</v>
      </c>
    </row>
    <row r="2" spans="1:6" x14ac:dyDescent="0.25">
      <c r="A2" t="s">
        <v>4331</v>
      </c>
      <c r="B2" t="s">
        <v>4332</v>
      </c>
      <c r="C2" t="s">
        <v>4333</v>
      </c>
      <c r="D2" t="s">
        <v>4334</v>
      </c>
      <c r="E2" t="s">
        <v>4335</v>
      </c>
      <c r="F2" t="s">
        <v>4331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4328</v>
      </c>
      <c r="F1" t="s">
        <v>3450</v>
      </c>
      <c r="G1" t="s">
        <v>4330</v>
      </c>
    </row>
    <row r="2" spans="1:7" x14ac:dyDescent="0.25">
      <c r="A2" t="s">
        <v>4336</v>
      </c>
      <c r="B2" t="s">
        <v>4337</v>
      </c>
      <c r="C2" t="s">
        <v>4338</v>
      </c>
      <c r="D2" t="s">
        <v>4339</v>
      </c>
      <c r="E2" t="s">
        <v>4340</v>
      </c>
      <c r="F2">
        <v>1</v>
      </c>
      <c r="G2" t="s">
        <v>4336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4341</v>
      </c>
      <c r="F1" t="s">
        <v>3514</v>
      </c>
      <c r="G1" t="s">
        <v>4342</v>
      </c>
      <c r="H1" t="s">
        <v>7</v>
      </c>
    </row>
    <row r="2" spans="1:8" x14ac:dyDescent="0.25">
      <c r="B2" t="s">
        <v>4343</v>
      </c>
      <c r="C2" t="s">
        <v>3772</v>
      </c>
      <c r="D2" t="s">
        <v>41</v>
      </c>
      <c r="E2" t="s">
        <v>4344</v>
      </c>
      <c r="F2" t="s">
        <v>3468</v>
      </c>
      <c r="G2" t="s">
        <v>4345</v>
      </c>
    </row>
    <row r="3" spans="1:8" x14ac:dyDescent="0.25">
      <c r="B3" t="s">
        <v>4343</v>
      </c>
      <c r="C3" t="s">
        <v>3809</v>
      </c>
      <c r="D3" t="s">
        <v>41</v>
      </c>
      <c r="E3" t="s">
        <v>4346</v>
      </c>
      <c r="G3" t="s">
        <v>4347</v>
      </c>
    </row>
    <row r="4" spans="1:8" x14ac:dyDescent="0.25">
      <c r="B4" t="s">
        <v>4343</v>
      </c>
      <c r="C4" t="s">
        <v>3824</v>
      </c>
      <c r="D4" t="s">
        <v>41</v>
      </c>
      <c r="E4" t="s">
        <v>4348</v>
      </c>
      <c r="G4" t="s">
        <v>4349</v>
      </c>
    </row>
    <row r="5" spans="1:8" x14ac:dyDescent="0.25">
      <c r="B5" t="s">
        <v>4350</v>
      </c>
      <c r="C5" t="s">
        <v>3772</v>
      </c>
      <c r="D5" t="s">
        <v>41</v>
      </c>
      <c r="E5" t="s">
        <v>4351</v>
      </c>
      <c r="F5" t="s">
        <v>3468</v>
      </c>
      <c r="G5" t="s">
        <v>4352</v>
      </c>
    </row>
    <row r="6" spans="1:8" x14ac:dyDescent="0.25">
      <c r="B6" t="s">
        <v>4350</v>
      </c>
      <c r="C6" t="s">
        <v>3809</v>
      </c>
      <c r="D6" t="s">
        <v>41</v>
      </c>
      <c r="E6" t="s">
        <v>4353</v>
      </c>
      <c r="G6" t="s">
        <v>4354</v>
      </c>
    </row>
    <row r="7" spans="1:8" x14ac:dyDescent="0.25">
      <c r="B7" t="s">
        <v>4350</v>
      </c>
      <c r="C7" t="s">
        <v>3824</v>
      </c>
      <c r="D7" t="s">
        <v>41</v>
      </c>
      <c r="E7" t="s">
        <v>4355</v>
      </c>
      <c r="G7" t="s">
        <v>4356</v>
      </c>
    </row>
    <row r="8" spans="1:8" x14ac:dyDescent="0.25">
      <c r="B8" t="s">
        <v>4357</v>
      </c>
      <c r="C8" t="s">
        <v>3772</v>
      </c>
      <c r="D8" t="s">
        <v>41</v>
      </c>
      <c r="E8" t="s">
        <v>4358</v>
      </c>
      <c r="F8" t="s">
        <v>3468</v>
      </c>
    </row>
    <row r="9" spans="1:8" x14ac:dyDescent="0.25">
      <c r="B9" t="s">
        <v>4357</v>
      </c>
      <c r="C9" t="s">
        <v>3809</v>
      </c>
      <c r="D9" t="s">
        <v>41</v>
      </c>
      <c r="E9" t="s">
        <v>4359</v>
      </c>
    </row>
    <row r="10" spans="1:8" x14ac:dyDescent="0.25">
      <c r="B10" t="s">
        <v>4357</v>
      </c>
      <c r="C10" t="s">
        <v>3824</v>
      </c>
      <c r="D10" t="s">
        <v>41</v>
      </c>
      <c r="E10" t="s">
        <v>4360</v>
      </c>
    </row>
    <row r="11" spans="1:8" x14ac:dyDescent="0.25">
      <c r="B11" t="s">
        <v>4357</v>
      </c>
      <c r="C11" t="s">
        <v>3950</v>
      </c>
      <c r="D11" t="s">
        <v>41</v>
      </c>
      <c r="E11" t="s">
        <v>4361</v>
      </c>
      <c r="G11" t="s">
        <v>4362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3764</v>
      </c>
      <c r="D1" t="s">
        <v>3767</v>
      </c>
      <c r="E1" t="s">
        <v>3768</v>
      </c>
      <c r="F1" t="s">
        <v>4363</v>
      </c>
      <c r="G1" t="s">
        <v>4301</v>
      </c>
      <c r="H1" t="s">
        <v>4364</v>
      </c>
      <c r="I1" t="s">
        <v>4365</v>
      </c>
    </row>
    <row r="2" spans="1:9" x14ac:dyDescent="0.25">
      <c r="A2" t="s">
        <v>4366</v>
      </c>
      <c r="B2" t="s">
        <v>2620</v>
      </c>
      <c r="C2" t="s">
        <v>3772</v>
      </c>
      <c r="D2" t="s">
        <v>3782</v>
      </c>
      <c r="E2" t="s">
        <v>4367</v>
      </c>
      <c r="F2" t="s">
        <v>3477</v>
      </c>
      <c r="G2" t="s">
        <v>4368</v>
      </c>
      <c r="H2" t="s">
        <v>4369</v>
      </c>
      <c r="I2" t="s">
        <v>3700</v>
      </c>
    </row>
    <row r="3" spans="1:9" x14ac:dyDescent="0.25">
      <c r="A3" t="s">
        <v>4370</v>
      </c>
      <c r="B3" t="s">
        <v>2620</v>
      </c>
      <c r="C3" t="s">
        <v>3772</v>
      </c>
      <c r="D3" t="s">
        <v>3774</v>
      </c>
      <c r="E3" t="s">
        <v>4371</v>
      </c>
      <c r="F3" t="s">
        <v>3477</v>
      </c>
      <c r="G3" t="s">
        <v>4368</v>
      </c>
      <c r="I3" t="s">
        <v>4372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4373</v>
      </c>
    </row>
    <row r="2" spans="1:28" x14ac:dyDescent="0.25">
      <c r="A2" s="15" t="s">
        <v>4374</v>
      </c>
    </row>
    <row r="4" spans="1:28" ht="25.5" customHeight="1" x14ac:dyDescent="0.25">
      <c r="A4" s="16" t="s">
        <v>4375</v>
      </c>
      <c r="B4" s="16" t="s">
        <v>4376</v>
      </c>
      <c r="C4" s="16" t="s">
        <v>4377</v>
      </c>
      <c r="E4" s="16" t="s">
        <v>4378</v>
      </c>
      <c r="F4" s="16" t="s">
        <v>4379</v>
      </c>
      <c r="G4" s="16" t="s">
        <v>172</v>
      </c>
      <c r="I4" s="16" t="s">
        <v>4380</v>
      </c>
      <c r="J4" s="16" t="s">
        <v>4379</v>
      </c>
      <c r="K4" s="16" t="s">
        <v>172</v>
      </c>
      <c r="L4" s="16" t="s">
        <v>4381</v>
      </c>
      <c r="N4" s="16" t="s">
        <v>4382</v>
      </c>
      <c r="O4" s="16" t="s">
        <v>1</v>
      </c>
      <c r="P4" s="16" t="s">
        <v>4378</v>
      </c>
      <c r="R4" s="16" t="s">
        <v>4382</v>
      </c>
      <c r="S4" s="16" t="s">
        <v>4383</v>
      </c>
      <c r="T4" s="16" t="s">
        <v>4378</v>
      </c>
      <c r="V4" s="16" t="s">
        <v>166</v>
      </c>
      <c r="W4" s="16" t="s">
        <v>4379</v>
      </c>
      <c r="X4" s="16" t="s">
        <v>172</v>
      </c>
      <c r="Y4" s="16" t="s">
        <v>4384</v>
      </c>
      <c r="AA4" s="16" t="s">
        <v>4385</v>
      </c>
      <c r="AB4" s="16" t="s">
        <v>4384</v>
      </c>
    </row>
    <row r="5" spans="1:28" x14ac:dyDescent="0.25">
      <c r="A5" s="17" t="s">
        <v>4379</v>
      </c>
      <c r="B5" s="18">
        <f>COUNTA(games!$A$2:$A$950)</f>
        <v>854</v>
      </c>
      <c r="C5" s="19" t="s">
        <v>4386</v>
      </c>
      <c r="E5" t="s">
        <v>4387</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4388</v>
      </c>
      <c r="B6" s="18">
        <f>COUNTIF(games!$H$2:$H$950,"Yes")</f>
        <v>520</v>
      </c>
      <c r="C6" s="19" t="s">
        <v>4389</v>
      </c>
      <c r="E6" t="s">
        <v>4390</v>
      </c>
      <c r="F6">
        <f>COUNTIF('Map Calc'!$D$2:$D$950,1)</f>
        <v>336</v>
      </c>
      <c r="G6">
        <f>COUNTIFS('Map Calc'!$D$2:$D$950,1,'Map Calc'!$P$2:$P$950,"Yes")</f>
        <v>197</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4391</v>
      </c>
      <c r="B7" s="21">
        <f>IF(B5=0,0,B6/B5)</f>
        <v>0.6088992974238876</v>
      </c>
      <c r="C7" s="19" t="s">
        <v>4392</v>
      </c>
      <c r="E7" t="s">
        <v>4393</v>
      </c>
      <c r="F7">
        <f>COUNTIF('Map Calc'!$D$2:$D$950,2)</f>
        <v>203</v>
      </c>
      <c r="G7">
        <f>COUNTIFS('Map Calc'!$D$2:$D$950,2,'Map Calc'!$P$2:$P$950,"Yes")</f>
        <v>118</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4384</v>
      </c>
      <c r="B8" s="18">
        <f>COUNTA(connections!$A$2:$A$1400)</f>
        <v>1227</v>
      </c>
      <c r="C8" s="19" t="s">
        <v>4394</v>
      </c>
      <c r="E8" t="s">
        <v>4395</v>
      </c>
      <c r="F8">
        <f>COUNTIF('Map Calc'!$D$2:$D$950,3)</f>
        <v>106</v>
      </c>
      <c r="G8">
        <f>COUNTIFS('Map Calc'!$D$2:$D$950,3,'Map Calc'!$P$2:$P$950,"Yes")</f>
        <v>66</v>
      </c>
      <c r="I8" t="s">
        <v>179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4396</v>
      </c>
      <c r="B9" s="22">
        <f>IF(B5=0,0,2*B8/B5)</f>
        <v>2.8735362997658078</v>
      </c>
      <c r="C9" s="19" t="s">
        <v>4397</v>
      </c>
      <c r="E9" t="s">
        <v>4398</v>
      </c>
      <c r="F9">
        <f>COUNTIF('Map Calc'!$D$2:$D$950,4)</f>
        <v>44</v>
      </c>
      <c r="G9">
        <f>COUNTIFS('Map Calc'!$D$2:$D$950,4,'Map Calc'!$P$2:$P$950,"Yes")</f>
        <v>25</v>
      </c>
      <c r="I9" s="23" t="s">
        <v>39</v>
      </c>
      <c r="J9" s="23">
        <f>SUM(J5:J8)</f>
        <v>854</v>
      </c>
      <c r="K9" s="23">
        <f>SUM(K5:K8)</f>
        <v>520</v>
      </c>
      <c r="L9" s="24">
        <f>IF($J9=0,0,$K9/$J9)</f>
        <v>0.6088992974238876</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4399</v>
      </c>
      <c r="B10" s="22">
        <f>IFERROR(SUMIFS('Map Calc'!$D$2:$D$950,games!$H$2:$H$950,"Yes")/B6,0)</f>
        <v>3.5634615384615387</v>
      </c>
      <c r="C10" s="19" t="s">
        <v>4400</v>
      </c>
      <c r="E10" t="s">
        <v>4401</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4402</v>
      </c>
      <c r="B11" s="18">
        <f>MEDIAN('Map Calc'!$D$2:$D$950)</f>
        <v>2</v>
      </c>
      <c r="C11" s="19" t="s">
        <v>4403</v>
      </c>
      <c r="E11" t="s">
        <v>4404</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4405</v>
      </c>
      <c r="B12" s="18">
        <f>MAX('Map Calc'!$D$2:$D$950)</f>
        <v>146</v>
      </c>
      <c r="C12" s="19" t="s">
        <v>4406</v>
      </c>
      <c r="E12" t="s">
        <v>4407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4408</v>
      </c>
      <c r="B13" s="18">
        <f>COUNTIF('Map Calc'!$D$2:$D$950,1)</f>
        <v>336</v>
      </c>
      <c r="C13" s="19" t="s">
        <v>4409</v>
      </c>
      <c r="E13" t="s">
        <v>4410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4411</v>
      </c>
      <c r="B14" s="18">
        <f>COUNTIF('Map Calc'!$D$2:$D$950,0)</f>
        <v>81</v>
      </c>
      <c r="C14" s="19" t="s">
        <v>4412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4413</v>
      </c>
      <c r="B15" s="18">
        <f>B13+B14</f>
        <v>417</v>
      </c>
      <c r="C15" s="19" t="s">
        <v>4414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4415</v>
      </c>
      <c r="B16" s="18">
        <f>COUNTIFS(games!$H$2:$H$950,"Yes",'Map Calc'!$D$2:$D$950,"&gt;1")</f>
        <v>276</v>
      </c>
      <c r="C16" s="19" t="s">
        <v>4416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4417</v>
      </c>
      <c r="AB16">
        <f>COUNTIFS('Map Calc'!$V$2:$V$1400,"&gt;=11",'Map Calc'!$V$2:$V$1400,"&lt;=20")</f>
        <v>145</v>
      </c>
    </row>
    <row r="17" spans="1:28" x14ac:dyDescent="0.25">
      <c r="A17" s="17" t="s">
        <v>4418</v>
      </c>
      <c r="B17" s="18">
        <f>COUNTIFS(games!$H$2:$H$950,"Yes",'Map Calc'!$D$2:$D$950,"&lt;=1")</f>
        <v>244</v>
      </c>
      <c r="C17" s="19" t="s">
        <v>4419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4420</v>
      </c>
      <c r="AB17">
        <f>COUNTIF('Map Calc'!$V$2:$V$1400,"&gt;=21")</f>
        <v>84</v>
      </c>
    </row>
    <row r="18" spans="1:28" x14ac:dyDescent="0.25">
      <c r="A18" s="17" t="s">
        <v>4421</v>
      </c>
      <c r="B18" s="25">
        <f>SUMPRODUCT(('Map Calc'!$V$2:$V$1400&lt;&gt;"")*('Map Calc'!$V$2:$V$1400&lt;0))</f>
        <v>3</v>
      </c>
      <c r="C18" s="19" t="s">
        <v>4422</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4423</v>
      </c>
      <c r="B19" s="18">
        <f>SUMPRODUCT(('Map Calc'!$V$2:$V$1400&lt;&gt;"")*('Map Calc'!$V$2:$V$1400=0))</f>
        <v>11</v>
      </c>
      <c r="C19" s="19" t="s">
        <v>4424</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4425</v>
      </c>
      <c r="B20" s="26">
        <f>MEDIAN('Map Calc'!$V$2:$V$1400)</f>
        <v>5</v>
      </c>
      <c r="C20" s="19" t="s">
        <v>4426</v>
      </c>
      <c r="V20">
        <v>1993</v>
      </c>
      <c r="W20">
        <f>COUNTIF(games!$B$2:$B$950,$V20)</f>
        <v>2</v>
      </c>
      <c r="X20">
        <f>COUNTIFS(games!$B$2:$B$950,$V20,games!$H$2:$H$950,"Yes")</f>
        <v>1</v>
      </c>
      <c r="Y20">
        <f>COUNTIF('Map Calc'!$T$2:$T$1400,$V20)</f>
        <v>25</v>
      </c>
    </row>
    <row r="21" spans="1:28" x14ac:dyDescent="0.25">
      <c r="A21" s="17" t="s">
        <v>4427</v>
      </c>
      <c r="B21" s="18">
        <f>COUNTIF(connections!$D$2:$D$1400,"Yes")</f>
        <v>139</v>
      </c>
      <c r="C21" s="19" t="s">
        <v>4428</v>
      </c>
      <c r="V21">
        <v>1994</v>
      </c>
      <c r="W21">
        <f>COUNTIF(games!$B$2:$B$950,$V21)</f>
        <v>3</v>
      </c>
      <c r="X21">
        <f>COUNTIFS(games!$B$2:$B$950,$V21,games!$H$2:$H$950,"Yes")</f>
        <v>3</v>
      </c>
      <c r="Y21">
        <f>COUNTIF('Map Calc'!$T$2:$T$1400,$V21)</f>
        <v>22</v>
      </c>
    </row>
    <row r="22" spans="1:28" x14ac:dyDescent="0.25">
      <c r="A22" s="17" t="s">
        <v>4429</v>
      </c>
      <c r="B22" s="18">
        <f>COUNTA(connections!$E$2:$E$1400)</f>
        <v>1086</v>
      </c>
      <c r="C22" s="19" t="s">
        <v>4430</v>
      </c>
      <c r="V22">
        <v>1995</v>
      </c>
      <c r="W22">
        <f>COUNTIF(games!$B$2:$B$950,$V22)</f>
        <v>2</v>
      </c>
      <c r="X22">
        <f>COUNTIFS(games!$B$2:$B$950,$V22,games!$H$2:$H$950,"Yes")</f>
        <v>2</v>
      </c>
      <c r="Y22">
        <f>COUNTIF('Map Calc'!$T$2:$T$1400,$V22)</f>
        <v>12</v>
      </c>
    </row>
    <row r="23" spans="1:28" x14ac:dyDescent="0.25">
      <c r="A23" s="17" t="s">
        <v>4431</v>
      </c>
      <c r="B23" s="18">
        <f>COUNTIFS(games!$H$2:$H$950,"Yes",games!$J$2:$J$950,"")</f>
        <v>83</v>
      </c>
      <c r="C23" s="19" t="s">
        <v>4432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41</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3764</v>
      </c>
      <c r="C1" t="s">
        <v>1</v>
      </c>
      <c r="D1" t="s">
        <v>167</v>
      </c>
      <c r="E1" t="s">
        <v>3514</v>
      </c>
    </row>
    <row r="2" spans="1:5" ht="15" customHeight="1" x14ac:dyDescent="0.25">
      <c r="A2" t="s">
        <v>4433</v>
      </c>
      <c r="B2" t="s">
        <v>4434</v>
      </c>
      <c r="C2" t="s">
        <v>1047</v>
      </c>
      <c r="D2" t="s">
        <v>4435</v>
      </c>
      <c r="E2" t="s">
        <v>4436</v>
      </c>
    </row>
    <row r="3" spans="1:5" ht="15" customHeight="1" x14ac:dyDescent="0.25">
      <c r="A3" t="s">
        <v>4437</v>
      </c>
      <c r="B3" t="s">
        <v>4438</v>
      </c>
      <c r="C3" t="s">
        <v>1047</v>
      </c>
      <c r="D3" t="s">
        <v>4439</v>
      </c>
      <c r="E3" t="s">
        <v>4436</v>
      </c>
    </row>
    <row r="4" spans="1:5" ht="15" customHeight="1" x14ac:dyDescent="0.25">
      <c r="A4" t="s">
        <v>4440</v>
      </c>
      <c r="B4" t="s">
        <v>4438</v>
      </c>
      <c r="C4" t="s">
        <v>1047</v>
      </c>
      <c r="D4" t="s">
        <v>4441</v>
      </c>
      <c r="E4" t="s">
        <v>4436</v>
      </c>
    </row>
    <row r="5" spans="1:5" ht="15" customHeight="1" x14ac:dyDescent="0.25">
      <c r="A5" t="s">
        <v>4442</v>
      </c>
      <c r="B5" t="s">
        <v>4443</v>
      </c>
      <c r="C5" t="s">
        <v>1047</v>
      </c>
      <c r="D5" t="s">
        <v>4444</v>
      </c>
      <c r="E5" t="s">
        <v>4436</v>
      </c>
    </row>
    <row r="6" spans="1:5" ht="15" customHeight="1" x14ac:dyDescent="0.25">
      <c r="A6" t="s">
        <v>4445</v>
      </c>
      <c r="B6" t="s">
        <v>4443</v>
      </c>
      <c r="C6" t="s">
        <v>1047</v>
      </c>
      <c r="D6" t="s">
        <v>4446</v>
      </c>
      <c r="E6" t="s">
        <v>4436</v>
      </c>
    </row>
    <row r="7" spans="1:5" ht="15" customHeight="1" x14ac:dyDescent="0.25">
      <c r="A7" t="s">
        <v>4447</v>
      </c>
      <c r="B7" t="s">
        <v>4434</v>
      </c>
      <c r="C7" t="s">
        <v>160</v>
      </c>
      <c r="D7" t="s">
        <v>4435</v>
      </c>
      <c r="E7" t="s">
        <v>4448</v>
      </c>
    </row>
    <row r="8" spans="1:5" ht="15" customHeight="1" x14ac:dyDescent="0.25">
      <c r="A8" t="s">
        <v>4366</v>
      </c>
      <c r="B8" t="s">
        <v>4434</v>
      </c>
      <c r="C8" t="s">
        <v>160</v>
      </c>
      <c r="D8" t="s">
        <v>4449</v>
      </c>
      <c r="E8" t="s">
        <v>4448</v>
      </c>
    </row>
    <row r="9" spans="1:5" ht="15" customHeight="1" x14ac:dyDescent="0.25">
      <c r="A9" t="s">
        <v>4370</v>
      </c>
      <c r="B9" t="s">
        <v>4434</v>
      </c>
      <c r="C9" t="s">
        <v>160</v>
      </c>
      <c r="D9" t="s">
        <v>4450</v>
      </c>
      <c r="E9" t="s">
        <v>4448</v>
      </c>
    </row>
    <row r="10" spans="1:5" ht="15" customHeight="1" x14ac:dyDescent="0.25">
      <c r="A10" t="s">
        <v>4451</v>
      </c>
      <c r="B10" t="s">
        <v>4438</v>
      </c>
      <c r="C10" t="s">
        <v>160</v>
      </c>
      <c r="D10" t="s">
        <v>4439</v>
      </c>
      <c r="E10" t="s">
        <v>4448</v>
      </c>
    </row>
    <row r="11" spans="1:5" ht="15" customHeight="1" x14ac:dyDescent="0.25">
      <c r="A11" t="s">
        <v>4452</v>
      </c>
      <c r="B11" t="s">
        <v>4438</v>
      </c>
      <c r="C11" t="s">
        <v>160</v>
      </c>
      <c r="D11" t="s">
        <v>4453</v>
      </c>
      <c r="E11" t="s">
        <v>4448</v>
      </c>
    </row>
    <row r="12" spans="1:5" ht="15" customHeight="1" x14ac:dyDescent="0.25">
      <c r="A12" t="s">
        <v>4454</v>
      </c>
      <c r="B12" t="s">
        <v>4438</v>
      </c>
      <c r="C12" t="s">
        <v>160</v>
      </c>
      <c r="D12" t="s">
        <v>4446</v>
      </c>
      <c r="E12" t="s">
        <v>4448</v>
      </c>
    </row>
    <row r="13" spans="1:5" ht="15" customHeight="1" x14ac:dyDescent="0.25">
      <c r="A13" t="s">
        <v>4455</v>
      </c>
      <c r="B13" t="s">
        <v>4443</v>
      </c>
      <c r="C13" t="s">
        <v>160</v>
      </c>
      <c r="D13" t="s">
        <v>4456</v>
      </c>
      <c r="E13" t="s">
        <v>4448</v>
      </c>
    </row>
    <row r="14" spans="1:5" ht="15" customHeight="1" x14ac:dyDescent="0.25">
      <c r="A14" t="s">
        <v>4457</v>
      </c>
      <c r="B14" t="s">
        <v>4443</v>
      </c>
      <c r="C14" t="s">
        <v>160</v>
      </c>
      <c r="D14" t="s">
        <v>4458</v>
      </c>
      <c r="E14" t="s">
        <v>4448</v>
      </c>
    </row>
    <row r="15" spans="1:5" ht="15" customHeight="1" x14ac:dyDescent="0.25">
      <c r="A15" t="s">
        <v>4459</v>
      </c>
      <c r="B15" t="s">
        <v>4443</v>
      </c>
      <c r="C15" t="s">
        <v>160</v>
      </c>
      <c r="D15" t="s">
        <v>4460</v>
      </c>
      <c r="E15" t="s">
        <v>4448</v>
      </c>
    </row>
    <row r="16" spans="1:5" ht="15" customHeight="1" x14ac:dyDescent="0.25">
      <c r="A16" t="s">
        <v>4461</v>
      </c>
      <c r="B16" t="s">
        <v>4434</v>
      </c>
      <c r="C16" t="s">
        <v>1295</v>
      </c>
      <c r="D16" t="s">
        <v>4446</v>
      </c>
      <c r="E16" t="s">
        <v>4462</v>
      </c>
    </row>
    <row r="17" spans="1:5" ht="15" customHeight="1" x14ac:dyDescent="0.25">
      <c r="A17" t="s">
        <v>4463</v>
      </c>
      <c r="B17" t="s">
        <v>4434</v>
      </c>
      <c r="C17" t="s">
        <v>1295</v>
      </c>
      <c r="D17" t="s">
        <v>4449</v>
      </c>
      <c r="E17" t="s">
        <v>4462</v>
      </c>
    </row>
    <row r="18" spans="1:5" ht="15" customHeight="1" x14ac:dyDescent="0.25">
      <c r="A18" t="s">
        <v>4464</v>
      </c>
      <c r="B18" t="s">
        <v>4438</v>
      </c>
      <c r="C18" t="s">
        <v>1295</v>
      </c>
      <c r="D18" t="s">
        <v>4453</v>
      </c>
      <c r="E18" t="s">
        <v>4462</v>
      </c>
    </row>
    <row r="19" spans="1:5" ht="15" customHeight="1" x14ac:dyDescent="0.25">
      <c r="A19" t="s">
        <v>4460</v>
      </c>
      <c r="B19" t="s">
        <v>4438</v>
      </c>
      <c r="C19" t="s">
        <v>1295</v>
      </c>
      <c r="D19" t="s">
        <v>4460</v>
      </c>
      <c r="E19" t="s">
        <v>4462</v>
      </c>
    </row>
    <row r="20" spans="1:5" ht="15" customHeight="1" x14ac:dyDescent="0.25">
      <c r="A20" t="s">
        <v>4465</v>
      </c>
      <c r="B20" t="s">
        <v>4443</v>
      </c>
      <c r="C20" t="s">
        <v>1295</v>
      </c>
      <c r="D20" t="s">
        <v>4435</v>
      </c>
      <c r="E20" t="s">
        <v>4462</v>
      </c>
    </row>
    <row r="21" spans="1:5" ht="15" customHeight="1" x14ac:dyDescent="0.25">
      <c r="A21" t="s">
        <v>4466</v>
      </c>
      <c r="B21" t="s">
        <v>4434</v>
      </c>
      <c r="C21" t="s">
        <v>2137</v>
      </c>
      <c r="D21" t="s">
        <v>4467</v>
      </c>
      <c r="E21" t="s">
        <v>4468</v>
      </c>
    </row>
    <row r="22" spans="1:5" ht="15" customHeight="1" x14ac:dyDescent="0.25">
      <c r="A22" t="s">
        <v>4469</v>
      </c>
      <c r="B22" t="s">
        <v>4434</v>
      </c>
      <c r="C22" t="s">
        <v>2137</v>
      </c>
      <c r="D22" t="s">
        <v>4470</v>
      </c>
      <c r="E22" t="s">
        <v>4468</v>
      </c>
    </row>
    <row r="23" spans="1:5" ht="15" customHeight="1" x14ac:dyDescent="0.25">
      <c r="A23" t="s">
        <v>4471</v>
      </c>
      <c r="B23" t="s">
        <v>4434</v>
      </c>
      <c r="C23" t="s">
        <v>2137</v>
      </c>
      <c r="D23" t="s">
        <v>4441</v>
      </c>
      <c r="E23" t="s">
        <v>4468</v>
      </c>
    </row>
    <row r="24" spans="1:5" ht="15" customHeight="1" x14ac:dyDescent="0.25">
      <c r="A24" t="s">
        <v>4472</v>
      </c>
      <c r="B24" t="s">
        <v>4434</v>
      </c>
      <c r="C24" t="s">
        <v>2137</v>
      </c>
      <c r="D24" t="s">
        <v>4473</v>
      </c>
      <c r="E24" t="s">
        <v>4468</v>
      </c>
    </row>
    <row r="25" spans="1:5" ht="15" customHeight="1" x14ac:dyDescent="0.25">
      <c r="A25" t="s">
        <v>4474</v>
      </c>
      <c r="B25" t="s">
        <v>4438</v>
      </c>
      <c r="C25" t="s">
        <v>2137</v>
      </c>
      <c r="D25" t="s">
        <v>4441</v>
      </c>
      <c r="E25" t="s">
        <v>4468</v>
      </c>
    </row>
    <row r="26" spans="1:5" ht="15" customHeight="1" x14ac:dyDescent="0.25">
      <c r="A26" t="s">
        <v>4475</v>
      </c>
      <c r="B26" t="s">
        <v>4438</v>
      </c>
      <c r="C26" t="s">
        <v>2137</v>
      </c>
      <c r="D26" t="s">
        <v>4449</v>
      </c>
      <c r="E26" t="s">
        <v>4468</v>
      </c>
    </row>
    <row r="27" spans="1:5" ht="15" customHeight="1" x14ac:dyDescent="0.25">
      <c r="A27" t="s">
        <v>4476</v>
      </c>
      <c r="B27" t="s">
        <v>4438</v>
      </c>
      <c r="C27" t="s">
        <v>2137</v>
      </c>
      <c r="D27" t="s">
        <v>4467</v>
      </c>
      <c r="E27" t="s">
        <v>4468</v>
      </c>
    </row>
    <row r="28" spans="1:5" ht="15" customHeight="1" x14ac:dyDescent="0.25">
      <c r="A28" t="s">
        <v>4477</v>
      </c>
      <c r="B28" t="s">
        <v>4438</v>
      </c>
      <c r="C28" t="s">
        <v>2137</v>
      </c>
      <c r="D28" t="s">
        <v>4478</v>
      </c>
      <c r="E28" t="s">
        <v>4468</v>
      </c>
    </row>
    <row r="29" spans="1:5" ht="15" customHeight="1" x14ac:dyDescent="0.25">
      <c r="A29" t="s">
        <v>4479</v>
      </c>
      <c r="B29" t="s">
        <v>4443</v>
      </c>
      <c r="C29" t="s">
        <v>2137</v>
      </c>
      <c r="D29" t="s">
        <v>4480</v>
      </c>
      <c r="E29" t="s">
        <v>4468</v>
      </c>
    </row>
    <row r="30" spans="1:5" ht="15" customHeight="1" x14ac:dyDescent="0.25">
      <c r="A30" t="s">
        <v>4481</v>
      </c>
      <c r="B30" t="s">
        <v>4443</v>
      </c>
      <c r="C30" t="s">
        <v>2137</v>
      </c>
      <c r="D30" t="s">
        <v>4482</v>
      </c>
      <c r="E30" t="s">
        <v>4468</v>
      </c>
    </row>
    <row r="31" spans="1:5" ht="15" customHeight="1" x14ac:dyDescent="0.25">
      <c r="A31" t="s">
        <v>4483</v>
      </c>
      <c r="B31" t="s">
        <v>4434</v>
      </c>
      <c r="C31" t="s">
        <v>553</v>
      </c>
      <c r="D31" t="s">
        <v>4473</v>
      </c>
      <c r="E31" t="s">
        <v>4484</v>
      </c>
    </row>
    <row r="32" spans="1:5" ht="15" customHeight="1" x14ac:dyDescent="0.25">
      <c r="A32" t="s">
        <v>4485</v>
      </c>
      <c r="B32" t="s">
        <v>4443</v>
      </c>
      <c r="C32" t="s">
        <v>553</v>
      </c>
      <c r="D32" t="s">
        <v>4473</v>
      </c>
      <c r="E32" t="s">
        <v>4484</v>
      </c>
    </row>
    <row r="33" spans="1:5" ht="15" customHeight="1" x14ac:dyDescent="0.25">
      <c r="A33" t="s">
        <v>4486</v>
      </c>
      <c r="B33" t="s">
        <v>4438</v>
      </c>
      <c r="C33" t="s">
        <v>553</v>
      </c>
      <c r="D33" t="s">
        <v>4439</v>
      </c>
      <c r="E33" t="s">
        <v>4484</v>
      </c>
    </row>
    <row r="34" spans="1:5" ht="15" customHeight="1" x14ac:dyDescent="0.25">
      <c r="A34" t="s">
        <v>4487</v>
      </c>
      <c r="B34" t="s">
        <v>4443</v>
      </c>
      <c r="C34" t="s">
        <v>553</v>
      </c>
      <c r="D34" t="s">
        <v>4482</v>
      </c>
      <c r="E34" t="s">
        <v>4484</v>
      </c>
    </row>
    <row r="35" spans="1:5" ht="15" customHeight="1" x14ac:dyDescent="0.25">
      <c r="A35" t="s">
        <v>4488</v>
      </c>
      <c r="B35" t="s">
        <v>4438</v>
      </c>
      <c r="C35" t="s">
        <v>553</v>
      </c>
      <c r="D35" t="s">
        <v>4467</v>
      </c>
      <c r="E35" t="s">
        <v>4484</v>
      </c>
    </row>
    <row r="36" spans="1:5" ht="15" customHeight="1" x14ac:dyDescent="0.25">
      <c r="A36" t="s">
        <v>4489</v>
      </c>
      <c r="B36" t="s">
        <v>4434</v>
      </c>
      <c r="C36" t="s">
        <v>553</v>
      </c>
      <c r="D36" t="s">
        <v>4439</v>
      </c>
      <c r="E36" t="s">
        <v>4484</v>
      </c>
    </row>
    <row r="37" spans="1:5" ht="15" customHeight="1" x14ac:dyDescent="0.25">
      <c r="A37" t="s">
        <v>4490</v>
      </c>
      <c r="B37" t="s">
        <v>4434</v>
      </c>
      <c r="C37" t="s">
        <v>501</v>
      </c>
      <c r="D37" t="s">
        <v>4470</v>
      </c>
      <c r="E37" t="s">
        <v>4491</v>
      </c>
    </row>
    <row r="38" spans="1:5" ht="15" customHeight="1" x14ac:dyDescent="0.25">
      <c r="A38" t="s">
        <v>4492</v>
      </c>
      <c r="B38" t="s">
        <v>4438</v>
      </c>
      <c r="C38" t="s">
        <v>501</v>
      </c>
      <c r="D38" t="s">
        <v>4453</v>
      </c>
      <c r="E38" t="s">
        <v>4491</v>
      </c>
    </row>
    <row r="39" spans="1:5" ht="15" customHeight="1" x14ac:dyDescent="0.25">
      <c r="A39" t="s">
        <v>4493</v>
      </c>
      <c r="B39" t="s">
        <v>4443</v>
      </c>
      <c r="C39" t="s">
        <v>501</v>
      </c>
      <c r="D39" t="s">
        <v>4460</v>
      </c>
      <c r="E39" t="s">
        <v>4491</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4494</v>
      </c>
      <c r="E2" t="s">
        <v>4495</v>
      </c>
      <c r="F2" t="s">
        <v>497</v>
      </c>
      <c r="G2" t="s">
        <v>3524</v>
      </c>
      <c r="H2" t="s">
        <v>3525</v>
      </c>
      <c r="I2" t="s">
        <v>3468</v>
      </c>
      <c r="J2" t="s">
        <v>3450</v>
      </c>
    </row>
    <row r="3" spans="1:10" ht="15" customHeight="1" x14ac:dyDescent="0.25">
      <c r="A3" t="s">
        <v>3526</v>
      </c>
      <c r="B3" t="s">
        <v>41</v>
      </c>
      <c r="C3" t="s">
        <v>3527</v>
      </c>
      <c r="D3" t="s">
        <v>4496</v>
      </c>
      <c r="E3" t="s">
        <v>4497</v>
      </c>
      <c r="F3" t="s">
        <v>90</v>
      </c>
      <c r="G3" t="s">
        <v>3530</v>
      </c>
      <c r="H3" t="s">
        <v>3526</v>
      </c>
      <c r="I3" t="s">
        <v>3468</v>
      </c>
      <c r="J3" t="s">
        <v>3531</v>
      </c>
    </row>
    <row r="4" spans="1:10" ht="15" customHeight="1" x14ac:dyDescent="0.25">
      <c r="A4" t="s">
        <v>4498</v>
      </c>
      <c r="B4" t="s">
        <v>3533</v>
      </c>
      <c r="C4" t="s">
        <v>4499</v>
      </c>
      <c r="D4" t="s">
        <v>4500</v>
      </c>
      <c r="E4" t="s">
        <v>4501</v>
      </c>
      <c r="F4" t="s">
        <v>1650</v>
      </c>
      <c r="G4" t="s">
        <v>4502</v>
      </c>
      <c r="H4" t="s">
        <v>4503</v>
      </c>
      <c r="I4" t="s">
        <v>3468</v>
      </c>
      <c r="J4" t="s">
        <v>3531</v>
      </c>
    </row>
    <row r="5" spans="1:10" ht="15" customHeight="1" x14ac:dyDescent="0.25">
      <c r="A5" t="s">
        <v>4504</v>
      </c>
      <c r="B5" t="s">
        <v>41</v>
      </c>
      <c r="C5" t="s">
        <v>3545</v>
      </c>
      <c r="D5" t="s">
        <v>4505</v>
      </c>
      <c r="E5" t="s">
        <v>4506</v>
      </c>
      <c r="F5" t="s">
        <v>1047</v>
      </c>
      <c r="G5" t="s">
        <v>4507</v>
      </c>
      <c r="H5" t="s">
        <v>4508</v>
      </c>
      <c r="I5" t="s">
        <v>3468</v>
      </c>
      <c r="J5" t="s">
        <v>3539</v>
      </c>
    </row>
    <row r="6" spans="1:10" ht="15" customHeight="1" x14ac:dyDescent="0.25">
      <c r="A6" t="s">
        <v>4509</v>
      </c>
      <c r="B6" t="s">
        <v>3533</v>
      </c>
      <c r="C6" t="s">
        <v>4499</v>
      </c>
      <c r="D6" t="s">
        <v>4510</v>
      </c>
      <c r="E6" t="s">
        <v>4511</v>
      </c>
      <c r="F6" t="s">
        <v>1047</v>
      </c>
      <c r="G6" t="s">
        <v>4512</v>
      </c>
      <c r="H6" t="s">
        <v>4509</v>
      </c>
      <c r="I6" t="s">
        <v>3468</v>
      </c>
      <c r="J6" t="s">
        <v>4513</v>
      </c>
    </row>
    <row r="7" spans="1:10" ht="15" customHeight="1" x14ac:dyDescent="0.25">
      <c r="A7" t="s">
        <v>4514</v>
      </c>
      <c r="B7" t="s">
        <v>3533</v>
      </c>
      <c r="C7" t="s">
        <v>3527</v>
      </c>
      <c r="D7" t="s">
        <v>4515</v>
      </c>
      <c r="E7" t="s">
        <v>4516</v>
      </c>
      <c r="F7" t="s">
        <v>1650</v>
      </c>
      <c r="G7" t="s">
        <v>4517</v>
      </c>
      <c r="H7" t="s">
        <v>4518</v>
      </c>
      <c r="I7" t="s">
        <v>3468</v>
      </c>
      <c r="J7" t="s">
        <v>3531</v>
      </c>
    </row>
    <row r="8" spans="1:10" ht="15" customHeight="1" x14ac:dyDescent="0.25">
      <c r="A8" t="s">
        <v>4519</v>
      </c>
      <c r="B8" t="s">
        <v>3520</v>
      </c>
      <c r="C8" t="s">
        <v>4520</v>
      </c>
      <c r="D8" t="s">
        <v>4521</v>
      </c>
      <c r="E8" t="s">
        <v>4522</v>
      </c>
      <c r="F8" t="s">
        <v>1622</v>
      </c>
      <c r="G8" t="s">
        <v>4523</v>
      </c>
      <c r="H8" t="s">
        <v>4524</v>
      </c>
      <c r="I8" t="s">
        <v>3468</v>
      </c>
      <c r="J8" t="s">
        <v>3539</v>
      </c>
    </row>
    <row r="9" spans="1:10" ht="15" customHeight="1" x14ac:dyDescent="0.25">
      <c r="A9" t="s">
        <v>4525</v>
      </c>
      <c r="B9" t="s">
        <v>3520</v>
      </c>
      <c r="C9" t="s">
        <v>3527</v>
      </c>
      <c r="D9" t="s">
        <v>4526</v>
      </c>
      <c r="E9" t="s">
        <v>4527</v>
      </c>
      <c r="F9" t="s">
        <v>1650</v>
      </c>
      <c r="G9" t="s">
        <v>4528</v>
      </c>
      <c r="H9" t="s">
        <v>4529</v>
      </c>
      <c r="I9" t="s">
        <v>3468</v>
      </c>
      <c r="J9" t="s">
        <v>4530</v>
      </c>
    </row>
    <row r="10" spans="1:10" ht="15" customHeight="1" x14ac:dyDescent="0.25">
      <c r="A10" t="s">
        <v>4531</v>
      </c>
      <c r="B10" t="s">
        <v>3520</v>
      </c>
      <c r="C10" t="s">
        <v>3527</v>
      </c>
      <c r="D10" t="s">
        <v>4532</v>
      </c>
      <c r="E10" t="s">
        <v>4533</v>
      </c>
      <c r="F10" t="s">
        <v>90</v>
      </c>
      <c r="G10" t="s">
        <v>4534</v>
      </c>
      <c r="H10" t="s">
        <v>4535</v>
      </c>
      <c r="I10" t="s">
        <v>3468</v>
      </c>
      <c r="J10" t="s">
        <v>3450</v>
      </c>
    </row>
    <row r="11" spans="1:10" ht="15" customHeight="1" x14ac:dyDescent="0.25">
      <c r="A11" t="s">
        <v>4536</v>
      </c>
      <c r="B11" t="s">
        <v>41</v>
      </c>
      <c r="C11" t="s">
        <v>4499</v>
      </c>
      <c r="D11" t="s">
        <v>4537</v>
      </c>
      <c r="E11" t="s">
        <v>4538</v>
      </c>
      <c r="F11" t="s">
        <v>1105</v>
      </c>
      <c r="G11" t="s">
        <v>3921</v>
      </c>
      <c r="H11" t="s">
        <v>4539</v>
      </c>
      <c r="I11" t="s">
        <v>3468</v>
      </c>
      <c r="J11" t="s">
        <v>4513</v>
      </c>
    </row>
    <row r="12" spans="1:10" ht="15" customHeight="1" x14ac:dyDescent="0.25">
      <c r="A12" t="s">
        <v>4540</v>
      </c>
      <c r="B12" t="s">
        <v>3520</v>
      </c>
      <c r="C12" t="s">
        <v>4499</v>
      </c>
      <c r="D12" t="s">
        <v>4541</v>
      </c>
      <c r="E12" t="s">
        <v>4542</v>
      </c>
      <c r="F12" t="s">
        <v>1622</v>
      </c>
      <c r="H12" t="s">
        <v>4543</v>
      </c>
      <c r="I12" t="s">
        <v>3468</v>
      </c>
      <c r="J12" t="s">
        <v>4544</v>
      </c>
    </row>
    <row r="13" spans="1:10" ht="15" customHeight="1" x14ac:dyDescent="0.25">
      <c r="A13" t="s">
        <v>4545</v>
      </c>
      <c r="B13" t="s">
        <v>41</v>
      </c>
      <c r="C13" t="s">
        <v>3527</v>
      </c>
      <c r="D13" t="s">
        <v>4546</v>
      </c>
      <c r="E13" t="s">
        <v>4547</v>
      </c>
      <c r="F13" t="s">
        <v>90</v>
      </c>
      <c r="G13" t="s">
        <v>3553</v>
      </c>
      <c r="H13" t="s">
        <v>4548</v>
      </c>
      <c r="I13" t="s">
        <v>3468</v>
      </c>
      <c r="J13" t="s">
        <v>3450</v>
      </c>
    </row>
    <row r="14" spans="1:10" ht="15" customHeight="1" x14ac:dyDescent="0.25">
      <c r="A14" t="s">
        <v>4549</v>
      </c>
      <c r="B14" t="s">
        <v>41</v>
      </c>
      <c r="C14" t="s">
        <v>3562</v>
      </c>
      <c r="D14" t="s">
        <v>4550</v>
      </c>
      <c r="E14" t="s">
        <v>4551</v>
      </c>
      <c r="F14" t="s">
        <v>497</v>
      </c>
      <c r="G14" t="s">
        <v>4552</v>
      </c>
      <c r="H14" t="s">
        <v>4553</v>
      </c>
      <c r="I14" t="s">
        <v>3468</v>
      </c>
      <c r="J14" t="s">
        <v>3539</v>
      </c>
    </row>
    <row r="15" spans="1:10" ht="15" customHeight="1" x14ac:dyDescent="0.25">
      <c r="A15" t="s">
        <v>4554</v>
      </c>
      <c r="B15" t="s">
        <v>3468</v>
      </c>
      <c r="C15" t="s">
        <v>4555</v>
      </c>
      <c r="D15" t="s">
        <v>4556</v>
      </c>
      <c r="F15" t="s">
        <v>1295</v>
      </c>
      <c r="H15" t="s">
        <v>4557</v>
      </c>
      <c r="I15" t="s">
        <v>3468</v>
      </c>
      <c r="J15" t="s">
        <v>4555</v>
      </c>
    </row>
    <row r="16" spans="1:10" ht="15" customHeight="1" x14ac:dyDescent="0.25">
      <c r="A16" t="s">
        <v>4558</v>
      </c>
      <c r="B16" t="s">
        <v>3468</v>
      </c>
      <c r="C16" t="s">
        <v>4555</v>
      </c>
      <c r="D16" t="s">
        <v>4559</v>
      </c>
      <c r="F16" t="s">
        <v>1295</v>
      </c>
      <c r="H16" t="s">
        <v>4560</v>
      </c>
      <c r="I16" t="s">
        <v>3468</v>
      </c>
      <c r="J16" t="s">
        <v>4555</v>
      </c>
    </row>
    <row r="17" spans="1:10" ht="15" customHeight="1" x14ac:dyDescent="0.25">
      <c r="A17" t="s">
        <v>4561</v>
      </c>
      <c r="B17" t="s">
        <v>3468</v>
      </c>
      <c r="C17" t="s">
        <v>4555</v>
      </c>
      <c r="D17" t="s">
        <v>4562</v>
      </c>
      <c r="F17" t="s">
        <v>1295</v>
      </c>
      <c r="H17" t="s">
        <v>4563</v>
      </c>
      <c r="I17" t="s">
        <v>3468</v>
      </c>
      <c r="J17" t="s">
        <v>4555</v>
      </c>
    </row>
    <row r="18" spans="1:10" ht="15" customHeight="1" x14ac:dyDescent="0.25">
      <c r="A18" t="s">
        <v>4564</v>
      </c>
      <c r="B18" t="s">
        <v>3468</v>
      </c>
      <c r="C18" t="s">
        <v>4555</v>
      </c>
      <c r="D18" t="s">
        <v>4565</v>
      </c>
      <c r="F18" t="s">
        <v>1295</v>
      </c>
      <c r="H18" t="s">
        <v>4566</v>
      </c>
      <c r="I18" t="s">
        <v>3468</v>
      </c>
      <c r="J18" t="s">
        <v>4555</v>
      </c>
    </row>
    <row r="19" spans="1:10" ht="15" customHeight="1" x14ac:dyDescent="0.25">
      <c r="A19" t="s">
        <v>4567</v>
      </c>
      <c r="B19" t="s">
        <v>3468</v>
      </c>
      <c r="C19" t="s">
        <v>4555</v>
      </c>
      <c r="D19" t="s">
        <v>4568</v>
      </c>
      <c r="F19" t="s">
        <v>1295</v>
      </c>
      <c r="H19" t="s">
        <v>4569</v>
      </c>
      <c r="I19" t="s">
        <v>3468</v>
      </c>
      <c r="J19" t="s">
        <v>4555</v>
      </c>
    </row>
    <row r="20" spans="1:10" ht="15" customHeight="1" x14ac:dyDescent="0.25">
      <c r="A20" t="s">
        <v>4570</v>
      </c>
      <c r="B20" t="s">
        <v>3468</v>
      </c>
      <c r="C20" t="s">
        <v>4555</v>
      </c>
      <c r="D20" t="s">
        <v>4571</v>
      </c>
      <c r="F20" t="s">
        <v>1295</v>
      </c>
      <c r="H20" t="s">
        <v>4572</v>
      </c>
      <c r="I20" t="s">
        <v>3468</v>
      </c>
      <c r="J20" t="s">
        <v>4555</v>
      </c>
    </row>
    <row r="21" spans="1:10" ht="15" customHeight="1" x14ac:dyDescent="0.25">
      <c r="A21" t="s">
        <v>4573</v>
      </c>
      <c r="B21" t="s">
        <v>3533</v>
      </c>
      <c r="C21" t="s">
        <v>3545</v>
      </c>
      <c r="D21" t="s">
        <v>4574</v>
      </c>
      <c r="E21" t="s">
        <v>4575</v>
      </c>
      <c r="F21" t="s">
        <v>497</v>
      </c>
      <c r="G21" t="s">
        <v>3651</v>
      </c>
      <c r="H21" t="s">
        <v>4576</v>
      </c>
      <c r="I21" t="s">
        <v>3468</v>
      </c>
      <c r="J21" t="s">
        <v>4577</v>
      </c>
    </row>
    <row r="22" spans="1:10" ht="15" customHeight="1" x14ac:dyDescent="0.25">
      <c r="A22" t="s">
        <v>4578</v>
      </c>
      <c r="B22" t="s">
        <v>41</v>
      </c>
      <c r="C22" t="s">
        <v>4579</v>
      </c>
      <c r="D22" t="s">
        <v>4580</v>
      </c>
      <c r="E22" t="s">
        <v>4581</v>
      </c>
      <c r="F22" t="s">
        <v>1650</v>
      </c>
      <c r="G22" t="s">
        <v>4582</v>
      </c>
      <c r="H22" t="s">
        <v>4583</v>
      </c>
      <c r="I22" t="s">
        <v>3468</v>
      </c>
      <c r="J22" t="s">
        <v>3539</v>
      </c>
    </row>
    <row r="23" spans="1:10" ht="15" customHeight="1" x14ac:dyDescent="0.25">
      <c r="A23" t="s">
        <v>4584</v>
      </c>
      <c r="B23" t="s">
        <v>3520</v>
      </c>
      <c r="C23" t="s">
        <v>3527</v>
      </c>
      <c r="D23" t="s">
        <v>4585</v>
      </c>
      <c r="E23" t="s">
        <v>4586</v>
      </c>
      <c r="F23" t="s">
        <v>1650</v>
      </c>
      <c r="H23" t="s">
        <v>4587</v>
      </c>
      <c r="I23" t="s">
        <v>3468</v>
      </c>
      <c r="J23" t="s">
        <v>4530</v>
      </c>
    </row>
    <row r="24" spans="1:10" ht="15" customHeight="1" x14ac:dyDescent="0.25">
      <c r="A24" t="s">
        <v>4588</v>
      </c>
      <c r="B24" t="s">
        <v>3520</v>
      </c>
      <c r="C24" t="s">
        <v>3527</v>
      </c>
      <c r="D24" t="s">
        <v>4589</v>
      </c>
      <c r="E24" t="s">
        <v>4590</v>
      </c>
      <c r="F24" t="s">
        <v>1650</v>
      </c>
      <c r="G24" t="s">
        <v>4591</v>
      </c>
      <c r="H24" t="s">
        <v>4592</v>
      </c>
      <c r="I24" t="s">
        <v>3468</v>
      </c>
      <c r="J24" t="s">
        <v>3531</v>
      </c>
    </row>
    <row r="25" spans="1:10" ht="15" customHeight="1" x14ac:dyDescent="0.25">
      <c r="A25" t="s">
        <v>4593</v>
      </c>
      <c r="B25" t="s">
        <v>3533</v>
      </c>
      <c r="C25" t="s">
        <v>3527</v>
      </c>
      <c r="D25" t="s">
        <v>4594</v>
      </c>
      <c r="E25" t="s">
        <v>4595</v>
      </c>
      <c r="F25" t="s">
        <v>90</v>
      </c>
      <c r="G25" t="s">
        <v>4596</v>
      </c>
      <c r="H25" t="s">
        <v>4597</v>
      </c>
      <c r="I25" t="s">
        <v>3468</v>
      </c>
      <c r="J25" t="s">
        <v>4530</v>
      </c>
    </row>
    <row r="26" spans="1:10" ht="15" customHeight="1" x14ac:dyDescent="0.25">
      <c r="A26" t="s">
        <v>3479</v>
      </c>
      <c r="B26" t="s">
        <v>3569</v>
      </c>
      <c r="C26" t="s">
        <v>3527</v>
      </c>
      <c r="D26" t="s">
        <v>4598</v>
      </c>
      <c r="E26" t="s">
        <v>4599</v>
      </c>
      <c r="F26" t="s">
        <v>90</v>
      </c>
      <c r="H26" t="s">
        <v>3572</v>
      </c>
      <c r="I26" t="s">
        <v>3468</v>
      </c>
      <c r="J26" t="s">
        <v>3450</v>
      </c>
    </row>
    <row r="27" spans="1:10" ht="15" customHeight="1" x14ac:dyDescent="0.25">
      <c r="A27" t="s">
        <v>4600</v>
      </c>
      <c r="B27" t="s">
        <v>3520</v>
      </c>
      <c r="C27" t="s">
        <v>3545</v>
      </c>
      <c r="D27" t="s">
        <v>4601</v>
      </c>
      <c r="E27" t="s">
        <v>4602</v>
      </c>
      <c r="F27" t="s">
        <v>90</v>
      </c>
      <c r="G27" t="s">
        <v>3599</v>
      </c>
      <c r="H27" t="s">
        <v>4603</v>
      </c>
      <c r="I27" t="s">
        <v>3468</v>
      </c>
      <c r="J27" t="s">
        <v>4604</v>
      </c>
    </row>
    <row r="28" spans="1:10" ht="15" customHeight="1" x14ac:dyDescent="0.25">
      <c r="A28" t="s">
        <v>4605</v>
      </c>
      <c r="B28" t="s">
        <v>3533</v>
      </c>
      <c r="C28" t="s">
        <v>3545</v>
      </c>
      <c r="D28" t="s">
        <v>4606</v>
      </c>
      <c r="E28" t="s">
        <v>4607</v>
      </c>
      <c r="F28" t="s">
        <v>497</v>
      </c>
      <c r="H28" t="s">
        <v>4605</v>
      </c>
      <c r="I28" t="s">
        <v>3468</v>
      </c>
      <c r="J28" t="s">
        <v>3539</v>
      </c>
    </row>
    <row r="29" spans="1:10" ht="15" customHeight="1" x14ac:dyDescent="0.25">
      <c r="A29" t="s">
        <v>4608</v>
      </c>
      <c r="B29" t="s">
        <v>3520</v>
      </c>
      <c r="C29" t="s">
        <v>3527</v>
      </c>
      <c r="D29" t="s">
        <v>4609</v>
      </c>
      <c r="E29" t="s">
        <v>4610</v>
      </c>
      <c r="F29" t="s">
        <v>90</v>
      </c>
      <c r="G29" t="s">
        <v>3530</v>
      </c>
      <c r="H29" t="s">
        <v>4611</v>
      </c>
      <c r="I29" t="s">
        <v>3468</v>
      </c>
      <c r="J29" t="s">
        <v>3531</v>
      </c>
    </row>
    <row r="30" spans="1:10" ht="15" customHeight="1" x14ac:dyDescent="0.25">
      <c r="A30" t="s">
        <v>3586</v>
      </c>
      <c r="B30" t="s">
        <v>3533</v>
      </c>
      <c r="C30" t="s">
        <v>3527</v>
      </c>
      <c r="D30" t="s">
        <v>4612</v>
      </c>
      <c r="E30" t="s">
        <v>4613</v>
      </c>
      <c r="F30" t="s">
        <v>160</v>
      </c>
      <c r="H30" t="s">
        <v>3591</v>
      </c>
      <c r="I30" t="s">
        <v>3468</v>
      </c>
      <c r="J30" t="s">
        <v>3450</v>
      </c>
    </row>
    <row r="31" spans="1:10" ht="15" customHeight="1" x14ac:dyDescent="0.25">
      <c r="A31" t="s">
        <v>3592</v>
      </c>
      <c r="B31" t="s">
        <v>41</v>
      </c>
      <c r="C31" t="s">
        <v>4579</v>
      </c>
      <c r="D31" t="s">
        <v>4614</v>
      </c>
      <c r="E31" t="s">
        <v>4615</v>
      </c>
      <c r="F31" t="s">
        <v>1650</v>
      </c>
      <c r="G31" t="s">
        <v>4582</v>
      </c>
      <c r="H31" t="s">
        <v>3592</v>
      </c>
      <c r="I31" t="s">
        <v>3468</v>
      </c>
      <c r="J31" t="s">
        <v>3539</v>
      </c>
    </row>
    <row r="32" spans="1:10" ht="15" customHeight="1" x14ac:dyDescent="0.25">
      <c r="A32" t="s">
        <v>4616</v>
      </c>
      <c r="B32" t="s">
        <v>3533</v>
      </c>
      <c r="C32" t="s">
        <v>3527</v>
      </c>
      <c r="D32" t="s">
        <v>4617</v>
      </c>
      <c r="E32" t="s">
        <v>4618</v>
      </c>
      <c r="F32" t="s">
        <v>1323</v>
      </c>
      <c r="G32" t="s">
        <v>4619</v>
      </c>
      <c r="H32" t="s">
        <v>4620</v>
      </c>
      <c r="I32" t="s">
        <v>3468</v>
      </c>
      <c r="J32" t="s">
        <v>4621</v>
      </c>
    </row>
    <row r="33" spans="1:10" ht="15" customHeight="1" x14ac:dyDescent="0.25">
      <c r="A33" t="s">
        <v>4622</v>
      </c>
      <c r="B33" t="s">
        <v>3520</v>
      </c>
      <c r="C33" t="s">
        <v>3545</v>
      </c>
      <c r="D33" t="s">
        <v>4623</v>
      </c>
      <c r="E33" t="s">
        <v>4624</v>
      </c>
      <c r="F33" t="s">
        <v>160</v>
      </c>
      <c r="G33" t="s">
        <v>4625</v>
      </c>
      <c r="H33" t="s">
        <v>4626</v>
      </c>
      <c r="I33" t="s">
        <v>3468</v>
      </c>
      <c r="J33" t="s">
        <v>3539</v>
      </c>
    </row>
    <row r="34" spans="1:10" ht="15" customHeight="1" x14ac:dyDescent="0.25">
      <c r="A34" t="s">
        <v>3596</v>
      </c>
      <c r="B34" t="s">
        <v>3533</v>
      </c>
      <c r="C34" t="s">
        <v>3527</v>
      </c>
      <c r="D34" t="s">
        <v>3597</v>
      </c>
      <c r="E34" t="s">
        <v>4627</v>
      </c>
      <c r="F34" t="s">
        <v>2805</v>
      </c>
      <c r="G34" t="s">
        <v>3599</v>
      </c>
      <c r="H34" t="s">
        <v>3596</v>
      </c>
      <c r="I34" t="s">
        <v>3468</v>
      </c>
      <c r="J34" t="s">
        <v>3600</v>
      </c>
    </row>
    <row r="35" spans="1:10" ht="15" customHeight="1" x14ac:dyDescent="0.25">
      <c r="A35" t="s">
        <v>3484</v>
      </c>
      <c r="B35" t="s">
        <v>3533</v>
      </c>
      <c r="C35" t="s">
        <v>4628</v>
      </c>
      <c r="D35" t="s">
        <v>4629</v>
      </c>
      <c r="E35" t="s">
        <v>4630</v>
      </c>
      <c r="F35" t="s">
        <v>160</v>
      </c>
      <c r="G35" t="s">
        <v>315</v>
      </c>
      <c r="H35" t="s">
        <v>3484</v>
      </c>
      <c r="I35" t="s">
        <v>3468</v>
      </c>
      <c r="J35" t="s">
        <v>3539</v>
      </c>
    </row>
    <row r="36" spans="1:10" ht="15" customHeight="1" x14ac:dyDescent="0.25">
      <c r="A36" t="s">
        <v>4631</v>
      </c>
      <c r="B36" t="s">
        <v>3533</v>
      </c>
      <c r="C36" t="s">
        <v>3527</v>
      </c>
      <c r="D36" t="s">
        <v>4632</v>
      </c>
      <c r="E36" t="s">
        <v>4633</v>
      </c>
      <c r="F36" t="s">
        <v>90</v>
      </c>
      <c r="G36" t="s">
        <v>4634</v>
      </c>
      <c r="H36" t="s">
        <v>4635</v>
      </c>
      <c r="I36" t="s">
        <v>3468</v>
      </c>
      <c r="J36" t="s">
        <v>4636</v>
      </c>
    </row>
    <row r="37" spans="1:10" ht="15" customHeight="1" x14ac:dyDescent="0.25">
      <c r="A37" t="s">
        <v>4637</v>
      </c>
      <c r="B37" t="s">
        <v>3520</v>
      </c>
      <c r="C37" t="s">
        <v>4638</v>
      </c>
      <c r="D37" t="s">
        <v>4639</v>
      </c>
      <c r="E37" t="s">
        <v>4640</v>
      </c>
      <c r="F37" t="s">
        <v>160</v>
      </c>
      <c r="G37" t="s">
        <v>4641</v>
      </c>
      <c r="H37" t="s">
        <v>4642</v>
      </c>
      <c r="I37" t="s">
        <v>3468</v>
      </c>
      <c r="J37" t="s">
        <v>4530</v>
      </c>
    </row>
    <row r="38" spans="1:10" ht="15" customHeight="1" x14ac:dyDescent="0.25">
      <c r="A38" t="s">
        <v>4643</v>
      </c>
      <c r="B38" t="s">
        <v>3533</v>
      </c>
      <c r="C38" t="s">
        <v>3602</v>
      </c>
      <c r="D38" t="s">
        <v>4644</v>
      </c>
      <c r="F38" t="s">
        <v>160</v>
      </c>
      <c r="G38" t="s">
        <v>4645</v>
      </c>
      <c r="H38" t="s">
        <v>4646</v>
      </c>
      <c r="I38" t="s">
        <v>3468</v>
      </c>
      <c r="J38" t="s">
        <v>3459</v>
      </c>
    </row>
    <row r="39" spans="1:10" ht="15" customHeight="1" x14ac:dyDescent="0.25">
      <c r="A39" t="s">
        <v>4647</v>
      </c>
      <c r="B39" t="s">
        <v>3533</v>
      </c>
      <c r="C39" t="s">
        <v>3527</v>
      </c>
      <c r="D39" t="s">
        <v>4648</v>
      </c>
      <c r="E39" t="s">
        <v>4649</v>
      </c>
      <c r="F39" t="s">
        <v>1130</v>
      </c>
      <c r="G39" t="s">
        <v>4650</v>
      </c>
      <c r="H39" t="s">
        <v>4651</v>
      </c>
      <c r="I39" t="s">
        <v>3468</v>
      </c>
      <c r="J39" t="s">
        <v>4652</v>
      </c>
    </row>
    <row r="40" spans="1:10" ht="15" customHeight="1" x14ac:dyDescent="0.25">
      <c r="A40" t="s">
        <v>4653</v>
      </c>
      <c r="B40" t="s">
        <v>3533</v>
      </c>
      <c r="C40" t="s">
        <v>4499</v>
      </c>
      <c r="D40" t="s">
        <v>4654</v>
      </c>
      <c r="E40" t="s">
        <v>4655</v>
      </c>
      <c r="F40" t="s">
        <v>1622</v>
      </c>
      <c r="H40" t="s">
        <v>4653</v>
      </c>
      <c r="I40" t="s">
        <v>3468</v>
      </c>
      <c r="J40" t="s">
        <v>4530</v>
      </c>
    </row>
    <row r="41" spans="1:10" ht="15" customHeight="1" x14ac:dyDescent="0.25">
      <c r="A41" t="s">
        <v>4656</v>
      </c>
      <c r="B41" t="s">
        <v>41</v>
      </c>
      <c r="C41" t="s">
        <v>4579</v>
      </c>
      <c r="D41" t="s">
        <v>4657</v>
      </c>
      <c r="E41" t="s">
        <v>4658</v>
      </c>
      <c r="F41" t="s">
        <v>1650</v>
      </c>
      <c r="G41" t="s">
        <v>4582</v>
      </c>
      <c r="H41" t="s">
        <v>4659</v>
      </c>
      <c r="I41" t="s">
        <v>3468</v>
      </c>
      <c r="J41" t="s">
        <v>3539</v>
      </c>
    </row>
    <row r="42" spans="1:10" ht="15" customHeight="1" x14ac:dyDescent="0.25">
      <c r="A42" t="s">
        <v>4660</v>
      </c>
      <c r="B42" t="s">
        <v>3520</v>
      </c>
      <c r="C42" t="s">
        <v>3527</v>
      </c>
      <c r="D42" t="s">
        <v>4661</v>
      </c>
      <c r="E42" t="s">
        <v>4662</v>
      </c>
      <c r="F42" t="s">
        <v>2805</v>
      </c>
      <c r="G42" t="s">
        <v>4523</v>
      </c>
      <c r="H42" t="s">
        <v>4660</v>
      </c>
      <c r="I42" t="s">
        <v>3468</v>
      </c>
      <c r="J42" t="s">
        <v>4530</v>
      </c>
    </row>
    <row r="43" spans="1:10" ht="15" customHeight="1" x14ac:dyDescent="0.25">
      <c r="A43" t="s">
        <v>4663</v>
      </c>
      <c r="B43" t="s">
        <v>3520</v>
      </c>
      <c r="C43" t="s">
        <v>3527</v>
      </c>
      <c r="D43" t="s">
        <v>4664</v>
      </c>
      <c r="E43" t="s">
        <v>4665</v>
      </c>
      <c r="F43" t="s">
        <v>90</v>
      </c>
      <c r="G43" t="s">
        <v>4666</v>
      </c>
      <c r="H43" t="s">
        <v>4667</v>
      </c>
      <c r="I43" t="s">
        <v>3468</v>
      </c>
      <c r="J43" t="s">
        <v>4668</v>
      </c>
    </row>
    <row r="44" spans="1:10" ht="15" customHeight="1" x14ac:dyDescent="0.25">
      <c r="A44" t="s">
        <v>4669</v>
      </c>
      <c r="B44" t="s">
        <v>3520</v>
      </c>
      <c r="C44" t="s">
        <v>3527</v>
      </c>
      <c r="D44" t="s">
        <v>4670</v>
      </c>
      <c r="E44" t="s">
        <v>4671</v>
      </c>
      <c r="F44" t="s">
        <v>1650</v>
      </c>
      <c r="G44" t="s">
        <v>4672</v>
      </c>
      <c r="H44" t="s">
        <v>4673</v>
      </c>
      <c r="I44" t="s">
        <v>3468</v>
      </c>
      <c r="J44" t="s">
        <v>4530</v>
      </c>
    </row>
    <row r="45" spans="1:10" ht="15" customHeight="1" x14ac:dyDescent="0.25">
      <c r="A45" t="s">
        <v>4674</v>
      </c>
      <c r="B45" t="s">
        <v>3533</v>
      </c>
      <c r="C45" t="s">
        <v>3527</v>
      </c>
      <c r="D45" t="s">
        <v>4675</v>
      </c>
      <c r="E45" t="s">
        <v>4676</v>
      </c>
      <c r="F45" t="s">
        <v>2805</v>
      </c>
      <c r="G45" t="s">
        <v>4677</v>
      </c>
      <c r="H45" t="s">
        <v>4678</v>
      </c>
      <c r="I45" t="s">
        <v>3468</v>
      </c>
      <c r="J45" t="s">
        <v>3539</v>
      </c>
    </row>
    <row r="46" spans="1:10" ht="15" customHeight="1" x14ac:dyDescent="0.25">
      <c r="A46" t="s">
        <v>4679</v>
      </c>
      <c r="B46" t="s">
        <v>41</v>
      </c>
      <c r="C46" t="s">
        <v>3545</v>
      </c>
      <c r="D46" t="s">
        <v>4680</v>
      </c>
      <c r="E46" t="s">
        <v>4681</v>
      </c>
      <c r="F46" t="s">
        <v>2137</v>
      </c>
      <c r="G46" t="s">
        <v>4682</v>
      </c>
      <c r="H46" t="s">
        <v>4683</v>
      </c>
      <c r="I46" t="s">
        <v>3468</v>
      </c>
      <c r="J46" t="s">
        <v>3539</v>
      </c>
    </row>
    <row r="47" spans="1:10" ht="15" customHeight="1" x14ac:dyDescent="0.25">
      <c r="A47" t="s">
        <v>4684</v>
      </c>
      <c r="B47" t="s">
        <v>3533</v>
      </c>
      <c r="C47" t="s">
        <v>3527</v>
      </c>
      <c r="D47" t="s">
        <v>4685</v>
      </c>
      <c r="E47" t="s">
        <v>4686</v>
      </c>
      <c r="F47" t="s">
        <v>90</v>
      </c>
      <c r="G47" t="s">
        <v>4687</v>
      </c>
      <c r="H47" t="s">
        <v>4688</v>
      </c>
      <c r="I47" t="s">
        <v>3468</v>
      </c>
      <c r="J47" t="s">
        <v>3600</v>
      </c>
    </row>
    <row r="48" spans="1:10" ht="15" customHeight="1" x14ac:dyDescent="0.25">
      <c r="A48" t="s">
        <v>4689</v>
      </c>
      <c r="B48" t="s">
        <v>3533</v>
      </c>
      <c r="C48" t="s">
        <v>3527</v>
      </c>
      <c r="D48" t="s">
        <v>4690</v>
      </c>
      <c r="E48" t="s">
        <v>4691</v>
      </c>
      <c r="F48" t="s">
        <v>2507</v>
      </c>
      <c r="G48" t="s">
        <v>4692</v>
      </c>
      <c r="H48" t="s">
        <v>4689</v>
      </c>
      <c r="I48" t="s">
        <v>3468</v>
      </c>
      <c r="J48" t="s">
        <v>3531</v>
      </c>
    </row>
    <row r="49" spans="1:10" ht="15" customHeight="1" x14ac:dyDescent="0.25">
      <c r="A49" t="s">
        <v>4693</v>
      </c>
      <c r="B49" t="s">
        <v>3520</v>
      </c>
      <c r="C49" t="s">
        <v>3527</v>
      </c>
      <c r="D49" t="s">
        <v>4694</v>
      </c>
      <c r="E49" t="s">
        <v>4695</v>
      </c>
      <c r="F49" t="s">
        <v>90</v>
      </c>
      <c r="G49" t="s">
        <v>264</v>
      </c>
      <c r="H49" t="s">
        <v>4693</v>
      </c>
      <c r="I49" t="s">
        <v>3468</v>
      </c>
      <c r="J49" t="s">
        <v>3531</v>
      </c>
    </row>
    <row r="50" spans="1:10" ht="15" customHeight="1" x14ac:dyDescent="0.25">
      <c r="A50" t="s">
        <v>4696</v>
      </c>
      <c r="B50" t="s">
        <v>41</v>
      </c>
      <c r="C50" t="s">
        <v>3545</v>
      </c>
      <c r="D50" t="s">
        <v>4697</v>
      </c>
      <c r="E50" t="s">
        <v>4698</v>
      </c>
      <c r="F50" t="s">
        <v>160</v>
      </c>
      <c r="G50" t="s">
        <v>4699</v>
      </c>
      <c r="H50" t="s">
        <v>4700</v>
      </c>
      <c r="I50" t="s">
        <v>3468</v>
      </c>
      <c r="J50" t="s">
        <v>3539</v>
      </c>
    </row>
    <row r="51" spans="1:10" ht="15" customHeight="1" x14ac:dyDescent="0.25">
      <c r="A51" t="s">
        <v>4701</v>
      </c>
      <c r="B51" t="s">
        <v>3520</v>
      </c>
      <c r="C51" t="s">
        <v>3527</v>
      </c>
      <c r="D51" t="s">
        <v>4702</v>
      </c>
      <c r="E51" t="s">
        <v>4703</v>
      </c>
      <c r="F51" t="s">
        <v>1130</v>
      </c>
      <c r="G51" t="s">
        <v>4704</v>
      </c>
      <c r="H51" t="s">
        <v>4705</v>
      </c>
      <c r="I51" t="s">
        <v>3468</v>
      </c>
      <c r="J51" t="s">
        <v>4706</v>
      </c>
    </row>
    <row r="52" spans="1:10" ht="15" customHeight="1" x14ac:dyDescent="0.25">
      <c r="A52" t="s">
        <v>4707</v>
      </c>
      <c r="B52" t="s">
        <v>3533</v>
      </c>
      <c r="C52" t="s">
        <v>3527</v>
      </c>
      <c r="D52" t="s">
        <v>4708</v>
      </c>
      <c r="E52" t="s">
        <v>4709</v>
      </c>
      <c r="F52" t="s">
        <v>90</v>
      </c>
      <c r="H52" t="s">
        <v>4710</v>
      </c>
      <c r="I52" t="s">
        <v>3468</v>
      </c>
      <c r="J52" t="s">
        <v>4711</v>
      </c>
    </row>
    <row r="53" spans="1:10" ht="15" customHeight="1" x14ac:dyDescent="0.25">
      <c r="A53" t="s">
        <v>4712</v>
      </c>
      <c r="B53" t="s">
        <v>3520</v>
      </c>
      <c r="C53" t="s">
        <v>3545</v>
      </c>
      <c r="D53" t="s">
        <v>4713</v>
      </c>
      <c r="E53" t="s">
        <v>4714</v>
      </c>
      <c r="F53" t="s">
        <v>497</v>
      </c>
      <c r="G53" t="s">
        <v>4715</v>
      </c>
      <c r="H53" t="s">
        <v>4712</v>
      </c>
      <c r="I53" t="s">
        <v>3468</v>
      </c>
      <c r="J53" t="s">
        <v>3539</v>
      </c>
    </row>
    <row r="54" spans="1:10" ht="15" customHeight="1" x14ac:dyDescent="0.25">
      <c r="A54" t="s">
        <v>4716</v>
      </c>
      <c r="B54" t="s">
        <v>41</v>
      </c>
      <c r="C54" t="s">
        <v>4638</v>
      </c>
      <c r="D54" t="s">
        <v>4717</v>
      </c>
      <c r="E54" t="s">
        <v>4718</v>
      </c>
      <c r="F54" t="s">
        <v>90</v>
      </c>
      <c r="G54" t="s">
        <v>4719</v>
      </c>
      <c r="H54" t="s">
        <v>4720</v>
      </c>
      <c r="I54" t="s">
        <v>3468</v>
      </c>
      <c r="J54" t="s">
        <v>4604</v>
      </c>
    </row>
    <row r="55" spans="1:10" ht="15" customHeight="1" x14ac:dyDescent="0.25">
      <c r="A55" t="s">
        <v>4721</v>
      </c>
      <c r="B55" t="s">
        <v>3533</v>
      </c>
      <c r="C55" t="s">
        <v>3527</v>
      </c>
      <c r="D55" t="s">
        <v>4722</v>
      </c>
      <c r="E55" t="s">
        <v>4723</v>
      </c>
      <c r="F55" t="s">
        <v>160</v>
      </c>
      <c r="G55" t="s">
        <v>4724</v>
      </c>
      <c r="H55" t="s">
        <v>4725</v>
      </c>
      <c r="I55" t="s">
        <v>3468</v>
      </c>
      <c r="J55" t="s">
        <v>3600</v>
      </c>
    </row>
    <row r="56" spans="1:10" ht="15" customHeight="1" x14ac:dyDescent="0.25">
      <c r="A56" t="s">
        <v>3620</v>
      </c>
      <c r="B56" t="s">
        <v>41</v>
      </c>
      <c r="C56" t="s">
        <v>3534</v>
      </c>
      <c r="D56" t="s">
        <v>4726</v>
      </c>
      <c r="E56" t="s">
        <v>4727</v>
      </c>
      <c r="F56" t="s">
        <v>2805</v>
      </c>
      <c r="G56" t="s">
        <v>3623</v>
      </c>
      <c r="H56" t="s">
        <v>3624</v>
      </c>
      <c r="I56" t="s">
        <v>3468</v>
      </c>
      <c r="J56" t="s">
        <v>3450</v>
      </c>
    </row>
    <row r="57" spans="1:10" ht="15" customHeight="1" x14ac:dyDescent="0.25">
      <c r="A57" t="s">
        <v>4728</v>
      </c>
      <c r="B57" t="s">
        <v>3754</v>
      </c>
      <c r="C57" t="s">
        <v>3527</v>
      </c>
      <c r="D57" t="s">
        <v>4729</v>
      </c>
      <c r="E57" t="s">
        <v>4730</v>
      </c>
      <c r="F57" t="s">
        <v>160</v>
      </c>
      <c r="G57" t="s">
        <v>4731</v>
      </c>
      <c r="H57" t="s">
        <v>4732</v>
      </c>
      <c r="I57" t="s">
        <v>3468</v>
      </c>
      <c r="J57" t="s">
        <v>3531</v>
      </c>
    </row>
    <row r="58" spans="1:10" ht="15" customHeight="1" x14ac:dyDescent="0.25">
      <c r="A58" t="s">
        <v>4733</v>
      </c>
      <c r="B58" t="s">
        <v>3533</v>
      </c>
      <c r="C58" t="s">
        <v>3527</v>
      </c>
      <c r="D58" t="s">
        <v>4734</v>
      </c>
      <c r="E58" t="s">
        <v>4735</v>
      </c>
      <c r="F58" t="s">
        <v>90</v>
      </c>
      <c r="G58" t="s">
        <v>3530</v>
      </c>
      <c r="H58" t="s">
        <v>4736</v>
      </c>
      <c r="I58" t="s">
        <v>3468</v>
      </c>
      <c r="J58" t="s">
        <v>3531</v>
      </c>
    </row>
    <row r="59" spans="1:10" ht="15" customHeight="1" x14ac:dyDescent="0.25">
      <c r="A59" t="s">
        <v>4737</v>
      </c>
      <c r="B59" t="s">
        <v>3520</v>
      </c>
      <c r="C59" t="s">
        <v>3527</v>
      </c>
      <c r="D59" t="s">
        <v>4738</v>
      </c>
      <c r="E59" t="s">
        <v>4739</v>
      </c>
      <c r="F59" t="s">
        <v>90</v>
      </c>
      <c r="G59" t="s">
        <v>264</v>
      </c>
      <c r="H59" t="s">
        <v>4740</v>
      </c>
      <c r="I59" t="s">
        <v>3468</v>
      </c>
      <c r="J59" t="s">
        <v>4604</v>
      </c>
    </row>
    <row r="60" spans="1:10" ht="15" customHeight="1" x14ac:dyDescent="0.25">
      <c r="A60" t="s">
        <v>4741</v>
      </c>
      <c r="B60" t="s">
        <v>3520</v>
      </c>
      <c r="C60" t="s">
        <v>3527</v>
      </c>
      <c r="D60" t="s">
        <v>4742</v>
      </c>
      <c r="E60" t="s">
        <v>4743</v>
      </c>
      <c r="F60" t="s">
        <v>1650</v>
      </c>
      <c r="G60" t="s">
        <v>4744</v>
      </c>
      <c r="H60" t="s">
        <v>4745</v>
      </c>
      <c r="I60" t="s">
        <v>3468</v>
      </c>
      <c r="J60" t="s">
        <v>4544</v>
      </c>
    </row>
    <row r="61" spans="1:10" ht="15" customHeight="1" x14ac:dyDescent="0.25">
      <c r="A61" t="s">
        <v>4746</v>
      </c>
      <c r="B61" t="s">
        <v>41</v>
      </c>
      <c r="C61" t="s">
        <v>4520</v>
      </c>
      <c r="D61" t="s">
        <v>4747</v>
      </c>
      <c r="E61" t="s">
        <v>4748</v>
      </c>
      <c r="F61" t="s">
        <v>497</v>
      </c>
      <c r="G61" t="s">
        <v>264</v>
      </c>
      <c r="H61" t="s">
        <v>4746</v>
      </c>
      <c r="I61" t="s">
        <v>3468</v>
      </c>
      <c r="J61" t="s">
        <v>3450</v>
      </c>
    </row>
    <row r="62" spans="1:10" ht="15" customHeight="1" x14ac:dyDescent="0.25">
      <c r="A62" t="s">
        <v>4749</v>
      </c>
      <c r="B62" t="s">
        <v>3520</v>
      </c>
      <c r="C62" t="s">
        <v>3527</v>
      </c>
      <c r="D62" t="s">
        <v>4750</v>
      </c>
      <c r="E62" t="s">
        <v>4751</v>
      </c>
      <c r="F62" t="s">
        <v>160</v>
      </c>
      <c r="H62" t="s">
        <v>4752</v>
      </c>
      <c r="I62" t="s">
        <v>3468</v>
      </c>
      <c r="J62" t="s">
        <v>4753</v>
      </c>
    </row>
    <row r="63" spans="1:10" ht="15" customHeight="1" x14ac:dyDescent="0.25">
      <c r="A63" t="s">
        <v>4754</v>
      </c>
      <c r="B63" t="s">
        <v>3520</v>
      </c>
      <c r="C63" t="s">
        <v>3527</v>
      </c>
      <c r="D63" t="s">
        <v>4755</v>
      </c>
      <c r="E63" t="s">
        <v>4756</v>
      </c>
      <c r="F63" t="s">
        <v>1650</v>
      </c>
      <c r="G63" t="s">
        <v>4757</v>
      </c>
      <c r="H63" t="s">
        <v>4758</v>
      </c>
      <c r="I63" t="s">
        <v>3468</v>
      </c>
      <c r="J63" t="s">
        <v>4544</v>
      </c>
    </row>
    <row r="64" spans="1:10" ht="15" customHeight="1" x14ac:dyDescent="0.25">
      <c r="A64" t="s">
        <v>4759</v>
      </c>
      <c r="B64" t="s">
        <v>3533</v>
      </c>
      <c r="C64" t="s">
        <v>3545</v>
      </c>
      <c r="D64" t="s">
        <v>4760</v>
      </c>
      <c r="E64" t="s">
        <v>4761</v>
      </c>
      <c r="F64" t="s">
        <v>2137</v>
      </c>
      <c r="G64" t="s">
        <v>4762</v>
      </c>
      <c r="H64" t="s">
        <v>4763</v>
      </c>
      <c r="I64" t="s">
        <v>3468</v>
      </c>
      <c r="J64" t="s">
        <v>3450</v>
      </c>
    </row>
    <row r="65" spans="1:10" ht="15" customHeight="1" x14ac:dyDescent="0.25">
      <c r="A65" t="s">
        <v>4764</v>
      </c>
      <c r="B65" t="s">
        <v>41</v>
      </c>
      <c r="C65" t="s">
        <v>4499</v>
      </c>
      <c r="D65" t="s">
        <v>4765</v>
      </c>
      <c r="E65" t="s">
        <v>4766</v>
      </c>
      <c r="F65" t="s">
        <v>1047</v>
      </c>
      <c r="G65" t="s">
        <v>3921</v>
      </c>
      <c r="H65" t="s">
        <v>4767</v>
      </c>
      <c r="I65" t="s">
        <v>3468</v>
      </c>
      <c r="J65" t="s">
        <v>4530</v>
      </c>
    </row>
    <row r="66" spans="1:10" ht="15" customHeight="1" x14ac:dyDescent="0.25">
      <c r="A66" t="s">
        <v>4768</v>
      </c>
      <c r="B66" t="s">
        <v>3533</v>
      </c>
      <c r="C66" t="s">
        <v>4520</v>
      </c>
      <c r="D66" t="s">
        <v>4769</v>
      </c>
      <c r="E66" t="s">
        <v>4770</v>
      </c>
      <c r="F66" t="s">
        <v>501</v>
      </c>
      <c r="G66" t="s">
        <v>4771</v>
      </c>
      <c r="H66" t="s">
        <v>4772</v>
      </c>
      <c r="I66" t="s">
        <v>3468</v>
      </c>
      <c r="J66" t="s">
        <v>4530</v>
      </c>
    </row>
    <row r="67" spans="1:10" ht="15" customHeight="1" x14ac:dyDescent="0.25">
      <c r="A67" t="s">
        <v>4773</v>
      </c>
      <c r="B67" t="s">
        <v>41</v>
      </c>
      <c r="C67" t="s">
        <v>4499</v>
      </c>
      <c r="D67" t="s">
        <v>4774</v>
      </c>
      <c r="E67" t="s">
        <v>4775</v>
      </c>
      <c r="F67" t="s">
        <v>1047</v>
      </c>
      <c r="G67" t="s">
        <v>3921</v>
      </c>
      <c r="H67" t="s">
        <v>4776</v>
      </c>
      <c r="I67" t="s">
        <v>3468</v>
      </c>
      <c r="J67" t="s">
        <v>4530</v>
      </c>
    </row>
    <row r="68" spans="1:10" ht="15" customHeight="1" x14ac:dyDescent="0.25">
      <c r="A68" t="s">
        <v>4777</v>
      </c>
      <c r="B68" t="s">
        <v>41</v>
      </c>
      <c r="C68" t="s">
        <v>3545</v>
      </c>
      <c r="D68" t="s">
        <v>4182</v>
      </c>
      <c r="E68" t="s">
        <v>4778</v>
      </c>
      <c r="F68" t="s">
        <v>160</v>
      </c>
      <c r="H68" t="s">
        <v>4779</v>
      </c>
      <c r="I68" t="s">
        <v>3468</v>
      </c>
      <c r="J68" t="s">
        <v>3539</v>
      </c>
    </row>
    <row r="69" spans="1:10" ht="15" customHeight="1" x14ac:dyDescent="0.25">
      <c r="A69" t="s">
        <v>3653</v>
      </c>
      <c r="B69" t="s">
        <v>41</v>
      </c>
      <c r="C69" t="s">
        <v>3534</v>
      </c>
      <c r="D69" t="s">
        <v>4780</v>
      </c>
      <c r="E69" t="s">
        <v>4781</v>
      </c>
      <c r="F69" t="s">
        <v>160</v>
      </c>
      <c r="G69" t="s">
        <v>264</v>
      </c>
      <c r="H69" t="s">
        <v>3653</v>
      </c>
      <c r="I69" t="s">
        <v>3468</v>
      </c>
      <c r="J69" t="s">
        <v>3450</v>
      </c>
    </row>
    <row r="70" spans="1:10" ht="15" customHeight="1" x14ac:dyDescent="0.25">
      <c r="A70" t="s">
        <v>3656</v>
      </c>
      <c r="B70" t="s">
        <v>3520</v>
      </c>
      <c r="C70" t="s">
        <v>3534</v>
      </c>
      <c r="D70" t="s">
        <v>4782</v>
      </c>
      <c r="E70" t="s">
        <v>4783</v>
      </c>
      <c r="F70" t="s">
        <v>90</v>
      </c>
      <c r="G70" t="s">
        <v>3659</v>
      </c>
      <c r="H70" t="s">
        <v>3656</v>
      </c>
      <c r="I70" t="s">
        <v>3468</v>
      </c>
      <c r="J70" t="s">
        <v>3450</v>
      </c>
    </row>
    <row r="71" spans="1:10" ht="15" customHeight="1" x14ac:dyDescent="0.25">
      <c r="A71" t="s">
        <v>3660</v>
      </c>
      <c r="B71" t="s">
        <v>3533</v>
      </c>
      <c r="C71" t="s">
        <v>3527</v>
      </c>
      <c r="D71" t="s">
        <v>4784</v>
      </c>
      <c r="E71" t="s">
        <v>4785</v>
      </c>
      <c r="F71" t="s">
        <v>90</v>
      </c>
      <c r="G71" t="s">
        <v>3663</v>
      </c>
      <c r="H71" t="s">
        <v>3664</v>
      </c>
      <c r="I71" t="s">
        <v>3468</v>
      </c>
      <c r="J71" t="s">
        <v>3450</v>
      </c>
    </row>
    <row r="72" spans="1:10" ht="15" customHeight="1" x14ac:dyDescent="0.25">
      <c r="A72" t="s">
        <v>4786</v>
      </c>
      <c r="B72" t="s">
        <v>3533</v>
      </c>
      <c r="C72" t="s">
        <v>3527</v>
      </c>
      <c r="D72" t="s">
        <v>4787</v>
      </c>
      <c r="E72" t="s">
        <v>4788</v>
      </c>
      <c r="F72" t="s">
        <v>90</v>
      </c>
      <c r="H72" t="s">
        <v>4789</v>
      </c>
      <c r="I72" t="s">
        <v>3468</v>
      </c>
      <c r="J72" t="s">
        <v>4530</v>
      </c>
    </row>
    <row r="73" spans="1:10" ht="15" customHeight="1" x14ac:dyDescent="0.25">
      <c r="A73" t="s">
        <v>4790</v>
      </c>
      <c r="B73" t="s">
        <v>3533</v>
      </c>
      <c r="C73" t="s">
        <v>3527</v>
      </c>
      <c r="D73" t="s">
        <v>4791</v>
      </c>
      <c r="E73" t="s">
        <v>4792</v>
      </c>
      <c r="F73" t="s">
        <v>1650</v>
      </c>
      <c r="G73" t="s">
        <v>4793</v>
      </c>
      <c r="H73" t="s">
        <v>4794</v>
      </c>
      <c r="I73" t="s">
        <v>3468</v>
      </c>
      <c r="J73" t="s">
        <v>3531</v>
      </c>
    </row>
    <row r="74" spans="1:10" ht="15" customHeight="1" x14ac:dyDescent="0.25">
      <c r="A74" t="s">
        <v>4795</v>
      </c>
      <c r="B74" t="s">
        <v>3533</v>
      </c>
      <c r="C74" t="s">
        <v>3527</v>
      </c>
      <c r="D74" t="s">
        <v>4796</v>
      </c>
      <c r="E74" t="s">
        <v>4797</v>
      </c>
      <c r="F74" t="s">
        <v>90</v>
      </c>
      <c r="G74" t="s">
        <v>4687</v>
      </c>
      <c r="H74" t="s">
        <v>4798</v>
      </c>
      <c r="I74" t="s">
        <v>3468</v>
      </c>
      <c r="J74" t="s">
        <v>3600</v>
      </c>
    </row>
    <row r="75" spans="1:10" ht="15" customHeight="1" x14ac:dyDescent="0.25">
      <c r="A75" t="s">
        <v>4799</v>
      </c>
      <c r="B75" t="s">
        <v>3533</v>
      </c>
      <c r="C75" t="s">
        <v>3545</v>
      </c>
      <c r="D75" t="s">
        <v>4800</v>
      </c>
      <c r="E75" t="s">
        <v>4801</v>
      </c>
      <c r="F75" t="s">
        <v>160</v>
      </c>
      <c r="H75" t="s">
        <v>4802</v>
      </c>
      <c r="I75" t="s">
        <v>3468</v>
      </c>
      <c r="J75" t="s">
        <v>3539</v>
      </c>
    </row>
    <row r="76" spans="1:10" ht="15" customHeight="1" x14ac:dyDescent="0.25">
      <c r="A76" t="s">
        <v>4803</v>
      </c>
      <c r="B76" t="s">
        <v>3520</v>
      </c>
      <c r="C76" t="s">
        <v>3527</v>
      </c>
      <c r="D76" t="s">
        <v>4804</v>
      </c>
      <c r="E76" t="s">
        <v>4805</v>
      </c>
      <c r="F76" t="s">
        <v>90</v>
      </c>
      <c r="G76" t="s">
        <v>4806</v>
      </c>
      <c r="H76" t="s">
        <v>4807</v>
      </c>
      <c r="I76" t="s">
        <v>3468</v>
      </c>
      <c r="J76" t="s">
        <v>4808</v>
      </c>
    </row>
    <row r="77" spans="1:10" ht="15" customHeight="1" x14ac:dyDescent="0.25">
      <c r="A77" t="s">
        <v>4809</v>
      </c>
      <c r="B77" t="s">
        <v>41</v>
      </c>
      <c r="C77" t="s">
        <v>4638</v>
      </c>
      <c r="D77" t="s">
        <v>4810</v>
      </c>
      <c r="E77" t="s">
        <v>4811</v>
      </c>
      <c r="F77" t="s">
        <v>90</v>
      </c>
      <c r="G77" t="s">
        <v>4812</v>
      </c>
      <c r="H77" t="s">
        <v>4809</v>
      </c>
      <c r="I77" t="s">
        <v>3468</v>
      </c>
      <c r="J77" t="s">
        <v>4813</v>
      </c>
    </row>
    <row r="78" spans="1:10" ht="15" customHeight="1" x14ac:dyDescent="0.25">
      <c r="A78" t="s">
        <v>3680</v>
      </c>
      <c r="B78" t="s">
        <v>41</v>
      </c>
      <c r="C78" t="s">
        <v>3545</v>
      </c>
      <c r="D78" t="s">
        <v>4814</v>
      </c>
      <c r="E78" t="s">
        <v>4815</v>
      </c>
      <c r="F78" t="s">
        <v>90</v>
      </c>
      <c r="G78" t="s">
        <v>3684</v>
      </c>
      <c r="H78" t="s">
        <v>3685</v>
      </c>
      <c r="I78" t="s">
        <v>3468</v>
      </c>
      <c r="J78" t="s">
        <v>3539</v>
      </c>
    </row>
    <row r="79" spans="1:10" ht="15" customHeight="1" x14ac:dyDescent="0.25">
      <c r="A79" t="s">
        <v>4816</v>
      </c>
      <c r="B79" t="s">
        <v>3520</v>
      </c>
      <c r="C79" t="s">
        <v>3534</v>
      </c>
      <c r="D79" t="s">
        <v>4817</v>
      </c>
      <c r="E79" t="s">
        <v>4818</v>
      </c>
      <c r="F79" t="s">
        <v>90</v>
      </c>
      <c r="G79" t="s">
        <v>4724</v>
      </c>
      <c r="H79" t="s">
        <v>4819</v>
      </c>
      <c r="I79" t="s">
        <v>3468</v>
      </c>
      <c r="J79" t="s">
        <v>3600</v>
      </c>
    </row>
    <row r="80" spans="1:10" ht="15" customHeight="1" x14ac:dyDescent="0.25">
      <c r="A80" t="s">
        <v>4820</v>
      </c>
      <c r="B80" t="s">
        <v>3533</v>
      </c>
      <c r="C80" t="s">
        <v>4638</v>
      </c>
      <c r="D80" t="s">
        <v>4821</v>
      </c>
      <c r="E80" t="s">
        <v>4822</v>
      </c>
      <c r="F80" t="s">
        <v>90</v>
      </c>
      <c r="G80" t="s">
        <v>4823</v>
      </c>
      <c r="H80" t="s">
        <v>4824</v>
      </c>
      <c r="I80" t="s">
        <v>3468</v>
      </c>
      <c r="J80" t="s">
        <v>3531</v>
      </c>
    </row>
    <row r="81" spans="1:10" ht="15" customHeight="1" x14ac:dyDescent="0.25">
      <c r="A81" t="s">
        <v>4825</v>
      </c>
      <c r="B81" t="s">
        <v>3520</v>
      </c>
      <c r="C81" t="s">
        <v>3562</v>
      </c>
      <c r="D81" t="s">
        <v>4826</v>
      </c>
      <c r="E81" t="s">
        <v>4827</v>
      </c>
      <c r="F81" t="s">
        <v>497</v>
      </c>
      <c r="H81" t="s">
        <v>4825</v>
      </c>
      <c r="I81" t="s">
        <v>3468</v>
      </c>
      <c r="J81" t="s">
        <v>3735</v>
      </c>
    </row>
    <row r="82" spans="1:10" ht="15" customHeight="1" x14ac:dyDescent="0.25">
      <c r="A82" t="s">
        <v>4828</v>
      </c>
      <c r="B82" t="s">
        <v>3520</v>
      </c>
      <c r="C82" t="s">
        <v>4520</v>
      </c>
      <c r="D82" t="s">
        <v>4829</v>
      </c>
      <c r="E82" t="s">
        <v>4830</v>
      </c>
      <c r="F82" t="s">
        <v>1650</v>
      </c>
      <c r="G82" t="s">
        <v>4831</v>
      </c>
      <c r="H82" t="s">
        <v>4832</v>
      </c>
      <c r="I82" t="s">
        <v>3468</v>
      </c>
      <c r="J82" t="s">
        <v>3539</v>
      </c>
    </row>
    <row r="83" spans="1:10" ht="15" customHeight="1" x14ac:dyDescent="0.25">
      <c r="A83" t="s">
        <v>4833</v>
      </c>
      <c r="B83" t="s">
        <v>41</v>
      </c>
      <c r="C83" t="s">
        <v>4638</v>
      </c>
      <c r="D83" t="s">
        <v>4834</v>
      </c>
      <c r="E83" t="s">
        <v>4835</v>
      </c>
      <c r="F83" t="s">
        <v>90</v>
      </c>
      <c r="H83" t="s">
        <v>4836</v>
      </c>
      <c r="I83" t="s">
        <v>3468</v>
      </c>
      <c r="J83" t="s">
        <v>4530</v>
      </c>
    </row>
    <row r="84" spans="1:10" ht="15" customHeight="1" x14ac:dyDescent="0.25">
      <c r="A84" t="s">
        <v>4837</v>
      </c>
      <c r="B84" t="s">
        <v>41</v>
      </c>
      <c r="C84" t="s">
        <v>4579</v>
      </c>
      <c r="D84" t="s">
        <v>4838</v>
      </c>
      <c r="E84" t="s">
        <v>4839</v>
      </c>
      <c r="F84" t="s">
        <v>1650</v>
      </c>
      <c r="G84" t="s">
        <v>4582</v>
      </c>
      <c r="H84" t="s">
        <v>4837</v>
      </c>
      <c r="I84" t="s">
        <v>3468</v>
      </c>
      <c r="J84" t="s">
        <v>3531</v>
      </c>
    </row>
    <row r="85" spans="1:10" ht="15" customHeight="1" x14ac:dyDescent="0.25">
      <c r="A85" t="s">
        <v>4840</v>
      </c>
      <c r="B85" t="s">
        <v>41</v>
      </c>
      <c r="C85" t="s">
        <v>3527</v>
      </c>
      <c r="D85" t="s">
        <v>4841</v>
      </c>
      <c r="E85" t="s">
        <v>4842</v>
      </c>
      <c r="F85" t="s">
        <v>1323</v>
      </c>
      <c r="H85" t="s">
        <v>4843</v>
      </c>
      <c r="I85" t="s">
        <v>3468</v>
      </c>
      <c r="J85" t="s">
        <v>4844</v>
      </c>
    </row>
    <row r="86" spans="1:10" ht="15" customHeight="1" x14ac:dyDescent="0.25">
      <c r="A86" t="s">
        <v>4845</v>
      </c>
      <c r="B86" t="s">
        <v>3520</v>
      </c>
      <c r="C86" t="s">
        <v>3545</v>
      </c>
      <c r="D86" t="s">
        <v>4846</v>
      </c>
      <c r="E86" t="s">
        <v>4847</v>
      </c>
      <c r="F86" t="s">
        <v>90</v>
      </c>
      <c r="G86" t="s">
        <v>3684</v>
      </c>
      <c r="H86" t="s">
        <v>3689</v>
      </c>
      <c r="I86" t="s">
        <v>3468</v>
      </c>
      <c r="J86" t="s">
        <v>4604</v>
      </c>
    </row>
    <row r="87" spans="1:10" ht="15" customHeight="1" x14ac:dyDescent="0.25">
      <c r="A87" t="s">
        <v>4848</v>
      </c>
      <c r="B87" t="s">
        <v>3520</v>
      </c>
      <c r="C87" t="s">
        <v>3527</v>
      </c>
      <c r="D87" t="s">
        <v>4849</v>
      </c>
      <c r="E87" t="s">
        <v>4850</v>
      </c>
      <c r="F87" t="s">
        <v>1650</v>
      </c>
      <c r="G87" t="s">
        <v>4851</v>
      </c>
      <c r="H87" t="s">
        <v>4852</v>
      </c>
      <c r="I87" t="s">
        <v>3468</v>
      </c>
      <c r="J87" t="s">
        <v>3531</v>
      </c>
    </row>
    <row r="88" spans="1:10" ht="15" customHeight="1" x14ac:dyDescent="0.25">
      <c r="A88" t="s">
        <v>4853</v>
      </c>
      <c r="B88" t="s">
        <v>3520</v>
      </c>
      <c r="C88" t="s">
        <v>3527</v>
      </c>
      <c r="D88" s="4" t="s">
        <v>4854</v>
      </c>
      <c r="E88" s="4" t="s">
        <v>4855</v>
      </c>
      <c r="F88" t="s">
        <v>1650</v>
      </c>
      <c r="G88" t="s">
        <v>4856</v>
      </c>
      <c r="H88" t="s">
        <v>4857</v>
      </c>
      <c r="I88" t="s">
        <v>3468</v>
      </c>
      <c r="J88" t="s">
        <v>3531</v>
      </c>
    </row>
    <row r="89" spans="1:10" ht="15" customHeight="1" x14ac:dyDescent="0.25">
      <c r="A89" t="s">
        <v>4858</v>
      </c>
      <c r="B89" t="s">
        <v>41</v>
      </c>
      <c r="C89" t="s">
        <v>3545</v>
      </c>
      <c r="D89" t="s">
        <v>4859</v>
      </c>
      <c r="E89" t="s">
        <v>4860</v>
      </c>
      <c r="F89" t="s">
        <v>497</v>
      </c>
      <c r="G89" t="s">
        <v>3651</v>
      </c>
      <c r="H89" t="s">
        <v>4861</v>
      </c>
      <c r="I89" t="s">
        <v>3468</v>
      </c>
      <c r="J89" t="s">
        <v>3539</v>
      </c>
    </row>
    <row r="90" spans="1:10" ht="15" customHeight="1" x14ac:dyDescent="0.25">
      <c r="A90" t="s">
        <v>3496</v>
      </c>
      <c r="B90" t="s">
        <v>41</v>
      </c>
      <c r="C90" t="s">
        <v>3527</v>
      </c>
      <c r="D90" t="s">
        <v>4862</v>
      </c>
      <c r="E90" t="s">
        <v>4863</v>
      </c>
      <c r="F90" t="s">
        <v>2805</v>
      </c>
      <c r="G90" t="s">
        <v>3623</v>
      </c>
      <c r="H90" t="s">
        <v>3496</v>
      </c>
      <c r="I90" t="s">
        <v>3468</v>
      </c>
      <c r="J90" t="s">
        <v>3450</v>
      </c>
    </row>
    <row r="91" spans="1:10" ht="15" customHeight="1" x14ac:dyDescent="0.25">
      <c r="A91" t="s">
        <v>4864</v>
      </c>
      <c r="B91" t="s">
        <v>3520</v>
      </c>
      <c r="C91" t="s">
        <v>3527</v>
      </c>
      <c r="D91" t="s">
        <v>4865</v>
      </c>
      <c r="E91" t="s">
        <v>4866</v>
      </c>
      <c r="F91" t="s">
        <v>1650</v>
      </c>
      <c r="G91" t="s">
        <v>4534</v>
      </c>
      <c r="H91" t="s">
        <v>4867</v>
      </c>
      <c r="I91" t="s">
        <v>3468</v>
      </c>
      <c r="J91" t="s">
        <v>4530</v>
      </c>
    </row>
    <row r="92" spans="1:10" ht="15" customHeight="1" x14ac:dyDescent="0.25">
      <c r="A92" t="s">
        <v>4868</v>
      </c>
      <c r="B92" t="s">
        <v>3520</v>
      </c>
      <c r="C92" t="s">
        <v>3527</v>
      </c>
      <c r="D92" t="s">
        <v>4869</v>
      </c>
      <c r="E92" t="s">
        <v>4870</v>
      </c>
      <c r="F92" t="s">
        <v>553</v>
      </c>
      <c r="G92" t="s">
        <v>3548</v>
      </c>
      <c r="H92" t="s">
        <v>4871</v>
      </c>
      <c r="I92" t="s">
        <v>3468</v>
      </c>
      <c r="J92" t="s">
        <v>3450</v>
      </c>
    </row>
    <row r="93" spans="1:10" ht="15" customHeight="1" x14ac:dyDescent="0.25">
      <c r="A93" t="s">
        <v>3702</v>
      </c>
      <c r="B93" t="s">
        <v>3533</v>
      </c>
      <c r="C93" t="s">
        <v>4579</v>
      </c>
      <c r="D93" t="s">
        <v>4872</v>
      </c>
      <c r="F93" t="s">
        <v>353</v>
      </c>
      <c r="H93" t="s">
        <v>3706</v>
      </c>
      <c r="I93" t="s">
        <v>3468</v>
      </c>
      <c r="J93" t="s">
        <v>3707</v>
      </c>
    </row>
    <row r="94" spans="1:10" ht="15" customHeight="1" x14ac:dyDescent="0.25">
      <c r="A94" t="s">
        <v>4873</v>
      </c>
      <c r="B94" t="s">
        <v>3569</v>
      </c>
      <c r="C94" t="s">
        <v>3527</v>
      </c>
      <c r="D94" t="s">
        <v>4874</v>
      </c>
      <c r="E94" t="s">
        <v>4875</v>
      </c>
      <c r="F94" t="s">
        <v>90</v>
      </c>
      <c r="G94" t="s">
        <v>4876</v>
      </c>
      <c r="H94" t="s">
        <v>4877</v>
      </c>
      <c r="I94" t="s">
        <v>3468</v>
      </c>
      <c r="J94" t="s">
        <v>4878</v>
      </c>
    </row>
    <row r="95" spans="1:10" ht="15" customHeight="1" x14ac:dyDescent="0.25">
      <c r="A95" t="s">
        <v>4879</v>
      </c>
      <c r="B95" t="s">
        <v>3520</v>
      </c>
      <c r="C95" t="s">
        <v>4520</v>
      </c>
      <c r="D95" t="s">
        <v>4880</v>
      </c>
      <c r="E95" t="s">
        <v>4881</v>
      </c>
      <c r="F95" t="s">
        <v>160</v>
      </c>
      <c r="G95" t="s">
        <v>3684</v>
      </c>
      <c r="H95" t="s">
        <v>4882</v>
      </c>
      <c r="I95" t="s">
        <v>3468</v>
      </c>
      <c r="J95" t="s">
        <v>3539</v>
      </c>
    </row>
    <row r="96" spans="1:10" ht="15" customHeight="1" x14ac:dyDescent="0.25">
      <c r="A96" t="s">
        <v>4883</v>
      </c>
      <c r="B96" t="s">
        <v>41</v>
      </c>
      <c r="C96" t="s">
        <v>4579</v>
      </c>
      <c r="D96" t="s">
        <v>4884</v>
      </c>
      <c r="E96" t="s">
        <v>4885</v>
      </c>
      <c r="F96" t="s">
        <v>1650</v>
      </c>
      <c r="G96" t="s">
        <v>4582</v>
      </c>
      <c r="H96" t="s">
        <v>4886</v>
      </c>
      <c r="I96" t="s">
        <v>3468</v>
      </c>
      <c r="J96" t="s">
        <v>3539</v>
      </c>
    </row>
    <row r="97" spans="1:10" ht="15" customHeight="1" x14ac:dyDescent="0.25">
      <c r="A97" t="s">
        <v>4887</v>
      </c>
      <c r="B97" t="s">
        <v>3533</v>
      </c>
      <c r="C97" t="s">
        <v>4499</v>
      </c>
      <c r="D97" t="s">
        <v>4888</v>
      </c>
      <c r="E97" t="s">
        <v>4889</v>
      </c>
      <c r="F97" t="s">
        <v>1650</v>
      </c>
      <c r="H97" t="s">
        <v>4890</v>
      </c>
      <c r="I97" t="s">
        <v>3468</v>
      </c>
      <c r="J97" t="s">
        <v>4530</v>
      </c>
    </row>
    <row r="98" spans="1:10" ht="15" customHeight="1" x14ac:dyDescent="0.25">
      <c r="A98" t="s">
        <v>4891</v>
      </c>
      <c r="B98" t="s">
        <v>3754</v>
      </c>
      <c r="C98" t="s">
        <v>3527</v>
      </c>
      <c r="D98" t="s">
        <v>4892</v>
      </c>
      <c r="E98" t="s">
        <v>4893</v>
      </c>
      <c r="F98" t="s">
        <v>160</v>
      </c>
      <c r="G98" t="s">
        <v>4731</v>
      </c>
      <c r="H98" t="s">
        <v>4894</v>
      </c>
      <c r="I98" t="s">
        <v>3468</v>
      </c>
      <c r="J98" t="s">
        <v>3600</v>
      </c>
    </row>
    <row r="99" spans="1:10" ht="15" customHeight="1" x14ac:dyDescent="0.25">
      <c r="A99" t="s">
        <v>4895</v>
      </c>
      <c r="B99" t="s">
        <v>3520</v>
      </c>
      <c r="C99" t="s">
        <v>3527</v>
      </c>
      <c r="D99" t="s">
        <v>4896</v>
      </c>
      <c r="E99" t="s">
        <v>4897</v>
      </c>
      <c r="F99" t="s">
        <v>1323</v>
      </c>
      <c r="G99" t="s">
        <v>4677</v>
      </c>
      <c r="H99" t="s">
        <v>4898</v>
      </c>
      <c r="I99" t="s">
        <v>3468</v>
      </c>
      <c r="J99" t="s">
        <v>4899</v>
      </c>
    </row>
    <row r="100" spans="1:10" ht="15" customHeight="1" x14ac:dyDescent="0.25">
      <c r="A100" t="s">
        <v>4900</v>
      </c>
      <c r="B100" t="s">
        <v>3533</v>
      </c>
      <c r="C100" t="s">
        <v>4638</v>
      </c>
      <c r="D100" t="s">
        <v>4901</v>
      </c>
      <c r="E100" t="s">
        <v>4902</v>
      </c>
      <c r="F100" t="s">
        <v>90</v>
      </c>
      <c r="G100" t="s">
        <v>4812</v>
      </c>
      <c r="H100" t="s">
        <v>4900</v>
      </c>
      <c r="I100" t="s">
        <v>3468</v>
      </c>
      <c r="J100" t="s">
        <v>4530</v>
      </c>
    </row>
    <row r="101" spans="1:10" ht="15" customHeight="1" x14ac:dyDescent="0.25">
      <c r="A101" t="s">
        <v>3717</v>
      </c>
      <c r="B101" t="s">
        <v>3533</v>
      </c>
      <c r="C101" t="s">
        <v>3527</v>
      </c>
      <c r="D101" t="s">
        <v>4903</v>
      </c>
      <c r="E101" t="s">
        <v>4904</v>
      </c>
      <c r="F101" t="s">
        <v>497</v>
      </c>
      <c r="G101" t="s">
        <v>3720</v>
      </c>
      <c r="H101" t="s">
        <v>3717</v>
      </c>
      <c r="I101" t="s">
        <v>3468</v>
      </c>
      <c r="J101" t="s">
        <v>3539</v>
      </c>
    </row>
    <row r="102" spans="1:10" ht="15" customHeight="1" x14ac:dyDescent="0.25">
      <c r="A102" t="s">
        <v>4905</v>
      </c>
      <c r="B102" t="s">
        <v>41</v>
      </c>
      <c r="C102" t="s">
        <v>4579</v>
      </c>
      <c r="D102" t="s">
        <v>4906</v>
      </c>
      <c r="E102" t="s">
        <v>4907</v>
      </c>
      <c r="F102" t="s">
        <v>1650</v>
      </c>
      <c r="G102" t="s">
        <v>4582</v>
      </c>
      <c r="H102" t="s">
        <v>4905</v>
      </c>
      <c r="I102" t="s">
        <v>3468</v>
      </c>
      <c r="J102" t="s">
        <v>3539</v>
      </c>
    </row>
    <row r="103" spans="1:10" ht="15" customHeight="1" x14ac:dyDescent="0.25">
      <c r="A103" t="s">
        <v>4908</v>
      </c>
      <c r="B103" t="s">
        <v>3520</v>
      </c>
      <c r="C103" t="s">
        <v>3545</v>
      </c>
      <c r="D103" t="s">
        <v>4909</v>
      </c>
      <c r="E103" t="s">
        <v>4910</v>
      </c>
      <c r="F103" t="s">
        <v>553</v>
      </c>
      <c r="G103" t="s">
        <v>3548</v>
      </c>
      <c r="H103" t="s">
        <v>4911</v>
      </c>
      <c r="I103" t="s">
        <v>3468</v>
      </c>
      <c r="J103" t="s">
        <v>3539</v>
      </c>
    </row>
    <row r="104" spans="1:10" ht="15" customHeight="1" x14ac:dyDescent="0.25">
      <c r="A104" t="s">
        <v>4912</v>
      </c>
      <c r="B104" t="s">
        <v>41</v>
      </c>
      <c r="C104" t="s">
        <v>3527</v>
      </c>
      <c r="D104" t="s">
        <v>4913</v>
      </c>
      <c r="E104" t="s">
        <v>4914</v>
      </c>
      <c r="F104" t="s">
        <v>1323</v>
      </c>
      <c r="H104" t="s">
        <v>4915</v>
      </c>
      <c r="I104" t="s">
        <v>3468</v>
      </c>
      <c r="J104" t="s">
        <v>4916</v>
      </c>
    </row>
    <row r="105" spans="1:10" ht="15" customHeight="1" x14ac:dyDescent="0.25">
      <c r="A105" t="s">
        <v>4917</v>
      </c>
      <c r="B105" t="s">
        <v>3533</v>
      </c>
      <c r="C105" t="s">
        <v>4579</v>
      </c>
      <c r="D105" t="s">
        <v>4918</v>
      </c>
      <c r="F105" t="s">
        <v>1650</v>
      </c>
      <c r="G105" t="s">
        <v>4919</v>
      </c>
      <c r="H105" t="s">
        <v>4920</v>
      </c>
      <c r="I105" t="s">
        <v>3468</v>
      </c>
      <c r="J105" t="s">
        <v>3450</v>
      </c>
    </row>
    <row r="106" spans="1:10" ht="15" customHeight="1" x14ac:dyDescent="0.25">
      <c r="A106" t="s">
        <v>4921</v>
      </c>
      <c r="B106" t="s">
        <v>3520</v>
      </c>
      <c r="C106" t="s">
        <v>3527</v>
      </c>
      <c r="D106" t="s">
        <v>4922</v>
      </c>
      <c r="E106" t="s">
        <v>4923</v>
      </c>
      <c r="F106" t="s">
        <v>90</v>
      </c>
      <c r="G106" t="s">
        <v>3684</v>
      </c>
      <c r="H106" t="s">
        <v>4924</v>
      </c>
      <c r="I106" t="s">
        <v>3468</v>
      </c>
      <c r="J106" t="s">
        <v>3531</v>
      </c>
    </row>
    <row r="107" spans="1:10" ht="15" customHeight="1" x14ac:dyDescent="0.25">
      <c r="A107" t="s">
        <v>4925</v>
      </c>
      <c r="B107" t="s">
        <v>41</v>
      </c>
      <c r="C107" t="s">
        <v>3527</v>
      </c>
      <c r="D107" t="s">
        <v>4926</v>
      </c>
      <c r="E107" t="s">
        <v>4927</v>
      </c>
      <c r="F107" t="s">
        <v>90</v>
      </c>
      <c r="G107" t="s">
        <v>3715</v>
      </c>
      <c r="H107" t="s">
        <v>4928</v>
      </c>
      <c r="I107" t="s">
        <v>3468</v>
      </c>
      <c r="J107" t="s">
        <v>4530</v>
      </c>
    </row>
    <row r="108" spans="1:10" ht="15" customHeight="1" x14ac:dyDescent="0.25">
      <c r="A108" t="s">
        <v>4929</v>
      </c>
      <c r="B108" t="s">
        <v>3533</v>
      </c>
      <c r="C108" t="s">
        <v>3527</v>
      </c>
      <c r="D108" t="s">
        <v>4930</v>
      </c>
      <c r="E108" t="s">
        <v>4931</v>
      </c>
      <c r="F108" t="s">
        <v>501</v>
      </c>
      <c r="G108" t="s">
        <v>4715</v>
      </c>
      <c r="H108" t="s">
        <v>4932</v>
      </c>
      <c r="I108" t="s">
        <v>3468</v>
      </c>
      <c r="J108" t="s">
        <v>3531</v>
      </c>
    </row>
    <row r="109" spans="1:10" ht="15" customHeight="1" x14ac:dyDescent="0.25">
      <c r="A109" t="s">
        <v>4933</v>
      </c>
      <c r="B109" t="s">
        <v>41</v>
      </c>
      <c r="C109" t="s">
        <v>3545</v>
      </c>
      <c r="D109" t="s">
        <v>4934</v>
      </c>
      <c r="E109" t="s">
        <v>4935</v>
      </c>
      <c r="F109" t="s">
        <v>1047</v>
      </c>
      <c r="G109" t="s">
        <v>4936</v>
      </c>
      <c r="H109" t="s">
        <v>4933</v>
      </c>
      <c r="I109" t="s">
        <v>3468</v>
      </c>
      <c r="J109" t="s">
        <v>3539</v>
      </c>
    </row>
    <row r="110" spans="1:10" ht="15" customHeight="1" x14ac:dyDescent="0.25">
      <c r="A110" t="s">
        <v>4937</v>
      </c>
      <c r="B110" t="s">
        <v>3533</v>
      </c>
      <c r="C110" t="s">
        <v>4628</v>
      </c>
      <c r="D110" t="s">
        <v>4938</v>
      </c>
      <c r="F110" t="s">
        <v>160</v>
      </c>
      <c r="G110" t="s">
        <v>4939</v>
      </c>
      <c r="H110" t="s">
        <v>4940</v>
      </c>
      <c r="I110" t="s">
        <v>3468</v>
      </c>
      <c r="J110" t="s">
        <v>4530</v>
      </c>
    </row>
    <row r="111" spans="1:10" ht="15" customHeight="1" x14ac:dyDescent="0.25">
      <c r="A111" t="s">
        <v>4941</v>
      </c>
      <c r="B111" t="s">
        <v>41</v>
      </c>
      <c r="C111" t="s">
        <v>3697</v>
      </c>
      <c r="D111" t="s">
        <v>4942</v>
      </c>
      <c r="F111" t="s">
        <v>160</v>
      </c>
      <c r="G111" t="s">
        <v>4943</v>
      </c>
      <c r="H111" t="s">
        <v>4944</v>
      </c>
      <c r="I111" t="s">
        <v>3468</v>
      </c>
      <c r="J111" t="s">
        <v>3707</v>
      </c>
    </row>
    <row r="112" spans="1:10" ht="15" customHeight="1" x14ac:dyDescent="0.25">
      <c r="A112" t="s">
        <v>4945</v>
      </c>
      <c r="B112" t="s">
        <v>3520</v>
      </c>
      <c r="C112" t="s">
        <v>3527</v>
      </c>
      <c r="D112" t="s">
        <v>4946</v>
      </c>
      <c r="E112" t="s">
        <v>4947</v>
      </c>
      <c r="F112" t="s">
        <v>90</v>
      </c>
      <c r="H112" t="s">
        <v>4948</v>
      </c>
      <c r="I112" t="s">
        <v>3468</v>
      </c>
      <c r="J112" t="s">
        <v>3531</v>
      </c>
    </row>
    <row r="113" spans="1:10" ht="15" customHeight="1" x14ac:dyDescent="0.25">
      <c r="A113" t="s">
        <v>4949</v>
      </c>
      <c r="B113" t="s">
        <v>3533</v>
      </c>
      <c r="C113" t="s">
        <v>3527</v>
      </c>
      <c r="D113" t="s">
        <v>4950</v>
      </c>
      <c r="E113" t="s">
        <v>4951</v>
      </c>
      <c r="F113" t="s">
        <v>90</v>
      </c>
      <c r="G113" t="s">
        <v>4687</v>
      </c>
      <c r="H113" t="s">
        <v>4952</v>
      </c>
      <c r="I113" t="s">
        <v>3468</v>
      </c>
      <c r="J113" t="s">
        <v>3600</v>
      </c>
    </row>
    <row r="114" spans="1:10" ht="15" customHeight="1" x14ac:dyDescent="0.25">
      <c r="A114" t="s">
        <v>4953</v>
      </c>
      <c r="B114" t="s">
        <v>41</v>
      </c>
      <c r="C114" t="s">
        <v>3527</v>
      </c>
      <c r="D114" t="s">
        <v>4954</v>
      </c>
      <c r="E114" t="s">
        <v>4955</v>
      </c>
      <c r="F114" t="s">
        <v>90</v>
      </c>
      <c r="G114" t="s">
        <v>4956</v>
      </c>
      <c r="H114" t="s">
        <v>4957</v>
      </c>
      <c r="I114" t="s">
        <v>3468</v>
      </c>
      <c r="J114" t="s">
        <v>3450</v>
      </c>
    </row>
    <row r="115" spans="1:10" ht="15" customHeight="1" x14ac:dyDescent="0.25">
      <c r="A115" t="s">
        <v>4958</v>
      </c>
      <c r="B115" t="s">
        <v>3520</v>
      </c>
      <c r="C115" t="s">
        <v>3527</v>
      </c>
      <c r="D115" t="s">
        <v>4959</v>
      </c>
      <c r="E115" t="s">
        <v>4960</v>
      </c>
      <c r="F115" t="s">
        <v>90</v>
      </c>
      <c r="G115" t="s">
        <v>4692</v>
      </c>
      <c r="H115" t="s">
        <v>4958</v>
      </c>
      <c r="I115" t="s">
        <v>3468</v>
      </c>
      <c r="J115" t="s">
        <v>3531</v>
      </c>
    </row>
    <row r="116" spans="1:10" ht="15" customHeight="1" x14ac:dyDescent="0.25">
      <c r="A116" t="s">
        <v>3745</v>
      </c>
      <c r="B116" t="s">
        <v>3533</v>
      </c>
      <c r="C116" t="s">
        <v>3527</v>
      </c>
      <c r="D116" t="s">
        <v>3746</v>
      </c>
      <c r="F116" t="s">
        <v>553</v>
      </c>
      <c r="G116" t="s">
        <v>3748</v>
      </c>
      <c r="H116" t="s">
        <v>3749</v>
      </c>
      <c r="I116" t="s">
        <v>3468</v>
      </c>
      <c r="J116" t="s">
        <v>3600</v>
      </c>
    </row>
    <row r="117" spans="1:10" ht="15" customHeight="1" x14ac:dyDescent="0.25">
      <c r="A117" t="s">
        <v>4961</v>
      </c>
      <c r="B117" t="s">
        <v>41</v>
      </c>
      <c r="C117" t="s">
        <v>4579</v>
      </c>
      <c r="D117" t="s">
        <v>4962</v>
      </c>
      <c r="E117" t="s">
        <v>4963</v>
      </c>
      <c r="F117" t="s">
        <v>1650</v>
      </c>
      <c r="G117" t="s">
        <v>4582</v>
      </c>
      <c r="H117" t="s">
        <v>4961</v>
      </c>
      <c r="I117" t="s">
        <v>3468</v>
      </c>
      <c r="J117" t="s">
        <v>3539</v>
      </c>
    </row>
    <row r="118" spans="1:10" ht="15" customHeight="1" x14ac:dyDescent="0.25">
      <c r="A118" t="s">
        <v>3750</v>
      </c>
      <c r="B118" t="s">
        <v>41</v>
      </c>
      <c r="C118" t="s">
        <v>3545</v>
      </c>
      <c r="D118" t="s">
        <v>4964</v>
      </c>
      <c r="E118" t="s">
        <v>4965</v>
      </c>
      <c r="F118" t="s">
        <v>90</v>
      </c>
      <c r="H118" t="s">
        <v>3750</v>
      </c>
      <c r="I118" t="s">
        <v>3468</v>
      </c>
      <c r="J118" t="s">
        <v>3539</v>
      </c>
    </row>
    <row r="119" spans="1:10" ht="15" customHeight="1" x14ac:dyDescent="0.25">
      <c r="A119" t="s">
        <v>4966</v>
      </c>
      <c r="B119" t="s">
        <v>3520</v>
      </c>
      <c r="C119" t="s">
        <v>3602</v>
      </c>
      <c r="D119" t="s">
        <v>4967</v>
      </c>
      <c r="F119" t="s">
        <v>160</v>
      </c>
      <c r="H119" t="s">
        <v>4968</v>
      </c>
      <c r="I119" t="s">
        <v>3468</v>
      </c>
      <c r="J119" t="s">
        <v>3707</v>
      </c>
    </row>
    <row r="120" spans="1:10" ht="15" customHeight="1" x14ac:dyDescent="0.25">
      <c r="A120" t="s">
        <v>4969</v>
      </c>
      <c r="B120" t="s">
        <v>3520</v>
      </c>
      <c r="C120" t="s">
        <v>3527</v>
      </c>
      <c r="D120" t="s">
        <v>4970</v>
      </c>
      <c r="E120" t="s">
        <v>4971</v>
      </c>
      <c r="F120" t="s">
        <v>1130</v>
      </c>
      <c r="G120" t="s">
        <v>4972</v>
      </c>
      <c r="H120" t="s">
        <v>4973</v>
      </c>
      <c r="I120" t="s">
        <v>3468</v>
      </c>
      <c r="J120" t="s">
        <v>4636</v>
      </c>
    </row>
    <row r="121" spans="1:10" ht="15" customHeight="1" x14ac:dyDescent="0.25">
      <c r="A121" t="s">
        <v>3753</v>
      </c>
      <c r="B121" t="s">
        <v>3754</v>
      </c>
      <c r="C121" t="s">
        <v>4974</v>
      </c>
      <c r="D121" t="s">
        <v>4975</v>
      </c>
      <c r="F121" t="s">
        <v>1796</v>
      </c>
      <c r="G121" t="s">
        <v>3757</v>
      </c>
      <c r="H121" t="s">
        <v>3758</v>
      </c>
      <c r="I121" t="s">
        <v>3468</v>
      </c>
      <c r="J121" t="s">
        <v>3600</v>
      </c>
    </row>
    <row r="122" spans="1:10" ht="15" customHeight="1" x14ac:dyDescent="0.25">
      <c r="A122" t="s">
        <v>4976</v>
      </c>
      <c r="B122" t="s">
        <v>41</v>
      </c>
      <c r="C122" t="s">
        <v>3534</v>
      </c>
      <c r="D122" t="s">
        <v>4977</v>
      </c>
      <c r="E122" t="s">
        <v>4978</v>
      </c>
      <c r="F122" t="s">
        <v>90</v>
      </c>
      <c r="H122" t="s">
        <v>4979</v>
      </c>
      <c r="I122" t="s">
        <v>3468</v>
      </c>
      <c r="J122" t="s">
        <v>3531</v>
      </c>
    </row>
    <row r="123" spans="1:10" ht="15" customHeight="1" x14ac:dyDescent="0.25">
      <c r="A123" t="s">
        <v>4980</v>
      </c>
      <c r="B123" t="s">
        <v>3533</v>
      </c>
      <c r="C123" t="s">
        <v>3545</v>
      </c>
      <c r="D123" t="s">
        <v>4981</v>
      </c>
      <c r="E123" t="s">
        <v>4982</v>
      </c>
      <c r="F123" t="s">
        <v>497</v>
      </c>
      <c r="G123" t="s">
        <v>264</v>
      </c>
      <c r="H123" t="s">
        <v>4980</v>
      </c>
      <c r="I123" t="s">
        <v>3468</v>
      </c>
      <c r="J123" t="s">
        <v>3539</v>
      </c>
    </row>
    <row r="124" spans="1:10" ht="15" customHeight="1" x14ac:dyDescent="0.25">
      <c r="A124" t="s">
        <v>4983</v>
      </c>
      <c r="B124" t="s">
        <v>41</v>
      </c>
      <c r="C124" t="s">
        <v>3534</v>
      </c>
      <c r="D124" t="s">
        <v>4984</v>
      </c>
      <c r="E124" t="s">
        <v>4985</v>
      </c>
      <c r="F124" t="s">
        <v>90</v>
      </c>
      <c r="G124" t="s">
        <v>3684</v>
      </c>
      <c r="H124" t="s">
        <v>4983</v>
      </c>
      <c r="I124" t="s">
        <v>3468</v>
      </c>
      <c r="J124" t="s">
        <v>4530</v>
      </c>
    </row>
    <row r="125" spans="1:10" ht="15" customHeight="1" x14ac:dyDescent="0.25">
      <c r="A125" t="s">
        <v>4986</v>
      </c>
      <c r="B125" t="s">
        <v>3520</v>
      </c>
      <c r="C125" t="s">
        <v>4987</v>
      </c>
      <c r="D125" t="s">
        <v>4988</v>
      </c>
      <c r="E125" t="s">
        <v>4989</v>
      </c>
      <c r="F125" t="s">
        <v>90</v>
      </c>
      <c r="G125" t="s">
        <v>4507</v>
      </c>
      <c r="H125" t="s">
        <v>4990</v>
      </c>
      <c r="I125" t="s">
        <v>3468</v>
      </c>
      <c r="J125" t="s">
        <v>3707</v>
      </c>
    </row>
    <row r="126" spans="1:10" ht="15" customHeight="1" x14ac:dyDescent="0.25">
      <c r="A126" t="s">
        <v>4991</v>
      </c>
      <c r="B126" t="s">
        <v>3533</v>
      </c>
      <c r="C126" t="s">
        <v>3545</v>
      </c>
      <c r="D126" t="s">
        <v>4992</v>
      </c>
      <c r="E126" t="s">
        <v>4993</v>
      </c>
      <c r="F126" t="s">
        <v>497</v>
      </c>
      <c r="G126" t="s">
        <v>3748</v>
      </c>
      <c r="H126" t="s">
        <v>4991</v>
      </c>
      <c r="I126" t="s">
        <v>3468</v>
      </c>
      <c r="J126" t="s">
        <v>3539</v>
      </c>
    </row>
    <row r="127" spans="1:10" ht="15" customHeight="1" x14ac:dyDescent="0.25">
      <c r="A127" t="s">
        <v>3759</v>
      </c>
      <c r="B127" t="s">
        <v>41</v>
      </c>
      <c r="C127" t="s">
        <v>3697</v>
      </c>
      <c r="D127" t="s">
        <v>4994</v>
      </c>
      <c r="E127" t="s">
        <v>4995</v>
      </c>
      <c r="F127" t="s">
        <v>160</v>
      </c>
      <c r="G127" t="s">
        <v>4996</v>
      </c>
      <c r="H127" t="s">
        <v>3763</v>
      </c>
      <c r="I127" t="s">
        <v>3468</v>
      </c>
      <c r="J127" t="s">
        <v>3600</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4997</v>
      </c>
      <c r="B1" t="s">
        <v>1</v>
      </c>
      <c r="C1" t="s">
        <v>167</v>
      </c>
      <c r="D1" t="s">
        <v>3764</v>
      </c>
      <c r="E1" t="s">
        <v>4998</v>
      </c>
      <c r="F1" t="s">
        <v>6</v>
      </c>
      <c r="G1" t="s">
        <v>4999</v>
      </c>
      <c r="H1" t="s">
        <v>5000</v>
      </c>
      <c r="I1" t="s">
        <v>5001</v>
      </c>
      <c r="J1" t="s">
        <v>4330</v>
      </c>
      <c r="K1" t="s">
        <v>5002</v>
      </c>
      <c r="L1" t="s">
        <v>4</v>
      </c>
      <c r="M1" t="s">
        <v>170</v>
      </c>
    </row>
    <row r="2" spans="1:13" ht="15" customHeight="1" x14ac:dyDescent="0.25">
      <c r="A2" t="s">
        <v>5003</v>
      </c>
      <c r="B2" t="s">
        <v>1650</v>
      </c>
      <c r="C2" t="s">
        <v>222</v>
      </c>
      <c r="D2" t="s">
        <v>39</v>
      </c>
      <c r="E2">
        <v>0</v>
      </c>
      <c r="F2" t="s">
        <v>41</v>
      </c>
      <c r="G2" t="s">
        <v>5004</v>
      </c>
      <c r="H2" t="s">
        <v>5005</v>
      </c>
      <c r="I2" t="s">
        <v>4051</v>
      </c>
      <c r="J2" t="s">
        <v>5006</v>
      </c>
      <c r="K2" t="s">
        <v>3468</v>
      </c>
      <c r="L2" t="s">
        <v>4368</v>
      </c>
      <c r="M2" t="s">
        <v>5007</v>
      </c>
    </row>
    <row r="3" spans="1:13" ht="15" customHeight="1" x14ac:dyDescent="0.25">
      <c r="A3" t="s">
        <v>5008</v>
      </c>
      <c r="B3" t="s">
        <v>1650</v>
      </c>
      <c r="C3" t="s">
        <v>222</v>
      </c>
      <c r="D3" t="s">
        <v>39</v>
      </c>
      <c r="E3">
        <v>0</v>
      </c>
      <c r="F3" t="s">
        <v>41</v>
      </c>
      <c r="G3" t="s">
        <v>5009</v>
      </c>
      <c r="H3" t="s">
        <v>5010</v>
      </c>
      <c r="I3" t="s">
        <v>4051</v>
      </c>
      <c r="J3" t="s">
        <v>5011</v>
      </c>
      <c r="K3" t="s">
        <v>3468</v>
      </c>
      <c r="L3" t="s">
        <v>4368</v>
      </c>
      <c r="M3" t="s">
        <v>264</v>
      </c>
    </row>
    <row r="4" spans="1:13" ht="15" customHeight="1" x14ac:dyDescent="0.25">
      <c r="A4" t="s">
        <v>5012</v>
      </c>
      <c r="B4" t="s">
        <v>90</v>
      </c>
      <c r="C4" t="s">
        <v>182</v>
      </c>
      <c r="D4" t="s">
        <v>39</v>
      </c>
      <c r="E4">
        <v>0</v>
      </c>
      <c r="F4" t="s">
        <v>3533</v>
      </c>
      <c r="G4" t="s">
        <v>5013</v>
      </c>
      <c r="H4" t="s">
        <v>5013</v>
      </c>
      <c r="I4" t="s">
        <v>4051</v>
      </c>
      <c r="J4" t="s">
        <v>5014</v>
      </c>
      <c r="K4">
        <v>1</v>
      </c>
      <c r="L4" t="s">
        <v>4368</v>
      </c>
    </row>
    <row r="5" spans="1:13" ht="15" customHeight="1" x14ac:dyDescent="0.25">
      <c r="A5" t="s">
        <v>5015</v>
      </c>
      <c r="B5" t="s">
        <v>90</v>
      </c>
      <c r="C5" t="s">
        <v>182</v>
      </c>
      <c r="D5" t="s">
        <v>5016</v>
      </c>
      <c r="E5">
        <v>0</v>
      </c>
      <c r="F5" t="s">
        <v>41</v>
      </c>
      <c r="G5" t="s">
        <v>3468</v>
      </c>
      <c r="H5" t="s">
        <v>5017</v>
      </c>
      <c r="I5" t="s">
        <v>4051</v>
      </c>
      <c r="J5" t="s">
        <v>5018</v>
      </c>
      <c r="K5" t="s">
        <v>3468</v>
      </c>
      <c r="L5" t="s">
        <v>4368</v>
      </c>
      <c r="M5" t="s">
        <v>5019</v>
      </c>
    </row>
    <row r="9" spans="1:13" ht="15" customHeight="1" x14ac:dyDescent="0.25">
      <c r="A9" t="s">
        <v>5020</v>
      </c>
      <c r="B9" t="s">
        <v>5021</v>
      </c>
      <c r="C9" t="s">
        <v>5022</v>
      </c>
      <c r="F9" t="s">
        <v>5023</v>
      </c>
      <c r="G9" t="s">
        <v>5024</v>
      </c>
      <c r="J9" t="s">
        <v>3468</v>
      </c>
    </row>
    <row r="10" spans="1:13" ht="15" customHeight="1" x14ac:dyDescent="0.25">
      <c r="A10" t="s">
        <v>5025</v>
      </c>
      <c r="B10" t="s">
        <v>5026</v>
      </c>
      <c r="C10" t="s">
        <v>5027</v>
      </c>
      <c r="F10" t="s">
        <v>5028</v>
      </c>
      <c r="G10" t="s">
        <v>5029</v>
      </c>
      <c r="J10" t="s">
        <v>5030</v>
      </c>
    </row>
    <row r="11" spans="1:13" ht="15" customHeight="1" x14ac:dyDescent="0.25">
      <c r="A11" t="s">
        <v>5031</v>
      </c>
      <c r="B11" t="s">
        <v>5032</v>
      </c>
      <c r="C11" t="s">
        <v>5033</v>
      </c>
      <c r="F11" t="s">
        <v>5034</v>
      </c>
      <c r="J11" t="s">
        <v>3468</v>
      </c>
    </row>
    <row r="12" spans="1:13" ht="15" customHeight="1" x14ac:dyDescent="0.25">
      <c r="A12" t="s">
        <v>5035</v>
      </c>
      <c r="B12" t="s">
        <v>5036</v>
      </c>
      <c r="C12" t="s">
        <v>5037</v>
      </c>
      <c r="F12" t="s">
        <v>5038</v>
      </c>
    </row>
    <row r="13" spans="1:13" ht="15" customHeight="1" x14ac:dyDescent="0.25">
      <c r="A13" t="s">
        <v>5039</v>
      </c>
      <c r="B13" t="s">
        <v>5040</v>
      </c>
      <c r="C13" t="s">
        <v>5041</v>
      </c>
      <c r="F13" t="s">
        <v>5042</v>
      </c>
      <c r="G13" t="s">
        <v>5043</v>
      </c>
      <c r="I13" t="s">
        <v>4300</v>
      </c>
    </row>
    <row r="14" spans="1:13" ht="15" customHeight="1" x14ac:dyDescent="0.25">
      <c r="A14" t="s">
        <v>5044</v>
      </c>
      <c r="B14" t="s">
        <v>5045</v>
      </c>
      <c r="C14" t="s">
        <v>5046</v>
      </c>
      <c r="F14" t="s">
        <v>5047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5048</v>
      </c>
      <c r="G1" t="s">
        <v>3515</v>
      </c>
      <c r="H1" t="s">
        <v>5049</v>
      </c>
      <c r="I1" t="s">
        <v>5050</v>
      </c>
      <c r="J1" t="s">
        <v>4330</v>
      </c>
      <c r="K1" t="s">
        <v>170</v>
      </c>
    </row>
    <row r="2" spans="1:11" ht="15" customHeight="1" x14ac:dyDescent="0.25">
      <c r="A2" t="s">
        <v>5039</v>
      </c>
      <c r="B2" t="s">
        <v>5051</v>
      </c>
      <c r="C2" t="s">
        <v>3533</v>
      </c>
      <c r="D2" t="s">
        <v>5052</v>
      </c>
      <c r="E2" t="s">
        <v>5053</v>
      </c>
      <c r="F2" t="s">
        <v>5054</v>
      </c>
      <c r="G2" t="s">
        <v>160</v>
      </c>
      <c r="H2" t="s">
        <v>5055</v>
      </c>
      <c r="I2" t="s">
        <v>5056</v>
      </c>
      <c r="J2" t="s">
        <v>5057</v>
      </c>
    </row>
    <row r="3" spans="1:11" ht="15" customHeight="1" x14ac:dyDescent="0.25">
      <c r="A3" t="s">
        <v>5058</v>
      </c>
      <c r="B3" t="s">
        <v>5059</v>
      </c>
      <c r="C3" t="s">
        <v>41</v>
      </c>
      <c r="D3" t="s">
        <v>5060</v>
      </c>
      <c r="E3" t="s">
        <v>5061</v>
      </c>
      <c r="F3" t="s">
        <v>5062</v>
      </c>
      <c r="G3" t="s">
        <v>1650</v>
      </c>
      <c r="J3" t="s">
        <v>5063</v>
      </c>
    </row>
    <row r="4" spans="1:11" ht="15" customHeight="1" x14ac:dyDescent="0.25">
      <c r="A4" t="s">
        <v>5064</v>
      </c>
      <c r="B4" t="s">
        <v>5059</v>
      </c>
      <c r="C4" t="s">
        <v>41</v>
      </c>
      <c r="D4" t="s">
        <v>5065</v>
      </c>
      <c r="E4" t="s">
        <v>5066</v>
      </c>
      <c r="F4" t="s">
        <v>5067</v>
      </c>
      <c r="G4" t="s">
        <v>1047</v>
      </c>
      <c r="J4" t="s">
        <v>5068</v>
      </c>
    </row>
    <row r="5" spans="1:11" ht="15" customHeight="1" x14ac:dyDescent="0.25">
      <c r="A5" t="s">
        <v>5069</v>
      </c>
      <c r="B5" t="s">
        <v>3707</v>
      </c>
      <c r="C5" t="s">
        <v>41</v>
      </c>
      <c r="D5" t="s">
        <v>5070</v>
      </c>
      <c r="E5" t="s">
        <v>5071</v>
      </c>
      <c r="F5" t="s">
        <v>3468</v>
      </c>
      <c r="G5" t="s">
        <v>2133</v>
      </c>
      <c r="J5" t="s">
        <v>5072</v>
      </c>
    </row>
    <row r="6" spans="1:11" ht="15" customHeight="1" x14ac:dyDescent="0.25">
      <c r="A6" t="s">
        <v>5073</v>
      </c>
      <c r="B6" t="s">
        <v>3707</v>
      </c>
      <c r="C6" t="s">
        <v>3520</v>
      </c>
      <c r="D6" t="s">
        <v>5074</v>
      </c>
      <c r="E6" t="s">
        <v>5075</v>
      </c>
      <c r="F6" t="s">
        <v>3468</v>
      </c>
      <c r="G6" t="s">
        <v>2133</v>
      </c>
      <c r="J6" t="s">
        <v>5076</v>
      </c>
    </row>
    <row r="7" spans="1:11" ht="15" customHeight="1" x14ac:dyDescent="0.25">
      <c r="A7" t="s">
        <v>5077</v>
      </c>
      <c r="B7" t="s">
        <v>5078</v>
      </c>
      <c r="C7" t="s">
        <v>41</v>
      </c>
      <c r="D7" t="s">
        <v>5079</v>
      </c>
      <c r="E7" t="s">
        <v>5080</v>
      </c>
      <c r="F7" t="s">
        <v>3468</v>
      </c>
      <c r="G7" t="s">
        <v>759</v>
      </c>
      <c r="J7" t="s">
        <v>5081</v>
      </c>
    </row>
    <row r="8" spans="1:11" ht="15" customHeight="1" x14ac:dyDescent="0.25">
      <c r="A8" t="s">
        <v>5082</v>
      </c>
      <c r="B8" t="s">
        <v>5051</v>
      </c>
      <c r="C8" t="s">
        <v>3520</v>
      </c>
      <c r="D8" t="s">
        <v>5083</v>
      </c>
      <c r="E8" t="s">
        <v>5084</v>
      </c>
      <c r="F8" t="s">
        <v>3468</v>
      </c>
      <c r="G8" t="s">
        <v>160</v>
      </c>
      <c r="H8" t="s">
        <v>5085</v>
      </c>
      <c r="I8" t="s">
        <v>5086</v>
      </c>
      <c r="J8" t="s">
        <v>5087</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3764</v>
      </c>
      <c r="D1" t="s">
        <v>5088</v>
      </c>
      <c r="E1" t="s">
        <v>5089</v>
      </c>
      <c r="F1" t="s">
        <v>5090</v>
      </c>
      <c r="G1" t="s">
        <v>3769</v>
      </c>
      <c r="H1" t="s">
        <v>1</v>
      </c>
      <c r="I1" t="s">
        <v>5091</v>
      </c>
      <c r="J1" t="s">
        <v>5092</v>
      </c>
      <c r="K1" t="s">
        <v>171</v>
      </c>
      <c r="L1" t="s">
        <v>5093</v>
      </c>
      <c r="M1" t="s">
        <v>3770</v>
      </c>
    </row>
    <row r="2" spans="1:13" ht="27.75" customHeight="1" x14ac:dyDescent="0.25">
      <c r="A2" t="s">
        <v>3836</v>
      </c>
      <c r="B2" t="s">
        <v>5094</v>
      </c>
      <c r="C2" t="s">
        <v>4434</v>
      </c>
      <c r="D2">
        <v>2</v>
      </c>
      <c r="E2">
        <v>48</v>
      </c>
      <c r="F2">
        <v>54</v>
      </c>
      <c r="G2" t="s">
        <v>3468</v>
      </c>
      <c r="H2" t="s">
        <v>90</v>
      </c>
      <c r="I2" t="s">
        <v>4467</v>
      </c>
      <c r="J2" s="4" t="s">
        <v>5095</v>
      </c>
      <c r="K2" t="s">
        <v>3836</v>
      </c>
      <c r="L2" t="s">
        <v>3468</v>
      </c>
    </row>
    <row r="3" spans="1:13" ht="41.25" customHeight="1" x14ac:dyDescent="0.25">
      <c r="A3" t="s">
        <v>3865</v>
      </c>
      <c r="B3" t="s">
        <v>5094</v>
      </c>
      <c r="C3" t="s">
        <v>4438</v>
      </c>
      <c r="D3">
        <v>6</v>
      </c>
      <c r="E3">
        <v>114</v>
      </c>
      <c r="F3">
        <v>120</v>
      </c>
      <c r="G3" t="s">
        <v>3468</v>
      </c>
      <c r="H3" t="s">
        <v>90</v>
      </c>
      <c r="I3" t="s">
        <v>4467</v>
      </c>
      <c r="J3" s="4" t="s">
        <v>5096</v>
      </c>
      <c r="K3" t="s">
        <v>3865</v>
      </c>
      <c r="L3" t="s">
        <v>3468</v>
      </c>
    </row>
    <row r="4" spans="1:13" ht="15" customHeight="1" x14ac:dyDescent="0.25">
      <c r="A4" t="s">
        <v>3873</v>
      </c>
      <c r="B4" t="s">
        <v>5094</v>
      </c>
      <c r="C4" t="s">
        <v>5097</v>
      </c>
      <c r="D4">
        <v>9</v>
      </c>
      <c r="E4">
        <v>999</v>
      </c>
      <c r="F4">
        <v>999</v>
      </c>
      <c r="G4" t="s">
        <v>5098</v>
      </c>
      <c r="H4" t="s">
        <v>90</v>
      </c>
      <c r="I4" t="s">
        <v>4467</v>
      </c>
      <c r="J4" t="s">
        <v>5099</v>
      </c>
      <c r="K4" t="s">
        <v>3873</v>
      </c>
      <c r="L4" t="s">
        <v>3468</v>
      </c>
    </row>
    <row r="5" spans="1:13" ht="54.75" customHeight="1" x14ac:dyDescent="0.25">
      <c r="A5" t="s">
        <v>5100</v>
      </c>
      <c r="B5" t="s">
        <v>5094</v>
      </c>
      <c r="C5" t="s">
        <v>4434</v>
      </c>
      <c r="D5">
        <v>3</v>
      </c>
      <c r="E5">
        <v>40</v>
      </c>
      <c r="F5">
        <v>44</v>
      </c>
      <c r="G5" t="s">
        <v>3468</v>
      </c>
      <c r="H5" t="s">
        <v>90</v>
      </c>
      <c r="I5" t="s">
        <v>4467</v>
      </c>
      <c r="J5" s="4" t="s">
        <v>5101</v>
      </c>
      <c r="K5" t="s">
        <v>5102</v>
      </c>
      <c r="L5" t="s">
        <v>3468</v>
      </c>
    </row>
    <row r="6" spans="1:13" ht="27.75" customHeight="1" x14ac:dyDescent="0.25">
      <c r="A6" t="s">
        <v>5103</v>
      </c>
      <c r="B6" t="s">
        <v>5094</v>
      </c>
      <c r="C6" t="s">
        <v>4434</v>
      </c>
      <c r="D6">
        <v>1</v>
      </c>
      <c r="E6">
        <v>10</v>
      </c>
      <c r="F6">
        <v>15</v>
      </c>
      <c r="G6" t="s">
        <v>5104</v>
      </c>
      <c r="H6" t="s">
        <v>90</v>
      </c>
      <c r="I6" t="s">
        <v>4467</v>
      </c>
      <c r="J6" s="4" t="s">
        <v>5105</v>
      </c>
      <c r="K6" t="s">
        <v>5106</v>
      </c>
      <c r="L6" t="s">
        <v>3468</v>
      </c>
      <c r="M6" t="s">
        <v>4704</v>
      </c>
    </row>
    <row r="7" spans="1:13" ht="27.75" customHeight="1" x14ac:dyDescent="0.25">
      <c r="A7" t="s">
        <v>5107</v>
      </c>
      <c r="B7" t="s">
        <v>5094</v>
      </c>
      <c r="C7" t="s">
        <v>4434</v>
      </c>
      <c r="D7">
        <v>1</v>
      </c>
      <c r="E7">
        <v>11</v>
      </c>
      <c r="F7">
        <v>17</v>
      </c>
      <c r="G7" t="s">
        <v>5104</v>
      </c>
      <c r="H7" t="s">
        <v>90</v>
      </c>
      <c r="I7" t="s">
        <v>4467</v>
      </c>
      <c r="J7" s="4" t="s">
        <v>5108</v>
      </c>
      <c r="K7" t="s">
        <v>5109</v>
      </c>
      <c r="L7" t="s">
        <v>3468</v>
      </c>
      <c r="M7" t="s">
        <v>4704</v>
      </c>
    </row>
    <row r="8" spans="1:13" ht="41.25" customHeight="1" x14ac:dyDescent="0.25">
      <c r="A8" t="s">
        <v>5110</v>
      </c>
      <c r="B8" t="s">
        <v>5094</v>
      </c>
      <c r="C8" t="s">
        <v>4434</v>
      </c>
      <c r="D8">
        <v>4</v>
      </c>
      <c r="E8">
        <v>65</v>
      </c>
      <c r="F8">
        <v>69</v>
      </c>
      <c r="G8" t="s">
        <v>5111</v>
      </c>
      <c r="H8" t="s">
        <v>90</v>
      </c>
      <c r="I8" t="s">
        <v>4467</v>
      </c>
      <c r="J8" s="4" t="s">
        <v>5112</v>
      </c>
      <c r="K8" t="s">
        <v>5113</v>
      </c>
      <c r="L8" t="s">
        <v>3468</v>
      </c>
      <c r="M8" t="s">
        <v>3861</v>
      </c>
    </row>
    <row r="9" spans="1:13" ht="41.25" customHeight="1" x14ac:dyDescent="0.25">
      <c r="A9" t="s">
        <v>5114</v>
      </c>
      <c r="B9" t="s">
        <v>5094</v>
      </c>
      <c r="C9" t="s">
        <v>4434</v>
      </c>
      <c r="D9">
        <v>2</v>
      </c>
      <c r="E9">
        <v>28</v>
      </c>
      <c r="F9">
        <v>32</v>
      </c>
      <c r="G9" t="s">
        <v>3468</v>
      </c>
      <c r="H9" t="s">
        <v>90</v>
      </c>
      <c r="I9" t="s">
        <v>4467</v>
      </c>
      <c r="J9" s="4" t="s">
        <v>5115</v>
      </c>
      <c r="K9" t="s">
        <v>5116</v>
      </c>
      <c r="L9" t="s">
        <v>3468</v>
      </c>
      <c r="M9" t="s">
        <v>3861</v>
      </c>
    </row>
    <row r="10" spans="1:13" ht="27.75" customHeight="1" x14ac:dyDescent="0.25">
      <c r="A10" t="s">
        <v>5117</v>
      </c>
      <c r="B10" t="s">
        <v>5094</v>
      </c>
      <c r="C10" t="s">
        <v>4434</v>
      </c>
      <c r="D10">
        <v>1</v>
      </c>
      <c r="E10">
        <v>8</v>
      </c>
      <c r="F10">
        <v>12</v>
      </c>
      <c r="G10" t="s">
        <v>3468</v>
      </c>
      <c r="H10" t="s">
        <v>90</v>
      </c>
      <c r="I10" t="s">
        <v>4467</v>
      </c>
      <c r="J10" s="4" t="s">
        <v>5118</v>
      </c>
      <c r="K10" t="s">
        <v>5119</v>
      </c>
      <c r="L10" t="s">
        <v>3468</v>
      </c>
      <c r="M10" t="s">
        <v>3861</v>
      </c>
    </row>
    <row r="11" spans="1:13" ht="27.75" customHeight="1" x14ac:dyDescent="0.25">
      <c r="A11" t="s">
        <v>3858</v>
      </c>
      <c r="B11" t="s">
        <v>5094</v>
      </c>
      <c r="C11" t="s">
        <v>4434</v>
      </c>
      <c r="D11">
        <v>4</v>
      </c>
      <c r="E11">
        <v>64</v>
      </c>
      <c r="F11">
        <v>70</v>
      </c>
      <c r="G11" t="s">
        <v>5120</v>
      </c>
      <c r="H11" t="s">
        <v>90</v>
      </c>
      <c r="I11" t="s">
        <v>4467</v>
      </c>
      <c r="J11" s="4" t="s">
        <v>5121</v>
      </c>
      <c r="K11" t="s">
        <v>3860</v>
      </c>
      <c r="L11" t="s">
        <v>3468</v>
      </c>
      <c r="M11" t="s">
        <v>3861</v>
      </c>
    </row>
    <row r="12" spans="1:13" ht="27.75" customHeight="1" x14ac:dyDescent="0.25">
      <c r="A12" t="s">
        <v>5122</v>
      </c>
      <c r="B12" t="s">
        <v>5094</v>
      </c>
      <c r="C12" t="s">
        <v>4434</v>
      </c>
      <c r="D12">
        <v>2</v>
      </c>
      <c r="E12">
        <v>28</v>
      </c>
      <c r="F12">
        <v>32</v>
      </c>
      <c r="G12" t="s">
        <v>3468</v>
      </c>
      <c r="H12" t="s">
        <v>90</v>
      </c>
      <c r="I12" t="s">
        <v>4467</v>
      </c>
      <c r="J12" s="4" t="s">
        <v>5123</v>
      </c>
      <c r="K12" t="s">
        <v>5124</v>
      </c>
      <c r="L12" t="s">
        <v>3468</v>
      </c>
      <c r="M12" t="s">
        <v>3861</v>
      </c>
    </row>
    <row r="13" spans="1:13" ht="15" customHeight="1" x14ac:dyDescent="0.25">
      <c r="A13" t="s">
        <v>5125</v>
      </c>
      <c r="B13" t="s">
        <v>5094</v>
      </c>
      <c r="C13" t="s">
        <v>4434</v>
      </c>
      <c r="D13">
        <v>1</v>
      </c>
      <c r="E13">
        <v>10</v>
      </c>
      <c r="F13">
        <v>14</v>
      </c>
      <c r="G13" t="s">
        <v>3468</v>
      </c>
      <c r="H13" t="s">
        <v>90</v>
      </c>
      <c r="I13" t="s">
        <v>4467</v>
      </c>
      <c r="J13" t="s">
        <v>5126</v>
      </c>
      <c r="K13" t="s">
        <v>5127</v>
      </c>
      <c r="L13" t="s">
        <v>3468</v>
      </c>
      <c r="M13" t="s">
        <v>3861</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5128</v>
      </c>
      <c r="C1" t="s">
        <v>3764</v>
      </c>
      <c r="D1" t="s">
        <v>5088</v>
      </c>
      <c r="E1" t="s">
        <v>1</v>
      </c>
      <c r="F1" t="s">
        <v>5089</v>
      </c>
      <c r="G1" t="s">
        <v>5090</v>
      </c>
      <c r="H1" t="s">
        <v>4036</v>
      </c>
      <c r="I1" t="s">
        <v>3765</v>
      </c>
      <c r="J1" t="s">
        <v>5129</v>
      </c>
      <c r="K1" t="s">
        <v>5130</v>
      </c>
      <c r="L1" t="s">
        <v>5131</v>
      </c>
      <c r="M1" t="s">
        <v>5132</v>
      </c>
      <c r="N1" t="s">
        <v>5133</v>
      </c>
      <c r="O1" t="s">
        <v>5134</v>
      </c>
      <c r="P1" t="s">
        <v>5135</v>
      </c>
      <c r="Q1" t="s">
        <v>5136</v>
      </c>
      <c r="R1" t="s">
        <v>5137</v>
      </c>
      <c r="S1" t="s">
        <v>3769</v>
      </c>
      <c r="T1" t="s">
        <v>3770</v>
      </c>
    </row>
    <row r="2" spans="1:20" ht="15" customHeight="1" x14ac:dyDescent="0.25">
      <c r="A2" t="s">
        <v>3778</v>
      </c>
      <c r="B2" t="s">
        <v>5138</v>
      </c>
      <c r="C2" t="s">
        <v>4434</v>
      </c>
      <c r="D2">
        <v>1</v>
      </c>
      <c r="E2" t="s">
        <v>497</v>
      </c>
      <c r="F2">
        <v>10</v>
      </c>
      <c r="G2">
        <v>15</v>
      </c>
      <c r="H2">
        <v>80</v>
      </c>
      <c r="I2">
        <v>1</v>
      </c>
      <c r="J2" t="s">
        <v>5139</v>
      </c>
      <c r="K2">
        <v>0</v>
      </c>
      <c r="L2" t="s">
        <v>5140</v>
      </c>
      <c r="M2" t="s">
        <v>5141</v>
      </c>
      <c r="N2" t="s">
        <v>4051</v>
      </c>
      <c r="O2" t="s">
        <v>5142</v>
      </c>
      <c r="R2" t="s">
        <v>5143</v>
      </c>
      <c r="T2" t="s">
        <v>3524</v>
      </c>
    </row>
    <row r="3" spans="1:20" ht="15" customHeight="1" x14ac:dyDescent="0.25">
      <c r="A3" t="s">
        <v>5144</v>
      </c>
      <c r="B3" t="s">
        <v>5145</v>
      </c>
      <c r="C3" t="s">
        <v>4434</v>
      </c>
      <c r="D3">
        <v>2</v>
      </c>
      <c r="E3" t="s">
        <v>160</v>
      </c>
      <c r="F3">
        <v>16</v>
      </c>
      <c r="G3">
        <v>20</v>
      </c>
      <c r="H3">
        <v>90</v>
      </c>
      <c r="I3">
        <v>1</v>
      </c>
      <c r="J3" t="s">
        <v>5139</v>
      </c>
      <c r="K3">
        <v>0</v>
      </c>
      <c r="L3" t="s">
        <v>5146</v>
      </c>
      <c r="M3" t="s">
        <v>5147</v>
      </c>
      <c r="N3" t="s">
        <v>4051</v>
      </c>
      <c r="Q3" t="s">
        <v>5148</v>
      </c>
      <c r="R3" t="s">
        <v>5149</v>
      </c>
      <c r="S3" t="s">
        <v>5150</v>
      </c>
    </row>
    <row r="4" spans="1:20" ht="15" customHeight="1" x14ac:dyDescent="0.25">
      <c r="A4" t="s">
        <v>5151</v>
      </c>
      <c r="B4" t="s">
        <v>5152</v>
      </c>
      <c r="C4" t="s">
        <v>4434</v>
      </c>
      <c r="D4">
        <v>0</v>
      </c>
      <c r="E4" t="s">
        <v>160</v>
      </c>
      <c r="F4">
        <v>16</v>
      </c>
      <c r="G4">
        <v>20</v>
      </c>
      <c r="H4">
        <v>60</v>
      </c>
      <c r="I4">
        <v>1</v>
      </c>
      <c r="J4" t="s">
        <v>5153</v>
      </c>
      <c r="K4">
        <v>0</v>
      </c>
      <c r="L4" t="s">
        <v>5154</v>
      </c>
      <c r="M4" t="s">
        <v>5155</v>
      </c>
      <c r="N4" t="s">
        <v>4051</v>
      </c>
      <c r="Q4" t="s">
        <v>5156</v>
      </c>
      <c r="R4" t="s">
        <v>5157</v>
      </c>
    </row>
    <row r="5" spans="1:20" ht="15" customHeight="1" x14ac:dyDescent="0.25">
      <c r="A5" t="s">
        <v>5158</v>
      </c>
      <c r="B5" t="s">
        <v>5159</v>
      </c>
      <c r="C5" t="s">
        <v>4434</v>
      </c>
      <c r="D5">
        <v>2</v>
      </c>
      <c r="E5" t="s">
        <v>160</v>
      </c>
      <c r="F5">
        <v>16</v>
      </c>
      <c r="G5">
        <v>20</v>
      </c>
      <c r="H5">
        <v>0</v>
      </c>
      <c r="I5">
        <v>1</v>
      </c>
      <c r="J5" t="s">
        <v>5160</v>
      </c>
      <c r="K5">
        <v>0</v>
      </c>
      <c r="L5" t="s">
        <v>5161</v>
      </c>
      <c r="M5" t="s">
        <v>5162</v>
      </c>
      <c r="N5" t="s">
        <v>4051</v>
      </c>
      <c r="R5" t="s">
        <v>5163</v>
      </c>
    </row>
    <row r="6" spans="1:20" ht="15" customHeight="1" x14ac:dyDescent="0.25">
      <c r="A6" t="s">
        <v>5153</v>
      </c>
      <c r="B6" t="s">
        <v>5164</v>
      </c>
      <c r="C6" t="s">
        <v>4434</v>
      </c>
      <c r="D6">
        <v>0</v>
      </c>
      <c r="E6" t="s">
        <v>160</v>
      </c>
      <c r="F6">
        <v>16</v>
      </c>
      <c r="G6">
        <v>20</v>
      </c>
      <c r="H6">
        <v>70</v>
      </c>
      <c r="I6">
        <v>1</v>
      </c>
      <c r="J6" t="s">
        <v>5153</v>
      </c>
      <c r="K6">
        <v>0</v>
      </c>
      <c r="L6" t="s">
        <v>5146</v>
      </c>
      <c r="M6" t="s">
        <v>5165</v>
      </c>
      <c r="N6" t="s">
        <v>4051</v>
      </c>
      <c r="Q6" t="s">
        <v>5166</v>
      </c>
      <c r="R6" t="s">
        <v>5167</v>
      </c>
    </row>
    <row r="7" spans="1:20" ht="15" customHeight="1" x14ac:dyDescent="0.25">
      <c r="A7" t="s">
        <v>5168</v>
      </c>
      <c r="B7" t="s">
        <v>5169</v>
      </c>
      <c r="C7" t="s">
        <v>4434</v>
      </c>
      <c r="D7">
        <v>2</v>
      </c>
      <c r="E7" t="s">
        <v>497</v>
      </c>
      <c r="F7">
        <v>12</v>
      </c>
      <c r="G7">
        <v>16</v>
      </c>
      <c r="H7">
        <v>70</v>
      </c>
      <c r="I7">
        <v>1</v>
      </c>
      <c r="J7" t="s">
        <v>5170</v>
      </c>
      <c r="K7">
        <v>6</v>
      </c>
      <c r="L7" t="s">
        <v>5171</v>
      </c>
      <c r="M7" t="s">
        <v>5172</v>
      </c>
      <c r="N7" t="s">
        <v>4051</v>
      </c>
      <c r="O7" t="s">
        <v>5142</v>
      </c>
      <c r="P7" t="s">
        <v>5173</v>
      </c>
      <c r="R7" t="s">
        <v>5143</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5078</v>
      </c>
      <c r="D1" t="s">
        <v>5174</v>
      </c>
      <c r="E1" t="s">
        <v>3514</v>
      </c>
    </row>
    <row r="2" spans="1:5" ht="15" customHeight="1" x14ac:dyDescent="0.25">
      <c r="A2" t="s">
        <v>5175</v>
      </c>
      <c r="B2" t="s">
        <v>3866</v>
      </c>
      <c r="C2" t="s">
        <v>5176</v>
      </c>
      <c r="D2" t="s">
        <v>3459</v>
      </c>
    </row>
    <row r="3" spans="1:5" ht="15" customHeight="1" x14ac:dyDescent="0.25">
      <c r="A3" t="s">
        <v>5177</v>
      </c>
      <c r="B3" t="s">
        <v>3866</v>
      </c>
      <c r="C3" t="s">
        <v>5178</v>
      </c>
      <c r="D3" t="s">
        <v>3459</v>
      </c>
    </row>
    <row r="4" spans="1:5" ht="15" customHeight="1" x14ac:dyDescent="0.25">
      <c r="A4" t="s">
        <v>5179</v>
      </c>
      <c r="B4" t="s">
        <v>3866</v>
      </c>
      <c r="C4" t="s">
        <v>3973</v>
      </c>
      <c r="D4" t="s">
        <v>5180</v>
      </c>
    </row>
    <row r="5" spans="1:5" ht="15" customHeight="1" x14ac:dyDescent="0.25">
      <c r="A5" t="s">
        <v>5181</v>
      </c>
      <c r="B5" t="s">
        <v>3866</v>
      </c>
      <c r="C5" t="s">
        <v>5182</v>
      </c>
      <c r="D5" t="s">
        <v>3459</v>
      </c>
    </row>
    <row r="6" spans="1:5" ht="15" customHeight="1" x14ac:dyDescent="0.25">
      <c r="A6" t="s">
        <v>5183</v>
      </c>
      <c r="B6" t="s">
        <v>3866</v>
      </c>
      <c r="C6" t="s">
        <v>5184</v>
      </c>
      <c r="D6" t="s">
        <v>3459</v>
      </c>
    </row>
    <row r="7" spans="1:5" ht="15" customHeight="1" x14ac:dyDescent="0.25">
      <c r="A7" t="s">
        <v>5185</v>
      </c>
      <c r="B7" t="s">
        <v>3866</v>
      </c>
      <c r="C7" t="s">
        <v>5186</v>
      </c>
      <c r="D7" t="s">
        <v>5187</v>
      </c>
    </row>
    <row r="8" spans="1:5" ht="15" customHeight="1" x14ac:dyDescent="0.25">
      <c r="A8" t="s">
        <v>5188</v>
      </c>
      <c r="B8" t="s">
        <v>3866</v>
      </c>
      <c r="C8" t="s">
        <v>5189</v>
      </c>
      <c r="D8" t="s">
        <v>5190</v>
      </c>
    </row>
    <row r="9" spans="1:5" ht="15" customHeight="1" x14ac:dyDescent="0.25">
      <c r="A9" t="s">
        <v>5191</v>
      </c>
      <c r="B9" t="s">
        <v>5192</v>
      </c>
      <c r="C9" t="s">
        <v>5193</v>
      </c>
      <c r="D9" t="s">
        <v>3468</v>
      </c>
      <c r="E9" t="s">
        <v>5194</v>
      </c>
    </row>
    <row r="10" spans="1:5" ht="15" customHeight="1" x14ac:dyDescent="0.25">
      <c r="A10" t="s">
        <v>5195</v>
      </c>
      <c r="B10" t="s">
        <v>5192</v>
      </c>
      <c r="C10" t="s">
        <v>5196</v>
      </c>
      <c r="D10" t="s">
        <v>3468</v>
      </c>
      <c r="E10" t="s">
        <v>5197</v>
      </c>
    </row>
    <row r="11" spans="1:5" ht="15" customHeight="1" x14ac:dyDescent="0.25">
      <c r="A11" t="s">
        <v>5198</v>
      </c>
      <c r="B11" t="s">
        <v>5192</v>
      </c>
      <c r="C11" t="s">
        <v>5199</v>
      </c>
      <c r="D11" t="s">
        <v>3468</v>
      </c>
      <c r="E11" t="s">
        <v>5200</v>
      </c>
    </row>
    <row r="12" spans="1:5" ht="15" customHeight="1" x14ac:dyDescent="0.25">
      <c r="A12" t="s">
        <v>5201</v>
      </c>
      <c r="B12" t="s">
        <v>3866</v>
      </c>
      <c r="C12" t="s">
        <v>5202</v>
      </c>
      <c r="D12" t="s">
        <v>5203</v>
      </c>
    </row>
    <row r="13" spans="1:5" ht="15" customHeight="1" x14ac:dyDescent="0.25">
      <c r="A13" t="s">
        <v>5204</v>
      </c>
      <c r="B13" t="s">
        <v>3866</v>
      </c>
      <c r="C13" t="s">
        <v>5205</v>
      </c>
      <c r="D13" t="s">
        <v>3459</v>
      </c>
    </row>
    <row r="14" spans="1:5" ht="15" customHeight="1" x14ac:dyDescent="0.25">
      <c r="A14" t="s">
        <v>5206</v>
      </c>
      <c r="B14" t="s">
        <v>3866</v>
      </c>
      <c r="C14" t="s">
        <v>5207</v>
      </c>
      <c r="D14" t="s">
        <v>4323</v>
      </c>
    </row>
    <row r="15" spans="1:5" ht="15" customHeight="1" x14ac:dyDescent="0.25">
      <c r="A15" t="s">
        <v>5208</v>
      </c>
      <c r="B15" t="s">
        <v>3866</v>
      </c>
      <c r="C15" t="s">
        <v>5209</v>
      </c>
      <c r="D15" t="s">
        <v>3459</v>
      </c>
    </row>
    <row r="16" spans="1:5" ht="15" customHeight="1" x14ac:dyDescent="0.25">
      <c r="A16" t="s">
        <v>5210</v>
      </c>
      <c r="B16" t="s">
        <v>5192</v>
      </c>
      <c r="C16" t="s">
        <v>5211</v>
      </c>
      <c r="D16" t="s">
        <v>3468</v>
      </c>
      <c r="E16" t="s">
        <v>5212</v>
      </c>
    </row>
    <row r="17" spans="1:4" ht="15" customHeight="1" x14ac:dyDescent="0.25">
      <c r="A17" t="s">
        <v>5213</v>
      </c>
      <c r="B17" t="s">
        <v>3866</v>
      </c>
      <c r="C17" t="s">
        <v>5214</v>
      </c>
      <c r="D17" t="s">
        <v>5215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4026</v>
      </c>
      <c r="E1" t="s">
        <v>5216</v>
      </c>
      <c r="F1" t="s">
        <v>4329</v>
      </c>
      <c r="G1" t="s">
        <v>5217</v>
      </c>
      <c r="H1" t="s">
        <v>4069</v>
      </c>
      <c r="I1" t="s">
        <v>171</v>
      </c>
      <c r="J1" t="s">
        <v>6</v>
      </c>
      <c r="K1" t="s">
        <v>5218</v>
      </c>
    </row>
    <row r="2" spans="1:11" ht="15" customHeight="1" x14ac:dyDescent="0.25">
      <c r="A2" t="s">
        <v>5219</v>
      </c>
      <c r="B2" t="s">
        <v>5220</v>
      </c>
      <c r="C2" t="s">
        <v>4028</v>
      </c>
      <c r="D2" t="s">
        <v>187</v>
      </c>
      <c r="E2" t="s">
        <v>3468</v>
      </c>
      <c r="F2" t="s">
        <v>4368</v>
      </c>
      <c r="G2" t="s">
        <v>39</v>
      </c>
      <c r="H2" t="s">
        <v>4091</v>
      </c>
      <c r="I2" t="s">
        <v>5219</v>
      </c>
      <c r="J2" t="s">
        <v>3533</v>
      </c>
      <c r="K2" t="s">
        <v>3468</v>
      </c>
    </row>
    <row r="3" spans="1:11" ht="15" customHeight="1" x14ac:dyDescent="0.25">
      <c r="A3" t="s">
        <v>3540</v>
      </c>
      <c r="B3" t="s">
        <v>5221</v>
      </c>
      <c r="C3" t="s">
        <v>3769</v>
      </c>
      <c r="D3" t="s">
        <v>4051</v>
      </c>
      <c r="E3" t="s">
        <v>3468</v>
      </c>
      <c r="F3" t="s">
        <v>4368</v>
      </c>
      <c r="G3" t="s">
        <v>39</v>
      </c>
      <c r="H3" t="s">
        <v>4091</v>
      </c>
      <c r="I3" t="s">
        <v>3540</v>
      </c>
      <c r="J3" t="s">
        <v>3520</v>
      </c>
      <c r="K3" t="s">
        <v>3468</v>
      </c>
    </row>
    <row r="4" spans="1:11" ht="15" customHeight="1" x14ac:dyDescent="0.25">
      <c r="A4" t="s">
        <v>5222</v>
      </c>
      <c r="B4" t="s">
        <v>5223</v>
      </c>
      <c r="C4" t="s">
        <v>4044</v>
      </c>
      <c r="D4" t="s">
        <v>187</v>
      </c>
      <c r="E4" t="s">
        <v>3468</v>
      </c>
      <c r="F4" t="s">
        <v>5224</v>
      </c>
      <c r="G4" t="s">
        <v>39</v>
      </c>
      <c r="H4" t="s">
        <v>4074</v>
      </c>
      <c r="I4" t="s">
        <v>5222</v>
      </c>
      <c r="J4" t="s">
        <v>3533</v>
      </c>
      <c r="K4" t="s">
        <v>3468</v>
      </c>
    </row>
    <row r="5" spans="1:11" ht="15" customHeight="1" x14ac:dyDescent="0.25">
      <c r="A5" t="s">
        <v>5225</v>
      </c>
      <c r="B5" t="s">
        <v>5226</v>
      </c>
      <c r="C5" t="s">
        <v>4028</v>
      </c>
      <c r="D5" t="s">
        <v>187</v>
      </c>
      <c r="E5" t="s">
        <v>3468</v>
      </c>
      <c r="F5" t="s">
        <v>4368</v>
      </c>
      <c r="G5" t="s">
        <v>39</v>
      </c>
      <c r="H5" t="s">
        <v>4091</v>
      </c>
      <c r="I5" t="s">
        <v>5227</v>
      </c>
      <c r="J5" t="s">
        <v>3520</v>
      </c>
      <c r="K5" t="s">
        <v>3468</v>
      </c>
    </row>
    <row r="6" spans="1:11" ht="15" customHeight="1" x14ac:dyDescent="0.25">
      <c r="A6" t="s">
        <v>5228</v>
      </c>
      <c r="B6" t="s">
        <v>5229</v>
      </c>
      <c r="C6" t="s">
        <v>4044</v>
      </c>
      <c r="D6" t="s">
        <v>187</v>
      </c>
      <c r="E6" t="s">
        <v>3468</v>
      </c>
      <c r="F6" t="s">
        <v>5230</v>
      </c>
      <c r="G6" t="s">
        <v>39</v>
      </c>
      <c r="H6" t="s">
        <v>4074</v>
      </c>
      <c r="I6" t="s">
        <v>5228</v>
      </c>
      <c r="J6" t="s">
        <v>41</v>
      </c>
      <c r="K6" t="s">
        <v>3468</v>
      </c>
    </row>
    <row r="7" spans="1:11" ht="15" customHeight="1" x14ac:dyDescent="0.25">
      <c r="A7" t="s">
        <v>5231</v>
      </c>
      <c r="B7" t="s">
        <v>5232</v>
      </c>
      <c r="C7" t="s">
        <v>4028</v>
      </c>
      <c r="D7" t="s">
        <v>187</v>
      </c>
      <c r="E7" t="s">
        <v>3468</v>
      </c>
      <c r="F7" t="s">
        <v>5230</v>
      </c>
      <c r="G7" t="s">
        <v>39</v>
      </c>
      <c r="H7" t="s">
        <v>4091</v>
      </c>
      <c r="I7" t="s">
        <v>5231</v>
      </c>
      <c r="J7" t="s">
        <v>3520</v>
      </c>
      <c r="K7" t="s">
        <v>3468</v>
      </c>
    </row>
    <row r="8" spans="1:11" ht="15" customHeight="1" x14ac:dyDescent="0.25">
      <c r="A8" t="s">
        <v>5233</v>
      </c>
      <c r="B8" t="s">
        <v>5234</v>
      </c>
      <c r="C8" t="s">
        <v>4028</v>
      </c>
      <c r="D8" t="s">
        <v>187</v>
      </c>
      <c r="E8" t="s">
        <v>3468</v>
      </c>
      <c r="F8" t="s">
        <v>4368</v>
      </c>
      <c r="G8" t="s">
        <v>39</v>
      </c>
      <c r="H8" t="s">
        <v>4091</v>
      </c>
      <c r="I8" t="s">
        <v>5233</v>
      </c>
      <c r="J8" t="s">
        <v>41</v>
      </c>
      <c r="K8" t="s">
        <v>3468</v>
      </c>
    </row>
    <row r="9" spans="1:11" ht="15" customHeight="1" x14ac:dyDescent="0.25">
      <c r="A9" t="s">
        <v>5235</v>
      </c>
      <c r="B9" t="s">
        <v>5236</v>
      </c>
      <c r="C9" t="s">
        <v>4044</v>
      </c>
      <c r="D9" t="s">
        <v>187</v>
      </c>
      <c r="E9" t="s">
        <v>3468</v>
      </c>
      <c r="F9" t="s">
        <v>4368</v>
      </c>
      <c r="G9" t="s">
        <v>39</v>
      </c>
      <c r="H9" t="s">
        <v>4074</v>
      </c>
      <c r="I9" t="s">
        <v>5235</v>
      </c>
      <c r="J9" t="s">
        <v>41</v>
      </c>
      <c r="K9" t="s">
        <v>3468</v>
      </c>
    </row>
    <row r="10" spans="1:11" ht="15" customHeight="1" x14ac:dyDescent="0.25">
      <c r="A10" t="s">
        <v>5237</v>
      </c>
      <c r="B10" t="s">
        <v>5238</v>
      </c>
      <c r="C10" t="s">
        <v>4028</v>
      </c>
      <c r="D10" t="s">
        <v>187</v>
      </c>
      <c r="E10" t="s">
        <v>3468</v>
      </c>
      <c r="F10" t="s">
        <v>5239</v>
      </c>
      <c r="G10" t="s">
        <v>39</v>
      </c>
      <c r="H10" t="s">
        <v>4091</v>
      </c>
      <c r="I10" t="s">
        <v>5237</v>
      </c>
      <c r="J10" t="s">
        <v>3520</v>
      </c>
      <c r="K10" t="s">
        <v>3468</v>
      </c>
    </row>
    <row r="11" spans="1:11" ht="15" customHeight="1" x14ac:dyDescent="0.25">
      <c r="A11" t="s">
        <v>4060</v>
      </c>
      <c r="B11" t="s">
        <v>5240</v>
      </c>
      <c r="C11" t="s">
        <v>4044</v>
      </c>
      <c r="D11" t="s">
        <v>187</v>
      </c>
      <c r="E11" t="s">
        <v>3468</v>
      </c>
      <c r="F11" t="s">
        <v>5230</v>
      </c>
      <c r="G11" t="s">
        <v>39</v>
      </c>
      <c r="H11" t="s">
        <v>4074</v>
      </c>
      <c r="I11" t="s">
        <v>4060</v>
      </c>
      <c r="J11" t="s">
        <v>41</v>
      </c>
      <c r="K11" t="s">
        <v>3468</v>
      </c>
    </row>
    <row r="12" spans="1:11" ht="15" customHeight="1" x14ac:dyDescent="0.25">
      <c r="A12" t="s">
        <v>5241</v>
      </c>
      <c r="B12" t="s">
        <v>5242</v>
      </c>
      <c r="C12" t="s">
        <v>4028</v>
      </c>
      <c r="D12" t="s">
        <v>187</v>
      </c>
      <c r="E12" t="s">
        <v>3468</v>
      </c>
      <c r="F12" t="s">
        <v>5243</v>
      </c>
      <c r="G12" t="s">
        <v>5244</v>
      </c>
      <c r="H12" t="s">
        <v>4091</v>
      </c>
      <c r="I12" t="s">
        <v>5241</v>
      </c>
      <c r="J12" t="s">
        <v>3520</v>
      </c>
      <c r="K12" t="s">
        <v>3468</v>
      </c>
    </row>
    <row r="13" spans="1:11" ht="15" customHeight="1" x14ac:dyDescent="0.25">
      <c r="A13" t="s">
        <v>5245</v>
      </c>
      <c r="B13" t="s">
        <v>5246</v>
      </c>
      <c r="C13" t="s">
        <v>4044</v>
      </c>
      <c r="D13" t="s">
        <v>187</v>
      </c>
      <c r="E13" t="s">
        <v>3468</v>
      </c>
      <c r="F13" t="s">
        <v>5243</v>
      </c>
      <c r="G13" t="s">
        <v>5247</v>
      </c>
      <c r="H13" t="s">
        <v>4074</v>
      </c>
      <c r="I13" t="s">
        <v>5245</v>
      </c>
      <c r="J13" t="s">
        <v>3468</v>
      </c>
      <c r="K13" t="s">
        <v>3468</v>
      </c>
    </row>
    <row r="14" spans="1:11" ht="15" customHeight="1" x14ac:dyDescent="0.25">
      <c r="A14" t="s">
        <v>5248</v>
      </c>
      <c r="B14" t="s">
        <v>5249</v>
      </c>
      <c r="C14" t="s">
        <v>4044</v>
      </c>
      <c r="D14" t="s">
        <v>187</v>
      </c>
      <c r="E14" t="s">
        <v>3468</v>
      </c>
      <c r="F14" t="s">
        <v>5230</v>
      </c>
      <c r="G14" t="s">
        <v>5244</v>
      </c>
      <c r="H14" t="s">
        <v>4074</v>
      </c>
      <c r="I14" t="s">
        <v>5248</v>
      </c>
      <c r="J14" t="s">
        <v>3468</v>
      </c>
      <c r="K14" t="s">
        <v>3468</v>
      </c>
    </row>
    <row r="15" spans="1:11" ht="15" customHeight="1" x14ac:dyDescent="0.25">
      <c r="A15" t="s">
        <v>5250</v>
      </c>
      <c r="B15" t="s">
        <v>5251</v>
      </c>
      <c r="C15" t="s">
        <v>4044</v>
      </c>
      <c r="D15" t="s">
        <v>187</v>
      </c>
      <c r="E15" t="s">
        <v>3468</v>
      </c>
      <c r="F15" t="s">
        <v>4368</v>
      </c>
      <c r="G15" t="s">
        <v>5247</v>
      </c>
      <c r="H15" t="s">
        <v>4074</v>
      </c>
      <c r="I15" t="s">
        <v>5252</v>
      </c>
      <c r="J15" t="s">
        <v>3468</v>
      </c>
      <c r="K15" t="s">
        <v>3468</v>
      </c>
    </row>
    <row r="16" spans="1:11" ht="15" customHeight="1" x14ac:dyDescent="0.25">
      <c r="A16" t="s">
        <v>5253</v>
      </c>
      <c r="B16" t="s">
        <v>5254</v>
      </c>
      <c r="C16" t="s">
        <v>3769</v>
      </c>
      <c r="D16" t="s">
        <v>4051</v>
      </c>
      <c r="E16" t="s">
        <v>3468</v>
      </c>
      <c r="F16" t="s">
        <v>4368</v>
      </c>
      <c r="G16" t="s">
        <v>39</v>
      </c>
      <c r="H16" t="s">
        <v>4091</v>
      </c>
      <c r="I16" t="s">
        <v>5255</v>
      </c>
      <c r="J16" t="s">
        <v>3468</v>
      </c>
      <c r="K16" t="s">
        <v>3468</v>
      </c>
    </row>
    <row r="17" spans="1:11" ht="15" customHeight="1" x14ac:dyDescent="0.25">
      <c r="A17" t="s">
        <v>3531</v>
      </c>
      <c r="B17" t="s">
        <v>5256</v>
      </c>
      <c r="C17" t="s">
        <v>4028</v>
      </c>
      <c r="D17" t="s">
        <v>187</v>
      </c>
      <c r="E17" t="s">
        <v>3468</v>
      </c>
      <c r="F17" t="s">
        <v>4368</v>
      </c>
      <c r="G17" t="s">
        <v>39</v>
      </c>
      <c r="H17" t="s">
        <v>4091</v>
      </c>
      <c r="I17" t="s">
        <v>3531</v>
      </c>
      <c r="J17" t="s">
        <v>3533</v>
      </c>
      <c r="K17" t="s">
        <v>3468</v>
      </c>
    </row>
    <row r="18" spans="1:11" ht="15" customHeight="1" x14ac:dyDescent="0.25">
      <c r="A18" t="s">
        <v>5257</v>
      </c>
      <c r="B18" t="s">
        <v>5258</v>
      </c>
      <c r="C18" t="s">
        <v>4028</v>
      </c>
      <c r="D18" t="s">
        <v>187</v>
      </c>
      <c r="E18" t="s">
        <v>3468</v>
      </c>
      <c r="F18" t="s">
        <v>5259</v>
      </c>
      <c r="G18" t="s">
        <v>39</v>
      </c>
      <c r="H18" t="s">
        <v>4091</v>
      </c>
      <c r="I18" t="s">
        <v>5257</v>
      </c>
      <c r="J18" t="s">
        <v>3520</v>
      </c>
      <c r="K18" t="s">
        <v>3468</v>
      </c>
    </row>
    <row r="19" spans="1:11" ht="15" customHeight="1" x14ac:dyDescent="0.25">
      <c r="A19" t="s">
        <v>5260</v>
      </c>
      <c r="B19" t="s">
        <v>5261</v>
      </c>
      <c r="C19" t="s">
        <v>4044</v>
      </c>
      <c r="D19" t="s">
        <v>187</v>
      </c>
      <c r="E19" t="s">
        <v>3468</v>
      </c>
      <c r="F19" t="s">
        <v>4368</v>
      </c>
      <c r="G19" t="s">
        <v>39</v>
      </c>
      <c r="H19" t="s">
        <v>4074</v>
      </c>
      <c r="I19" t="s">
        <v>5260</v>
      </c>
      <c r="J19" t="s">
        <v>3533</v>
      </c>
      <c r="K19" t="s">
        <v>3468</v>
      </c>
    </row>
    <row r="20" spans="1:11" ht="15" customHeight="1" x14ac:dyDescent="0.25">
      <c r="A20" t="s">
        <v>5262</v>
      </c>
      <c r="B20" t="s">
        <v>5263</v>
      </c>
      <c r="C20" t="s">
        <v>4028</v>
      </c>
      <c r="D20" t="s">
        <v>187</v>
      </c>
      <c r="E20" t="s">
        <v>3468</v>
      </c>
      <c r="F20" t="s">
        <v>5230</v>
      </c>
      <c r="G20" t="s">
        <v>5244</v>
      </c>
      <c r="H20" t="s">
        <v>4091</v>
      </c>
      <c r="I20" t="s">
        <v>5264</v>
      </c>
      <c r="J20" t="s">
        <v>3520</v>
      </c>
      <c r="K20" t="s">
        <v>3468</v>
      </c>
    </row>
    <row r="21" spans="1:11" ht="15" customHeight="1" x14ac:dyDescent="0.25">
      <c r="A21" t="s">
        <v>5265</v>
      </c>
      <c r="B21" t="s">
        <v>5266</v>
      </c>
      <c r="C21" t="s">
        <v>4044</v>
      </c>
      <c r="D21" t="s">
        <v>187</v>
      </c>
      <c r="E21" t="s">
        <v>3468</v>
      </c>
      <c r="F21" t="s">
        <v>5230</v>
      </c>
      <c r="G21" t="s">
        <v>39</v>
      </c>
      <c r="H21" t="s">
        <v>4074</v>
      </c>
      <c r="I21" t="s">
        <v>5265</v>
      </c>
      <c r="J21" t="s">
        <v>3520</v>
      </c>
      <c r="K21" t="s">
        <v>3468</v>
      </c>
    </row>
    <row r="22" spans="1:11" ht="15" customHeight="1" x14ac:dyDescent="0.25">
      <c r="A22" t="s">
        <v>5267</v>
      </c>
      <c r="B22" t="s">
        <v>5268</v>
      </c>
      <c r="C22" t="s">
        <v>3769</v>
      </c>
      <c r="D22" t="s">
        <v>187</v>
      </c>
      <c r="E22" t="s">
        <v>3468</v>
      </c>
      <c r="F22" t="s">
        <v>4368</v>
      </c>
      <c r="G22" t="s">
        <v>5244</v>
      </c>
      <c r="H22" t="s">
        <v>4091</v>
      </c>
      <c r="I22" t="s">
        <v>5267</v>
      </c>
      <c r="J22" t="s">
        <v>3468</v>
      </c>
      <c r="K22" t="s">
        <v>3468</v>
      </c>
    </row>
    <row r="23" spans="1:11" ht="15" customHeight="1" x14ac:dyDescent="0.25">
      <c r="A23" t="s">
        <v>5269</v>
      </c>
      <c r="B23" t="s">
        <v>5270</v>
      </c>
      <c r="C23" t="s">
        <v>3769</v>
      </c>
      <c r="D23" t="s">
        <v>187</v>
      </c>
      <c r="E23" t="s">
        <v>3468</v>
      </c>
      <c r="F23" t="s">
        <v>4368</v>
      </c>
      <c r="G23" t="s">
        <v>5244</v>
      </c>
      <c r="H23" t="s">
        <v>4091</v>
      </c>
      <c r="I23" t="s">
        <v>5269</v>
      </c>
      <c r="J23" t="s">
        <v>3468</v>
      </c>
      <c r="K23" t="s">
        <v>3468</v>
      </c>
    </row>
    <row r="24" spans="1:11" ht="15" customHeight="1" x14ac:dyDescent="0.25">
      <c r="A24" t="s">
        <v>5271</v>
      </c>
      <c r="B24" t="s">
        <v>5272</v>
      </c>
      <c r="C24" t="s">
        <v>4044</v>
      </c>
      <c r="D24" t="s">
        <v>187</v>
      </c>
      <c r="E24" t="s">
        <v>3468</v>
      </c>
      <c r="F24" t="s">
        <v>5230</v>
      </c>
      <c r="G24" t="s">
        <v>39</v>
      </c>
      <c r="H24" t="s">
        <v>4074</v>
      </c>
      <c r="I24" t="s">
        <v>5273</v>
      </c>
      <c r="J24" t="s">
        <v>3468</v>
      </c>
      <c r="K24" t="s">
        <v>3468</v>
      </c>
    </row>
    <row r="25" spans="1:11" ht="15" customHeight="1" x14ac:dyDescent="0.25">
      <c r="A25" t="s">
        <v>5274</v>
      </c>
      <c r="B25" t="s">
        <v>5275</v>
      </c>
      <c r="C25" t="s">
        <v>4044</v>
      </c>
      <c r="D25" t="s">
        <v>187</v>
      </c>
      <c r="E25" t="s">
        <v>3468</v>
      </c>
      <c r="F25" t="s">
        <v>5276</v>
      </c>
      <c r="G25" t="s">
        <v>5244</v>
      </c>
      <c r="H25" t="s">
        <v>4074</v>
      </c>
      <c r="I25" t="s">
        <v>5274</v>
      </c>
      <c r="J25" t="s">
        <v>3533</v>
      </c>
      <c r="K25" t="s">
        <v>3468</v>
      </c>
    </row>
    <row r="26" spans="1:11" ht="15" customHeight="1" x14ac:dyDescent="0.25">
      <c r="A26" t="s">
        <v>5277</v>
      </c>
      <c r="B26" t="s">
        <v>5278</v>
      </c>
      <c r="C26" t="s">
        <v>3769</v>
      </c>
      <c r="D26" t="s">
        <v>187</v>
      </c>
      <c r="E26" t="s">
        <v>3468</v>
      </c>
      <c r="F26" t="s">
        <v>4368</v>
      </c>
      <c r="G26" t="s">
        <v>5244</v>
      </c>
      <c r="H26" t="s">
        <v>4091</v>
      </c>
      <c r="I26" t="s">
        <v>5279</v>
      </c>
      <c r="J26" t="s">
        <v>3468</v>
      </c>
      <c r="K26" t="s">
        <v>3468</v>
      </c>
    </row>
    <row r="27" spans="1:11" ht="15" customHeight="1" x14ac:dyDescent="0.25">
      <c r="A27" t="s">
        <v>5280</v>
      </c>
      <c r="B27" t="s">
        <v>5281</v>
      </c>
      <c r="C27" t="s">
        <v>3769</v>
      </c>
      <c r="D27" t="s">
        <v>187</v>
      </c>
      <c r="E27" t="s">
        <v>3468</v>
      </c>
      <c r="F27" t="s">
        <v>4368</v>
      </c>
      <c r="G27" t="s">
        <v>5244</v>
      </c>
      <c r="H27" t="s">
        <v>4091</v>
      </c>
      <c r="I27" t="s">
        <v>5282</v>
      </c>
      <c r="J27" t="s">
        <v>3468</v>
      </c>
      <c r="K27" t="s">
        <v>3468</v>
      </c>
    </row>
    <row r="28" spans="1:11" ht="15" customHeight="1" x14ac:dyDescent="0.25">
      <c r="A28" t="s">
        <v>5283</v>
      </c>
      <c r="B28" t="s">
        <v>5284</v>
      </c>
      <c r="C28" t="s">
        <v>4028</v>
      </c>
      <c r="D28" t="s">
        <v>187</v>
      </c>
      <c r="E28" t="s">
        <v>3468</v>
      </c>
      <c r="F28" t="s">
        <v>5243</v>
      </c>
      <c r="G28" t="s">
        <v>39</v>
      </c>
      <c r="H28" t="s">
        <v>4091</v>
      </c>
      <c r="I28" t="s">
        <v>5285</v>
      </c>
      <c r="J28" t="s">
        <v>3533</v>
      </c>
      <c r="K28" t="s">
        <v>3468</v>
      </c>
    </row>
    <row r="29" spans="1:11" ht="15" customHeight="1" x14ac:dyDescent="0.25">
      <c r="A29" t="s">
        <v>5286</v>
      </c>
      <c r="B29" t="s">
        <v>5287</v>
      </c>
      <c r="C29" t="s">
        <v>3769</v>
      </c>
      <c r="D29" t="s">
        <v>4051</v>
      </c>
      <c r="E29" t="s">
        <v>3468</v>
      </c>
      <c r="F29" t="s">
        <v>5288</v>
      </c>
      <c r="G29" t="s">
        <v>5247</v>
      </c>
      <c r="H29" t="s">
        <v>4074</v>
      </c>
      <c r="I29" t="s">
        <v>5286</v>
      </c>
      <c r="J29" t="s">
        <v>3468</v>
      </c>
      <c r="K29" t="s">
        <v>3468</v>
      </c>
    </row>
    <row r="30" spans="1:11" ht="15" customHeight="1" x14ac:dyDescent="0.25">
      <c r="A30" t="s">
        <v>5289</v>
      </c>
      <c r="B30" t="s">
        <v>5290</v>
      </c>
      <c r="C30" t="s">
        <v>3769</v>
      </c>
      <c r="D30" t="s">
        <v>4051</v>
      </c>
      <c r="E30" t="s">
        <v>3468</v>
      </c>
      <c r="F30" t="s">
        <v>4368</v>
      </c>
      <c r="G30" t="s">
        <v>5247</v>
      </c>
      <c r="H30" t="s">
        <v>4104</v>
      </c>
      <c r="I30" t="s">
        <v>5289</v>
      </c>
      <c r="J30" t="s">
        <v>3468</v>
      </c>
      <c r="K30" t="s">
        <v>3468</v>
      </c>
    </row>
    <row r="31" spans="1:11" ht="15" customHeight="1" x14ac:dyDescent="0.25">
      <c r="A31" t="s">
        <v>5291</v>
      </c>
      <c r="B31" t="s">
        <v>5292</v>
      </c>
      <c r="C31" t="s">
        <v>4044</v>
      </c>
      <c r="D31" t="s">
        <v>187</v>
      </c>
      <c r="E31" t="s">
        <v>3468</v>
      </c>
      <c r="F31" t="s">
        <v>5230</v>
      </c>
      <c r="G31" t="s">
        <v>5244</v>
      </c>
      <c r="H31" t="s">
        <v>4074</v>
      </c>
      <c r="I31" t="s">
        <v>5291</v>
      </c>
      <c r="J31" t="s">
        <v>41</v>
      </c>
      <c r="K31" t="s">
        <v>3468</v>
      </c>
    </row>
    <row r="32" spans="1:11" ht="15" customHeight="1" x14ac:dyDescent="0.25">
      <c r="A32" t="s">
        <v>5293</v>
      </c>
      <c r="B32" t="s">
        <v>5294</v>
      </c>
      <c r="C32" t="s">
        <v>4028</v>
      </c>
      <c r="D32" t="s">
        <v>187</v>
      </c>
      <c r="E32" t="s">
        <v>3468</v>
      </c>
      <c r="F32" t="s">
        <v>5230</v>
      </c>
      <c r="G32" t="s">
        <v>39</v>
      </c>
      <c r="H32" t="s">
        <v>4091</v>
      </c>
      <c r="I32" t="s">
        <v>5293</v>
      </c>
      <c r="J32" t="s">
        <v>3520</v>
      </c>
      <c r="K32" t="s">
        <v>3468</v>
      </c>
    </row>
    <row r="33" spans="1:11" ht="15" customHeight="1" x14ac:dyDescent="0.25">
      <c r="A33" t="s">
        <v>5295</v>
      </c>
      <c r="B33" t="s">
        <v>5296</v>
      </c>
      <c r="C33" t="s">
        <v>4044</v>
      </c>
      <c r="D33" t="s">
        <v>187</v>
      </c>
      <c r="E33" t="s">
        <v>3468</v>
      </c>
      <c r="F33" t="s">
        <v>4368</v>
      </c>
      <c r="G33" t="s">
        <v>39</v>
      </c>
      <c r="H33" t="s">
        <v>4074</v>
      </c>
      <c r="I33" t="s">
        <v>5295</v>
      </c>
      <c r="J33" t="s">
        <v>3533</v>
      </c>
      <c r="K33" t="s">
        <v>3468</v>
      </c>
    </row>
    <row r="34" spans="1:11" ht="15" customHeight="1" x14ac:dyDescent="0.25">
      <c r="A34" t="s">
        <v>5297</v>
      </c>
      <c r="B34" t="s">
        <v>5298</v>
      </c>
      <c r="C34" t="s">
        <v>3769</v>
      </c>
      <c r="D34" t="s">
        <v>4051</v>
      </c>
      <c r="E34" t="s">
        <v>3468</v>
      </c>
      <c r="F34" t="s">
        <v>4368</v>
      </c>
      <c r="G34" t="s">
        <v>5247</v>
      </c>
      <c r="H34" t="s">
        <v>4091</v>
      </c>
      <c r="I34" t="s">
        <v>5299</v>
      </c>
      <c r="J34" t="s">
        <v>3468</v>
      </c>
      <c r="K34" t="s">
        <v>3468</v>
      </c>
    </row>
    <row r="35" spans="1:11" ht="15" customHeight="1" x14ac:dyDescent="0.25">
      <c r="A35" t="s">
        <v>5300</v>
      </c>
      <c r="B35" t="s">
        <v>5301</v>
      </c>
      <c r="C35" t="s">
        <v>4028</v>
      </c>
      <c r="D35" t="s">
        <v>5302</v>
      </c>
      <c r="E35" t="s">
        <v>3468</v>
      </c>
      <c r="F35" t="s">
        <v>5303</v>
      </c>
      <c r="G35" t="s">
        <v>5244</v>
      </c>
      <c r="H35" t="s">
        <v>4091</v>
      </c>
      <c r="I35" t="s">
        <v>5304</v>
      </c>
      <c r="J35" t="s">
        <v>41</v>
      </c>
      <c r="K35" t="s">
        <v>3468</v>
      </c>
    </row>
    <row r="36" spans="1:11" ht="15" customHeight="1" x14ac:dyDescent="0.25">
      <c r="A36" t="s">
        <v>5305</v>
      </c>
      <c r="B36" t="s">
        <v>5306</v>
      </c>
      <c r="C36" t="s">
        <v>4028</v>
      </c>
      <c r="D36" t="s">
        <v>5302</v>
      </c>
      <c r="E36" t="s">
        <v>3468</v>
      </c>
      <c r="F36" t="s">
        <v>5303</v>
      </c>
      <c r="G36" t="s">
        <v>5244</v>
      </c>
      <c r="H36" t="s">
        <v>4091</v>
      </c>
      <c r="I36" t="s">
        <v>5307</v>
      </c>
      <c r="J36" t="s">
        <v>3520</v>
      </c>
      <c r="K36" t="s">
        <v>3468</v>
      </c>
    </row>
    <row r="37" spans="1:11" ht="15" customHeight="1" x14ac:dyDescent="0.25">
      <c r="A37" t="s">
        <v>5308</v>
      </c>
      <c r="B37" t="s">
        <v>5309</v>
      </c>
      <c r="C37" t="s">
        <v>4028</v>
      </c>
      <c r="D37" t="s">
        <v>5302</v>
      </c>
      <c r="E37" t="s">
        <v>3468</v>
      </c>
      <c r="F37" t="s">
        <v>5303</v>
      </c>
      <c r="G37" t="s">
        <v>5244</v>
      </c>
      <c r="H37" t="s">
        <v>4091</v>
      </c>
      <c r="I37" t="s">
        <v>5310</v>
      </c>
      <c r="J37" t="s">
        <v>3520</v>
      </c>
      <c r="K37" t="s">
        <v>3468</v>
      </c>
    </row>
    <row r="38" spans="1:11" ht="15" customHeight="1" x14ac:dyDescent="0.25">
      <c r="A38" t="s">
        <v>5311</v>
      </c>
      <c r="B38" t="s">
        <v>5312</v>
      </c>
      <c r="C38" t="s">
        <v>4044</v>
      </c>
      <c r="D38" t="s">
        <v>4051</v>
      </c>
      <c r="E38" t="s">
        <v>3468</v>
      </c>
      <c r="F38" t="s">
        <v>5230</v>
      </c>
      <c r="G38" t="s">
        <v>5244</v>
      </c>
      <c r="H38" t="s">
        <v>4074</v>
      </c>
      <c r="I38" t="s">
        <v>5313</v>
      </c>
      <c r="J38" t="s">
        <v>3468</v>
      </c>
      <c r="K38" t="s">
        <v>3468</v>
      </c>
    </row>
    <row r="39" spans="1:11" ht="15" customHeight="1" x14ac:dyDescent="0.25">
      <c r="A39" t="s">
        <v>5314</v>
      </c>
      <c r="B39" t="s">
        <v>5315</v>
      </c>
      <c r="C39" t="s">
        <v>4044</v>
      </c>
      <c r="D39" t="s">
        <v>187</v>
      </c>
      <c r="E39" t="s">
        <v>3468</v>
      </c>
      <c r="F39" t="s">
        <v>5230</v>
      </c>
      <c r="G39" t="s">
        <v>39</v>
      </c>
      <c r="H39" t="s">
        <v>4074</v>
      </c>
      <c r="I39" t="s">
        <v>5314</v>
      </c>
      <c r="J39" t="s">
        <v>3468</v>
      </c>
      <c r="K39" t="s">
        <v>3468</v>
      </c>
    </row>
    <row r="40" spans="1:11" ht="15" customHeight="1" x14ac:dyDescent="0.25">
      <c r="A40" t="s">
        <v>5316</v>
      </c>
      <c r="B40" t="s">
        <v>5317</v>
      </c>
      <c r="C40" t="s">
        <v>4028</v>
      </c>
      <c r="D40" t="s">
        <v>187</v>
      </c>
      <c r="E40" t="s">
        <v>3468</v>
      </c>
      <c r="F40" t="s">
        <v>4368</v>
      </c>
      <c r="G40" t="s">
        <v>39</v>
      </c>
      <c r="H40" t="s">
        <v>4091</v>
      </c>
      <c r="I40" t="s">
        <v>5316</v>
      </c>
      <c r="J40" t="s">
        <v>3520</v>
      </c>
      <c r="K40" t="s">
        <v>3468</v>
      </c>
    </row>
    <row r="41" spans="1:11" ht="15" customHeight="1" x14ac:dyDescent="0.25">
      <c r="A41" t="s">
        <v>5318</v>
      </c>
      <c r="B41" t="s">
        <v>5319</v>
      </c>
      <c r="C41" t="s">
        <v>3769</v>
      </c>
      <c r="D41" t="s">
        <v>4051</v>
      </c>
      <c r="E41" t="s">
        <v>3468</v>
      </c>
      <c r="F41" t="s">
        <v>4368</v>
      </c>
      <c r="G41" t="s">
        <v>5247</v>
      </c>
      <c r="H41" t="s">
        <v>4104</v>
      </c>
      <c r="I41" t="s">
        <v>5320</v>
      </c>
      <c r="J41" t="s">
        <v>3468</v>
      </c>
      <c r="K41" t="s">
        <v>3468</v>
      </c>
    </row>
    <row r="42" spans="1:11" ht="15" customHeight="1" x14ac:dyDescent="0.25">
      <c r="A42" t="s">
        <v>5321</v>
      </c>
      <c r="B42" t="s">
        <v>5322</v>
      </c>
      <c r="C42" t="s">
        <v>4028</v>
      </c>
      <c r="D42" t="s">
        <v>187</v>
      </c>
      <c r="E42" t="s">
        <v>3468</v>
      </c>
      <c r="F42" t="s">
        <v>5323</v>
      </c>
      <c r="G42" t="s">
        <v>39</v>
      </c>
      <c r="H42" t="s">
        <v>4091</v>
      </c>
      <c r="I42" t="s">
        <v>5324</v>
      </c>
      <c r="J42" t="s">
        <v>3533</v>
      </c>
      <c r="K42" t="s">
        <v>3468</v>
      </c>
    </row>
    <row r="43" spans="1:11" ht="15" customHeight="1" x14ac:dyDescent="0.25">
      <c r="A43" t="s">
        <v>5325</v>
      </c>
      <c r="B43" t="s">
        <v>5326</v>
      </c>
      <c r="C43" t="s">
        <v>4044</v>
      </c>
      <c r="D43" t="s">
        <v>187</v>
      </c>
      <c r="E43" t="s">
        <v>3468</v>
      </c>
      <c r="F43" t="s">
        <v>5327</v>
      </c>
      <c r="G43" t="s">
        <v>39</v>
      </c>
      <c r="H43" t="s">
        <v>4074</v>
      </c>
      <c r="I43" t="s">
        <v>5325</v>
      </c>
      <c r="J43" t="s">
        <v>41</v>
      </c>
      <c r="K43" t="s">
        <v>3468</v>
      </c>
    </row>
    <row r="44" spans="1:11" ht="15" customHeight="1" x14ac:dyDescent="0.25">
      <c r="A44" t="s">
        <v>4668</v>
      </c>
      <c r="B44" t="s">
        <v>5328</v>
      </c>
      <c r="C44" t="s">
        <v>4028</v>
      </c>
      <c r="D44" t="s">
        <v>187</v>
      </c>
      <c r="E44" t="s">
        <v>3468</v>
      </c>
      <c r="F44" t="s">
        <v>4368</v>
      </c>
      <c r="G44" t="s">
        <v>39</v>
      </c>
      <c r="H44" t="s">
        <v>4091</v>
      </c>
      <c r="I44" t="s">
        <v>4668</v>
      </c>
      <c r="J44" t="s">
        <v>3533</v>
      </c>
      <c r="K44" t="s">
        <v>3468</v>
      </c>
    </row>
    <row r="45" spans="1:11" ht="15" customHeight="1" x14ac:dyDescent="0.25">
      <c r="A45" t="s">
        <v>5329</v>
      </c>
      <c r="B45" t="s">
        <v>5330</v>
      </c>
      <c r="C45" t="s">
        <v>4028</v>
      </c>
      <c r="D45" t="s">
        <v>187</v>
      </c>
      <c r="E45" t="s">
        <v>3468</v>
      </c>
      <c r="F45" t="s">
        <v>5230</v>
      </c>
      <c r="G45" t="s">
        <v>39</v>
      </c>
      <c r="H45" t="s">
        <v>4091</v>
      </c>
      <c r="I45" t="s">
        <v>5329</v>
      </c>
      <c r="J45" t="s">
        <v>3533</v>
      </c>
      <c r="K45" t="s">
        <v>3468</v>
      </c>
    </row>
    <row r="46" spans="1:11" ht="15" customHeight="1" x14ac:dyDescent="0.25">
      <c r="A46" t="s">
        <v>5331</v>
      </c>
      <c r="B46" t="s">
        <v>5332</v>
      </c>
      <c r="C46" t="s">
        <v>3769</v>
      </c>
      <c r="D46" t="s">
        <v>4051</v>
      </c>
      <c r="E46" t="s">
        <v>3468</v>
      </c>
      <c r="F46" t="s">
        <v>4368</v>
      </c>
      <c r="G46" t="s">
        <v>5247</v>
      </c>
      <c r="H46" t="s">
        <v>4104</v>
      </c>
      <c r="I46" t="s">
        <v>5331</v>
      </c>
      <c r="J46" t="s">
        <v>3468</v>
      </c>
      <c r="K46" t="s">
        <v>3468</v>
      </c>
    </row>
    <row r="47" spans="1:11" ht="15" customHeight="1" x14ac:dyDescent="0.25">
      <c r="A47" t="s">
        <v>5333</v>
      </c>
      <c r="B47" t="s">
        <v>5334</v>
      </c>
      <c r="C47" t="s">
        <v>4028</v>
      </c>
      <c r="D47" t="s">
        <v>187</v>
      </c>
      <c r="E47" t="s">
        <v>3468</v>
      </c>
      <c r="F47" t="s">
        <v>4368</v>
      </c>
      <c r="G47" t="s">
        <v>39</v>
      </c>
      <c r="H47" t="s">
        <v>4091</v>
      </c>
      <c r="I47" t="s">
        <v>5333</v>
      </c>
      <c r="J47" t="s">
        <v>3520</v>
      </c>
      <c r="K47" t="s">
        <v>3468</v>
      </c>
    </row>
    <row r="48" spans="1:11" ht="15" customHeight="1" x14ac:dyDescent="0.25">
      <c r="A48" t="s">
        <v>5335</v>
      </c>
      <c r="B48" t="s">
        <v>5336</v>
      </c>
      <c r="C48" t="s">
        <v>4044</v>
      </c>
      <c r="D48" t="s">
        <v>187</v>
      </c>
      <c r="E48" t="s">
        <v>3468</v>
      </c>
      <c r="F48" t="s">
        <v>5337</v>
      </c>
      <c r="G48" t="s">
        <v>39</v>
      </c>
      <c r="H48" t="s">
        <v>4074</v>
      </c>
      <c r="I48" t="s">
        <v>5335</v>
      </c>
      <c r="J48" t="s">
        <v>3468</v>
      </c>
      <c r="K48" t="s">
        <v>3468</v>
      </c>
    </row>
    <row r="49" spans="1:11" ht="15" customHeight="1" x14ac:dyDescent="0.25">
      <c r="A49" t="s">
        <v>5338</v>
      </c>
      <c r="B49" t="s">
        <v>5339</v>
      </c>
      <c r="C49" t="s">
        <v>3769</v>
      </c>
      <c r="D49" t="s">
        <v>4051</v>
      </c>
      <c r="E49" t="s">
        <v>3468</v>
      </c>
      <c r="F49" t="s">
        <v>4368</v>
      </c>
      <c r="G49" t="s">
        <v>5247</v>
      </c>
      <c r="H49" t="s">
        <v>4104</v>
      </c>
      <c r="I49" t="s">
        <v>5338</v>
      </c>
      <c r="J49" t="s">
        <v>3468</v>
      </c>
      <c r="K49" t="s">
        <v>3468</v>
      </c>
    </row>
    <row r="50" spans="1:11" ht="15" customHeight="1" x14ac:dyDescent="0.25">
      <c r="A50" t="s">
        <v>5340</v>
      </c>
      <c r="B50" t="s">
        <v>5341</v>
      </c>
      <c r="C50" t="s">
        <v>4028</v>
      </c>
      <c r="D50" t="s">
        <v>187</v>
      </c>
      <c r="E50" t="s">
        <v>3468</v>
      </c>
      <c r="F50" t="s">
        <v>5303</v>
      </c>
      <c r="G50" t="s">
        <v>39</v>
      </c>
      <c r="H50" t="s">
        <v>4091</v>
      </c>
      <c r="I50" t="s">
        <v>5340</v>
      </c>
      <c r="J50" t="s">
        <v>3468</v>
      </c>
      <c r="K50" t="s">
        <v>3468</v>
      </c>
    </row>
    <row r="51" spans="1:11" ht="15" customHeight="1" x14ac:dyDescent="0.25">
      <c r="A51" t="s">
        <v>5342</v>
      </c>
      <c r="B51" t="s">
        <v>5343</v>
      </c>
      <c r="C51" t="s">
        <v>4044</v>
      </c>
      <c r="D51" t="s">
        <v>4051</v>
      </c>
      <c r="E51" t="s">
        <v>3468</v>
      </c>
      <c r="F51" t="s">
        <v>4368</v>
      </c>
      <c r="G51" t="s">
        <v>39</v>
      </c>
      <c r="H51" t="s">
        <v>4074</v>
      </c>
      <c r="I51" t="s">
        <v>5342</v>
      </c>
      <c r="J51" t="s">
        <v>3468</v>
      </c>
      <c r="K51" t="s">
        <v>3468</v>
      </c>
    </row>
    <row r="52" spans="1:11" ht="15" customHeight="1" x14ac:dyDescent="0.25">
      <c r="A52" t="s">
        <v>5344</v>
      </c>
      <c r="B52" t="s">
        <v>5345</v>
      </c>
      <c r="C52" t="s">
        <v>4044</v>
      </c>
      <c r="D52" t="s">
        <v>4051</v>
      </c>
      <c r="E52" t="s">
        <v>3468</v>
      </c>
      <c r="F52" t="s">
        <v>4368</v>
      </c>
      <c r="G52" t="s">
        <v>39</v>
      </c>
      <c r="H52" t="s">
        <v>4074</v>
      </c>
      <c r="I52" t="s">
        <v>5346</v>
      </c>
      <c r="J52" t="s">
        <v>3520</v>
      </c>
      <c r="K52" t="s">
        <v>3468</v>
      </c>
    </row>
    <row r="53" spans="1:11" ht="15" customHeight="1" x14ac:dyDescent="0.25">
      <c r="A53" t="s">
        <v>5347</v>
      </c>
      <c r="B53" t="s">
        <v>5348</v>
      </c>
      <c r="C53" t="s">
        <v>3769</v>
      </c>
      <c r="D53" t="s">
        <v>4051</v>
      </c>
      <c r="E53" t="s">
        <v>3468</v>
      </c>
      <c r="F53" t="s">
        <v>4368</v>
      </c>
      <c r="G53" t="s">
        <v>5247</v>
      </c>
      <c r="H53" t="s">
        <v>4091</v>
      </c>
      <c r="I53" t="s">
        <v>5347</v>
      </c>
      <c r="J53" t="s">
        <v>3468</v>
      </c>
      <c r="K53" t="s">
        <v>3468</v>
      </c>
    </row>
    <row r="54" spans="1:11" ht="15" customHeight="1" x14ac:dyDescent="0.25">
      <c r="A54" t="s">
        <v>5349</v>
      </c>
      <c r="B54" t="s">
        <v>5350</v>
      </c>
      <c r="C54" t="s">
        <v>3769</v>
      </c>
      <c r="D54" t="s">
        <v>4051</v>
      </c>
      <c r="E54" t="s">
        <v>3468</v>
      </c>
      <c r="F54" t="s">
        <v>4368</v>
      </c>
      <c r="G54" t="s">
        <v>5247</v>
      </c>
      <c r="H54" t="s">
        <v>4074</v>
      </c>
      <c r="I54" t="s">
        <v>5351</v>
      </c>
      <c r="J54" t="s">
        <v>3468</v>
      </c>
      <c r="K54" t="s">
        <v>3468</v>
      </c>
    </row>
    <row r="55" spans="1:11" ht="15" customHeight="1" x14ac:dyDescent="0.25">
      <c r="A55" t="s">
        <v>5351</v>
      </c>
      <c r="B55" t="s">
        <v>5352</v>
      </c>
      <c r="C55" t="s">
        <v>4044</v>
      </c>
      <c r="D55" t="s">
        <v>4051</v>
      </c>
      <c r="E55">
        <v>1</v>
      </c>
      <c r="F55" t="s">
        <v>5230</v>
      </c>
      <c r="G55" t="s">
        <v>5247</v>
      </c>
      <c r="H55" t="s">
        <v>4074</v>
      </c>
      <c r="I55" t="s">
        <v>5351</v>
      </c>
      <c r="J55" t="s">
        <v>3468</v>
      </c>
      <c r="K55" t="s">
        <v>3468</v>
      </c>
    </row>
    <row r="56" spans="1:11" ht="15" customHeight="1" x14ac:dyDescent="0.25">
      <c r="A56" t="s">
        <v>5353</v>
      </c>
      <c r="B56" t="s">
        <v>5354</v>
      </c>
      <c r="C56" t="s">
        <v>4028</v>
      </c>
      <c r="D56" t="s">
        <v>187</v>
      </c>
      <c r="E56" t="s">
        <v>3468</v>
      </c>
      <c r="F56" t="s">
        <v>4368</v>
      </c>
      <c r="G56" t="s">
        <v>39</v>
      </c>
      <c r="H56" t="s">
        <v>4091</v>
      </c>
      <c r="I56" t="s">
        <v>5353</v>
      </c>
      <c r="J56" t="s">
        <v>3533</v>
      </c>
      <c r="K56" t="s">
        <v>3468</v>
      </c>
    </row>
    <row r="57" spans="1:11" ht="15" customHeight="1" x14ac:dyDescent="0.25">
      <c r="A57" t="s">
        <v>5355</v>
      </c>
      <c r="B57" t="s">
        <v>5356</v>
      </c>
      <c r="C57" t="s">
        <v>5357</v>
      </c>
      <c r="D57" t="s">
        <v>4051</v>
      </c>
      <c r="E57" t="s">
        <v>3468</v>
      </c>
      <c r="F57" t="s">
        <v>4368</v>
      </c>
      <c r="G57" t="s">
        <v>5247</v>
      </c>
      <c r="H57" t="s">
        <v>4104</v>
      </c>
      <c r="I57" t="s">
        <v>5355</v>
      </c>
      <c r="J57" t="s">
        <v>3468</v>
      </c>
      <c r="K57" t="s">
        <v>3468</v>
      </c>
    </row>
    <row r="58" spans="1:11" ht="15" customHeight="1" x14ac:dyDescent="0.25">
      <c r="A58" t="s">
        <v>5358</v>
      </c>
      <c r="B58" t="s">
        <v>5359</v>
      </c>
      <c r="C58" t="s">
        <v>4044</v>
      </c>
      <c r="D58" t="s">
        <v>187</v>
      </c>
      <c r="E58" t="s">
        <v>3468</v>
      </c>
      <c r="F58" t="s">
        <v>5230</v>
      </c>
      <c r="G58" t="s">
        <v>39</v>
      </c>
      <c r="H58" t="s">
        <v>4074</v>
      </c>
      <c r="I58" t="s">
        <v>5358</v>
      </c>
      <c r="J58" t="s">
        <v>41</v>
      </c>
      <c r="K58" t="s">
        <v>3468</v>
      </c>
    </row>
    <row r="59" spans="1:11" ht="15" customHeight="1" x14ac:dyDescent="0.25">
      <c r="A59" t="s">
        <v>5360</v>
      </c>
      <c r="B59" t="s">
        <v>5361</v>
      </c>
      <c r="C59" t="s">
        <v>4044</v>
      </c>
      <c r="D59" t="s">
        <v>187</v>
      </c>
      <c r="E59" t="s">
        <v>3468</v>
      </c>
      <c r="F59" t="s">
        <v>5230</v>
      </c>
      <c r="G59" t="s">
        <v>39</v>
      </c>
      <c r="H59" t="s">
        <v>4074</v>
      </c>
      <c r="I59" t="s">
        <v>5360</v>
      </c>
      <c r="J59" t="s">
        <v>41</v>
      </c>
      <c r="K59" t="s">
        <v>3468</v>
      </c>
    </row>
    <row r="60" spans="1:11" ht="15" customHeight="1" x14ac:dyDescent="0.25">
      <c r="A60" t="s">
        <v>5362</v>
      </c>
      <c r="B60" t="s">
        <v>5363</v>
      </c>
      <c r="C60" t="s">
        <v>3769</v>
      </c>
      <c r="D60" t="s">
        <v>187</v>
      </c>
      <c r="E60" t="s">
        <v>3468</v>
      </c>
      <c r="F60" t="s">
        <v>5243</v>
      </c>
      <c r="G60" t="s">
        <v>5244</v>
      </c>
      <c r="H60" t="s">
        <v>4091</v>
      </c>
      <c r="I60" t="s">
        <v>5364</v>
      </c>
      <c r="J60" t="s">
        <v>3468</v>
      </c>
      <c r="K60" t="s">
        <v>3468</v>
      </c>
    </row>
    <row r="61" spans="1:11" ht="15" customHeight="1" x14ac:dyDescent="0.25">
      <c r="A61" t="s">
        <v>5365</v>
      </c>
      <c r="B61" t="s">
        <v>5366</v>
      </c>
      <c r="C61" t="s">
        <v>3769</v>
      </c>
      <c r="D61" t="s">
        <v>187</v>
      </c>
      <c r="E61" t="s">
        <v>3468</v>
      </c>
      <c r="F61" t="s">
        <v>5230</v>
      </c>
      <c r="G61" t="s">
        <v>39</v>
      </c>
      <c r="H61" t="s">
        <v>4104</v>
      </c>
      <c r="I61" t="s">
        <v>5365</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4026</v>
      </c>
      <c r="F1" t="s">
        <v>5216</v>
      </c>
      <c r="G1" t="s">
        <v>4329</v>
      </c>
      <c r="H1" t="s">
        <v>5217</v>
      </c>
      <c r="I1" t="s">
        <v>4069</v>
      </c>
      <c r="J1" t="s">
        <v>5367</v>
      </c>
      <c r="K1" t="s">
        <v>6</v>
      </c>
      <c r="L1" t="s">
        <v>5368</v>
      </c>
      <c r="M1" t="s">
        <v>5369</v>
      </c>
    </row>
    <row r="2" spans="1:13" ht="15" customHeight="1" x14ac:dyDescent="0.25">
      <c r="A2" t="s">
        <v>5219</v>
      </c>
      <c r="B2" t="s">
        <v>5220</v>
      </c>
      <c r="C2" t="s">
        <v>5370</v>
      </c>
      <c r="D2" t="s">
        <v>4028</v>
      </c>
      <c r="E2" t="s">
        <v>187</v>
      </c>
      <c r="F2" t="s">
        <v>3468</v>
      </c>
      <c r="G2" t="s">
        <v>4368</v>
      </c>
      <c r="H2" t="s">
        <v>39</v>
      </c>
      <c r="I2" t="s">
        <v>4091</v>
      </c>
      <c r="J2" t="s">
        <v>5219</v>
      </c>
      <c r="K2" t="s">
        <v>3533</v>
      </c>
      <c r="L2" t="s">
        <v>187</v>
      </c>
      <c r="M2" t="s">
        <v>3468</v>
      </c>
    </row>
    <row r="3" spans="1:13" ht="15" customHeight="1" x14ac:dyDescent="0.25">
      <c r="A3" t="s">
        <v>5222</v>
      </c>
      <c r="B3" t="s">
        <v>5371</v>
      </c>
      <c r="C3" t="s">
        <v>5372</v>
      </c>
      <c r="D3" t="s">
        <v>4044</v>
      </c>
      <c r="E3" t="s">
        <v>187</v>
      </c>
      <c r="F3" t="s">
        <v>3468</v>
      </c>
      <c r="G3" t="s">
        <v>5373</v>
      </c>
      <c r="H3" t="s">
        <v>39</v>
      </c>
      <c r="I3" t="s">
        <v>4074</v>
      </c>
      <c r="J3" t="s">
        <v>5222</v>
      </c>
      <c r="K3" t="s">
        <v>3533</v>
      </c>
      <c r="L3" t="s">
        <v>4051</v>
      </c>
      <c r="M3" t="s">
        <v>5374</v>
      </c>
    </row>
    <row r="4" spans="1:13" ht="15" customHeight="1" x14ac:dyDescent="0.25">
      <c r="A4" t="s">
        <v>5225</v>
      </c>
      <c r="B4" t="s">
        <v>5375</v>
      </c>
      <c r="C4" t="s">
        <v>5376</v>
      </c>
      <c r="D4" t="s">
        <v>4028</v>
      </c>
      <c r="E4" t="s">
        <v>187</v>
      </c>
      <c r="F4" t="s">
        <v>3468</v>
      </c>
      <c r="G4" t="s">
        <v>4368</v>
      </c>
      <c r="H4" t="s">
        <v>39</v>
      </c>
      <c r="I4" t="s">
        <v>4091</v>
      </c>
      <c r="J4" t="s">
        <v>5227</v>
      </c>
      <c r="K4" t="s">
        <v>3520</v>
      </c>
      <c r="L4" t="s">
        <v>187</v>
      </c>
      <c r="M4" t="s">
        <v>3468</v>
      </c>
    </row>
    <row r="5" spans="1:13" ht="15" customHeight="1" x14ac:dyDescent="0.25">
      <c r="A5" s="5" t="s">
        <v>5228</v>
      </c>
      <c r="B5" s="5" t="s">
        <v>5377</v>
      </c>
      <c r="C5" s="5" t="s">
        <v>5378</v>
      </c>
      <c r="D5" s="5" t="s">
        <v>4044</v>
      </c>
      <c r="E5" s="5" t="s">
        <v>187</v>
      </c>
      <c r="F5" s="5" t="s">
        <v>3468</v>
      </c>
      <c r="G5" s="5" t="s">
        <v>5230</v>
      </c>
      <c r="H5" s="5" t="s">
        <v>39</v>
      </c>
      <c r="I5" s="5" t="s">
        <v>4074</v>
      </c>
      <c r="J5" s="5" t="s">
        <v>5228</v>
      </c>
      <c r="K5" s="5" t="s">
        <v>41</v>
      </c>
      <c r="L5" t="s">
        <v>187</v>
      </c>
      <c r="M5" t="s">
        <v>3468</v>
      </c>
    </row>
    <row r="6" spans="1:13" ht="15" customHeight="1" x14ac:dyDescent="0.25">
      <c r="A6" t="s">
        <v>5235</v>
      </c>
      <c r="B6" t="s">
        <v>5379</v>
      </c>
      <c r="C6" t="s">
        <v>5380</v>
      </c>
      <c r="D6" t="s">
        <v>4044</v>
      </c>
      <c r="E6" t="s">
        <v>187</v>
      </c>
      <c r="F6" t="s">
        <v>3468</v>
      </c>
      <c r="G6" t="s">
        <v>4368</v>
      </c>
      <c r="H6" t="s">
        <v>39</v>
      </c>
      <c r="I6" t="s">
        <v>4074</v>
      </c>
      <c r="J6" t="s">
        <v>5235</v>
      </c>
      <c r="K6" t="s">
        <v>41</v>
      </c>
      <c r="L6" t="s">
        <v>187</v>
      </c>
      <c r="M6" t="s">
        <v>3468</v>
      </c>
    </row>
    <row r="7" spans="1:13" ht="15" customHeight="1" x14ac:dyDescent="0.25">
      <c r="A7" s="6" t="s">
        <v>5237</v>
      </c>
      <c r="B7" s="7" t="s">
        <v>5238</v>
      </c>
      <c r="C7" s="7" t="s">
        <v>5381</v>
      </c>
      <c r="D7" s="7" t="s">
        <v>4028</v>
      </c>
      <c r="E7" s="7" t="s">
        <v>187</v>
      </c>
      <c r="F7" s="7" t="s">
        <v>3468</v>
      </c>
      <c r="G7" s="8" t="s">
        <v>5259</v>
      </c>
      <c r="H7" s="7" t="s">
        <v>39</v>
      </c>
      <c r="I7" s="7" t="s">
        <v>4091</v>
      </c>
      <c r="J7" s="7" t="s">
        <v>5237</v>
      </c>
      <c r="K7" s="7" t="s">
        <v>3520</v>
      </c>
      <c r="L7" t="s">
        <v>187</v>
      </c>
      <c r="M7" t="s">
        <v>3468</v>
      </c>
    </row>
    <row r="8" spans="1:13" ht="15" customHeight="1" x14ac:dyDescent="0.25">
      <c r="A8" t="s">
        <v>4060</v>
      </c>
      <c r="B8" t="s">
        <v>5240</v>
      </c>
      <c r="C8" t="s">
        <v>5382</v>
      </c>
      <c r="D8" t="s">
        <v>4044</v>
      </c>
      <c r="E8" t="s">
        <v>187</v>
      </c>
      <c r="F8" t="s">
        <v>3468</v>
      </c>
      <c r="G8" t="s">
        <v>5230</v>
      </c>
      <c r="H8" t="s">
        <v>39</v>
      </c>
      <c r="I8" t="s">
        <v>4074</v>
      </c>
      <c r="J8" t="s">
        <v>4060</v>
      </c>
      <c r="K8" t="s">
        <v>41</v>
      </c>
      <c r="L8" t="s">
        <v>187</v>
      </c>
      <c r="M8" t="s">
        <v>3468</v>
      </c>
    </row>
    <row r="9" spans="1:13" ht="15" customHeight="1" x14ac:dyDescent="0.25">
      <c r="A9" t="s">
        <v>5248</v>
      </c>
      <c r="B9" s="9" t="s">
        <v>5383</v>
      </c>
      <c r="C9" s="9" t="s">
        <v>5384</v>
      </c>
      <c r="D9" t="s">
        <v>4044</v>
      </c>
      <c r="E9" t="s">
        <v>187</v>
      </c>
      <c r="F9" t="s">
        <v>3468</v>
      </c>
      <c r="G9" t="s">
        <v>5230</v>
      </c>
      <c r="H9" t="s">
        <v>5244</v>
      </c>
      <c r="I9" t="s">
        <v>4074</v>
      </c>
      <c r="J9" t="s">
        <v>5248</v>
      </c>
      <c r="K9" t="s">
        <v>3468</v>
      </c>
      <c r="L9" t="s">
        <v>187</v>
      </c>
      <c r="M9" t="s">
        <v>3468</v>
      </c>
    </row>
    <row r="10" spans="1:13" ht="15" customHeight="1" x14ac:dyDescent="0.25">
      <c r="A10" t="s">
        <v>5385</v>
      </c>
      <c r="B10" t="s">
        <v>5386</v>
      </c>
      <c r="C10" t="s">
        <v>5387</v>
      </c>
      <c r="D10" t="s">
        <v>4028</v>
      </c>
      <c r="E10" t="s">
        <v>187</v>
      </c>
      <c r="F10" t="s">
        <v>3468</v>
      </c>
      <c r="G10" t="s">
        <v>4368</v>
      </c>
      <c r="H10" t="s">
        <v>39</v>
      </c>
      <c r="I10" t="s">
        <v>4091</v>
      </c>
      <c r="J10" t="s">
        <v>5388</v>
      </c>
      <c r="K10" t="s">
        <v>41</v>
      </c>
      <c r="L10" t="s">
        <v>187</v>
      </c>
      <c r="M10" t="s">
        <v>3468</v>
      </c>
    </row>
    <row r="11" spans="1:13" ht="15" customHeight="1" x14ac:dyDescent="0.25">
      <c r="A11" t="s">
        <v>5253</v>
      </c>
      <c r="B11" s="9" t="s">
        <v>5389</v>
      </c>
      <c r="C11" s="9" t="s">
        <v>5390</v>
      </c>
      <c r="D11" t="s">
        <v>3769</v>
      </c>
      <c r="E11" t="s">
        <v>4051</v>
      </c>
      <c r="F11" t="s">
        <v>3468</v>
      </c>
      <c r="G11" t="s">
        <v>4368</v>
      </c>
      <c r="H11" t="s">
        <v>39</v>
      </c>
      <c r="I11" t="s">
        <v>4091</v>
      </c>
      <c r="J11" t="s">
        <v>5255</v>
      </c>
      <c r="K11" t="s">
        <v>3468</v>
      </c>
      <c r="L11" t="s">
        <v>187</v>
      </c>
      <c r="M11" t="s">
        <v>3468</v>
      </c>
    </row>
    <row r="12" spans="1:13" ht="15" customHeight="1" x14ac:dyDescent="0.25">
      <c r="A12" t="s">
        <v>3531</v>
      </c>
      <c r="B12" t="s">
        <v>5256</v>
      </c>
      <c r="C12" t="s">
        <v>5391</v>
      </c>
      <c r="D12" t="s">
        <v>4028</v>
      </c>
      <c r="E12" t="s">
        <v>187</v>
      </c>
      <c r="F12" t="s">
        <v>3468</v>
      </c>
      <c r="G12" t="s">
        <v>4368</v>
      </c>
      <c r="H12" t="s">
        <v>39</v>
      </c>
      <c r="I12" t="s">
        <v>4091</v>
      </c>
      <c r="J12" t="s">
        <v>3531</v>
      </c>
      <c r="K12" t="s">
        <v>3533</v>
      </c>
      <c r="L12" t="s">
        <v>187</v>
      </c>
      <c r="M12" t="s">
        <v>3468</v>
      </c>
    </row>
    <row r="13" spans="1:13" ht="15" customHeight="1" x14ac:dyDescent="0.25">
      <c r="A13" t="s">
        <v>5257</v>
      </c>
      <c r="B13" t="s">
        <v>5258</v>
      </c>
      <c r="C13" t="s">
        <v>5381</v>
      </c>
      <c r="D13" t="s">
        <v>4028</v>
      </c>
      <c r="E13" t="s">
        <v>187</v>
      </c>
      <c r="F13" t="s">
        <v>3468</v>
      </c>
      <c r="G13" t="s">
        <v>5239</v>
      </c>
      <c r="H13" t="s">
        <v>39</v>
      </c>
      <c r="I13" t="s">
        <v>4091</v>
      </c>
      <c r="J13" t="s">
        <v>5257</v>
      </c>
      <c r="K13" t="s">
        <v>3520</v>
      </c>
      <c r="L13" t="s">
        <v>187</v>
      </c>
      <c r="M13" t="s">
        <v>3468</v>
      </c>
    </row>
    <row r="14" spans="1:13" ht="15" customHeight="1" x14ac:dyDescent="0.25">
      <c r="A14" t="s">
        <v>5273</v>
      </c>
      <c r="B14" s="9" t="s">
        <v>5272</v>
      </c>
      <c r="C14" s="9" t="s">
        <v>5392</v>
      </c>
      <c r="D14" t="s">
        <v>4044</v>
      </c>
      <c r="E14" t="s">
        <v>187</v>
      </c>
      <c r="F14" t="s">
        <v>3468</v>
      </c>
      <c r="G14" t="s">
        <v>5230</v>
      </c>
      <c r="H14" t="s">
        <v>39</v>
      </c>
      <c r="I14" t="s">
        <v>4074</v>
      </c>
      <c r="J14" t="s">
        <v>5273</v>
      </c>
      <c r="K14" t="s">
        <v>3468</v>
      </c>
      <c r="L14" t="s">
        <v>187</v>
      </c>
      <c r="M14" t="s">
        <v>3468</v>
      </c>
    </row>
    <row r="15" spans="1:13" ht="15" customHeight="1" x14ac:dyDescent="0.25">
      <c r="A15" t="s">
        <v>5274</v>
      </c>
      <c r="B15" t="s">
        <v>5275</v>
      </c>
      <c r="C15" t="s">
        <v>3468</v>
      </c>
      <c r="D15" t="s">
        <v>4044</v>
      </c>
      <c r="E15" t="s">
        <v>187</v>
      </c>
      <c r="F15" t="s">
        <v>3468</v>
      </c>
      <c r="G15" t="s">
        <v>5276</v>
      </c>
      <c r="H15" t="s">
        <v>5244</v>
      </c>
      <c r="I15" t="s">
        <v>4074</v>
      </c>
      <c r="J15" t="s">
        <v>5274</v>
      </c>
      <c r="K15" t="s">
        <v>3533</v>
      </c>
      <c r="L15" t="s">
        <v>4051</v>
      </c>
      <c r="M15" t="s">
        <v>5393</v>
      </c>
    </row>
    <row r="16" spans="1:13" ht="15" customHeight="1" x14ac:dyDescent="0.25">
      <c r="A16" t="s">
        <v>5291</v>
      </c>
      <c r="B16" t="s">
        <v>5292</v>
      </c>
      <c r="C16" t="s">
        <v>5394</v>
      </c>
      <c r="D16" t="s">
        <v>4044</v>
      </c>
      <c r="E16" t="s">
        <v>187</v>
      </c>
      <c r="F16" t="s">
        <v>3468</v>
      </c>
      <c r="G16" t="s">
        <v>5230</v>
      </c>
      <c r="H16" t="s">
        <v>39</v>
      </c>
      <c r="I16" t="s">
        <v>4074</v>
      </c>
      <c r="J16" t="s">
        <v>5291</v>
      </c>
      <c r="K16" t="s">
        <v>41</v>
      </c>
      <c r="L16" t="s">
        <v>187</v>
      </c>
      <c r="M16" t="s">
        <v>3468</v>
      </c>
    </row>
    <row r="17" spans="1:13" ht="15" customHeight="1" x14ac:dyDescent="0.25">
      <c r="A17" t="s">
        <v>5316</v>
      </c>
      <c r="B17" t="s">
        <v>5317</v>
      </c>
      <c r="C17" t="s">
        <v>5395</v>
      </c>
      <c r="D17" t="s">
        <v>4028</v>
      </c>
      <c r="E17" t="s">
        <v>187</v>
      </c>
      <c r="F17" t="s">
        <v>3468</v>
      </c>
      <c r="G17" t="s">
        <v>4368</v>
      </c>
      <c r="H17" t="s">
        <v>39</v>
      </c>
      <c r="I17" t="s">
        <v>4091</v>
      </c>
      <c r="J17" t="s">
        <v>5316</v>
      </c>
      <c r="K17" t="s">
        <v>3520</v>
      </c>
      <c r="L17" t="s">
        <v>187</v>
      </c>
      <c r="M17" t="s">
        <v>3468</v>
      </c>
    </row>
    <row r="18" spans="1:13" ht="15" customHeight="1" x14ac:dyDescent="0.25">
      <c r="A18" t="s">
        <v>5321</v>
      </c>
      <c r="B18" t="s">
        <v>5322</v>
      </c>
      <c r="C18" t="s">
        <v>5396</v>
      </c>
      <c r="D18" t="s">
        <v>4028</v>
      </c>
      <c r="E18" t="s">
        <v>187</v>
      </c>
      <c r="F18" t="s">
        <v>3468</v>
      </c>
      <c r="G18" s="3" t="s">
        <v>5323</v>
      </c>
      <c r="H18" t="s">
        <v>39</v>
      </c>
      <c r="I18" t="s">
        <v>4091</v>
      </c>
      <c r="J18" t="s">
        <v>5324</v>
      </c>
      <c r="K18" t="s">
        <v>3533</v>
      </c>
      <c r="L18" t="s">
        <v>3468</v>
      </c>
      <c r="M18" t="s">
        <v>3468</v>
      </c>
    </row>
    <row r="19" spans="1:13" ht="15" customHeight="1" x14ac:dyDescent="0.25">
      <c r="A19" t="s">
        <v>5325</v>
      </c>
      <c r="B19" t="s">
        <v>5326</v>
      </c>
      <c r="C19" t="s">
        <v>5397</v>
      </c>
      <c r="D19" t="s">
        <v>4044</v>
      </c>
      <c r="E19" t="s">
        <v>187</v>
      </c>
      <c r="F19" t="s">
        <v>3468</v>
      </c>
      <c r="G19" t="s">
        <v>5327</v>
      </c>
      <c r="H19" t="s">
        <v>39</v>
      </c>
      <c r="I19" t="s">
        <v>4074</v>
      </c>
      <c r="J19" t="s">
        <v>5325</v>
      </c>
      <c r="K19" t="s">
        <v>41</v>
      </c>
      <c r="L19" t="s">
        <v>187</v>
      </c>
      <c r="M19" t="s">
        <v>3468</v>
      </c>
    </row>
    <row r="20" spans="1:13" ht="15" customHeight="1" x14ac:dyDescent="0.25">
      <c r="A20" t="s">
        <v>4668</v>
      </c>
      <c r="B20" t="s">
        <v>5328</v>
      </c>
      <c r="C20" t="s">
        <v>5398</v>
      </c>
      <c r="D20" t="s">
        <v>4028</v>
      </c>
      <c r="E20" t="s">
        <v>187</v>
      </c>
      <c r="F20" t="s">
        <v>3468</v>
      </c>
      <c r="G20" t="s">
        <v>4368</v>
      </c>
      <c r="H20" t="s">
        <v>39</v>
      </c>
      <c r="I20" t="s">
        <v>4091</v>
      </c>
      <c r="J20" t="s">
        <v>4668</v>
      </c>
      <c r="K20" t="s">
        <v>3533</v>
      </c>
      <c r="L20" t="s">
        <v>187</v>
      </c>
      <c r="M20" t="s">
        <v>3468</v>
      </c>
    </row>
    <row r="21" spans="1:13" ht="15" customHeight="1" x14ac:dyDescent="0.25">
      <c r="A21" t="s">
        <v>5329</v>
      </c>
      <c r="B21" t="s">
        <v>5330</v>
      </c>
      <c r="C21" t="s">
        <v>5399</v>
      </c>
      <c r="D21" t="s">
        <v>4028</v>
      </c>
      <c r="E21" t="s">
        <v>187</v>
      </c>
      <c r="F21" t="s">
        <v>3468</v>
      </c>
      <c r="G21" t="s">
        <v>5230</v>
      </c>
      <c r="H21" t="s">
        <v>39</v>
      </c>
      <c r="I21" t="s">
        <v>4091</v>
      </c>
      <c r="J21" t="s">
        <v>5329</v>
      </c>
      <c r="K21" t="s">
        <v>3533</v>
      </c>
      <c r="L21" t="s">
        <v>187</v>
      </c>
      <c r="M21" t="s">
        <v>3468</v>
      </c>
    </row>
    <row r="22" spans="1:13" ht="15" customHeight="1" x14ac:dyDescent="0.25">
      <c r="A22" t="s">
        <v>5333</v>
      </c>
      <c r="B22" s="9" t="s">
        <v>5334</v>
      </c>
      <c r="C22" s="9" t="s">
        <v>5400</v>
      </c>
      <c r="D22" t="s">
        <v>4028</v>
      </c>
      <c r="E22" t="s">
        <v>187</v>
      </c>
      <c r="F22" t="s">
        <v>3468</v>
      </c>
      <c r="G22" t="s">
        <v>4368</v>
      </c>
      <c r="H22" t="s">
        <v>39</v>
      </c>
      <c r="I22" t="s">
        <v>4091</v>
      </c>
      <c r="J22" t="s">
        <v>5333</v>
      </c>
      <c r="K22" t="s">
        <v>3520</v>
      </c>
      <c r="L22" t="s">
        <v>187</v>
      </c>
      <c r="M22" t="s">
        <v>3468</v>
      </c>
    </row>
    <row r="23" spans="1:13" ht="15" customHeight="1" x14ac:dyDescent="0.25">
      <c r="A23" t="s">
        <v>5340</v>
      </c>
      <c r="B23" s="9" t="s">
        <v>5401</v>
      </c>
      <c r="C23" s="9" t="s">
        <v>5402</v>
      </c>
      <c r="D23" t="s">
        <v>4028</v>
      </c>
      <c r="E23" t="s">
        <v>187</v>
      </c>
      <c r="F23" t="s">
        <v>3468</v>
      </c>
      <c r="G23" t="s">
        <v>5303</v>
      </c>
      <c r="H23" t="s">
        <v>39</v>
      </c>
      <c r="I23" t="s">
        <v>4091</v>
      </c>
      <c r="J23" t="s">
        <v>5340</v>
      </c>
      <c r="K23" t="s">
        <v>3468</v>
      </c>
      <c r="L23" t="s">
        <v>187</v>
      </c>
      <c r="M23" t="s">
        <v>3468</v>
      </c>
    </row>
    <row r="24" spans="1:13" ht="15" customHeight="1" x14ac:dyDescent="0.25">
      <c r="A24" t="s">
        <v>5342</v>
      </c>
      <c r="B24" s="9" t="s">
        <v>5403</v>
      </c>
      <c r="C24" s="9" t="s">
        <v>5404</v>
      </c>
      <c r="D24" t="s">
        <v>4044</v>
      </c>
      <c r="E24" t="s">
        <v>4051</v>
      </c>
      <c r="F24" t="s">
        <v>3468</v>
      </c>
      <c r="G24" t="s">
        <v>4368</v>
      </c>
      <c r="H24" t="s">
        <v>39</v>
      </c>
      <c r="I24" t="s">
        <v>4074</v>
      </c>
      <c r="J24" t="s">
        <v>5342</v>
      </c>
      <c r="K24" t="s">
        <v>3468</v>
      </c>
      <c r="L24" t="s">
        <v>187</v>
      </c>
      <c r="M24" t="s">
        <v>3468</v>
      </c>
    </row>
    <row r="25" spans="1:13" ht="15" customHeight="1" x14ac:dyDescent="0.25">
      <c r="A25" t="s">
        <v>5344</v>
      </c>
      <c r="B25" t="s">
        <v>5345</v>
      </c>
      <c r="C25" t="s">
        <v>5405</v>
      </c>
      <c r="D25" t="s">
        <v>4044</v>
      </c>
      <c r="E25" t="s">
        <v>4051</v>
      </c>
      <c r="F25" t="s">
        <v>3468</v>
      </c>
      <c r="G25" t="s">
        <v>4368</v>
      </c>
      <c r="H25" t="s">
        <v>39</v>
      </c>
      <c r="I25" t="s">
        <v>4074</v>
      </c>
      <c r="J25" t="s">
        <v>5346</v>
      </c>
      <c r="K25" t="s">
        <v>3520</v>
      </c>
      <c r="L25" t="s">
        <v>187</v>
      </c>
      <c r="M25" t="s">
        <v>3468</v>
      </c>
    </row>
    <row r="26" spans="1:13" ht="15" customHeight="1" x14ac:dyDescent="0.25">
      <c r="A26" t="s">
        <v>5347</v>
      </c>
      <c r="B26" s="9" t="s">
        <v>5406</v>
      </c>
      <c r="C26" s="9" t="s">
        <v>5407</v>
      </c>
      <c r="D26" t="s">
        <v>3769</v>
      </c>
      <c r="E26" t="s">
        <v>4051</v>
      </c>
      <c r="F26" t="s">
        <v>3468</v>
      </c>
      <c r="G26" t="s">
        <v>4368</v>
      </c>
      <c r="H26" t="s">
        <v>5247</v>
      </c>
      <c r="I26" t="s">
        <v>4091</v>
      </c>
      <c r="J26" t="s">
        <v>5347</v>
      </c>
      <c r="K26" t="s">
        <v>3468</v>
      </c>
      <c r="L26" t="s">
        <v>187</v>
      </c>
      <c r="M26" t="s">
        <v>3468</v>
      </c>
    </row>
    <row r="27" spans="1:13" ht="15" customHeight="1" x14ac:dyDescent="0.25">
      <c r="A27" t="s">
        <v>5353</v>
      </c>
      <c r="B27" t="s">
        <v>5408</v>
      </c>
      <c r="C27" t="s">
        <v>5409</v>
      </c>
      <c r="D27" t="s">
        <v>4028</v>
      </c>
      <c r="E27" t="s">
        <v>187</v>
      </c>
      <c r="F27" t="s">
        <v>3468</v>
      </c>
      <c r="G27" t="s">
        <v>4368</v>
      </c>
      <c r="H27" t="s">
        <v>39</v>
      </c>
      <c r="I27" t="s">
        <v>4091</v>
      </c>
      <c r="J27" t="s">
        <v>5353</v>
      </c>
      <c r="K27" t="s">
        <v>3533</v>
      </c>
      <c r="L27" t="s">
        <v>187</v>
      </c>
      <c r="M27" t="s">
        <v>3468</v>
      </c>
    </row>
    <row r="28" spans="1:13" ht="15" customHeight="1" x14ac:dyDescent="0.25">
      <c r="A28" t="s">
        <v>5358</v>
      </c>
      <c r="B28" t="s">
        <v>5359</v>
      </c>
      <c r="C28" t="s">
        <v>5410</v>
      </c>
      <c r="D28" t="s">
        <v>4044</v>
      </c>
      <c r="E28" t="s">
        <v>187</v>
      </c>
      <c r="F28" t="s">
        <v>3468</v>
      </c>
      <c r="G28" t="s">
        <v>5230</v>
      </c>
      <c r="H28" t="s">
        <v>39</v>
      </c>
      <c r="I28" t="s">
        <v>4074</v>
      </c>
      <c r="J28" t="s">
        <v>5358</v>
      </c>
      <c r="K28" t="s">
        <v>41</v>
      </c>
      <c r="L28" t="s">
        <v>187</v>
      </c>
      <c r="M28" t="s">
        <v>3468</v>
      </c>
    </row>
    <row r="29" spans="1:13" ht="15" customHeight="1" x14ac:dyDescent="0.25">
      <c r="A29" t="s">
        <v>5360</v>
      </c>
      <c r="B29" t="s">
        <v>5361</v>
      </c>
      <c r="C29" t="s">
        <v>5411</v>
      </c>
      <c r="D29" t="s">
        <v>4044</v>
      </c>
      <c r="E29" t="s">
        <v>187</v>
      </c>
      <c r="F29" t="s">
        <v>3468</v>
      </c>
      <c r="G29" t="s">
        <v>5230</v>
      </c>
      <c r="H29" t="s">
        <v>39</v>
      </c>
      <c r="I29" t="s">
        <v>4074</v>
      </c>
      <c r="J29" t="s">
        <v>5360</v>
      </c>
      <c r="K29" t="s">
        <v>41</v>
      </c>
      <c r="L29" t="s">
        <v>187</v>
      </c>
      <c r="M29" t="s">
        <v>3468</v>
      </c>
    </row>
    <row r="30" spans="1:13" ht="15" customHeight="1" x14ac:dyDescent="0.25">
      <c r="A30" t="s">
        <v>5351</v>
      </c>
      <c r="B30" t="s">
        <v>5352</v>
      </c>
      <c r="C30" t="s">
        <v>5412</v>
      </c>
      <c r="D30" t="s">
        <v>4044</v>
      </c>
      <c r="E30" t="s">
        <v>4051</v>
      </c>
      <c r="F30">
        <v>1</v>
      </c>
      <c r="G30" t="s">
        <v>5230</v>
      </c>
      <c r="H30" t="s">
        <v>39</v>
      </c>
      <c r="I30" t="s">
        <v>4074</v>
      </c>
      <c r="J30" t="s">
        <v>5351</v>
      </c>
      <c r="K30" t="s">
        <v>3468</v>
      </c>
      <c r="L30" t="s">
        <v>187</v>
      </c>
      <c r="M30" t="s">
        <v>5413</v>
      </c>
    </row>
    <row r="31" spans="1:13" ht="60" customHeight="1" x14ac:dyDescent="0.25">
      <c r="A31" t="s">
        <v>5308</v>
      </c>
      <c r="B31" s="9" t="s">
        <v>5414</v>
      </c>
      <c r="C31" s="9" t="s">
        <v>5415</v>
      </c>
      <c r="D31" t="s">
        <v>4028</v>
      </c>
      <c r="E31" t="s">
        <v>187</v>
      </c>
      <c r="F31" t="s">
        <v>3468</v>
      </c>
      <c r="G31" t="s">
        <v>5303</v>
      </c>
      <c r="H31" t="s">
        <v>5244</v>
      </c>
      <c r="I31" t="s">
        <v>4091</v>
      </c>
      <c r="J31" t="s">
        <v>5310</v>
      </c>
      <c r="K31" t="s">
        <v>3533</v>
      </c>
      <c r="L31" t="s">
        <v>4051</v>
      </c>
      <c r="M31" s="9" t="s">
        <v>5416</v>
      </c>
    </row>
    <row r="32" spans="1:13" ht="45" customHeight="1" x14ac:dyDescent="0.25">
      <c r="A32" t="s">
        <v>5305</v>
      </c>
      <c r="B32" s="9" t="s">
        <v>5417</v>
      </c>
      <c r="C32" s="9" t="s">
        <v>5418</v>
      </c>
      <c r="D32" t="s">
        <v>4028</v>
      </c>
      <c r="E32" t="s">
        <v>187</v>
      </c>
      <c r="F32" t="s">
        <v>3468</v>
      </c>
      <c r="G32" t="s">
        <v>5303</v>
      </c>
      <c r="H32" t="s">
        <v>5244</v>
      </c>
      <c r="I32" t="s">
        <v>4091</v>
      </c>
      <c r="J32" t="s">
        <v>5307</v>
      </c>
      <c r="K32" t="s">
        <v>3533</v>
      </c>
      <c r="L32" t="s">
        <v>4051</v>
      </c>
      <c r="M32" s="9" t="s">
        <v>5419</v>
      </c>
    </row>
    <row r="33" spans="1:13" ht="60" customHeight="1" x14ac:dyDescent="0.25">
      <c r="A33" t="s">
        <v>5311</v>
      </c>
      <c r="B33" s="9" t="s">
        <v>5420</v>
      </c>
      <c r="C33" s="9" t="s">
        <v>5421</v>
      </c>
      <c r="D33" t="s">
        <v>4044</v>
      </c>
      <c r="E33" t="s">
        <v>187</v>
      </c>
      <c r="F33" t="s">
        <v>3468</v>
      </c>
      <c r="G33" t="s">
        <v>5230</v>
      </c>
      <c r="H33" t="s">
        <v>5244</v>
      </c>
      <c r="I33" t="s">
        <v>4074</v>
      </c>
      <c r="J33" t="s">
        <v>5313</v>
      </c>
      <c r="K33" t="s">
        <v>3468</v>
      </c>
      <c r="L33" t="s">
        <v>4051</v>
      </c>
      <c r="M33" s="9" t="s">
        <v>5422</v>
      </c>
    </row>
    <row r="34" spans="1:13" ht="45" customHeight="1" x14ac:dyDescent="0.25">
      <c r="A34" t="s">
        <v>5293</v>
      </c>
      <c r="B34" s="9" t="s">
        <v>5294</v>
      </c>
      <c r="C34" s="9" t="s">
        <v>5423</v>
      </c>
      <c r="D34" t="s">
        <v>4028</v>
      </c>
      <c r="E34" t="s">
        <v>187</v>
      </c>
      <c r="F34" t="s">
        <v>3468</v>
      </c>
      <c r="G34" t="s">
        <v>5230</v>
      </c>
      <c r="H34" t="s">
        <v>39</v>
      </c>
      <c r="I34" t="s">
        <v>4091</v>
      </c>
      <c r="J34" t="s">
        <v>5293</v>
      </c>
      <c r="K34" t="s">
        <v>3520</v>
      </c>
      <c r="L34" t="s">
        <v>187</v>
      </c>
      <c r="M34" s="9" t="s">
        <v>5424</v>
      </c>
    </row>
    <row r="35" spans="1:13" ht="45" customHeight="1" x14ac:dyDescent="0.25">
      <c r="A35" t="s">
        <v>5245</v>
      </c>
      <c r="B35" s="9" t="s">
        <v>5425</v>
      </c>
      <c r="C35" s="9" t="s">
        <v>5426</v>
      </c>
      <c r="D35" t="s">
        <v>4044</v>
      </c>
      <c r="E35" t="s">
        <v>187</v>
      </c>
      <c r="F35" t="s">
        <v>3468</v>
      </c>
      <c r="G35" t="s">
        <v>5427</v>
      </c>
      <c r="H35" t="s">
        <v>5247</v>
      </c>
      <c r="I35" t="s">
        <v>4074</v>
      </c>
      <c r="J35" t="s">
        <v>5245</v>
      </c>
      <c r="K35" t="s">
        <v>3468</v>
      </c>
      <c r="L35" t="s">
        <v>187</v>
      </c>
      <c r="M35" s="9" t="s">
        <v>5428</v>
      </c>
    </row>
    <row r="36" spans="1:13" x14ac:dyDescent="0.25">
      <c r="A36" t="s">
        <v>5283</v>
      </c>
      <c r="B36" s="9" t="s">
        <v>5429</v>
      </c>
      <c r="C36" s="9" t="s">
        <v>5430</v>
      </c>
      <c r="D36" t="s">
        <v>5431</v>
      </c>
      <c r="E36" t="s">
        <v>187</v>
      </c>
      <c r="F36" t="s">
        <v>3468</v>
      </c>
      <c r="G36" t="s">
        <v>5432</v>
      </c>
      <c r="H36" t="s">
        <v>5244</v>
      </c>
      <c r="I36" t="s">
        <v>4091</v>
      </c>
      <c r="J36" t="s">
        <v>5285</v>
      </c>
      <c r="K36" t="s">
        <v>3533</v>
      </c>
      <c r="L36" t="s">
        <v>4051</v>
      </c>
      <c r="M36" t="s">
        <v>3468</v>
      </c>
    </row>
    <row r="37" spans="1:13" x14ac:dyDescent="0.25">
      <c r="A37" t="s">
        <v>5433</v>
      </c>
      <c r="B37" s="9" t="s">
        <v>5434</v>
      </c>
      <c r="C37" s="9" t="s">
        <v>5430</v>
      </c>
      <c r="D37" t="s">
        <v>5431</v>
      </c>
      <c r="E37" t="s">
        <v>187</v>
      </c>
      <c r="F37" t="s">
        <v>3468</v>
      </c>
      <c r="G37" t="s">
        <v>5432</v>
      </c>
      <c r="H37" t="s">
        <v>5244</v>
      </c>
      <c r="I37" t="s">
        <v>4091</v>
      </c>
      <c r="J37" t="s">
        <v>5433</v>
      </c>
      <c r="K37" t="s">
        <v>3533</v>
      </c>
      <c r="L37" t="s">
        <v>4051</v>
      </c>
      <c r="M37" t="s">
        <v>3468</v>
      </c>
    </row>
    <row r="38" spans="1:13" x14ac:dyDescent="0.25">
      <c r="A38" t="s">
        <v>5435</v>
      </c>
      <c r="B38" s="9" t="s">
        <v>5436</v>
      </c>
      <c r="C38" s="9" t="s">
        <v>5430</v>
      </c>
      <c r="D38" t="s">
        <v>5431</v>
      </c>
      <c r="E38" t="s">
        <v>187</v>
      </c>
      <c r="F38" t="s">
        <v>3468</v>
      </c>
      <c r="G38" t="s">
        <v>5432</v>
      </c>
      <c r="H38" t="s">
        <v>5244</v>
      </c>
      <c r="I38" t="s">
        <v>4091</v>
      </c>
      <c r="J38" t="s">
        <v>5437</v>
      </c>
      <c r="K38" t="s">
        <v>3520</v>
      </c>
      <c r="L38" t="s">
        <v>4051</v>
      </c>
      <c r="M38" t="s">
        <v>3468</v>
      </c>
    </row>
    <row r="39" spans="1:13" x14ac:dyDescent="0.25">
      <c r="A39" t="s">
        <v>5231</v>
      </c>
      <c r="B39" s="9" t="s">
        <v>5438</v>
      </c>
      <c r="C39" s="9" t="s">
        <v>5439</v>
      </c>
      <c r="D39" t="s">
        <v>4028</v>
      </c>
      <c r="E39" t="s">
        <v>187</v>
      </c>
      <c r="F39" t="s">
        <v>3468</v>
      </c>
      <c r="G39" t="s">
        <v>5440</v>
      </c>
      <c r="H39" t="s">
        <v>5244</v>
      </c>
      <c r="I39" t="s">
        <v>4091</v>
      </c>
      <c r="J39" t="s">
        <v>5231</v>
      </c>
      <c r="K39" t="s">
        <v>3533</v>
      </c>
      <c r="L39" t="s">
        <v>4051</v>
      </c>
      <c r="M39" t="s">
        <v>5441</v>
      </c>
    </row>
    <row r="40" spans="1:13" x14ac:dyDescent="0.25">
      <c r="A40" t="s">
        <v>5241</v>
      </c>
      <c r="B40" s="9" t="s">
        <v>5442</v>
      </c>
      <c r="C40" s="9" t="s">
        <v>5430</v>
      </c>
      <c r="D40" t="s">
        <v>5431</v>
      </c>
      <c r="E40" t="s">
        <v>187</v>
      </c>
      <c r="F40" t="s">
        <v>3468</v>
      </c>
      <c r="G40" t="s">
        <v>5432</v>
      </c>
      <c r="H40" t="s">
        <v>5244</v>
      </c>
      <c r="I40" t="s">
        <v>4091</v>
      </c>
      <c r="J40" t="s">
        <v>5241</v>
      </c>
      <c r="K40" t="s">
        <v>3520</v>
      </c>
      <c r="L40" t="s">
        <v>4051</v>
      </c>
      <c r="M40" t="s">
        <v>3468</v>
      </c>
    </row>
    <row r="41" spans="1:13" x14ac:dyDescent="0.25">
      <c r="A41" t="s">
        <v>5300</v>
      </c>
      <c r="B41" s="9" t="s">
        <v>5443</v>
      </c>
      <c r="C41" s="9" t="s">
        <v>5444</v>
      </c>
      <c r="D41" t="s">
        <v>4028</v>
      </c>
      <c r="E41" t="s">
        <v>187</v>
      </c>
      <c r="F41" t="s">
        <v>3468</v>
      </c>
      <c r="G41" t="s">
        <v>5303</v>
      </c>
      <c r="H41" t="s">
        <v>5244</v>
      </c>
      <c r="I41" t="s">
        <v>4091</v>
      </c>
      <c r="J41" t="s">
        <v>5304</v>
      </c>
      <c r="K41" t="s">
        <v>3533</v>
      </c>
      <c r="L41" t="s">
        <v>4051</v>
      </c>
      <c r="M41" t="s">
        <v>5445</v>
      </c>
    </row>
    <row r="42" spans="1:13" x14ac:dyDescent="0.25">
      <c r="A42" t="s">
        <v>5262</v>
      </c>
      <c r="B42" s="9" t="s">
        <v>5446</v>
      </c>
      <c r="C42" s="9" t="s">
        <v>5447</v>
      </c>
      <c r="D42" t="s">
        <v>4028</v>
      </c>
      <c r="E42" t="s">
        <v>187</v>
      </c>
      <c r="F42" t="s">
        <v>3468</v>
      </c>
      <c r="G42" t="s">
        <v>5230</v>
      </c>
      <c r="H42" t="s">
        <v>39</v>
      </c>
      <c r="I42" t="s">
        <v>4091</v>
      </c>
      <c r="J42" t="s">
        <v>5264</v>
      </c>
      <c r="K42" t="s">
        <v>3520</v>
      </c>
      <c r="L42" t="s">
        <v>187</v>
      </c>
      <c r="M42" t="s">
        <v>3468</v>
      </c>
    </row>
    <row r="43" spans="1:13" x14ac:dyDescent="0.25">
      <c r="A43" t="s">
        <v>5250</v>
      </c>
      <c r="B43" s="9" t="s">
        <v>5448</v>
      </c>
      <c r="C43" s="9" t="s">
        <v>5449</v>
      </c>
      <c r="D43" t="s">
        <v>4044</v>
      </c>
      <c r="E43" t="s">
        <v>4051</v>
      </c>
      <c r="F43" t="s">
        <v>3468</v>
      </c>
      <c r="G43" t="s">
        <v>4368</v>
      </c>
      <c r="H43" t="s">
        <v>5247</v>
      </c>
      <c r="I43" t="s">
        <v>4074</v>
      </c>
      <c r="J43" t="s">
        <v>5252</v>
      </c>
      <c r="K43" t="s">
        <v>3520</v>
      </c>
      <c r="L43" t="s">
        <v>4051</v>
      </c>
      <c r="M43" t="s">
        <v>5450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5451</v>
      </c>
      <c r="C1" t="s">
        <v>5452</v>
      </c>
      <c r="D1" t="s">
        <v>5453</v>
      </c>
      <c r="E1" t="s">
        <v>5132</v>
      </c>
    </row>
    <row r="2" spans="1:5" ht="15" customHeight="1" x14ac:dyDescent="0.25">
      <c r="A2" t="s">
        <v>5454</v>
      </c>
      <c r="B2" t="s">
        <v>5455</v>
      </c>
      <c r="E2" t="s">
        <v>5456</v>
      </c>
    </row>
    <row r="3" spans="1:5" ht="15" customHeight="1" x14ac:dyDescent="0.25">
      <c r="A3" t="s">
        <v>5457</v>
      </c>
      <c r="B3" t="s">
        <v>5458</v>
      </c>
      <c r="E3" t="s">
        <v>5459</v>
      </c>
    </row>
    <row r="4" spans="1:5" ht="15" customHeight="1" x14ac:dyDescent="0.25">
      <c r="A4" t="s">
        <v>5460</v>
      </c>
      <c r="B4" t="s">
        <v>3468</v>
      </c>
      <c r="E4" t="s">
        <v>5461</v>
      </c>
    </row>
    <row r="5" spans="1:5" ht="15" customHeight="1" x14ac:dyDescent="0.25">
      <c r="A5" t="s">
        <v>5462</v>
      </c>
      <c r="B5" t="s">
        <v>5463</v>
      </c>
      <c r="E5" t="s">
        <v>5464</v>
      </c>
    </row>
    <row r="6" spans="1:5" ht="15" customHeight="1" x14ac:dyDescent="0.25">
      <c r="A6" t="s">
        <v>4331</v>
      </c>
      <c r="B6" t="s">
        <v>5465</v>
      </c>
      <c r="E6" t="s">
        <v>5466</v>
      </c>
    </row>
    <row r="7" spans="1:5" ht="15" customHeight="1" x14ac:dyDescent="0.25">
      <c r="A7" t="s">
        <v>5325</v>
      </c>
      <c r="B7" t="s">
        <v>5467</v>
      </c>
      <c r="E7" t="s">
        <v>5468</v>
      </c>
    </row>
    <row r="8" spans="1:5" ht="15" customHeight="1" x14ac:dyDescent="0.25">
      <c r="A8" t="s">
        <v>5469</v>
      </c>
      <c r="B8" t="s">
        <v>5470</v>
      </c>
      <c r="C8" t="s">
        <v>5471</v>
      </c>
      <c r="D8" t="s">
        <v>5472</v>
      </c>
      <c r="E8" t="s">
        <v>5473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5474</v>
      </c>
      <c r="D1" t="s">
        <v>5475</v>
      </c>
    </row>
    <row r="2" spans="1:4" ht="15" customHeight="1" x14ac:dyDescent="0.25">
      <c r="A2" t="s">
        <v>5476</v>
      </c>
      <c r="B2" t="s">
        <v>5477</v>
      </c>
      <c r="C2" t="s">
        <v>39</v>
      </c>
      <c r="D2" t="s">
        <v>3468</v>
      </c>
    </row>
    <row r="3" spans="1:4" ht="15" customHeight="1" x14ac:dyDescent="0.25">
      <c r="A3" t="s">
        <v>5478</v>
      </c>
      <c r="B3" t="s">
        <v>5479</v>
      </c>
      <c r="C3" t="s">
        <v>5480</v>
      </c>
      <c r="D3" t="s">
        <v>3468</v>
      </c>
    </row>
    <row r="4" spans="1:4" ht="15" customHeight="1" x14ac:dyDescent="0.25">
      <c r="A4" t="s">
        <v>5481</v>
      </c>
      <c r="B4" t="s">
        <v>5482</v>
      </c>
      <c r="C4" t="s">
        <v>39</v>
      </c>
      <c r="D4" t="s">
        <v>3468</v>
      </c>
    </row>
    <row r="5" spans="1:4" ht="15" customHeight="1" x14ac:dyDescent="0.25">
      <c r="A5" t="s">
        <v>5483</v>
      </c>
      <c r="B5" t="s">
        <v>5484</v>
      </c>
      <c r="C5" t="s">
        <v>5480</v>
      </c>
      <c r="D5" t="s">
        <v>3468</v>
      </c>
    </row>
    <row r="6" spans="1:4" ht="15" customHeight="1" x14ac:dyDescent="0.25">
      <c r="A6" t="s">
        <v>5485</v>
      </c>
      <c r="B6" t="s">
        <v>5486</v>
      </c>
      <c r="C6" t="s">
        <v>5480</v>
      </c>
      <c r="D6" t="s">
        <v>3468</v>
      </c>
    </row>
    <row r="7" spans="1:4" ht="15" customHeight="1" x14ac:dyDescent="0.25">
      <c r="A7" t="s">
        <v>5487</v>
      </c>
      <c r="B7" t="s">
        <v>5488</v>
      </c>
      <c r="C7" t="s">
        <v>39</v>
      </c>
      <c r="D7" t="s">
        <v>3468</v>
      </c>
    </row>
    <row r="8" spans="1:4" ht="15" customHeight="1" x14ac:dyDescent="0.25">
      <c r="A8" t="s">
        <v>5489</v>
      </c>
      <c r="B8" t="s">
        <v>5490</v>
      </c>
      <c r="C8" t="s">
        <v>39</v>
      </c>
      <c r="D8" t="s">
        <v>3468</v>
      </c>
    </row>
    <row r="9" spans="1:4" ht="15" customHeight="1" x14ac:dyDescent="0.25">
      <c r="A9" t="s">
        <v>5491</v>
      </c>
      <c r="B9" t="s">
        <v>5492</v>
      </c>
      <c r="C9" t="s">
        <v>39</v>
      </c>
      <c r="D9" t="s">
        <v>3468</v>
      </c>
    </row>
    <row r="10" spans="1:4" ht="15" customHeight="1" x14ac:dyDescent="0.25">
      <c r="A10" t="s">
        <v>5493</v>
      </c>
      <c r="B10" t="s">
        <v>5494</v>
      </c>
      <c r="C10" t="s">
        <v>5495</v>
      </c>
      <c r="D10" t="s">
        <v>3468</v>
      </c>
    </row>
    <row r="11" spans="1:4" ht="15" customHeight="1" x14ac:dyDescent="0.25">
      <c r="A11" t="s">
        <v>5496</v>
      </c>
      <c r="B11" t="s">
        <v>5497</v>
      </c>
      <c r="C11" t="s">
        <v>4499</v>
      </c>
      <c r="D11" t="s">
        <v>3468</v>
      </c>
    </row>
    <row r="12" spans="1:4" ht="15" customHeight="1" x14ac:dyDescent="0.25">
      <c r="A12" t="s">
        <v>5498</v>
      </c>
      <c r="B12" t="s">
        <v>5499</v>
      </c>
      <c r="C12" t="s">
        <v>4499</v>
      </c>
      <c r="D12" t="s">
        <v>3468</v>
      </c>
    </row>
    <row r="13" spans="1:4" ht="15" customHeight="1" x14ac:dyDescent="0.25">
      <c r="A13" t="s">
        <v>5500</v>
      </c>
      <c r="B13" t="s">
        <v>5501</v>
      </c>
      <c r="C13" t="s">
        <v>5480</v>
      </c>
      <c r="D13" t="s">
        <v>3468</v>
      </c>
    </row>
    <row r="14" spans="1:4" ht="15" customHeight="1" x14ac:dyDescent="0.25">
      <c r="A14" t="s">
        <v>5502</v>
      </c>
      <c r="B14" t="s">
        <v>5503</v>
      </c>
      <c r="C14" t="s">
        <v>39</v>
      </c>
      <c r="D14" t="s">
        <v>3468</v>
      </c>
    </row>
    <row r="15" spans="1:4" ht="15" customHeight="1" x14ac:dyDescent="0.25">
      <c r="A15" t="s">
        <v>5504</v>
      </c>
      <c r="B15" t="s">
        <v>5505</v>
      </c>
      <c r="C15" t="s">
        <v>39</v>
      </c>
      <c r="D15" t="s">
        <v>3468</v>
      </c>
    </row>
    <row r="16" spans="1:4" ht="15" customHeight="1" x14ac:dyDescent="0.25">
      <c r="A16" t="s">
        <v>5506</v>
      </c>
      <c r="B16" t="s">
        <v>5507</v>
      </c>
      <c r="C16" t="s">
        <v>5495</v>
      </c>
      <c r="D16" t="s">
        <v>3468</v>
      </c>
    </row>
    <row r="17" spans="1:4" ht="15" customHeight="1" x14ac:dyDescent="0.25">
      <c r="A17" t="s">
        <v>5508</v>
      </c>
      <c r="B17" t="s">
        <v>5509</v>
      </c>
      <c r="C17" t="s">
        <v>39</v>
      </c>
      <c r="D17" t="s">
        <v>3468</v>
      </c>
    </row>
    <row r="18" spans="1:4" ht="15" customHeight="1" x14ac:dyDescent="0.25">
      <c r="A18" t="s">
        <v>5510</v>
      </c>
      <c r="B18" t="s">
        <v>5511</v>
      </c>
      <c r="C18" t="s">
        <v>5512</v>
      </c>
      <c r="D18" t="s">
        <v>3468</v>
      </c>
    </row>
    <row r="19" spans="1:4" ht="15" customHeight="1" x14ac:dyDescent="0.25">
      <c r="A19" t="s">
        <v>5513</v>
      </c>
      <c r="B19" t="s">
        <v>5514</v>
      </c>
      <c r="C19" t="s">
        <v>39</v>
      </c>
      <c r="D19" t="s">
        <v>3468</v>
      </c>
    </row>
    <row r="20" spans="1:4" ht="15" customHeight="1" x14ac:dyDescent="0.25">
      <c r="A20" t="s">
        <v>5515</v>
      </c>
      <c r="B20" t="s">
        <v>5516</v>
      </c>
      <c r="C20" t="s">
        <v>39</v>
      </c>
      <c r="D20" t="s">
        <v>3468</v>
      </c>
    </row>
    <row r="21" spans="1:4" ht="15" customHeight="1" x14ac:dyDescent="0.25">
      <c r="A21" t="s">
        <v>5517</v>
      </c>
      <c r="B21" t="s">
        <v>5518</v>
      </c>
      <c r="C21" t="s">
        <v>39</v>
      </c>
      <c r="D21" t="s">
        <v>5519</v>
      </c>
    </row>
    <row r="22" spans="1:4" ht="15" customHeight="1" x14ac:dyDescent="0.25">
      <c r="A22" t="s">
        <v>5520</v>
      </c>
      <c r="B22" t="s">
        <v>5521</v>
      </c>
      <c r="C22" t="s">
        <v>5522</v>
      </c>
      <c r="D22" t="s">
        <v>3468</v>
      </c>
    </row>
    <row r="23" spans="1:4" ht="15" customHeight="1" x14ac:dyDescent="0.25">
      <c r="A23" t="s">
        <v>5523</v>
      </c>
      <c r="B23" t="s">
        <v>5524</v>
      </c>
      <c r="C23" t="s">
        <v>5495</v>
      </c>
      <c r="D23" t="s">
        <v>3468</v>
      </c>
    </row>
    <row r="24" spans="1:4" ht="15" customHeight="1" x14ac:dyDescent="0.25">
      <c r="A24" t="s">
        <v>5525</v>
      </c>
      <c r="B24" t="s">
        <v>5526</v>
      </c>
      <c r="C24" t="s">
        <v>5495</v>
      </c>
      <c r="D24" t="s">
        <v>5527</v>
      </c>
    </row>
    <row r="25" spans="1:4" ht="15" customHeight="1" x14ac:dyDescent="0.25">
      <c r="A25" t="s">
        <v>5528</v>
      </c>
      <c r="B25" t="s">
        <v>5529</v>
      </c>
      <c r="C25" t="s">
        <v>5512</v>
      </c>
      <c r="D25" t="s">
        <v>3468</v>
      </c>
    </row>
    <row r="26" spans="1:4" ht="15" customHeight="1" x14ac:dyDescent="0.25">
      <c r="A26" t="s">
        <v>5530</v>
      </c>
      <c r="B26" t="s">
        <v>5531</v>
      </c>
      <c r="C26" t="s">
        <v>5480</v>
      </c>
      <c r="D26" t="s">
        <v>3468</v>
      </c>
    </row>
    <row r="27" spans="1:4" ht="15" customHeight="1" x14ac:dyDescent="0.25">
      <c r="A27" t="s">
        <v>5532</v>
      </c>
      <c r="B27" t="s">
        <v>5533</v>
      </c>
      <c r="C27" t="s">
        <v>5495</v>
      </c>
      <c r="D27" t="s">
        <v>3468</v>
      </c>
    </row>
    <row r="28" spans="1:4" ht="15" customHeight="1" x14ac:dyDescent="0.25">
      <c r="A28" t="s">
        <v>5534</v>
      </c>
      <c r="B28" t="s">
        <v>5535</v>
      </c>
      <c r="C28" t="s">
        <v>5495</v>
      </c>
      <c r="D28" t="s">
        <v>3468</v>
      </c>
    </row>
    <row r="29" spans="1:4" ht="15" customHeight="1" x14ac:dyDescent="0.25">
      <c r="A29" t="s">
        <v>5536</v>
      </c>
      <c r="B29" t="s">
        <v>5537</v>
      </c>
      <c r="C29" t="s">
        <v>5538</v>
      </c>
      <c r="D29" t="s">
        <v>3468</v>
      </c>
    </row>
    <row r="30" spans="1:4" ht="15" customHeight="1" x14ac:dyDescent="0.25">
      <c r="A30" t="s">
        <v>5539</v>
      </c>
      <c r="B30" t="s">
        <v>5540</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5541</v>
      </c>
      <c r="F1" t="s">
        <v>5542</v>
      </c>
      <c r="G1" t="s">
        <v>5475</v>
      </c>
      <c r="H1" t="s">
        <v>5543</v>
      </c>
      <c r="I1" t="s">
        <v>5544</v>
      </c>
      <c r="J1" t="s">
        <v>5545</v>
      </c>
      <c r="K1" t="s">
        <v>5546</v>
      </c>
      <c r="L1" t="s">
        <v>5547</v>
      </c>
      <c r="M1" t="s">
        <v>5548</v>
      </c>
    </row>
    <row r="2" spans="1:13" ht="15" customHeight="1" x14ac:dyDescent="0.25">
      <c r="A2" t="s">
        <v>5481</v>
      </c>
      <c r="B2" t="s">
        <v>5482</v>
      </c>
      <c r="C2" t="s">
        <v>5549</v>
      </c>
      <c r="D2" t="s">
        <v>5550</v>
      </c>
      <c r="E2" t="s">
        <v>4051</v>
      </c>
      <c r="F2" t="s">
        <v>39</v>
      </c>
      <c r="G2" t="s">
        <v>3468</v>
      </c>
      <c r="H2" t="s">
        <v>5551</v>
      </c>
      <c r="I2" t="s">
        <v>5552</v>
      </c>
      <c r="J2" t="s">
        <v>5553</v>
      </c>
    </row>
    <row r="3" spans="1:13" ht="15" customHeight="1" x14ac:dyDescent="0.25">
      <c r="A3" t="s">
        <v>5487</v>
      </c>
      <c r="B3" t="s">
        <v>5488</v>
      </c>
      <c r="C3" t="s">
        <v>5488</v>
      </c>
      <c r="D3" t="s">
        <v>5488</v>
      </c>
      <c r="E3" t="s">
        <v>4051</v>
      </c>
      <c r="F3" t="s">
        <v>39</v>
      </c>
      <c r="G3" t="s">
        <v>3468</v>
      </c>
      <c r="H3" t="s">
        <v>5554</v>
      </c>
      <c r="I3" t="s">
        <v>5555</v>
      </c>
    </row>
    <row r="4" spans="1:13" ht="15" customHeight="1" x14ac:dyDescent="0.25">
      <c r="A4" t="s">
        <v>5556</v>
      </c>
      <c r="B4" s="9" t="s">
        <v>5557</v>
      </c>
      <c r="C4" s="9" t="s">
        <v>5557</v>
      </c>
      <c r="D4" s="9" t="s">
        <v>5557</v>
      </c>
      <c r="E4" t="s">
        <v>187</v>
      </c>
      <c r="F4" t="s">
        <v>39</v>
      </c>
      <c r="G4" t="s">
        <v>3468</v>
      </c>
      <c r="H4" t="s">
        <v>5558</v>
      </c>
      <c r="I4" t="s">
        <v>5559</v>
      </c>
    </row>
    <row r="5" spans="1:13" ht="15" customHeight="1" x14ac:dyDescent="0.25">
      <c r="A5" t="s">
        <v>5560</v>
      </c>
      <c r="B5" t="s">
        <v>5561</v>
      </c>
      <c r="C5" t="s">
        <v>5561</v>
      </c>
      <c r="D5" t="s">
        <v>5561</v>
      </c>
      <c r="E5" t="s">
        <v>4051</v>
      </c>
      <c r="F5" t="s">
        <v>5495</v>
      </c>
      <c r="G5" t="s">
        <v>3468</v>
      </c>
      <c r="H5" t="s">
        <v>5562</v>
      </c>
      <c r="I5" t="s">
        <v>5555</v>
      </c>
    </row>
    <row r="6" spans="1:13" ht="15" customHeight="1" x14ac:dyDescent="0.25">
      <c r="A6" t="s">
        <v>5493</v>
      </c>
      <c r="B6" t="s">
        <v>5494</v>
      </c>
      <c r="C6" t="s">
        <v>5563</v>
      </c>
      <c r="D6" t="s">
        <v>5494</v>
      </c>
      <c r="E6" t="s">
        <v>4051</v>
      </c>
      <c r="F6" t="s">
        <v>5495</v>
      </c>
      <c r="G6" t="s">
        <v>3468</v>
      </c>
      <c r="H6" t="s">
        <v>5564</v>
      </c>
      <c r="I6" t="s">
        <v>5555</v>
      </c>
      <c r="K6" t="s">
        <v>5565</v>
      </c>
      <c r="L6" t="s">
        <v>5566</v>
      </c>
    </row>
    <row r="7" spans="1:13" ht="15" customHeight="1" x14ac:dyDescent="0.25">
      <c r="A7" t="s">
        <v>5567</v>
      </c>
      <c r="B7" t="s">
        <v>5568</v>
      </c>
      <c r="C7" t="s">
        <v>5569</v>
      </c>
      <c r="D7" t="s">
        <v>5568</v>
      </c>
      <c r="E7" t="s">
        <v>4051</v>
      </c>
      <c r="F7" t="s">
        <v>5495</v>
      </c>
      <c r="G7" t="s">
        <v>3468</v>
      </c>
      <c r="H7" t="s">
        <v>5570</v>
      </c>
      <c r="I7" t="s">
        <v>5555</v>
      </c>
      <c r="K7" t="s">
        <v>5571</v>
      </c>
      <c r="L7" t="s">
        <v>5572</v>
      </c>
    </row>
    <row r="8" spans="1:13" ht="15" customHeight="1" x14ac:dyDescent="0.25">
      <c r="A8" t="s">
        <v>5496</v>
      </c>
      <c r="B8" t="s">
        <v>5573</v>
      </c>
      <c r="C8" t="s">
        <v>5574</v>
      </c>
      <c r="D8" t="s">
        <v>5574</v>
      </c>
      <c r="E8" t="s">
        <v>4051</v>
      </c>
      <c r="F8" t="s">
        <v>4499</v>
      </c>
      <c r="G8" t="s">
        <v>3468</v>
      </c>
      <c r="H8" t="s">
        <v>5575</v>
      </c>
      <c r="I8" t="s">
        <v>5576</v>
      </c>
      <c r="J8" t="s">
        <v>5575</v>
      </c>
    </row>
    <row r="9" spans="1:13" ht="15" customHeight="1" x14ac:dyDescent="0.25">
      <c r="A9" t="s">
        <v>5498</v>
      </c>
      <c r="B9" t="s">
        <v>5499</v>
      </c>
      <c r="C9" t="s">
        <v>5499</v>
      </c>
      <c r="D9" t="s">
        <v>5499</v>
      </c>
      <c r="E9" t="s">
        <v>4051</v>
      </c>
      <c r="F9" t="s">
        <v>39</v>
      </c>
      <c r="G9" t="s">
        <v>3468</v>
      </c>
      <c r="H9" t="s">
        <v>5577</v>
      </c>
      <c r="I9" t="s">
        <v>5578</v>
      </c>
      <c r="J9" t="s">
        <v>3883</v>
      </c>
    </row>
    <row r="10" spans="1:13" ht="15" customHeight="1" x14ac:dyDescent="0.25">
      <c r="A10" t="s">
        <v>5502</v>
      </c>
      <c r="B10" t="s">
        <v>5503</v>
      </c>
      <c r="C10" t="s">
        <v>5579</v>
      </c>
      <c r="D10" t="s">
        <v>5579</v>
      </c>
      <c r="E10" t="s">
        <v>4051</v>
      </c>
      <c r="F10" t="s">
        <v>39</v>
      </c>
      <c r="G10" t="s">
        <v>3468</v>
      </c>
      <c r="H10" t="s">
        <v>5580</v>
      </c>
      <c r="I10" t="s">
        <v>5576</v>
      </c>
      <c r="J10" t="s">
        <v>5580</v>
      </c>
    </row>
    <row r="11" spans="1:13" ht="15" customHeight="1" x14ac:dyDescent="0.25">
      <c r="A11" t="s">
        <v>5581</v>
      </c>
      <c r="B11" t="s">
        <v>5505</v>
      </c>
      <c r="C11" t="s">
        <v>5582</v>
      </c>
      <c r="D11" t="s">
        <v>5505</v>
      </c>
      <c r="E11" t="s">
        <v>187</v>
      </c>
      <c r="F11" t="s">
        <v>39</v>
      </c>
      <c r="G11" t="s">
        <v>3468</v>
      </c>
      <c r="H11" t="s">
        <v>5583</v>
      </c>
      <c r="I11" t="s">
        <v>5559</v>
      </c>
    </row>
    <row r="12" spans="1:13" ht="15" customHeight="1" x14ac:dyDescent="0.25">
      <c r="A12" t="s">
        <v>5506</v>
      </c>
      <c r="B12" t="s">
        <v>5507</v>
      </c>
      <c r="C12" t="s">
        <v>5584</v>
      </c>
      <c r="D12" t="s">
        <v>5507</v>
      </c>
      <c r="E12" t="s">
        <v>4051</v>
      </c>
      <c r="F12" t="s">
        <v>5495</v>
      </c>
      <c r="G12" t="s">
        <v>3468</v>
      </c>
      <c r="H12" t="s">
        <v>5585</v>
      </c>
      <c r="I12" t="s">
        <v>5555</v>
      </c>
      <c r="K12" t="s">
        <v>5586</v>
      </c>
      <c r="L12" t="s">
        <v>5587</v>
      </c>
    </row>
    <row r="13" spans="1:13" ht="15" customHeight="1" x14ac:dyDescent="0.25">
      <c r="A13" t="s">
        <v>5508</v>
      </c>
      <c r="B13" t="s">
        <v>5509</v>
      </c>
      <c r="C13" t="s">
        <v>5509</v>
      </c>
      <c r="D13" t="s">
        <v>5509</v>
      </c>
      <c r="E13" t="s">
        <v>4051</v>
      </c>
      <c r="F13" t="s">
        <v>39</v>
      </c>
      <c r="G13" t="s">
        <v>3468</v>
      </c>
      <c r="H13" t="s">
        <v>5588</v>
      </c>
      <c r="I13" t="s">
        <v>5576</v>
      </c>
      <c r="J13" t="s">
        <v>5588</v>
      </c>
    </row>
    <row r="14" spans="1:13" ht="15" customHeight="1" x14ac:dyDescent="0.25">
      <c r="A14" t="s">
        <v>5513</v>
      </c>
      <c r="B14" t="s">
        <v>5589</v>
      </c>
      <c r="C14" t="s">
        <v>5590</v>
      </c>
      <c r="D14" t="s">
        <v>5590</v>
      </c>
      <c r="E14" t="s">
        <v>4051</v>
      </c>
      <c r="F14" t="s">
        <v>39</v>
      </c>
      <c r="G14" t="s">
        <v>3468</v>
      </c>
      <c r="H14" t="s">
        <v>5591</v>
      </c>
      <c r="I14" t="s">
        <v>5555</v>
      </c>
    </row>
    <row r="15" spans="1:13" ht="15" customHeight="1" x14ac:dyDescent="0.25">
      <c r="A15" t="s">
        <v>5592</v>
      </c>
      <c r="B15" t="s">
        <v>5593</v>
      </c>
      <c r="C15" t="s">
        <v>5593</v>
      </c>
      <c r="D15" t="s">
        <v>5593</v>
      </c>
      <c r="E15" t="s">
        <v>4051</v>
      </c>
      <c r="F15" t="s">
        <v>5594</v>
      </c>
      <c r="G15" t="s">
        <v>3468</v>
      </c>
      <c r="H15" t="s">
        <v>5595</v>
      </c>
      <c r="I15" t="s">
        <v>5595</v>
      </c>
    </row>
    <row r="16" spans="1:13" ht="15" customHeight="1" x14ac:dyDescent="0.25">
      <c r="A16" t="s">
        <v>5596</v>
      </c>
      <c r="B16" t="s">
        <v>5597</v>
      </c>
      <c r="C16" t="s">
        <v>5597</v>
      </c>
      <c r="D16" t="s">
        <v>5597</v>
      </c>
      <c r="E16" t="s">
        <v>187</v>
      </c>
      <c r="F16" t="s">
        <v>5594</v>
      </c>
      <c r="G16" t="s">
        <v>3468</v>
      </c>
      <c r="H16" t="s">
        <v>5598</v>
      </c>
      <c r="I16" t="s">
        <v>5598</v>
      </c>
    </row>
    <row r="17" spans="1:12" ht="15" customHeight="1" x14ac:dyDescent="0.25">
      <c r="A17" t="s">
        <v>5520</v>
      </c>
      <c r="B17" t="s">
        <v>5521</v>
      </c>
      <c r="C17" t="s">
        <v>5599</v>
      </c>
      <c r="D17" t="s">
        <v>5599</v>
      </c>
      <c r="E17" t="s">
        <v>4051</v>
      </c>
      <c r="F17" t="s">
        <v>39</v>
      </c>
      <c r="G17" t="s">
        <v>3468</v>
      </c>
      <c r="H17" t="s">
        <v>5600</v>
      </c>
      <c r="I17" t="s">
        <v>5555</v>
      </c>
    </row>
    <row r="18" spans="1:12" ht="15" customHeight="1" x14ac:dyDescent="0.25">
      <c r="A18" t="s">
        <v>5601</v>
      </c>
      <c r="B18" t="s">
        <v>5602</v>
      </c>
      <c r="C18" t="s">
        <v>5602</v>
      </c>
      <c r="D18" t="s">
        <v>5603</v>
      </c>
      <c r="E18" t="s">
        <v>187</v>
      </c>
      <c r="F18" t="s">
        <v>5495</v>
      </c>
      <c r="G18" t="s">
        <v>3468</v>
      </c>
      <c r="H18" t="s">
        <v>5604</v>
      </c>
      <c r="I18" t="s">
        <v>5605</v>
      </c>
    </row>
    <row r="19" spans="1:12" ht="15" customHeight="1" x14ac:dyDescent="0.25">
      <c r="A19" t="s">
        <v>5523</v>
      </c>
      <c r="B19" t="s">
        <v>5524</v>
      </c>
      <c r="C19" t="s">
        <v>5606</v>
      </c>
      <c r="D19" t="s">
        <v>5524</v>
      </c>
      <c r="E19" t="s">
        <v>4051</v>
      </c>
      <c r="F19" t="s">
        <v>5495</v>
      </c>
      <c r="G19" t="s">
        <v>3468</v>
      </c>
      <c r="H19" t="s">
        <v>5607</v>
      </c>
      <c r="I19" t="s">
        <v>5555</v>
      </c>
    </row>
    <row r="20" spans="1:12" ht="15" customHeight="1" x14ac:dyDescent="0.25">
      <c r="A20" t="s">
        <v>5532</v>
      </c>
      <c r="B20" t="s">
        <v>5608</v>
      </c>
      <c r="C20" t="s">
        <v>5609</v>
      </c>
      <c r="D20" t="s">
        <v>5608</v>
      </c>
      <c r="E20" t="s">
        <v>4051</v>
      </c>
      <c r="F20" t="s">
        <v>5495</v>
      </c>
      <c r="G20" t="s">
        <v>3468</v>
      </c>
      <c r="H20" t="s">
        <v>5610</v>
      </c>
      <c r="I20" t="s">
        <v>5555</v>
      </c>
    </row>
    <row r="21" spans="1:12" ht="15" customHeight="1" x14ac:dyDescent="0.25">
      <c r="A21" t="s">
        <v>5534</v>
      </c>
      <c r="B21" t="s">
        <v>5611</v>
      </c>
      <c r="C21" t="s">
        <v>5563</v>
      </c>
      <c r="D21" t="s">
        <v>5611</v>
      </c>
      <c r="E21" t="s">
        <v>4051</v>
      </c>
      <c r="F21" t="s">
        <v>5495</v>
      </c>
      <c r="G21" t="s">
        <v>3468</v>
      </c>
      <c r="H21" t="s">
        <v>5612</v>
      </c>
      <c r="I21" t="s">
        <v>5555</v>
      </c>
      <c r="K21" t="s">
        <v>5613</v>
      </c>
      <c r="L21" t="s">
        <v>5566</v>
      </c>
    </row>
    <row r="22" spans="1:12" ht="15" customHeight="1" x14ac:dyDescent="0.25">
      <c r="A22" t="s">
        <v>5536</v>
      </c>
      <c r="B22" t="s">
        <v>5614</v>
      </c>
      <c r="C22" t="s">
        <v>5614</v>
      </c>
      <c r="D22" t="s">
        <v>5614</v>
      </c>
      <c r="E22" t="s">
        <v>4051</v>
      </c>
      <c r="F22" t="s">
        <v>4499</v>
      </c>
      <c r="G22" t="s">
        <v>3468</v>
      </c>
      <c r="H22" t="s">
        <v>5615</v>
      </c>
      <c r="I22" t="s">
        <v>5616</v>
      </c>
    </row>
    <row r="23" spans="1:12" ht="15" customHeight="1" x14ac:dyDescent="0.25">
      <c r="A23" t="s">
        <v>5539</v>
      </c>
      <c r="B23" t="s">
        <v>5540</v>
      </c>
      <c r="C23" t="s">
        <v>5540</v>
      </c>
      <c r="D23" t="s">
        <v>5540</v>
      </c>
      <c r="E23" t="s">
        <v>4051</v>
      </c>
      <c r="F23" t="s">
        <v>39</v>
      </c>
      <c r="G23" t="s">
        <v>3468</v>
      </c>
      <c r="H23" t="s">
        <v>5617</v>
      </c>
      <c r="I23" t="s">
        <v>5578</v>
      </c>
      <c r="J23" t="s">
        <v>5618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5619</v>
      </c>
      <c r="D1" t="s">
        <v>5620</v>
      </c>
      <c r="E1" t="s">
        <v>5621</v>
      </c>
      <c r="F1" t="s">
        <v>5622</v>
      </c>
      <c r="G1" t="s">
        <v>5623</v>
      </c>
      <c r="H1" t="s">
        <v>5624</v>
      </c>
      <c r="I1" t="s">
        <v>5625</v>
      </c>
      <c r="J1" t="s">
        <v>5626</v>
      </c>
      <c r="K1" t="s">
        <v>3515</v>
      </c>
      <c r="L1" t="s">
        <v>4069</v>
      </c>
      <c r="M1" t="s">
        <v>171</v>
      </c>
    </row>
    <row r="2" spans="1:13" ht="15" customHeight="1" x14ac:dyDescent="0.25">
      <c r="A2" t="s">
        <v>5627</v>
      </c>
      <c r="B2" t="s">
        <v>3533</v>
      </c>
      <c r="C2" t="s">
        <v>5628</v>
      </c>
      <c r="D2" t="s">
        <v>101</v>
      </c>
      <c r="E2" t="s">
        <v>5628</v>
      </c>
      <c r="F2" t="s">
        <v>101</v>
      </c>
      <c r="G2" t="s">
        <v>5628</v>
      </c>
      <c r="H2" t="s">
        <v>101</v>
      </c>
      <c r="I2" t="s">
        <v>5628</v>
      </c>
      <c r="J2" t="s">
        <v>101</v>
      </c>
      <c r="K2" t="s">
        <v>2155</v>
      </c>
      <c r="L2" t="s">
        <v>4104</v>
      </c>
    </row>
    <row r="3" spans="1:13" ht="15" customHeight="1" x14ac:dyDescent="0.25">
      <c r="A3" t="s">
        <v>4073</v>
      </c>
      <c r="B3" t="s">
        <v>3533</v>
      </c>
      <c r="C3" t="s">
        <v>5629</v>
      </c>
      <c r="D3" t="s">
        <v>5630</v>
      </c>
      <c r="E3" t="s">
        <v>5631</v>
      </c>
      <c r="F3" t="s">
        <v>5632</v>
      </c>
      <c r="G3" t="s">
        <v>5633</v>
      </c>
      <c r="H3" t="s">
        <v>5634</v>
      </c>
      <c r="I3" t="s">
        <v>5635</v>
      </c>
      <c r="J3" t="s">
        <v>5636</v>
      </c>
      <c r="K3" t="s">
        <v>2155</v>
      </c>
      <c r="L3" t="s">
        <v>4074</v>
      </c>
    </row>
    <row r="4" spans="1:13" ht="15" customHeight="1" x14ac:dyDescent="0.25">
      <c r="A4" t="s">
        <v>4079</v>
      </c>
      <c r="B4" t="s">
        <v>3533</v>
      </c>
      <c r="C4" t="s">
        <v>5637</v>
      </c>
      <c r="D4" t="s">
        <v>5638</v>
      </c>
      <c r="E4" t="s">
        <v>5639</v>
      </c>
      <c r="F4" t="s">
        <v>5640</v>
      </c>
      <c r="G4" t="s">
        <v>5641</v>
      </c>
      <c r="H4" t="s">
        <v>5642</v>
      </c>
      <c r="I4" t="s">
        <v>5643</v>
      </c>
      <c r="J4" t="s">
        <v>5644</v>
      </c>
      <c r="K4" t="s">
        <v>1285</v>
      </c>
      <c r="L4" t="s">
        <v>4074</v>
      </c>
      <c r="M4" t="s">
        <v>4082</v>
      </c>
    </row>
    <row r="5" spans="1:13" ht="15" customHeight="1" x14ac:dyDescent="0.25">
      <c r="A5" t="s">
        <v>5645</v>
      </c>
      <c r="B5" t="s">
        <v>3533</v>
      </c>
      <c r="C5" t="s">
        <v>5646</v>
      </c>
      <c r="D5" t="s">
        <v>5647</v>
      </c>
      <c r="E5" t="s">
        <v>5648</v>
      </c>
      <c r="F5" t="s">
        <v>5649</v>
      </c>
      <c r="G5" t="s">
        <v>5650</v>
      </c>
      <c r="H5" t="s">
        <v>5651</v>
      </c>
      <c r="I5" t="s">
        <v>5652</v>
      </c>
      <c r="J5" t="s">
        <v>5653</v>
      </c>
      <c r="K5" t="s">
        <v>1726</v>
      </c>
      <c r="L5" t="s">
        <v>4091</v>
      </c>
    </row>
    <row r="6" spans="1:13" ht="15" customHeight="1" x14ac:dyDescent="0.25">
      <c r="A6" t="s">
        <v>4085</v>
      </c>
      <c r="B6" t="s">
        <v>41</v>
      </c>
      <c r="C6" t="s">
        <v>5654</v>
      </c>
      <c r="D6" t="s">
        <v>5655</v>
      </c>
      <c r="E6" t="s">
        <v>5656</v>
      </c>
      <c r="F6" t="s">
        <v>5657</v>
      </c>
      <c r="G6" t="s">
        <v>5658</v>
      </c>
      <c r="H6" t="s">
        <v>5659</v>
      </c>
      <c r="I6" t="s">
        <v>5660</v>
      </c>
      <c r="J6" t="s">
        <v>5661</v>
      </c>
      <c r="K6" t="s">
        <v>2155</v>
      </c>
      <c r="L6" t="s">
        <v>4074</v>
      </c>
    </row>
    <row r="7" spans="1:13" ht="15" customHeight="1" x14ac:dyDescent="0.25">
      <c r="A7" t="s">
        <v>5662</v>
      </c>
      <c r="B7" t="s">
        <v>41</v>
      </c>
      <c r="C7" t="s">
        <v>5663</v>
      </c>
      <c r="D7" t="s">
        <v>5664</v>
      </c>
      <c r="E7" t="s">
        <v>5665</v>
      </c>
      <c r="F7" t="s">
        <v>5666</v>
      </c>
      <c r="G7" t="s">
        <v>5667</v>
      </c>
      <c r="H7" t="s">
        <v>5668</v>
      </c>
      <c r="I7" t="s">
        <v>5669</v>
      </c>
      <c r="J7" t="s">
        <v>5670</v>
      </c>
      <c r="K7" t="s">
        <v>2155</v>
      </c>
      <c r="L7" t="s">
        <v>4091</v>
      </c>
      <c r="M7" t="s">
        <v>5671</v>
      </c>
    </row>
    <row r="8" spans="1:13" ht="15" customHeight="1" x14ac:dyDescent="0.25">
      <c r="A8" t="s">
        <v>4110</v>
      </c>
      <c r="B8" t="s">
        <v>3533</v>
      </c>
      <c r="C8" t="s">
        <v>5672</v>
      </c>
      <c r="D8" t="s">
        <v>5673</v>
      </c>
      <c r="E8" t="s">
        <v>5674</v>
      </c>
      <c r="F8" t="s">
        <v>5675</v>
      </c>
      <c r="G8" t="s">
        <v>5676</v>
      </c>
      <c r="H8" t="s">
        <v>5677</v>
      </c>
      <c r="I8" t="s">
        <v>5678</v>
      </c>
      <c r="J8" t="s">
        <v>5679</v>
      </c>
      <c r="K8" t="s">
        <v>1285</v>
      </c>
      <c r="L8" t="s">
        <v>4074</v>
      </c>
    </row>
    <row r="9" spans="1:13" ht="15" customHeight="1" x14ac:dyDescent="0.25">
      <c r="A9" t="s">
        <v>4090</v>
      </c>
      <c r="B9" t="s">
        <v>41</v>
      </c>
      <c r="C9" t="s">
        <v>5680</v>
      </c>
      <c r="D9" t="s">
        <v>5681</v>
      </c>
      <c r="E9" t="s">
        <v>5682</v>
      </c>
      <c r="F9" t="s">
        <v>5683</v>
      </c>
      <c r="G9" t="s">
        <v>5684</v>
      </c>
      <c r="H9" t="s">
        <v>5685</v>
      </c>
      <c r="I9" t="s">
        <v>5686</v>
      </c>
      <c r="J9" t="s">
        <v>5687</v>
      </c>
      <c r="K9" t="s">
        <v>2155</v>
      </c>
      <c r="L9" t="s">
        <v>4091</v>
      </c>
      <c r="M9" t="s">
        <v>4094</v>
      </c>
    </row>
    <row r="10" spans="1:13" ht="15" customHeight="1" x14ac:dyDescent="0.25">
      <c r="A10" t="s">
        <v>4098</v>
      </c>
      <c r="B10" t="s">
        <v>3533</v>
      </c>
      <c r="C10" t="s">
        <v>5688</v>
      </c>
      <c r="D10" t="s">
        <v>5689</v>
      </c>
      <c r="E10" t="s">
        <v>5690</v>
      </c>
      <c r="F10" t="s">
        <v>5691</v>
      </c>
      <c r="G10" t="s">
        <v>5692</v>
      </c>
      <c r="H10" t="s">
        <v>4100</v>
      </c>
      <c r="I10" t="s">
        <v>5693</v>
      </c>
      <c r="J10" t="s">
        <v>5694</v>
      </c>
      <c r="K10" t="s">
        <v>2155</v>
      </c>
      <c r="L10" t="s">
        <v>4091</v>
      </c>
    </row>
    <row r="11" spans="1:13" ht="15" customHeight="1" x14ac:dyDescent="0.25">
      <c r="A11" t="s">
        <v>5695</v>
      </c>
      <c r="B11" t="s">
        <v>3533</v>
      </c>
      <c r="C11" t="s">
        <v>5696</v>
      </c>
      <c r="D11" t="s">
        <v>5697</v>
      </c>
      <c r="E11" t="s">
        <v>5698</v>
      </c>
      <c r="F11" t="s">
        <v>5699</v>
      </c>
      <c r="G11" t="s">
        <v>5700</v>
      </c>
      <c r="H11" t="s">
        <v>5701</v>
      </c>
      <c r="I11" t="s">
        <v>5702</v>
      </c>
      <c r="J11" t="s">
        <v>5703</v>
      </c>
      <c r="K11" t="s">
        <v>2155</v>
      </c>
      <c r="L11" t="s">
        <v>4074</v>
      </c>
    </row>
    <row r="12" spans="1:13" ht="15" customHeight="1" x14ac:dyDescent="0.25">
      <c r="A12" t="s">
        <v>5704</v>
      </c>
      <c r="B12" t="s">
        <v>41</v>
      </c>
      <c r="C12" t="s">
        <v>5705</v>
      </c>
      <c r="D12" t="s">
        <v>5706</v>
      </c>
      <c r="E12" t="s">
        <v>5707</v>
      </c>
      <c r="F12" t="s">
        <v>5708</v>
      </c>
      <c r="G12" t="s">
        <v>5709</v>
      </c>
      <c r="H12" t="s">
        <v>5710</v>
      </c>
      <c r="I12" t="s">
        <v>5711</v>
      </c>
      <c r="J12" t="s">
        <v>5712</v>
      </c>
      <c r="K12" t="s">
        <v>2155</v>
      </c>
      <c r="L12" t="s">
        <v>4104</v>
      </c>
      <c r="M12" t="s">
        <v>4107</v>
      </c>
    </row>
    <row r="13" spans="1:13" ht="15" customHeight="1" x14ac:dyDescent="0.25">
      <c r="A13" t="s">
        <v>5713</v>
      </c>
      <c r="B13" t="s">
        <v>3520</v>
      </c>
      <c r="C13" t="s">
        <v>5714</v>
      </c>
      <c r="D13" t="s">
        <v>5715</v>
      </c>
      <c r="E13" t="s">
        <v>5716</v>
      </c>
      <c r="F13" t="s">
        <v>5717</v>
      </c>
      <c r="G13" t="s">
        <v>5718</v>
      </c>
      <c r="H13" t="s">
        <v>5719</v>
      </c>
      <c r="I13" t="s">
        <v>5720</v>
      </c>
      <c r="J13" t="s">
        <v>5721</v>
      </c>
      <c r="K13" t="s">
        <v>2155</v>
      </c>
      <c r="L13" t="s">
        <v>4091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4227</v>
      </c>
      <c r="B2" t="s">
        <v>41</v>
      </c>
      <c r="C2" t="s">
        <v>5722</v>
      </c>
      <c r="D2" t="s">
        <v>90</v>
      </c>
      <c r="E2" t="s">
        <v>4232</v>
      </c>
    </row>
    <row r="3" spans="1:5" ht="15" customHeight="1" x14ac:dyDescent="0.25">
      <c r="A3" t="s">
        <v>4233</v>
      </c>
      <c r="B3" t="s">
        <v>41</v>
      </c>
      <c r="C3" t="s">
        <v>5723</v>
      </c>
      <c r="D3" t="s">
        <v>90</v>
      </c>
      <c r="E3" t="s">
        <v>4236</v>
      </c>
    </row>
    <row r="4" spans="1:5" ht="15" customHeight="1" x14ac:dyDescent="0.25">
      <c r="A4" t="s">
        <v>5724</v>
      </c>
      <c r="B4" t="s">
        <v>41</v>
      </c>
      <c r="C4" t="s">
        <v>5725</v>
      </c>
      <c r="D4" t="s">
        <v>90</v>
      </c>
      <c r="E4" t="s">
        <v>5726</v>
      </c>
    </row>
    <row r="5" spans="1:5" ht="15" customHeight="1" x14ac:dyDescent="0.25">
      <c r="A5" t="s">
        <v>5727</v>
      </c>
      <c r="B5" t="s">
        <v>41</v>
      </c>
      <c r="C5" t="s">
        <v>5728</v>
      </c>
      <c r="D5" t="s">
        <v>90</v>
      </c>
      <c r="E5" t="s">
        <v>5729</v>
      </c>
    </row>
    <row r="6" spans="1:5" ht="15" customHeight="1" x14ac:dyDescent="0.25">
      <c r="A6" t="s">
        <v>5730</v>
      </c>
      <c r="B6" t="s">
        <v>41</v>
      </c>
      <c r="C6" t="s">
        <v>5731</v>
      </c>
      <c r="D6" t="s">
        <v>90</v>
      </c>
      <c r="E6" t="s">
        <v>5732</v>
      </c>
    </row>
    <row r="7" spans="1:5" ht="15" customHeight="1" x14ac:dyDescent="0.25">
      <c r="A7" t="s">
        <v>4237</v>
      </c>
      <c r="B7" t="s">
        <v>41</v>
      </c>
      <c r="C7" t="s">
        <v>5733</v>
      </c>
      <c r="D7" t="s">
        <v>90</v>
      </c>
      <c r="E7" t="s">
        <v>4242</v>
      </c>
    </row>
    <row r="8" spans="1:5" ht="15" customHeight="1" x14ac:dyDescent="0.25">
      <c r="A8" t="s">
        <v>4243</v>
      </c>
      <c r="B8" t="s">
        <v>41</v>
      </c>
      <c r="C8" t="s">
        <v>5734</v>
      </c>
      <c r="D8" t="s">
        <v>90</v>
      </c>
      <c r="E8" t="s">
        <v>4248</v>
      </c>
    </row>
    <row r="9" spans="1:5" ht="15" customHeight="1" x14ac:dyDescent="0.25">
      <c r="A9" t="s">
        <v>4249</v>
      </c>
      <c r="B9" t="s">
        <v>3520</v>
      </c>
      <c r="C9" t="s">
        <v>5735</v>
      </c>
      <c r="D9" t="s">
        <v>90</v>
      </c>
      <c r="E9" t="s">
        <v>4252</v>
      </c>
    </row>
    <row r="10" spans="1:5" ht="15" customHeight="1" x14ac:dyDescent="0.25">
      <c r="A10" t="s">
        <v>4253</v>
      </c>
      <c r="B10" t="s">
        <v>41</v>
      </c>
      <c r="C10" t="s">
        <v>5736</v>
      </c>
      <c r="D10" t="s">
        <v>90</v>
      </c>
      <c r="E10" t="s">
        <v>4258</v>
      </c>
    </row>
    <row r="11" spans="1:5" ht="15" customHeight="1" x14ac:dyDescent="0.25">
      <c r="A11" t="s">
        <v>4259</v>
      </c>
      <c r="B11" t="s">
        <v>41</v>
      </c>
      <c r="C11" t="s">
        <v>5737</v>
      </c>
      <c r="D11" t="s">
        <v>90</v>
      </c>
      <c r="E11" t="s">
        <v>4264</v>
      </c>
    </row>
    <row r="12" spans="1:5" ht="15" customHeight="1" x14ac:dyDescent="0.25">
      <c r="A12" t="s">
        <v>4265</v>
      </c>
      <c r="B12" t="s">
        <v>41</v>
      </c>
      <c r="C12" t="s">
        <v>5738</v>
      </c>
      <c r="D12" t="s">
        <v>90</v>
      </c>
      <c r="E12" t="s">
        <v>4270</v>
      </c>
    </row>
    <row r="13" spans="1:5" ht="15" customHeight="1" x14ac:dyDescent="0.25">
      <c r="A13" t="s">
        <v>5739</v>
      </c>
      <c r="B13" t="s">
        <v>3533</v>
      </c>
      <c r="C13" t="s">
        <v>5740</v>
      </c>
      <c r="D13" t="s">
        <v>90</v>
      </c>
      <c r="E13" t="s">
        <v>5741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4604</v>
      </c>
      <c r="E1" t="s">
        <v>5742</v>
      </c>
      <c r="F1" t="s">
        <v>5743</v>
      </c>
      <c r="G1" t="s">
        <v>5744</v>
      </c>
      <c r="H1" t="s">
        <v>5745</v>
      </c>
      <c r="I1" t="s">
        <v>3459</v>
      </c>
      <c r="J1" t="s">
        <v>5746</v>
      </c>
      <c r="K1" t="s">
        <v>3453</v>
      </c>
      <c r="L1" t="s">
        <v>5747</v>
      </c>
      <c r="M1" t="s">
        <v>3874</v>
      </c>
      <c r="N1" t="s">
        <v>5748</v>
      </c>
      <c r="O1" t="s">
        <v>5749</v>
      </c>
      <c r="P1" t="s">
        <v>3460</v>
      </c>
      <c r="Q1" t="s">
        <v>3461</v>
      </c>
      <c r="R1" t="s">
        <v>3462</v>
      </c>
      <c r="S1" t="s">
        <v>5750</v>
      </c>
      <c r="T1" t="s">
        <v>5751</v>
      </c>
      <c r="U1" t="s">
        <v>5752</v>
      </c>
      <c r="V1" t="s">
        <v>5753</v>
      </c>
      <c r="W1" t="s">
        <v>5754</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5755</v>
      </c>
      <c r="R2" t="s">
        <v>3504</v>
      </c>
      <c r="S2" t="s">
        <v>5495</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5756</v>
      </c>
      <c r="Q3" t="s">
        <v>5757</v>
      </c>
      <c r="R3" t="s">
        <v>3483</v>
      </c>
      <c r="S3" t="s">
        <v>5512</v>
      </c>
      <c r="T3">
        <v>5</v>
      </c>
      <c r="U3">
        <v>4</v>
      </c>
      <c r="V3" t="s">
        <v>5758</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5759</v>
      </c>
      <c r="R4" t="s">
        <v>3512</v>
      </c>
      <c r="S4" t="s">
        <v>4621</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5760</v>
      </c>
      <c r="R5" t="s">
        <v>3492</v>
      </c>
      <c r="S5" t="s">
        <v>5761</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5762</v>
      </c>
      <c r="Q6" t="s">
        <v>5763</v>
      </c>
      <c r="R6" t="s">
        <v>3478</v>
      </c>
      <c r="S6" t="s">
        <v>5495</v>
      </c>
      <c r="T6">
        <v>5</v>
      </c>
      <c r="U6">
        <v>4</v>
      </c>
      <c r="V6" t="s">
        <v>3452</v>
      </c>
      <c r="X6" t="s">
        <v>3479</v>
      </c>
    </row>
    <row r="7" spans="1:24" ht="15" customHeight="1" x14ac:dyDescent="0.25">
      <c r="A7" t="s">
        <v>5764</v>
      </c>
      <c r="B7" t="s">
        <v>90</v>
      </c>
      <c r="C7">
        <v>70</v>
      </c>
      <c r="D7">
        <v>3</v>
      </c>
      <c r="E7">
        <v>0</v>
      </c>
      <c r="F7">
        <v>2</v>
      </c>
      <c r="G7">
        <v>0</v>
      </c>
      <c r="H7">
        <v>0</v>
      </c>
      <c r="I7">
        <v>0</v>
      </c>
      <c r="J7">
        <v>0</v>
      </c>
      <c r="K7">
        <v>0</v>
      </c>
      <c r="L7">
        <v>0</v>
      </c>
      <c r="M7">
        <v>0</v>
      </c>
      <c r="N7">
        <v>0</v>
      </c>
      <c r="O7">
        <v>0</v>
      </c>
      <c r="P7" t="s">
        <v>5762</v>
      </c>
      <c r="Q7" t="s">
        <v>5765</v>
      </c>
      <c r="R7" t="s">
        <v>5766</v>
      </c>
      <c r="S7" t="s">
        <v>5495</v>
      </c>
      <c r="T7">
        <v>5</v>
      </c>
      <c r="U7">
        <v>5</v>
      </c>
      <c r="V7" t="s">
        <v>5767</v>
      </c>
      <c r="W7" t="s">
        <v>5768</v>
      </c>
      <c r="X7" t="s">
        <v>4873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5769</v>
      </c>
      <c r="E1" t="s">
        <v>3462</v>
      </c>
      <c r="F1" t="s">
        <v>5770</v>
      </c>
      <c r="G1" t="s">
        <v>5771</v>
      </c>
      <c r="H1" t="s">
        <v>4330</v>
      </c>
      <c r="I1" t="s">
        <v>1</v>
      </c>
      <c r="J1" t="s">
        <v>170</v>
      </c>
    </row>
    <row r="2" spans="1:10" ht="15" customHeight="1" x14ac:dyDescent="0.25">
      <c r="A2" t="s">
        <v>5772</v>
      </c>
      <c r="B2" t="s">
        <v>3533</v>
      </c>
      <c r="C2" t="s">
        <v>4668</v>
      </c>
      <c r="D2">
        <v>1</v>
      </c>
      <c r="E2" t="s">
        <v>5773</v>
      </c>
      <c r="F2" t="s">
        <v>5774</v>
      </c>
      <c r="G2">
        <v>1</v>
      </c>
      <c r="H2" t="s">
        <v>5772</v>
      </c>
      <c r="I2" t="s">
        <v>90</v>
      </c>
      <c r="J2" t="s">
        <v>5775</v>
      </c>
    </row>
    <row r="3" spans="1:10" ht="15" customHeight="1" x14ac:dyDescent="0.25">
      <c r="A3" t="s">
        <v>5776</v>
      </c>
      <c r="B3" t="s">
        <v>41</v>
      </c>
      <c r="C3" t="s">
        <v>5431</v>
      </c>
      <c r="D3">
        <v>1</v>
      </c>
      <c r="E3" t="s">
        <v>5777</v>
      </c>
      <c r="F3" t="s">
        <v>5778</v>
      </c>
      <c r="G3">
        <v>1</v>
      </c>
      <c r="H3" t="s">
        <v>5776</v>
      </c>
      <c r="I3" t="s">
        <v>90</v>
      </c>
      <c r="J3" t="s">
        <v>5779</v>
      </c>
    </row>
    <row r="4" spans="1:10" ht="15" customHeight="1" x14ac:dyDescent="0.25">
      <c r="A4" t="s">
        <v>5780</v>
      </c>
      <c r="B4" t="s">
        <v>3520</v>
      </c>
      <c r="C4" t="s">
        <v>5431</v>
      </c>
      <c r="D4">
        <v>0</v>
      </c>
      <c r="E4" t="s">
        <v>5781</v>
      </c>
      <c r="F4" t="s">
        <v>5782</v>
      </c>
      <c r="G4">
        <v>0</v>
      </c>
      <c r="H4" t="s">
        <v>5780</v>
      </c>
      <c r="I4" t="s">
        <v>90</v>
      </c>
      <c r="J4" t="s">
        <v>5783</v>
      </c>
    </row>
    <row r="5" spans="1:10" ht="15" customHeight="1" x14ac:dyDescent="0.25">
      <c r="A5" t="s">
        <v>5784</v>
      </c>
      <c r="B5" t="s">
        <v>3520</v>
      </c>
      <c r="C5" t="s">
        <v>4668</v>
      </c>
      <c r="D5">
        <v>1</v>
      </c>
      <c r="E5" t="s">
        <v>5785</v>
      </c>
      <c r="F5" t="s">
        <v>5786</v>
      </c>
      <c r="G5">
        <v>1</v>
      </c>
      <c r="H5" t="s">
        <v>5787</v>
      </c>
      <c r="I5" t="s">
        <v>90</v>
      </c>
      <c r="J5" t="s">
        <v>5788</v>
      </c>
    </row>
    <row r="6" spans="1:10" ht="15" customHeight="1" x14ac:dyDescent="0.25">
      <c r="A6" t="s">
        <v>5789</v>
      </c>
      <c r="B6" t="s">
        <v>3520</v>
      </c>
      <c r="C6" t="s">
        <v>5431</v>
      </c>
      <c r="D6">
        <v>1</v>
      </c>
      <c r="E6" t="s">
        <v>5790</v>
      </c>
      <c r="F6" t="s">
        <v>5790</v>
      </c>
      <c r="G6">
        <v>0</v>
      </c>
      <c r="H6" t="s">
        <v>5789</v>
      </c>
      <c r="I6" t="s">
        <v>90</v>
      </c>
      <c r="J6" t="s">
        <v>5791</v>
      </c>
    </row>
    <row r="7" spans="1:10" ht="15" customHeight="1" x14ac:dyDescent="0.25">
      <c r="A7" t="s">
        <v>5792</v>
      </c>
      <c r="B7" t="s">
        <v>3520</v>
      </c>
      <c r="C7" t="s">
        <v>5793</v>
      </c>
      <c r="D7">
        <v>2</v>
      </c>
      <c r="E7" t="s">
        <v>5794</v>
      </c>
      <c r="F7" t="s">
        <v>5795</v>
      </c>
      <c r="G7">
        <v>2</v>
      </c>
      <c r="H7" t="s">
        <v>5796</v>
      </c>
      <c r="I7" t="s">
        <v>90</v>
      </c>
      <c r="J7" t="s">
        <v>5797</v>
      </c>
    </row>
    <row r="8" spans="1:10" ht="15" customHeight="1" x14ac:dyDescent="0.25">
      <c r="A8" t="s">
        <v>5798</v>
      </c>
      <c r="B8" t="s">
        <v>3533</v>
      </c>
      <c r="C8" t="s">
        <v>5793</v>
      </c>
      <c r="D8">
        <v>1</v>
      </c>
      <c r="E8" t="s">
        <v>5799</v>
      </c>
      <c r="F8" t="s">
        <v>5800</v>
      </c>
      <c r="G8">
        <v>1</v>
      </c>
      <c r="H8" t="s">
        <v>5801</v>
      </c>
      <c r="I8" t="s">
        <v>90</v>
      </c>
      <c r="J8" t="s">
        <v>5802</v>
      </c>
    </row>
    <row r="9" spans="1:10" ht="15" customHeight="1" x14ac:dyDescent="0.25">
      <c r="A9" t="s">
        <v>5803</v>
      </c>
      <c r="B9" t="s">
        <v>41</v>
      </c>
      <c r="C9" t="s">
        <v>5793</v>
      </c>
      <c r="D9">
        <v>0</v>
      </c>
      <c r="E9" t="s">
        <v>5804</v>
      </c>
      <c r="F9" t="s">
        <v>5805</v>
      </c>
      <c r="G9">
        <v>0</v>
      </c>
      <c r="H9" t="s">
        <v>5803</v>
      </c>
      <c r="I9" t="s">
        <v>90</v>
      </c>
      <c r="J9" t="s">
        <v>5806</v>
      </c>
    </row>
    <row r="10" spans="1:10" ht="15" customHeight="1" x14ac:dyDescent="0.25">
      <c r="A10" t="s">
        <v>5807</v>
      </c>
      <c r="B10" t="s">
        <v>41</v>
      </c>
      <c r="C10" t="s">
        <v>5431</v>
      </c>
      <c r="D10">
        <v>1</v>
      </c>
      <c r="E10" t="s">
        <v>5808</v>
      </c>
      <c r="F10" t="s">
        <v>5809</v>
      </c>
      <c r="G10">
        <v>1</v>
      </c>
      <c r="H10" t="s">
        <v>5807</v>
      </c>
      <c r="I10" t="s">
        <v>90</v>
      </c>
      <c r="J10" t="s">
        <v>5810</v>
      </c>
    </row>
    <row r="11" spans="1:10" ht="15" customHeight="1" x14ac:dyDescent="0.25">
      <c r="A11" t="s">
        <v>5811</v>
      </c>
      <c r="B11" t="s">
        <v>41</v>
      </c>
      <c r="C11" t="s">
        <v>5431</v>
      </c>
      <c r="D11">
        <v>1</v>
      </c>
      <c r="E11" t="s">
        <v>5812</v>
      </c>
      <c r="F11" t="s">
        <v>5813</v>
      </c>
      <c r="G11">
        <v>1</v>
      </c>
      <c r="H11" t="s">
        <v>5811</v>
      </c>
      <c r="I11" t="s">
        <v>90</v>
      </c>
      <c r="J11" t="s">
        <v>5814</v>
      </c>
    </row>
    <row r="12" spans="1:10" ht="15" customHeight="1" x14ac:dyDescent="0.25">
      <c r="A12" t="s">
        <v>5815</v>
      </c>
      <c r="B12" t="s">
        <v>3533</v>
      </c>
      <c r="C12" t="s">
        <v>5793</v>
      </c>
      <c r="D12">
        <v>0</v>
      </c>
      <c r="E12" t="s">
        <v>5816</v>
      </c>
      <c r="F12" t="s">
        <v>5817</v>
      </c>
      <c r="G12">
        <v>0</v>
      </c>
      <c r="H12" t="s">
        <v>5815</v>
      </c>
      <c r="I12" t="s">
        <v>90</v>
      </c>
      <c r="J12" t="s">
        <v>5818</v>
      </c>
    </row>
    <row r="13" spans="1:10" ht="15" customHeight="1" x14ac:dyDescent="0.25">
      <c r="A13" t="s">
        <v>4498</v>
      </c>
      <c r="B13" t="s">
        <v>3533</v>
      </c>
      <c r="C13" t="s">
        <v>5431</v>
      </c>
      <c r="D13">
        <v>1</v>
      </c>
      <c r="E13" t="s">
        <v>5819</v>
      </c>
      <c r="F13" t="s">
        <v>5819</v>
      </c>
      <c r="G13">
        <v>1</v>
      </c>
      <c r="H13" t="s">
        <v>4503</v>
      </c>
      <c r="I13" t="s">
        <v>1650</v>
      </c>
      <c r="J13" t="s">
        <v>5820</v>
      </c>
    </row>
    <row r="14" spans="1:10" ht="15" customHeight="1" x14ac:dyDescent="0.25">
      <c r="A14" t="s">
        <v>5821</v>
      </c>
      <c r="B14" t="s">
        <v>41</v>
      </c>
      <c r="C14" t="s">
        <v>5793</v>
      </c>
      <c r="D14">
        <v>1</v>
      </c>
      <c r="E14" t="s">
        <v>5822</v>
      </c>
      <c r="F14" t="s">
        <v>5823</v>
      </c>
      <c r="G14">
        <v>1</v>
      </c>
      <c r="H14" t="s">
        <v>5821</v>
      </c>
      <c r="I14" t="s">
        <v>90</v>
      </c>
      <c r="J14" t="s">
        <v>5824</v>
      </c>
    </row>
    <row r="15" spans="1:10" ht="15" customHeight="1" x14ac:dyDescent="0.25">
      <c r="A15" t="s">
        <v>4509</v>
      </c>
      <c r="B15" t="s">
        <v>3533</v>
      </c>
      <c r="C15" t="s">
        <v>5793</v>
      </c>
      <c r="D15">
        <v>1</v>
      </c>
      <c r="E15" t="s">
        <v>5825</v>
      </c>
      <c r="F15" t="s">
        <v>5825</v>
      </c>
      <c r="G15">
        <v>1</v>
      </c>
      <c r="H15" t="s">
        <v>4509</v>
      </c>
      <c r="I15" t="s">
        <v>1047</v>
      </c>
      <c r="J15" t="s">
        <v>5826</v>
      </c>
    </row>
    <row r="16" spans="1:10" ht="15" customHeight="1" x14ac:dyDescent="0.25">
      <c r="A16" t="s">
        <v>3540</v>
      </c>
      <c r="B16" t="s">
        <v>3520</v>
      </c>
      <c r="C16" t="s">
        <v>4668</v>
      </c>
      <c r="D16">
        <v>3</v>
      </c>
      <c r="E16" t="s">
        <v>5827</v>
      </c>
      <c r="F16" t="s">
        <v>5827</v>
      </c>
      <c r="G16">
        <v>2</v>
      </c>
      <c r="H16" t="s">
        <v>3540</v>
      </c>
      <c r="I16" t="s">
        <v>90</v>
      </c>
      <c r="J16" t="s">
        <v>5810</v>
      </c>
    </row>
    <row r="17" spans="1:10" ht="15" customHeight="1" x14ac:dyDescent="0.25">
      <c r="A17" t="s">
        <v>3452</v>
      </c>
      <c r="B17" t="s">
        <v>3569</v>
      </c>
      <c r="C17" t="s">
        <v>5793</v>
      </c>
      <c r="D17">
        <v>2</v>
      </c>
      <c r="E17" t="s">
        <v>5828</v>
      </c>
      <c r="F17" t="s">
        <v>5829</v>
      </c>
      <c r="G17">
        <v>2</v>
      </c>
      <c r="H17" t="s">
        <v>3452</v>
      </c>
      <c r="I17" t="s">
        <v>90</v>
      </c>
      <c r="J17" t="s">
        <v>5806</v>
      </c>
    </row>
    <row r="18" spans="1:10" ht="15" customHeight="1" x14ac:dyDescent="0.25">
      <c r="A18" t="s">
        <v>5830</v>
      </c>
      <c r="B18" t="s">
        <v>3533</v>
      </c>
      <c r="C18" t="s">
        <v>5431</v>
      </c>
      <c r="D18">
        <v>0</v>
      </c>
      <c r="E18" t="s">
        <v>5831</v>
      </c>
      <c r="F18" t="s">
        <v>5832</v>
      </c>
      <c r="G18">
        <v>0</v>
      </c>
      <c r="H18" t="s">
        <v>5833</v>
      </c>
      <c r="I18" t="s">
        <v>90</v>
      </c>
      <c r="J18" t="s">
        <v>5834</v>
      </c>
    </row>
    <row r="19" spans="1:10" ht="15" customHeight="1" x14ac:dyDescent="0.25">
      <c r="A19" t="s">
        <v>5835</v>
      </c>
      <c r="B19" t="s">
        <v>41</v>
      </c>
      <c r="C19" t="s">
        <v>5793</v>
      </c>
      <c r="D19">
        <v>0</v>
      </c>
      <c r="E19" t="s">
        <v>5836</v>
      </c>
      <c r="F19" t="s">
        <v>5837</v>
      </c>
      <c r="G19">
        <v>0</v>
      </c>
      <c r="H19" t="s">
        <v>5838</v>
      </c>
      <c r="I19" t="s">
        <v>90</v>
      </c>
      <c r="J19" t="s">
        <v>5839</v>
      </c>
    </row>
    <row r="20" spans="1:10" ht="15" customHeight="1" x14ac:dyDescent="0.25">
      <c r="A20" t="s">
        <v>5840</v>
      </c>
      <c r="B20" t="s">
        <v>3520</v>
      </c>
      <c r="C20" t="s">
        <v>4668</v>
      </c>
      <c r="D20">
        <v>0</v>
      </c>
      <c r="E20" t="s">
        <v>5841</v>
      </c>
      <c r="F20" t="s">
        <v>5842</v>
      </c>
      <c r="G20">
        <v>0</v>
      </c>
      <c r="H20" t="s">
        <v>5840</v>
      </c>
      <c r="I20" t="s">
        <v>90</v>
      </c>
      <c r="J20" t="s">
        <v>5843</v>
      </c>
    </row>
    <row r="21" spans="1:10" ht="15" customHeight="1" x14ac:dyDescent="0.25">
      <c r="A21" t="s">
        <v>5844</v>
      </c>
      <c r="B21" t="s">
        <v>41</v>
      </c>
      <c r="C21" t="s">
        <v>5431</v>
      </c>
      <c r="D21">
        <v>1</v>
      </c>
      <c r="E21" t="s">
        <v>5845</v>
      </c>
      <c r="F21" t="s">
        <v>5846</v>
      </c>
      <c r="G21">
        <v>1</v>
      </c>
      <c r="H21" t="s">
        <v>5847</v>
      </c>
      <c r="I21" t="s">
        <v>90</v>
      </c>
      <c r="J21" t="s">
        <v>5848</v>
      </c>
    </row>
    <row r="22" spans="1:10" ht="15" customHeight="1" x14ac:dyDescent="0.25">
      <c r="A22" t="s">
        <v>4536</v>
      </c>
      <c r="B22" t="s">
        <v>41</v>
      </c>
      <c r="C22" t="s">
        <v>5793</v>
      </c>
      <c r="D22">
        <v>1</v>
      </c>
      <c r="E22" t="s">
        <v>5849</v>
      </c>
      <c r="F22" t="s">
        <v>5849</v>
      </c>
      <c r="G22">
        <v>1</v>
      </c>
      <c r="H22" t="s">
        <v>4539</v>
      </c>
      <c r="I22" t="s">
        <v>1105</v>
      </c>
      <c r="J22" t="s">
        <v>5826</v>
      </c>
    </row>
    <row r="23" spans="1:10" ht="15" customHeight="1" x14ac:dyDescent="0.25">
      <c r="A23" t="s">
        <v>5850</v>
      </c>
      <c r="B23" t="s">
        <v>3533</v>
      </c>
      <c r="C23" t="s">
        <v>5793</v>
      </c>
      <c r="D23">
        <v>4</v>
      </c>
      <c r="E23" t="s">
        <v>5851</v>
      </c>
      <c r="F23" t="s">
        <v>5852</v>
      </c>
      <c r="G23">
        <v>3</v>
      </c>
      <c r="H23" t="s">
        <v>5853</v>
      </c>
      <c r="I23" t="s">
        <v>90</v>
      </c>
      <c r="J23" t="s">
        <v>5834</v>
      </c>
    </row>
    <row r="24" spans="1:10" ht="15" customHeight="1" x14ac:dyDescent="0.25">
      <c r="A24" t="s">
        <v>4540</v>
      </c>
      <c r="B24" t="s">
        <v>3520</v>
      </c>
      <c r="C24" t="s">
        <v>5793</v>
      </c>
      <c r="D24">
        <v>1</v>
      </c>
      <c r="E24" t="s">
        <v>5854</v>
      </c>
      <c r="F24" t="s">
        <v>5854</v>
      </c>
      <c r="G24">
        <v>1</v>
      </c>
      <c r="H24" t="s">
        <v>4543</v>
      </c>
      <c r="I24" t="s">
        <v>1622</v>
      </c>
      <c r="J24" t="s">
        <v>5826</v>
      </c>
    </row>
    <row r="25" spans="1:10" ht="15" customHeight="1" x14ac:dyDescent="0.25">
      <c r="A25" t="s">
        <v>5855</v>
      </c>
      <c r="B25" t="s">
        <v>3533</v>
      </c>
      <c r="C25" t="s">
        <v>5431</v>
      </c>
      <c r="D25">
        <v>0</v>
      </c>
      <c r="E25" t="s">
        <v>5856</v>
      </c>
      <c r="F25" t="s">
        <v>5857</v>
      </c>
      <c r="G25">
        <v>0</v>
      </c>
      <c r="H25" t="s">
        <v>5855</v>
      </c>
      <c r="I25" t="s">
        <v>90</v>
      </c>
      <c r="J25" t="s">
        <v>5843</v>
      </c>
    </row>
    <row r="26" spans="1:10" ht="15" customHeight="1" x14ac:dyDescent="0.25">
      <c r="A26" t="s">
        <v>5858</v>
      </c>
      <c r="B26" t="s">
        <v>3520</v>
      </c>
      <c r="C26" t="s">
        <v>5793</v>
      </c>
      <c r="D26">
        <v>3</v>
      </c>
      <c r="E26" t="s">
        <v>5859</v>
      </c>
      <c r="F26" t="s">
        <v>5860</v>
      </c>
      <c r="G26">
        <v>3</v>
      </c>
      <c r="H26" t="s">
        <v>5858</v>
      </c>
      <c r="I26" t="s">
        <v>90</v>
      </c>
      <c r="J26" t="s">
        <v>5806</v>
      </c>
    </row>
    <row r="27" spans="1:10" ht="15" customHeight="1" x14ac:dyDescent="0.25">
      <c r="A27" t="s">
        <v>5861</v>
      </c>
      <c r="B27" t="s">
        <v>4368</v>
      </c>
      <c r="C27" t="s">
        <v>3681</v>
      </c>
      <c r="D27">
        <v>1</v>
      </c>
      <c r="E27" t="s">
        <v>5862</v>
      </c>
      <c r="F27" t="s">
        <v>3468</v>
      </c>
      <c r="G27" t="s">
        <v>3468</v>
      </c>
      <c r="H27" t="s">
        <v>5863</v>
      </c>
      <c r="I27" t="s">
        <v>501</v>
      </c>
      <c r="J27" t="s">
        <v>5864</v>
      </c>
    </row>
    <row r="28" spans="1:10" ht="15" customHeight="1" x14ac:dyDescent="0.25">
      <c r="A28" t="s">
        <v>5231</v>
      </c>
      <c r="B28" t="s">
        <v>3533</v>
      </c>
      <c r="C28" t="s">
        <v>5431</v>
      </c>
      <c r="D28">
        <v>1</v>
      </c>
      <c r="E28" t="s">
        <v>5865</v>
      </c>
      <c r="F28" t="s">
        <v>5866</v>
      </c>
      <c r="G28">
        <v>1</v>
      </c>
      <c r="H28" t="s">
        <v>5231</v>
      </c>
      <c r="I28" t="s">
        <v>90</v>
      </c>
      <c r="J28" t="s">
        <v>5788</v>
      </c>
    </row>
    <row r="29" spans="1:10" ht="15" customHeight="1" x14ac:dyDescent="0.25">
      <c r="A29" t="s">
        <v>5867</v>
      </c>
      <c r="B29" t="s">
        <v>41</v>
      </c>
      <c r="C29" t="s">
        <v>5793</v>
      </c>
      <c r="D29">
        <v>1</v>
      </c>
      <c r="E29" t="s">
        <v>5868</v>
      </c>
      <c r="F29" t="s">
        <v>5868</v>
      </c>
      <c r="G29">
        <v>0</v>
      </c>
      <c r="H29" t="s">
        <v>5869</v>
      </c>
      <c r="I29" t="s">
        <v>90</v>
      </c>
      <c r="J29" t="s">
        <v>5806</v>
      </c>
    </row>
    <row r="30" spans="1:10" ht="15" customHeight="1" x14ac:dyDescent="0.25">
      <c r="A30" t="s">
        <v>5870</v>
      </c>
      <c r="B30" t="s">
        <v>3533</v>
      </c>
      <c r="C30" t="s">
        <v>5431</v>
      </c>
      <c r="D30">
        <v>0</v>
      </c>
      <c r="E30" t="s">
        <v>5871</v>
      </c>
      <c r="F30" t="s">
        <v>5872</v>
      </c>
      <c r="G30">
        <v>0</v>
      </c>
      <c r="H30" t="s">
        <v>5873</v>
      </c>
      <c r="I30" t="s">
        <v>90</v>
      </c>
      <c r="J30" t="s">
        <v>5874</v>
      </c>
    </row>
    <row r="31" spans="1:10" ht="15" customHeight="1" x14ac:dyDescent="0.25">
      <c r="A31" t="s">
        <v>5875</v>
      </c>
      <c r="B31" t="s">
        <v>3533</v>
      </c>
      <c r="C31" t="s">
        <v>5876</v>
      </c>
      <c r="D31">
        <v>3</v>
      </c>
      <c r="E31" t="s">
        <v>5877</v>
      </c>
      <c r="F31" t="s">
        <v>5878</v>
      </c>
      <c r="G31">
        <v>3</v>
      </c>
      <c r="H31" t="s">
        <v>5879</v>
      </c>
      <c r="I31" t="s">
        <v>1673</v>
      </c>
    </row>
    <row r="32" spans="1:10" ht="15" customHeight="1" x14ac:dyDescent="0.25">
      <c r="A32" t="s">
        <v>5880</v>
      </c>
      <c r="B32" t="s">
        <v>3533</v>
      </c>
      <c r="C32" t="s">
        <v>5431</v>
      </c>
      <c r="D32">
        <v>2</v>
      </c>
      <c r="E32" t="s">
        <v>5881</v>
      </c>
      <c r="F32" t="s">
        <v>5882</v>
      </c>
      <c r="G32">
        <v>2</v>
      </c>
      <c r="H32" t="s">
        <v>5883</v>
      </c>
      <c r="I32" t="s">
        <v>90</v>
      </c>
      <c r="J32" t="s">
        <v>5884</v>
      </c>
    </row>
    <row r="33" spans="1:10" ht="15" customHeight="1" x14ac:dyDescent="0.25">
      <c r="A33" t="s">
        <v>5885</v>
      </c>
      <c r="B33" t="s">
        <v>3520</v>
      </c>
      <c r="C33" t="s">
        <v>4668</v>
      </c>
      <c r="D33">
        <v>0</v>
      </c>
      <c r="E33" t="s">
        <v>5886</v>
      </c>
      <c r="F33" t="s">
        <v>5887</v>
      </c>
      <c r="G33">
        <v>0</v>
      </c>
      <c r="H33" t="s">
        <v>5885</v>
      </c>
      <c r="I33" t="s">
        <v>90</v>
      </c>
      <c r="J33" t="s">
        <v>5834</v>
      </c>
    </row>
    <row r="34" spans="1:10" ht="15" customHeight="1" x14ac:dyDescent="0.25">
      <c r="A34" t="s">
        <v>5237</v>
      </c>
      <c r="B34" t="s">
        <v>3520</v>
      </c>
      <c r="C34" t="s">
        <v>4668</v>
      </c>
      <c r="D34">
        <v>2</v>
      </c>
      <c r="E34" t="s">
        <v>5888</v>
      </c>
      <c r="F34" t="s">
        <v>5889</v>
      </c>
      <c r="G34">
        <v>2</v>
      </c>
      <c r="H34" t="s">
        <v>5237</v>
      </c>
      <c r="I34" t="s">
        <v>90</v>
      </c>
      <c r="J34" t="s">
        <v>5890</v>
      </c>
    </row>
    <row r="35" spans="1:10" ht="15" customHeight="1" x14ac:dyDescent="0.25">
      <c r="A35" t="s">
        <v>5891</v>
      </c>
      <c r="B35" t="s">
        <v>3520</v>
      </c>
      <c r="C35" t="s">
        <v>5431</v>
      </c>
      <c r="D35">
        <v>3</v>
      </c>
      <c r="E35" t="s">
        <v>5892</v>
      </c>
      <c r="F35" t="s">
        <v>5892</v>
      </c>
      <c r="G35">
        <v>2</v>
      </c>
      <c r="H35" t="s">
        <v>5893</v>
      </c>
      <c r="I35" t="s">
        <v>90</v>
      </c>
      <c r="J35" t="s">
        <v>5894</v>
      </c>
    </row>
    <row r="36" spans="1:10" ht="15" customHeight="1" x14ac:dyDescent="0.25">
      <c r="A36" t="s">
        <v>4060</v>
      </c>
      <c r="B36" t="s">
        <v>4368</v>
      </c>
      <c r="C36" t="s">
        <v>3681</v>
      </c>
      <c r="D36" t="s">
        <v>4051</v>
      </c>
      <c r="E36" t="s">
        <v>5895</v>
      </c>
      <c r="F36" t="s">
        <v>5896</v>
      </c>
      <c r="G36" t="s">
        <v>4051</v>
      </c>
      <c r="H36" t="s">
        <v>4060</v>
      </c>
      <c r="I36" t="s">
        <v>90</v>
      </c>
    </row>
    <row r="37" spans="1:10" ht="15" customHeight="1" x14ac:dyDescent="0.25">
      <c r="A37" t="s">
        <v>5897</v>
      </c>
      <c r="B37" t="s">
        <v>3533</v>
      </c>
      <c r="C37" t="s">
        <v>5431</v>
      </c>
      <c r="D37">
        <v>1</v>
      </c>
      <c r="E37" t="s">
        <v>5898</v>
      </c>
      <c r="F37" t="s">
        <v>5899</v>
      </c>
      <c r="G37">
        <v>1</v>
      </c>
      <c r="H37" t="s">
        <v>5900</v>
      </c>
      <c r="I37" t="s">
        <v>90</v>
      </c>
      <c r="J37" t="s">
        <v>5901</v>
      </c>
    </row>
    <row r="38" spans="1:10" ht="15" customHeight="1" x14ac:dyDescent="0.25">
      <c r="A38" t="s">
        <v>5241</v>
      </c>
      <c r="B38" t="s">
        <v>3520</v>
      </c>
      <c r="C38" t="s">
        <v>5431</v>
      </c>
      <c r="D38">
        <v>1</v>
      </c>
      <c r="E38" t="s">
        <v>5902</v>
      </c>
      <c r="F38" t="s">
        <v>5903</v>
      </c>
      <c r="G38">
        <v>1</v>
      </c>
      <c r="H38" t="s">
        <v>5241</v>
      </c>
      <c r="I38" t="s">
        <v>90</v>
      </c>
      <c r="J38" t="s">
        <v>5894</v>
      </c>
    </row>
    <row r="39" spans="1:10" ht="15" customHeight="1" x14ac:dyDescent="0.25">
      <c r="A39" t="s">
        <v>5904</v>
      </c>
      <c r="B39" t="s">
        <v>3533</v>
      </c>
      <c r="C39" t="s">
        <v>5431</v>
      </c>
      <c r="D39">
        <v>0</v>
      </c>
      <c r="E39" t="s">
        <v>5905</v>
      </c>
      <c r="F39" t="s">
        <v>5906</v>
      </c>
      <c r="G39">
        <v>0</v>
      </c>
      <c r="H39" t="s">
        <v>5907</v>
      </c>
      <c r="I39" t="s">
        <v>90</v>
      </c>
      <c r="J39" t="s">
        <v>5908</v>
      </c>
    </row>
    <row r="40" spans="1:10" ht="15" customHeight="1" x14ac:dyDescent="0.25">
      <c r="A40" t="s">
        <v>5909</v>
      </c>
      <c r="B40" t="s">
        <v>3533</v>
      </c>
      <c r="C40" t="s">
        <v>4668</v>
      </c>
      <c r="D40">
        <v>1</v>
      </c>
      <c r="E40" t="s">
        <v>5740</v>
      </c>
      <c r="F40" t="s">
        <v>5910</v>
      </c>
      <c r="G40">
        <v>1</v>
      </c>
      <c r="H40" t="s">
        <v>5909</v>
      </c>
      <c r="I40" t="s">
        <v>90</v>
      </c>
      <c r="J40" t="s">
        <v>5788</v>
      </c>
    </row>
    <row r="41" spans="1:10" ht="15" customHeight="1" x14ac:dyDescent="0.25">
      <c r="A41" t="s">
        <v>5911</v>
      </c>
      <c r="B41" t="s">
        <v>3533</v>
      </c>
      <c r="C41" t="s">
        <v>5793</v>
      </c>
      <c r="D41">
        <v>2</v>
      </c>
      <c r="E41" t="s">
        <v>5912</v>
      </c>
      <c r="F41" t="s">
        <v>5913</v>
      </c>
      <c r="G41">
        <v>2</v>
      </c>
      <c r="H41" t="s">
        <v>5911</v>
      </c>
      <c r="I41" t="s">
        <v>90</v>
      </c>
      <c r="J41" t="s">
        <v>5806</v>
      </c>
    </row>
    <row r="42" spans="1:10" ht="15" customHeight="1" x14ac:dyDescent="0.25">
      <c r="A42" t="s">
        <v>5914</v>
      </c>
      <c r="B42" t="s">
        <v>3533</v>
      </c>
      <c r="C42" t="s">
        <v>5431</v>
      </c>
      <c r="D42">
        <v>1</v>
      </c>
      <c r="E42" t="s">
        <v>5915</v>
      </c>
      <c r="F42" t="s">
        <v>5916</v>
      </c>
      <c r="G42">
        <v>1</v>
      </c>
      <c r="H42" t="s">
        <v>5914</v>
      </c>
      <c r="I42" t="s">
        <v>90</v>
      </c>
      <c r="J42" t="s">
        <v>5884</v>
      </c>
    </row>
    <row r="43" spans="1:10" ht="15" customHeight="1" x14ac:dyDescent="0.25">
      <c r="A43" t="s">
        <v>5917</v>
      </c>
      <c r="B43" t="s">
        <v>3533</v>
      </c>
      <c r="C43" t="s">
        <v>5793</v>
      </c>
      <c r="D43">
        <v>2</v>
      </c>
      <c r="E43" t="s">
        <v>5918</v>
      </c>
      <c r="F43" t="s">
        <v>5919</v>
      </c>
      <c r="G43">
        <v>2</v>
      </c>
      <c r="H43" t="s">
        <v>5917</v>
      </c>
      <c r="I43" t="s">
        <v>90</v>
      </c>
      <c r="J43" t="s">
        <v>5920</v>
      </c>
    </row>
    <row r="44" spans="1:10" ht="15" customHeight="1" x14ac:dyDescent="0.25">
      <c r="A44" t="s">
        <v>5921</v>
      </c>
      <c r="B44" t="s">
        <v>41</v>
      </c>
      <c r="C44" t="s">
        <v>5793</v>
      </c>
      <c r="D44">
        <v>0</v>
      </c>
      <c r="E44" t="s">
        <v>5922</v>
      </c>
      <c r="F44" t="s">
        <v>5923</v>
      </c>
      <c r="G44">
        <v>0</v>
      </c>
      <c r="H44" t="s">
        <v>5921</v>
      </c>
      <c r="I44" t="s">
        <v>90</v>
      </c>
      <c r="J44" t="s">
        <v>5806</v>
      </c>
    </row>
    <row r="45" spans="1:10" ht="15" customHeight="1" x14ac:dyDescent="0.25">
      <c r="A45" t="s">
        <v>5924</v>
      </c>
      <c r="B45" t="s">
        <v>41</v>
      </c>
      <c r="C45" t="s">
        <v>5793</v>
      </c>
      <c r="D45">
        <v>0</v>
      </c>
      <c r="E45" t="s">
        <v>5925</v>
      </c>
      <c r="F45" t="s">
        <v>5926</v>
      </c>
      <c r="G45">
        <v>0</v>
      </c>
      <c r="H45" t="s">
        <v>5924</v>
      </c>
      <c r="I45" t="s">
        <v>90</v>
      </c>
      <c r="J45" t="s">
        <v>5927</v>
      </c>
    </row>
    <row r="46" spans="1:10" ht="15" customHeight="1" x14ac:dyDescent="0.25">
      <c r="A46" t="s">
        <v>5481</v>
      </c>
      <c r="B46" t="s">
        <v>41</v>
      </c>
      <c r="C46" t="s">
        <v>5793</v>
      </c>
      <c r="D46">
        <v>1</v>
      </c>
      <c r="E46" t="s">
        <v>5928</v>
      </c>
      <c r="F46" t="s">
        <v>5929</v>
      </c>
      <c r="G46">
        <v>1</v>
      </c>
      <c r="H46" t="s">
        <v>5481</v>
      </c>
      <c r="I46" t="s">
        <v>90</v>
      </c>
      <c r="J46" t="s">
        <v>5930</v>
      </c>
    </row>
    <row r="47" spans="1:10" ht="15" customHeight="1" x14ac:dyDescent="0.25">
      <c r="A47" t="s">
        <v>5931</v>
      </c>
      <c r="B47" t="s">
        <v>41</v>
      </c>
      <c r="C47" t="s">
        <v>5431</v>
      </c>
      <c r="D47">
        <v>1</v>
      </c>
      <c r="E47" t="s">
        <v>5932</v>
      </c>
      <c r="F47" t="s">
        <v>5933</v>
      </c>
      <c r="G47">
        <v>1</v>
      </c>
      <c r="H47" t="s">
        <v>5934</v>
      </c>
      <c r="I47" t="s">
        <v>90</v>
      </c>
      <c r="J47" t="s">
        <v>5788</v>
      </c>
    </row>
    <row r="48" spans="1:10" ht="15" customHeight="1" x14ac:dyDescent="0.25">
      <c r="A48" t="s">
        <v>5935</v>
      </c>
      <c r="B48" t="s">
        <v>41</v>
      </c>
      <c r="C48" t="s">
        <v>5793</v>
      </c>
      <c r="D48">
        <v>2</v>
      </c>
      <c r="E48" t="s">
        <v>5936</v>
      </c>
      <c r="F48" t="s">
        <v>5937</v>
      </c>
      <c r="G48">
        <v>2</v>
      </c>
      <c r="H48" t="s">
        <v>5935</v>
      </c>
      <c r="I48" t="s">
        <v>90</v>
      </c>
      <c r="J48" t="s">
        <v>5938</v>
      </c>
    </row>
    <row r="49" spans="1:10" ht="15" customHeight="1" x14ac:dyDescent="0.25">
      <c r="A49" t="s">
        <v>5939</v>
      </c>
      <c r="B49" t="s">
        <v>4368</v>
      </c>
      <c r="C49" t="s">
        <v>4315</v>
      </c>
      <c r="D49" t="s">
        <v>4051</v>
      </c>
      <c r="E49" t="s">
        <v>5940</v>
      </c>
      <c r="F49" t="s">
        <v>3468</v>
      </c>
      <c r="G49" t="s">
        <v>3468</v>
      </c>
      <c r="H49" t="s">
        <v>5939</v>
      </c>
      <c r="I49" t="s">
        <v>90</v>
      </c>
      <c r="J49" t="s">
        <v>5941</v>
      </c>
    </row>
    <row r="50" spans="1:10" ht="15" customHeight="1" x14ac:dyDescent="0.25">
      <c r="A50" t="s">
        <v>5939</v>
      </c>
      <c r="B50" t="s">
        <v>41</v>
      </c>
      <c r="C50" t="s">
        <v>5512</v>
      </c>
      <c r="D50">
        <v>1</v>
      </c>
      <c r="E50" t="s">
        <v>5942</v>
      </c>
      <c r="F50" t="s">
        <v>5943</v>
      </c>
      <c r="G50">
        <v>1</v>
      </c>
      <c r="H50" t="s">
        <v>5939</v>
      </c>
      <c r="I50" t="s">
        <v>5944</v>
      </c>
      <c r="J50" t="s">
        <v>5945</v>
      </c>
    </row>
    <row r="51" spans="1:10" ht="15" customHeight="1" x14ac:dyDescent="0.25">
      <c r="A51" t="s">
        <v>5946</v>
      </c>
      <c r="B51" t="s">
        <v>3533</v>
      </c>
      <c r="C51" t="s">
        <v>4668</v>
      </c>
      <c r="D51">
        <v>1</v>
      </c>
      <c r="E51" t="s">
        <v>5947</v>
      </c>
      <c r="F51" t="s">
        <v>5948</v>
      </c>
      <c r="G51">
        <v>1</v>
      </c>
      <c r="H51" t="s">
        <v>5946</v>
      </c>
      <c r="I51" t="s">
        <v>90</v>
      </c>
      <c r="J51" t="s">
        <v>5806</v>
      </c>
    </row>
    <row r="52" spans="1:10" ht="15" customHeight="1" x14ac:dyDescent="0.25">
      <c r="A52" t="s">
        <v>5949</v>
      </c>
      <c r="B52" t="s">
        <v>3533</v>
      </c>
      <c r="C52" t="s">
        <v>5431</v>
      </c>
      <c r="D52">
        <v>0</v>
      </c>
      <c r="E52" t="s">
        <v>5950</v>
      </c>
      <c r="F52" t="s">
        <v>5951</v>
      </c>
      <c r="G52">
        <v>0</v>
      </c>
      <c r="H52" t="s">
        <v>5949</v>
      </c>
      <c r="I52" t="s">
        <v>90</v>
      </c>
      <c r="J52" t="s">
        <v>5952</v>
      </c>
    </row>
    <row r="53" spans="1:10" ht="15" customHeight="1" x14ac:dyDescent="0.25">
      <c r="A53" t="s">
        <v>5250</v>
      </c>
      <c r="B53" t="s">
        <v>3520</v>
      </c>
      <c r="C53" t="s">
        <v>5431</v>
      </c>
      <c r="D53">
        <v>2</v>
      </c>
      <c r="E53" t="s">
        <v>5953</v>
      </c>
      <c r="F53" t="s">
        <v>5954</v>
      </c>
      <c r="G53">
        <v>2</v>
      </c>
      <c r="H53" t="s">
        <v>5252</v>
      </c>
      <c r="I53" t="s">
        <v>90</v>
      </c>
      <c r="J53" t="s">
        <v>5955</v>
      </c>
    </row>
    <row r="54" spans="1:10" ht="15" customHeight="1" x14ac:dyDescent="0.25">
      <c r="A54" t="s">
        <v>5956</v>
      </c>
      <c r="B54" t="s">
        <v>3520</v>
      </c>
      <c r="C54" t="s">
        <v>4668</v>
      </c>
      <c r="D54">
        <v>3</v>
      </c>
      <c r="E54" t="s">
        <v>5957</v>
      </c>
      <c r="F54" t="s">
        <v>5957</v>
      </c>
      <c r="G54">
        <v>2</v>
      </c>
      <c r="H54" t="s">
        <v>5956</v>
      </c>
      <c r="I54" t="s">
        <v>90</v>
      </c>
      <c r="J54" t="s">
        <v>5843</v>
      </c>
    </row>
    <row r="55" spans="1:10" ht="15" customHeight="1" x14ac:dyDescent="0.25">
      <c r="A55" t="s">
        <v>5958</v>
      </c>
      <c r="B55" t="s">
        <v>3533</v>
      </c>
      <c r="C55" t="s">
        <v>5431</v>
      </c>
      <c r="D55">
        <v>2</v>
      </c>
      <c r="E55" t="s">
        <v>5959</v>
      </c>
      <c r="F55" t="s">
        <v>5960</v>
      </c>
      <c r="G55">
        <v>2</v>
      </c>
      <c r="H55" t="s">
        <v>5961</v>
      </c>
      <c r="I55" t="s">
        <v>90</v>
      </c>
      <c r="J55" t="s">
        <v>5955</v>
      </c>
    </row>
    <row r="56" spans="1:10" ht="15" customHeight="1" x14ac:dyDescent="0.25">
      <c r="A56" t="s">
        <v>5962</v>
      </c>
      <c r="B56" t="s">
        <v>3520</v>
      </c>
      <c r="C56" t="s">
        <v>5512</v>
      </c>
      <c r="D56">
        <v>1</v>
      </c>
      <c r="E56" t="s">
        <v>5942</v>
      </c>
      <c r="F56" t="s">
        <v>5943</v>
      </c>
      <c r="G56">
        <v>1</v>
      </c>
      <c r="H56" t="s">
        <v>5962</v>
      </c>
      <c r="I56" t="s">
        <v>5944</v>
      </c>
      <c r="J56" t="s">
        <v>5945</v>
      </c>
    </row>
    <row r="57" spans="1:10" ht="15" customHeight="1" x14ac:dyDescent="0.25">
      <c r="A57" t="s">
        <v>5963</v>
      </c>
      <c r="B57" t="s">
        <v>41</v>
      </c>
      <c r="C57" t="s">
        <v>5793</v>
      </c>
      <c r="D57">
        <v>1</v>
      </c>
      <c r="E57" t="s">
        <v>5964</v>
      </c>
      <c r="F57" t="s">
        <v>5965</v>
      </c>
      <c r="G57">
        <v>1</v>
      </c>
      <c r="H57" t="s">
        <v>5966</v>
      </c>
      <c r="I57" t="s">
        <v>90</v>
      </c>
      <c r="J57" t="s">
        <v>5967</v>
      </c>
    </row>
    <row r="58" spans="1:10" ht="15" customHeight="1" x14ac:dyDescent="0.25">
      <c r="A58" t="s">
        <v>5968</v>
      </c>
      <c r="B58" t="s">
        <v>41</v>
      </c>
      <c r="C58" t="s">
        <v>5793</v>
      </c>
      <c r="D58">
        <v>1</v>
      </c>
      <c r="E58" t="s">
        <v>5969</v>
      </c>
      <c r="F58" t="s">
        <v>5970</v>
      </c>
      <c r="G58">
        <v>1</v>
      </c>
      <c r="H58" t="s">
        <v>5971</v>
      </c>
      <c r="I58" t="s">
        <v>90</v>
      </c>
      <c r="J58" t="s">
        <v>5972</v>
      </c>
    </row>
    <row r="59" spans="1:10" ht="15" customHeight="1" x14ac:dyDescent="0.25">
      <c r="A59" t="s">
        <v>5973</v>
      </c>
      <c r="B59" t="s">
        <v>3533</v>
      </c>
      <c r="C59" t="s">
        <v>4668</v>
      </c>
      <c r="D59">
        <v>2</v>
      </c>
      <c r="E59" t="s">
        <v>5974</v>
      </c>
      <c r="F59" t="s">
        <v>5974</v>
      </c>
      <c r="G59">
        <v>1</v>
      </c>
      <c r="H59" t="s">
        <v>5975</v>
      </c>
      <c r="I59" t="s">
        <v>90</v>
      </c>
      <c r="J59" t="s">
        <v>5901</v>
      </c>
    </row>
    <row r="60" spans="1:10" ht="15" customHeight="1" x14ac:dyDescent="0.25">
      <c r="A60" t="s">
        <v>3453</v>
      </c>
      <c r="B60" t="s">
        <v>3533</v>
      </c>
      <c r="C60" t="s">
        <v>5793</v>
      </c>
      <c r="D60">
        <v>2</v>
      </c>
      <c r="E60" t="s">
        <v>5976</v>
      </c>
      <c r="F60" t="s">
        <v>5977</v>
      </c>
      <c r="G60">
        <v>2</v>
      </c>
      <c r="H60" t="s">
        <v>3453</v>
      </c>
      <c r="I60" t="s">
        <v>90</v>
      </c>
      <c r="J60" t="s">
        <v>5978</v>
      </c>
    </row>
    <row r="61" spans="1:10" ht="15" customHeight="1" x14ac:dyDescent="0.25">
      <c r="A61" t="s">
        <v>5979</v>
      </c>
      <c r="B61" t="s">
        <v>4368</v>
      </c>
      <c r="C61" t="s">
        <v>3681</v>
      </c>
      <c r="D61" t="s">
        <v>4051</v>
      </c>
      <c r="E61" t="s">
        <v>5980</v>
      </c>
      <c r="F61" t="s">
        <v>3468</v>
      </c>
      <c r="G61" t="s">
        <v>4051</v>
      </c>
      <c r="H61" t="s">
        <v>5979</v>
      </c>
      <c r="I61" t="s">
        <v>90</v>
      </c>
    </row>
    <row r="62" spans="1:10" ht="15" customHeight="1" x14ac:dyDescent="0.25">
      <c r="A62" t="s">
        <v>5981</v>
      </c>
      <c r="B62" t="s">
        <v>41</v>
      </c>
      <c r="C62" t="s">
        <v>5431</v>
      </c>
      <c r="D62">
        <v>1</v>
      </c>
      <c r="E62" t="s">
        <v>5982</v>
      </c>
      <c r="F62" t="s">
        <v>5983</v>
      </c>
      <c r="G62">
        <v>1</v>
      </c>
      <c r="H62" t="s">
        <v>5984</v>
      </c>
      <c r="I62" t="s">
        <v>90</v>
      </c>
      <c r="J62" t="s">
        <v>5884</v>
      </c>
    </row>
    <row r="63" spans="1:10" ht="15" customHeight="1" x14ac:dyDescent="0.25">
      <c r="A63" t="s">
        <v>4329</v>
      </c>
      <c r="B63" t="s">
        <v>4368</v>
      </c>
      <c r="C63" t="s">
        <v>4315</v>
      </c>
      <c r="D63" t="s">
        <v>4051</v>
      </c>
      <c r="E63" t="s">
        <v>5985</v>
      </c>
      <c r="F63" t="s">
        <v>3468</v>
      </c>
      <c r="G63" t="s">
        <v>3468</v>
      </c>
      <c r="H63" t="s">
        <v>4329</v>
      </c>
      <c r="I63" t="s">
        <v>90</v>
      </c>
      <c r="J63" t="s">
        <v>5941</v>
      </c>
    </row>
    <row r="64" spans="1:10" ht="15" customHeight="1" x14ac:dyDescent="0.25">
      <c r="A64" t="s">
        <v>5986</v>
      </c>
      <c r="B64" t="s">
        <v>3569</v>
      </c>
      <c r="C64" t="s">
        <v>5431</v>
      </c>
      <c r="D64">
        <v>1</v>
      </c>
      <c r="E64" t="s">
        <v>5987</v>
      </c>
      <c r="F64" t="s">
        <v>5988</v>
      </c>
      <c r="G64">
        <v>1</v>
      </c>
      <c r="H64" t="s">
        <v>3468</v>
      </c>
      <c r="I64" t="s">
        <v>3468</v>
      </c>
    </row>
    <row r="65" spans="1:10" ht="15" customHeight="1" x14ac:dyDescent="0.25">
      <c r="A65" t="s">
        <v>5989</v>
      </c>
      <c r="B65" t="s">
        <v>41</v>
      </c>
      <c r="C65" t="s">
        <v>5512</v>
      </c>
      <c r="D65">
        <v>1</v>
      </c>
      <c r="E65" t="s">
        <v>5942</v>
      </c>
      <c r="F65" t="s">
        <v>5943</v>
      </c>
      <c r="G65">
        <v>1</v>
      </c>
      <c r="H65" t="s">
        <v>5989</v>
      </c>
      <c r="I65" t="s">
        <v>5944</v>
      </c>
      <c r="J65" t="s">
        <v>5990</v>
      </c>
    </row>
    <row r="66" spans="1:10" ht="15" customHeight="1" x14ac:dyDescent="0.25">
      <c r="A66" t="s">
        <v>5991</v>
      </c>
      <c r="B66" t="s">
        <v>41</v>
      </c>
      <c r="C66" t="s">
        <v>5431</v>
      </c>
      <c r="D66">
        <v>0</v>
      </c>
      <c r="E66" t="s">
        <v>5992</v>
      </c>
      <c r="F66" t="s">
        <v>5993</v>
      </c>
      <c r="G66">
        <v>0</v>
      </c>
      <c r="H66" t="s">
        <v>5991</v>
      </c>
      <c r="I66" t="s">
        <v>90</v>
      </c>
      <c r="J66" t="s">
        <v>5788</v>
      </c>
    </row>
    <row r="67" spans="1:10" ht="15" customHeight="1" x14ac:dyDescent="0.25">
      <c r="A67" t="s">
        <v>5994</v>
      </c>
      <c r="B67" t="s">
        <v>3520</v>
      </c>
      <c r="C67" t="s">
        <v>4668</v>
      </c>
      <c r="D67">
        <v>3</v>
      </c>
      <c r="E67" t="s">
        <v>5995</v>
      </c>
      <c r="F67" t="s">
        <v>5996</v>
      </c>
      <c r="G67">
        <v>3</v>
      </c>
      <c r="H67" t="s">
        <v>5997</v>
      </c>
      <c r="I67" t="s">
        <v>90</v>
      </c>
      <c r="J67" t="s">
        <v>5998</v>
      </c>
    </row>
    <row r="68" spans="1:10" ht="15" customHeight="1" x14ac:dyDescent="0.25">
      <c r="A68" t="s">
        <v>4653</v>
      </c>
      <c r="B68" t="s">
        <v>3533</v>
      </c>
      <c r="C68" t="s">
        <v>5793</v>
      </c>
      <c r="D68">
        <v>0</v>
      </c>
      <c r="E68" t="s">
        <v>5999</v>
      </c>
      <c r="F68" t="s">
        <v>5999</v>
      </c>
      <c r="G68">
        <v>1</v>
      </c>
      <c r="H68" t="s">
        <v>4653</v>
      </c>
      <c r="I68" t="s">
        <v>1622</v>
      </c>
      <c r="J68" t="s">
        <v>5826</v>
      </c>
    </row>
    <row r="69" spans="1:10" ht="15" customHeight="1" x14ac:dyDescent="0.25">
      <c r="A69" t="s">
        <v>6000</v>
      </c>
      <c r="B69" t="s">
        <v>3520</v>
      </c>
      <c r="C69" t="s">
        <v>5793</v>
      </c>
      <c r="D69">
        <v>1</v>
      </c>
      <c r="E69" t="s">
        <v>6001</v>
      </c>
      <c r="F69" t="s">
        <v>6002</v>
      </c>
      <c r="G69">
        <v>1</v>
      </c>
      <c r="H69" t="s">
        <v>6003</v>
      </c>
      <c r="I69" t="s">
        <v>90</v>
      </c>
      <c r="J69" t="s">
        <v>6004</v>
      </c>
    </row>
    <row r="70" spans="1:10" ht="15" customHeight="1" x14ac:dyDescent="0.25">
      <c r="A70" t="s">
        <v>6005</v>
      </c>
      <c r="B70" t="s">
        <v>3533</v>
      </c>
      <c r="C70" t="s">
        <v>5431</v>
      </c>
      <c r="D70">
        <v>1</v>
      </c>
      <c r="E70" t="s">
        <v>6006</v>
      </c>
      <c r="F70" t="s">
        <v>6007</v>
      </c>
      <c r="G70">
        <v>1</v>
      </c>
      <c r="H70" t="s">
        <v>6005</v>
      </c>
      <c r="I70" t="s">
        <v>90</v>
      </c>
      <c r="J70" t="s">
        <v>6008</v>
      </c>
    </row>
    <row r="71" spans="1:10" ht="15" customHeight="1" x14ac:dyDescent="0.25">
      <c r="A71" t="s">
        <v>6009</v>
      </c>
      <c r="B71" t="s">
        <v>3533</v>
      </c>
      <c r="C71" t="s">
        <v>5431</v>
      </c>
      <c r="D71">
        <v>1</v>
      </c>
      <c r="E71" t="s">
        <v>6010</v>
      </c>
      <c r="F71" t="s">
        <v>6010</v>
      </c>
      <c r="G71">
        <v>0</v>
      </c>
      <c r="H71" t="s">
        <v>6009</v>
      </c>
      <c r="I71" t="s">
        <v>90</v>
      </c>
      <c r="J71" t="s">
        <v>6011</v>
      </c>
    </row>
    <row r="72" spans="1:10" ht="15" customHeight="1" x14ac:dyDescent="0.25">
      <c r="A72" t="s">
        <v>6012</v>
      </c>
      <c r="B72" t="s">
        <v>41</v>
      </c>
      <c r="C72" t="s">
        <v>5431</v>
      </c>
      <c r="D72">
        <v>1</v>
      </c>
      <c r="E72" t="s">
        <v>6013</v>
      </c>
      <c r="F72" t="s">
        <v>6014</v>
      </c>
      <c r="G72">
        <v>1</v>
      </c>
      <c r="H72" t="s">
        <v>6015</v>
      </c>
      <c r="I72" t="s">
        <v>90</v>
      </c>
      <c r="J72" t="s">
        <v>5788</v>
      </c>
    </row>
    <row r="73" spans="1:10" ht="15" customHeight="1" x14ac:dyDescent="0.25">
      <c r="A73" t="s">
        <v>6016</v>
      </c>
      <c r="B73" t="s">
        <v>3520</v>
      </c>
      <c r="C73" t="s">
        <v>5431</v>
      </c>
      <c r="D73" t="s">
        <v>6017</v>
      </c>
      <c r="E73" t="s">
        <v>6018</v>
      </c>
      <c r="F73" t="s">
        <v>6019</v>
      </c>
      <c r="G73" t="s">
        <v>6017</v>
      </c>
      <c r="H73" t="s">
        <v>6016</v>
      </c>
      <c r="I73" t="s">
        <v>90</v>
      </c>
      <c r="J73" t="s">
        <v>6020</v>
      </c>
    </row>
    <row r="74" spans="1:10" ht="15" customHeight="1" x14ac:dyDescent="0.25">
      <c r="A74" t="s">
        <v>5435</v>
      </c>
      <c r="B74" t="s">
        <v>3520</v>
      </c>
      <c r="C74" t="s">
        <v>5431</v>
      </c>
      <c r="D74">
        <v>1</v>
      </c>
      <c r="E74" t="s">
        <v>6021</v>
      </c>
      <c r="F74" t="s">
        <v>6022</v>
      </c>
      <c r="G74">
        <v>1</v>
      </c>
      <c r="H74" t="s">
        <v>5437</v>
      </c>
      <c r="I74" t="s">
        <v>90</v>
      </c>
      <c r="J74" t="s">
        <v>6023</v>
      </c>
    </row>
    <row r="75" spans="1:10" ht="15" customHeight="1" x14ac:dyDescent="0.25">
      <c r="A75" t="s">
        <v>6024</v>
      </c>
      <c r="B75" t="s">
        <v>4368</v>
      </c>
      <c r="C75" t="s">
        <v>4315</v>
      </c>
      <c r="D75" t="s">
        <v>4051</v>
      </c>
      <c r="E75" t="s">
        <v>6025</v>
      </c>
      <c r="F75" t="s">
        <v>3468</v>
      </c>
      <c r="G75" t="s">
        <v>3468</v>
      </c>
      <c r="H75" t="s">
        <v>6024</v>
      </c>
      <c r="I75" t="s">
        <v>90</v>
      </c>
      <c r="J75" t="s">
        <v>5941</v>
      </c>
    </row>
    <row r="76" spans="1:10" ht="15" customHeight="1" x14ac:dyDescent="0.25">
      <c r="A76" t="s">
        <v>6026</v>
      </c>
      <c r="B76" t="s">
        <v>3533</v>
      </c>
      <c r="C76" t="s">
        <v>5793</v>
      </c>
      <c r="D76">
        <v>1</v>
      </c>
      <c r="E76" t="s">
        <v>6027</v>
      </c>
      <c r="F76" t="s">
        <v>6028</v>
      </c>
      <c r="G76">
        <v>1</v>
      </c>
      <c r="H76" t="s">
        <v>6026</v>
      </c>
      <c r="I76" t="s">
        <v>90</v>
      </c>
      <c r="J76" t="s">
        <v>6029</v>
      </c>
    </row>
    <row r="77" spans="1:10" ht="15" customHeight="1" x14ac:dyDescent="0.25">
      <c r="A77" t="s">
        <v>6030</v>
      </c>
      <c r="B77" t="s">
        <v>3533</v>
      </c>
      <c r="C77" t="s">
        <v>5512</v>
      </c>
      <c r="D77">
        <v>1</v>
      </c>
      <c r="E77" t="s">
        <v>6031</v>
      </c>
      <c r="F77" t="s">
        <v>6032</v>
      </c>
      <c r="G77">
        <v>1</v>
      </c>
      <c r="H77" t="s">
        <v>6030</v>
      </c>
      <c r="I77" t="s">
        <v>5944</v>
      </c>
      <c r="J77" t="s">
        <v>6033</v>
      </c>
    </row>
    <row r="78" spans="1:10" ht="15" customHeight="1" x14ac:dyDescent="0.25">
      <c r="A78" t="s">
        <v>6034</v>
      </c>
      <c r="B78" t="s">
        <v>3533</v>
      </c>
      <c r="C78" t="s">
        <v>5431</v>
      </c>
      <c r="D78">
        <v>1</v>
      </c>
      <c r="E78" t="s">
        <v>6035</v>
      </c>
      <c r="F78" t="s">
        <v>6036</v>
      </c>
      <c r="G78">
        <v>1</v>
      </c>
      <c r="H78" t="s">
        <v>6037</v>
      </c>
      <c r="I78" t="s">
        <v>90</v>
      </c>
      <c r="J78" t="s">
        <v>5834</v>
      </c>
    </row>
    <row r="79" spans="1:10" ht="15" customHeight="1" x14ac:dyDescent="0.25">
      <c r="A79" t="s">
        <v>6038</v>
      </c>
      <c r="B79" t="s">
        <v>3533</v>
      </c>
      <c r="C79" t="s">
        <v>5793</v>
      </c>
      <c r="D79">
        <v>0</v>
      </c>
      <c r="E79" t="s">
        <v>6039</v>
      </c>
      <c r="F79" t="s">
        <v>6040</v>
      </c>
      <c r="G79">
        <v>0</v>
      </c>
      <c r="H79" t="s">
        <v>6041</v>
      </c>
      <c r="I79" t="s">
        <v>90</v>
      </c>
      <c r="J79" t="s">
        <v>5848</v>
      </c>
    </row>
    <row r="80" spans="1:10" ht="15" customHeight="1" x14ac:dyDescent="0.25">
      <c r="A80" t="s">
        <v>6042</v>
      </c>
      <c r="B80" t="s">
        <v>3533</v>
      </c>
      <c r="C80" t="s">
        <v>5431</v>
      </c>
      <c r="D80">
        <v>2</v>
      </c>
      <c r="E80" t="s">
        <v>6043</v>
      </c>
      <c r="F80" t="s">
        <v>6043</v>
      </c>
      <c r="G80">
        <v>1</v>
      </c>
      <c r="H80" t="s">
        <v>6042</v>
      </c>
      <c r="I80" t="s">
        <v>90</v>
      </c>
      <c r="J80" t="s">
        <v>5810</v>
      </c>
    </row>
    <row r="81" spans="1:10" ht="15" customHeight="1" x14ac:dyDescent="0.25">
      <c r="A81" t="s">
        <v>5267</v>
      </c>
      <c r="B81" t="s">
        <v>3520</v>
      </c>
      <c r="C81" t="s">
        <v>4668</v>
      </c>
      <c r="D81">
        <v>2</v>
      </c>
      <c r="E81" t="s">
        <v>6044</v>
      </c>
      <c r="F81" t="s">
        <v>6044</v>
      </c>
      <c r="G81">
        <v>1</v>
      </c>
      <c r="H81" t="s">
        <v>5267</v>
      </c>
      <c r="I81" t="s">
        <v>90</v>
      </c>
      <c r="J81" t="s">
        <v>5920</v>
      </c>
    </row>
    <row r="82" spans="1:10" ht="15" customHeight="1" x14ac:dyDescent="0.25">
      <c r="A82" t="s">
        <v>6045</v>
      </c>
      <c r="B82" t="s">
        <v>3533</v>
      </c>
      <c r="C82" t="s">
        <v>5431</v>
      </c>
      <c r="D82">
        <v>0</v>
      </c>
      <c r="E82" t="s">
        <v>6046</v>
      </c>
      <c r="F82" t="s">
        <v>6047</v>
      </c>
      <c r="G82">
        <v>0</v>
      </c>
      <c r="H82" t="s">
        <v>6048</v>
      </c>
      <c r="I82" t="s">
        <v>90</v>
      </c>
      <c r="J82" t="s">
        <v>6049</v>
      </c>
    </row>
    <row r="83" spans="1:10" ht="15" customHeight="1" x14ac:dyDescent="0.25">
      <c r="A83" t="s">
        <v>6050</v>
      </c>
      <c r="B83" t="s">
        <v>3533</v>
      </c>
      <c r="C83" t="s">
        <v>5793</v>
      </c>
      <c r="D83">
        <v>3</v>
      </c>
      <c r="E83" t="s">
        <v>6051</v>
      </c>
      <c r="F83" t="s">
        <v>6052</v>
      </c>
      <c r="G83">
        <v>3</v>
      </c>
      <c r="H83" t="s">
        <v>6050</v>
      </c>
      <c r="I83" t="s">
        <v>90</v>
      </c>
      <c r="J83" t="s">
        <v>6053</v>
      </c>
    </row>
    <row r="84" spans="1:10" ht="15" customHeight="1" x14ac:dyDescent="0.25">
      <c r="A84" t="s">
        <v>5269</v>
      </c>
      <c r="B84" t="s">
        <v>3533</v>
      </c>
      <c r="C84" t="s">
        <v>4668</v>
      </c>
      <c r="D84">
        <v>1</v>
      </c>
      <c r="E84" t="s">
        <v>6054</v>
      </c>
      <c r="F84" t="s">
        <v>6055</v>
      </c>
      <c r="G84">
        <v>1</v>
      </c>
      <c r="H84" t="s">
        <v>5269</v>
      </c>
      <c r="I84" t="s">
        <v>90</v>
      </c>
      <c r="J84" t="s">
        <v>6056</v>
      </c>
    </row>
    <row r="85" spans="1:10" ht="15" customHeight="1" x14ac:dyDescent="0.25">
      <c r="A85" t="s">
        <v>6057</v>
      </c>
      <c r="B85" t="s">
        <v>3520</v>
      </c>
      <c r="C85" t="s">
        <v>5431</v>
      </c>
      <c r="D85">
        <v>1</v>
      </c>
      <c r="E85" t="s">
        <v>6058</v>
      </c>
      <c r="F85" t="s">
        <v>6058</v>
      </c>
      <c r="G85">
        <v>0</v>
      </c>
      <c r="H85" t="s">
        <v>6057</v>
      </c>
      <c r="I85" t="s">
        <v>90</v>
      </c>
      <c r="J85" t="s">
        <v>6059</v>
      </c>
    </row>
    <row r="86" spans="1:10" ht="15" customHeight="1" x14ac:dyDescent="0.25">
      <c r="A86" t="s">
        <v>6060</v>
      </c>
      <c r="B86" t="s">
        <v>3533</v>
      </c>
      <c r="C86" t="s">
        <v>5431</v>
      </c>
      <c r="D86">
        <v>1</v>
      </c>
      <c r="E86" t="s">
        <v>6061</v>
      </c>
      <c r="F86" t="s">
        <v>6062</v>
      </c>
      <c r="G86">
        <v>1</v>
      </c>
      <c r="H86" t="s">
        <v>6060</v>
      </c>
      <c r="I86" t="s">
        <v>90</v>
      </c>
      <c r="J86" t="s">
        <v>6063</v>
      </c>
    </row>
    <row r="87" spans="1:10" ht="15" customHeight="1" x14ac:dyDescent="0.25">
      <c r="A87" t="s">
        <v>6064</v>
      </c>
      <c r="B87" t="s">
        <v>3520</v>
      </c>
      <c r="C87" t="s">
        <v>5793</v>
      </c>
      <c r="D87">
        <v>1</v>
      </c>
      <c r="E87" t="s">
        <v>6065</v>
      </c>
      <c r="F87" t="s">
        <v>6066</v>
      </c>
      <c r="G87">
        <v>1</v>
      </c>
      <c r="H87" t="s">
        <v>6064</v>
      </c>
      <c r="I87" t="s">
        <v>90</v>
      </c>
      <c r="J87" t="s">
        <v>6067</v>
      </c>
    </row>
    <row r="88" spans="1:10" ht="15" customHeight="1" x14ac:dyDescent="0.25">
      <c r="A88" t="s">
        <v>5277</v>
      </c>
      <c r="B88" t="s">
        <v>3533</v>
      </c>
      <c r="C88" t="s">
        <v>4668</v>
      </c>
      <c r="D88">
        <v>1</v>
      </c>
      <c r="E88" t="s">
        <v>6068</v>
      </c>
      <c r="F88" t="s">
        <v>6069</v>
      </c>
      <c r="G88">
        <v>1</v>
      </c>
      <c r="H88" t="s">
        <v>5279</v>
      </c>
      <c r="I88" t="s">
        <v>90</v>
      </c>
      <c r="J88" t="s">
        <v>6070</v>
      </c>
    </row>
    <row r="89" spans="1:10" ht="15" customHeight="1" x14ac:dyDescent="0.25">
      <c r="A89" t="s">
        <v>6071</v>
      </c>
      <c r="B89" t="s">
        <v>3520</v>
      </c>
      <c r="C89" t="s">
        <v>5793</v>
      </c>
      <c r="D89">
        <v>2</v>
      </c>
      <c r="E89" t="s">
        <v>6072</v>
      </c>
      <c r="F89" t="s">
        <v>6073</v>
      </c>
      <c r="G89">
        <v>2</v>
      </c>
      <c r="H89" t="s">
        <v>6074</v>
      </c>
      <c r="I89" t="s">
        <v>90</v>
      </c>
      <c r="J89" t="s">
        <v>6075</v>
      </c>
    </row>
    <row r="90" spans="1:10" ht="15" customHeight="1" x14ac:dyDescent="0.25">
      <c r="A90" t="s">
        <v>6076</v>
      </c>
      <c r="B90" t="s">
        <v>41</v>
      </c>
      <c r="C90" t="s">
        <v>5512</v>
      </c>
      <c r="D90">
        <v>1</v>
      </c>
      <c r="E90" t="s">
        <v>5942</v>
      </c>
      <c r="F90" t="s">
        <v>5943</v>
      </c>
      <c r="G90">
        <v>1</v>
      </c>
      <c r="H90" t="s">
        <v>6076</v>
      </c>
      <c r="I90" t="s">
        <v>2362</v>
      </c>
      <c r="J90" t="s">
        <v>6077</v>
      </c>
    </row>
    <row r="91" spans="1:10" ht="15" customHeight="1" x14ac:dyDescent="0.25">
      <c r="A91" t="s">
        <v>6078</v>
      </c>
      <c r="B91" t="s">
        <v>3533</v>
      </c>
      <c r="C91" t="s">
        <v>5793</v>
      </c>
      <c r="D91">
        <v>1</v>
      </c>
      <c r="E91" t="s">
        <v>6079</v>
      </c>
      <c r="F91" t="s">
        <v>6080</v>
      </c>
      <c r="G91">
        <v>1</v>
      </c>
      <c r="H91" t="s">
        <v>6078</v>
      </c>
      <c r="I91" t="s">
        <v>90</v>
      </c>
      <c r="J91" t="s">
        <v>5848</v>
      </c>
    </row>
    <row r="92" spans="1:10" ht="15" customHeight="1" x14ac:dyDescent="0.25">
      <c r="A92" t="s">
        <v>5280</v>
      </c>
      <c r="B92" t="s">
        <v>3533</v>
      </c>
      <c r="C92" t="s">
        <v>4668</v>
      </c>
      <c r="D92">
        <v>1</v>
      </c>
      <c r="E92" t="s">
        <v>6081</v>
      </c>
      <c r="F92" t="s">
        <v>6082</v>
      </c>
      <c r="G92">
        <v>1</v>
      </c>
      <c r="H92" t="s">
        <v>5282</v>
      </c>
      <c r="I92" t="s">
        <v>90</v>
      </c>
      <c r="J92" t="s">
        <v>6083</v>
      </c>
    </row>
    <row r="93" spans="1:10" ht="15" customHeight="1" x14ac:dyDescent="0.25">
      <c r="A93" t="s">
        <v>5283</v>
      </c>
      <c r="B93" t="s">
        <v>3533</v>
      </c>
      <c r="C93" t="s">
        <v>5431</v>
      </c>
      <c r="D93">
        <v>2</v>
      </c>
      <c r="E93" t="s">
        <v>6084</v>
      </c>
      <c r="F93" t="s">
        <v>6085</v>
      </c>
      <c r="G93">
        <v>2</v>
      </c>
      <c r="H93" t="s">
        <v>5285</v>
      </c>
      <c r="I93" t="s">
        <v>90</v>
      </c>
      <c r="J93" t="s">
        <v>5810</v>
      </c>
    </row>
    <row r="94" spans="1:10" ht="15" customHeight="1" x14ac:dyDescent="0.25">
      <c r="A94" t="s">
        <v>6086</v>
      </c>
      <c r="B94" t="s">
        <v>3533</v>
      </c>
      <c r="C94" t="s">
        <v>5793</v>
      </c>
      <c r="D94">
        <v>1</v>
      </c>
      <c r="E94" t="s">
        <v>6087</v>
      </c>
      <c r="F94" t="s">
        <v>6088</v>
      </c>
      <c r="G94">
        <v>1</v>
      </c>
      <c r="H94" t="s">
        <v>6086</v>
      </c>
      <c r="I94" t="s">
        <v>90</v>
      </c>
      <c r="J94" t="s">
        <v>5848</v>
      </c>
    </row>
    <row r="95" spans="1:10" ht="15" customHeight="1" x14ac:dyDescent="0.25">
      <c r="A95" t="s">
        <v>6089</v>
      </c>
      <c r="B95" t="s">
        <v>41</v>
      </c>
      <c r="C95" t="s">
        <v>5431</v>
      </c>
      <c r="D95">
        <v>0</v>
      </c>
      <c r="E95" t="s">
        <v>6090</v>
      </c>
      <c r="F95" t="s">
        <v>6091</v>
      </c>
      <c r="G95">
        <v>0</v>
      </c>
      <c r="H95" t="s">
        <v>6089</v>
      </c>
      <c r="I95" t="s">
        <v>90</v>
      </c>
      <c r="J95" t="s">
        <v>5806</v>
      </c>
    </row>
    <row r="96" spans="1:10" ht="15" customHeight="1" x14ac:dyDescent="0.25">
      <c r="A96" t="s">
        <v>6092</v>
      </c>
      <c r="B96" t="s">
        <v>41</v>
      </c>
      <c r="C96" t="s">
        <v>5793</v>
      </c>
      <c r="D96">
        <v>1</v>
      </c>
      <c r="E96" t="s">
        <v>6093</v>
      </c>
      <c r="F96" t="s">
        <v>6094</v>
      </c>
      <c r="G96">
        <v>1</v>
      </c>
      <c r="H96" t="s">
        <v>6095</v>
      </c>
      <c r="I96" t="s">
        <v>90</v>
      </c>
      <c r="J96" t="s">
        <v>6096</v>
      </c>
    </row>
    <row r="97" spans="1:10" ht="15" customHeight="1" x14ac:dyDescent="0.25">
      <c r="A97" t="s">
        <v>6097</v>
      </c>
      <c r="B97" t="s">
        <v>3533</v>
      </c>
      <c r="C97" t="s">
        <v>4668</v>
      </c>
      <c r="D97">
        <v>1</v>
      </c>
      <c r="E97" t="s">
        <v>5736</v>
      </c>
      <c r="F97" t="s">
        <v>6098</v>
      </c>
      <c r="G97">
        <v>1</v>
      </c>
      <c r="H97" t="s">
        <v>6097</v>
      </c>
      <c r="I97" t="s">
        <v>90</v>
      </c>
      <c r="J97" t="s">
        <v>5788</v>
      </c>
    </row>
    <row r="98" spans="1:10" ht="15" customHeight="1" x14ac:dyDescent="0.25">
      <c r="A98" t="s">
        <v>6099</v>
      </c>
      <c r="B98" t="s">
        <v>3533</v>
      </c>
      <c r="C98" t="s">
        <v>5512</v>
      </c>
      <c r="D98">
        <v>1</v>
      </c>
      <c r="E98" t="s">
        <v>5942</v>
      </c>
      <c r="F98" t="s">
        <v>5943</v>
      </c>
      <c r="G98">
        <v>1</v>
      </c>
      <c r="H98" t="s">
        <v>6099</v>
      </c>
      <c r="I98" t="s">
        <v>2362</v>
      </c>
      <c r="J98" t="s">
        <v>5945</v>
      </c>
    </row>
    <row r="99" spans="1:10" ht="15" customHeight="1" x14ac:dyDescent="0.25">
      <c r="A99" t="s">
        <v>6100</v>
      </c>
      <c r="B99" t="s">
        <v>3533</v>
      </c>
      <c r="C99" t="s">
        <v>5431</v>
      </c>
      <c r="D99">
        <v>1</v>
      </c>
      <c r="E99" t="s">
        <v>6101</v>
      </c>
      <c r="F99" t="s">
        <v>6102</v>
      </c>
      <c r="G99">
        <v>1</v>
      </c>
      <c r="H99" t="s">
        <v>6103</v>
      </c>
      <c r="I99" t="s">
        <v>90</v>
      </c>
      <c r="J99" t="s">
        <v>5810</v>
      </c>
    </row>
    <row r="100" spans="1:10" ht="15" customHeight="1" x14ac:dyDescent="0.25">
      <c r="A100" t="s">
        <v>6104</v>
      </c>
      <c r="B100" t="s">
        <v>3533</v>
      </c>
      <c r="C100" t="s">
        <v>5512</v>
      </c>
      <c r="D100">
        <v>1</v>
      </c>
      <c r="E100" t="s">
        <v>5942</v>
      </c>
      <c r="F100" t="s">
        <v>5943</v>
      </c>
      <c r="G100">
        <v>1</v>
      </c>
      <c r="H100" t="s">
        <v>6104</v>
      </c>
      <c r="I100" t="s">
        <v>2362</v>
      </c>
      <c r="J100" t="s">
        <v>6077</v>
      </c>
    </row>
    <row r="101" spans="1:10" ht="15" customHeight="1" x14ac:dyDescent="0.25">
      <c r="A101" t="s">
        <v>6105</v>
      </c>
      <c r="B101" t="s">
        <v>3520</v>
      </c>
      <c r="C101" t="s">
        <v>5793</v>
      </c>
      <c r="D101">
        <v>1</v>
      </c>
      <c r="E101" t="s">
        <v>6106</v>
      </c>
      <c r="F101" t="s">
        <v>6107</v>
      </c>
      <c r="G101">
        <v>1</v>
      </c>
      <c r="H101" t="s">
        <v>6108</v>
      </c>
      <c r="I101" t="s">
        <v>90</v>
      </c>
      <c r="J101" t="s">
        <v>5848</v>
      </c>
    </row>
    <row r="102" spans="1:10" ht="15" customHeight="1" x14ac:dyDescent="0.25">
      <c r="A102" t="s">
        <v>6109</v>
      </c>
      <c r="B102" t="s">
        <v>41</v>
      </c>
      <c r="C102" t="s">
        <v>5793</v>
      </c>
      <c r="D102">
        <v>0</v>
      </c>
      <c r="E102" t="s">
        <v>6110</v>
      </c>
      <c r="F102" t="s">
        <v>6111</v>
      </c>
      <c r="G102">
        <v>0</v>
      </c>
      <c r="H102" t="s">
        <v>6112</v>
      </c>
      <c r="I102" t="s">
        <v>90</v>
      </c>
      <c r="J102" t="s">
        <v>5839</v>
      </c>
    </row>
    <row r="103" spans="1:10" ht="15" customHeight="1" x14ac:dyDescent="0.25">
      <c r="A103" t="s">
        <v>6113</v>
      </c>
      <c r="B103" t="s">
        <v>3520</v>
      </c>
      <c r="C103" t="s">
        <v>5793</v>
      </c>
      <c r="D103">
        <v>0</v>
      </c>
      <c r="E103" t="s">
        <v>6114</v>
      </c>
      <c r="F103" t="s">
        <v>6115</v>
      </c>
      <c r="G103">
        <v>0</v>
      </c>
      <c r="H103" t="s">
        <v>6116</v>
      </c>
      <c r="I103" t="s">
        <v>90</v>
      </c>
      <c r="J103" t="s">
        <v>5848</v>
      </c>
    </row>
    <row r="104" spans="1:10" ht="15" customHeight="1" x14ac:dyDescent="0.25">
      <c r="A104" t="s">
        <v>5203</v>
      </c>
      <c r="B104" t="s">
        <v>4368</v>
      </c>
      <c r="C104" t="s">
        <v>4315</v>
      </c>
      <c r="D104" t="s">
        <v>4051</v>
      </c>
      <c r="E104" t="s">
        <v>6117</v>
      </c>
      <c r="F104" t="s">
        <v>3468</v>
      </c>
      <c r="G104" t="s">
        <v>3468</v>
      </c>
      <c r="H104" t="s">
        <v>5203</v>
      </c>
      <c r="I104" t="s">
        <v>38</v>
      </c>
      <c r="J104" t="s">
        <v>5941</v>
      </c>
    </row>
    <row r="105" spans="1:10" ht="15" customHeight="1" x14ac:dyDescent="0.25">
      <c r="A105" t="s">
        <v>6118</v>
      </c>
      <c r="B105" t="s">
        <v>41</v>
      </c>
      <c r="C105" t="s">
        <v>5431</v>
      </c>
      <c r="D105">
        <v>1</v>
      </c>
      <c r="E105" t="s">
        <v>6119</v>
      </c>
      <c r="F105" t="s">
        <v>6119</v>
      </c>
      <c r="G105">
        <v>0</v>
      </c>
      <c r="H105" t="s">
        <v>6118</v>
      </c>
      <c r="I105" t="s">
        <v>90</v>
      </c>
      <c r="J105" t="s">
        <v>6075</v>
      </c>
    </row>
    <row r="106" spans="1:10" ht="15" customHeight="1" x14ac:dyDescent="0.25">
      <c r="A106" t="s">
        <v>6120</v>
      </c>
      <c r="B106" t="s">
        <v>41</v>
      </c>
      <c r="C106" t="s">
        <v>5793</v>
      </c>
      <c r="D106">
        <v>1</v>
      </c>
      <c r="E106" t="s">
        <v>6121</v>
      </c>
      <c r="F106" t="s">
        <v>6122</v>
      </c>
      <c r="G106">
        <v>1</v>
      </c>
      <c r="H106" t="s">
        <v>6120</v>
      </c>
      <c r="I106" t="s">
        <v>90</v>
      </c>
      <c r="J106" t="s">
        <v>5806</v>
      </c>
    </row>
    <row r="107" spans="1:10" ht="15" customHeight="1" x14ac:dyDescent="0.25">
      <c r="A107" t="s">
        <v>6123</v>
      </c>
      <c r="B107" t="s">
        <v>41</v>
      </c>
      <c r="C107" t="s">
        <v>5512</v>
      </c>
      <c r="D107">
        <v>1</v>
      </c>
      <c r="E107" t="s">
        <v>6124</v>
      </c>
      <c r="F107" t="s">
        <v>6125</v>
      </c>
      <c r="G107">
        <v>1</v>
      </c>
      <c r="H107" t="s">
        <v>6123</v>
      </c>
      <c r="I107" t="s">
        <v>2362</v>
      </c>
      <c r="J107" t="s">
        <v>6033</v>
      </c>
    </row>
    <row r="108" spans="1:10" ht="15" customHeight="1" x14ac:dyDescent="0.25">
      <c r="A108" t="s">
        <v>6126</v>
      </c>
      <c r="B108" t="s">
        <v>41</v>
      </c>
      <c r="C108" t="s">
        <v>5793</v>
      </c>
      <c r="D108">
        <v>2</v>
      </c>
      <c r="E108" t="s">
        <v>6127</v>
      </c>
      <c r="F108" t="s">
        <v>6128</v>
      </c>
      <c r="G108">
        <v>2</v>
      </c>
      <c r="H108" t="s">
        <v>6129</v>
      </c>
      <c r="I108" t="s">
        <v>90</v>
      </c>
      <c r="J108" t="s">
        <v>6130</v>
      </c>
    </row>
    <row r="109" spans="1:10" ht="15" customHeight="1" x14ac:dyDescent="0.25">
      <c r="A109" t="s">
        <v>6131</v>
      </c>
      <c r="B109" t="s">
        <v>3533</v>
      </c>
      <c r="C109" t="s">
        <v>5793</v>
      </c>
      <c r="D109">
        <v>1</v>
      </c>
      <c r="E109" t="s">
        <v>6132</v>
      </c>
      <c r="F109" t="s">
        <v>6133</v>
      </c>
      <c r="G109">
        <v>1</v>
      </c>
      <c r="H109" t="s">
        <v>6134</v>
      </c>
      <c r="I109" t="s">
        <v>90</v>
      </c>
      <c r="J109" t="s">
        <v>5920</v>
      </c>
    </row>
    <row r="110" spans="1:10" ht="15" customHeight="1" x14ac:dyDescent="0.25">
      <c r="A110" t="s">
        <v>6135</v>
      </c>
      <c r="B110" t="s">
        <v>3533</v>
      </c>
      <c r="C110" t="s">
        <v>5793</v>
      </c>
      <c r="D110">
        <v>1</v>
      </c>
      <c r="E110" t="s">
        <v>6136</v>
      </c>
      <c r="F110" t="s">
        <v>6137</v>
      </c>
      <c r="G110">
        <v>1</v>
      </c>
      <c r="H110" t="s">
        <v>6135</v>
      </c>
      <c r="I110" t="s">
        <v>90</v>
      </c>
      <c r="J110" t="s">
        <v>5806</v>
      </c>
    </row>
    <row r="111" spans="1:10" ht="15" customHeight="1" x14ac:dyDescent="0.25">
      <c r="A111" t="s">
        <v>6138</v>
      </c>
      <c r="B111" t="s">
        <v>41</v>
      </c>
      <c r="C111" t="s">
        <v>5431</v>
      </c>
      <c r="D111">
        <v>1</v>
      </c>
      <c r="E111" t="s">
        <v>6139</v>
      </c>
      <c r="F111" t="s">
        <v>6140</v>
      </c>
      <c r="G111">
        <v>1</v>
      </c>
      <c r="H111" t="s">
        <v>6138</v>
      </c>
      <c r="I111" t="s">
        <v>90</v>
      </c>
      <c r="J111" t="s">
        <v>6141</v>
      </c>
    </row>
    <row r="112" spans="1:10" ht="15" customHeight="1" x14ac:dyDescent="0.25">
      <c r="A112" t="s">
        <v>6142</v>
      </c>
      <c r="B112" t="s">
        <v>3520</v>
      </c>
      <c r="C112" t="s">
        <v>5793</v>
      </c>
      <c r="D112">
        <v>2</v>
      </c>
      <c r="E112" t="s">
        <v>6143</v>
      </c>
      <c r="F112" t="s">
        <v>6144</v>
      </c>
      <c r="G112">
        <v>2</v>
      </c>
      <c r="H112" t="s">
        <v>6142</v>
      </c>
      <c r="I112" t="s">
        <v>90</v>
      </c>
      <c r="J112" t="s">
        <v>5806</v>
      </c>
    </row>
    <row r="113" spans="1:10" ht="15" customHeight="1" x14ac:dyDescent="0.25">
      <c r="A113" t="s">
        <v>6145</v>
      </c>
      <c r="B113" t="s">
        <v>3520</v>
      </c>
      <c r="C113" t="s">
        <v>5431</v>
      </c>
      <c r="D113">
        <v>2</v>
      </c>
      <c r="E113" t="s">
        <v>6146</v>
      </c>
      <c r="F113" t="s">
        <v>6147</v>
      </c>
      <c r="G113">
        <v>2</v>
      </c>
      <c r="H113" t="s">
        <v>6145</v>
      </c>
      <c r="I113" t="s">
        <v>90</v>
      </c>
      <c r="J113" t="s">
        <v>6070</v>
      </c>
    </row>
    <row r="114" spans="1:10" ht="15" customHeight="1" x14ac:dyDescent="0.25">
      <c r="A114" t="s">
        <v>6148</v>
      </c>
      <c r="B114" t="s">
        <v>3533</v>
      </c>
      <c r="C114" t="s">
        <v>5431</v>
      </c>
      <c r="D114">
        <v>1</v>
      </c>
      <c r="E114" t="s">
        <v>6149</v>
      </c>
      <c r="F114" t="s">
        <v>6149</v>
      </c>
      <c r="G114">
        <v>0</v>
      </c>
      <c r="H114" t="s">
        <v>6150</v>
      </c>
      <c r="I114" t="s">
        <v>90</v>
      </c>
      <c r="J114" t="s">
        <v>6151</v>
      </c>
    </row>
    <row r="115" spans="1:10" ht="15" customHeight="1" x14ac:dyDescent="0.25">
      <c r="A115" t="s">
        <v>6152</v>
      </c>
      <c r="B115" t="s">
        <v>3533</v>
      </c>
      <c r="C115" t="s">
        <v>4668</v>
      </c>
      <c r="D115">
        <v>1</v>
      </c>
      <c r="E115" t="s">
        <v>6153</v>
      </c>
      <c r="F115" t="s">
        <v>6154</v>
      </c>
      <c r="G115">
        <v>1</v>
      </c>
      <c r="H115" t="s">
        <v>6155</v>
      </c>
      <c r="I115" t="s">
        <v>90</v>
      </c>
      <c r="J115" t="s">
        <v>5848</v>
      </c>
    </row>
    <row r="116" spans="1:10" ht="15" customHeight="1" x14ac:dyDescent="0.25">
      <c r="A116" t="s">
        <v>6156</v>
      </c>
      <c r="B116" t="s">
        <v>3533</v>
      </c>
      <c r="C116" t="s">
        <v>4668</v>
      </c>
      <c r="D116">
        <v>1</v>
      </c>
      <c r="E116" t="s">
        <v>6157</v>
      </c>
      <c r="F116" t="s">
        <v>6158</v>
      </c>
      <c r="G116">
        <v>1</v>
      </c>
      <c r="H116" t="s">
        <v>6156</v>
      </c>
      <c r="I116" t="s">
        <v>90</v>
      </c>
      <c r="J116" t="s">
        <v>5998</v>
      </c>
    </row>
    <row r="117" spans="1:10" ht="15" customHeight="1" x14ac:dyDescent="0.25">
      <c r="A117" t="s">
        <v>4323</v>
      </c>
      <c r="B117" t="s">
        <v>4368</v>
      </c>
      <c r="C117" t="s">
        <v>4315</v>
      </c>
      <c r="D117" t="s">
        <v>4051</v>
      </c>
      <c r="E117" t="s">
        <v>6159</v>
      </c>
      <c r="F117" t="s">
        <v>3468</v>
      </c>
      <c r="G117" t="s">
        <v>3468</v>
      </c>
      <c r="H117" t="s">
        <v>4323</v>
      </c>
      <c r="I117" t="s">
        <v>90</v>
      </c>
      <c r="J117" t="s">
        <v>5941</v>
      </c>
    </row>
    <row r="118" spans="1:10" ht="15" customHeight="1" x14ac:dyDescent="0.25">
      <c r="A118" t="s">
        <v>6160</v>
      </c>
      <c r="B118" t="s">
        <v>3533</v>
      </c>
      <c r="C118" t="s">
        <v>5431</v>
      </c>
      <c r="D118">
        <v>0</v>
      </c>
      <c r="E118" t="s">
        <v>6161</v>
      </c>
      <c r="F118" t="s">
        <v>6162</v>
      </c>
      <c r="G118">
        <v>0</v>
      </c>
      <c r="H118" t="s">
        <v>6160</v>
      </c>
      <c r="I118" t="s">
        <v>90</v>
      </c>
      <c r="J118" t="s">
        <v>6008</v>
      </c>
    </row>
    <row r="119" spans="1:10" ht="15" customHeight="1" x14ac:dyDescent="0.25">
      <c r="A119" t="s">
        <v>6163</v>
      </c>
      <c r="B119" t="s">
        <v>41</v>
      </c>
      <c r="C119" t="s">
        <v>5793</v>
      </c>
      <c r="D119">
        <v>1</v>
      </c>
      <c r="E119" t="s">
        <v>6164</v>
      </c>
      <c r="F119" t="s">
        <v>6165</v>
      </c>
      <c r="G119">
        <v>1</v>
      </c>
      <c r="H119" t="s">
        <v>6166</v>
      </c>
      <c r="I119" t="s">
        <v>90</v>
      </c>
      <c r="J119" t="s">
        <v>6167</v>
      </c>
    </row>
    <row r="120" spans="1:10" ht="15" customHeight="1" x14ac:dyDescent="0.25">
      <c r="A120" t="s">
        <v>5758</v>
      </c>
      <c r="B120" t="s">
        <v>3569</v>
      </c>
      <c r="C120" t="s">
        <v>5512</v>
      </c>
      <c r="D120">
        <v>1</v>
      </c>
      <c r="E120" s="4" t="s">
        <v>6168</v>
      </c>
      <c r="F120" s="4" t="s">
        <v>6168</v>
      </c>
      <c r="G120" s="4">
        <v>0</v>
      </c>
      <c r="H120" t="s">
        <v>3468</v>
      </c>
      <c r="I120" t="s">
        <v>160</v>
      </c>
    </row>
    <row r="121" spans="1:10" ht="15" customHeight="1" x14ac:dyDescent="0.25">
      <c r="A121" t="s">
        <v>6169</v>
      </c>
      <c r="B121" t="s">
        <v>3533</v>
      </c>
      <c r="C121" t="s">
        <v>5512</v>
      </c>
      <c r="D121">
        <v>1</v>
      </c>
      <c r="E121" t="s">
        <v>6170</v>
      </c>
      <c r="F121" t="s">
        <v>6171</v>
      </c>
      <c r="G121">
        <v>1</v>
      </c>
      <c r="H121" t="s">
        <v>6169</v>
      </c>
      <c r="I121" t="s">
        <v>2362</v>
      </c>
      <c r="J121" t="s">
        <v>6172</v>
      </c>
    </row>
    <row r="122" spans="1:10" ht="15" customHeight="1" x14ac:dyDescent="0.25">
      <c r="A122" t="s">
        <v>6173</v>
      </c>
      <c r="B122" t="s">
        <v>3520</v>
      </c>
      <c r="C122" t="s">
        <v>4668</v>
      </c>
      <c r="D122">
        <v>2</v>
      </c>
      <c r="E122" t="s">
        <v>6174</v>
      </c>
      <c r="F122" t="s">
        <v>6175</v>
      </c>
      <c r="G122">
        <v>2</v>
      </c>
      <c r="H122" t="s">
        <v>6173</v>
      </c>
      <c r="I122" t="s">
        <v>90</v>
      </c>
      <c r="J122" t="s">
        <v>6167</v>
      </c>
    </row>
    <row r="123" spans="1:10" ht="15" customHeight="1" x14ac:dyDescent="0.25">
      <c r="A123" t="s">
        <v>6176</v>
      </c>
      <c r="B123" t="s">
        <v>3533</v>
      </c>
      <c r="C123" t="s">
        <v>5512</v>
      </c>
      <c r="D123">
        <v>1</v>
      </c>
      <c r="E123" t="s">
        <v>5942</v>
      </c>
      <c r="F123" t="s">
        <v>5943</v>
      </c>
      <c r="G123">
        <v>1</v>
      </c>
      <c r="H123" t="s">
        <v>6176</v>
      </c>
      <c r="I123" t="s">
        <v>2362</v>
      </c>
      <c r="J123" t="s">
        <v>5945</v>
      </c>
    </row>
    <row r="124" spans="1:10" ht="15" customHeight="1" x14ac:dyDescent="0.25">
      <c r="A124" t="s">
        <v>6177</v>
      </c>
      <c r="B124" t="s">
        <v>41</v>
      </c>
      <c r="C124" t="s">
        <v>5512</v>
      </c>
      <c r="D124">
        <v>1</v>
      </c>
      <c r="E124" t="s">
        <v>5942</v>
      </c>
      <c r="F124" t="s">
        <v>5943</v>
      </c>
      <c r="G124">
        <v>1</v>
      </c>
      <c r="H124" t="s">
        <v>6177</v>
      </c>
      <c r="I124" t="s">
        <v>2362</v>
      </c>
      <c r="J124" t="s">
        <v>6077</v>
      </c>
    </row>
    <row r="125" spans="1:10" ht="15" customHeight="1" x14ac:dyDescent="0.25">
      <c r="A125" t="s">
        <v>6178</v>
      </c>
      <c r="B125" t="s">
        <v>41</v>
      </c>
      <c r="C125" t="s">
        <v>5431</v>
      </c>
      <c r="D125">
        <v>1</v>
      </c>
      <c r="E125" t="s">
        <v>6179</v>
      </c>
      <c r="F125" t="s">
        <v>6180</v>
      </c>
      <c r="G125">
        <v>1</v>
      </c>
      <c r="H125" t="s">
        <v>6178</v>
      </c>
      <c r="I125" t="s">
        <v>90</v>
      </c>
      <c r="J125" t="s">
        <v>5890</v>
      </c>
    </row>
    <row r="126" spans="1:10" ht="15" customHeight="1" x14ac:dyDescent="0.25">
      <c r="A126" t="s">
        <v>6181</v>
      </c>
      <c r="B126" t="s">
        <v>3533</v>
      </c>
      <c r="C126" t="s">
        <v>5431</v>
      </c>
      <c r="D126">
        <v>2</v>
      </c>
      <c r="E126" t="s">
        <v>6182</v>
      </c>
      <c r="F126" t="s">
        <v>6183</v>
      </c>
      <c r="G126">
        <v>2</v>
      </c>
      <c r="H126" t="s">
        <v>6184</v>
      </c>
      <c r="I126" t="s">
        <v>90</v>
      </c>
      <c r="J126" t="s">
        <v>6185</v>
      </c>
    </row>
    <row r="127" spans="1:10" ht="15" customHeight="1" x14ac:dyDescent="0.25">
      <c r="A127" t="s">
        <v>4764</v>
      </c>
      <c r="B127" t="s">
        <v>41</v>
      </c>
      <c r="C127" t="s">
        <v>5793</v>
      </c>
      <c r="D127">
        <v>1</v>
      </c>
      <c r="E127" t="s">
        <v>6186</v>
      </c>
      <c r="F127" t="s">
        <v>6186</v>
      </c>
      <c r="G127">
        <v>1</v>
      </c>
      <c r="H127" t="s">
        <v>4767</v>
      </c>
      <c r="I127" t="s">
        <v>1047</v>
      </c>
      <c r="J127" t="s">
        <v>5826</v>
      </c>
    </row>
    <row r="128" spans="1:10" ht="15" customHeight="1" x14ac:dyDescent="0.25">
      <c r="A128" t="s">
        <v>6187</v>
      </c>
      <c r="B128" t="s">
        <v>3520</v>
      </c>
      <c r="C128" t="s">
        <v>5431</v>
      </c>
      <c r="D128">
        <v>1</v>
      </c>
      <c r="E128" t="s">
        <v>6188</v>
      </c>
      <c r="F128" t="s">
        <v>6189</v>
      </c>
      <c r="G128">
        <v>1</v>
      </c>
      <c r="H128" t="s">
        <v>6190</v>
      </c>
      <c r="I128" t="s">
        <v>90</v>
      </c>
      <c r="J128" t="s">
        <v>5998</v>
      </c>
    </row>
    <row r="129" spans="1:10" ht="15" customHeight="1" x14ac:dyDescent="0.25">
      <c r="A129" t="s">
        <v>6191</v>
      </c>
      <c r="B129" t="s">
        <v>3520</v>
      </c>
      <c r="C129" t="s">
        <v>4668</v>
      </c>
      <c r="D129">
        <v>1</v>
      </c>
      <c r="E129" t="s">
        <v>6192</v>
      </c>
      <c r="F129" t="s">
        <v>6193</v>
      </c>
      <c r="G129">
        <v>1</v>
      </c>
      <c r="H129" t="s">
        <v>6194</v>
      </c>
      <c r="I129" t="s">
        <v>90</v>
      </c>
      <c r="J129" t="s">
        <v>6195</v>
      </c>
    </row>
    <row r="130" spans="1:10" ht="15" customHeight="1" x14ac:dyDescent="0.25">
      <c r="A130" t="s">
        <v>6196</v>
      </c>
      <c r="B130" t="s">
        <v>41</v>
      </c>
      <c r="C130" t="s">
        <v>5512</v>
      </c>
      <c r="D130">
        <v>1</v>
      </c>
      <c r="E130" t="s">
        <v>6197</v>
      </c>
      <c r="F130" t="s">
        <v>6198</v>
      </c>
      <c r="G130">
        <v>1</v>
      </c>
      <c r="H130" t="s">
        <v>6196</v>
      </c>
      <c r="I130" t="s">
        <v>2362</v>
      </c>
      <c r="J130" t="s">
        <v>6172</v>
      </c>
    </row>
    <row r="131" spans="1:10" ht="15" customHeight="1" x14ac:dyDescent="0.25">
      <c r="A131" t="s">
        <v>6199</v>
      </c>
      <c r="B131" t="s">
        <v>3520</v>
      </c>
      <c r="C131" t="s">
        <v>5431</v>
      </c>
      <c r="D131" t="s">
        <v>6017</v>
      </c>
      <c r="E131" t="s">
        <v>6200</v>
      </c>
      <c r="F131" t="s">
        <v>6201</v>
      </c>
      <c r="G131" t="s">
        <v>6017</v>
      </c>
      <c r="H131" t="s">
        <v>6199</v>
      </c>
      <c r="I131" t="s">
        <v>90</v>
      </c>
      <c r="J131" t="s">
        <v>6202</v>
      </c>
    </row>
    <row r="132" spans="1:10" ht="15" customHeight="1" x14ac:dyDescent="0.25">
      <c r="A132" t="s">
        <v>6203</v>
      </c>
      <c r="B132" t="s">
        <v>3533</v>
      </c>
      <c r="C132" t="s">
        <v>5793</v>
      </c>
      <c r="D132">
        <v>0</v>
      </c>
      <c r="E132" t="s">
        <v>6204</v>
      </c>
      <c r="F132" t="s">
        <v>6205</v>
      </c>
      <c r="G132">
        <v>0</v>
      </c>
      <c r="H132" t="s">
        <v>6206</v>
      </c>
      <c r="I132" t="s">
        <v>90</v>
      </c>
      <c r="J132" t="s">
        <v>5848</v>
      </c>
    </row>
    <row r="133" spans="1:10" ht="15" customHeight="1" x14ac:dyDescent="0.25">
      <c r="A133" t="s">
        <v>6207</v>
      </c>
      <c r="B133" t="s">
        <v>3533</v>
      </c>
      <c r="C133" t="s">
        <v>4668</v>
      </c>
      <c r="D133">
        <v>1</v>
      </c>
      <c r="E133" t="s">
        <v>6208</v>
      </c>
      <c r="F133" t="s">
        <v>6209</v>
      </c>
      <c r="G133">
        <v>1</v>
      </c>
      <c r="H133" t="s">
        <v>6207</v>
      </c>
      <c r="I133" t="s">
        <v>90</v>
      </c>
      <c r="J133" t="s">
        <v>5810</v>
      </c>
    </row>
    <row r="134" spans="1:10" ht="15" customHeight="1" x14ac:dyDescent="0.25">
      <c r="A134" t="s">
        <v>6210</v>
      </c>
      <c r="B134" t="s">
        <v>3520</v>
      </c>
      <c r="C134" t="s">
        <v>5876</v>
      </c>
      <c r="D134">
        <v>5</v>
      </c>
      <c r="E134" t="s">
        <v>6211</v>
      </c>
      <c r="F134" t="s">
        <v>6211</v>
      </c>
      <c r="G134">
        <v>4</v>
      </c>
      <c r="H134" t="s">
        <v>6212</v>
      </c>
      <c r="I134" t="s">
        <v>1673</v>
      </c>
    </row>
    <row r="135" spans="1:10" ht="15" customHeight="1" x14ac:dyDescent="0.25">
      <c r="A135" t="s">
        <v>6213</v>
      </c>
      <c r="B135" t="s">
        <v>41</v>
      </c>
      <c r="C135" t="s">
        <v>5512</v>
      </c>
      <c r="D135">
        <v>1</v>
      </c>
      <c r="E135" t="s">
        <v>6214</v>
      </c>
      <c r="F135" t="s">
        <v>6215</v>
      </c>
      <c r="G135">
        <v>1</v>
      </c>
      <c r="H135" t="s">
        <v>6213</v>
      </c>
      <c r="I135" t="s">
        <v>2362</v>
      </c>
      <c r="J135" t="s">
        <v>6033</v>
      </c>
    </row>
    <row r="136" spans="1:10" ht="15" customHeight="1" x14ac:dyDescent="0.25">
      <c r="A136" t="s">
        <v>5768</v>
      </c>
      <c r="B136" t="s">
        <v>3569</v>
      </c>
      <c r="C136" t="s">
        <v>5793</v>
      </c>
      <c r="D136">
        <v>0</v>
      </c>
      <c r="E136" t="s">
        <v>6216</v>
      </c>
      <c r="F136" t="s">
        <v>6217</v>
      </c>
      <c r="G136">
        <v>0</v>
      </c>
      <c r="H136" t="s">
        <v>5768</v>
      </c>
      <c r="I136" t="s">
        <v>90</v>
      </c>
      <c r="J136" t="s">
        <v>5824</v>
      </c>
    </row>
    <row r="137" spans="1:10" ht="15" customHeight="1" x14ac:dyDescent="0.25">
      <c r="A137" t="s">
        <v>6218</v>
      </c>
      <c r="B137" t="s">
        <v>3520</v>
      </c>
      <c r="C137" t="s">
        <v>5431</v>
      </c>
      <c r="D137">
        <v>3</v>
      </c>
      <c r="E137" t="s">
        <v>6219</v>
      </c>
      <c r="F137" t="s">
        <v>6219</v>
      </c>
      <c r="G137">
        <v>2</v>
      </c>
      <c r="H137" t="s">
        <v>6218</v>
      </c>
      <c r="I137" t="s">
        <v>90</v>
      </c>
      <c r="J137" t="s">
        <v>6063</v>
      </c>
    </row>
    <row r="138" spans="1:10" ht="15" customHeight="1" x14ac:dyDescent="0.25">
      <c r="A138" t="s">
        <v>6220</v>
      </c>
      <c r="B138" t="s">
        <v>3533</v>
      </c>
      <c r="C138" t="s">
        <v>4668</v>
      </c>
      <c r="D138">
        <v>1</v>
      </c>
      <c r="E138" t="s">
        <v>6221</v>
      </c>
      <c r="F138" t="s">
        <v>6222</v>
      </c>
      <c r="G138">
        <v>1</v>
      </c>
      <c r="H138" t="s">
        <v>6223</v>
      </c>
      <c r="I138" t="s">
        <v>90</v>
      </c>
      <c r="J138" t="s">
        <v>5955</v>
      </c>
    </row>
    <row r="139" spans="1:10" ht="15" customHeight="1" x14ac:dyDescent="0.25">
      <c r="A139" t="s">
        <v>6224</v>
      </c>
      <c r="B139" t="s">
        <v>3520</v>
      </c>
      <c r="C139" t="s">
        <v>5431</v>
      </c>
      <c r="D139">
        <v>0</v>
      </c>
      <c r="E139" t="s">
        <v>6225</v>
      </c>
      <c r="F139" t="s">
        <v>6226</v>
      </c>
      <c r="G139">
        <v>0</v>
      </c>
      <c r="H139" t="s">
        <v>6224</v>
      </c>
      <c r="I139" t="s">
        <v>90</v>
      </c>
      <c r="J139" t="s">
        <v>6227</v>
      </c>
    </row>
    <row r="140" spans="1:10" ht="15" customHeight="1" x14ac:dyDescent="0.25">
      <c r="A140" t="s">
        <v>6228</v>
      </c>
      <c r="B140" t="s">
        <v>41</v>
      </c>
      <c r="C140" t="s">
        <v>5431</v>
      </c>
      <c r="D140">
        <v>1</v>
      </c>
      <c r="E140" t="s">
        <v>6229</v>
      </c>
      <c r="F140" t="s">
        <v>6230</v>
      </c>
      <c r="G140">
        <v>1</v>
      </c>
      <c r="H140" t="s">
        <v>6228</v>
      </c>
      <c r="I140" t="s">
        <v>90</v>
      </c>
      <c r="J140" t="s">
        <v>5894</v>
      </c>
    </row>
    <row r="141" spans="1:10" ht="15" customHeight="1" x14ac:dyDescent="0.25">
      <c r="A141" t="s">
        <v>6231</v>
      </c>
      <c r="B141" t="s">
        <v>4368</v>
      </c>
      <c r="C141" t="s">
        <v>4315</v>
      </c>
      <c r="D141" t="s">
        <v>4051</v>
      </c>
      <c r="E141" t="s">
        <v>6232</v>
      </c>
      <c r="F141" t="s">
        <v>3468</v>
      </c>
      <c r="G141" t="s">
        <v>3468</v>
      </c>
      <c r="H141" t="s">
        <v>6231</v>
      </c>
      <c r="I141" t="s">
        <v>90</v>
      </c>
      <c r="J141" t="s">
        <v>5941</v>
      </c>
    </row>
    <row r="142" spans="1:10" ht="15" customHeight="1" x14ac:dyDescent="0.25">
      <c r="A142" t="s">
        <v>6233</v>
      </c>
      <c r="B142" t="s">
        <v>41</v>
      </c>
      <c r="C142" t="s">
        <v>5793</v>
      </c>
      <c r="D142">
        <v>2</v>
      </c>
      <c r="E142" t="s">
        <v>6234</v>
      </c>
      <c r="F142" t="s">
        <v>6235</v>
      </c>
      <c r="G142">
        <v>2</v>
      </c>
      <c r="H142" t="s">
        <v>6236</v>
      </c>
      <c r="I142" t="s">
        <v>90</v>
      </c>
      <c r="J142" t="s">
        <v>5806</v>
      </c>
    </row>
    <row r="143" spans="1:10" ht="15" customHeight="1" x14ac:dyDescent="0.25">
      <c r="A143" t="s">
        <v>6237</v>
      </c>
      <c r="B143" t="s">
        <v>3520</v>
      </c>
      <c r="C143" t="s">
        <v>5431</v>
      </c>
      <c r="D143">
        <v>1</v>
      </c>
      <c r="E143" t="s">
        <v>6238</v>
      </c>
      <c r="F143" t="s">
        <v>6238</v>
      </c>
      <c r="G143">
        <v>0</v>
      </c>
      <c r="H143" t="s">
        <v>6239</v>
      </c>
      <c r="I143" t="s">
        <v>90</v>
      </c>
      <c r="J143" t="s">
        <v>5848</v>
      </c>
    </row>
    <row r="144" spans="1:10" ht="15" customHeight="1" x14ac:dyDescent="0.25">
      <c r="A144" t="s">
        <v>6240</v>
      </c>
      <c r="B144" t="s">
        <v>41</v>
      </c>
      <c r="C144" t="s">
        <v>5431</v>
      </c>
      <c r="D144">
        <v>1</v>
      </c>
      <c r="E144" t="s">
        <v>6241</v>
      </c>
      <c r="F144" t="s">
        <v>6242</v>
      </c>
      <c r="G144">
        <v>1</v>
      </c>
      <c r="H144" t="s">
        <v>6243</v>
      </c>
      <c r="I144" t="s">
        <v>90</v>
      </c>
      <c r="J144" t="s">
        <v>6202</v>
      </c>
    </row>
    <row r="145" spans="1:10" ht="15" customHeight="1" x14ac:dyDescent="0.25">
      <c r="A145" t="s">
        <v>6244</v>
      </c>
      <c r="B145" t="s">
        <v>41</v>
      </c>
      <c r="C145" t="s">
        <v>5793</v>
      </c>
      <c r="D145">
        <v>1</v>
      </c>
      <c r="E145" t="s">
        <v>6245</v>
      </c>
      <c r="F145" t="s">
        <v>6246</v>
      </c>
      <c r="G145">
        <v>1</v>
      </c>
      <c r="H145" t="s">
        <v>6247</v>
      </c>
      <c r="I145" t="s">
        <v>90</v>
      </c>
      <c r="J145" t="s">
        <v>5824</v>
      </c>
    </row>
    <row r="146" spans="1:10" ht="15" customHeight="1" x14ac:dyDescent="0.25">
      <c r="A146" t="s">
        <v>6248</v>
      </c>
      <c r="B146" t="s">
        <v>41</v>
      </c>
      <c r="C146" t="s">
        <v>5793</v>
      </c>
      <c r="D146">
        <v>1</v>
      </c>
      <c r="E146" t="s">
        <v>6249</v>
      </c>
      <c r="F146" t="s">
        <v>6250</v>
      </c>
      <c r="G146">
        <v>1</v>
      </c>
      <c r="H146" t="s">
        <v>6251</v>
      </c>
      <c r="I146" t="s">
        <v>90</v>
      </c>
      <c r="J146" t="s">
        <v>6252</v>
      </c>
    </row>
    <row r="147" spans="1:10" ht="15" customHeight="1" x14ac:dyDescent="0.25">
      <c r="A147" t="s">
        <v>6253</v>
      </c>
      <c r="B147" t="s">
        <v>3533</v>
      </c>
      <c r="C147" t="s">
        <v>5431</v>
      </c>
      <c r="D147">
        <v>1</v>
      </c>
      <c r="E147" t="s">
        <v>6254</v>
      </c>
      <c r="F147" t="s">
        <v>6255</v>
      </c>
      <c r="G147">
        <v>1</v>
      </c>
      <c r="H147" t="s">
        <v>6256</v>
      </c>
      <c r="I147" t="s">
        <v>90</v>
      </c>
      <c r="J147" t="s">
        <v>6257</v>
      </c>
    </row>
    <row r="148" spans="1:10" ht="15" customHeight="1" x14ac:dyDescent="0.25">
      <c r="A148" t="s">
        <v>6258</v>
      </c>
      <c r="B148" t="s">
        <v>3533</v>
      </c>
      <c r="C148" t="s">
        <v>5793</v>
      </c>
      <c r="D148">
        <v>2</v>
      </c>
      <c r="E148" t="s">
        <v>6259</v>
      </c>
      <c r="F148" t="s">
        <v>6260</v>
      </c>
      <c r="G148">
        <v>2</v>
      </c>
      <c r="H148" t="s">
        <v>6258</v>
      </c>
      <c r="I148" t="s">
        <v>90</v>
      </c>
      <c r="J148" t="s">
        <v>6096</v>
      </c>
    </row>
    <row r="149" spans="1:10" ht="15" customHeight="1" x14ac:dyDescent="0.25">
      <c r="A149" t="s">
        <v>6261</v>
      </c>
      <c r="B149" t="s">
        <v>41</v>
      </c>
      <c r="C149" t="s">
        <v>5431</v>
      </c>
      <c r="D149">
        <v>0</v>
      </c>
      <c r="E149" t="s">
        <v>6262</v>
      </c>
      <c r="F149" t="s">
        <v>6263</v>
      </c>
      <c r="G149">
        <v>0</v>
      </c>
      <c r="H149" t="s">
        <v>6261</v>
      </c>
      <c r="I149" t="s">
        <v>90</v>
      </c>
      <c r="J149" t="s">
        <v>5779</v>
      </c>
    </row>
    <row r="150" spans="1:10" ht="15" customHeight="1" x14ac:dyDescent="0.25">
      <c r="A150" t="s">
        <v>6264</v>
      </c>
      <c r="B150" t="s">
        <v>3533</v>
      </c>
      <c r="C150" t="s">
        <v>5793</v>
      </c>
      <c r="D150">
        <v>1</v>
      </c>
      <c r="E150" t="s">
        <v>6265</v>
      </c>
      <c r="F150" t="s">
        <v>6266</v>
      </c>
      <c r="G150">
        <v>1</v>
      </c>
      <c r="H150" t="s">
        <v>6264</v>
      </c>
      <c r="I150" t="s">
        <v>90</v>
      </c>
      <c r="J150" t="s">
        <v>6075</v>
      </c>
    </row>
    <row r="151" spans="1:10" ht="15" customHeight="1" x14ac:dyDescent="0.25">
      <c r="A151" t="s">
        <v>5215</v>
      </c>
      <c r="B151" t="s">
        <v>4368</v>
      </c>
      <c r="C151" t="s">
        <v>4315</v>
      </c>
      <c r="D151" t="s">
        <v>4051</v>
      </c>
      <c r="E151" t="s">
        <v>6267</v>
      </c>
      <c r="F151" t="s">
        <v>3468</v>
      </c>
      <c r="G151" t="s">
        <v>4051</v>
      </c>
      <c r="H151" t="s">
        <v>6268</v>
      </c>
      <c r="I151" t="s">
        <v>1650</v>
      </c>
    </row>
    <row r="152" spans="1:10" ht="15" customHeight="1" x14ac:dyDescent="0.25">
      <c r="A152" t="s">
        <v>6269</v>
      </c>
      <c r="B152" t="s">
        <v>4368</v>
      </c>
      <c r="C152" t="s">
        <v>3681</v>
      </c>
      <c r="D152">
        <v>1</v>
      </c>
      <c r="E152" t="s">
        <v>6270</v>
      </c>
      <c r="F152" t="s">
        <v>3468</v>
      </c>
      <c r="G152" t="s">
        <v>3468</v>
      </c>
      <c r="H152" t="s">
        <v>6271</v>
      </c>
      <c r="I152" t="s">
        <v>501</v>
      </c>
      <c r="J152" t="s">
        <v>5864</v>
      </c>
    </row>
    <row r="153" spans="1:10" ht="15" customHeight="1" x14ac:dyDescent="0.25">
      <c r="A153" t="s">
        <v>6272</v>
      </c>
      <c r="B153" t="s">
        <v>41</v>
      </c>
      <c r="C153" t="s">
        <v>5793</v>
      </c>
      <c r="D153">
        <v>1</v>
      </c>
      <c r="E153" t="s">
        <v>6273</v>
      </c>
      <c r="F153" t="s">
        <v>6274</v>
      </c>
      <c r="G153">
        <v>1</v>
      </c>
      <c r="H153" t="s">
        <v>6275</v>
      </c>
      <c r="I153" t="s">
        <v>90</v>
      </c>
      <c r="J153" t="s">
        <v>6276</v>
      </c>
    </row>
    <row r="154" spans="1:10" ht="15" customHeight="1" x14ac:dyDescent="0.25">
      <c r="A154" t="s">
        <v>5433</v>
      </c>
      <c r="B154" t="s">
        <v>3533</v>
      </c>
      <c r="C154" t="s">
        <v>5431</v>
      </c>
      <c r="D154">
        <v>0</v>
      </c>
      <c r="E154" t="s">
        <v>6277</v>
      </c>
      <c r="F154" t="s">
        <v>6278</v>
      </c>
      <c r="G154">
        <v>0</v>
      </c>
      <c r="H154" t="s">
        <v>5433</v>
      </c>
      <c r="I154" t="s">
        <v>90</v>
      </c>
      <c r="J154" t="s">
        <v>5810</v>
      </c>
    </row>
    <row r="155" spans="1:10" ht="15" customHeight="1" x14ac:dyDescent="0.25">
      <c r="A155" t="s">
        <v>6279</v>
      </c>
      <c r="B155" t="s">
        <v>3533</v>
      </c>
      <c r="C155" t="s">
        <v>5793</v>
      </c>
      <c r="D155">
        <v>1</v>
      </c>
      <c r="E155" t="s">
        <v>6280</v>
      </c>
      <c r="F155" t="s">
        <v>6281</v>
      </c>
      <c r="G155">
        <v>1</v>
      </c>
      <c r="H155" t="s">
        <v>6279</v>
      </c>
      <c r="I155" t="s">
        <v>90</v>
      </c>
      <c r="J155" t="s">
        <v>6130</v>
      </c>
    </row>
    <row r="156" spans="1:10" ht="15" customHeight="1" x14ac:dyDescent="0.25">
      <c r="A156" t="s">
        <v>6282</v>
      </c>
      <c r="B156" t="s">
        <v>3533</v>
      </c>
      <c r="C156" t="s">
        <v>5512</v>
      </c>
      <c r="D156">
        <v>1</v>
      </c>
      <c r="E156" t="s">
        <v>5942</v>
      </c>
      <c r="F156" t="s">
        <v>5943</v>
      </c>
      <c r="G156">
        <v>1</v>
      </c>
      <c r="H156" t="s">
        <v>6282</v>
      </c>
      <c r="I156" t="s">
        <v>2362</v>
      </c>
      <c r="J156" t="s">
        <v>5945</v>
      </c>
    </row>
    <row r="157" spans="1:10" ht="15" customHeight="1" x14ac:dyDescent="0.25">
      <c r="A157" t="s">
        <v>6283</v>
      </c>
      <c r="B157" t="s">
        <v>3520</v>
      </c>
      <c r="C157" t="s">
        <v>5793</v>
      </c>
      <c r="D157">
        <v>2</v>
      </c>
      <c r="E157" t="s">
        <v>6284</v>
      </c>
      <c r="F157" t="s">
        <v>6285</v>
      </c>
      <c r="G157">
        <v>2</v>
      </c>
      <c r="H157" t="s">
        <v>6283</v>
      </c>
      <c r="I157" t="s">
        <v>90</v>
      </c>
      <c r="J157" t="s">
        <v>6067</v>
      </c>
    </row>
    <row r="158" spans="1:10" ht="15" customHeight="1" x14ac:dyDescent="0.25">
      <c r="A158" t="s">
        <v>6286</v>
      </c>
      <c r="B158" t="s">
        <v>3533</v>
      </c>
      <c r="C158" t="s">
        <v>5793</v>
      </c>
      <c r="D158">
        <v>0</v>
      </c>
      <c r="E158" t="s">
        <v>6287</v>
      </c>
      <c r="F158" t="s">
        <v>6288</v>
      </c>
      <c r="G158">
        <v>0</v>
      </c>
      <c r="H158" t="s">
        <v>6289</v>
      </c>
      <c r="I158" t="s">
        <v>90</v>
      </c>
      <c r="J158" t="s">
        <v>6290</v>
      </c>
    </row>
    <row r="159" spans="1:10" ht="15" customHeight="1" x14ac:dyDescent="0.25">
      <c r="A159" t="s">
        <v>6291</v>
      </c>
      <c r="B159" t="s">
        <v>4368</v>
      </c>
      <c r="C159" t="s">
        <v>3681</v>
      </c>
      <c r="D159">
        <v>1</v>
      </c>
      <c r="E159" t="s">
        <v>6292</v>
      </c>
      <c r="F159" t="s">
        <v>3468</v>
      </c>
      <c r="G159" t="s">
        <v>3468</v>
      </c>
      <c r="H159" t="s">
        <v>6293</v>
      </c>
      <c r="I159" t="s">
        <v>501</v>
      </c>
      <c r="J159" t="s">
        <v>5864</v>
      </c>
    </row>
    <row r="160" spans="1:10" ht="15" customHeight="1" x14ac:dyDescent="0.25">
      <c r="A160" t="s">
        <v>6294</v>
      </c>
      <c r="B160" t="s">
        <v>3533</v>
      </c>
      <c r="C160" t="s">
        <v>5431</v>
      </c>
      <c r="D160" t="s">
        <v>4051</v>
      </c>
      <c r="E160" t="s">
        <v>6295</v>
      </c>
      <c r="F160" t="s">
        <v>6296</v>
      </c>
      <c r="G160" t="s">
        <v>4051</v>
      </c>
      <c r="H160" t="s">
        <v>6294</v>
      </c>
      <c r="I160" t="s">
        <v>90</v>
      </c>
      <c r="J160" t="s">
        <v>5908</v>
      </c>
    </row>
    <row r="161" spans="1:10" ht="15" customHeight="1" x14ac:dyDescent="0.25">
      <c r="A161" t="s">
        <v>5180</v>
      </c>
      <c r="B161" t="s">
        <v>4368</v>
      </c>
      <c r="C161" t="s">
        <v>4315</v>
      </c>
      <c r="D161" t="s">
        <v>4051</v>
      </c>
      <c r="E161" t="s">
        <v>6297</v>
      </c>
      <c r="F161" t="s">
        <v>3468</v>
      </c>
      <c r="G161" t="s">
        <v>3468</v>
      </c>
      <c r="H161" t="s">
        <v>5180</v>
      </c>
      <c r="I161" t="s">
        <v>90</v>
      </c>
      <c r="J161" t="s">
        <v>5941</v>
      </c>
    </row>
    <row r="162" spans="1:10" ht="15" customHeight="1" x14ac:dyDescent="0.25">
      <c r="A162" t="s">
        <v>6298</v>
      </c>
      <c r="B162" t="s">
        <v>3533</v>
      </c>
      <c r="C162" t="s">
        <v>5793</v>
      </c>
      <c r="D162">
        <v>2</v>
      </c>
      <c r="E162" t="s">
        <v>6299</v>
      </c>
      <c r="F162" t="s">
        <v>6300</v>
      </c>
      <c r="G162">
        <v>2</v>
      </c>
      <c r="H162" t="s">
        <v>6301</v>
      </c>
      <c r="I162" t="s">
        <v>90</v>
      </c>
      <c r="J162" t="s">
        <v>5848</v>
      </c>
    </row>
    <row r="163" spans="1:10" ht="15" customHeight="1" x14ac:dyDescent="0.25">
      <c r="A163" t="s">
        <v>6302</v>
      </c>
      <c r="B163" t="s">
        <v>3533</v>
      </c>
      <c r="C163" t="s">
        <v>5876</v>
      </c>
      <c r="D163">
        <v>2</v>
      </c>
      <c r="E163" t="s">
        <v>6303</v>
      </c>
      <c r="F163" t="s">
        <v>6304</v>
      </c>
      <c r="G163">
        <v>2</v>
      </c>
      <c r="H163" t="s">
        <v>6305</v>
      </c>
      <c r="I163" t="s">
        <v>1673</v>
      </c>
    </row>
    <row r="164" spans="1:10" ht="15" customHeight="1" x14ac:dyDescent="0.25">
      <c r="A164" t="s">
        <v>6306</v>
      </c>
      <c r="B164" t="s">
        <v>3533</v>
      </c>
      <c r="C164" t="s">
        <v>4668</v>
      </c>
      <c r="D164">
        <v>1</v>
      </c>
      <c r="E164" t="s">
        <v>6307</v>
      </c>
      <c r="F164" t="s">
        <v>6308</v>
      </c>
      <c r="G164">
        <v>1</v>
      </c>
      <c r="H164" t="s">
        <v>6306</v>
      </c>
      <c r="I164" t="s">
        <v>90</v>
      </c>
      <c r="J164" t="s">
        <v>5998</v>
      </c>
    </row>
    <row r="165" spans="1:10" ht="15" customHeight="1" x14ac:dyDescent="0.25">
      <c r="A165" t="s">
        <v>4887</v>
      </c>
      <c r="B165" t="s">
        <v>3533</v>
      </c>
      <c r="C165" t="s">
        <v>5431</v>
      </c>
      <c r="D165">
        <v>1</v>
      </c>
      <c r="E165" t="s">
        <v>6309</v>
      </c>
      <c r="F165" t="s">
        <v>6309</v>
      </c>
      <c r="G165">
        <v>1</v>
      </c>
      <c r="H165" t="s">
        <v>4890</v>
      </c>
      <c r="I165" t="s">
        <v>1650</v>
      </c>
      <c r="J165" t="s">
        <v>5826</v>
      </c>
    </row>
    <row r="166" spans="1:10" ht="15" customHeight="1" x14ac:dyDescent="0.25">
      <c r="A166" t="s">
        <v>6310</v>
      </c>
      <c r="B166" t="s">
        <v>3533</v>
      </c>
      <c r="C166" t="s">
        <v>5793</v>
      </c>
      <c r="D166">
        <v>2</v>
      </c>
      <c r="E166" t="s">
        <v>6311</v>
      </c>
      <c r="F166" t="s">
        <v>3468</v>
      </c>
      <c r="G166">
        <v>2</v>
      </c>
      <c r="H166" t="s">
        <v>6312</v>
      </c>
      <c r="I166" t="s">
        <v>90</v>
      </c>
      <c r="J166" t="s">
        <v>6130</v>
      </c>
    </row>
    <row r="167" spans="1:10" ht="15" customHeight="1" x14ac:dyDescent="0.25">
      <c r="A167" t="s">
        <v>6313</v>
      </c>
      <c r="B167" t="s">
        <v>3533</v>
      </c>
      <c r="C167" t="s">
        <v>5431</v>
      </c>
      <c r="D167">
        <v>1</v>
      </c>
      <c r="E167" t="s">
        <v>6314</v>
      </c>
      <c r="F167" t="s">
        <v>6315</v>
      </c>
      <c r="G167">
        <v>1</v>
      </c>
      <c r="H167" t="s">
        <v>6316</v>
      </c>
      <c r="I167" t="s">
        <v>90</v>
      </c>
      <c r="J167" t="s">
        <v>6070</v>
      </c>
    </row>
    <row r="168" spans="1:10" ht="15" customHeight="1" x14ac:dyDescent="0.25">
      <c r="A168" t="s">
        <v>6317</v>
      </c>
      <c r="B168" t="s">
        <v>3533</v>
      </c>
      <c r="C168" t="s">
        <v>5431</v>
      </c>
      <c r="D168">
        <v>1</v>
      </c>
      <c r="E168" t="s">
        <v>6318</v>
      </c>
      <c r="F168" t="s">
        <v>6318</v>
      </c>
      <c r="G168">
        <v>0</v>
      </c>
      <c r="H168" t="s">
        <v>6319</v>
      </c>
      <c r="I168" t="s">
        <v>90</v>
      </c>
      <c r="J168" t="s">
        <v>6320</v>
      </c>
    </row>
    <row r="169" spans="1:10" ht="15" customHeight="1" x14ac:dyDescent="0.25">
      <c r="A169" t="s">
        <v>6321</v>
      </c>
      <c r="B169" t="s">
        <v>3520</v>
      </c>
      <c r="C169" t="s">
        <v>5431</v>
      </c>
      <c r="D169">
        <v>0</v>
      </c>
      <c r="E169" t="s">
        <v>6322</v>
      </c>
      <c r="F169" t="s">
        <v>6323</v>
      </c>
      <c r="G169">
        <v>0</v>
      </c>
      <c r="H169" t="s">
        <v>6321</v>
      </c>
      <c r="I169" t="s">
        <v>90</v>
      </c>
      <c r="J169" t="s">
        <v>6324</v>
      </c>
    </row>
    <row r="170" spans="1:10" ht="15" customHeight="1" x14ac:dyDescent="0.25">
      <c r="A170" t="s">
        <v>6325</v>
      </c>
      <c r="B170" t="s">
        <v>3533</v>
      </c>
      <c r="C170" t="s">
        <v>5431</v>
      </c>
      <c r="D170">
        <v>1</v>
      </c>
      <c r="E170" t="s">
        <v>6326</v>
      </c>
      <c r="F170" t="s">
        <v>6327</v>
      </c>
      <c r="G170">
        <v>1</v>
      </c>
      <c r="H170" t="s">
        <v>6325</v>
      </c>
      <c r="I170" t="s">
        <v>90</v>
      </c>
      <c r="J170" t="s">
        <v>6070</v>
      </c>
    </row>
    <row r="171" spans="1:10" ht="15" customHeight="1" x14ac:dyDescent="0.25">
      <c r="A171" t="s">
        <v>6328</v>
      </c>
      <c r="B171" t="s">
        <v>3533</v>
      </c>
      <c r="C171" t="s">
        <v>5431</v>
      </c>
      <c r="D171">
        <v>1</v>
      </c>
      <c r="E171" t="s">
        <v>6329</v>
      </c>
      <c r="F171" t="s">
        <v>6329</v>
      </c>
      <c r="G171">
        <v>0</v>
      </c>
      <c r="H171" t="s">
        <v>6328</v>
      </c>
      <c r="I171" t="s">
        <v>90</v>
      </c>
      <c r="J171" t="s">
        <v>5894</v>
      </c>
    </row>
    <row r="172" spans="1:10" ht="15" customHeight="1" x14ac:dyDescent="0.25">
      <c r="A172" t="s">
        <v>6330</v>
      </c>
      <c r="B172" t="s">
        <v>3533</v>
      </c>
      <c r="C172" t="s">
        <v>5793</v>
      </c>
      <c r="D172">
        <v>2</v>
      </c>
      <c r="E172" t="s">
        <v>6331</v>
      </c>
      <c r="F172" t="s">
        <v>6332</v>
      </c>
      <c r="G172">
        <v>2</v>
      </c>
      <c r="H172" t="s">
        <v>6333</v>
      </c>
      <c r="I172" t="s">
        <v>90</v>
      </c>
      <c r="J172" t="s">
        <v>6075</v>
      </c>
    </row>
    <row r="173" spans="1:10" ht="15" customHeight="1" x14ac:dyDescent="0.25">
      <c r="A173" t="s">
        <v>6334</v>
      </c>
      <c r="B173" t="s">
        <v>4368</v>
      </c>
      <c r="C173" t="s">
        <v>4315</v>
      </c>
      <c r="D173" t="s">
        <v>4051</v>
      </c>
      <c r="E173" t="s">
        <v>6335</v>
      </c>
      <c r="F173" t="s">
        <v>3468</v>
      </c>
      <c r="G173" t="s">
        <v>3468</v>
      </c>
      <c r="H173" t="s">
        <v>6334</v>
      </c>
      <c r="I173" t="s">
        <v>90</v>
      </c>
      <c r="J173" t="s">
        <v>5941</v>
      </c>
    </row>
    <row r="174" spans="1:10" ht="15" customHeight="1" x14ac:dyDescent="0.25">
      <c r="A174" t="s">
        <v>6336</v>
      </c>
      <c r="B174" t="s">
        <v>4368</v>
      </c>
      <c r="C174" t="s">
        <v>5793</v>
      </c>
      <c r="D174">
        <v>0</v>
      </c>
      <c r="E174" t="s">
        <v>6337</v>
      </c>
      <c r="F174" t="s">
        <v>6338</v>
      </c>
      <c r="G174">
        <v>0</v>
      </c>
      <c r="H174" t="s">
        <v>6336</v>
      </c>
      <c r="I174" t="s">
        <v>90</v>
      </c>
    </row>
    <row r="175" spans="1:10" ht="15" customHeight="1" x14ac:dyDescent="0.25">
      <c r="A175" t="s">
        <v>6339</v>
      </c>
      <c r="B175" t="s">
        <v>3533</v>
      </c>
      <c r="C175" t="s">
        <v>5431</v>
      </c>
      <c r="D175">
        <v>2</v>
      </c>
      <c r="E175" t="s">
        <v>6340</v>
      </c>
      <c r="F175" t="s">
        <v>6341</v>
      </c>
      <c r="G175">
        <v>2</v>
      </c>
      <c r="H175" t="s">
        <v>6339</v>
      </c>
      <c r="I175" t="s">
        <v>90</v>
      </c>
      <c r="J175" t="s">
        <v>6008</v>
      </c>
    </row>
    <row r="176" spans="1:10" ht="15" customHeight="1" x14ac:dyDescent="0.25">
      <c r="A176" t="s">
        <v>6342</v>
      </c>
      <c r="B176" t="s">
        <v>41</v>
      </c>
      <c r="C176" t="s">
        <v>5431</v>
      </c>
      <c r="D176">
        <v>1</v>
      </c>
      <c r="E176" t="s">
        <v>6343</v>
      </c>
      <c r="F176" t="s">
        <v>6344</v>
      </c>
      <c r="G176">
        <v>1</v>
      </c>
      <c r="H176" t="s">
        <v>6345</v>
      </c>
      <c r="I176" t="s">
        <v>90</v>
      </c>
      <c r="J176" t="s">
        <v>6346</v>
      </c>
    </row>
    <row r="177" spans="1:10" ht="15" customHeight="1" x14ac:dyDescent="0.25">
      <c r="A177" t="s">
        <v>6347</v>
      </c>
      <c r="B177" t="s">
        <v>3533</v>
      </c>
      <c r="C177" t="s">
        <v>5793</v>
      </c>
      <c r="D177" t="s">
        <v>6017</v>
      </c>
      <c r="E177" t="s">
        <v>6348</v>
      </c>
      <c r="F177" t="s">
        <v>6349</v>
      </c>
      <c r="G177" t="s">
        <v>6017</v>
      </c>
      <c r="H177" t="s">
        <v>6347</v>
      </c>
      <c r="I177" t="s">
        <v>90</v>
      </c>
      <c r="J177" t="s">
        <v>5848</v>
      </c>
    </row>
    <row r="178" spans="1:10" ht="15" customHeight="1" x14ac:dyDescent="0.25">
      <c r="A178" t="s">
        <v>6350</v>
      </c>
      <c r="B178" t="s">
        <v>41</v>
      </c>
      <c r="C178" t="s">
        <v>5793</v>
      </c>
      <c r="D178">
        <v>0</v>
      </c>
      <c r="E178" t="s">
        <v>6351</v>
      </c>
      <c r="F178" t="s">
        <v>6352</v>
      </c>
      <c r="G178">
        <v>0</v>
      </c>
      <c r="H178" t="s">
        <v>6350</v>
      </c>
      <c r="I178" t="s">
        <v>90</v>
      </c>
      <c r="J178" t="s">
        <v>5848</v>
      </c>
    </row>
    <row r="179" spans="1:10" ht="15" customHeight="1" x14ac:dyDescent="0.25">
      <c r="A179" t="s">
        <v>6353</v>
      </c>
      <c r="B179" t="s">
        <v>4368</v>
      </c>
      <c r="C179" t="s">
        <v>3681</v>
      </c>
      <c r="D179">
        <v>1</v>
      </c>
      <c r="E179" t="s">
        <v>6354</v>
      </c>
      <c r="F179" t="s">
        <v>3468</v>
      </c>
      <c r="G179" t="s">
        <v>3468</v>
      </c>
      <c r="H179" t="s">
        <v>6353</v>
      </c>
      <c r="I179" t="s">
        <v>90</v>
      </c>
    </row>
    <row r="180" spans="1:10" ht="15" customHeight="1" x14ac:dyDescent="0.25">
      <c r="A180" t="s">
        <v>6355</v>
      </c>
      <c r="B180" t="s">
        <v>41</v>
      </c>
      <c r="C180" t="s">
        <v>5793</v>
      </c>
      <c r="D180">
        <v>2</v>
      </c>
      <c r="E180" t="s">
        <v>6356</v>
      </c>
      <c r="F180" t="s">
        <v>6357</v>
      </c>
      <c r="G180">
        <v>2</v>
      </c>
      <c r="H180" t="s">
        <v>6358</v>
      </c>
      <c r="I180" t="s">
        <v>90</v>
      </c>
      <c r="J180" t="s">
        <v>6096</v>
      </c>
    </row>
    <row r="181" spans="1:10" ht="15" customHeight="1" x14ac:dyDescent="0.25">
      <c r="A181" t="s">
        <v>6359</v>
      </c>
      <c r="B181" t="s">
        <v>3533</v>
      </c>
      <c r="C181" t="s">
        <v>5512</v>
      </c>
      <c r="D181">
        <v>1</v>
      </c>
      <c r="E181" t="s">
        <v>5942</v>
      </c>
      <c r="F181" t="s">
        <v>5943</v>
      </c>
      <c r="G181">
        <v>1</v>
      </c>
      <c r="H181" t="s">
        <v>6359</v>
      </c>
      <c r="I181" t="s">
        <v>2362</v>
      </c>
      <c r="J181" t="s">
        <v>6077</v>
      </c>
    </row>
    <row r="182" spans="1:10" ht="15" customHeight="1" x14ac:dyDescent="0.25">
      <c r="A182" t="s">
        <v>6360</v>
      </c>
      <c r="B182" t="s">
        <v>3533</v>
      </c>
      <c r="C182" t="s">
        <v>5431</v>
      </c>
      <c r="D182">
        <v>1</v>
      </c>
      <c r="E182" t="s">
        <v>6361</v>
      </c>
      <c r="F182" t="s">
        <v>6362</v>
      </c>
      <c r="G182">
        <v>1</v>
      </c>
      <c r="H182" t="s">
        <v>6363</v>
      </c>
      <c r="I182" t="s">
        <v>90</v>
      </c>
      <c r="J182" t="s">
        <v>5998</v>
      </c>
    </row>
    <row r="183" spans="1:10" ht="15" customHeight="1" x14ac:dyDescent="0.25">
      <c r="A183" t="s">
        <v>6364</v>
      </c>
      <c r="B183" t="s">
        <v>3520</v>
      </c>
      <c r="C183" t="s">
        <v>5431</v>
      </c>
      <c r="D183">
        <v>1</v>
      </c>
      <c r="E183" t="s">
        <v>6365</v>
      </c>
      <c r="F183" t="s">
        <v>6366</v>
      </c>
      <c r="G183">
        <v>1</v>
      </c>
      <c r="H183" t="s">
        <v>6367</v>
      </c>
      <c r="I183" t="s">
        <v>90</v>
      </c>
      <c r="J183" t="s">
        <v>6368</v>
      </c>
    </row>
    <row r="184" spans="1:10" ht="15" customHeight="1" x14ac:dyDescent="0.25">
      <c r="A184" t="s">
        <v>6369</v>
      </c>
      <c r="B184" t="s">
        <v>3569</v>
      </c>
      <c r="C184" t="s">
        <v>5793</v>
      </c>
      <c r="D184">
        <v>1</v>
      </c>
      <c r="E184" t="s">
        <v>6351</v>
      </c>
      <c r="F184" t="s">
        <v>6352</v>
      </c>
      <c r="G184">
        <v>1</v>
      </c>
      <c r="H184" t="s">
        <v>3468</v>
      </c>
      <c r="I184" t="s">
        <v>3468</v>
      </c>
    </row>
    <row r="185" spans="1:10" ht="15" customHeight="1" x14ac:dyDescent="0.25">
      <c r="A185" t="s">
        <v>6370</v>
      </c>
      <c r="B185" t="s">
        <v>41</v>
      </c>
      <c r="C185" t="s">
        <v>5793</v>
      </c>
      <c r="D185">
        <v>1</v>
      </c>
      <c r="E185" t="s">
        <v>6371</v>
      </c>
      <c r="F185" t="s">
        <v>6372</v>
      </c>
      <c r="G185">
        <v>1</v>
      </c>
      <c r="H185" t="s">
        <v>6373</v>
      </c>
      <c r="I185" t="s">
        <v>90</v>
      </c>
      <c r="J185" t="s">
        <v>5824</v>
      </c>
    </row>
    <row r="186" spans="1:10" ht="15" customHeight="1" x14ac:dyDescent="0.25">
      <c r="A186" t="s">
        <v>5767</v>
      </c>
      <c r="B186" t="s">
        <v>3569</v>
      </c>
      <c r="C186" t="s">
        <v>5431</v>
      </c>
      <c r="D186">
        <v>1</v>
      </c>
      <c r="E186" t="s">
        <v>6374</v>
      </c>
      <c r="F186" t="s">
        <v>6375</v>
      </c>
      <c r="G186">
        <v>1</v>
      </c>
      <c r="H186" t="s">
        <v>5767</v>
      </c>
      <c r="I186" t="s">
        <v>90</v>
      </c>
      <c r="J186" t="s">
        <v>6376</v>
      </c>
    </row>
    <row r="187" spans="1:10" ht="15" customHeight="1" x14ac:dyDescent="0.25">
      <c r="A187" t="s">
        <v>6377</v>
      </c>
      <c r="B187" t="s">
        <v>41</v>
      </c>
      <c r="C187" t="s">
        <v>5793</v>
      </c>
      <c r="D187">
        <v>1</v>
      </c>
      <c r="E187" t="s">
        <v>6378</v>
      </c>
      <c r="F187" t="s">
        <v>6379</v>
      </c>
      <c r="G187">
        <v>1</v>
      </c>
      <c r="H187" t="s">
        <v>6380</v>
      </c>
      <c r="I187" t="s">
        <v>90</v>
      </c>
      <c r="J187" t="s">
        <v>6381</v>
      </c>
    </row>
    <row r="188" spans="1:10" ht="15" customHeight="1" x14ac:dyDescent="0.25">
      <c r="A188" t="s">
        <v>6382</v>
      </c>
      <c r="B188" t="s">
        <v>41</v>
      </c>
      <c r="C188" t="s">
        <v>5793</v>
      </c>
      <c r="D188">
        <v>1</v>
      </c>
      <c r="E188" t="s">
        <v>6383</v>
      </c>
      <c r="F188" t="s">
        <v>6384</v>
      </c>
      <c r="G188">
        <v>1</v>
      </c>
      <c r="H188" t="s">
        <v>6385</v>
      </c>
      <c r="I188" t="s">
        <v>90</v>
      </c>
      <c r="J188" t="s">
        <v>5806</v>
      </c>
    </row>
    <row r="189" spans="1:10" ht="15" customHeight="1" x14ac:dyDescent="0.25">
      <c r="A189" t="s">
        <v>6386</v>
      </c>
      <c r="B189" t="s">
        <v>3533</v>
      </c>
      <c r="C189" t="s">
        <v>5431</v>
      </c>
      <c r="D189" t="s">
        <v>4051</v>
      </c>
      <c r="E189" t="s">
        <v>6387</v>
      </c>
      <c r="F189" t="s">
        <v>6388</v>
      </c>
      <c r="G189" t="s">
        <v>4051</v>
      </c>
      <c r="H189" t="s">
        <v>6386</v>
      </c>
      <c r="I189" t="s">
        <v>90</v>
      </c>
      <c r="J189" t="s">
        <v>6389</v>
      </c>
    </row>
    <row r="190" spans="1:10" ht="15" customHeight="1" x14ac:dyDescent="0.25">
      <c r="A190" t="s">
        <v>6390</v>
      </c>
      <c r="B190" t="s">
        <v>3533</v>
      </c>
      <c r="C190" t="s">
        <v>5876</v>
      </c>
      <c r="D190">
        <v>3</v>
      </c>
      <c r="E190" t="s">
        <v>6391</v>
      </c>
      <c r="F190" t="s">
        <v>6392</v>
      </c>
      <c r="G190">
        <v>3</v>
      </c>
      <c r="H190" t="s">
        <v>6393</v>
      </c>
      <c r="I190" t="s">
        <v>1673</v>
      </c>
    </row>
    <row r="191" spans="1:10" ht="15" customHeight="1" x14ac:dyDescent="0.25">
      <c r="A191" t="s">
        <v>6394</v>
      </c>
      <c r="B191" t="s">
        <v>3533</v>
      </c>
      <c r="C191" t="s">
        <v>5431</v>
      </c>
      <c r="D191">
        <v>1</v>
      </c>
      <c r="E191" t="s">
        <v>6395</v>
      </c>
      <c r="F191" t="s">
        <v>6395</v>
      </c>
      <c r="G191">
        <v>0</v>
      </c>
      <c r="H191" t="s">
        <v>6394</v>
      </c>
      <c r="I191" t="s">
        <v>90</v>
      </c>
      <c r="J191" t="s">
        <v>6202</v>
      </c>
    </row>
    <row r="192" spans="1:10" ht="15" customHeight="1" x14ac:dyDescent="0.25">
      <c r="A192" t="s">
        <v>6396</v>
      </c>
      <c r="B192" t="s">
        <v>41</v>
      </c>
      <c r="C192" t="s">
        <v>5793</v>
      </c>
      <c r="D192">
        <v>1</v>
      </c>
      <c r="E192" t="s">
        <v>6397</v>
      </c>
      <c r="F192" t="s">
        <v>6398</v>
      </c>
      <c r="G192">
        <v>1</v>
      </c>
      <c r="H192" t="s">
        <v>6396</v>
      </c>
      <c r="I192" t="s">
        <v>90</v>
      </c>
      <c r="J192" t="s">
        <v>5938</v>
      </c>
    </row>
    <row r="193" spans="1:10" ht="15" customHeight="1" x14ac:dyDescent="0.25">
      <c r="A193" t="s">
        <v>6399</v>
      </c>
      <c r="B193" t="s">
        <v>3520</v>
      </c>
      <c r="C193" t="s">
        <v>4668</v>
      </c>
      <c r="D193">
        <v>1</v>
      </c>
      <c r="E193" t="s">
        <v>6400</v>
      </c>
      <c r="F193" t="s">
        <v>6400</v>
      </c>
      <c r="G193">
        <v>0</v>
      </c>
      <c r="H193" t="s">
        <v>6401</v>
      </c>
      <c r="I193" t="s">
        <v>90</v>
      </c>
      <c r="J193" t="s">
        <v>5779</v>
      </c>
    </row>
    <row r="194" spans="1:10" ht="15" customHeight="1" x14ac:dyDescent="0.25">
      <c r="A194" t="s">
        <v>6402</v>
      </c>
      <c r="B194" t="s">
        <v>41</v>
      </c>
      <c r="C194" t="s">
        <v>5431</v>
      </c>
      <c r="D194">
        <v>1</v>
      </c>
      <c r="E194" t="s">
        <v>6403</v>
      </c>
      <c r="F194" t="s">
        <v>6404</v>
      </c>
      <c r="G194">
        <v>1</v>
      </c>
      <c r="H194" t="s">
        <v>6405</v>
      </c>
      <c r="I194" t="s">
        <v>90</v>
      </c>
      <c r="J194" t="s">
        <v>6070</v>
      </c>
    </row>
    <row r="195" spans="1:10" ht="15" customHeight="1" x14ac:dyDescent="0.25">
      <c r="A195" t="s">
        <v>6406</v>
      </c>
      <c r="B195" t="s">
        <v>41</v>
      </c>
      <c r="C195" t="s">
        <v>5793</v>
      </c>
      <c r="D195">
        <v>1</v>
      </c>
      <c r="E195" t="s">
        <v>6407</v>
      </c>
      <c r="F195" t="s">
        <v>6408</v>
      </c>
      <c r="G195">
        <v>1</v>
      </c>
      <c r="H195" t="s">
        <v>6409</v>
      </c>
      <c r="I195" t="s">
        <v>90</v>
      </c>
      <c r="J195" t="s">
        <v>5806</v>
      </c>
    </row>
    <row r="196" spans="1:10" ht="15" customHeight="1" x14ac:dyDescent="0.25">
      <c r="A196" t="s">
        <v>6410</v>
      </c>
      <c r="B196" t="s">
        <v>3520</v>
      </c>
      <c r="C196" t="s">
        <v>5793</v>
      </c>
      <c r="D196">
        <v>1</v>
      </c>
      <c r="E196" t="s">
        <v>6411</v>
      </c>
      <c r="F196" t="s">
        <v>6412</v>
      </c>
      <c r="G196">
        <v>1</v>
      </c>
      <c r="H196" t="s">
        <v>6410</v>
      </c>
      <c r="I196" t="s">
        <v>90</v>
      </c>
      <c r="J196" t="s">
        <v>6053</v>
      </c>
    </row>
    <row r="197" spans="1:10" ht="15" customHeight="1" x14ac:dyDescent="0.25">
      <c r="A197" t="s">
        <v>6413</v>
      </c>
      <c r="B197" t="s">
        <v>3533</v>
      </c>
      <c r="C197" t="s">
        <v>5793</v>
      </c>
      <c r="D197">
        <v>2</v>
      </c>
      <c r="E197" t="s">
        <v>6414</v>
      </c>
      <c r="F197" t="s">
        <v>6415</v>
      </c>
      <c r="G197">
        <v>2</v>
      </c>
      <c r="H197" t="s">
        <v>6413</v>
      </c>
      <c r="I197" t="s">
        <v>90</v>
      </c>
      <c r="J197" t="s">
        <v>5938</v>
      </c>
    </row>
    <row r="198" spans="1:10" ht="15" customHeight="1" x14ac:dyDescent="0.25">
      <c r="A198" t="s">
        <v>6416</v>
      </c>
      <c r="B198" t="s">
        <v>3520</v>
      </c>
      <c r="C198" t="s">
        <v>5512</v>
      </c>
      <c r="D198">
        <v>1</v>
      </c>
      <c r="E198" t="s">
        <v>5942</v>
      </c>
      <c r="F198" t="s">
        <v>5943</v>
      </c>
      <c r="G198">
        <v>1</v>
      </c>
      <c r="H198" t="s">
        <v>6416</v>
      </c>
      <c r="I198" t="s">
        <v>2362</v>
      </c>
      <c r="J198" t="s">
        <v>6077</v>
      </c>
    </row>
    <row r="199" spans="1:10" ht="15" customHeight="1" x14ac:dyDescent="0.25">
      <c r="A199" t="s">
        <v>6417</v>
      </c>
      <c r="B199" t="s">
        <v>41</v>
      </c>
      <c r="C199" t="s">
        <v>5431</v>
      </c>
      <c r="D199">
        <v>0</v>
      </c>
      <c r="E199" t="s">
        <v>6418</v>
      </c>
      <c r="F199" t="s">
        <v>6419</v>
      </c>
      <c r="G199">
        <v>0</v>
      </c>
      <c r="H199" t="s">
        <v>6417</v>
      </c>
      <c r="I199" t="s">
        <v>90</v>
      </c>
      <c r="J199" t="s">
        <v>5834</v>
      </c>
    </row>
    <row r="200" spans="1:10" ht="15" customHeight="1" x14ac:dyDescent="0.25">
      <c r="A200" t="s">
        <v>6420</v>
      </c>
      <c r="B200" t="s">
        <v>3533</v>
      </c>
      <c r="C200" t="s">
        <v>5512</v>
      </c>
      <c r="D200">
        <v>1</v>
      </c>
      <c r="E200" t="s">
        <v>5942</v>
      </c>
      <c r="F200" t="s">
        <v>5943</v>
      </c>
      <c r="G200">
        <v>1</v>
      </c>
      <c r="H200" t="s">
        <v>6420</v>
      </c>
      <c r="I200" t="s">
        <v>2362</v>
      </c>
      <c r="J200" t="s">
        <v>5990</v>
      </c>
    </row>
    <row r="201" spans="1:10" ht="15" customHeight="1" x14ac:dyDescent="0.25">
      <c r="A201" t="s">
        <v>5362</v>
      </c>
      <c r="B201" t="s">
        <v>3533</v>
      </c>
      <c r="C201" t="s">
        <v>4668</v>
      </c>
      <c r="D201">
        <v>1</v>
      </c>
      <c r="E201" t="s">
        <v>6421</v>
      </c>
      <c r="F201" t="s">
        <v>6422</v>
      </c>
      <c r="G201">
        <v>1</v>
      </c>
      <c r="H201" t="s">
        <v>5364</v>
      </c>
      <c r="I201" t="s">
        <v>90</v>
      </c>
      <c r="J201" t="s">
        <v>6063</v>
      </c>
    </row>
    <row r="202" spans="1:10" ht="15" customHeight="1" x14ac:dyDescent="0.25">
      <c r="A202" t="s">
        <v>6423</v>
      </c>
      <c r="B202" t="s">
        <v>3533</v>
      </c>
      <c r="C202" t="s">
        <v>5793</v>
      </c>
      <c r="D202" t="s">
        <v>6017</v>
      </c>
      <c r="E202" t="s">
        <v>6424</v>
      </c>
      <c r="F202" t="s">
        <v>6425</v>
      </c>
      <c r="G202" t="s">
        <v>6017</v>
      </c>
      <c r="H202" t="s">
        <v>6423</v>
      </c>
      <c r="I202" t="s">
        <v>90</v>
      </c>
      <c r="J202" t="s">
        <v>5806</v>
      </c>
    </row>
    <row r="203" spans="1:10" ht="15" customHeight="1" x14ac:dyDescent="0.25">
      <c r="A203" t="s">
        <v>6426</v>
      </c>
      <c r="B203" t="s">
        <v>3533</v>
      </c>
      <c r="C203" t="s">
        <v>5431</v>
      </c>
      <c r="D203">
        <v>1</v>
      </c>
      <c r="E203" t="s">
        <v>6427</v>
      </c>
      <c r="F203" t="s">
        <v>6427</v>
      </c>
      <c r="G203">
        <v>0</v>
      </c>
      <c r="H203" t="s">
        <v>6428</v>
      </c>
      <c r="I203" t="s">
        <v>90</v>
      </c>
      <c r="J203" t="s">
        <v>6429</v>
      </c>
    </row>
    <row r="204" spans="1:10" ht="15" customHeight="1" x14ac:dyDescent="0.25">
      <c r="A204" t="s">
        <v>6430</v>
      </c>
      <c r="B204" t="s">
        <v>41</v>
      </c>
      <c r="C204" t="s">
        <v>5793</v>
      </c>
      <c r="D204">
        <v>1</v>
      </c>
      <c r="E204" t="s">
        <v>6431</v>
      </c>
      <c r="F204" t="s">
        <v>6432</v>
      </c>
      <c r="G204">
        <v>1</v>
      </c>
      <c r="H204" t="s">
        <v>6433</v>
      </c>
      <c r="I204" t="s">
        <v>90</v>
      </c>
      <c r="J204" t="s">
        <v>6056</v>
      </c>
    </row>
    <row r="205" spans="1:10" ht="15" customHeight="1" x14ac:dyDescent="0.25">
      <c r="A205" t="s">
        <v>6434</v>
      </c>
      <c r="B205" t="s">
        <v>4368</v>
      </c>
      <c r="C205" t="s">
        <v>3681</v>
      </c>
      <c r="D205" t="s">
        <v>4051</v>
      </c>
      <c r="E205" t="s">
        <v>6159</v>
      </c>
      <c r="F205" t="s">
        <v>3468</v>
      </c>
      <c r="G205" t="s">
        <v>4051</v>
      </c>
      <c r="H205" t="s">
        <v>6434</v>
      </c>
      <c r="I205" t="s">
        <v>90</v>
      </c>
    </row>
    <row r="206" spans="1:10" ht="15" customHeight="1" x14ac:dyDescent="0.25">
      <c r="A206" t="s">
        <v>6435</v>
      </c>
      <c r="B206" t="s">
        <v>3520</v>
      </c>
      <c r="C206" t="s">
        <v>4668</v>
      </c>
      <c r="D206">
        <v>3</v>
      </c>
      <c r="E206" t="s">
        <v>6436</v>
      </c>
      <c r="F206" t="s">
        <v>6437</v>
      </c>
      <c r="G206">
        <v>3</v>
      </c>
      <c r="H206" t="s">
        <v>6438</v>
      </c>
      <c r="I206" t="s">
        <v>90</v>
      </c>
      <c r="J206" t="s">
        <v>5788</v>
      </c>
    </row>
    <row r="207" spans="1:10" ht="15" customHeight="1" x14ac:dyDescent="0.25">
      <c r="A207" t="s">
        <v>6439</v>
      </c>
      <c r="B207" t="s">
        <v>4368</v>
      </c>
      <c r="C207" t="s">
        <v>4315</v>
      </c>
      <c r="D207" t="s">
        <v>4051</v>
      </c>
      <c r="E207" t="s">
        <v>6440</v>
      </c>
      <c r="F207" t="s">
        <v>3468</v>
      </c>
      <c r="G207" t="s">
        <v>3468</v>
      </c>
      <c r="H207" t="s">
        <v>6439</v>
      </c>
      <c r="I207" t="s">
        <v>90</v>
      </c>
      <c r="J207" t="s">
        <v>5941</v>
      </c>
    </row>
    <row r="208" spans="1:10" ht="15" customHeight="1" x14ac:dyDescent="0.25">
      <c r="A208" t="s">
        <v>6441</v>
      </c>
      <c r="B208" t="s">
        <v>4368</v>
      </c>
      <c r="C208" t="s">
        <v>3681</v>
      </c>
      <c r="D208">
        <v>1</v>
      </c>
      <c r="E208" t="s">
        <v>6442</v>
      </c>
      <c r="F208" t="s">
        <v>3468</v>
      </c>
      <c r="G208" t="s">
        <v>3468</v>
      </c>
      <c r="H208" t="s">
        <v>6443</v>
      </c>
      <c r="I208" t="s">
        <v>501</v>
      </c>
      <c r="J208" t="s">
        <v>5864</v>
      </c>
    </row>
    <row r="209" spans="1:10" ht="15" customHeight="1" x14ac:dyDescent="0.25">
      <c r="A209" t="s">
        <v>4773</v>
      </c>
      <c r="B209" t="s">
        <v>41</v>
      </c>
      <c r="C209" t="s">
        <v>5793</v>
      </c>
      <c r="D209">
        <v>1</v>
      </c>
      <c r="E209" t="s">
        <v>6186</v>
      </c>
      <c r="F209" t="s">
        <v>6186</v>
      </c>
      <c r="G209">
        <v>1</v>
      </c>
      <c r="H209" t="s">
        <v>4776</v>
      </c>
      <c r="I209" t="s">
        <v>1047</v>
      </c>
      <c r="J209" t="s">
        <v>5826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5769</v>
      </c>
      <c r="E1" t="s">
        <v>3462</v>
      </c>
      <c r="F1" t="s">
        <v>6444</v>
      </c>
      <c r="G1" t="s">
        <v>6445</v>
      </c>
      <c r="H1" t="s">
        <v>6446</v>
      </c>
      <c r="I1" t="s">
        <v>6447</v>
      </c>
      <c r="J1" t="s">
        <v>5793</v>
      </c>
      <c r="K1" t="s">
        <v>4330</v>
      </c>
      <c r="L1" t="s">
        <v>1</v>
      </c>
      <c r="M1" t="s">
        <v>6448</v>
      </c>
      <c r="N1" t="s">
        <v>6449</v>
      </c>
      <c r="O1" t="s">
        <v>170</v>
      </c>
    </row>
    <row r="2" spans="1:15" ht="15" customHeight="1" x14ac:dyDescent="0.25">
      <c r="A2" t="s">
        <v>5772</v>
      </c>
      <c r="B2" t="s">
        <v>3533</v>
      </c>
      <c r="C2" t="s">
        <v>4668</v>
      </c>
      <c r="D2">
        <v>1</v>
      </c>
      <c r="E2" t="s">
        <v>5773</v>
      </c>
      <c r="F2" t="s">
        <v>6450</v>
      </c>
      <c r="G2" t="s">
        <v>5774</v>
      </c>
      <c r="H2" t="s">
        <v>6451</v>
      </c>
      <c r="I2">
        <v>1</v>
      </c>
      <c r="J2" t="s">
        <v>3468</v>
      </c>
      <c r="K2" t="s">
        <v>5772</v>
      </c>
      <c r="L2" t="s">
        <v>90</v>
      </c>
      <c r="M2" t="s">
        <v>3468</v>
      </c>
      <c r="N2" t="s">
        <v>3468</v>
      </c>
      <c r="O2" t="s">
        <v>5775</v>
      </c>
    </row>
    <row r="3" spans="1:15" ht="15" customHeight="1" x14ac:dyDescent="0.25">
      <c r="A3" t="s">
        <v>5776</v>
      </c>
      <c r="B3" t="s">
        <v>41</v>
      </c>
      <c r="C3" t="s">
        <v>5431</v>
      </c>
      <c r="D3">
        <v>1</v>
      </c>
      <c r="E3" t="s">
        <v>5777</v>
      </c>
      <c r="F3" t="s">
        <v>6452</v>
      </c>
      <c r="G3" t="s">
        <v>5778</v>
      </c>
      <c r="H3" t="s">
        <v>6453</v>
      </c>
      <c r="I3">
        <v>1</v>
      </c>
      <c r="J3" t="s">
        <v>3468</v>
      </c>
      <c r="K3" t="s">
        <v>5776</v>
      </c>
      <c r="L3" t="s">
        <v>90</v>
      </c>
      <c r="M3" t="s">
        <v>3468</v>
      </c>
      <c r="N3" t="s">
        <v>3468</v>
      </c>
      <c r="O3" t="s">
        <v>5779</v>
      </c>
    </row>
    <row r="4" spans="1:15" ht="15" customHeight="1" x14ac:dyDescent="0.25">
      <c r="A4" t="s">
        <v>5780</v>
      </c>
      <c r="B4" t="s">
        <v>3520</v>
      </c>
      <c r="C4" t="s">
        <v>5431</v>
      </c>
      <c r="D4">
        <v>0</v>
      </c>
      <c r="E4" t="s">
        <v>5781</v>
      </c>
      <c r="F4" t="s">
        <v>6454</v>
      </c>
      <c r="G4" t="s">
        <v>5782</v>
      </c>
      <c r="H4" t="s">
        <v>6455</v>
      </c>
      <c r="I4">
        <v>0</v>
      </c>
      <c r="J4" t="s">
        <v>3468</v>
      </c>
      <c r="K4" t="s">
        <v>5780</v>
      </c>
      <c r="L4" t="s">
        <v>90</v>
      </c>
      <c r="M4" t="s">
        <v>5567</v>
      </c>
      <c r="N4" t="s">
        <v>3468</v>
      </c>
      <c r="O4" t="s">
        <v>5783</v>
      </c>
    </row>
    <row r="5" spans="1:15" ht="15" customHeight="1" x14ac:dyDescent="0.25">
      <c r="A5" t="s">
        <v>5784</v>
      </c>
      <c r="B5" t="s">
        <v>3520</v>
      </c>
      <c r="C5" t="s">
        <v>4668</v>
      </c>
      <c r="D5">
        <v>1</v>
      </c>
      <c r="E5" t="s">
        <v>5785</v>
      </c>
      <c r="F5" t="s">
        <v>6456</v>
      </c>
      <c r="G5" t="s">
        <v>5786</v>
      </c>
      <c r="H5" t="s">
        <v>6456</v>
      </c>
      <c r="I5">
        <v>1</v>
      </c>
      <c r="J5" t="s">
        <v>3468</v>
      </c>
      <c r="K5" t="s">
        <v>5787</v>
      </c>
      <c r="L5" t="s">
        <v>90</v>
      </c>
      <c r="M5" t="s">
        <v>5506</v>
      </c>
      <c r="N5" t="s">
        <v>3468</v>
      </c>
      <c r="O5" t="s">
        <v>5788</v>
      </c>
    </row>
    <row r="6" spans="1:15" ht="15" customHeight="1" x14ac:dyDescent="0.25">
      <c r="A6" t="s">
        <v>5789</v>
      </c>
      <c r="B6" t="s">
        <v>3520</v>
      </c>
      <c r="C6" t="s">
        <v>5431</v>
      </c>
      <c r="D6">
        <v>1</v>
      </c>
      <c r="E6" t="s">
        <v>5790</v>
      </c>
      <c r="F6" t="s">
        <v>6457</v>
      </c>
      <c r="G6" t="s">
        <v>5790</v>
      </c>
      <c r="H6" t="s">
        <v>6457</v>
      </c>
      <c r="I6">
        <v>0</v>
      </c>
      <c r="J6" t="s">
        <v>3468</v>
      </c>
      <c r="K6" t="s">
        <v>5789</v>
      </c>
      <c r="L6" t="s">
        <v>90</v>
      </c>
      <c r="M6" t="s">
        <v>5567</v>
      </c>
      <c r="N6" t="s">
        <v>3468</v>
      </c>
      <c r="O6" t="s">
        <v>6458</v>
      </c>
    </row>
    <row r="7" spans="1:15" ht="15" customHeight="1" x14ac:dyDescent="0.25">
      <c r="A7" t="s">
        <v>5792</v>
      </c>
      <c r="B7" t="s">
        <v>3520</v>
      </c>
      <c r="C7" t="s">
        <v>5793</v>
      </c>
      <c r="D7">
        <v>2</v>
      </c>
      <c r="E7" t="s">
        <v>6459</v>
      </c>
      <c r="F7" t="s">
        <v>6460</v>
      </c>
      <c r="G7" t="s">
        <v>6461</v>
      </c>
      <c r="H7" t="s">
        <v>6462</v>
      </c>
      <c r="I7">
        <v>2</v>
      </c>
      <c r="J7" t="s">
        <v>6463</v>
      </c>
      <c r="K7" t="s">
        <v>5796</v>
      </c>
      <c r="L7" t="s">
        <v>90</v>
      </c>
      <c r="M7" t="s">
        <v>3468</v>
      </c>
      <c r="N7" t="s">
        <v>3468</v>
      </c>
      <c r="O7" t="s">
        <v>5797</v>
      </c>
    </row>
    <row r="8" spans="1:15" ht="15" customHeight="1" x14ac:dyDescent="0.25">
      <c r="A8" t="s">
        <v>5798</v>
      </c>
      <c r="B8" t="s">
        <v>3533</v>
      </c>
      <c r="C8" t="s">
        <v>5793</v>
      </c>
      <c r="D8">
        <v>1</v>
      </c>
      <c r="E8" t="s">
        <v>6464</v>
      </c>
      <c r="F8" t="s">
        <v>6465</v>
      </c>
      <c r="G8" t="s">
        <v>6466</v>
      </c>
      <c r="H8" t="s">
        <v>6467</v>
      </c>
      <c r="I8">
        <v>1</v>
      </c>
      <c r="J8" t="s">
        <v>6468</v>
      </c>
      <c r="K8" t="s">
        <v>5801</v>
      </c>
      <c r="L8" t="s">
        <v>90</v>
      </c>
      <c r="M8" t="s">
        <v>3468</v>
      </c>
      <c r="N8" t="s">
        <v>3468</v>
      </c>
      <c r="O8" t="s">
        <v>5802</v>
      </c>
    </row>
    <row r="9" spans="1:15" ht="15" customHeight="1" x14ac:dyDescent="0.25">
      <c r="A9" t="s">
        <v>5803</v>
      </c>
      <c r="B9" t="s">
        <v>41</v>
      </c>
      <c r="C9" t="s">
        <v>5793</v>
      </c>
      <c r="D9">
        <v>0</v>
      </c>
      <c r="E9" t="s">
        <v>5804</v>
      </c>
      <c r="F9" t="s">
        <v>6469</v>
      </c>
      <c r="G9" t="s">
        <v>5805</v>
      </c>
      <c r="H9" t="s">
        <v>6470</v>
      </c>
      <c r="I9">
        <v>0</v>
      </c>
      <c r="J9" t="s">
        <v>6471</v>
      </c>
      <c r="K9" t="s">
        <v>5803</v>
      </c>
      <c r="L9" t="s">
        <v>90</v>
      </c>
      <c r="M9" t="s">
        <v>3468</v>
      </c>
      <c r="N9" t="s">
        <v>3468</v>
      </c>
      <c r="O9" t="s">
        <v>5806</v>
      </c>
    </row>
    <row r="10" spans="1:15" ht="15" customHeight="1" x14ac:dyDescent="0.25">
      <c r="A10" t="s">
        <v>5807</v>
      </c>
      <c r="B10" t="s">
        <v>41</v>
      </c>
      <c r="C10" t="s">
        <v>5431</v>
      </c>
      <c r="D10">
        <v>1</v>
      </c>
      <c r="E10" t="s">
        <v>5808</v>
      </c>
      <c r="F10" t="s">
        <v>6472</v>
      </c>
      <c r="G10" t="s">
        <v>5809</v>
      </c>
      <c r="H10" t="s">
        <v>6473</v>
      </c>
      <c r="I10">
        <v>1</v>
      </c>
      <c r="J10" t="s">
        <v>3468</v>
      </c>
      <c r="K10" t="s">
        <v>5807</v>
      </c>
      <c r="L10" t="s">
        <v>90</v>
      </c>
      <c r="M10" t="s">
        <v>3468</v>
      </c>
      <c r="N10" t="s">
        <v>3468</v>
      </c>
      <c r="O10" t="s">
        <v>5810</v>
      </c>
    </row>
    <row r="11" spans="1:15" ht="15" customHeight="1" x14ac:dyDescent="0.25">
      <c r="A11" t="s">
        <v>5811</v>
      </c>
      <c r="B11" t="s">
        <v>41</v>
      </c>
      <c r="C11" t="s">
        <v>5431</v>
      </c>
      <c r="D11">
        <v>1</v>
      </c>
      <c r="E11" t="s">
        <v>5812</v>
      </c>
      <c r="F11" t="s">
        <v>6474</v>
      </c>
      <c r="G11" t="s">
        <v>5813</v>
      </c>
      <c r="H11" t="s">
        <v>6475</v>
      </c>
      <c r="I11">
        <v>1</v>
      </c>
      <c r="J11" t="s">
        <v>3468</v>
      </c>
      <c r="K11" t="s">
        <v>5811</v>
      </c>
      <c r="L11" t="s">
        <v>90</v>
      </c>
      <c r="M11" t="s">
        <v>3468</v>
      </c>
      <c r="N11" t="s">
        <v>3468</v>
      </c>
      <c r="O11" t="s">
        <v>5814</v>
      </c>
    </row>
    <row r="12" spans="1:15" ht="15" customHeight="1" x14ac:dyDescent="0.25">
      <c r="A12" t="s">
        <v>5815</v>
      </c>
      <c r="B12" t="s">
        <v>3533</v>
      </c>
      <c r="C12" t="s">
        <v>5793</v>
      </c>
      <c r="D12">
        <v>0</v>
      </c>
      <c r="E12" t="s">
        <v>5816</v>
      </c>
      <c r="F12" t="s">
        <v>6476</v>
      </c>
      <c r="G12" t="s">
        <v>5817</v>
      </c>
      <c r="H12" t="s">
        <v>6477</v>
      </c>
      <c r="I12">
        <v>0</v>
      </c>
      <c r="J12" t="s">
        <v>6463</v>
      </c>
      <c r="K12" t="s">
        <v>5815</v>
      </c>
      <c r="L12" t="s">
        <v>90</v>
      </c>
      <c r="M12" t="s">
        <v>6478</v>
      </c>
      <c r="N12" t="s">
        <v>3468</v>
      </c>
      <c r="O12" t="s">
        <v>5818</v>
      </c>
    </row>
    <row r="13" spans="1:15" ht="15" customHeight="1" x14ac:dyDescent="0.25">
      <c r="A13" t="s">
        <v>4498</v>
      </c>
      <c r="B13" t="s">
        <v>3533</v>
      </c>
      <c r="C13" t="s">
        <v>5431</v>
      </c>
      <c r="D13">
        <v>1</v>
      </c>
      <c r="E13" t="s">
        <v>5819</v>
      </c>
      <c r="F13" t="s">
        <v>6479</v>
      </c>
      <c r="G13" t="s">
        <v>5819</v>
      </c>
      <c r="H13" t="s">
        <v>6479</v>
      </c>
      <c r="I13">
        <v>1</v>
      </c>
      <c r="J13" t="s">
        <v>6480</v>
      </c>
      <c r="K13" t="s">
        <v>4503</v>
      </c>
      <c r="L13" t="s">
        <v>1650</v>
      </c>
      <c r="M13" t="s">
        <v>3468</v>
      </c>
      <c r="N13" t="s">
        <v>3468</v>
      </c>
      <c r="O13" t="s">
        <v>6481</v>
      </c>
    </row>
    <row r="14" spans="1:15" ht="15" customHeight="1" x14ac:dyDescent="0.25">
      <c r="A14" t="s">
        <v>5821</v>
      </c>
      <c r="B14" t="s">
        <v>41</v>
      </c>
      <c r="C14" t="s">
        <v>5793</v>
      </c>
      <c r="D14">
        <v>1</v>
      </c>
      <c r="E14" t="s">
        <v>6482</v>
      </c>
      <c r="F14" t="s">
        <v>6483</v>
      </c>
      <c r="G14" t="s">
        <v>6484</v>
      </c>
      <c r="H14" t="s">
        <v>6485</v>
      </c>
      <c r="I14">
        <v>1</v>
      </c>
      <c r="J14" t="s">
        <v>6480</v>
      </c>
      <c r="K14" t="s">
        <v>5821</v>
      </c>
      <c r="L14" t="s">
        <v>90</v>
      </c>
      <c r="M14" t="s">
        <v>3468</v>
      </c>
      <c r="N14" t="s">
        <v>3468</v>
      </c>
      <c r="O14" t="s">
        <v>6486</v>
      </c>
    </row>
    <row r="15" spans="1:15" ht="15" customHeight="1" x14ac:dyDescent="0.25">
      <c r="A15" t="s">
        <v>4509</v>
      </c>
      <c r="B15" t="s">
        <v>3533</v>
      </c>
      <c r="C15" t="s">
        <v>5793</v>
      </c>
      <c r="D15">
        <v>1</v>
      </c>
      <c r="E15" t="s">
        <v>5825</v>
      </c>
      <c r="F15" t="s">
        <v>6487</v>
      </c>
      <c r="G15" t="s">
        <v>5825</v>
      </c>
      <c r="H15" t="s">
        <v>6487</v>
      </c>
      <c r="I15">
        <v>1</v>
      </c>
      <c r="J15" t="s">
        <v>6488</v>
      </c>
      <c r="K15" t="s">
        <v>4509</v>
      </c>
      <c r="L15" t="s">
        <v>1047</v>
      </c>
      <c r="M15" t="s">
        <v>5498</v>
      </c>
      <c r="N15" t="s">
        <v>3468</v>
      </c>
      <c r="O15" t="s">
        <v>5826</v>
      </c>
    </row>
    <row r="16" spans="1:15" ht="15" customHeight="1" x14ac:dyDescent="0.25">
      <c r="A16" t="s">
        <v>3540</v>
      </c>
      <c r="B16" t="s">
        <v>3520</v>
      </c>
      <c r="C16" t="s">
        <v>4668</v>
      </c>
      <c r="D16">
        <v>3</v>
      </c>
      <c r="E16" s="9" t="s">
        <v>6489</v>
      </c>
      <c r="F16" t="s">
        <v>6490</v>
      </c>
      <c r="G16" s="9" t="s">
        <v>6489</v>
      </c>
      <c r="H16" t="s">
        <v>6490</v>
      </c>
      <c r="I16">
        <v>2</v>
      </c>
      <c r="J16" t="s">
        <v>3468</v>
      </c>
      <c r="K16" t="s">
        <v>3540</v>
      </c>
      <c r="L16" t="s">
        <v>90</v>
      </c>
      <c r="M16" t="s">
        <v>3468</v>
      </c>
      <c r="N16" t="s">
        <v>3468</v>
      </c>
      <c r="O16" t="s">
        <v>6491</v>
      </c>
    </row>
    <row r="17" spans="1:15" ht="15" customHeight="1" x14ac:dyDescent="0.25">
      <c r="A17" t="s">
        <v>3452</v>
      </c>
      <c r="B17" t="s">
        <v>3569</v>
      </c>
      <c r="C17" t="s">
        <v>5793</v>
      </c>
      <c r="D17">
        <v>2</v>
      </c>
      <c r="E17" t="s">
        <v>5828</v>
      </c>
      <c r="F17" t="s">
        <v>6492</v>
      </c>
      <c r="G17" t="s">
        <v>5829</v>
      </c>
      <c r="H17" t="s">
        <v>6493</v>
      </c>
      <c r="I17">
        <v>2</v>
      </c>
      <c r="J17" t="s">
        <v>6494</v>
      </c>
      <c r="K17" t="s">
        <v>3452</v>
      </c>
      <c r="L17" t="s">
        <v>90</v>
      </c>
      <c r="M17" t="s">
        <v>3468</v>
      </c>
      <c r="N17" t="s">
        <v>3468</v>
      </c>
      <c r="O17" t="s">
        <v>5806</v>
      </c>
    </row>
    <row r="18" spans="1:15" ht="15" customHeight="1" x14ac:dyDescent="0.25">
      <c r="A18" t="s">
        <v>5830</v>
      </c>
      <c r="B18" t="s">
        <v>3533</v>
      </c>
      <c r="C18" t="s">
        <v>5431</v>
      </c>
      <c r="D18">
        <v>0</v>
      </c>
      <c r="E18" s="9" t="s">
        <v>6495</v>
      </c>
      <c r="F18" t="s">
        <v>6496</v>
      </c>
      <c r="G18" s="9" t="s">
        <v>6497</v>
      </c>
      <c r="H18" t="s">
        <v>6498</v>
      </c>
      <c r="I18" t="s">
        <v>3468</v>
      </c>
      <c r="J18" t="s">
        <v>3468</v>
      </c>
      <c r="K18" t="s">
        <v>5833</v>
      </c>
      <c r="L18" t="s">
        <v>90</v>
      </c>
      <c r="M18" t="s">
        <v>3468</v>
      </c>
      <c r="N18" t="s">
        <v>3468</v>
      </c>
      <c r="O18" t="s">
        <v>5834</v>
      </c>
    </row>
    <row r="19" spans="1:15" ht="15" customHeight="1" x14ac:dyDescent="0.25">
      <c r="A19" t="s">
        <v>5835</v>
      </c>
      <c r="B19" t="s">
        <v>41</v>
      </c>
      <c r="C19" t="s">
        <v>5793</v>
      </c>
      <c r="D19">
        <v>0</v>
      </c>
      <c r="E19" t="s">
        <v>5836</v>
      </c>
      <c r="F19" t="s">
        <v>6499</v>
      </c>
      <c r="G19" t="s">
        <v>5837</v>
      </c>
      <c r="H19" t="s">
        <v>6500</v>
      </c>
      <c r="I19">
        <v>0</v>
      </c>
      <c r="J19" t="s">
        <v>6501</v>
      </c>
      <c r="K19" t="s">
        <v>5838</v>
      </c>
      <c r="L19" t="s">
        <v>90</v>
      </c>
      <c r="M19" t="s">
        <v>3468</v>
      </c>
      <c r="N19" t="s">
        <v>3468</v>
      </c>
      <c r="O19" t="s">
        <v>5839</v>
      </c>
    </row>
    <row r="20" spans="1:15" ht="15" customHeight="1" x14ac:dyDescent="0.25">
      <c r="A20" t="s">
        <v>5844</v>
      </c>
      <c r="B20" t="s">
        <v>41</v>
      </c>
      <c r="C20" t="s">
        <v>5431</v>
      </c>
      <c r="D20">
        <v>1</v>
      </c>
      <c r="E20" t="s">
        <v>5845</v>
      </c>
      <c r="F20" t="s">
        <v>6502</v>
      </c>
      <c r="G20" t="s">
        <v>5846</v>
      </c>
      <c r="H20" t="s">
        <v>6503</v>
      </c>
      <c r="I20">
        <v>1</v>
      </c>
      <c r="J20" t="s">
        <v>3468</v>
      </c>
      <c r="K20" t="s">
        <v>5847</v>
      </c>
      <c r="L20" t="s">
        <v>90</v>
      </c>
      <c r="M20" t="s">
        <v>3468</v>
      </c>
      <c r="N20" t="s">
        <v>3468</v>
      </c>
      <c r="O20" t="s">
        <v>5848</v>
      </c>
    </row>
    <row r="21" spans="1:15" ht="15" customHeight="1" x14ac:dyDescent="0.25">
      <c r="A21" t="s">
        <v>4536</v>
      </c>
      <c r="B21" t="s">
        <v>41</v>
      </c>
      <c r="C21" t="s">
        <v>5793</v>
      </c>
      <c r="D21">
        <v>1</v>
      </c>
      <c r="E21" t="s">
        <v>5849</v>
      </c>
      <c r="F21" t="s">
        <v>6504</v>
      </c>
      <c r="G21" t="s">
        <v>5849</v>
      </c>
      <c r="H21" t="s">
        <v>6504</v>
      </c>
      <c r="I21">
        <v>1</v>
      </c>
      <c r="J21" t="s">
        <v>6488</v>
      </c>
      <c r="K21" t="s">
        <v>4539</v>
      </c>
      <c r="L21" t="s">
        <v>1105</v>
      </c>
      <c r="M21" t="s">
        <v>5539</v>
      </c>
      <c r="N21" t="s">
        <v>3468</v>
      </c>
      <c r="O21" t="s">
        <v>5826</v>
      </c>
    </row>
    <row r="22" spans="1:15" ht="15" customHeight="1" x14ac:dyDescent="0.25">
      <c r="A22" t="s">
        <v>5850</v>
      </c>
      <c r="B22" t="s">
        <v>3533</v>
      </c>
      <c r="C22" t="s">
        <v>5793</v>
      </c>
      <c r="D22">
        <v>4</v>
      </c>
      <c r="E22" s="9" t="s">
        <v>5851</v>
      </c>
      <c r="F22" t="s">
        <v>6505</v>
      </c>
      <c r="G22" s="9" t="s">
        <v>5852</v>
      </c>
      <c r="H22" t="s">
        <v>6506</v>
      </c>
      <c r="I22">
        <v>3</v>
      </c>
      <c r="J22" t="s">
        <v>6471</v>
      </c>
      <c r="K22" t="s">
        <v>5853</v>
      </c>
      <c r="L22" t="s">
        <v>90</v>
      </c>
      <c r="M22" t="s">
        <v>3468</v>
      </c>
      <c r="N22" t="s">
        <v>3468</v>
      </c>
      <c r="O22" t="s">
        <v>5834</v>
      </c>
    </row>
    <row r="23" spans="1:15" ht="15" customHeight="1" x14ac:dyDescent="0.25">
      <c r="A23" t="s">
        <v>4540</v>
      </c>
      <c r="B23" t="s">
        <v>3520</v>
      </c>
      <c r="C23" t="s">
        <v>5793</v>
      </c>
      <c r="D23">
        <v>1</v>
      </c>
      <c r="E23" t="s">
        <v>6507</v>
      </c>
      <c r="F23" t="s">
        <v>6508</v>
      </c>
      <c r="G23" t="s">
        <v>6507</v>
      </c>
      <c r="H23" t="s">
        <v>6508</v>
      </c>
      <c r="I23">
        <v>1</v>
      </c>
      <c r="J23" t="s">
        <v>6509</v>
      </c>
      <c r="K23" t="s">
        <v>4543</v>
      </c>
      <c r="L23" t="s">
        <v>1622</v>
      </c>
      <c r="M23" t="s">
        <v>5502</v>
      </c>
      <c r="N23" t="s">
        <v>5454</v>
      </c>
      <c r="O23" t="s">
        <v>5826</v>
      </c>
    </row>
    <row r="24" spans="1:15" ht="15" customHeight="1" x14ac:dyDescent="0.25">
      <c r="A24" t="s">
        <v>5855</v>
      </c>
      <c r="B24" t="s">
        <v>41</v>
      </c>
      <c r="C24" t="s">
        <v>5431</v>
      </c>
      <c r="D24">
        <v>0</v>
      </c>
      <c r="E24" t="s">
        <v>5856</v>
      </c>
      <c r="F24" t="s">
        <v>6510</v>
      </c>
      <c r="G24" t="s">
        <v>5857</v>
      </c>
      <c r="H24" t="s">
        <v>6511</v>
      </c>
      <c r="I24">
        <v>0</v>
      </c>
      <c r="J24" t="s">
        <v>3468</v>
      </c>
      <c r="K24" t="s">
        <v>5855</v>
      </c>
      <c r="L24" t="s">
        <v>90</v>
      </c>
      <c r="M24" t="s">
        <v>3468</v>
      </c>
      <c r="N24" t="s">
        <v>3468</v>
      </c>
      <c r="O24" t="s">
        <v>5843</v>
      </c>
    </row>
    <row r="25" spans="1:15" ht="15" customHeight="1" x14ac:dyDescent="0.25">
      <c r="A25" t="s">
        <v>5858</v>
      </c>
      <c r="B25" t="s">
        <v>3520</v>
      </c>
      <c r="C25" t="s">
        <v>5793</v>
      </c>
      <c r="D25">
        <v>3</v>
      </c>
      <c r="E25" t="s">
        <v>5859</v>
      </c>
      <c r="F25" t="s">
        <v>6512</v>
      </c>
      <c r="G25" t="s">
        <v>5860</v>
      </c>
      <c r="H25" t="s">
        <v>6513</v>
      </c>
      <c r="I25">
        <v>3</v>
      </c>
      <c r="J25" t="s">
        <v>6514</v>
      </c>
      <c r="K25" t="s">
        <v>5858</v>
      </c>
      <c r="L25" t="s">
        <v>90</v>
      </c>
      <c r="M25" t="s">
        <v>3468</v>
      </c>
      <c r="N25" t="s">
        <v>3468</v>
      </c>
      <c r="O25" t="s">
        <v>5806</v>
      </c>
    </row>
    <row r="26" spans="1:15" ht="15" customHeight="1" x14ac:dyDescent="0.25">
      <c r="A26" t="s">
        <v>5231</v>
      </c>
      <c r="B26" t="s">
        <v>3533</v>
      </c>
      <c r="C26" t="s">
        <v>5431</v>
      </c>
      <c r="D26">
        <v>1</v>
      </c>
      <c r="E26" s="9" t="s">
        <v>6515</v>
      </c>
      <c r="F26" t="s">
        <v>6516</v>
      </c>
      <c r="G26" s="9" t="s">
        <v>6517</v>
      </c>
      <c r="H26" t="s">
        <v>6518</v>
      </c>
      <c r="I26">
        <v>1</v>
      </c>
      <c r="J26" t="s">
        <v>3468</v>
      </c>
      <c r="K26" t="s">
        <v>5231</v>
      </c>
      <c r="L26" t="s">
        <v>90</v>
      </c>
      <c r="M26" t="s">
        <v>3468</v>
      </c>
      <c r="N26" t="s">
        <v>3468</v>
      </c>
      <c r="O26" t="s">
        <v>5788</v>
      </c>
    </row>
    <row r="27" spans="1:15" ht="15" customHeight="1" x14ac:dyDescent="0.25">
      <c r="A27" t="s">
        <v>5867</v>
      </c>
      <c r="B27" t="s">
        <v>41</v>
      </c>
      <c r="C27" t="s">
        <v>5793</v>
      </c>
      <c r="D27">
        <v>1</v>
      </c>
      <c r="E27" t="s">
        <v>6519</v>
      </c>
      <c r="F27" t="s">
        <v>6520</v>
      </c>
      <c r="G27" t="s">
        <v>6519</v>
      </c>
      <c r="H27" t="s">
        <v>6520</v>
      </c>
      <c r="I27">
        <v>0</v>
      </c>
      <c r="J27" t="s">
        <v>6521</v>
      </c>
      <c r="K27" t="s">
        <v>5869</v>
      </c>
      <c r="L27" t="s">
        <v>90</v>
      </c>
      <c r="M27" t="s">
        <v>3468</v>
      </c>
      <c r="N27" t="s">
        <v>3468</v>
      </c>
      <c r="O27" t="s">
        <v>5806</v>
      </c>
    </row>
    <row r="28" spans="1:15" ht="15" customHeight="1" x14ac:dyDescent="0.25">
      <c r="A28" t="s">
        <v>5870</v>
      </c>
      <c r="B28" t="s">
        <v>3533</v>
      </c>
      <c r="C28" t="s">
        <v>5431</v>
      </c>
      <c r="D28">
        <v>0</v>
      </c>
      <c r="E28" t="s">
        <v>5871</v>
      </c>
      <c r="F28" t="s">
        <v>6522</v>
      </c>
      <c r="G28" t="s">
        <v>5872</v>
      </c>
      <c r="H28" t="s">
        <v>6523</v>
      </c>
      <c r="I28">
        <v>0</v>
      </c>
      <c r="J28" t="s">
        <v>3468</v>
      </c>
      <c r="K28" t="s">
        <v>5873</v>
      </c>
      <c r="L28" t="s">
        <v>90</v>
      </c>
      <c r="M28" t="s">
        <v>6478</v>
      </c>
      <c r="N28" t="s">
        <v>3468</v>
      </c>
      <c r="O28" t="s">
        <v>5874</v>
      </c>
    </row>
    <row r="29" spans="1:15" ht="15" customHeight="1" x14ac:dyDescent="0.25">
      <c r="A29" t="s">
        <v>5880</v>
      </c>
      <c r="B29" t="s">
        <v>3533</v>
      </c>
      <c r="C29" t="s">
        <v>5431</v>
      </c>
      <c r="D29">
        <v>2</v>
      </c>
      <c r="E29" t="s">
        <v>5881</v>
      </c>
      <c r="F29" t="s">
        <v>6524</v>
      </c>
      <c r="G29" t="s">
        <v>5882</v>
      </c>
      <c r="H29" t="s">
        <v>6525</v>
      </c>
      <c r="I29">
        <v>2</v>
      </c>
      <c r="J29" t="s">
        <v>6526</v>
      </c>
      <c r="K29" t="s">
        <v>5883</v>
      </c>
      <c r="L29" t="s">
        <v>90</v>
      </c>
      <c r="M29" t="s">
        <v>5502</v>
      </c>
      <c r="N29" t="s">
        <v>5325</v>
      </c>
      <c r="O29" t="s">
        <v>6527</v>
      </c>
    </row>
    <row r="30" spans="1:15" ht="15" customHeight="1" x14ac:dyDescent="0.25">
      <c r="A30" t="s">
        <v>5891</v>
      </c>
      <c r="B30" t="s">
        <v>3520</v>
      </c>
      <c r="C30" t="s">
        <v>5431</v>
      </c>
      <c r="D30">
        <v>3</v>
      </c>
      <c r="E30" s="9" t="s">
        <v>5892</v>
      </c>
      <c r="F30" t="s">
        <v>6528</v>
      </c>
      <c r="G30" s="9" t="s">
        <v>5892</v>
      </c>
      <c r="H30" t="s">
        <v>6528</v>
      </c>
      <c r="I30">
        <v>2</v>
      </c>
      <c r="J30" t="s">
        <v>3468</v>
      </c>
      <c r="K30" t="s">
        <v>5893</v>
      </c>
      <c r="L30" t="s">
        <v>90</v>
      </c>
      <c r="M30" t="s">
        <v>3468</v>
      </c>
      <c r="N30" t="s">
        <v>3468</v>
      </c>
      <c r="O30" t="s">
        <v>5894</v>
      </c>
    </row>
    <row r="31" spans="1:15" ht="15" customHeight="1" x14ac:dyDescent="0.25">
      <c r="A31" t="s">
        <v>4060</v>
      </c>
      <c r="B31" t="s">
        <v>4368</v>
      </c>
      <c r="C31" t="s">
        <v>3681</v>
      </c>
      <c r="D31" t="s">
        <v>4051</v>
      </c>
      <c r="E31" s="9" t="s">
        <v>5895</v>
      </c>
      <c r="F31" t="s">
        <v>6529</v>
      </c>
      <c r="G31" s="9" t="s">
        <v>3468</v>
      </c>
      <c r="H31" t="s">
        <v>3468</v>
      </c>
      <c r="I31" t="s">
        <v>3468</v>
      </c>
      <c r="J31" t="s">
        <v>3468</v>
      </c>
      <c r="K31" t="s">
        <v>4060</v>
      </c>
      <c r="L31" t="s">
        <v>90</v>
      </c>
      <c r="M31" t="s">
        <v>5534</v>
      </c>
      <c r="N31" t="s">
        <v>3468</v>
      </c>
      <c r="O31" t="s">
        <v>6530</v>
      </c>
    </row>
    <row r="32" spans="1:15" ht="15" customHeight="1" x14ac:dyDescent="0.25">
      <c r="A32" t="s">
        <v>5897</v>
      </c>
      <c r="B32" t="s">
        <v>3533</v>
      </c>
      <c r="C32" t="s">
        <v>5431</v>
      </c>
      <c r="D32">
        <v>1</v>
      </c>
      <c r="E32" t="s">
        <v>5898</v>
      </c>
      <c r="F32" t="s">
        <v>6531</v>
      </c>
      <c r="G32" t="s">
        <v>5899</v>
      </c>
      <c r="H32" t="s">
        <v>6532</v>
      </c>
      <c r="I32">
        <v>1</v>
      </c>
      <c r="J32" t="s">
        <v>3468</v>
      </c>
      <c r="K32" t="s">
        <v>5900</v>
      </c>
      <c r="L32" t="s">
        <v>90</v>
      </c>
      <c r="M32" t="s">
        <v>5567</v>
      </c>
      <c r="N32" t="s">
        <v>3468</v>
      </c>
      <c r="O32" t="s">
        <v>5901</v>
      </c>
    </row>
    <row r="33" spans="1:15" ht="15" customHeight="1" x14ac:dyDescent="0.25">
      <c r="A33" t="s">
        <v>5241</v>
      </c>
      <c r="B33" t="s">
        <v>3520</v>
      </c>
      <c r="C33" t="s">
        <v>5431</v>
      </c>
      <c r="D33">
        <v>1</v>
      </c>
      <c r="E33" s="9" t="s">
        <v>6533</v>
      </c>
      <c r="F33" t="s">
        <v>6534</v>
      </c>
      <c r="G33" s="9" t="s">
        <v>6535</v>
      </c>
      <c r="H33" t="s">
        <v>6536</v>
      </c>
      <c r="I33">
        <v>1</v>
      </c>
      <c r="J33" t="s">
        <v>3468</v>
      </c>
      <c r="K33" t="s">
        <v>5241</v>
      </c>
      <c r="L33" t="s">
        <v>90</v>
      </c>
      <c r="M33" t="s">
        <v>3468</v>
      </c>
      <c r="N33" t="s">
        <v>3468</v>
      </c>
      <c r="O33" t="s">
        <v>5894</v>
      </c>
    </row>
    <row r="34" spans="1:15" ht="15" customHeight="1" x14ac:dyDescent="0.25">
      <c r="A34" t="s">
        <v>5904</v>
      </c>
      <c r="B34" t="s">
        <v>3533</v>
      </c>
      <c r="C34" t="s">
        <v>5431</v>
      </c>
      <c r="D34">
        <v>0</v>
      </c>
      <c r="E34" s="9" t="s">
        <v>6537</v>
      </c>
      <c r="F34" t="s">
        <v>6538</v>
      </c>
      <c r="G34" s="9" t="s">
        <v>6539</v>
      </c>
      <c r="H34" t="s">
        <v>6540</v>
      </c>
      <c r="I34">
        <v>0</v>
      </c>
      <c r="J34" t="s">
        <v>3468</v>
      </c>
      <c r="K34" t="s">
        <v>5907</v>
      </c>
      <c r="L34" t="s">
        <v>90</v>
      </c>
      <c r="M34" t="s">
        <v>3468</v>
      </c>
      <c r="N34" t="s">
        <v>3468</v>
      </c>
      <c r="O34" t="s">
        <v>5908</v>
      </c>
    </row>
    <row r="35" spans="1:15" ht="15" customHeight="1" x14ac:dyDescent="0.25">
      <c r="A35" t="s">
        <v>5911</v>
      </c>
      <c r="B35" t="s">
        <v>3533</v>
      </c>
      <c r="C35" t="s">
        <v>5793</v>
      </c>
      <c r="D35">
        <v>2</v>
      </c>
      <c r="E35" t="s">
        <v>6541</v>
      </c>
      <c r="F35" t="s">
        <v>6542</v>
      </c>
      <c r="G35" t="s">
        <v>5913</v>
      </c>
      <c r="H35" t="s">
        <v>6543</v>
      </c>
      <c r="I35">
        <v>2</v>
      </c>
      <c r="J35" t="s">
        <v>6494</v>
      </c>
      <c r="K35" t="s">
        <v>5911</v>
      </c>
      <c r="L35" t="s">
        <v>90</v>
      </c>
      <c r="M35" t="s">
        <v>5493</v>
      </c>
      <c r="N35" t="s">
        <v>3468</v>
      </c>
      <c r="O35" t="s">
        <v>5806</v>
      </c>
    </row>
    <row r="36" spans="1:15" ht="15" customHeight="1" x14ac:dyDescent="0.25">
      <c r="A36" t="s">
        <v>5914</v>
      </c>
      <c r="B36" t="s">
        <v>3533</v>
      </c>
      <c r="C36" t="s">
        <v>5431</v>
      </c>
      <c r="D36">
        <v>1</v>
      </c>
      <c r="E36" s="9" t="s">
        <v>6544</v>
      </c>
      <c r="F36" t="s">
        <v>6545</v>
      </c>
      <c r="G36" s="9" t="s">
        <v>6546</v>
      </c>
      <c r="H36" t="s">
        <v>6547</v>
      </c>
      <c r="I36">
        <v>1</v>
      </c>
      <c r="J36" t="s">
        <v>3468</v>
      </c>
      <c r="K36" t="s">
        <v>5914</v>
      </c>
      <c r="L36" t="s">
        <v>90</v>
      </c>
      <c r="M36" t="s">
        <v>5567</v>
      </c>
      <c r="N36" t="s">
        <v>3468</v>
      </c>
      <c r="O36" t="s">
        <v>6548</v>
      </c>
    </row>
    <row r="37" spans="1:15" ht="15" customHeight="1" x14ac:dyDescent="0.25">
      <c r="A37" t="s">
        <v>5917</v>
      </c>
      <c r="B37" t="s">
        <v>3533</v>
      </c>
      <c r="C37" t="s">
        <v>5793</v>
      </c>
      <c r="D37">
        <v>2</v>
      </c>
      <c r="E37" s="9" t="s">
        <v>5918</v>
      </c>
      <c r="F37" t="s">
        <v>6549</v>
      </c>
      <c r="G37" s="9" t="s">
        <v>5919</v>
      </c>
      <c r="H37" t="s">
        <v>6550</v>
      </c>
      <c r="I37">
        <v>2</v>
      </c>
      <c r="J37" t="s">
        <v>6471</v>
      </c>
      <c r="K37" t="s">
        <v>5917</v>
      </c>
      <c r="L37" t="s">
        <v>90</v>
      </c>
      <c r="M37" t="s">
        <v>3468</v>
      </c>
      <c r="N37" t="s">
        <v>3468</v>
      </c>
      <c r="O37" t="s">
        <v>5920</v>
      </c>
    </row>
    <row r="38" spans="1:15" ht="15" customHeight="1" x14ac:dyDescent="0.25">
      <c r="A38" t="s">
        <v>5921</v>
      </c>
      <c r="B38" t="s">
        <v>41</v>
      </c>
      <c r="C38" t="s">
        <v>5793</v>
      </c>
      <c r="D38">
        <v>0</v>
      </c>
      <c r="E38" s="9" t="s">
        <v>6551</v>
      </c>
      <c r="F38" t="s">
        <v>6552</v>
      </c>
      <c r="G38" s="9" t="s">
        <v>6553</v>
      </c>
      <c r="H38" t="s">
        <v>6554</v>
      </c>
      <c r="I38">
        <v>0</v>
      </c>
      <c r="J38" t="s">
        <v>6555</v>
      </c>
      <c r="K38" t="s">
        <v>5921</v>
      </c>
      <c r="L38" t="s">
        <v>90</v>
      </c>
      <c r="M38" t="s">
        <v>3468</v>
      </c>
      <c r="N38" t="s">
        <v>3468</v>
      </c>
      <c r="O38" t="s">
        <v>5806</v>
      </c>
    </row>
    <row r="39" spans="1:15" ht="15" customHeight="1" x14ac:dyDescent="0.25">
      <c r="A39" t="s">
        <v>5924</v>
      </c>
      <c r="B39" t="s">
        <v>41</v>
      </c>
      <c r="C39" t="s">
        <v>5793</v>
      </c>
      <c r="D39">
        <v>0</v>
      </c>
      <c r="E39" t="s">
        <v>5925</v>
      </c>
      <c r="F39" t="s">
        <v>6556</v>
      </c>
      <c r="G39" t="s">
        <v>5926</v>
      </c>
      <c r="H39" t="s">
        <v>6557</v>
      </c>
      <c r="I39">
        <v>0</v>
      </c>
      <c r="J39" t="s">
        <v>6555</v>
      </c>
      <c r="K39" t="s">
        <v>5924</v>
      </c>
      <c r="L39" t="s">
        <v>90</v>
      </c>
      <c r="M39" t="s">
        <v>3468</v>
      </c>
      <c r="N39" t="s">
        <v>3468</v>
      </c>
      <c r="O39" t="s">
        <v>5927</v>
      </c>
    </row>
    <row r="40" spans="1:15" ht="15" customHeight="1" x14ac:dyDescent="0.25">
      <c r="A40" t="s">
        <v>5481</v>
      </c>
      <c r="B40" t="s">
        <v>41</v>
      </c>
      <c r="C40" t="s">
        <v>5793</v>
      </c>
      <c r="D40">
        <v>1</v>
      </c>
      <c r="E40" t="s">
        <v>5928</v>
      </c>
      <c r="F40" t="s">
        <v>6558</v>
      </c>
      <c r="G40" t="s">
        <v>5929</v>
      </c>
      <c r="H40" t="s">
        <v>6559</v>
      </c>
      <c r="I40">
        <v>1</v>
      </c>
      <c r="J40" t="s">
        <v>6560</v>
      </c>
      <c r="K40" t="s">
        <v>5481</v>
      </c>
      <c r="L40" t="s">
        <v>90</v>
      </c>
      <c r="M40" t="s">
        <v>3468</v>
      </c>
      <c r="N40" t="s">
        <v>3468</v>
      </c>
      <c r="O40" t="s">
        <v>6561</v>
      </c>
    </row>
    <row r="41" spans="1:15" ht="15" customHeight="1" x14ac:dyDescent="0.25">
      <c r="A41" t="s">
        <v>5931</v>
      </c>
      <c r="B41" t="s">
        <v>41</v>
      </c>
      <c r="C41" t="s">
        <v>5431</v>
      </c>
      <c r="D41">
        <v>1</v>
      </c>
      <c r="E41" t="s">
        <v>5932</v>
      </c>
      <c r="F41" t="s">
        <v>6562</v>
      </c>
      <c r="G41" t="s">
        <v>5933</v>
      </c>
      <c r="H41" t="s">
        <v>6563</v>
      </c>
      <c r="I41">
        <v>1</v>
      </c>
      <c r="J41" t="s">
        <v>3468</v>
      </c>
      <c r="K41" t="s">
        <v>5934</v>
      </c>
      <c r="L41" t="s">
        <v>90</v>
      </c>
      <c r="M41" t="s">
        <v>3468</v>
      </c>
      <c r="N41" t="s">
        <v>3468</v>
      </c>
      <c r="O41" t="s">
        <v>5788</v>
      </c>
    </row>
    <row r="42" spans="1:15" ht="15" customHeight="1" x14ac:dyDescent="0.25">
      <c r="A42" t="s">
        <v>5935</v>
      </c>
      <c r="B42" t="s">
        <v>41</v>
      </c>
      <c r="C42" t="s">
        <v>5793</v>
      </c>
      <c r="D42">
        <v>2</v>
      </c>
      <c r="E42" s="9" t="s">
        <v>6564</v>
      </c>
      <c r="F42" t="s">
        <v>6565</v>
      </c>
      <c r="G42" s="9" t="s">
        <v>6566</v>
      </c>
      <c r="H42" t="s">
        <v>6567</v>
      </c>
      <c r="I42" t="s">
        <v>3468</v>
      </c>
      <c r="J42" t="s">
        <v>6480</v>
      </c>
      <c r="K42" t="s">
        <v>5935</v>
      </c>
      <c r="L42" t="s">
        <v>90</v>
      </c>
      <c r="M42" t="s">
        <v>3468</v>
      </c>
      <c r="N42" t="s">
        <v>3468</v>
      </c>
      <c r="O42" t="s">
        <v>5938</v>
      </c>
    </row>
    <row r="43" spans="1:15" ht="15" customHeight="1" x14ac:dyDescent="0.25">
      <c r="A43" t="s">
        <v>5939</v>
      </c>
      <c r="B43" t="s">
        <v>4368</v>
      </c>
      <c r="C43" t="s">
        <v>4315</v>
      </c>
      <c r="D43" t="s">
        <v>4051</v>
      </c>
      <c r="E43" t="s">
        <v>5940</v>
      </c>
      <c r="F43" t="s">
        <v>4285</v>
      </c>
      <c r="G43" t="s">
        <v>3468</v>
      </c>
      <c r="H43" t="s">
        <v>3468</v>
      </c>
      <c r="I43" t="s">
        <v>3468</v>
      </c>
      <c r="J43" t="s">
        <v>3468</v>
      </c>
      <c r="K43" t="s">
        <v>5939</v>
      </c>
      <c r="L43" t="s">
        <v>90</v>
      </c>
      <c r="M43" t="s">
        <v>6568</v>
      </c>
      <c r="N43" t="s">
        <v>3468</v>
      </c>
      <c r="O43" t="s">
        <v>5941</v>
      </c>
    </row>
    <row r="44" spans="1:15" ht="15" customHeight="1" x14ac:dyDescent="0.25">
      <c r="A44" t="s">
        <v>5949</v>
      </c>
      <c r="B44" t="s">
        <v>3533</v>
      </c>
      <c r="C44" t="s">
        <v>5431</v>
      </c>
      <c r="D44">
        <v>0</v>
      </c>
      <c r="E44" s="9" t="s">
        <v>6569</v>
      </c>
      <c r="F44" t="s">
        <v>6570</v>
      </c>
      <c r="G44" s="9" t="s">
        <v>6571</v>
      </c>
      <c r="H44" t="s">
        <v>6572</v>
      </c>
      <c r="I44" t="s">
        <v>3468</v>
      </c>
      <c r="J44" t="s">
        <v>3468</v>
      </c>
      <c r="K44" t="s">
        <v>5949</v>
      </c>
      <c r="L44" t="s">
        <v>90</v>
      </c>
      <c r="M44" t="s">
        <v>3468</v>
      </c>
      <c r="N44" t="s">
        <v>3468</v>
      </c>
      <c r="O44" t="s">
        <v>6573</v>
      </c>
    </row>
    <row r="45" spans="1:15" ht="15" customHeight="1" x14ac:dyDescent="0.25">
      <c r="A45" t="s">
        <v>5250</v>
      </c>
      <c r="B45" t="s">
        <v>3520</v>
      </c>
      <c r="C45" t="s">
        <v>5431</v>
      </c>
      <c r="D45">
        <v>2</v>
      </c>
      <c r="E45" s="9" t="s">
        <v>5953</v>
      </c>
      <c r="F45" t="s">
        <v>6574</v>
      </c>
      <c r="G45" s="9" t="s">
        <v>5954</v>
      </c>
      <c r="H45" t="s">
        <v>6575</v>
      </c>
      <c r="I45">
        <v>2</v>
      </c>
      <c r="J45" t="s">
        <v>6576</v>
      </c>
      <c r="K45" t="s">
        <v>5252</v>
      </c>
      <c r="L45" t="s">
        <v>90</v>
      </c>
      <c r="M45" t="s">
        <v>3468</v>
      </c>
      <c r="N45" t="s">
        <v>3468</v>
      </c>
      <c r="O45" t="s">
        <v>6577</v>
      </c>
    </row>
    <row r="46" spans="1:15" ht="15" customHeight="1" x14ac:dyDescent="0.25">
      <c r="A46" t="s">
        <v>5958</v>
      </c>
      <c r="B46" t="s">
        <v>3533</v>
      </c>
      <c r="C46" t="s">
        <v>5431</v>
      </c>
      <c r="D46">
        <v>0</v>
      </c>
      <c r="E46" s="9" t="s">
        <v>6578</v>
      </c>
      <c r="F46" t="s">
        <v>6579</v>
      </c>
      <c r="G46" s="9" t="s">
        <v>6580</v>
      </c>
      <c r="H46" t="s">
        <v>6581</v>
      </c>
      <c r="I46" t="s">
        <v>3468</v>
      </c>
      <c r="J46" t="s">
        <v>6582</v>
      </c>
      <c r="K46" t="s">
        <v>5961</v>
      </c>
      <c r="L46" t="s">
        <v>90</v>
      </c>
      <c r="M46" t="s">
        <v>5567</v>
      </c>
      <c r="N46" t="s">
        <v>3468</v>
      </c>
      <c r="O46" t="s">
        <v>6583</v>
      </c>
    </row>
    <row r="47" spans="1:15" ht="15" customHeight="1" x14ac:dyDescent="0.25">
      <c r="A47" t="s">
        <v>5963</v>
      </c>
      <c r="B47" t="s">
        <v>41</v>
      </c>
      <c r="C47" t="s">
        <v>5793</v>
      </c>
      <c r="D47">
        <v>1</v>
      </c>
      <c r="E47" t="s">
        <v>5964</v>
      </c>
      <c r="F47" t="s">
        <v>6584</v>
      </c>
      <c r="G47" t="s">
        <v>5965</v>
      </c>
      <c r="H47" t="s">
        <v>6585</v>
      </c>
      <c r="I47">
        <v>1</v>
      </c>
      <c r="J47" t="s">
        <v>6586</v>
      </c>
      <c r="K47" t="s">
        <v>5966</v>
      </c>
      <c r="L47" t="s">
        <v>90</v>
      </c>
      <c r="M47" t="s">
        <v>3468</v>
      </c>
      <c r="N47" t="s">
        <v>3468</v>
      </c>
      <c r="O47" t="s">
        <v>5967</v>
      </c>
    </row>
    <row r="48" spans="1:15" ht="15" customHeight="1" x14ac:dyDescent="0.25">
      <c r="A48" t="s">
        <v>5968</v>
      </c>
      <c r="B48" t="s">
        <v>41</v>
      </c>
      <c r="C48" t="s">
        <v>5793</v>
      </c>
      <c r="D48">
        <v>1</v>
      </c>
      <c r="E48" t="s">
        <v>5969</v>
      </c>
      <c r="F48" t="s">
        <v>6587</v>
      </c>
      <c r="G48" t="s">
        <v>5970</v>
      </c>
      <c r="H48" t="s">
        <v>6588</v>
      </c>
      <c r="I48">
        <v>1</v>
      </c>
      <c r="J48" t="s">
        <v>6488</v>
      </c>
      <c r="K48" t="s">
        <v>5971</v>
      </c>
      <c r="L48" t="s">
        <v>90</v>
      </c>
      <c r="M48" t="s">
        <v>3468</v>
      </c>
      <c r="N48" t="s">
        <v>3468</v>
      </c>
      <c r="O48" t="s">
        <v>5972</v>
      </c>
    </row>
    <row r="49" spans="1:15" ht="15" customHeight="1" x14ac:dyDescent="0.25">
      <c r="A49" t="s">
        <v>3453</v>
      </c>
      <c r="B49" t="s">
        <v>3533</v>
      </c>
      <c r="C49" t="s">
        <v>5793</v>
      </c>
      <c r="D49">
        <v>2</v>
      </c>
      <c r="E49" s="9" t="s">
        <v>5976</v>
      </c>
      <c r="F49" t="s">
        <v>6589</v>
      </c>
      <c r="G49" s="9" t="s">
        <v>5977</v>
      </c>
      <c r="H49" t="s">
        <v>6590</v>
      </c>
      <c r="I49">
        <v>2</v>
      </c>
      <c r="J49" t="s">
        <v>6463</v>
      </c>
      <c r="K49" t="s">
        <v>3453</v>
      </c>
      <c r="L49" t="s">
        <v>90</v>
      </c>
      <c r="M49" t="s">
        <v>3468</v>
      </c>
      <c r="N49" t="s">
        <v>3468</v>
      </c>
      <c r="O49" t="s">
        <v>5978</v>
      </c>
    </row>
    <row r="50" spans="1:15" ht="15" customHeight="1" x14ac:dyDescent="0.25">
      <c r="A50" t="s">
        <v>5979</v>
      </c>
      <c r="B50" t="s">
        <v>4368</v>
      </c>
      <c r="C50" t="s">
        <v>3681</v>
      </c>
      <c r="D50" t="s">
        <v>4051</v>
      </c>
      <c r="E50" s="9" t="s">
        <v>6591</v>
      </c>
      <c r="F50" t="s">
        <v>4285</v>
      </c>
      <c r="G50" s="9" t="s">
        <v>3468</v>
      </c>
      <c r="H50" t="s">
        <v>3468</v>
      </c>
      <c r="I50" t="s">
        <v>3468</v>
      </c>
      <c r="J50" t="s">
        <v>3468</v>
      </c>
      <c r="K50" t="s">
        <v>5979</v>
      </c>
      <c r="L50" t="s">
        <v>90</v>
      </c>
      <c r="M50" t="s">
        <v>5493</v>
      </c>
      <c r="N50" t="s">
        <v>3468</v>
      </c>
      <c r="O50" t="s">
        <v>6530</v>
      </c>
    </row>
    <row r="51" spans="1:15" ht="15" customHeight="1" x14ac:dyDescent="0.25">
      <c r="A51" t="s">
        <v>5981</v>
      </c>
      <c r="B51" t="s">
        <v>41</v>
      </c>
      <c r="C51" t="s">
        <v>5431</v>
      </c>
      <c r="D51">
        <v>1</v>
      </c>
      <c r="E51" s="9" t="s">
        <v>5982</v>
      </c>
      <c r="F51" t="s">
        <v>6592</v>
      </c>
      <c r="G51" s="9" t="s">
        <v>5983</v>
      </c>
      <c r="H51" t="s">
        <v>6593</v>
      </c>
      <c r="I51">
        <v>1</v>
      </c>
      <c r="J51" t="s">
        <v>3468</v>
      </c>
      <c r="K51" t="s">
        <v>5984</v>
      </c>
      <c r="L51" t="s">
        <v>90</v>
      </c>
      <c r="M51" t="s">
        <v>3468</v>
      </c>
      <c r="N51" t="s">
        <v>3468</v>
      </c>
      <c r="O51" t="s">
        <v>6527</v>
      </c>
    </row>
    <row r="52" spans="1:15" ht="15" customHeight="1" x14ac:dyDescent="0.25">
      <c r="A52" t="s">
        <v>4329</v>
      </c>
      <c r="B52" t="s">
        <v>4368</v>
      </c>
      <c r="C52" t="s">
        <v>4315</v>
      </c>
      <c r="D52" t="s">
        <v>4051</v>
      </c>
      <c r="E52" t="s">
        <v>5985</v>
      </c>
      <c r="F52" t="s">
        <v>6529</v>
      </c>
      <c r="G52" t="s">
        <v>3468</v>
      </c>
      <c r="H52" t="s">
        <v>3468</v>
      </c>
      <c r="I52" t="s">
        <v>3468</v>
      </c>
      <c r="J52" t="s">
        <v>3468</v>
      </c>
      <c r="K52" t="s">
        <v>4329</v>
      </c>
      <c r="L52" t="s">
        <v>90</v>
      </c>
      <c r="M52" t="s">
        <v>5534</v>
      </c>
      <c r="N52" t="s">
        <v>3468</v>
      </c>
      <c r="O52" t="s">
        <v>5941</v>
      </c>
    </row>
    <row r="53" spans="1:15" ht="15" customHeight="1" x14ac:dyDescent="0.25">
      <c r="A53" t="s">
        <v>6594</v>
      </c>
      <c r="B53" t="s">
        <v>3569</v>
      </c>
      <c r="C53" t="s">
        <v>5431</v>
      </c>
      <c r="D53">
        <v>1</v>
      </c>
      <c r="E53" t="s">
        <v>5987</v>
      </c>
      <c r="F53" t="s">
        <v>6595</v>
      </c>
      <c r="G53" t="s">
        <v>5988</v>
      </c>
      <c r="H53" t="s">
        <v>6596</v>
      </c>
      <c r="I53">
        <v>1</v>
      </c>
      <c r="J53" t="s">
        <v>3468</v>
      </c>
      <c r="K53" t="s">
        <v>6597</v>
      </c>
      <c r="L53" t="s">
        <v>90</v>
      </c>
      <c r="M53" t="s">
        <v>3468</v>
      </c>
      <c r="N53" t="s">
        <v>3468</v>
      </c>
      <c r="O53" t="s">
        <v>6598</v>
      </c>
    </row>
    <row r="54" spans="1:15" ht="15" customHeight="1" x14ac:dyDescent="0.25">
      <c r="A54" t="s">
        <v>6599</v>
      </c>
      <c r="B54" t="s">
        <v>3569</v>
      </c>
      <c r="C54" t="s">
        <v>5431</v>
      </c>
      <c r="D54">
        <v>1</v>
      </c>
      <c r="E54" t="s">
        <v>5987</v>
      </c>
      <c r="F54" t="s">
        <v>6595</v>
      </c>
      <c r="G54" t="s">
        <v>5988</v>
      </c>
      <c r="H54" t="s">
        <v>6596</v>
      </c>
      <c r="I54">
        <v>1</v>
      </c>
      <c r="J54" t="s">
        <v>3468</v>
      </c>
      <c r="K54" t="s">
        <v>6600</v>
      </c>
      <c r="L54" t="s">
        <v>90</v>
      </c>
      <c r="M54" t="s">
        <v>3468</v>
      </c>
      <c r="N54" t="s">
        <v>3468</v>
      </c>
      <c r="O54" t="s">
        <v>6598</v>
      </c>
    </row>
    <row r="55" spans="1:15" ht="15" customHeight="1" x14ac:dyDescent="0.25">
      <c r="A55" t="s">
        <v>5991</v>
      </c>
      <c r="B55" t="s">
        <v>41</v>
      </c>
      <c r="C55" t="s">
        <v>5431</v>
      </c>
      <c r="D55">
        <v>0</v>
      </c>
      <c r="E55" s="9" t="s">
        <v>5992</v>
      </c>
      <c r="F55" t="s">
        <v>6601</v>
      </c>
      <c r="G55" s="9" t="s">
        <v>6602</v>
      </c>
      <c r="H55" t="s">
        <v>6603</v>
      </c>
      <c r="I55">
        <v>0</v>
      </c>
      <c r="J55" t="s">
        <v>3468</v>
      </c>
      <c r="K55" t="s">
        <v>5991</v>
      </c>
      <c r="L55" t="s">
        <v>90</v>
      </c>
      <c r="M55" t="s">
        <v>3468</v>
      </c>
      <c r="N55" t="s">
        <v>3468</v>
      </c>
      <c r="O55" t="s">
        <v>5788</v>
      </c>
    </row>
    <row r="56" spans="1:15" ht="15" customHeight="1" x14ac:dyDescent="0.25">
      <c r="A56" t="s">
        <v>4653</v>
      </c>
      <c r="B56" t="s">
        <v>3533</v>
      </c>
      <c r="C56" t="s">
        <v>5793</v>
      </c>
      <c r="D56">
        <v>1</v>
      </c>
      <c r="E56" t="s">
        <v>6604</v>
      </c>
      <c r="F56" t="s">
        <v>6605</v>
      </c>
      <c r="G56" t="s">
        <v>6604</v>
      </c>
      <c r="H56" t="s">
        <v>6605</v>
      </c>
      <c r="I56">
        <v>1</v>
      </c>
      <c r="J56" t="s">
        <v>6463</v>
      </c>
      <c r="K56" t="s">
        <v>4653</v>
      </c>
      <c r="L56" t="s">
        <v>1622</v>
      </c>
      <c r="M56" t="s">
        <v>5496</v>
      </c>
      <c r="N56" t="s">
        <v>3468</v>
      </c>
      <c r="O56" t="s">
        <v>5826</v>
      </c>
    </row>
    <row r="57" spans="1:15" ht="15" customHeight="1" x14ac:dyDescent="0.25">
      <c r="A57" t="s">
        <v>6000</v>
      </c>
      <c r="B57" t="s">
        <v>3520</v>
      </c>
      <c r="C57" t="s">
        <v>5793</v>
      </c>
      <c r="D57">
        <v>1</v>
      </c>
      <c r="E57" t="s">
        <v>6001</v>
      </c>
      <c r="F57" t="s">
        <v>6606</v>
      </c>
      <c r="G57" t="s">
        <v>6002</v>
      </c>
      <c r="H57" t="s">
        <v>6607</v>
      </c>
      <c r="I57">
        <v>1</v>
      </c>
      <c r="J57" t="s">
        <v>6608</v>
      </c>
      <c r="K57" t="s">
        <v>6003</v>
      </c>
      <c r="L57" t="s">
        <v>90</v>
      </c>
      <c r="M57" t="s">
        <v>5567</v>
      </c>
      <c r="N57" t="s">
        <v>3468</v>
      </c>
      <c r="O57" t="s">
        <v>6004</v>
      </c>
    </row>
    <row r="58" spans="1:15" ht="15" customHeight="1" x14ac:dyDescent="0.25">
      <c r="A58" t="s">
        <v>6005</v>
      </c>
      <c r="B58" t="s">
        <v>3533</v>
      </c>
      <c r="C58" t="s">
        <v>5431</v>
      </c>
      <c r="D58">
        <v>1</v>
      </c>
      <c r="E58" s="9" t="s">
        <v>6006</v>
      </c>
      <c r="F58" t="s">
        <v>6609</v>
      </c>
      <c r="G58" s="9" t="s">
        <v>6007</v>
      </c>
      <c r="H58" t="s">
        <v>6610</v>
      </c>
      <c r="I58">
        <v>1</v>
      </c>
      <c r="J58" t="s">
        <v>3468</v>
      </c>
      <c r="K58" t="s">
        <v>6005</v>
      </c>
      <c r="L58" t="s">
        <v>90</v>
      </c>
      <c r="M58" t="s">
        <v>5567</v>
      </c>
      <c r="N58" t="s">
        <v>3468</v>
      </c>
      <c r="O58" t="s">
        <v>6008</v>
      </c>
    </row>
    <row r="59" spans="1:15" ht="15" customHeight="1" x14ac:dyDescent="0.25">
      <c r="A59" t="s">
        <v>6009</v>
      </c>
      <c r="B59" t="s">
        <v>3533</v>
      </c>
      <c r="C59" t="s">
        <v>5431</v>
      </c>
      <c r="D59">
        <v>1</v>
      </c>
      <c r="E59" s="9" t="s">
        <v>6010</v>
      </c>
      <c r="F59" t="s">
        <v>6611</v>
      </c>
      <c r="G59" s="9" t="s">
        <v>6010</v>
      </c>
      <c r="H59" t="s">
        <v>6611</v>
      </c>
      <c r="I59">
        <v>0</v>
      </c>
      <c r="J59" t="s">
        <v>3468</v>
      </c>
      <c r="K59" t="s">
        <v>6009</v>
      </c>
      <c r="L59" t="s">
        <v>90</v>
      </c>
      <c r="M59" t="s">
        <v>5567</v>
      </c>
      <c r="N59" t="s">
        <v>3468</v>
      </c>
      <c r="O59" t="s">
        <v>6011</v>
      </c>
    </row>
    <row r="60" spans="1:15" ht="15" customHeight="1" x14ac:dyDescent="0.25">
      <c r="A60" t="s">
        <v>6012</v>
      </c>
      <c r="B60" t="s">
        <v>41</v>
      </c>
      <c r="C60" t="s">
        <v>5431</v>
      </c>
      <c r="D60">
        <v>1</v>
      </c>
      <c r="E60" s="9" t="s">
        <v>6612</v>
      </c>
      <c r="F60" t="s">
        <v>6613</v>
      </c>
      <c r="G60" s="9" t="s">
        <v>6614</v>
      </c>
      <c r="H60" t="s">
        <v>6615</v>
      </c>
      <c r="I60">
        <v>1</v>
      </c>
      <c r="J60" t="s">
        <v>3468</v>
      </c>
      <c r="K60" t="s">
        <v>6015</v>
      </c>
      <c r="L60" t="s">
        <v>90</v>
      </c>
      <c r="M60" t="s">
        <v>3468</v>
      </c>
      <c r="N60" t="s">
        <v>3468</v>
      </c>
      <c r="O60" t="s">
        <v>5788</v>
      </c>
    </row>
    <row r="61" spans="1:15" ht="15" customHeight="1" x14ac:dyDescent="0.25">
      <c r="A61" t="s">
        <v>6016</v>
      </c>
      <c r="B61" t="s">
        <v>3520</v>
      </c>
      <c r="C61" t="s">
        <v>5431</v>
      </c>
      <c r="D61" t="s">
        <v>6017</v>
      </c>
      <c r="E61" s="9" t="s">
        <v>6616</v>
      </c>
      <c r="F61" t="s">
        <v>6617</v>
      </c>
      <c r="G61" s="9" t="s">
        <v>6618</v>
      </c>
      <c r="H61" t="s">
        <v>6619</v>
      </c>
      <c r="I61" t="s">
        <v>3468</v>
      </c>
      <c r="J61" t="s">
        <v>3468</v>
      </c>
      <c r="K61" t="s">
        <v>6016</v>
      </c>
      <c r="L61" t="s">
        <v>90</v>
      </c>
      <c r="M61" t="s">
        <v>5567</v>
      </c>
      <c r="N61" t="s">
        <v>3468</v>
      </c>
      <c r="O61" t="s">
        <v>6020</v>
      </c>
    </row>
    <row r="62" spans="1:15" ht="15" customHeight="1" x14ac:dyDescent="0.25">
      <c r="A62" t="s">
        <v>5435</v>
      </c>
      <c r="B62" t="s">
        <v>3520</v>
      </c>
      <c r="C62" t="s">
        <v>5431</v>
      </c>
      <c r="D62">
        <v>1</v>
      </c>
      <c r="E62" s="9" t="s">
        <v>6021</v>
      </c>
      <c r="F62" t="s">
        <v>6620</v>
      </c>
      <c r="G62" s="9" t="s">
        <v>6022</v>
      </c>
      <c r="H62" t="s">
        <v>6621</v>
      </c>
      <c r="I62">
        <v>1</v>
      </c>
      <c r="J62" t="s">
        <v>3468</v>
      </c>
      <c r="K62" t="s">
        <v>5437</v>
      </c>
      <c r="L62" t="s">
        <v>90</v>
      </c>
      <c r="M62" t="s">
        <v>3468</v>
      </c>
      <c r="N62" t="s">
        <v>3468</v>
      </c>
      <c r="O62" t="s">
        <v>5806</v>
      </c>
    </row>
    <row r="63" spans="1:15" ht="15" customHeight="1" x14ac:dyDescent="0.25">
      <c r="A63" t="s">
        <v>6024</v>
      </c>
      <c r="B63" t="s">
        <v>4368</v>
      </c>
      <c r="C63" t="s">
        <v>4315</v>
      </c>
      <c r="D63" t="s">
        <v>4051</v>
      </c>
      <c r="E63" t="s">
        <v>6025</v>
      </c>
      <c r="F63" t="s">
        <v>6622</v>
      </c>
      <c r="G63" t="s">
        <v>3468</v>
      </c>
      <c r="H63" t="s">
        <v>3468</v>
      </c>
      <c r="I63" t="s">
        <v>3468</v>
      </c>
      <c r="J63" t="s">
        <v>3468</v>
      </c>
      <c r="K63" t="s">
        <v>6024</v>
      </c>
      <c r="L63" t="s">
        <v>90</v>
      </c>
      <c r="M63" t="s">
        <v>5534</v>
      </c>
      <c r="N63" t="s">
        <v>3468</v>
      </c>
      <c r="O63" t="s">
        <v>5941</v>
      </c>
    </row>
    <row r="64" spans="1:15" ht="15" customHeight="1" x14ac:dyDescent="0.25">
      <c r="A64" t="s">
        <v>6026</v>
      </c>
      <c r="B64" t="s">
        <v>3533</v>
      </c>
      <c r="C64" t="s">
        <v>5793</v>
      </c>
      <c r="D64">
        <v>1</v>
      </c>
      <c r="E64" s="9" t="s">
        <v>6623</v>
      </c>
      <c r="F64" t="s">
        <v>6624</v>
      </c>
      <c r="G64" s="9" t="s">
        <v>6625</v>
      </c>
      <c r="H64" t="s">
        <v>6626</v>
      </c>
      <c r="I64">
        <v>1</v>
      </c>
      <c r="J64" t="s">
        <v>6463</v>
      </c>
      <c r="K64" t="s">
        <v>6026</v>
      </c>
      <c r="L64" t="s">
        <v>90</v>
      </c>
      <c r="M64" t="s">
        <v>3468</v>
      </c>
      <c r="N64" t="s">
        <v>3468</v>
      </c>
      <c r="O64" t="s">
        <v>6029</v>
      </c>
    </row>
    <row r="65" spans="1:15" ht="15" customHeight="1" x14ac:dyDescent="0.25">
      <c r="A65" t="s">
        <v>6034</v>
      </c>
      <c r="B65" t="s">
        <v>3533</v>
      </c>
      <c r="C65" t="s">
        <v>5431</v>
      </c>
      <c r="D65">
        <v>1</v>
      </c>
      <c r="E65" s="9" t="s">
        <v>6035</v>
      </c>
      <c r="F65" t="s">
        <v>6627</v>
      </c>
      <c r="G65" s="9" t="s">
        <v>6036</v>
      </c>
      <c r="H65" t="s">
        <v>6628</v>
      </c>
      <c r="I65">
        <v>1</v>
      </c>
      <c r="J65" t="s">
        <v>3468</v>
      </c>
      <c r="K65" t="s">
        <v>6037</v>
      </c>
      <c r="L65" t="s">
        <v>90</v>
      </c>
      <c r="M65" t="s">
        <v>3468</v>
      </c>
      <c r="N65" t="s">
        <v>3468</v>
      </c>
      <c r="O65" t="s">
        <v>5834</v>
      </c>
    </row>
    <row r="66" spans="1:15" ht="15" customHeight="1" x14ac:dyDescent="0.25">
      <c r="A66" t="s">
        <v>6038</v>
      </c>
      <c r="B66" t="s">
        <v>3533</v>
      </c>
      <c r="C66" t="s">
        <v>5793</v>
      </c>
      <c r="D66">
        <v>0</v>
      </c>
      <c r="E66" s="9" t="s">
        <v>6629</v>
      </c>
      <c r="F66" t="s">
        <v>6630</v>
      </c>
      <c r="G66" s="9" t="s">
        <v>6631</v>
      </c>
      <c r="H66" t="s">
        <v>6632</v>
      </c>
      <c r="I66">
        <v>0</v>
      </c>
      <c r="J66" t="s">
        <v>6521</v>
      </c>
      <c r="K66" t="s">
        <v>6041</v>
      </c>
      <c r="L66" t="s">
        <v>90</v>
      </c>
      <c r="M66" t="s">
        <v>5567</v>
      </c>
      <c r="N66" t="s">
        <v>3468</v>
      </c>
      <c r="O66" t="s">
        <v>5848</v>
      </c>
    </row>
    <row r="67" spans="1:15" x14ac:dyDescent="0.25">
      <c r="A67" t="s">
        <v>6042</v>
      </c>
      <c r="B67" t="s">
        <v>3533</v>
      </c>
      <c r="C67" t="s">
        <v>5431</v>
      </c>
      <c r="D67">
        <v>2</v>
      </c>
      <c r="E67" s="9" t="s">
        <v>6043</v>
      </c>
      <c r="F67" t="s">
        <v>6633</v>
      </c>
      <c r="G67" s="9" t="s">
        <v>6043</v>
      </c>
      <c r="H67" t="s">
        <v>6633</v>
      </c>
      <c r="I67">
        <v>1</v>
      </c>
      <c r="J67" t="s">
        <v>3468</v>
      </c>
      <c r="K67" t="s">
        <v>6042</v>
      </c>
      <c r="L67" t="s">
        <v>90</v>
      </c>
      <c r="M67" t="s">
        <v>3468</v>
      </c>
      <c r="N67" t="s">
        <v>3468</v>
      </c>
      <c r="O67" t="s">
        <v>5810</v>
      </c>
    </row>
    <row r="68" spans="1:15" x14ac:dyDescent="0.25">
      <c r="A68" t="s">
        <v>5267</v>
      </c>
      <c r="B68" t="s">
        <v>3520</v>
      </c>
      <c r="C68" t="s">
        <v>4668</v>
      </c>
      <c r="D68">
        <v>2</v>
      </c>
      <c r="E68" s="9" t="s">
        <v>6634</v>
      </c>
      <c r="F68" t="s">
        <v>6635</v>
      </c>
      <c r="G68" s="9" t="s">
        <v>6634</v>
      </c>
      <c r="H68" t="s">
        <v>6635</v>
      </c>
      <c r="I68">
        <v>1</v>
      </c>
      <c r="J68" t="s">
        <v>3468</v>
      </c>
      <c r="K68" t="s">
        <v>5267</v>
      </c>
      <c r="L68" t="s">
        <v>90</v>
      </c>
      <c r="M68" t="s">
        <v>3468</v>
      </c>
      <c r="N68" t="s">
        <v>3468</v>
      </c>
      <c r="O68" t="s">
        <v>6636</v>
      </c>
    </row>
    <row r="69" spans="1:15" x14ac:dyDescent="0.25">
      <c r="A69" t="s">
        <v>6045</v>
      </c>
      <c r="B69" t="s">
        <v>3533</v>
      </c>
      <c r="C69" t="s">
        <v>5431</v>
      </c>
      <c r="D69">
        <v>0</v>
      </c>
      <c r="E69" s="9" t="s">
        <v>6046</v>
      </c>
      <c r="F69" t="s">
        <v>6637</v>
      </c>
      <c r="G69" s="9" t="s">
        <v>6047</v>
      </c>
      <c r="H69" t="s">
        <v>6638</v>
      </c>
      <c r="I69">
        <v>0</v>
      </c>
      <c r="J69" t="s">
        <v>3468</v>
      </c>
      <c r="K69" t="s">
        <v>6048</v>
      </c>
      <c r="L69" t="s">
        <v>90</v>
      </c>
      <c r="M69" t="s">
        <v>3468</v>
      </c>
      <c r="N69" t="s">
        <v>3468</v>
      </c>
      <c r="O69" t="s">
        <v>6049</v>
      </c>
    </row>
    <row r="70" spans="1:15" x14ac:dyDescent="0.25">
      <c r="A70" t="s">
        <v>6050</v>
      </c>
      <c r="B70" t="s">
        <v>3533</v>
      </c>
      <c r="C70" t="s">
        <v>5793</v>
      </c>
      <c r="D70">
        <v>3</v>
      </c>
      <c r="E70" s="9" t="s">
        <v>6639</v>
      </c>
      <c r="F70" t="s">
        <v>6640</v>
      </c>
      <c r="G70" s="9" t="s">
        <v>6641</v>
      </c>
      <c r="H70" t="s">
        <v>6642</v>
      </c>
      <c r="I70">
        <v>3</v>
      </c>
      <c r="J70" t="s">
        <v>6471</v>
      </c>
      <c r="K70" t="s">
        <v>6050</v>
      </c>
      <c r="L70" t="s">
        <v>90</v>
      </c>
      <c r="M70" t="s">
        <v>3468</v>
      </c>
      <c r="N70" t="s">
        <v>3468</v>
      </c>
      <c r="O70" t="s">
        <v>6053</v>
      </c>
    </row>
    <row r="71" spans="1:15" x14ac:dyDescent="0.25">
      <c r="A71" t="s">
        <v>5269</v>
      </c>
      <c r="B71" t="s">
        <v>3533</v>
      </c>
      <c r="C71" t="s">
        <v>4668</v>
      </c>
      <c r="D71">
        <v>1</v>
      </c>
      <c r="E71" s="9" t="s">
        <v>6643</v>
      </c>
      <c r="F71" t="s">
        <v>6644</v>
      </c>
      <c r="G71" s="9" t="s">
        <v>6645</v>
      </c>
      <c r="H71" t="s">
        <v>6646</v>
      </c>
      <c r="I71">
        <v>1</v>
      </c>
      <c r="J71" t="s">
        <v>3468</v>
      </c>
      <c r="K71" t="s">
        <v>5269</v>
      </c>
      <c r="L71" t="s">
        <v>90</v>
      </c>
      <c r="M71" t="s">
        <v>3468</v>
      </c>
      <c r="N71" t="s">
        <v>3468</v>
      </c>
      <c r="O71" t="s">
        <v>6056</v>
      </c>
    </row>
    <row r="72" spans="1:15" x14ac:dyDescent="0.25">
      <c r="A72" t="s">
        <v>6057</v>
      </c>
      <c r="B72" t="s">
        <v>3520</v>
      </c>
      <c r="C72" t="s">
        <v>5431</v>
      </c>
      <c r="D72">
        <v>1</v>
      </c>
      <c r="E72" s="9" t="s">
        <v>6058</v>
      </c>
      <c r="F72" t="s">
        <v>6647</v>
      </c>
      <c r="G72" s="9" t="s">
        <v>6058</v>
      </c>
      <c r="H72" t="s">
        <v>6647</v>
      </c>
      <c r="I72">
        <v>0</v>
      </c>
      <c r="J72" t="s">
        <v>3468</v>
      </c>
      <c r="K72" t="s">
        <v>6057</v>
      </c>
      <c r="L72" t="s">
        <v>90</v>
      </c>
      <c r="M72" t="s">
        <v>5567</v>
      </c>
      <c r="N72" t="s">
        <v>3468</v>
      </c>
      <c r="O72" t="s">
        <v>6059</v>
      </c>
    </row>
    <row r="73" spans="1:15" x14ac:dyDescent="0.25">
      <c r="A73" t="s">
        <v>6060</v>
      </c>
      <c r="B73" t="s">
        <v>3533</v>
      </c>
      <c r="C73" t="s">
        <v>5431</v>
      </c>
      <c r="D73">
        <v>1</v>
      </c>
      <c r="E73" s="9" t="s">
        <v>6648</v>
      </c>
      <c r="F73" t="s">
        <v>6649</v>
      </c>
      <c r="G73" s="9" t="s">
        <v>6650</v>
      </c>
      <c r="H73" t="s">
        <v>6651</v>
      </c>
      <c r="I73">
        <v>1</v>
      </c>
      <c r="J73" t="s">
        <v>3468</v>
      </c>
      <c r="K73" t="s">
        <v>6060</v>
      </c>
      <c r="L73" t="s">
        <v>90</v>
      </c>
      <c r="M73" t="s">
        <v>3468</v>
      </c>
      <c r="N73" t="s">
        <v>3468</v>
      </c>
      <c r="O73" t="s">
        <v>6063</v>
      </c>
    </row>
    <row r="74" spans="1:15" x14ac:dyDescent="0.25">
      <c r="A74" t="s">
        <v>6064</v>
      </c>
      <c r="B74" t="s">
        <v>3520</v>
      </c>
      <c r="C74" t="s">
        <v>5793</v>
      </c>
      <c r="D74">
        <v>1</v>
      </c>
      <c r="E74" s="9" t="s">
        <v>6652</v>
      </c>
      <c r="F74" t="s">
        <v>6653</v>
      </c>
      <c r="G74" s="9" t="s">
        <v>6654</v>
      </c>
      <c r="H74" t="s">
        <v>6655</v>
      </c>
      <c r="I74" t="s">
        <v>3468</v>
      </c>
      <c r="J74" t="s">
        <v>6471</v>
      </c>
      <c r="K74" t="s">
        <v>6064</v>
      </c>
      <c r="L74" t="s">
        <v>90</v>
      </c>
      <c r="M74" t="s">
        <v>5567</v>
      </c>
      <c r="N74" t="s">
        <v>3468</v>
      </c>
      <c r="O74" t="s">
        <v>6067</v>
      </c>
    </row>
    <row r="75" spans="1:15" x14ac:dyDescent="0.25">
      <c r="A75" t="s">
        <v>5277</v>
      </c>
      <c r="B75" t="s">
        <v>3533</v>
      </c>
      <c r="C75" t="s">
        <v>4668</v>
      </c>
      <c r="D75">
        <v>1</v>
      </c>
      <c r="E75" s="9" t="s">
        <v>6656</v>
      </c>
      <c r="F75" t="s">
        <v>6657</v>
      </c>
      <c r="G75" s="9" t="s">
        <v>6658</v>
      </c>
      <c r="H75" t="s">
        <v>6659</v>
      </c>
      <c r="I75">
        <v>1</v>
      </c>
      <c r="J75" t="s">
        <v>3468</v>
      </c>
      <c r="K75" t="s">
        <v>5279</v>
      </c>
      <c r="L75" t="s">
        <v>90</v>
      </c>
      <c r="M75" t="s">
        <v>3468</v>
      </c>
      <c r="N75" t="s">
        <v>3468</v>
      </c>
      <c r="O75" t="s">
        <v>6070</v>
      </c>
    </row>
    <row r="76" spans="1:15" x14ac:dyDescent="0.25">
      <c r="A76" t="s">
        <v>6071</v>
      </c>
      <c r="B76" t="s">
        <v>3520</v>
      </c>
      <c r="C76" t="s">
        <v>5793</v>
      </c>
      <c r="D76">
        <v>2</v>
      </c>
      <c r="E76" s="9" t="s">
        <v>6660</v>
      </c>
      <c r="F76" t="s">
        <v>6661</v>
      </c>
      <c r="G76" s="9" t="s">
        <v>6662</v>
      </c>
      <c r="H76" t="s">
        <v>6663</v>
      </c>
      <c r="I76">
        <v>2</v>
      </c>
      <c r="J76" t="s">
        <v>6488</v>
      </c>
      <c r="K76" t="s">
        <v>6074</v>
      </c>
      <c r="L76" t="s">
        <v>90</v>
      </c>
      <c r="M76" t="s">
        <v>5567</v>
      </c>
      <c r="N76" t="s">
        <v>4331</v>
      </c>
      <c r="O76" t="s">
        <v>6075</v>
      </c>
    </row>
    <row r="77" spans="1:15" x14ac:dyDescent="0.25">
      <c r="A77" t="s">
        <v>6078</v>
      </c>
      <c r="B77" t="s">
        <v>3533</v>
      </c>
      <c r="C77" t="s">
        <v>5793</v>
      </c>
      <c r="D77">
        <v>1</v>
      </c>
      <c r="E77" s="9" t="s">
        <v>6664</v>
      </c>
      <c r="F77" t="s">
        <v>6665</v>
      </c>
      <c r="G77" s="9" t="s">
        <v>6666</v>
      </c>
      <c r="H77" t="s">
        <v>6667</v>
      </c>
      <c r="I77" t="s">
        <v>3468</v>
      </c>
      <c r="J77" t="s">
        <v>6463</v>
      </c>
      <c r="K77" t="s">
        <v>6078</v>
      </c>
      <c r="L77" t="s">
        <v>90</v>
      </c>
      <c r="M77" t="s">
        <v>3468</v>
      </c>
      <c r="N77" t="s">
        <v>3468</v>
      </c>
      <c r="O77" t="s">
        <v>6668</v>
      </c>
    </row>
    <row r="78" spans="1:15" x14ac:dyDescent="0.25">
      <c r="A78" t="s">
        <v>5280</v>
      </c>
      <c r="B78" t="s">
        <v>3533</v>
      </c>
      <c r="C78" t="s">
        <v>4668</v>
      </c>
      <c r="D78">
        <v>1</v>
      </c>
      <c r="E78" s="9" t="s">
        <v>6669</v>
      </c>
      <c r="F78" t="s">
        <v>6670</v>
      </c>
      <c r="G78" s="9" t="s">
        <v>6671</v>
      </c>
      <c r="H78" t="s">
        <v>6672</v>
      </c>
      <c r="I78">
        <v>1</v>
      </c>
      <c r="J78" t="s">
        <v>3468</v>
      </c>
      <c r="K78" t="s">
        <v>5282</v>
      </c>
      <c r="L78" t="s">
        <v>90</v>
      </c>
      <c r="M78" t="s">
        <v>3468</v>
      </c>
      <c r="N78" t="s">
        <v>3468</v>
      </c>
      <c r="O78" t="s">
        <v>6083</v>
      </c>
    </row>
    <row r="79" spans="1:15" x14ac:dyDescent="0.25">
      <c r="A79" t="s">
        <v>5283</v>
      </c>
      <c r="B79" t="s">
        <v>3533</v>
      </c>
      <c r="C79" t="s">
        <v>5431</v>
      </c>
      <c r="D79">
        <v>2</v>
      </c>
      <c r="E79" s="9" t="s">
        <v>6673</v>
      </c>
      <c r="F79" t="s">
        <v>6674</v>
      </c>
      <c r="G79" s="9" t="s">
        <v>6675</v>
      </c>
      <c r="H79" t="s">
        <v>6676</v>
      </c>
      <c r="I79">
        <v>2</v>
      </c>
      <c r="J79" t="s">
        <v>3468</v>
      </c>
      <c r="K79" t="s">
        <v>5285</v>
      </c>
      <c r="L79" t="s">
        <v>90</v>
      </c>
      <c r="M79" t="s">
        <v>3468</v>
      </c>
      <c r="N79" t="s">
        <v>4331</v>
      </c>
      <c r="O79" t="s">
        <v>5810</v>
      </c>
    </row>
    <row r="80" spans="1:15" x14ac:dyDescent="0.25">
      <c r="A80" t="s">
        <v>6086</v>
      </c>
      <c r="B80" t="s">
        <v>3533</v>
      </c>
      <c r="C80" t="s">
        <v>5793</v>
      </c>
      <c r="D80">
        <v>1</v>
      </c>
      <c r="E80" s="9" t="s">
        <v>6677</v>
      </c>
      <c r="F80" t="s">
        <v>6678</v>
      </c>
      <c r="G80" s="9" t="s">
        <v>6679</v>
      </c>
      <c r="H80" t="s">
        <v>6680</v>
      </c>
      <c r="I80">
        <v>1</v>
      </c>
      <c r="J80" t="s">
        <v>6488</v>
      </c>
      <c r="K80" t="s">
        <v>6086</v>
      </c>
      <c r="L80" t="s">
        <v>90</v>
      </c>
      <c r="M80" t="s">
        <v>3468</v>
      </c>
      <c r="N80" t="s">
        <v>3468</v>
      </c>
      <c r="O80" t="s">
        <v>6668</v>
      </c>
    </row>
    <row r="81" spans="1:15" x14ac:dyDescent="0.25">
      <c r="A81" t="s">
        <v>6089</v>
      </c>
      <c r="B81" t="s">
        <v>41</v>
      </c>
      <c r="C81" t="s">
        <v>5431</v>
      </c>
      <c r="D81">
        <v>0</v>
      </c>
      <c r="E81" s="9" t="s">
        <v>6681</v>
      </c>
      <c r="F81" t="s">
        <v>6682</v>
      </c>
      <c r="G81" s="9" t="s">
        <v>6683</v>
      </c>
      <c r="H81" t="s">
        <v>6684</v>
      </c>
      <c r="I81" t="s">
        <v>3468</v>
      </c>
      <c r="J81" t="s">
        <v>3468</v>
      </c>
      <c r="K81" t="s">
        <v>6089</v>
      </c>
      <c r="L81" t="s">
        <v>90</v>
      </c>
      <c r="M81" t="s">
        <v>3468</v>
      </c>
      <c r="N81" t="s">
        <v>3468</v>
      </c>
      <c r="O81" t="s">
        <v>6130</v>
      </c>
    </row>
    <row r="82" spans="1:15" x14ac:dyDescent="0.25">
      <c r="A82" t="s">
        <v>6092</v>
      </c>
      <c r="B82" t="s">
        <v>41</v>
      </c>
      <c r="C82" t="s">
        <v>5793</v>
      </c>
      <c r="D82">
        <v>1</v>
      </c>
      <c r="E82" s="9" t="s">
        <v>6685</v>
      </c>
      <c r="F82" t="s">
        <v>6686</v>
      </c>
      <c r="G82" s="9" t="s">
        <v>6687</v>
      </c>
      <c r="H82" t="s">
        <v>6688</v>
      </c>
      <c r="I82" t="s">
        <v>3468</v>
      </c>
      <c r="J82" t="s">
        <v>6463</v>
      </c>
      <c r="K82" t="s">
        <v>6095</v>
      </c>
      <c r="L82" t="s">
        <v>90</v>
      </c>
      <c r="M82" t="s">
        <v>3468</v>
      </c>
      <c r="N82" t="s">
        <v>3468</v>
      </c>
      <c r="O82" t="s">
        <v>6096</v>
      </c>
    </row>
    <row r="83" spans="1:15" x14ac:dyDescent="0.25">
      <c r="A83" t="s">
        <v>6100</v>
      </c>
      <c r="B83" t="s">
        <v>3533</v>
      </c>
      <c r="C83" t="s">
        <v>5431</v>
      </c>
      <c r="D83">
        <v>1</v>
      </c>
      <c r="E83" s="9" t="s">
        <v>6689</v>
      </c>
      <c r="F83" t="s">
        <v>6522</v>
      </c>
      <c r="G83" s="9" t="s">
        <v>6690</v>
      </c>
      <c r="H83" t="s">
        <v>6523</v>
      </c>
      <c r="I83" t="s">
        <v>3468</v>
      </c>
      <c r="J83" t="s">
        <v>3468</v>
      </c>
      <c r="K83" t="s">
        <v>6103</v>
      </c>
      <c r="L83" t="s">
        <v>90</v>
      </c>
      <c r="M83" t="s">
        <v>5493</v>
      </c>
      <c r="N83" t="s">
        <v>3468</v>
      </c>
      <c r="O83" t="s">
        <v>5810</v>
      </c>
    </row>
    <row r="84" spans="1:15" x14ac:dyDescent="0.25">
      <c r="A84" t="s">
        <v>6105</v>
      </c>
      <c r="B84" t="s">
        <v>3520</v>
      </c>
      <c r="C84" t="s">
        <v>5793</v>
      </c>
      <c r="D84">
        <v>1</v>
      </c>
      <c r="E84" s="9" t="s">
        <v>6691</v>
      </c>
      <c r="F84" t="s">
        <v>6692</v>
      </c>
      <c r="G84" s="9" t="s">
        <v>6693</v>
      </c>
      <c r="H84" t="s">
        <v>6694</v>
      </c>
      <c r="I84" t="s">
        <v>3468</v>
      </c>
      <c r="J84" t="s">
        <v>6488</v>
      </c>
      <c r="K84" t="s">
        <v>6108</v>
      </c>
      <c r="L84" t="s">
        <v>90</v>
      </c>
      <c r="M84" t="s">
        <v>3468</v>
      </c>
      <c r="N84" t="s">
        <v>3468</v>
      </c>
      <c r="O84" t="s">
        <v>5848</v>
      </c>
    </row>
    <row r="85" spans="1:15" x14ac:dyDescent="0.25">
      <c r="A85" t="s">
        <v>6109</v>
      </c>
      <c r="B85" t="s">
        <v>41</v>
      </c>
      <c r="C85" t="s">
        <v>5793</v>
      </c>
      <c r="D85">
        <v>0</v>
      </c>
      <c r="E85" s="9" t="s">
        <v>6695</v>
      </c>
      <c r="F85" t="s">
        <v>6696</v>
      </c>
      <c r="G85" s="9" t="s">
        <v>6697</v>
      </c>
      <c r="H85" t="s">
        <v>6698</v>
      </c>
      <c r="I85">
        <v>0</v>
      </c>
      <c r="J85" t="s">
        <v>6555</v>
      </c>
      <c r="K85" t="s">
        <v>6112</v>
      </c>
      <c r="L85" t="s">
        <v>90</v>
      </c>
      <c r="M85" t="s">
        <v>3468</v>
      </c>
      <c r="N85" t="s">
        <v>3468</v>
      </c>
      <c r="O85" t="s">
        <v>5839</v>
      </c>
    </row>
    <row r="86" spans="1:15" x14ac:dyDescent="0.25">
      <c r="A86" t="s">
        <v>6113</v>
      </c>
      <c r="B86" t="s">
        <v>3520</v>
      </c>
      <c r="C86" t="s">
        <v>5793</v>
      </c>
      <c r="D86">
        <v>0</v>
      </c>
      <c r="E86" s="9" t="s">
        <v>6699</v>
      </c>
      <c r="F86" t="s">
        <v>6700</v>
      </c>
      <c r="G86" s="9" t="s">
        <v>6701</v>
      </c>
      <c r="H86" t="s">
        <v>6702</v>
      </c>
      <c r="I86">
        <v>0</v>
      </c>
      <c r="J86" t="s">
        <v>6703</v>
      </c>
      <c r="K86" t="s">
        <v>6116</v>
      </c>
      <c r="L86" t="s">
        <v>90</v>
      </c>
      <c r="M86" t="s">
        <v>3468</v>
      </c>
      <c r="N86" t="s">
        <v>3468</v>
      </c>
      <c r="O86" t="s">
        <v>5967</v>
      </c>
    </row>
    <row r="87" spans="1:15" x14ac:dyDescent="0.25">
      <c r="A87" t="s">
        <v>5187</v>
      </c>
      <c r="B87" t="s">
        <v>4368</v>
      </c>
      <c r="C87" t="s">
        <v>4315</v>
      </c>
      <c r="D87" t="s">
        <v>4051</v>
      </c>
      <c r="E87" t="s">
        <v>6704</v>
      </c>
      <c r="F87" t="s">
        <v>4285</v>
      </c>
      <c r="G87" t="s">
        <v>3468</v>
      </c>
      <c r="H87" t="s">
        <v>3468</v>
      </c>
      <c r="I87" t="s">
        <v>3468</v>
      </c>
      <c r="J87" t="s">
        <v>3468</v>
      </c>
      <c r="K87" t="s">
        <v>5187</v>
      </c>
      <c r="L87" t="s">
        <v>38</v>
      </c>
      <c r="M87" t="s">
        <v>6705</v>
      </c>
      <c r="N87" t="s">
        <v>3468</v>
      </c>
    </row>
    <row r="88" spans="1:15" x14ac:dyDescent="0.25">
      <c r="A88" t="s">
        <v>5203</v>
      </c>
      <c r="B88" t="s">
        <v>4368</v>
      </c>
      <c r="C88" t="s">
        <v>4315</v>
      </c>
      <c r="D88" t="s">
        <v>4051</v>
      </c>
      <c r="E88" t="s">
        <v>6706</v>
      </c>
      <c r="F88" t="s">
        <v>6707</v>
      </c>
      <c r="G88" t="s">
        <v>3468</v>
      </c>
      <c r="H88" t="s">
        <v>3468</v>
      </c>
      <c r="I88" t="s">
        <v>3468</v>
      </c>
      <c r="J88" t="s">
        <v>3468</v>
      </c>
      <c r="K88" t="s">
        <v>5203</v>
      </c>
      <c r="L88" t="s">
        <v>38</v>
      </c>
      <c r="M88" t="s">
        <v>5534</v>
      </c>
      <c r="N88" t="s">
        <v>3468</v>
      </c>
      <c r="O88" t="s">
        <v>5941</v>
      </c>
    </row>
    <row r="89" spans="1:15" x14ac:dyDescent="0.25">
      <c r="A89" t="s">
        <v>6118</v>
      </c>
      <c r="B89" t="s">
        <v>41</v>
      </c>
      <c r="C89" t="s">
        <v>5431</v>
      </c>
      <c r="D89">
        <v>1</v>
      </c>
      <c r="E89" s="9" t="s">
        <v>6119</v>
      </c>
      <c r="F89" t="s">
        <v>6708</v>
      </c>
      <c r="G89" s="9" t="s">
        <v>6119</v>
      </c>
      <c r="H89" t="s">
        <v>6708</v>
      </c>
      <c r="I89">
        <v>0</v>
      </c>
      <c r="J89" t="s">
        <v>3468</v>
      </c>
      <c r="K89" t="s">
        <v>6118</v>
      </c>
      <c r="L89" t="s">
        <v>90</v>
      </c>
      <c r="M89" t="s">
        <v>3468</v>
      </c>
      <c r="N89" t="s">
        <v>3468</v>
      </c>
      <c r="O89" t="s">
        <v>6075</v>
      </c>
    </row>
    <row r="90" spans="1:15" x14ac:dyDescent="0.25">
      <c r="A90" t="s">
        <v>6120</v>
      </c>
      <c r="B90" t="s">
        <v>41</v>
      </c>
      <c r="C90" t="s">
        <v>5793</v>
      </c>
      <c r="D90">
        <v>1</v>
      </c>
      <c r="E90" s="9" t="s">
        <v>6121</v>
      </c>
      <c r="F90" t="s">
        <v>6709</v>
      </c>
      <c r="G90" s="9" t="s">
        <v>6122</v>
      </c>
      <c r="H90" t="s">
        <v>6710</v>
      </c>
      <c r="I90">
        <v>1</v>
      </c>
      <c r="J90" t="s">
        <v>6471</v>
      </c>
      <c r="K90" t="s">
        <v>6120</v>
      </c>
      <c r="L90" t="s">
        <v>90</v>
      </c>
      <c r="M90" t="s">
        <v>3468</v>
      </c>
      <c r="N90" t="s">
        <v>3468</v>
      </c>
      <c r="O90" t="s">
        <v>5806</v>
      </c>
    </row>
    <row r="91" spans="1:15" x14ac:dyDescent="0.25">
      <c r="A91" t="s">
        <v>6126</v>
      </c>
      <c r="B91" t="s">
        <v>41</v>
      </c>
      <c r="C91" t="s">
        <v>5793</v>
      </c>
      <c r="D91">
        <v>2</v>
      </c>
      <c r="E91" t="s">
        <v>6127</v>
      </c>
      <c r="F91" t="s">
        <v>6711</v>
      </c>
      <c r="G91" t="s">
        <v>6128</v>
      </c>
      <c r="H91" t="s">
        <v>6712</v>
      </c>
      <c r="I91">
        <v>2</v>
      </c>
      <c r="J91" t="s">
        <v>6494</v>
      </c>
      <c r="K91" t="s">
        <v>6129</v>
      </c>
      <c r="L91" t="s">
        <v>90</v>
      </c>
      <c r="M91" t="s">
        <v>3468</v>
      </c>
      <c r="N91" t="s">
        <v>3468</v>
      </c>
      <c r="O91" t="s">
        <v>6130</v>
      </c>
    </row>
    <row r="92" spans="1:15" x14ac:dyDescent="0.25">
      <c r="A92" t="s">
        <v>6131</v>
      </c>
      <c r="B92" t="s">
        <v>3533</v>
      </c>
      <c r="C92" t="s">
        <v>5793</v>
      </c>
      <c r="D92">
        <v>1</v>
      </c>
      <c r="E92" s="9" t="s">
        <v>6713</v>
      </c>
      <c r="F92" t="s">
        <v>6714</v>
      </c>
      <c r="G92" s="9" t="s">
        <v>6715</v>
      </c>
      <c r="H92" t="s">
        <v>6716</v>
      </c>
      <c r="I92">
        <v>1</v>
      </c>
      <c r="J92" t="s">
        <v>6471</v>
      </c>
      <c r="K92" t="s">
        <v>6134</v>
      </c>
      <c r="L92" t="s">
        <v>90</v>
      </c>
      <c r="M92" t="s">
        <v>3468</v>
      </c>
      <c r="N92" t="s">
        <v>3468</v>
      </c>
      <c r="O92" t="s">
        <v>6717</v>
      </c>
    </row>
    <row r="93" spans="1:15" x14ac:dyDescent="0.25">
      <c r="A93" t="s">
        <v>6135</v>
      </c>
      <c r="B93" t="s">
        <v>3533</v>
      </c>
      <c r="C93" t="s">
        <v>5793</v>
      </c>
      <c r="D93">
        <v>1</v>
      </c>
      <c r="E93" s="9" t="s">
        <v>6136</v>
      </c>
      <c r="F93" t="s">
        <v>6718</v>
      </c>
      <c r="G93" s="9" t="s">
        <v>6137</v>
      </c>
      <c r="H93" t="s">
        <v>6719</v>
      </c>
      <c r="I93">
        <v>1</v>
      </c>
      <c r="J93" t="s">
        <v>6488</v>
      </c>
      <c r="K93" t="s">
        <v>6135</v>
      </c>
      <c r="L93" t="s">
        <v>90</v>
      </c>
      <c r="M93" t="s">
        <v>3468</v>
      </c>
      <c r="N93" t="s">
        <v>5454</v>
      </c>
      <c r="O93" t="s">
        <v>6720</v>
      </c>
    </row>
    <row r="94" spans="1:15" x14ac:dyDescent="0.25">
      <c r="A94" t="s">
        <v>6138</v>
      </c>
      <c r="B94" t="s">
        <v>41</v>
      </c>
      <c r="C94" t="s">
        <v>5431</v>
      </c>
      <c r="D94">
        <v>1</v>
      </c>
      <c r="E94" s="9" t="s">
        <v>6721</v>
      </c>
      <c r="F94" t="s">
        <v>6722</v>
      </c>
      <c r="G94" s="9" t="s">
        <v>6723</v>
      </c>
      <c r="H94" t="s">
        <v>6724</v>
      </c>
      <c r="I94">
        <v>1</v>
      </c>
      <c r="J94" t="s">
        <v>3468</v>
      </c>
      <c r="K94" t="s">
        <v>6138</v>
      </c>
      <c r="L94" t="s">
        <v>90</v>
      </c>
      <c r="M94" t="s">
        <v>3468</v>
      </c>
      <c r="N94" t="s">
        <v>3468</v>
      </c>
      <c r="O94" t="s">
        <v>6141</v>
      </c>
    </row>
    <row r="95" spans="1:15" x14ac:dyDescent="0.25">
      <c r="A95" t="s">
        <v>6142</v>
      </c>
      <c r="B95" t="s">
        <v>3520</v>
      </c>
      <c r="C95" t="s">
        <v>5793</v>
      </c>
      <c r="D95">
        <v>2</v>
      </c>
      <c r="E95" s="9" t="s">
        <v>6143</v>
      </c>
      <c r="F95" t="s">
        <v>6725</v>
      </c>
      <c r="G95" s="9" t="s">
        <v>6144</v>
      </c>
      <c r="H95" t="s">
        <v>6726</v>
      </c>
      <c r="I95">
        <v>2</v>
      </c>
      <c r="J95" t="s">
        <v>6727</v>
      </c>
      <c r="K95" t="s">
        <v>6142</v>
      </c>
      <c r="L95" t="s">
        <v>90</v>
      </c>
      <c r="M95" t="s">
        <v>3468</v>
      </c>
      <c r="N95" t="s">
        <v>4331</v>
      </c>
      <c r="O95" t="s">
        <v>5930</v>
      </c>
    </row>
    <row r="96" spans="1:15" x14ac:dyDescent="0.25">
      <c r="A96" t="s">
        <v>6145</v>
      </c>
      <c r="B96" t="s">
        <v>3520</v>
      </c>
      <c r="C96" t="s">
        <v>5431</v>
      </c>
      <c r="D96">
        <v>2</v>
      </c>
      <c r="E96" s="9" t="s">
        <v>6146</v>
      </c>
      <c r="F96" t="s">
        <v>6728</v>
      </c>
      <c r="G96" s="9" t="s">
        <v>6147</v>
      </c>
      <c r="H96" t="s">
        <v>6729</v>
      </c>
      <c r="I96">
        <v>2</v>
      </c>
      <c r="J96" t="s">
        <v>3468</v>
      </c>
      <c r="K96" t="s">
        <v>6145</v>
      </c>
      <c r="L96" t="s">
        <v>90</v>
      </c>
      <c r="M96" t="s">
        <v>5567</v>
      </c>
      <c r="N96" t="s">
        <v>3468</v>
      </c>
      <c r="O96" t="s">
        <v>6070</v>
      </c>
    </row>
    <row r="97" spans="1:15" x14ac:dyDescent="0.25">
      <c r="A97" t="s">
        <v>6148</v>
      </c>
      <c r="B97" t="s">
        <v>3533</v>
      </c>
      <c r="C97" t="s">
        <v>5431</v>
      </c>
      <c r="D97">
        <v>1</v>
      </c>
      <c r="E97" s="9" t="s">
        <v>6149</v>
      </c>
      <c r="F97" t="s">
        <v>6730</v>
      </c>
      <c r="G97" s="9" t="s">
        <v>6149</v>
      </c>
      <c r="H97" t="s">
        <v>6730</v>
      </c>
      <c r="I97">
        <v>0</v>
      </c>
      <c r="J97" t="s">
        <v>3468</v>
      </c>
      <c r="K97" t="s">
        <v>6150</v>
      </c>
      <c r="L97" t="s">
        <v>90</v>
      </c>
      <c r="M97" t="s">
        <v>5567</v>
      </c>
      <c r="N97" t="s">
        <v>3468</v>
      </c>
      <c r="O97" t="s">
        <v>6151</v>
      </c>
    </row>
    <row r="98" spans="1:15" x14ac:dyDescent="0.25">
      <c r="A98" t="s">
        <v>6156</v>
      </c>
      <c r="B98" t="s">
        <v>3533</v>
      </c>
      <c r="C98" t="s">
        <v>4668</v>
      </c>
      <c r="D98">
        <v>1</v>
      </c>
      <c r="E98" t="s">
        <v>6157</v>
      </c>
      <c r="F98" t="s">
        <v>6731</v>
      </c>
      <c r="G98" t="s">
        <v>6158</v>
      </c>
      <c r="H98" t="s">
        <v>6732</v>
      </c>
      <c r="I98">
        <v>1</v>
      </c>
      <c r="J98" t="s">
        <v>3468</v>
      </c>
      <c r="K98" t="s">
        <v>6156</v>
      </c>
      <c r="L98" t="s">
        <v>90</v>
      </c>
      <c r="M98" t="s">
        <v>3468</v>
      </c>
      <c r="N98" t="s">
        <v>3468</v>
      </c>
      <c r="O98" t="s">
        <v>5998</v>
      </c>
    </row>
    <row r="99" spans="1:15" x14ac:dyDescent="0.25">
      <c r="A99" t="s">
        <v>4323</v>
      </c>
      <c r="B99" t="s">
        <v>4368</v>
      </c>
      <c r="C99" t="s">
        <v>4315</v>
      </c>
      <c r="D99" t="s">
        <v>4051</v>
      </c>
      <c r="E99" t="s">
        <v>6159</v>
      </c>
      <c r="F99" t="s">
        <v>4285</v>
      </c>
      <c r="G99" t="s">
        <v>3468</v>
      </c>
      <c r="H99" t="s">
        <v>3468</v>
      </c>
      <c r="I99" t="s">
        <v>3468</v>
      </c>
      <c r="J99" t="s">
        <v>3468</v>
      </c>
      <c r="K99" t="s">
        <v>4323</v>
      </c>
      <c r="L99" t="s">
        <v>90</v>
      </c>
      <c r="M99" t="s">
        <v>5534</v>
      </c>
      <c r="N99" t="s">
        <v>3468</v>
      </c>
      <c r="O99" t="s">
        <v>5941</v>
      </c>
    </row>
    <row r="100" spans="1:15" x14ac:dyDescent="0.25">
      <c r="A100" t="s">
        <v>6160</v>
      </c>
      <c r="B100" t="s">
        <v>3533</v>
      </c>
      <c r="C100" t="s">
        <v>5431</v>
      </c>
      <c r="D100">
        <v>0</v>
      </c>
      <c r="E100" s="9" t="s">
        <v>6161</v>
      </c>
      <c r="F100" t="s">
        <v>6733</v>
      </c>
      <c r="G100" s="9" t="s">
        <v>6162</v>
      </c>
      <c r="H100" t="s">
        <v>6734</v>
      </c>
      <c r="I100">
        <v>0</v>
      </c>
      <c r="J100" t="s">
        <v>3468</v>
      </c>
      <c r="K100" t="s">
        <v>6160</v>
      </c>
      <c r="L100" t="s">
        <v>90</v>
      </c>
      <c r="M100" t="s">
        <v>5567</v>
      </c>
      <c r="N100" t="s">
        <v>3468</v>
      </c>
      <c r="O100" t="s">
        <v>6008</v>
      </c>
    </row>
    <row r="101" spans="1:15" x14ac:dyDescent="0.25">
      <c r="A101" t="s">
        <v>6163</v>
      </c>
      <c r="B101" t="s">
        <v>41</v>
      </c>
      <c r="C101" t="s">
        <v>5793</v>
      </c>
      <c r="D101">
        <v>1</v>
      </c>
      <c r="E101" t="s">
        <v>6164</v>
      </c>
      <c r="F101" t="s">
        <v>6735</v>
      </c>
      <c r="G101" t="s">
        <v>6165</v>
      </c>
      <c r="H101" t="s">
        <v>6736</v>
      </c>
      <c r="I101">
        <v>1</v>
      </c>
      <c r="J101" t="s">
        <v>6737</v>
      </c>
      <c r="K101" t="s">
        <v>6166</v>
      </c>
      <c r="L101" t="s">
        <v>90</v>
      </c>
      <c r="M101" t="s">
        <v>3468</v>
      </c>
      <c r="N101" t="s">
        <v>3468</v>
      </c>
      <c r="O101" t="s">
        <v>6167</v>
      </c>
    </row>
    <row r="102" spans="1:15" x14ac:dyDescent="0.25">
      <c r="A102" t="s">
        <v>6178</v>
      </c>
      <c r="B102" t="s">
        <v>41</v>
      </c>
      <c r="C102" t="s">
        <v>5431</v>
      </c>
      <c r="D102">
        <v>1</v>
      </c>
      <c r="E102" t="s">
        <v>6179</v>
      </c>
      <c r="F102" t="s">
        <v>6738</v>
      </c>
      <c r="G102" t="s">
        <v>6180</v>
      </c>
      <c r="H102" t="s">
        <v>6739</v>
      </c>
      <c r="I102">
        <v>1</v>
      </c>
      <c r="J102" t="s">
        <v>3468</v>
      </c>
      <c r="K102" t="s">
        <v>6178</v>
      </c>
      <c r="L102" t="s">
        <v>90</v>
      </c>
      <c r="M102" t="s">
        <v>3468</v>
      </c>
      <c r="N102" t="s">
        <v>3468</v>
      </c>
      <c r="O102" t="s">
        <v>5890</v>
      </c>
    </row>
    <row r="103" spans="1:15" x14ac:dyDescent="0.25">
      <c r="A103" t="s">
        <v>6181</v>
      </c>
      <c r="B103" t="s">
        <v>3533</v>
      </c>
      <c r="C103" t="s">
        <v>5431</v>
      </c>
      <c r="D103">
        <v>2</v>
      </c>
      <c r="E103" s="9" t="s">
        <v>6740</v>
      </c>
      <c r="F103" t="s">
        <v>6741</v>
      </c>
      <c r="G103" s="9" t="s">
        <v>6742</v>
      </c>
      <c r="H103" t="s">
        <v>6743</v>
      </c>
      <c r="I103">
        <v>2</v>
      </c>
      <c r="J103" t="s">
        <v>3468</v>
      </c>
      <c r="K103" t="s">
        <v>6184</v>
      </c>
      <c r="L103" t="s">
        <v>90</v>
      </c>
      <c r="M103" t="s">
        <v>3468</v>
      </c>
      <c r="N103" t="s">
        <v>3468</v>
      </c>
      <c r="O103" t="s">
        <v>6185</v>
      </c>
    </row>
    <row r="104" spans="1:15" x14ac:dyDescent="0.25">
      <c r="A104" t="s">
        <v>4764</v>
      </c>
      <c r="B104" t="s">
        <v>41</v>
      </c>
      <c r="C104" t="s">
        <v>5793</v>
      </c>
      <c r="D104">
        <v>2</v>
      </c>
      <c r="E104" t="s">
        <v>6744</v>
      </c>
      <c r="F104" t="s">
        <v>6745</v>
      </c>
      <c r="G104" t="s">
        <v>6744</v>
      </c>
      <c r="H104" t="s">
        <v>6745</v>
      </c>
      <c r="I104">
        <v>2</v>
      </c>
      <c r="J104" t="s">
        <v>6746</v>
      </c>
      <c r="K104" t="s">
        <v>4767</v>
      </c>
      <c r="L104" t="s">
        <v>1047</v>
      </c>
      <c r="M104" t="s">
        <v>3468</v>
      </c>
      <c r="N104" t="s">
        <v>4331</v>
      </c>
      <c r="O104" t="s">
        <v>5826</v>
      </c>
    </row>
    <row r="105" spans="1:15" x14ac:dyDescent="0.25">
      <c r="A105" t="s">
        <v>6187</v>
      </c>
      <c r="B105" t="s">
        <v>3520</v>
      </c>
      <c r="C105" t="s">
        <v>5431</v>
      </c>
      <c r="D105">
        <v>1</v>
      </c>
      <c r="E105" s="9" t="s">
        <v>6188</v>
      </c>
      <c r="F105" t="s">
        <v>6747</v>
      </c>
      <c r="G105" s="9" t="s">
        <v>6189</v>
      </c>
      <c r="H105" t="s">
        <v>6748</v>
      </c>
      <c r="I105">
        <v>1</v>
      </c>
      <c r="J105" t="s">
        <v>3468</v>
      </c>
      <c r="K105" t="s">
        <v>6190</v>
      </c>
      <c r="L105" t="s">
        <v>90</v>
      </c>
      <c r="M105" t="s">
        <v>3468</v>
      </c>
      <c r="N105" t="s">
        <v>3468</v>
      </c>
      <c r="O105" t="s">
        <v>5998</v>
      </c>
    </row>
    <row r="106" spans="1:15" x14ac:dyDescent="0.25">
      <c r="A106" t="s">
        <v>4773</v>
      </c>
      <c r="B106" t="s">
        <v>41</v>
      </c>
      <c r="C106" t="s">
        <v>5793</v>
      </c>
      <c r="D106">
        <v>1</v>
      </c>
      <c r="E106" s="9" t="s">
        <v>6749</v>
      </c>
      <c r="F106" t="s">
        <v>6750</v>
      </c>
      <c r="G106" s="9" t="s">
        <v>6749</v>
      </c>
      <c r="H106" t="s">
        <v>6750</v>
      </c>
      <c r="I106">
        <v>1</v>
      </c>
      <c r="J106" t="s">
        <v>6488</v>
      </c>
      <c r="K106" t="s">
        <v>4776</v>
      </c>
      <c r="L106" t="s">
        <v>1047</v>
      </c>
      <c r="M106" t="s">
        <v>3468</v>
      </c>
      <c r="N106" t="s">
        <v>3468</v>
      </c>
      <c r="O106" t="s">
        <v>5826</v>
      </c>
    </row>
    <row r="107" spans="1:15" x14ac:dyDescent="0.25">
      <c r="A107" t="s">
        <v>6199</v>
      </c>
      <c r="B107" t="s">
        <v>3520</v>
      </c>
      <c r="C107" t="s">
        <v>5431</v>
      </c>
      <c r="D107" t="s">
        <v>6017</v>
      </c>
      <c r="E107" s="9" t="s">
        <v>6751</v>
      </c>
      <c r="F107" t="s">
        <v>6752</v>
      </c>
      <c r="G107" s="9" t="s">
        <v>6753</v>
      </c>
      <c r="H107" t="s">
        <v>6754</v>
      </c>
      <c r="I107" t="s">
        <v>6017</v>
      </c>
      <c r="J107" t="s">
        <v>3468</v>
      </c>
      <c r="K107" t="s">
        <v>6199</v>
      </c>
      <c r="L107" t="s">
        <v>90</v>
      </c>
      <c r="M107" t="s">
        <v>5567</v>
      </c>
      <c r="N107" t="s">
        <v>3468</v>
      </c>
      <c r="O107" t="s">
        <v>6202</v>
      </c>
    </row>
    <row r="108" spans="1:15" x14ac:dyDescent="0.25">
      <c r="A108" t="s">
        <v>6203</v>
      </c>
      <c r="B108" t="s">
        <v>3533</v>
      </c>
      <c r="C108" t="s">
        <v>5793</v>
      </c>
      <c r="D108">
        <v>0</v>
      </c>
      <c r="E108" s="9" t="s">
        <v>6204</v>
      </c>
      <c r="F108" t="s">
        <v>6755</v>
      </c>
      <c r="G108" s="9" t="s">
        <v>6205</v>
      </c>
      <c r="H108" t="s">
        <v>6756</v>
      </c>
      <c r="I108">
        <v>0</v>
      </c>
      <c r="J108" t="s">
        <v>6463</v>
      </c>
      <c r="K108" t="s">
        <v>6206</v>
      </c>
      <c r="L108" t="s">
        <v>90</v>
      </c>
      <c r="M108" t="s">
        <v>3468</v>
      </c>
      <c r="N108" t="s">
        <v>3468</v>
      </c>
      <c r="O108" t="s">
        <v>5848</v>
      </c>
    </row>
    <row r="109" spans="1:15" x14ac:dyDescent="0.25">
      <c r="A109" t="s">
        <v>5768</v>
      </c>
      <c r="B109" t="s">
        <v>3569</v>
      </c>
      <c r="C109" t="s">
        <v>5793</v>
      </c>
      <c r="D109">
        <v>0</v>
      </c>
      <c r="E109" t="s">
        <v>6216</v>
      </c>
      <c r="F109" t="s">
        <v>6757</v>
      </c>
      <c r="G109" t="s">
        <v>6217</v>
      </c>
      <c r="H109" t="s">
        <v>6758</v>
      </c>
      <c r="I109">
        <v>0</v>
      </c>
      <c r="J109" t="s">
        <v>6471</v>
      </c>
      <c r="K109" t="s">
        <v>5768</v>
      </c>
      <c r="L109" t="s">
        <v>90</v>
      </c>
      <c r="M109" t="s">
        <v>3468</v>
      </c>
      <c r="N109" t="s">
        <v>3468</v>
      </c>
      <c r="O109" t="s">
        <v>5824</v>
      </c>
    </row>
    <row r="110" spans="1:15" x14ac:dyDescent="0.25">
      <c r="A110" t="s">
        <v>6218</v>
      </c>
      <c r="B110" t="s">
        <v>3520</v>
      </c>
      <c r="C110" t="s">
        <v>5431</v>
      </c>
      <c r="D110">
        <v>3</v>
      </c>
      <c r="E110" s="9" t="s">
        <v>6759</v>
      </c>
      <c r="F110" t="s">
        <v>6760</v>
      </c>
      <c r="G110" s="9" t="s">
        <v>6759</v>
      </c>
      <c r="H110" t="s">
        <v>6760</v>
      </c>
      <c r="I110">
        <v>2</v>
      </c>
      <c r="J110" t="s">
        <v>3468</v>
      </c>
      <c r="K110" t="s">
        <v>6218</v>
      </c>
      <c r="L110" t="s">
        <v>90</v>
      </c>
      <c r="M110" t="s">
        <v>3468</v>
      </c>
      <c r="N110" t="s">
        <v>3468</v>
      </c>
      <c r="O110" t="s">
        <v>6063</v>
      </c>
    </row>
    <row r="111" spans="1:15" x14ac:dyDescent="0.25">
      <c r="A111" t="s">
        <v>6224</v>
      </c>
      <c r="B111" t="s">
        <v>3520</v>
      </c>
      <c r="C111" t="s">
        <v>5431</v>
      </c>
      <c r="D111">
        <v>0</v>
      </c>
      <c r="E111" s="9" t="s">
        <v>6225</v>
      </c>
      <c r="F111" t="s">
        <v>6761</v>
      </c>
      <c r="G111" s="9" t="s">
        <v>6226</v>
      </c>
      <c r="H111" t="s">
        <v>6762</v>
      </c>
      <c r="I111">
        <v>0</v>
      </c>
      <c r="J111" t="s">
        <v>3468</v>
      </c>
      <c r="K111" t="s">
        <v>6224</v>
      </c>
      <c r="L111" t="s">
        <v>90</v>
      </c>
      <c r="M111" t="s">
        <v>5567</v>
      </c>
      <c r="N111" t="s">
        <v>3468</v>
      </c>
      <c r="O111" t="s">
        <v>6227</v>
      </c>
    </row>
    <row r="112" spans="1:15" x14ac:dyDescent="0.25">
      <c r="A112" t="s">
        <v>6228</v>
      </c>
      <c r="B112" t="s">
        <v>41</v>
      </c>
      <c r="C112" t="s">
        <v>5431</v>
      </c>
      <c r="D112">
        <v>1</v>
      </c>
      <c r="E112" s="9" t="s">
        <v>6229</v>
      </c>
      <c r="F112" t="s">
        <v>6763</v>
      </c>
      <c r="G112" s="9" t="s">
        <v>6230</v>
      </c>
      <c r="H112" t="s">
        <v>6764</v>
      </c>
      <c r="I112">
        <v>1</v>
      </c>
      <c r="J112" t="s">
        <v>3468</v>
      </c>
      <c r="K112" t="s">
        <v>6228</v>
      </c>
      <c r="L112" t="s">
        <v>90</v>
      </c>
      <c r="M112" t="s">
        <v>3468</v>
      </c>
      <c r="N112" t="s">
        <v>3468</v>
      </c>
      <c r="O112" t="s">
        <v>5894</v>
      </c>
    </row>
    <row r="113" spans="1:15" x14ac:dyDescent="0.25">
      <c r="A113" t="s">
        <v>6231</v>
      </c>
      <c r="B113" t="s">
        <v>4368</v>
      </c>
      <c r="C113" t="s">
        <v>4315</v>
      </c>
      <c r="D113" t="s">
        <v>4051</v>
      </c>
      <c r="E113" t="s">
        <v>6232</v>
      </c>
      <c r="F113" t="s">
        <v>6765</v>
      </c>
      <c r="G113" t="s">
        <v>3468</v>
      </c>
      <c r="H113" t="s">
        <v>3468</v>
      </c>
      <c r="I113" t="s">
        <v>3468</v>
      </c>
      <c r="J113" t="s">
        <v>3468</v>
      </c>
      <c r="K113" t="s">
        <v>6231</v>
      </c>
      <c r="L113" t="s">
        <v>90</v>
      </c>
      <c r="M113" t="s">
        <v>5534</v>
      </c>
      <c r="N113" t="s">
        <v>3468</v>
      </c>
      <c r="O113" t="s">
        <v>5941</v>
      </c>
    </row>
    <row r="114" spans="1:15" x14ac:dyDescent="0.25">
      <c r="A114" t="s">
        <v>6233</v>
      </c>
      <c r="B114" t="s">
        <v>41</v>
      </c>
      <c r="C114" t="s">
        <v>5793</v>
      </c>
      <c r="D114">
        <v>2</v>
      </c>
      <c r="E114" s="9" t="s">
        <v>6234</v>
      </c>
      <c r="F114" t="s">
        <v>6766</v>
      </c>
      <c r="G114" s="9" t="s">
        <v>6235</v>
      </c>
      <c r="H114" t="s">
        <v>6767</v>
      </c>
      <c r="I114">
        <v>2</v>
      </c>
      <c r="J114" t="s">
        <v>6480</v>
      </c>
      <c r="K114" t="s">
        <v>6236</v>
      </c>
      <c r="L114" t="s">
        <v>90</v>
      </c>
      <c r="M114" t="s">
        <v>3468</v>
      </c>
      <c r="N114" t="s">
        <v>3468</v>
      </c>
      <c r="O114" t="s">
        <v>6130</v>
      </c>
    </row>
    <row r="115" spans="1:15" x14ac:dyDescent="0.25">
      <c r="A115" t="s">
        <v>6237</v>
      </c>
      <c r="B115" t="s">
        <v>3520</v>
      </c>
      <c r="C115" t="s">
        <v>5431</v>
      </c>
      <c r="D115">
        <v>1</v>
      </c>
      <c r="E115" s="9" t="s">
        <v>6238</v>
      </c>
      <c r="F115" t="s">
        <v>6768</v>
      </c>
      <c r="G115" s="9" t="s">
        <v>6238</v>
      </c>
      <c r="H115" t="s">
        <v>6768</v>
      </c>
      <c r="I115">
        <v>0</v>
      </c>
      <c r="J115" t="s">
        <v>3468</v>
      </c>
      <c r="K115" t="s">
        <v>6239</v>
      </c>
      <c r="L115" t="s">
        <v>90</v>
      </c>
      <c r="M115" t="s">
        <v>3468</v>
      </c>
      <c r="N115" t="s">
        <v>3468</v>
      </c>
      <c r="O115" t="s">
        <v>5848</v>
      </c>
    </row>
    <row r="116" spans="1:15" x14ac:dyDescent="0.25">
      <c r="A116" t="s">
        <v>6240</v>
      </c>
      <c r="B116" t="s">
        <v>41</v>
      </c>
      <c r="C116" t="s">
        <v>5431</v>
      </c>
      <c r="D116">
        <v>1</v>
      </c>
      <c r="E116" s="9" t="s">
        <v>6769</v>
      </c>
      <c r="F116" t="s">
        <v>6770</v>
      </c>
      <c r="G116" s="9" t="s">
        <v>6771</v>
      </c>
      <c r="H116" t="s">
        <v>6772</v>
      </c>
      <c r="I116">
        <v>1</v>
      </c>
      <c r="J116" t="s">
        <v>3468</v>
      </c>
      <c r="K116" t="s">
        <v>6243</v>
      </c>
      <c r="L116" t="s">
        <v>90</v>
      </c>
      <c r="M116" t="s">
        <v>5567</v>
      </c>
      <c r="N116" t="s">
        <v>3468</v>
      </c>
      <c r="O116" t="s">
        <v>6202</v>
      </c>
    </row>
    <row r="117" spans="1:15" x14ac:dyDescent="0.25">
      <c r="A117" t="s">
        <v>6244</v>
      </c>
      <c r="B117" t="s">
        <v>41</v>
      </c>
      <c r="C117" t="s">
        <v>5793</v>
      </c>
      <c r="D117">
        <v>1</v>
      </c>
      <c r="E117" s="9" t="s">
        <v>6245</v>
      </c>
      <c r="F117" t="s">
        <v>6773</v>
      </c>
      <c r="G117" s="9" t="s">
        <v>6246</v>
      </c>
      <c r="H117" t="s">
        <v>6774</v>
      </c>
      <c r="I117">
        <v>1</v>
      </c>
      <c r="J117" t="s">
        <v>6471</v>
      </c>
      <c r="K117" t="s">
        <v>6247</v>
      </c>
      <c r="L117" t="s">
        <v>90</v>
      </c>
      <c r="M117" t="s">
        <v>3468</v>
      </c>
      <c r="N117" t="s">
        <v>5325</v>
      </c>
      <c r="O117" t="s">
        <v>5824</v>
      </c>
    </row>
    <row r="118" spans="1:15" x14ac:dyDescent="0.25">
      <c r="A118" t="s">
        <v>6248</v>
      </c>
      <c r="B118" t="s">
        <v>41</v>
      </c>
      <c r="C118" t="s">
        <v>5793</v>
      </c>
      <c r="D118">
        <v>1</v>
      </c>
      <c r="E118" t="s">
        <v>6249</v>
      </c>
      <c r="F118" t="s">
        <v>6775</v>
      </c>
      <c r="G118" t="s">
        <v>6250</v>
      </c>
      <c r="H118" t="s">
        <v>6776</v>
      </c>
      <c r="I118">
        <v>1</v>
      </c>
      <c r="J118" t="s">
        <v>6480</v>
      </c>
      <c r="K118" t="s">
        <v>6251</v>
      </c>
      <c r="L118" t="s">
        <v>90</v>
      </c>
      <c r="M118" t="s">
        <v>3468</v>
      </c>
      <c r="N118" t="s">
        <v>3468</v>
      </c>
      <c r="O118" t="s">
        <v>6777</v>
      </c>
    </row>
    <row r="119" spans="1:15" x14ac:dyDescent="0.25">
      <c r="A119" t="s">
        <v>6253</v>
      </c>
      <c r="B119" t="s">
        <v>3533</v>
      </c>
      <c r="C119" t="s">
        <v>5431</v>
      </c>
      <c r="D119">
        <v>1</v>
      </c>
      <c r="E119" s="9" t="s">
        <v>6254</v>
      </c>
      <c r="F119" t="s">
        <v>6778</v>
      </c>
      <c r="G119" s="9" t="s">
        <v>6255</v>
      </c>
      <c r="H119" t="s">
        <v>6779</v>
      </c>
      <c r="I119">
        <v>1</v>
      </c>
      <c r="J119" t="s">
        <v>3468</v>
      </c>
      <c r="K119" t="s">
        <v>6256</v>
      </c>
      <c r="L119" t="s">
        <v>90</v>
      </c>
      <c r="M119" t="s">
        <v>3468</v>
      </c>
      <c r="N119" t="s">
        <v>3468</v>
      </c>
      <c r="O119" t="s">
        <v>6257</v>
      </c>
    </row>
    <row r="120" spans="1:15" x14ac:dyDescent="0.25">
      <c r="A120" t="s">
        <v>6258</v>
      </c>
      <c r="B120" t="s">
        <v>41</v>
      </c>
      <c r="C120" t="s">
        <v>5793</v>
      </c>
      <c r="D120">
        <v>2</v>
      </c>
      <c r="E120" s="9" t="s">
        <v>6780</v>
      </c>
      <c r="F120" t="s">
        <v>6781</v>
      </c>
      <c r="G120" s="9" t="s">
        <v>6782</v>
      </c>
      <c r="H120" t="s">
        <v>6783</v>
      </c>
      <c r="I120" t="s">
        <v>3468</v>
      </c>
      <c r="J120" t="s">
        <v>6463</v>
      </c>
      <c r="K120" t="s">
        <v>6258</v>
      </c>
      <c r="L120" t="s">
        <v>90</v>
      </c>
      <c r="M120" t="s">
        <v>3468</v>
      </c>
      <c r="N120" t="s">
        <v>3468</v>
      </c>
      <c r="O120" t="s">
        <v>6276</v>
      </c>
    </row>
    <row r="121" spans="1:15" x14ac:dyDescent="0.25">
      <c r="A121" t="s">
        <v>6261</v>
      </c>
      <c r="B121" t="s">
        <v>41</v>
      </c>
      <c r="C121" t="s">
        <v>5431</v>
      </c>
      <c r="D121">
        <v>0</v>
      </c>
      <c r="E121" s="9" t="s">
        <v>6262</v>
      </c>
      <c r="F121" t="s">
        <v>6784</v>
      </c>
      <c r="G121" s="9" t="s">
        <v>6263</v>
      </c>
      <c r="H121" t="s">
        <v>6785</v>
      </c>
      <c r="I121" t="s">
        <v>3468</v>
      </c>
      <c r="J121" t="s">
        <v>3468</v>
      </c>
      <c r="K121" t="s">
        <v>6261</v>
      </c>
      <c r="L121" t="s">
        <v>90</v>
      </c>
      <c r="M121" t="s">
        <v>3468</v>
      </c>
      <c r="N121" t="s">
        <v>3468</v>
      </c>
      <c r="O121" t="s">
        <v>5779</v>
      </c>
    </row>
    <row r="122" spans="1:15" x14ac:dyDescent="0.25">
      <c r="A122" t="s">
        <v>5190</v>
      </c>
      <c r="B122" t="s">
        <v>4368</v>
      </c>
      <c r="C122" t="s">
        <v>4315</v>
      </c>
      <c r="D122">
        <v>1</v>
      </c>
      <c r="E122" s="4" t="s">
        <v>6786</v>
      </c>
      <c r="F122" t="s">
        <v>6787</v>
      </c>
      <c r="G122" t="s">
        <v>3468</v>
      </c>
      <c r="H122" t="s">
        <v>3468</v>
      </c>
      <c r="I122" t="s">
        <v>3468</v>
      </c>
      <c r="J122" t="s">
        <v>3468</v>
      </c>
      <c r="K122" t="s">
        <v>5190</v>
      </c>
      <c r="L122" t="s">
        <v>90</v>
      </c>
      <c r="M122" t="s">
        <v>6478</v>
      </c>
      <c r="N122" t="s">
        <v>3468</v>
      </c>
      <c r="O122" t="s">
        <v>5941</v>
      </c>
    </row>
    <row r="123" spans="1:15" x14ac:dyDescent="0.25">
      <c r="A123" t="s">
        <v>6264</v>
      </c>
      <c r="B123" t="s">
        <v>3533</v>
      </c>
      <c r="C123" t="s">
        <v>5793</v>
      </c>
      <c r="D123">
        <v>1</v>
      </c>
      <c r="E123" s="9" t="s">
        <v>6265</v>
      </c>
      <c r="F123" t="s">
        <v>6788</v>
      </c>
      <c r="G123" s="9" t="s">
        <v>6266</v>
      </c>
      <c r="H123" t="s">
        <v>6789</v>
      </c>
      <c r="I123">
        <v>1</v>
      </c>
      <c r="J123" t="s">
        <v>6471</v>
      </c>
      <c r="K123" t="s">
        <v>6264</v>
      </c>
      <c r="L123" t="s">
        <v>90</v>
      </c>
      <c r="M123" t="s">
        <v>5567</v>
      </c>
      <c r="N123" t="s">
        <v>3468</v>
      </c>
      <c r="O123" t="s">
        <v>6075</v>
      </c>
    </row>
    <row r="124" spans="1:15" x14ac:dyDescent="0.25">
      <c r="A124" t="s">
        <v>5215</v>
      </c>
      <c r="B124" t="s">
        <v>4368</v>
      </c>
      <c r="C124" t="s">
        <v>4315</v>
      </c>
      <c r="D124" t="s">
        <v>4051</v>
      </c>
      <c r="E124" t="s">
        <v>6267</v>
      </c>
      <c r="F124" t="s">
        <v>6790</v>
      </c>
      <c r="G124" t="s">
        <v>3468</v>
      </c>
      <c r="H124" t="s">
        <v>3468</v>
      </c>
      <c r="I124" t="s">
        <v>3468</v>
      </c>
      <c r="J124" t="s">
        <v>3468</v>
      </c>
      <c r="K124" t="s">
        <v>6268</v>
      </c>
      <c r="L124" t="s">
        <v>1650</v>
      </c>
      <c r="M124" t="s">
        <v>5534</v>
      </c>
      <c r="N124" t="s">
        <v>3468</v>
      </c>
    </row>
    <row r="125" spans="1:15" x14ac:dyDescent="0.25">
      <c r="A125" t="s">
        <v>6272</v>
      </c>
      <c r="B125" t="s">
        <v>41</v>
      </c>
      <c r="C125" t="s">
        <v>5793</v>
      </c>
      <c r="D125">
        <v>1</v>
      </c>
      <c r="E125" s="9" t="s">
        <v>6273</v>
      </c>
      <c r="F125" t="s">
        <v>6791</v>
      </c>
      <c r="G125" s="9" t="s">
        <v>6274</v>
      </c>
      <c r="H125" t="s">
        <v>6792</v>
      </c>
      <c r="I125">
        <v>1</v>
      </c>
      <c r="J125" t="s">
        <v>6555</v>
      </c>
      <c r="K125" t="s">
        <v>6275</v>
      </c>
      <c r="L125" t="s">
        <v>90</v>
      </c>
      <c r="M125" t="s">
        <v>3468</v>
      </c>
      <c r="N125" t="s">
        <v>3468</v>
      </c>
      <c r="O125" t="s">
        <v>6276</v>
      </c>
    </row>
    <row r="126" spans="1:15" x14ac:dyDescent="0.25">
      <c r="A126" t="s">
        <v>5433</v>
      </c>
      <c r="B126" t="s">
        <v>3533</v>
      </c>
      <c r="C126" t="s">
        <v>5431</v>
      </c>
      <c r="D126">
        <v>0</v>
      </c>
      <c r="E126" s="9" t="s">
        <v>6277</v>
      </c>
      <c r="F126" t="s">
        <v>6793</v>
      </c>
      <c r="G126" s="9" t="s">
        <v>6278</v>
      </c>
      <c r="H126" t="s">
        <v>6794</v>
      </c>
      <c r="I126">
        <v>0</v>
      </c>
      <c r="J126" t="s">
        <v>3468</v>
      </c>
      <c r="K126" t="s">
        <v>5433</v>
      </c>
      <c r="L126" t="s">
        <v>90</v>
      </c>
      <c r="M126" t="s">
        <v>3468</v>
      </c>
      <c r="N126" t="s">
        <v>3468</v>
      </c>
      <c r="O126" t="s">
        <v>5810</v>
      </c>
    </row>
    <row r="127" spans="1:15" x14ac:dyDescent="0.25">
      <c r="A127" t="s">
        <v>6279</v>
      </c>
      <c r="B127" t="s">
        <v>3533</v>
      </c>
      <c r="C127" t="s">
        <v>5793</v>
      </c>
      <c r="D127">
        <v>1</v>
      </c>
      <c r="E127" s="9" t="s">
        <v>6280</v>
      </c>
      <c r="F127" t="s">
        <v>6795</v>
      </c>
      <c r="G127" s="9" t="s">
        <v>6281</v>
      </c>
      <c r="H127" t="s">
        <v>6796</v>
      </c>
      <c r="I127">
        <v>1</v>
      </c>
      <c r="J127" t="s">
        <v>6555</v>
      </c>
      <c r="K127" t="s">
        <v>6279</v>
      </c>
      <c r="L127" t="s">
        <v>90</v>
      </c>
      <c r="M127" t="s">
        <v>3468</v>
      </c>
      <c r="N127" t="s">
        <v>3468</v>
      </c>
      <c r="O127" t="s">
        <v>6130</v>
      </c>
    </row>
    <row r="128" spans="1:15" x14ac:dyDescent="0.25">
      <c r="A128" t="s">
        <v>6283</v>
      </c>
      <c r="B128" t="s">
        <v>3520</v>
      </c>
      <c r="C128" t="s">
        <v>5793</v>
      </c>
      <c r="D128">
        <v>2</v>
      </c>
      <c r="E128" t="s">
        <v>6284</v>
      </c>
      <c r="F128" t="s">
        <v>6797</v>
      </c>
      <c r="G128" t="s">
        <v>6285</v>
      </c>
      <c r="H128" t="s">
        <v>6798</v>
      </c>
      <c r="I128">
        <v>2</v>
      </c>
      <c r="J128" t="s">
        <v>6560</v>
      </c>
      <c r="K128" t="s">
        <v>6283</v>
      </c>
      <c r="L128" t="s">
        <v>90</v>
      </c>
      <c r="M128" t="s">
        <v>6799</v>
      </c>
      <c r="N128" t="s">
        <v>3468</v>
      </c>
      <c r="O128" t="s">
        <v>6067</v>
      </c>
    </row>
    <row r="129" spans="1:15" x14ac:dyDescent="0.25">
      <c r="A129" t="s">
        <v>6286</v>
      </c>
      <c r="B129" t="s">
        <v>3533</v>
      </c>
      <c r="C129" t="s">
        <v>5793</v>
      </c>
      <c r="D129">
        <v>0</v>
      </c>
      <c r="E129" s="9" t="s">
        <v>6800</v>
      </c>
      <c r="F129" t="s">
        <v>6801</v>
      </c>
      <c r="G129" s="9" t="s">
        <v>6802</v>
      </c>
      <c r="H129" t="s">
        <v>6803</v>
      </c>
      <c r="I129">
        <v>0</v>
      </c>
      <c r="J129" t="s">
        <v>6521</v>
      </c>
      <c r="K129" t="s">
        <v>6289</v>
      </c>
      <c r="L129" t="s">
        <v>90</v>
      </c>
      <c r="M129" t="s">
        <v>3468</v>
      </c>
      <c r="N129" t="s">
        <v>3468</v>
      </c>
      <c r="O129" t="s">
        <v>6290</v>
      </c>
    </row>
    <row r="130" spans="1:15" x14ac:dyDescent="0.25">
      <c r="A130" t="s">
        <v>6294</v>
      </c>
      <c r="B130" t="s">
        <v>3533</v>
      </c>
      <c r="C130" t="s">
        <v>5431</v>
      </c>
      <c r="D130" t="s">
        <v>4051</v>
      </c>
      <c r="E130" t="s">
        <v>6295</v>
      </c>
      <c r="F130" t="s">
        <v>6804</v>
      </c>
      <c r="G130" t="s">
        <v>6296</v>
      </c>
      <c r="H130" t="s">
        <v>6805</v>
      </c>
      <c r="I130" t="s">
        <v>4051</v>
      </c>
      <c r="J130" t="s">
        <v>3468</v>
      </c>
      <c r="K130" t="s">
        <v>6294</v>
      </c>
      <c r="L130" t="s">
        <v>90</v>
      </c>
      <c r="M130" t="s">
        <v>5532</v>
      </c>
      <c r="N130" t="s">
        <v>3468</v>
      </c>
      <c r="O130" t="s">
        <v>5908</v>
      </c>
    </row>
    <row r="131" spans="1:15" x14ac:dyDescent="0.25">
      <c r="A131" t="s">
        <v>5180</v>
      </c>
      <c r="B131" t="s">
        <v>4368</v>
      </c>
      <c r="C131" t="s">
        <v>4315</v>
      </c>
      <c r="D131" t="s">
        <v>4051</v>
      </c>
      <c r="E131" t="s">
        <v>6297</v>
      </c>
      <c r="F131" t="s">
        <v>6806</v>
      </c>
      <c r="G131" t="s">
        <v>3468</v>
      </c>
      <c r="H131" t="s">
        <v>3468</v>
      </c>
      <c r="I131" t="s">
        <v>3468</v>
      </c>
      <c r="J131" t="s">
        <v>3468</v>
      </c>
      <c r="K131" t="s">
        <v>5180</v>
      </c>
      <c r="L131" t="s">
        <v>90</v>
      </c>
      <c r="M131" t="s">
        <v>5534</v>
      </c>
      <c r="N131" t="s">
        <v>3468</v>
      </c>
      <c r="O131" t="s">
        <v>5941</v>
      </c>
    </row>
    <row r="132" spans="1:15" x14ac:dyDescent="0.25">
      <c r="A132" t="s">
        <v>6298</v>
      </c>
      <c r="B132" t="s">
        <v>3533</v>
      </c>
      <c r="C132" t="s">
        <v>5793</v>
      </c>
      <c r="D132">
        <v>2</v>
      </c>
      <c r="E132" s="9" t="s">
        <v>6299</v>
      </c>
      <c r="F132" t="s">
        <v>6807</v>
      </c>
      <c r="G132" s="9" t="s">
        <v>6300</v>
      </c>
      <c r="H132" t="s">
        <v>6808</v>
      </c>
      <c r="I132" t="s">
        <v>3468</v>
      </c>
      <c r="J132" t="s">
        <v>6471</v>
      </c>
      <c r="K132" t="s">
        <v>6301</v>
      </c>
      <c r="L132" t="s">
        <v>90</v>
      </c>
      <c r="M132" t="s">
        <v>3468</v>
      </c>
      <c r="N132" t="s">
        <v>3468</v>
      </c>
      <c r="O132" t="s">
        <v>5848</v>
      </c>
    </row>
    <row r="133" spans="1:15" x14ac:dyDescent="0.25">
      <c r="A133" t="s">
        <v>4887</v>
      </c>
      <c r="B133" t="s">
        <v>3533</v>
      </c>
      <c r="C133" t="s">
        <v>5431</v>
      </c>
      <c r="D133">
        <v>1</v>
      </c>
      <c r="E133" s="9" t="s">
        <v>6309</v>
      </c>
      <c r="F133" t="s">
        <v>6809</v>
      </c>
      <c r="G133" s="9" t="s">
        <v>6309</v>
      </c>
      <c r="H133" t="s">
        <v>6809</v>
      </c>
      <c r="I133">
        <v>1</v>
      </c>
      <c r="J133" t="s">
        <v>6555</v>
      </c>
      <c r="K133" t="s">
        <v>4890</v>
      </c>
      <c r="L133" t="s">
        <v>1650</v>
      </c>
      <c r="M133" t="s">
        <v>3468</v>
      </c>
      <c r="N133" t="s">
        <v>3468</v>
      </c>
      <c r="O133" t="s">
        <v>6810</v>
      </c>
    </row>
    <row r="134" spans="1:15" x14ac:dyDescent="0.25">
      <c r="A134" t="s">
        <v>6310</v>
      </c>
      <c r="B134" t="s">
        <v>3533</v>
      </c>
      <c r="C134" t="s">
        <v>5793</v>
      </c>
      <c r="D134">
        <v>2</v>
      </c>
      <c r="E134" s="9" t="s">
        <v>6811</v>
      </c>
      <c r="F134" t="s">
        <v>6812</v>
      </c>
      <c r="G134" s="9" t="s">
        <v>3468</v>
      </c>
      <c r="H134" t="s">
        <v>3468</v>
      </c>
      <c r="I134" t="s">
        <v>3468</v>
      </c>
      <c r="J134" t="s">
        <v>6480</v>
      </c>
      <c r="K134" t="s">
        <v>6312</v>
      </c>
      <c r="L134" t="s">
        <v>90</v>
      </c>
      <c r="M134" t="s">
        <v>3468</v>
      </c>
      <c r="N134" t="s">
        <v>4331</v>
      </c>
      <c r="O134" t="s">
        <v>6130</v>
      </c>
    </row>
    <row r="135" spans="1:15" x14ac:dyDescent="0.25">
      <c r="A135" t="s">
        <v>6313</v>
      </c>
      <c r="B135" t="s">
        <v>3533</v>
      </c>
      <c r="C135" t="s">
        <v>5431</v>
      </c>
      <c r="D135">
        <v>1</v>
      </c>
      <c r="E135" s="9" t="s">
        <v>6314</v>
      </c>
      <c r="F135" t="s">
        <v>6813</v>
      </c>
      <c r="G135" s="9" t="s">
        <v>6315</v>
      </c>
      <c r="H135" t="s">
        <v>6814</v>
      </c>
      <c r="I135">
        <v>1</v>
      </c>
      <c r="J135" t="s">
        <v>3468</v>
      </c>
      <c r="K135" t="s">
        <v>6316</v>
      </c>
      <c r="L135" t="s">
        <v>90</v>
      </c>
      <c r="M135" t="s">
        <v>3468</v>
      </c>
      <c r="N135" t="s">
        <v>3468</v>
      </c>
      <c r="O135" t="s">
        <v>6070</v>
      </c>
    </row>
    <row r="136" spans="1:15" x14ac:dyDescent="0.25">
      <c r="A136" t="s">
        <v>6317</v>
      </c>
      <c r="B136" t="s">
        <v>3533</v>
      </c>
      <c r="C136" t="s">
        <v>5431</v>
      </c>
      <c r="D136">
        <v>1</v>
      </c>
      <c r="E136" s="9" t="s">
        <v>6318</v>
      </c>
      <c r="F136" t="s">
        <v>6815</v>
      </c>
      <c r="G136" s="9" t="s">
        <v>6318</v>
      </c>
      <c r="H136" t="s">
        <v>6815</v>
      </c>
      <c r="I136">
        <v>0</v>
      </c>
      <c r="J136" t="s">
        <v>3468</v>
      </c>
      <c r="K136" t="s">
        <v>6319</v>
      </c>
      <c r="L136" t="s">
        <v>90</v>
      </c>
      <c r="M136" t="s">
        <v>5567</v>
      </c>
      <c r="N136" t="s">
        <v>3468</v>
      </c>
      <c r="O136" t="s">
        <v>6320</v>
      </c>
    </row>
    <row r="137" spans="1:15" x14ac:dyDescent="0.25">
      <c r="A137" t="s">
        <v>6321</v>
      </c>
      <c r="B137" t="s">
        <v>3520</v>
      </c>
      <c r="C137" t="s">
        <v>5431</v>
      </c>
      <c r="D137">
        <v>0</v>
      </c>
      <c r="E137" s="9" t="s">
        <v>6816</v>
      </c>
      <c r="F137" t="s">
        <v>6817</v>
      </c>
      <c r="G137" s="9" t="s">
        <v>6818</v>
      </c>
      <c r="H137" t="s">
        <v>6819</v>
      </c>
      <c r="I137">
        <v>0</v>
      </c>
      <c r="J137" t="s">
        <v>3468</v>
      </c>
      <c r="K137" t="s">
        <v>6321</v>
      </c>
      <c r="L137" t="s">
        <v>90</v>
      </c>
      <c r="M137" t="s">
        <v>5567</v>
      </c>
      <c r="N137" t="s">
        <v>3468</v>
      </c>
      <c r="O137" t="s">
        <v>6324</v>
      </c>
    </row>
    <row r="138" spans="1:15" x14ac:dyDescent="0.25">
      <c r="A138" t="s">
        <v>6325</v>
      </c>
      <c r="B138" t="s">
        <v>3533</v>
      </c>
      <c r="C138" t="s">
        <v>5431</v>
      </c>
      <c r="D138">
        <v>1</v>
      </c>
      <c r="E138" s="9" t="s">
        <v>6326</v>
      </c>
      <c r="F138" t="s">
        <v>6820</v>
      </c>
      <c r="G138" s="9" t="s">
        <v>6327</v>
      </c>
      <c r="H138" t="s">
        <v>6821</v>
      </c>
      <c r="I138">
        <v>1</v>
      </c>
      <c r="J138" t="s">
        <v>3468</v>
      </c>
      <c r="K138" t="s">
        <v>6325</v>
      </c>
      <c r="L138" t="s">
        <v>90</v>
      </c>
      <c r="M138" t="s">
        <v>3468</v>
      </c>
      <c r="N138" t="s">
        <v>3468</v>
      </c>
      <c r="O138" t="s">
        <v>6070</v>
      </c>
    </row>
    <row r="139" spans="1:15" x14ac:dyDescent="0.25">
      <c r="A139" t="s">
        <v>6328</v>
      </c>
      <c r="B139" t="s">
        <v>3533</v>
      </c>
      <c r="C139" t="s">
        <v>5431</v>
      </c>
      <c r="D139">
        <v>1</v>
      </c>
      <c r="E139" s="9" t="s">
        <v>6822</v>
      </c>
      <c r="F139" t="s">
        <v>6823</v>
      </c>
      <c r="G139" s="9" t="s">
        <v>6822</v>
      </c>
      <c r="H139" t="s">
        <v>6823</v>
      </c>
      <c r="I139">
        <v>0</v>
      </c>
      <c r="J139" t="s">
        <v>3468</v>
      </c>
      <c r="K139" t="s">
        <v>6328</v>
      </c>
      <c r="L139" t="s">
        <v>90</v>
      </c>
      <c r="M139" t="s">
        <v>3468</v>
      </c>
      <c r="N139" t="s">
        <v>3468</v>
      </c>
      <c r="O139" t="s">
        <v>5894</v>
      </c>
    </row>
    <row r="140" spans="1:15" x14ac:dyDescent="0.25">
      <c r="A140" t="s">
        <v>6330</v>
      </c>
      <c r="B140" t="s">
        <v>3533</v>
      </c>
      <c r="C140" t="s">
        <v>5793</v>
      </c>
      <c r="D140">
        <v>2</v>
      </c>
      <c r="E140" s="9" t="s">
        <v>6824</v>
      </c>
      <c r="F140" t="s">
        <v>6825</v>
      </c>
      <c r="G140" s="9" t="s">
        <v>6826</v>
      </c>
      <c r="H140" t="s">
        <v>6827</v>
      </c>
      <c r="I140">
        <v>2</v>
      </c>
      <c r="J140" t="s">
        <v>6555</v>
      </c>
      <c r="K140" t="s">
        <v>6333</v>
      </c>
      <c r="L140" t="s">
        <v>90</v>
      </c>
      <c r="M140" t="s">
        <v>3468</v>
      </c>
      <c r="N140" t="s">
        <v>3468</v>
      </c>
      <c r="O140" t="s">
        <v>6075</v>
      </c>
    </row>
    <row r="141" spans="1:15" x14ac:dyDescent="0.25">
      <c r="A141" t="s">
        <v>6334</v>
      </c>
      <c r="B141" t="s">
        <v>4368</v>
      </c>
      <c r="C141" t="s">
        <v>4315</v>
      </c>
      <c r="D141" t="s">
        <v>4051</v>
      </c>
      <c r="E141" t="s">
        <v>6335</v>
      </c>
      <c r="F141" t="s">
        <v>6828</v>
      </c>
      <c r="G141" t="s">
        <v>3468</v>
      </c>
      <c r="H141" t="s">
        <v>3468</v>
      </c>
      <c r="I141" t="s">
        <v>3468</v>
      </c>
      <c r="J141" t="s">
        <v>3468</v>
      </c>
      <c r="K141" t="s">
        <v>6334</v>
      </c>
      <c r="L141" t="s">
        <v>90</v>
      </c>
      <c r="M141" t="s">
        <v>5534</v>
      </c>
      <c r="N141" t="s">
        <v>3468</v>
      </c>
      <c r="O141" t="s">
        <v>5941</v>
      </c>
    </row>
    <row r="142" spans="1:15" x14ac:dyDescent="0.25">
      <c r="A142" t="s">
        <v>6336</v>
      </c>
      <c r="B142" t="s">
        <v>4368</v>
      </c>
      <c r="C142" t="s">
        <v>5793</v>
      </c>
      <c r="D142">
        <v>0</v>
      </c>
      <c r="E142" t="s">
        <v>6337</v>
      </c>
      <c r="F142" t="s">
        <v>6829</v>
      </c>
      <c r="G142" t="s">
        <v>6338</v>
      </c>
      <c r="H142" t="s">
        <v>6487</v>
      </c>
      <c r="I142">
        <v>0</v>
      </c>
      <c r="J142" t="s">
        <v>6488</v>
      </c>
      <c r="K142" t="s">
        <v>6336</v>
      </c>
      <c r="L142" t="s">
        <v>90</v>
      </c>
      <c r="M142" t="s">
        <v>5567</v>
      </c>
      <c r="N142" t="s">
        <v>3468</v>
      </c>
      <c r="O142" t="s">
        <v>6830</v>
      </c>
    </row>
    <row r="143" spans="1:15" x14ac:dyDescent="0.25">
      <c r="A143" t="s">
        <v>6339</v>
      </c>
      <c r="B143" t="s">
        <v>3533</v>
      </c>
      <c r="C143" t="s">
        <v>5431</v>
      </c>
      <c r="D143">
        <v>2</v>
      </c>
      <c r="E143" s="9" t="s">
        <v>6340</v>
      </c>
      <c r="F143" t="s">
        <v>6831</v>
      </c>
      <c r="G143" s="9" t="s">
        <v>6341</v>
      </c>
      <c r="H143" t="s">
        <v>6832</v>
      </c>
      <c r="I143">
        <v>2</v>
      </c>
      <c r="J143" t="s">
        <v>3468</v>
      </c>
      <c r="K143" t="s">
        <v>6339</v>
      </c>
      <c r="L143" t="s">
        <v>90</v>
      </c>
      <c r="M143" t="s">
        <v>5567</v>
      </c>
      <c r="N143" t="s">
        <v>3468</v>
      </c>
      <c r="O143" t="s">
        <v>6008</v>
      </c>
    </row>
    <row r="144" spans="1:15" x14ac:dyDescent="0.25">
      <c r="A144" t="s">
        <v>6342</v>
      </c>
      <c r="B144" t="s">
        <v>41</v>
      </c>
      <c r="C144" t="s">
        <v>5431</v>
      </c>
      <c r="D144">
        <v>1</v>
      </c>
      <c r="E144" t="s">
        <v>6343</v>
      </c>
      <c r="F144" t="s">
        <v>6833</v>
      </c>
      <c r="G144" t="s">
        <v>6344</v>
      </c>
      <c r="H144" t="s">
        <v>6834</v>
      </c>
      <c r="I144">
        <v>1</v>
      </c>
      <c r="J144" t="s">
        <v>3468</v>
      </c>
      <c r="K144" t="s">
        <v>6345</v>
      </c>
      <c r="L144" t="s">
        <v>90</v>
      </c>
      <c r="M144" t="s">
        <v>3468</v>
      </c>
      <c r="N144" t="s">
        <v>3468</v>
      </c>
      <c r="O144" t="s">
        <v>6346</v>
      </c>
    </row>
    <row r="145" spans="1:15" x14ac:dyDescent="0.25">
      <c r="A145" t="s">
        <v>6347</v>
      </c>
      <c r="B145" t="s">
        <v>3533</v>
      </c>
      <c r="C145" t="s">
        <v>5793</v>
      </c>
      <c r="D145" t="s">
        <v>6017</v>
      </c>
      <c r="E145" t="s">
        <v>6348</v>
      </c>
      <c r="F145" t="s">
        <v>6835</v>
      </c>
      <c r="G145" t="s">
        <v>6349</v>
      </c>
      <c r="H145" t="s">
        <v>6836</v>
      </c>
      <c r="I145" t="s">
        <v>6017</v>
      </c>
      <c r="J145" t="s">
        <v>6837</v>
      </c>
      <c r="K145" t="s">
        <v>6347</v>
      </c>
      <c r="L145" t="s">
        <v>90</v>
      </c>
      <c r="M145" t="s">
        <v>3468</v>
      </c>
      <c r="N145" t="s">
        <v>3468</v>
      </c>
      <c r="O145" t="s">
        <v>5848</v>
      </c>
    </row>
    <row r="146" spans="1:15" x14ac:dyDescent="0.25">
      <c r="A146" t="s">
        <v>6350</v>
      </c>
      <c r="B146" t="s">
        <v>41</v>
      </c>
      <c r="C146" t="s">
        <v>5793</v>
      </c>
      <c r="D146">
        <v>0</v>
      </c>
      <c r="E146" s="9" t="s">
        <v>6351</v>
      </c>
      <c r="F146" t="s">
        <v>6838</v>
      </c>
      <c r="G146" s="9" t="s">
        <v>6352</v>
      </c>
      <c r="H146" t="s">
        <v>6839</v>
      </c>
      <c r="I146">
        <v>0</v>
      </c>
      <c r="J146" t="s">
        <v>6555</v>
      </c>
      <c r="K146" t="s">
        <v>6350</v>
      </c>
      <c r="L146" t="s">
        <v>90</v>
      </c>
      <c r="M146" t="s">
        <v>3468</v>
      </c>
      <c r="N146" t="s">
        <v>3468</v>
      </c>
      <c r="O146" t="s">
        <v>5848</v>
      </c>
    </row>
    <row r="147" spans="1:15" x14ac:dyDescent="0.25">
      <c r="A147" t="s">
        <v>6353</v>
      </c>
      <c r="B147" t="s">
        <v>4368</v>
      </c>
      <c r="C147" t="s">
        <v>3681</v>
      </c>
      <c r="D147">
        <v>1</v>
      </c>
      <c r="E147" t="s">
        <v>6354</v>
      </c>
      <c r="F147" t="s">
        <v>6840</v>
      </c>
      <c r="G147" t="s">
        <v>3468</v>
      </c>
      <c r="H147" t="s">
        <v>3468</v>
      </c>
      <c r="I147" t="s">
        <v>3468</v>
      </c>
      <c r="J147" t="s">
        <v>3468</v>
      </c>
      <c r="K147" t="s">
        <v>6353</v>
      </c>
      <c r="L147" t="s">
        <v>90</v>
      </c>
      <c r="M147" t="s">
        <v>5567</v>
      </c>
      <c r="N147" t="s">
        <v>3468</v>
      </c>
      <c r="O147" t="s">
        <v>6530</v>
      </c>
    </row>
    <row r="148" spans="1:15" x14ac:dyDescent="0.25">
      <c r="A148" t="s">
        <v>6355</v>
      </c>
      <c r="B148" t="s">
        <v>41</v>
      </c>
      <c r="C148" t="s">
        <v>5793</v>
      </c>
      <c r="D148">
        <v>2</v>
      </c>
      <c r="E148" s="9" t="s">
        <v>6356</v>
      </c>
      <c r="F148" t="s">
        <v>6841</v>
      </c>
      <c r="G148" s="9" t="s">
        <v>6357</v>
      </c>
      <c r="H148" t="s">
        <v>6842</v>
      </c>
      <c r="I148">
        <v>2</v>
      </c>
      <c r="J148" t="s">
        <v>6471</v>
      </c>
      <c r="K148" t="s">
        <v>6358</v>
      </c>
      <c r="L148" t="s">
        <v>90</v>
      </c>
      <c r="M148" t="s">
        <v>3468</v>
      </c>
      <c r="N148" t="s">
        <v>3468</v>
      </c>
      <c r="O148" t="s">
        <v>6096</v>
      </c>
    </row>
    <row r="149" spans="1:15" x14ac:dyDescent="0.25">
      <c r="A149" t="s">
        <v>6360</v>
      </c>
      <c r="B149" t="s">
        <v>3533</v>
      </c>
      <c r="C149" t="s">
        <v>5431</v>
      </c>
      <c r="D149">
        <v>1</v>
      </c>
      <c r="E149" s="9" t="s">
        <v>6361</v>
      </c>
      <c r="F149" t="s">
        <v>6843</v>
      </c>
      <c r="G149" s="9" t="s">
        <v>6362</v>
      </c>
      <c r="H149" t="s">
        <v>6844</v>
      </c>
      <c r="I149">
        <v>1</v>
      </c>
      <c r="J149" t="s">
        <v>3468</v>
      </c>
      <c r="K149" t="s">
        <v>6363</v>
      </c>
      <c r="L149" t="s">
        <v>90</v>
      </c>
      <c r="M149" t="s">
        <v>3468</v>
      </c>
      <c r="N149" t="s">
        <v>3468</v>
      </c>
      <c r="O149" t="s">
        <v>5998</v>
      </c>
    </row>
    <row r="150" spans="1:15" x14ac:dyDescent="0.25">
      <c r="A150" t="s">
        <v>6364</v>
      </c>
      <c r="B150" t="s">
        <v>3520</v>
      </c>
      <c r="C150" t="s">
        <v>5431</v>
      </c>
      <c r="D150">
        <v>1</v>
      </c>
      <c r="E150" t="s">
        <v>6365</v>
      </c>
      <c r="F150" t="s">
        <v>6845</v>
      </c>
      <c r="G150" t="s">
        <v>6366</v>
      </c>
      <c r="H150" t="s">
        <v>6846</v>
      </c>
      <c r="I150">
        <v>1</v>
      </c>
      <c r="J150" t="s">
        <v>3468</v>
      </c>
      <c r="K150" t="s">
        <v>6367</v>
      </c>
      <c r="L150" t="s">
        <v>90</v>
      </c>
      <c r="M150" t="s">
        <v>3468</v>
      </c>
      <c r="N150" t="s">
        <v>3468</v>
      </c>
      <c r="O150" t="s">
        <v>6368</v>
      </c>
    </row>
    <row r="151" spans="1:15" x14ac:dyDescent="0.25">
      <c r="A151" t="s">
        <v>6847</v>
      </c>
      <c r="B151" t="s">
        <v>3569</v>
      </c>
      <c r="C151" t="s">
        <v>5793</v>
      </c>
      <c r="D151">
        <v>1</v>
      </c>
      <c r="E151" t="s">
        <v>6351</v>
      </c>
      <c r="F151" t="s">
        <v>6838</v>
      </c>
      <c r="G151" t="s">
        <v>6352</v>
      </c>
      <c r="H151" t="s">
        <v>6839</v>
      </c>
      <c r="I151">
        <v>1</v>
      </c>
      <c r="J151" t="s">
        <v>6480</v>
      </c>
      <c r="K151" t="s">
        <v>6848</v>
      </c>
      <c r="L151" t="s">
        <v>90</v>
      </c>
      <c r="M151" t="s">
        <v>3468</v>
      </c>
      <c r="N151" t="s">
        <v>3468</v>
      </c>
      <c r="O151" t="s">
        <v>6849</v>
      </c>
    </row>
    <row r="152" spans="1:15" x14ac:dyDescent="0.25">
      <c r="A152" t="s">
        <v>6850</v>
      </c>
      <c r="B152" t="s">
        <v>3569</v>
      </c>
      <c r="C152" t="s">
        <v>5793</v>
      </c>
      <c r="D152">
        <v>1</v>
      </c>
      <c r="E152" t="s">
        <v>6351</v>
      </c>
      <c r="F152" t="s">
        <v>6838</v>
      </c>
      <c r="G152" t="s">
        <v>6352</v>
      </c>
      <c r="H152" t="s">
        <v>6839</v>
      </c>
      <c r="I152">
        <v>1</v>
      </c>
      <c r="J152" t="s">
        <v>6463</v>
      </c>
      <c r="K152" t="s">
        <v>6851</v>
      </c>
      <c r="L152" t="s">
        <v>90</v>
      </c>
      <c r="M152" t="s">
        <v>3468</v>
      </c>
      <c r="N152" t="s">
        <v>3468</v>
      </c>
      <c r="O152" t="s">
        <v>6849</v>
      </c>
    </row>
    <row r="153" spans="1:15" x14ac:dyDescent="0.25">
      <c r="A153" t="s">
        <v>6370</v>
      </c>
      <c r="B153" t="s">
        <v>41</v>
      </c>
      <c r="C153" t="s">
        <v>5793</v>
      </c>
      <c r="D153">
        <v>1</v>
      </c>
      <c r="E153" t="s">
        <v>6371</v>
      </c>
      <c r="F153" t="s">
        <v>6852</v>
      </c>
      <c r="G153" t="s">
        <v>6372</v>
      </c>
      <c r="H153" t="s">
        <v>6853</v>
      </c>
      <c r="I153">
        <v>1</v>
      </c>
      <c r="J153" t="s">
        <v>6463</v>
      </c>
      <c r="K153" t="s">
        <v>6373</v>
      </c>
      <c r="L153" t="s">
        <v>90</v>
      </c>
      <c r="M153" t="s">
        <v>3468</v>
      </c>
      <c r="N153" t="s">
        <v>3468</v>
      </c>
      <c r="O153" t="s">
        <v>5824</v>
      </c>
    </row>
    <row r="154" spans="1:15" x14ac:dyDescent="0.25">
      <c r="A154" t="s">
        <v>5767</v>
      </c>
      <c r="B154" t="s">
        <v>3569</v>
      </c>
      <c r="C154" t="s">
        <v>5431</v>
      </c>
      <c r="D154">
        <v>1</v>
      </c>
      <c r="E154" t="s">
        <v>6374</v>
      </c>
      <c r="F154" t="s">
        <v>6854</v>
      </c>
      <c r="G154" t="s">
        <v>6375</v>
      </c>
      <c r="H154" t="s">
        <v>6855</v>
      </c>
      <c r="I154">
        <v>1</v>
      </c>
      <c r="J154" t="s">
        <v>3468</v>
      </c>
      <c r="K154" t="s">
        <v>5767</v>
      </c>
      <c r="L154" t="s">
        <v>90</v>
      </c>
      <c r="M154" t="s">
        <v>3468</v>
      </c>
      <c r="N154" t="s">
        <v>3468</v>
      </c>
      <c r="O154" t="s">
        <v>6376</v>
      </c>
    </row>
    <row r="155" spans="1:15" x14ac:dyDescent="0.25">
      <c r="A155" t="s">
        <v>6377</v>
      </c>
      <c r="B155" t="s">
        <v>41</v>
      </c>
      <c r="C155" t="s">
        <v>5793</v>
      </c>
      <c r="D155">
        <v>1</v>
      </c>
      <c r="E155" t="s">
        <v>6378</v>
      </c>
      <c r="F155" t="s">
        <v>6856</v>
      </c>
      <c r="G155" t="s">
        <v>6379</v>
      </c>
      <c r="H155" t="s">
        <v>6857</v>
      </c>
      <c r="I155">
        <v>1</v>
      </c>
      <c r="J155" t="s">
        <v>6858</v>
      </c>
      <c r="K155" t="s">
        <v>6380</v>
      </c>
      <c r="L155" t="s">
        <v>90</v>
      </c>
      <c r="M155" t="s">
        <v>3468</v>
      </c>
      <c r="N155" t="s">
        <v>3468</v>
      </c>
      <c r="O155" t="s">
        <v>6381</v>
      </c>
    </row>
    <row r="156" spans="1:15" x14ac:dyDescent="0.25">
      <c r="A156" t="s">
        <v>6382</v>
      </c>
      <c r="B156" t="s">
        <v>41</v>
      </c>
      <c r="C156" t="s">
        <v>5793</v>
      </c>
      <c r="D156">
        <v>1</v>
      </c>
      <c r="E156" t="s">
        <v>6859</v>
      </c>
      <c r="F156" t="s">
        <v>6860</v>
      </c>
      <c r="G156" t="s">
        <v>6861</v>
      </c>
      <c r="H156" t="s">
        <v>6862</v>
      </c>
      <c r="I156">
        <v>1</v>
      </c>
      <c r="J156" t="s">
        <v>6863</v>
      </c>
      <c r="K156" t="s">
        <v>6385</v>
      </c>
      <c r="L156" t="s">
        <v>90</v>
      </c>
      <c r="M156" t="s">
        <v>5502</v>
      </c>
      <c r="N156" t="s">
        <v>3468</v>
      </c>
      <c r="O156" t="s">
        <v>5806</v>
      </c>
    </row>
    <row r="157" spans="1:15" x14ac:dyDescent="0.25">
      <c r="A157" t="s">
        <v>6386</v>
      </c>
      <c r="B157" t="s">
        <v>3533</v>
      </c>
      <c r="C157" t="s">
        <v>5431</v>
      </c>
      <c r="D157" t="s">
        <v>4051</v>
      </c>
      <c r="E157" t="s">
        <v>6387</v>
      </c>
      <c r="F157" t="s">
        <v>6864</v>
      </c>
      <c r="G157" t="s">
        <v>6388</v>
      </c>
      <c r="H157" t="s">
        <v>6815</v>
      </c>
      <c r="I157" t="s">
        <v>4051</v>
      </c>
      <c r="J157" t="s">
        <v>3468</v>
      </c>
      <c r="K157" t="s">
        <v>6386</v>
      </c>
      <c r="L157" t="s">
        <v>90</v>
      </c>
      <c r="M157" t="s">
        <v>5532</v>
      </c>
      <c r="N157" t="s">
        <v>3468</v>
      </c>
      <c r="O157" t="s">
        <v>6389</v>
      </c>
    </row>
    <row r="158" spans="1:15" x14ac:dyDescent="0.25">
      <c r="A158" t="s">
        <v>6394</v>
      </c>
      <c r="B158" t="s">
        <v>3533</v>
      </c>
      <c r="C158" t="s">
        <v>5431</v>
      </c>
      <c r="D158">
        <v>1</v>
      </c>
      <c r="E158" t="s">
        <v>6395</v>
      </c>
      <c r="F158" t="s">
        <v>6865</v>
      </c>
      <c r="G158" t="s">
        <v>6395</v>
      </c>
      <c r="H158" t="s">
        <v>6865</v>
      </c>
      <c r="I158">
        <v>0</v>
      </c>
      <c r="J158" t="s">
        <v>6521</v>
      </c>
      <c r="K158" t="s">
        <v>6394</v>
      </c>
      <c r="L158" t="s">
        <v>90</v>
      </c>
      <c r="M158" t="s">
        <v>5567</v>
      </c>
      <c r="N158" t="s">
        <v>3468</v>
      </c>
      <c r="O158" t="s">
        <v>6202</v>
      </c>
    </row>
    <row r="159" spans="1:15" x14ac:dyDescent="0.25">
      <c r="A159" t="s">
        <v>6396</v>
      </c>
      <c r="B159" t="s">
        <v>41</v>
      </c>
      <c r="C159" t="s">
        <v>5793</v>
      </c>
      <c r="D159">
        <v>1</v>
      </c>
      <c r="E159" t="s">
        <v>6866</v>
      </c>
      <c r="F159" t="s">
        <v>6867</v>
      </c>
      <c r="G159" t="s">
        <v>6868</v>
      </c>
      <c r="H159" t="s">
        <v>6869</v>
      </c>
      <c r="I159">
        <v>1</v>
      </c>
      <c r="J159" t="s">
        <v>6870</v>
      </c>
      <c r="K159" t="s">
        <v>6396</v>
      </c>
      <c r="L159" t="s">
        <v>90</v>
      </c>
      <c r="M159" t="s">
        <v>3468</v>
      </c>
      <c r="N159" t="s">
        <v>5462</v>
      </c>
      <c r="O159" t="s">
        <v>6871</v>
      </c>
    </row>
    <row r="160" spans="1:15" x14ac:dyDescent="0.25">
      <c r="A160" t="s">
        <v>6402</v>
      </c>
      <c r="B160" t="s">
        <v>41</v>
      </c>
      <c r="C160" t="s">
        <v>5431</v>
      </c>
      <c r="D160">
        <v>1</v>
      </c>
      <c r="E160" s="9" t="s">
        <v>6403</v>
      </c>
      <c r="F160" t="s">
        <v>6872</v>
      </c>
      <c r="G160" s="9" t="s">
        <v>6404</v>
      </c>
      <c r="H160" t="s">
        <v>6873</v>
      </c>
      <c r="I160">
        <v>1</v>
      </c>
      <c r="J160" t="s">
        <v>3468</v>
      </c>
      <c r="K160" t="s">
        <v>6405</v>
      </c>
      <c r="L160" t="s">
        <v>90</v>
      </c>
      <c r="M160" t="s">
        <v>3468</v>
      </c>
      <c r="N160" t="s">
        <v>3468</v>
      </c>
      <c r="O160" t="s">
        <v>6070</v>
      </c>
    </row>
    <row r="161" spans="1:15" x14ac:dyDescent="0.25">
      <c r="A161" t="s">
        <v>6406</v>
      </c>
      <c r="B161" t="s">
        <v>41</v>
      </c>
      <c r="C161" t="s">
        <v>5793</v>
      </c>
      <c r="D161">
        <v>1</v>
      </c>
      <c r="E161" t="s">
        <v>6407</v>
      </c>
      <c r="F161" t="s">
        <v>6874</v>
      </c>
      <c r="G161" t="s">
        <v>6408</v>
      </c>
      <c r="H161" t="s">
        <v>6875</v>
      </c>
      <c r="I161">
        <v>1</v>
      </c>
      <c r="J161" t="s">
        <v>6480</v>
      </c>
      <c r="K161" t="s">
        <v>6409</v>
      </c>
      <c r="L161" t="s">
        <v>90</v>
      </c>
      <c r="M161" t="s">
        <v>3468</v>
      </c>
      <c r="N161" t="s">
        <v>3468</v>
      </c>
      <c r="O161" t="s">
        <v>6876</v>
      </c>
    </row>
    <row r="162" spans="1:15" x14ac:dyDescent="0.25">
      <c r="A162" t="s">
        <v>6410</v>
      </c>
      <c r="B162" t="s">
        <v>3520</v>
      </c>
      <c r="C162" t="s">
        <v>5793</v>
      </c>
      <c r="D162">
        <v>1</v>
      </c>
      <c r="E162" s="9" t="s">
        <v>6411</v>
      </c>
      <c r="F162" t="s">
        <v>6877</v>
      </c>
      <c r="G162" s="9" t="s">
        <v>6412</v>
      </c>
      <c r="H162" t="s">
        <v>6878</v>
      </c>
      <c r="I162">
        <v>1</v>
      </c>
      <c r="J162" t="s">
        <v>6586</v>
      </c>
      <c r="K162" t="s">
        <v>6410</v>
      </c>
      <c r="L162" t="s">
        <v>90</v>
      </c>
      <c r="M162" t="s">
        <v>3468</v>
      </c>
      <c r="N162" t="s">
        <v>3468</v>
      </c>
      <c r="O162" t="s">
        <v>6053</v>
      </c>
    </row>
    <row r="163" spans="1:15" x14ac:dyDescent="0.25">
      <c r="A163" t="s">
        <v>6413</v>
      </c>
      <c r="B163" t="s">
        <v>3533</v>
      </c>
      <c r="C163" t="s">
        <v>5793</v>
      </c>
      <c r="D163">
        <v>2</v>
      </c>
      <c r="E163" t="s">
        <v>6414</v>
      </c>
      <c r="F163" t="s">
        <v>6879</v>
      </c>
      <c r="G163" t="s">
        <v>6415</v>
      </c>
      <c r="H163" t="s">
        <v>6880</v>
      </c>
      <c r="I163">
        <v>2</v>
      </c>
      <c r="J163" t="s">
        <v>6463</v>
      </c>
      <c r="K163" t="s">
        <v>6413</v>
      </c>
      <c r="L163" t="s">
        <v>90</v>
      </c>
      <c r="M163" t="s">
        <v>3468</v>
      </c>
      <c r="N163" t="s">
        <v>3468</v>
      </c>
      <c r="O163" t="s">
        <v>5938</v>
      </c>
    </row>
    <row r="164" spans="1:15" x14ac:dyDescent="0.25">
      <c r="A164" t="s">
        <v>6417</v>
      </c>
      <c r="B164" t="s">
        <v>41</v>
      </c>
      <c r="C164" t="s">
        <v>5431</v>
      </c>
      <c r="D164">
        <v>0</v>
      </c>
      <c r="E164" t="s">
        <v>6418</v>
      </c>
      <c r="F164" t="s">
        <v>6881</v>
      </c>
      <c r="G164" t="s">
        <v>6419</v>
      </c>
      <c r="H164" t="s">
        <v>6882</v>
      </c>
      <c r="I164">
        <v>0</v>
      </c>
      <c r="J164" t="s">
        <v>3468</v>
      </c>
      <c r="K164" t="s">
        <v>6417</v>
      </c>
      <c r="L164" t="s">
        <v>90</v>
      </c>
      <c r="M164" t="s">
        <v>5567</v>
      </c>
      <c r="N164" t="s">
        <v>3468</v>
      </c>
      <c r="O164" t="s">
        <v>5834</v>
      </c>
    </row>
    <row r="165" spans="1:15" x14ac:dyDescent="0.25">
      <c r="A165" t="s">
        <v>5362</v>
      </c>
      <c r="B165" t="s">
        <v>3533</v>
      </c>
      <c r="C165" t="s">
        <v>4668</v>
      </c>
      <c r="D165">
        <v>1</v>
      </c>
      <c r="E165" s="9" t="s">
        <v>6883</v>
      </c>
      <c r="F165" t="s">
        <v>6884</v>
      </c>
      <c r="G165" s="9" t="s">
        <v>6885</v>
      </c>
      <c r="H165" t="s">
        <v>6886</v>
      </c>
      <c r="I165">
        <v>1</v>
      </c>
      <c r="J165" t="s">
        <v>3468</v>
      </c>
      <c r="K165" t="s">
        <v>5364</v>
      </c>
      <c r="L165" t="s">
        <v>90</v>
      </c>
      <c r="M165" t="s">
        <v>3468</v>
      </c>
      <c r="N165" t="s">
        <v>3468</v>
      </c>
      <c r="O165" t="s">
        <v>6887</v>
      </c>
    </row>
    <row r="166" spans="1:15" x14ac:dyDescent="0.25">
      <c r="A166" t="s">
        <v>6423</v>
      </c>
      <c r="B166" t="s">
        <v>3533</v>
      </c>
      <c r="C166" t="s">
        <v>5793</v>
      </c>
      <c r="D166" t="s">
        <v>6017</v>
      </c>
      <c r="E166" t="s">
        <v>6888</v>
      </c>
      <c r="F166" t="s">
        <v>6889</v>
      </c>
      <c r="G166" t="s">
        <v>6890</v>
      </c>
      <c r="H166" t="s">
        <v>6891</v>
      </c>
      <c r="I166" t="s">
        <v>6017</v>
      </c>
      <c r="J166" t="s">
        <v>6560</v>
      </c>
      <c r="K166" t="s">
        <v>6423</v>
      </c>
      <c r="L166" t="s">
        <v>90</v>
      </c>
      <c r="M166" t="s">
        <v>3468</v>
      </c>
      <c r="N166" t="s">
        <v>3468</v>
      </c>
      <c r="O166" t="s">
        <v>5930</v>
      </c>
    </row>
    <row r="167" spans="1:15" x14ac:dyDescent="0.25">
      <c r="A167" t="s">
        <v>6426</v>
      </c>
      <c r="B167" t="s">
        <v>3533</v>
      </c>
      <c r="C167" t="s">
        <v>5431</v>
      </c>
      <c r="D167">
        <v>1</v>
      </c>
      <c r="E167" s="9" t="s">
        <v>6427</v>
      </c>
      <c r="F167" t="s">
        <v>6892</v>
      </c>
      <c r="G167" s="9" t="s">
        <v>6427</v>
      </c>
      <c r="H167" t="s">
        <v>6892</v>
      </c>
      <c r="I167">
        <v>0</v>
      </c>
      <c r="J167" t="s">
        <v>3468</v>
      </c>
      <c r="K167" t="s">
        <v>6428</v>
      </c>
      <c r="L167" t="s">
        <v>90</v>
      </c>
      <c r="M167" t="s">
        <v>5567</v>
      </c>
      <c r="N167" t="s">
        <v>3468</v>
      </c>
      <c r="O167" t="s">
        <v>6893</v>
      </c>
    </row>
    <row r="168" spans="1:15" x14ac:dyDescent="0.25">
      <c r="A168" t="s">
        <v>6430</v>
      </c>
      <c r="B168" t="s">
        <v>41</v>
      </c>
      <c r="C168" t="s">
        <v>5793</v>
      </c>
      <c r="D168">
        <v>1</v>
      </c>
      <c r="E168" s="9" t="s">
        <v>6431</v>
      </c>
      <c r="F168" t="s">
        <v>6894</v>
      </c>
      <c r="G168" s="9" t="s">
        <v>6432</v>
      </c>
      <c r="H168" t="s">
        <v>6895</v>
      </c>
      <c r="I168">
        <v>1</v>
      </c>
      <c r="J168" t="s">
        <v>6521</v>
      </c>
      <c r="K168" t="s">
        <v>6433</v>
      </c>
      <c r="L168" t="s">
        <v>90</v>
      </c>
      <c r="M168" t="s">
        <v>3468</v>
      </c>
      <c r="N168" t="s">
        <v>3468</v>
      </c>
      <c r="O168" t="s">
        <v>6290</v>
      </c>
    </row>
    <row r="169" spans="1:15" x14ac:dyDescent="0.25">
      <c r="A169" t="s">
        <v>6434</v>
      </c>
      <c r="B169" t="s">
        <v>4368</v>
      </c>
      <c r="C169" t="s">
        <v>3681</v>
      </c>
      <c r="D169" t="s">
        <v>4051</v>
      </c>
      <c r="E169" s="9" t="s">
        <v>6159</v>
      </c>
      <c r="F169" t="s">
        <v>4285</v>
      </c>
      <c r="G169" s="9" t="s">
        <v>3468</v>
      </c>
      <c r="H169" t="s">
        <v>3468</v>
      </c>
      <c r="I169" t="s">
        <v>3468</v>
      </c>
      <c r="J169" t="s">
        <v>3468</v>
      </c>
      <c r="K169" t="s">
        <v>6434</v>
      </c>
      <c r="L169" t="s">
        <v>90</v>
      </c>
      <c r="M169" t="s">
        <v>3468</v>
      </c>
      <c r="N169" t="s">
        <v>3468</v>
      </c>
      <c r="O169" t="s">
        <v>6530</v>
      </c>
    </row>
    <row r="170" spans="1:15" x14ac:dyDescent="0.25">
      <c r="A170" t="s">
        <v>6435</v>
      </c>
      <c r="B170" t="s">
        <v>3520</v>
      </c>
      <c r="C170" t="s">
        <v>4668</v>
      </c>
      <c r="D170">
        <v>3</v>
      </c>
      <c r="E170" s="9" t="s">
        <v>6896</v>
      </c>
      <c r="F170" t="s">
        <v>6897</v>
      </c>
      <c r="G170" s="9" t="s">
        <v>6898</v>
      </c>
      <c r="H170" t="s">
        <v>6899</v>
      </c>
      <c r="I170" t="s">
        <v>3468</v>
      </c>
      <c r="J170" t="s">
        <v>3468</v>
      </c>
      <c r="K170" t="s">
        <v>6438</v>
      </c>
      <c r="L170" t="s">
        <v>90</v>
      </c>
      <c r="M170" t="s">
        <v>3468</v>
      </c>
      <c r="N170" t="s">
        <v>3468</v>
      </c>
      <c r="O170" t="s">
        <v>5788</v>
      </c>
    </row>
    <row r="171" spans="1:15" x14ac:dyDescent="0.25">
      <c r="A171" t="s">
        <v>6439</v>
      </c>
      <c r="B171" t="s">
        <v>4368</v>
      </c>
      <c r="C171" t="s">
        <v>4315</v>
      </c>
      <c r="D171" t="s">
        <v>4051</v>
      </c>
      <c r="E171" t="s">
        <v>6440</v>
      </c>
      <c r="F171" t="s">
        <v>4285</v>
      </c>
      <c r="G171" t="s">
        <v>3468</v>
      </c>
      <c r="H171" t="s">
        <v>3468</v>
      </c>
      <c r="I171" t="s">
        <v>3468</v>
      </c>
      <c r="J171" t="s">
        <v>3468</v>
      </c>
      <c r="K171" t="s">
        <v>6439</v>
      </c>
      <c r="L171" t="s">
        <v>90</v>
      </c>
      <c r="M171" t="s">
        <v>5534</v>
      </c>
      <c r="N171" t="s">
        <v>3468</v>
      </c>
      <c r="O171" t="s">
        <v>5941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6900</v>
      </c>
      <c r="C1" t="s">
        <v>6901</v>
      </c>
      <c r="D1" t="s">
        <v>3462</v>
      </c>
      <c r="E1" t="s">
        <v>3514</v>
      </c>
      <c r="F1" t="s">
        <v>6902</v>
      </c>
    </row>
    <row r="2" spans="1:6" ht="15" customHeight="1" x14ac:dyDescent="0.25">
      <c r="A2" t="s">
        <v>6903</v>
      </c>
      <c r="B2" t="s">
        <v>4764</v>
      </c>
      <c r="C2" t="s">
        <v>6904</v>
      </c>
      <c r="D2" t="s">
        <v>6905</v>
      </c>
      <c r="E2" t="s">
        <v>6906</v>
      </c>
      <c r="F2" t="s">
        <v>6907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6908</v>
      </c>
      <c r="D1" t="s">
        <v>171</v>
      </c>
      <c r="E1" t="s">
        <v>4520</v>
      </c>
      <c r="F1" t="s">
        <v>6</v>
      </c>
    </row>
    <row r="2" spans="1:6" ht="15" customHeight="1" x14ac:dyDescent="0.25">
      <c r="A2" t="s">
        <v>6909</v>
      </c>
      <c r="B2" t="s">
        <v>6910</v>
      </c>
      <c r="C2" t="s">
        <v>5244</v>
      </c>
      <c r="D2" t="s">
        <v>3681</v>
      </c>
      <c r="E2" t="s">
        <v>3468</v>
      </c>
      <c r="F2" t="s">
        <v>3468</v>
      </c>
    </row>
    <row r="3" spans="1:6" ht="15" customHeight="1" x14ac:dyDescent="0.25">
      <c r="A3" t="s">
        <v>6911</v>
      </c>
      <c r="B3" t="s">
        <v>6912</v>
      </c>
      <c r="C3" t="s">
        <v>6913</v>
      </c>
      <c r="D3" t="s">
        <v>3681</v>
      </c>
      <c r="E3" t="s">
        <v>3468</v>
      </c>
      <c r="F3" t="s">
        <v>3468</v>
      </c>
    </row>
    <row r="4" spans="1:6" ht="15" customHeight="1" x14ac:dyDescent="0.25">
      <c r="A4" t="s">
        <v>6914</v>
      </c>
      <c r="B4" t="s">
        <v>6915</v>
      </c>
      <c r="C4" t="s">
        <v>5247</v>
      </c>
      <c r="D4" t="s">
        <v>6914</v>
      </c>
      <c r="E4" t="s">
        <v>4027</v>
      </c>
      <c r="F4" t="s">
        <v>3520</v>
      </c>
    </row>
    <row r="5" spans="1:6" ht="15" customHeight="1" x14ac:dyDescent="0.25">
      <c r="A5" t="s">
        <v>6916</v>
      </c>
      <c r="B5" t="s">
        <v>6917</v>
      </c>
      <c r="C5" t="s">
        <v>6918</v>
      </c>
      <c r="D5" t="s">
        <v>3531</v>
      </c>
      <c r="E5" t="s">
        <v>4053</v>
      </c>
      <c r="F5" t="s">
        <v>41</v>
      </c>
    </row>
    <row r="6" spans="1:6" ht="15" customHeight="1" x14ac:dyDescent="0.25">
      <c r="A6" t="s">
        <v>6919</v>
      </c>
      <c r="B6" t="s">
        <v>6920</v>
      </c>
      <c r="C6" t="s">
        <v>6918</v>
      </c>
      <c r="D6" t="s">
        <v>3681</v>
      </c>
      <c r="E6" t="s">
        <v>3468</v>
      </c>
      <c r="F6" t="s">
        <v>3533</v>
      </c>
    </row>
    <row r="7" spans="1:6" ht="15" customHeight="1" x14ac:dyDescent="0.25">
      <c r="A7" t="s">
        <v>6921</v>
      </c>
      <c r="B7" t="s">
        <v>6922</v>
      </c>
      <c r="C7" t="s">
        <v>6913</v>
      </c>
      <c r="D7" t="s">
        <v>3681</v>
      </c>
      <c r="E7" t="s">
        <v>3468</v>
      </c>
    </row>
    <row r="8" spans="1:6" ht="15" customHeight="1" x14ac:dyDescent="0.25">
      <c r="A8" t="s">
        <v>6923</v>
      </c>
      <c r="B8" t="s">
        <v>6924</v>
      </c>
      <c r="C8" t="s">
        <v>5244</v>
      </c>
      <c r="D8" t="s">
        <v>3681</v>
      </c>
      <c r="E8" t="s">
        <v>3468</v>
      </c>
      <c r="F8" t="s">
        <v>3468</v>
      </c>
    </row>
    <row r="9" spans="1:6" ht="15" customHeight="1" x14ac:dyDescent="0.25">
      <c r="A9" t="s">
        <v>6925</v>
      </c>
      <c r="B9" t="s">
        <v>6926</v>
      </c>
      <c r="C9" t="s">
        <v>5247</v>
      </c>
      <c r="D9" t="s">
        <v>5793</v>
      </c>
      <c r="E9" t="s">
        <v>4027</v>
      </c>
      <c r="F9" t="s">
        <v>41</v>
      </c>
    </row>
    <row r="10" spans="1:6" ht="15" customHeight="1" x14ac:dyDescent="0.25">
      <c r="A10" t="s">
        <v>6927</v>
      </c>
      <c r="B10" t="s">
        <v>6928</v>
      </c>
      <c r="C10" t="s">
        <v>6913</v>
      </c>
      <c r="D10" t="s">
        <v>3681</v>
      </c>
      <c r="E10" t="s">
        <v>5094</v>
      </c>
      <c r="F10" t="s">
        <v>41</v>
      </c>
    </row>
    <row r="11" spans="1:6" ht="15" customHeight="1" x14ac:dyDescent="0.25">
      <c r="A11" t="s">
        <v>6929</v>
      </c>
      <c r="B11" t="s">
        <v>6930</v>
      </c>
      <c r="C11" t="s">
        <v>6918</v>
      </c>
      <c r="D11" t="s">
        <v>3450</v>
      </c>
      <c r="E11" t="s">
        <v>3468</v>
      </c>
      <c r="F11" t="s">
        <v>3533</v>
      </c>
    </row>
    <row r="12" spans="1:6" ht="15" customHeight="1" x14ac:dyDescent="0.25">
      <c r="A12" t="s">
        <v>6931</v>
      </c>
      <c r="B12" t="s">
        <v>6932</v>
      </c>
      <c r="C12" t="s">
        <v>5247</v>
      </c>
      <c r="D12" t="s">
        <v>3681</v>
      </c>
      <c r="E12" t="s">
        <v>5094</v>
      </c>
      <c r="F12" t="s">
        <v>41</v>
      </c>
    </row>
    <row r="13" spans="1:6" ht="15" customHeight="1" x14ac:dyDescent="0.25">
      <c r="A13" t="s">
        <v>6933</v>
      </c>
      <c r="B13" t="s">
        <v>6934</v>
      </c>
      <c r="C13" t="s">
        <v>6913</v>
      </c>
      <c r="D13" t="s">
        <v>3681</v>
      </c>
      <c r="E13" t="s">
        <v>3468</v>
      </c>
      <c r="F13" t="s">
        <v>3468</v>
      </c>
    </row>
    <row r="14" spans="1:6" ht="15" customHeight="1" x14ac:dyDescent="0.25">
      <c r="A14" t="s">
        <v>6935</v>
      </c>
      <c r="B14" t="s">
        <v>6936</v>
      </c>
      <c r="C14" t="s">
        <v>6913</v>
      </c>
      <c r="D14" t="s">
        <v>3681</v>
      </c>
      <c r="E14" t="s">
        <v>3468</v>
      </c>
      <c r="F14" t="s">
        <v>3468</v>
      </c>
    </row>
    <row r="15" spans="1:6" ht="15" customHeight="1" x14ac:dyDescent="0.25">
      <c r="A15" t="s">
        <v>6937</v>
      </c>
      <c r="B15" t="s">
        <v>6938</v>
      </c>
      <c r="C15" t="s">
        <v>5247</v>
      </c>
      <c r="D15" t="s">
        <v>5793</v>
      </c>
      <c r="E15" t="s">
        <v>6939</v>
      </c>
      <c r="F15" t="s">
        <v>3520</v>
      </c>
    </row>
    <row r="16" spans="1:6" ht="15" customHeight="1" x14ac:dyDescent="0.25">
      <c r="A16" t="s">
        <v>6940</v>
      </c>
      <c r="B16" t="s">
        <v>6941</v>
      </c>
      <c r="C16" t="s">
        <v>6913</v>
      </c>
      <c r="D16" t="s">
        <v>6940</v>
      </c>
      <c r="E16" t="s">
        <v>3468</v>
      </c>
      <c r="F16" t="s">
        <v>41</v>
      </c>
    </row>
    <row r="17" spans="1:6" ht="15" customHeight="1" x14ac:dyDescent="0.25">
      <c r="A17" t="s">
        <v>6231</v>
      </c>
      <c r="B17" t="s">
        <v>6942</v>
      </c>
      <c r="C17" t="s">
        <v>6913</v>
      </c>
      <c r="D17" t="s">
        <v>3681</v>
      </c>
      <c r="E17" t="s">
        <v>4027</v>
      </c>
      <c r="F17" t="s">
        <v>3468</v>
      </c>
    </row>
    <row r="18" spans="1:6" ht="15" customHeight="1" x14ac:dyDescent="0.25">
      <c r="A18" t="s">
        <v>5746</v>
      </c>
      <c r="B18" t="s">
        <v>6943</v>
      </c>
      <c r="C18" t="s">
        <v>6913</v>
      </c>
      <c r="D18" t="s">
        <v>3681</v>
      </c>
      <c r="E18" t="s">
        <v>5094</v>
      </c>
      <c r="F18" t="s">
        <v>3520</v>
      </c>
    </row>
    <row r="19" spans="1:6" ht="15" customHeight="1" x14ac:dyDescent="0.25">
      <c r="A19" t="s">
        <v>6944</v>
      </c>
      <c r="B19" t="s">
        <v>6945</v>
      </c>
      <c r="C19" t="s">
        <v>6913</v>
      </c>
      <c r="D19" t="s">
        <v>3681</v>
      </c>
      <c r="E19" t="s">
        <v>3468</v>
      </c>
      <c r="F19" t="s">
        <v>3468</v>
      </c>
    </row>
    <row r="20" spans="1:6" ht="15" customHeight="1" x14ac:dyDescent="0.25">
      <c r="A20" t="s">
        <v>6946</v>
      </c>
      <c r="B20" t="s">
        <v>6947</v>
      </c>
      <c r="C20" t="s">
        <v>5244</v>
      </c>
      <c r="D20" t="s">
        <v>3681</v>
      </c>
      <c r="E20" t="s">
        <v>3468</v>
      </c>
      <c r="F20" t="s">
        <v>3468</v>
      </c>
    </row>
    <row r="21" spans="1:6" ht="15" customHeight="1" x14ac:dyDescent="0.25">
      <c r="A21" t="s">
        <v>6948</v>
      </c>
      <c r="B21" t="s">
        <v>6949</v>
      </c>
      <c r="C21" t="s">
        <v>6918</v>
      </c>
      <c r="D21" t="s">
        <v>6948</v>
      </c>
      <c r="E21" t="s">
        <v>6939</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5769</v>
      </c>
      <c r="C1" t="s">
        <v>6</v>
      </c>
      <c r="D1" t="s">
        <v>3462</v>
      </c>
      <c r="E1" t="s">
        <v>6448</v>
      </c>
      <c r="F1" t="s">
        <v>6950</v>
      </c>
      <c r="G1" t="s">
        <v>1</v>
      </c>
      <c r="H1" t="s">
        <v>6449</v>
      </c>
      <c r="I1" t="s">
        <v>171</v>
      </c>
    </row>
    <row r="2" spans="1:9" ht="15" customHeight="1" x14ac:dyDescent="0.25">
      <c r="A2" t="s">
        <v>6951</v>
      </c>
      <c r="B2">
        <v>6</v>
      </c>
      <c r="C2" t="s">
        <v>3520</v>
      </c>
      <c r="D2" t="s">
        <v>6952</v>
      </c>
      <c r="E2" t="s">
        <v>3468</v>
      </c>
      <c r="F2" t="s">
        <v>4051</v>
      </c>
      <c r="G2" t="s">
        <v>2362</v>
      </c>
      <c r="H2" t="s">
        <v>5457</v>
      </c>
      <c r="I2" t="s">
        <v>6951</v>
      </c>
    </row>
    <row r="3" spans="1:9" ht="15" customHeight="1" x14ac:dyDescent="0.25">
      <c r="A3" t="s">
        <v>6953</v>
      </c>
      <c r="B3">
        <v>3</v>
      </c>
      <c r="C3" t="s">
        <v>3533</v>
      </c>
      <c r="D3" t="s">
        <v>6954</v>
      </c>
      <c r="E3" t="s">
        <v>3468</v>
      </c>
      <c r="F3" t="s">
        <v>187</v>
      </c>
      <c r="G3" t="s">
        <v>2362</v>
      </c>
      <c r="H3" t="s">
        <v>3468</v>
      </c>
      <c r="I3" t="s">
        <v>6953</v>
      </c>
    </row>
    <row r="4" spans="1:9" ht="15" customHeight="1" x14ac:dyDescent="0.25">
      <c r="A4" t="s">
        <v>6955</v>
      </c>
      <c r="B4">
        <v>3</v>
      </c>
      <c r="C4" t="s">
        <v>3520</v>
      </c>
      <c r="D4" t="s">
        <v>6956</v>
      </c>
      <c r="E4" t="s">
        <v>5485</v>
      </c>
      <c r="F4" t="s">
        <v>187</v>
      </c>
      <c r="G4" t="s">
        <v>2362</v>
      </c>
      <c r="H4" t="s">
        <v>3468</v>
      </c>
      <c r="I4" t="s">
        <v>6955</v>
      </c>
    </row>
    <row r="5" spans="1:9" ht="15" customHeight="1" x14ac:dyDescent="0.25">
      <c r="A5" t="s">
        <v>6957</v>
      </c>
      <c r="B5">
        <v>6</v>
      </c>
      <c r="C5" t="s">
        <v>3520</v>
      </c>
      <c r="D5" t="s">
        <v>6958</v>
      </c>
      <c r="E5" t="s">
        <v>3468</v>
      </c>
      <c r="F5" t="s">
        <v>187</v>
      </c>
      <c r="G5" t="s">
        <v>2362</v>
      </c>
      <c r="H5" t="s">
        <v>4331</v>
      </c>
      <c r="I5" t="s">
        <v>6957</v>
      </c>
    </row>
    <row r="6" spans="1:9" ht="15" customHeight="1" x14ac:dyDescent="0.25">
      <c r="A6" t="s">
        <v>4060</v>
      </c>
      <c r="B6">
        <v>1</v>
      </c>
      <c r="C6" t="s">
        <v>3533</v>
      </c>
      <c r="D6" t="s">
        <v>6959</v>
      </c>
      <c r="E6" t="s">
        <v>3468</v>
      </c>
      <c r="F6" t="s">
        <v>187</v>
      </c>
      <c r="G6" t="s">
        <v>2362</v>
      </c>
      <c r="H6" t="s">
        <v>4331</v>
      </c>
      <c r="I6" t="s">
        <v>4060</v>
      </c>
    </row>
    <row r="7" spans="1:9" ht="15" customHeight="1" x14ac:dyDescent="0.25">
      <c r="A7" t="s">
        <v>6960</v>
      </c>
      <c r="B7">
        <v>3</v>
      </c>
      <c r="C7" t="s">
        <v>3520</v>
      </c>
      <c r="D7" t="s">
        <v>6961</v>
      </c>
      <c r="E7" t="s">
        <v>3468</v>
      </c>
      <c r="F7" t="s">
        <v>187</v>
      </c>
      <c r="G7" t="s">
        <v>2362</v>
      </c>
      <c r="H7" t="s">
        <v>3468</v>
      </c>
      <c r="I7" t="s">
        <v>6960</v>
      </c>
    </row>
    <row r="8" spans="1:9" ht="15" customHeight="1" x14ac:dyDescent="0.25">
      <c r="A8" t="s">
        <v>6962</v>
      </c>
      <c r="B8">
        <v>1</v>
      </c>
      <c r="C8" t="s">
        <v>3533</v>
      </c>
      <c r="D8" t="s">
        <v>6963</v>
      </c>
      <c r="E8" t="s">
        <v>5483</v>
      </c>
      <c r="F8" t="s">
        <v>187</v>
      </c>
      <c r="G8" t="s">
        <v>2362</v>
      </c>
      <c r="H8" t="s">
        <v>3468</v>
      </c>
      <c r="I8" t="s">
        <v>6962</v>
      </c>
    </row>
    <row r="9" spans="1:9" ht="15" customHeight="1" x14ac:dyDescent="0.25">
      <c r="A9" t="s">
        <v>6964</v>
      </c>
      <c r="B9">
        <v>2</v>
      </c>
      <c r="C9" t="s">
        <v>41</v>
      </c>
      <c r="D9" t="s">
        <v>4629</v>
      </c>
      <c r="E9" t="s">
        <v>5500</v>
      </c>
      <c r="F9" t="s">
        <v>4051</v>
      </c>
      <c r="G9" t="s">
        <v>2362</v>
      </c>
      <c r="H9" t="s">
        <v>3468</v>
      </c>
      <c r="I9" t="s">
        <v>6964</v>
      </c>
    </row>
    <row r="10" spans="1:9" ht="15" customHeight="1" x14ac:dyDescent="0.25">
      <c r="A10" t="s">
        <v>6965</v>
      </c>
      <c r="B10">
        <v>1</v>
      </c>
      <c r="C10" t="s">
        <v>3520</v>
      </c>
      <c r="D10" t="s">
        <v>6966</v>
      </c>
      <c r="E10" t="s">
        <v>5483</v>
      </c>
      <c r="F10" t="s">
        <v>4051</v>
      </c>
      <c r="G10" t="s">
        <v>2362</v>
      </c>
      <c r="H10" t="s">
        <v>5454</v>
      </c>
      <c r="I10" t="s">
        <v>6965</v>
      </c>
    </row>
    <row r="11" spans="1:9" ht="15" customHeight="1" x14ac:dyDescent="0.25">
      <c r="A11" t="s">
        <v>6967</v>
      </c>
      <c r="B11">
        <v>15</v>
      </c>
      <c r="C11" t="s">
        <v>3520</v>
      </c>
      <c r="D11" t="s">
        <v>6968</v>
      </c>
      <c r="E11" t="s">
        <v>3468</v>
      </c>
      <c r="F11" t="s">
        <v>4051</v>
      </c>
      <c r="G11" t="s">
        <v>2362</v>
      </c>
      <c r="H11" t="s">
        <v>5457</v>
      </c>
      <c r="I11" t="s">
        <v>6967</v>
      </c>
    </row>
    <row r="12" spans="1:9" ht="15" customHeight="1" x14ac:dyDescent="0.25">
      <c r="A12" t="s">
        <v>6969</v>
      </c>
      <c r="B12">
        <v>2</v>
      </c>
      <c r="C12" t="s">
        <v>41</v>
      </c>
      <c r="D12" t="s">
        <v>6970</v>
      </c>
      <c r="E12" t="s">
        <v>3468</v>
      </c>
      <c r="F12" t="s">
        <v>4051</v>
      </c>
      <c r="G12" t="s">
        <v>2362</v>
      </c>
      <c r="H12" t="s">
        <v>5454</v>
      </c>
      <c r="I12" t="s">
        <v>6969</v>
      </c>
    </row>
    <row r="13" spans="1:9" ht="15" customHeight="1" x14ac:dyDescent="0.25">
      <c r="A13" t="s">
        <v>6971</v>
      </c>
      <c r="B13">
        <v>3</v>
      </c>
      <c r="C13" t="s">
        <v>3520</v>
      </c>
      <c r="D13" t="s">
        <v>6972</v>
      </c>
      <c r="E13" t="s">
        <v>3468</v>
      </c>
      <c r="F13" t="s">
        <v>187</v>
      </c>
      <c r="G13" t="s">
        <v>2362</v>
      </c>
      <c r="H13" t="s">
        <v>5325</v>
      </c>
      <c r="I13" t="s">
        <v>6971</v>
      </c>
    </row>
    <row r="14" spans="1:9" ht="15" customHeight="1" x14ac:dyDescent="0.25">
      <c r="A14" t="s">
        <v>6973</v>
      </c>
      <c r="B14">
        <v>1</v>
      </c>
      <c r="C14" t="s">
        <v>41</v>
      </c>
      <c r="D14" t="s">
        <v>6974</v>
      </c>
      <c r="E14" t="s">
        <v>5483</v>
      </c>
      <c r="F14" t="s">
        <v>187</v>
      </c>
      <c r="G14" t="s">
        <v>2362</v>
      </c>
      <c r="H14" t="s">
        <v>3468</v>
      </c>
      <c r="I14" t="s">
        <v>6973</v>
      </c>
    </row>
    <row r="15" spans="1:9" ht="15" customHeight="1" x14ac:dyDescent="0.25">
      <c r="A15" t="s">
        <v>6975</v>
      </c>
      <c r="B15">
        <v>2</v>
      </c>
      <c r="C15" t="s">
        <v>41</v>
      </c>
      <c r="D15" t="s">
        <v>6976</v>
      </c>
      <c r="E15" t="s">
        <v>5530</v>
      </c>
      <c r="F15" t="s">
        <v>187</v>
      </c>
      <c r="G15" t="s">
        <v>2362</v>
      </c>
      <c r="H15" t="s">
        <v>5460</v>
      </c>
      <c r="I15" t="s">
        <v>6975</v>
      </c>
    </row>
    <row r="16" spans="1:9" ht="15" customHeight="1" x14ac:dyDescent="0.25">
      <c r="A16" t="s">
        <v>6977</v>
      </c>
      <c r="B16">
        <v>2</v>
      </c>
      <c r="C16" t="s">
        <v>41</v>
      </c>
      <c r="D16" t="s">
        <v>6978</v>
      </c>
      <c r="E16" t="s">
        <v>5530</v>
      </c>
      <c r="F16" t="s">
        <v>187</v>
      </c>
      <c r="G16" t="s">
        <v>2362</v>
      </c>
      <c r="H16" t="s">
        <v>5460</v>
      </c>
      <c r="I16" t="s">
        <v>6977</v>
      </c>
    </row>
    <row r="17" spans="1:9" ht="15" customHeight="1" x14ac:dyDescent="0.25">
      <c r="A17" t="s">
        <v>6979</v>
      </c>
      <c r="B17">
        <v>3</v>
      </c>
      <c r="C17" t="s">
        <v>3533</v>
      </c>
      <c r="D17" t="s">
        <v>6980</v>
      </c>
      <c r="E17" t="s">
        <v>3468</v>
      </c>
      <c r="F17" t="s">
        <v>187</v>
      </c>
      <c r="G17" t="s">
        <v>2362</v>
      </c>
      <c r="H17" t="s">
        <v>5469</v>
      </c>
      <c r="I17" t="s">
        <v>6979</v>
      </c>
    </row>
    <row r="18" spans="1:9" ht="15" customHeight="1" x14ac:dyDescent="0.25">
      <c r="A18" t="s">
        <v>6981</v>
      </c>
      <c r="B18">
        <v>3</v>
      </c>
      <c r="C18" t="s">
        <v>41</v>
      </c>
      <c r="D18" t="s">
        <v>6982</v>
      </c>
      <c r="E18" t="s">
        <v>5530</v>
      </c>
      <c r="F18" t="s">
        <v>187</v>
      </c>
      <c r="G18" t="s">
        <v>2362</v>
      </c>
      <c r="H18" t="s">
        <v>4331</v>
      </c>
      <c r="I18" t="s">
        <v>6981</v>
      </c>
    </row>
    <row r="19" spans="1:9" ht="15" customHeight="1" x14ac:dyDescent="0.25">
      <c r="A19" t="s">
        <v>6983</v>
      </c>
      <c r="B19">
        <v>4</v>
      </c>
      <c r="C19" t="s">
        <v>41</v>
      </c>
      <c r="D19" t="s">
        <v>6984</v>
      </c>
      <c r="E19" t="s">
        <v>5478</v>
      </c>
      <c r="F19" t="s">
        <v>187</v>
      </c>
      <c r="G19" t="s">
        <v>2362</v>
      </c>
      <c r="H19" t="s">
        <v>5460</v>
      </c>
      <c r="I19" t="s">
        <v>6983</v>
      </c>
    </row>
    <row r="20" spans="1:9" ht="15" customHeight="1" x14ac:dyDescent="0.25">
      <c r="A20" t="s">
        <v>6985</v>
      </c>
      <c r="B20">
        <v>2</v>
      </c>
      <c r="C20" t="s">
        <v>3533</v>
      </c>
      <c r="D20" t="s">
        <v>6986</v>
      </c>
      <c r="E20" t="s">
        <v>5483</v>
      </c>
      <c r="F20" t="s">
        <v>4051</v>
      </c>
      <c r="G20" t="s">
        <v>2362</v>
      </c>
      <c r="H20" t="s">
        <v>5462</v>
      </c>
      <c r="I20" t="s">
        <v>6985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6987</v>
      </c>
      <c r="D1" t="s">
        <v>1</v>
      </c>
      <c r="E1" t="s">
        <v>7</v>
      </c>
    </row>
    <row r="2" spans="1:5" ht="15" customHeight="1" x14ac:dyDescent="0.25">
      <c r="A2" t="s">
        <v>6988</v>
      </c>
      <c r="B2" t="s">
        <v>41</v>
      </c>
      <c r="C2" t="s">
        <v>4446</v>
      </c>
      <c r="D2" t="s">
        <v>1295</v>
      </c>
      <c r="E2" t="s">
        <v>6989</v>
      </c>
    </row>
    <row r="3" spans="1:5" ht="15" customHeight="1" x14ac:dyDescent="0.25">
      <c r="A3" t="s">
        <v>6990</v>
      </c>
      <c r="B3" t="s">
        <v>3533</v>
      </c>
      <c r="C3" t="s">
        <v>4446</v>
      </c>
      <c r="D3" t="s">
        <v>1295</v>
      </c>
      <c r="E3" t="s">
        <v>6991</v>
      </c>
    </row>
    <row r="4" spans="1:5" ht="15" customHeight="1" x14ac:dyDescent="0.25">
      <c r="A4" t="s">
        <v>6992</v>
      </c>
      <c r="B4" t="s">
        <v>3520</v>
      </c>
      <c r="C4" t="s">
        <v>4446</v>
      </c>
      <c r="D4" t="s">
        <v>1295</v>
      </c>
      <c r="E4" t="s">
        <v>6993</v>
      </c>
    </row>
    <row r="5" spans="1:5" ht="15" customHeight="1" x14ac:dyDescent="0.25">
      <c r="A5" t="s">
        <v>6994</v>
      </c>
      <c r="B5" t="s">
        <v>41</v>
      </c>
      <c r="C5" t="s">
        <v>4444</v>
      </c>
      <c r="D5" t="s">
        <v>1295</v>
      </c>
      <c r="E5" t="s">
        <v>6995</v>
      </c>
    </row>
    <row r="6" spans="1:5" ht="15" customHeight="1" x14ac:dyDescent="0.25">
      <c r="A6" t="s">
        <v>6996</v>
      </c>
      <c r="B6" t="s">
        <v>3533</v>
      </c>
      <c r="C6" t="s">
        <v>4444</v>
      </c>
      <c r="D6" t="s">
        <v>1295</v>
      </c>
      <c r="E6" t="s">
        <v>6997</v>
      </c>
    </row>
    <row r="7" spans="1:5" ht="15" customHeight="1" x14ac:dyDescent="0.25">
      <c r="A7" t="s">
        <v>6998</v>
      </c>
      <c r="B7" t="s">
        <v>3520</v>
      </c>
      <c r="C7" t="s">
        <v>4444</v>
      </c>
      <c r="D7" t="s">
        <v>1295</v>
      </c>
      <c r="E7" t="s">
        <v>6999</v>
      </c>
    </row>
    <row r="8" spans="1:5" ht="15" customHeight="1" x14ac:dyDescent="0.25">
      <c r="A8" t="s">
        <v>7000</v>
      </c>
      <c r="B8" t="s">
        <v>41</v>
      </c>
      <c r="C8" t="s">
        <v>4453</v>
      </c>
      <c r="D8" t="s">
        <v>1295</v>
      </c>
      <c r="E8" t="s">
        <v>7001</v>
      </c>
    </row>
    <row r="9" spans="1:5" ht="15" customHeight="1" x14ac:dyDescent="0.25">
      <c r="A9" t="s">
        <v>7002</v>
      </c>
      <c r="B9" t="s">
        <v>3533</v>
      </c>
      <c r="C9" t="s">
        <v>4453</v>
      </c>
      <c r="D9" t="s">
        <v>1295</v>
      </c>
      <c r="E9" t="s">
        <v>7003</v>
      </c>
    </row>
    <row r="10" spans="1:5" ht="15" customHeight="1" x14ac:dyDescent="0.25">
      <c r="A10" t="s">
        <v>7004</v>
      </c>
      <c r="B10" t="s">
        <v>3520</v>
      </c>
      <c r="C10" t="s">
        <v>4453</v>
      </c>
      <c r="D10" t="s">
        <v>1295</v>
      </c>
      <c r="E10" t="s">
        <v>7005</v>
      </c>
    </row>
    <row r="11" spans="1:5" ht="15" customHeight="1" x14ac:dyDescent="0.25">
      <c r="A11" t="s">
        <v>7006</v>
      </c>
      <c r="B11" t="s">
        <v>41</v>
      </c>
      <c r="C11" t="s">
        <v>4435</v>
      </c>
      <c r="D11" t="s">
        <v>1295</v>
      </c>
      <c r="E11" t="s">
        <v>7007</v>
      </c>
    </row>
    <row r="12" spans="1:5" ht="15" customHeight="1" x14ac:dyDescent="0.25">
      <c r="A12" t="s">
        <v>7008</v>
      </c>
      <c r="B12" t="s">
        <v>3533</v>
      </c>
      <c r="C12" t="s">
        <v>4435</v>
      </c>
      <c r="D12" t="s">
        <v>1295</v>
      </c>
      <c r="E12" t="s">
        <v>7009</v>
      </c>
    </row>
    <row r="13" spans="1:5" ht="15" customHeight="1" x14ac:dyDescent="0.25">
      <c r="A13" t="s">
        <v>7010</v>
      </c>
      <c r="B13" t="s">
        <v>3520</v>
      </c>
      <c r="C13" t="s">
        <v>4435</v>
      </c>
      <c r="D13" t="s">
        <v>1295</v>
      </c>
      <c r="E13" t="s">
        <v>7011</v>
      </c>
    </row>
    <row r="14" spans="1:5" ht="15" customHeight="1" x14ac:dyDescent="0.25">
      <c r="A14" t="s">
        <v>7012</v>
      </c>
      <c r="B14" t="s">
        <v>41</v>
      </c>
      <c r="C14" t="s">
        <v>4460</v>
      </c>
      <c r="D14" t="s">
        <v>1295</v>
      </c>
      <c r="E14" t="s">
        <v>7013</v>
      </c>
    </row>
    <row r="15" spans="1:5" ht="15" customHeight="1" x14ac:dyDescent="0.25">
      <c r="A15" t="s">
        <v>7014</v>
      </c>
      <c r="B15" t="s">
        <v>3533</v>
      </c>
      <c r="C15" t="s">
        <v>4460</v>
      </c>
      <c r="D15" t="s">
        <v>1295</v>
      </c>
      <c r="E15" t="s">
        <v>7015</v>
      </c>
    </row>
    <row r="16" spans="1:5" ht="15" customHeight="1" x14ac:dyDescent="0.25">
      <c r="A16" t="s">
        <v>7016</v>
      </c>
      <c r="B16" t="s">
        <v>3520</v>
      </c>
      <c r="C16" t="s">
        <v>4460</v>
      </c>
      <c r="D16" t="s">
        <v>1295</v>
      </c>
      <c r="E16" t="s">
        <v>7017</v>
      </c>
    </row>
    <row r="17" spans="1:5" ht="15" customHeight="1" x14ac:dyDescent="0.25">
      <c r="A17" t="s">
        <v>7018</v>
      </c>
      <c r="B17" t="s">
        <v>41</v>
      </c>
      <c r="C17" t="s">
        <v>4467</v>
      </c>
      <c r="D17" t="s">
        <v>1295</v>
      </c>
      <c r="E17" t="s">
        <v>7019</v>
      </c>
    </row>
    <row r="18" spans="1:5" ht="15" customHeight="1" x14ac:dyDescent="0.25">
      <c r="A18" t="s">
        <v>7020</v>
      </c>
      <c r="B18" t="s">
        <v>3533</v>
      </c>
      <c r="C18" t="s">
        <v>4467</v>
      </c>
      <c r="D18" t="s">
        <v>1295</v>
      </c>
      <c r="E18" t="s">
        <v>7021</v>
      </c>
    </row>
    <row r="19" spans="1:5" ht="15" customHeight="1" x14ac:dyDescent="0.25">
      <c r="A19" t="s">
        <v>7022</v>
      </c>
      <c r="B19" t="s">
        <v>3520</v>
      </c>
      <c r="C19" t="s">
        <v>4467</v>
      </c>
      <c r="D19" t="s">
        <v>1295</v>
      </c>
      <c r="E19" t="s">
        <v>7023</v>
      </c>
    </row>
    <row r="20" spans="1:5" ht="15" customHeight="1" x14ac:dyDescent="0.25">
      <c r="A20" t="s">
        <v>7024</v>
      </c>
      <c r="B20" t="s">
        <v>41</v>
      </c>
      <c r="C20" t="s">
        <v>4467</v>
      </c>
      <c r="D20" t="s">
        <v>709</v>
      </c>
      <c r="E20" t="s">
        <v>7025</v>
      </c>
    </row>
    <row r="21" spans="1:5" ht="15" customHeight="1" x14ac:dyDescent="0.25">
      <c r="A21" t="s">
        <v>7026</v>
      </c>
      <c r="B21" t="s">
        <v>41</v>
      </c>
      <c r="C21" t="s">
        <v>4467</v>
      </c>
      <c r="D21" t="s">
        <v>709</v>
      </c>
      <c r="E21" t="s">
        <v>7027</v>
      </c>
    </row>
    <row r="22" spans="1:5" ht="15" customHeight="1" x14ac:dyDescent="0.25">
      <c r="A22" t="s">
        <v>7028</v>
      </c>
      <c r="B22" t="s">
        <v>3533</v>
      </c>
      <c r="C22" t="s">
        <v>4467</v>
      </c>
      <c r="D22" t="s">
        <v>709</v>
      </c>
      <c r="E22" t="s">
        <v>7029</v>
      </c>
    </row>
    <row r="23" spans="1:5" ht="15" customHeight="1" x14ac:dyDescent="0.25">
      <c r="A23" t="s">
        <v>7030</v>
      </c>
      <c r="B23" t="s">
        <v>3533</v>
      </c>
      <c r="C23" t="s">
        <v>4467</v>
      </c>
      <c r="D23" t="s">
        <v>709</v>
      </c>
      <c r="E23" t="s">
        <v>7031</v>
      </c>
    </row>
    <row r="24" spans="1:5" ht="15" customHeight="1" x14ac:dyDescent="0.25">
      <c r="A24" t="s">
        <v>7032</v>
      </c>
      <c r="B24" t="s">
        <v>3520</v>
      </c>
      <c r="C24" t="s">
        <v>4467</v>
      </c>
      <c r="D24" t="s">
        <v>709</v>
      </c>
      <c r="E24" t="s">
        <v>7033</v>
      </c>
    </row>
    <row r="25" spans="1:5" ht="15" customHeight="1" x14ac:dyDescent="0.25">
      <c r="A25" t="s">
        <v>7034</v>
      </c>
      <c r="B25" t="s">
        <v>3520</v>
      </c>
      <c r="C25" t="s">
        <v>4467</v>
      </c>
      <c r="D25" t="s">
        <v>709</v>
      </c>
      <c r="E25" t="s">
        <v>7035</v>
      </c>
    </row>
    <row r="26" spans="1:5" ht="15" customHeight="1" x14ac:dyDescent="0.25">
      <c r="A26" t="s">
        <v>7036</v>
      </c>
      <c r="B26" t="s">
        <v>3520</v>
      </c>
      <c r="C26" t="s">
        <v>4467</v>
      </c>
      <c r="D26" t="s">
        <v>709</v>
      </c>
      <c r="E26" t="s">
        <v>7037</v>
      </c>
    </row>
    <row r="27" spans="1:5" ht="15" customHeight="1" x14ac:dyDescent="0.25">
      <c r="A27" t="s">
        <v>7038</v>
      </c>
      <c r="B27" t="s">
        <v>3520</v>
      </c>
      <c r="C27" t="s">
        <v>4467</v>
      </c>
      <c r="D27" t="s">
        <v>709</v>
      </c>
      <c r="E27" t="s">
        <v>7039</v>
      </c>
    </row>
    <row r="28" spans="1:5" ht="15" customHeight="1" x14ac:dyDescent="0.25">
      <c r="A28" t="s">
        <v>7040</v>
      </c>
      <c r="B28" t="s">
        <v>3520</v>
      </c>
      <c r="C28" t="s">
        <v>4467</v>
      </c>
      <c r="D28" t="s">
        <v>709</v>
      </c>
      <c r="E28" t="s">
        <v>7041</v>
      </c>
    </row>
    <row r="29" spans="1:5" ht="15" customHeight="1" x14ac:dyDescent="0.25">
      <c r="A29" t="s">
        <v>7042</v>
      </c>
      <c r="B29" t="s">
        <v>3533</v>
      </c>
      <c r="C29" t="s">
        <v>4444</v>
      </c>
      <c r="D29" t="s">
        <v>919</v>
      </c>
      <c r="E29" t="s">
        <v>7043</v>
      </c>
    </row>
    <row r="30" spans="1:5" ht="15" customHeight="1" x14ac:dyDescent="0.25">
      <c r="A30" t="s">
        <v>7044</v>
      </c>
      <c r="B30" t="s">
        <v>3533</v>
      </c>
      <c r="C30" t="s">
        <v>7045</v>
      </c>
      <c r="D30" t="s">
        <v>919</v>
      </c>
      <c r="E30" t="s">
        <v>7046</v>
      </c>
    </row>
    <row r="31" spans="1:5" ht="15" customHeight="1" x14ac:dyDescent="0.25">
      <c r="A31" t="s">
        <v>7047</v>
      </c>
      <c r="B31" t="s">
        <v>41</v>
      </c>
      <c r="C31" t="s">
        <v>4473</v>
      </c>
      <c r="D31" t="s">
        <v>919</v>
      </c>
      <c r="E31" t="s">
        <v>7048</v>
      </c>
    </row>
    <row r="32" spans="1:5" ht="15" customHeight="1" x14ac:dyDescent="0.25">
      <c r="A32" t="s">
        <v>7049</v>
      </c>
      <c r="B32" t="s">
        <v>3520</v>
      </c>
      <c r="C32" t="s">
        <v>4467</v>
      </c>
      <c r="D32" t="s">
        <v>919</v>
      </c>
      <c r="E32" t="s">
        <v>7050</v>
      </c>
    </row>
    <row r="33" spans="1:5" ht="15" customHeight="1" x14ac:dyDescent="0.25">
      <c r="A33" t="s">
        <v>7051</v>
      </c>
      <c r="B33" t="s">
        <v>41</v>
      </c>
      <c r="C33" t="s">
        <v>4473</v>
      </c>
      <c r="D33" t="s">
        <v>919</v>
      </c>
      <c r="E33" t="s">
        <v>7052</v>
      </c>
    </row>
    <row r="34" spans="1:5" ht="15" customHeight="1" x14ac:dyDescent="0.25">
      <c r="A34" t="s">
        <v>7053</v>
      </c>
      <c r="B34" t="s">
        <v>3533</v>
      </c>
      <c r="C34" t="s">
        <v>4467</v>
      </c>
      <c r="D34" t="s">
        <v>919</v>
      </c>
      <c r="E34" t="s">
        <v>7054</v>
      </c>
    </row>
    <row r="35" spans="1:5" ht="15" customHeight="1" x14ac:dyDescent="0.25">
      <c r="A35" t="s">
        <v>7055</v>
      </c>
      <c r="B35" t="s">
        <v>41</v>
      </c>
      <c r="C35" t="s">
        <v>4467</v>
      </c>
      <c r="D35" t="s">
        <v>919</v>
      </c>
      <c r="E35" t="s">
        <v>7056</v>
      </c>
    </row>
    <row r="36" spans="1:5" ht="15" customHeight="1" x14ac:dyDescent="0.25">
      <c r="A36" t="s">
        <v>7057</v>
      </c>
      <c r="B36" t="s">
        <v>41</v>
      </c>
      <c r="C36" t="s">
        <v>4467</v>
      </c>
      <c r="D36" t="s">
        <v>919</v>
      </c>
      <c r="E36" t="s">
        <v>7058</v>
      </c>
    </row>
    <row r="37" spans="1:5" ht="15" customHeight="1" x14ac:dyDescent="0.25">
      <c r="A37" t="s">
        <v>7059</v>
      </c>
      <c r="B37" t="s">
        <v>41</v>
      </c>
      <c r="C37" t="s">
        <v>4446</v>
      </c>
      <c r="D37" t="s">
        <v>1299</v>
      </c>
      <c r="E37" t="s">
        <v>7060</v>
      </c>
    </row>
    <row r="38" spans="1:5" ht="15" customHeight="1" x14ac:dyDescent="0.25">
      <c r="A38" t="s">
        <v>7061</v>
      </c>
      <c r="B38" t="s">
        <v>3533</v>
      </c>
      <c r="C38" t="s">
        <v>4446</v>
      </c>
      <c r="D38" t="s">
        <v>1299</v>
      </c>
      <c r="E38" t="s">
        <v>7062</v>
      </c>
    </row>
    <row r="39" spans="1:5" ht="15" customHeight="1" x14ac:dyDescent="0.25">
      <c r="A39" t="s">
        <v>7063</v>
      </c>
      <c r="B39" t="s">
        <v>3520</v>
      </c>
      <c r="C39" t="s">
        <v>4446</v>
      </c>
      <c r="D39" t="s">
        <v>1299</v>
      </c>
      <c r="E39" t="s">
        <v>7064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3764</v>
      </c>
      <c r="D1" t="s">
        <v>5088</v>
      </c>
      <c r="E1" s="10" t="s">
        <v>5089</v>
      </c>
      <c r="F1" s="10" t="s">
        <v>5090</v>
      </c>
      <c r="G1" t="s">
        <v>3769</v>
      </c>
      <c r="H1" t="s">
        <v>1</v>
      </c>
      <c r="I1" t="s">
        <v>5091</v>
      </c>
      <c r="J1" t="s">
        <v>7065</v>
      </c>
      <c r="K1" t="s">
        <v>171</v>
      </c>
      <c r="L1" t="s">
        <v>5093</v>
      </c>
      <c r="M1" t="s">
        <v>3770</v>
      </c>
    </row>
    <row r="2" spans="1:13" ht="15" customHeight="1" x14ac:dyDescent="0.25">
      <c r="A2" t="s">
        <v>7066</v>
      </c>
      <c r="B2" t="s">
        <v>4027</v>
      </c>
      <c r="C2" t="s">
        <v>4434</v>
      </c>
      <c r="D2">
        <v>2</v>
      </c>
      <c r="E2" s="10">
        <v>30</v>
      </c>
      <c r="F2" s="10">
        <v>34</v>
      </c>
      <c r="G2" t="s">
        <v>7067</v>
      </c>
      <c r="H2" t="s">
        <v>2133</v>
      </c>
      <c r="I2" t="s">
        <v>4467</v>
      </c>
      <c r="J2" t="s">
        <v>7068</v>
      </c>
      <c r="K2" t="s">
        <v>7066</v>
      </c>
      <c r="L2" t="s">
        <v>3468</v>
      </c>
    </row>
    <row r="3" spans="1:13" ht="15" customHeight="1" x14ac:dyDescent="0.25">
      <c r="A3" t="s">
        <v>7069</v>
      </c>
      <c r="B3" t="s">
        <v>4027</v>
      </c>
      <c r="C3" t="s">
        <v>4438</v>
      </c>
      <c r="D3">
        <v>2</v>
      </c>
      <c r="E3" s="10">
        <v>64</v>
      </c>
      <c r="F3" s="10">
        <v>70</v>
      </c>
      <c r="G3" t="s">
        <v>7067</v>
      </c>
      <c r="H3" t="s">
        <v>2133</v>
      </c>
      <c r="I3" t="s">
        <v>4467</v>
      </c>
      <c r="J3" t="s">
        <v>7070</v>
      </c>
      <c r="K3" t="s">
        <v>7071</v>
      </c>
      <c r="L3" t="s">
        <v>3468</v>
      </c>
    </row>
    <row r="4" spans="1:13" ht="15" customHeight="1" x14ac:dyDescent="0.25">
      <c r="A4" t="s">
        <v>7072</v>
      </c>
      <c r="B4" t="s">
        <v>4027</v>
      </c>
      <c r="C4" t="s">
        <v>5097</v>
      </c>
      <c r="D4">
        <v>7</v>
      </c>
      <c r="E4" s="10">
        <v>150</v>
      </c>
      <c r="F4" s="10">
        <v>160</v>
      </c>
      <c r="G4" t="s">
        <v>7067</v>
      </c>
      <c r="H4" t="s">
        <v>2133</v>
      </c>
      <c r="I4" t="s">
        <v>4467</v>
      </c>
      <c r="J4" t="s">
        <v>7073</v>
      </c>
      <c r="K4" t="s">
        <v>7074</v>
      </c>
      <c r="L4" t="s">
        <v>3468</v>
      </c>
    </row>
    <row r="5" spans="1:13" ht="15" customHeight="1" x14ac:dyDescent="0.25">
      <c r="A5" t="s">
        <v>5153</v>
      </c>
      <c r="B5" t="s">
        <v>4027</v>
      </c>
      <c r="C5" t="s">
        <v>4434</v>
      </c>
      <c r="D5" t="s">
        <v>3468</v>
      </c>
      <c r="E5" s="10">
        <v>20</v>
      </c>
      <c r="F5" s="10">
        <v>24</v>
      </c>
      <c r="G5" t="s">
        <v>3468</v>
      </c>
      <c r="H5" t="s">
        <v>160</v>
      </c>
      <c r="I5" t="s">
        <v>4467</v>
      </c>
      <c r="J5" t="s">
        <v>7075</v>
      </c>
      <c r="K5" t="s">
        <v>5153</v>
      </c>
      <c r="L5" t="s">
        <v>3468</v>
      </c>
    </row>
    <row r="6" spans="1:13" ht="15" customHeight="1" x14ac:dyDescent="0.25">
      <c r="A6" t="s">
        <v>5144</v>
      </c>
      <c r="B6" t="s">
        <v>4027</v>
      </c>
      <c r="C6" t="s">
        <v>4434</v>
      </c>
      <c r="D6">
        <v>2</v>
      </c>
      <c r="E6" s="10">
        <v>20</v>
      </c>
      <c r="F6" s="10">
        <v>24</v>
      </c>
      <c r="G6" t="s">
        <v>7076</v>
      </c>
      <c r="H6" t="s">
        <v>160</v>
      </c>
      <c r="I6" t="s">
        <v>4467</v>
      </c>
      <c r="J6" t="s">
        <v>7077</v>
      </c>
      <c r="K6" t="s">
        <v>5144</v>
      </c>
      <c r="L6" t="s">
        <v>3468</v>
      </c>
    </row>
    <row r="7" spans="1:13" ht="15" customHeight="1" x14ac:dyDescent="0.25">
      <c r="A7" t="s">
        <v>5151</v>
      </c>
      <c r="B7" t="s">
        <v>4027</v>
      </c>
      <c r="C7" t="s">
        <v>4434</v>
      </c>
      <c r="D7" t="s">
        <v>3468</v>
      </c>
      <c r="E7" s="10">
        <v>20</v>
      </c>
      <c r="F7" s="10">
        <v>24</v>
      </c>
      <c r="G7" t="s">
        <v>3468</v>
      </c>
      <c r="H7" t="s">
        <v>160</v>
      </c>
      <c r="I7" t="s">
        <v>4467</v>
      </c>
      <c r="J7" t="s">
        <v>7078</v>
      </c>
      <c r="K7" t="s">
        <v>5151</v>
      </c>
      <c r="L7" t="s">
        <v>3468</v>
      </c>
    </row>
    <row r="8" spans="1:13" ht="15" customHeight="1" x14ac:dyDescent="0.25">
      <c r="A8" t="s">
        <v>7079</v>
      </c>
      <c r="B8" t="s">
        <v>4027</v>
      </c>
      <c r="C8" t="s">
        <v>4438</v>
      </c>
      <c r="D8">
        <v>3</v>
      </c>
      <c r="E8" s="10">
        <v>48</v>
      </c>
      <c r="F8" s="10">
        <v>54</v>
      </c>
      <c r="G8" t="s">
        <v>3468</v>
      </c>
      <c r="H8" t="s">
        <v>160</v>
      </c>
      <c r="I8" t="s">
        <v>4467</v>
      </c>
      <c r="J8" t="s">
        <v>7080</v>
      </c>
      <c r="K8" t="s">
        <v>7081</v>
      </c>
      <c r="L8" t="s">
        <v>3468</v>
      </c>
    </row>
    <row r="9" spans="1:13" ht="15" customHeight="1" x14ac:dyDescent="0.25">
      <c r="A9" t="s">
        <v>7082</v>
      </c>
      <c r="B9" t="s">
        <v>4027</v>
      </c>
      <c r="C9" t="s">
        <v>5097</v>
      </c>
      <c r="D9">
        <v>7</v>
      </c>
      <c r="E9" s="10">
        <v>130</v>
      </c>
      <c r="F9" s="10">
        <v>140</v>
      </c>
      <c r="G9" t="s">
        <v>7083</v>
      </c>
      <c r="H9" t="s">
        <v>160</v>
      </c>
      <c r="I9" t="s">
        <v>4467</v>
      </c>
      <c r="J9" t="s">
        <v>7084</v>
      </c>
      <c r="K9" t="s">
        <v>7085</v>
      </c>
      <c r="L9" t="s">
        <v>3468</v>
      </c>
      <c r="M9" t="s">
        <v>4704</v>
      </c>
    </row>
    <row r="10" spans="1:13" ht="15" customHeight="1" x14ac:dyDescent="0.25">
      <c r="A10" t="s">
        <v>3881</v>
      </c>
      <c r="B10" t="s">
        <v>6939</v>
      </c>
      <c r="C10" t="s">
        <v>4434</v>
      </c>
      <c r="D10">
        <v>1</v>
      </c>
      <c r="E10" s="10">
        <v>20</v>
      </c>
      <c r="F10" s="10">
        <v>24</v>
      </c>
      <c r="G10" t="s">
        <v>5318</v>
      </c>
      <c r="H10" t="s">
        <v>501</v>
      </c>
      <c r="I10" t="s">
        <v>4470</v>
      </c>
      <c r="J10" t="s">
        <v>7086</v>
      </c>
      <c r="K10" t="s">
        <v>3881</v>
      </c>
      <c r="L10" t="s">
        <v>3468</v>
      </c>
    </row>
    <row r="11" spans="1:13" ht="15" customHeight="1" x14ac:dyDescent="0.25">
      <c r="A11" t="s">
        <v>7087</v>
      </c>
      <c r="B11" t="s">
        <v>6939</v>
      </c>
      <c r="C11" t="s">
        <v>4434</v>
      </c>
      <c r="D11">
        <v>2</v>
      </c>
      <c r="E11" s="10">
        <v>30</v>
      </c>
      <c r="F11" s="10">
        <v>34</v>
      </c>
      <c r="G11" t="s">
        <v>5318</v>
      </c>
      <c r="H11" t="s">
        <v>501</v>
      </c>
      <c r="I11" t="s">
        <v>4470</v>
      </c>
      <c r="J11" t="s">
        <v>7088</v>
      </c>
      <c r="K11" t="s">
        <v>7089</v>
      </c>
      <c r="L11" t="s">
        <v>3468</v>
      </c>
    </row>
    <row r="12" spans="1:13" ht="15" customHeight="1" x14ac:dyDescent="0.25">
      <c r="A12" t="s">
        <v>7090</v>
      </c>
      <c r="B12" t="s">
        <v>6939</v>
      </c>
      <c r="C12" t="s">
        <v>4434</v>
      </c>
      <c r="D12">
        <v>3</v>
      </c>
      <c r="E12" s="10">
        <v>40</v>
      </c>
      <c r="F12" s="10">
        <v>44</v>
      </c>
      <c r="G12" t="s">
        <v>7091</v>
      </c>
      <c r="H12" t="s">
        <v>501</v>
      </c>
      <c r="I12" t="s">
        <v>4470</v>
      </c>
      <c r="J12" t="s">
        <v>7092</v>
      </c>
      <c r="K12" t="s">
        <v>7093</v>
      </c>
      <c r="L12" t="s">
        <v>3468</v>
      </c>
    </row>
    <row r="13" spans="1:13" ht="15" customHeight="1" x14ac:dyDescent="0.25">
      <c r="A13" t="s">
        <v>7094</v>
      </c>
      <c r="B13" t="s">
        <v>6939</v>
      </c>
      <c r="C13" t="s">
        <v>4434</v>
      </c>
      <c r="D13" t="s">
        <v>3468</v>
      </c>
      <c r="E13" s="10">
        <v>12</v>
      </c>
      <c r="F13" s="10">
        <v>14</v>
      </c>
      <c r="G13" t="s">
        <v>5318</v>
      </c>
      <c r="H13" t="s">
        <v>501</v>
      </c>
      <c r="I13" t="s">
        <v>4470</v>
      </c>
      <c r="J13" t="s">
        <v>7095</v>
      </c>
      <c r="K13" t="s">
        <v>7094</v>
      </c>
      <c r="L13" t="s">
        <v>3468</v>
      </c>
    </row>
    <row r="14" spans="1:13" ht="15" customHeight="1" x14ac:dyDescent="0.25">
      <c r="A14" t="s">
        <v>3889</v>
      </c>
      <c r="B14" t="s">
        <v>6939</v>
      </c>
      <c r="C14" t="s">
        <v>4438</v>
      </c>
      <c r="D14">
        <v>3</v>
      </c>
      <c r="E14" s="10">
        <v>130</v>
      </c>
      <c r="F14" s="10">
        <v>140</v>
      </c>
      <c r="G14" t="s">
        <v>7096</v>
      </c>
      <c r="H14" t="s">
        <v>501</v>
      </c>
      <c r="I14" t="s">
        <v>4453</v>
      </c>
      <c r="J14" t="s">
        <v>7097</v>
      </c>
      <c r="K14" t="s">
        <v>3889</v>
      </c>
      <c r="L14" t="s">
        <v>3468</v>
      </c>
    </row>
    <row r="15" spans="1:13" ht="15" customHeight="1" x14ac:dyDescent="0.25">
      <c r="A15" t="s">
        <v>7098</v>
      </c>
      <c r="B15" t="s">
        <v>6939</v>
      </c>
      <c r="C15" t="s">
        <v>4438</v>
      </c>
      <c r="D15" t="s">
        <v>3468</v>
      </c>
      <c r="E15" s="10">
        <v>130</v>
      </c>
      <c r="F15" s="10">
        <v>140</v>
      </c>
      <c r="G15" t="s">
        <v>7096</v>
      </c>
      <c r="H15" t="s">
        <v>501</v>
      </c>
      <c r="I15" t="s">
        <v>4453</v>
      </c>
      <c r="J15" t="s">
        <v>7099</v>
      </c>
      <c r="K15" t="s">
        <v>7100</v>
      </c>
      <c r="L15" t="s">
        <v>3889</v>
      </c>
    </row>
    <row r="16" spans="1:13" ht="15" customHeight="1" x14ac:dyDescent="0.25">
      <c r="A16" t="s">
        <v>7101</v>
      </c>
      <c r="B16" t="s">
        <v>6939</v>
      </c>
      <c r="C16" t="s">
        <v>5097</v>
      </c>
      <c r="D16">
        <v>5</v>
      </c>
      <c r="E16" s="10">
        <v>100</v>
      </c>
      <c r="F16" s="10">
        <v>110</v>
      </c>
      <c r="G16" t="s">
        <v>7102</v>
      </c>
      <c r="H16" t="s">
        <v>501</v>
      </c>
      <c r="I16" t="s">
        <v>4460</v>
      </c>
      <c r="J16" t="s">
        <v>7103</v>
      </c>
      <c r="K16" t="s">
        <v>7104</v>
      </c>
      <c r="L16" t="s">
        <v>3468</v>
      </c>
    </row>
    <row r="17" spans="1:13" ht="15" customHeight="1" x14ac:dyDescent="0.25">
      <c r="A17" t="s">
        <v>7105</v>
      </c>
      <c r="B17" t="s">
        <v>4053</v>
      </c>
      <c r="C17" t="s">
        <v>4434</v>
      </c>
      <c r="D17">
        <v>1</v>
      </c>
      <c r="E17" s="10">
        <v>30</v>
      </c>
      <c r="F17" s="10">
        <v>34</v>
      </c>
      <c r="G17" t="s">
        <v>5331</v>
      </c>
      <c r="H17" t="s">
        <v>2155</v>
      </c>
      <c r="I17" t="s">
        <v>4467</v>
      </c>
      <c r="J17" t="s">
        <v>7106</v>
      </c>
      <c r="K17" t="s">
        <v>7105</v>
      </c>
      <c r="L17" t="s">
        <v>3468</v>
      </c>
      <c r="M17" t="s">
        <v>3880</v>
      </c>
    </row>
    <row r="18" spans="1:13" ht="15" customHeight="1" x14ac:dyDescent="0.25">
      <c r="A18" t="s">
        <v>7107</v>
      </c>
      <c r="B18" t="s">
        <v>4053</v>
      </c>
      <c r="C18" t="s">
        <v>4438</v>
      </c>
      <c r="D18">
        <v>3</v>
      </c>
      <c r="E18" s="10">
        <v>40</v>
      </c>
      <c r="F18" s="10">
        <v>46</v>
      </c>
      <c r="G18" t="s">
        <v>7108</v>
      </c>
      <c r="H18" t="s">
        <v>2155</v>
      </c>
      <c r="I18" t="s">
        <v>4467</v>
      </c>
      <c r="J18" t="s">
        <v>7109</v>
      </c>
      <c r="K18" t="s">
        <v>7107</v>
      </c>
      <c r="L18" t="s">
        <v>3468</v>
      </c>
    </row>
    <row r="19" spans="1:13" ht="15" customHeight="1" x14ac:dyDescent="0.25">
      <c r="A19" t="s">
        <v>7110</v>
      </c>
      <c r="B19" t="s">
        <v>4053</v>
      </c>
      <c r="C19" t="s">
        <v>4438</v>
      </c>
      <c r="D19">
        <v>4</v>
      </c>
      <c r="E19" s="10">
        <v>60</v>
      </c>
      <c r="F19" s="10">
        <v>66</v>
      </c>
      <c r="G19" t="s">
        <v>5331</v>
      </c>
      <c r="H19" t="s">
        <v>2155</v>
      </c>
      <c r="I19" t="s">
        <v>4467</v>
      </c>
      <c r="J19" t="s">
        <v>7111</v>
      </c>
      <c r="K19" t="s">
        <v>7110</v>
      </c>
      <c r="L19" t="s">
        <v>3468</v>
      </c>
    </row>
    <row r="20" spans="1:13" ht="15" customHeight="1" x14ac:dyDescent="0.25">
      <c r="A20" t="s">
        <v>4016</v>
      </c>
      <c r="B20" t="s">
        <v>4053</v>
      </c>
      <c r="C20" t="s">
        <v>5097</v>
      </c>
      <c r="D20">
        <v>9</v>
      </c>
      <c r="E20" s="10">
        <v>250</v>
      </c>
      <c r="F20" s="10">
        <v>270</v>
      </c>
      <c r="G20" t="s">
        <v>7112</v>
      </c>
      <c r="H20" t="s">
        <v>2155</v>
      </c>
      <c r="I20" t="s">
        <v>4467</v>
      </c>
      <c r="J20" t="s">
        <v>7113</v>
      </c>
      <c r="K20" t="s">
        <v>4016</v>
      </c>
      <c r="L20" t="s">
        <v>3468</v>
      </c>
      <c r="M20" t="s">
        <v>7114</v>
      </c>
    </row>
    <row r="21" spans="1:13" ht="15" customHeight="1" x14ac:dyDescent="0.25">
      <c r="A21" t="s">
        <v>3836</v>
      </c>
      <c r="B21" t="s">
        <v>5094</v>
      </c>
      <c r="C21" t="s">
        <v>4434</v>
      </c>
      <c r="D21">
        <v>2</v>
      </c>
      <c r="E21" s="10">
        <v>48</v>
      </c>
      <c r="F21" s="10">
        <v>54</v>
      </c>
      <c r="G21" t="s">
        <v>3468</v>
      </c>
      <c r="H21" t="s">
        <v>90</v>
      </c>
      <c r="I21" t="s">
        <v>4467</v>
      </c>
      <c r="J21" t="s">
        <v>7115</v>
      </c>
      <c r="K21" t="s">
        <v>3836</v>
      </c>
      <c r="L21" t="s">
        <v>3468</v>
      </c>
    </row>
    <row r="22" spans="1:13" ht="15" customHeight="1" x14ac:dyDescent="0.25">
      <c r="A22" t="s">
        <v>3865</v>
      </c>
      <c r="B22" t="s">
        <v>5094</v>
      </c>
      <c r="C22" t="s">
        <v>4438</v>
      </c>
      <c r="D22">
        <v>6</v>
      </c>
      <c r="E22" s="10">
        <v>114</v>
      </c>
      <c r="F22" s="10">
        <v>120</v>
      </c>
      <c r="G22" t="s">
        <v>3468</v>
      </c>
      <c r="H22" t="s">
        <v>90</v>
      </c>
      <c r="I22" t="s">
        <v>4467</v>
      </c>
      <c r="J22" t="s">
        <v>7116</v>
      </c>
      <c r="K22" t="s">
        <v>3865</v>
      </c>
      <c r="L22" t="s">
        <v>3468</v>
      </c>
    </row>
    <row r="23" spans="1:13" ht="15" customHeight="1" x14ac:dyDescent="0.25">
      <c r="A23" t="s">
        <v>3873</v>
      </c>
      <c r="B23" t="s">
        <v>5094</v>
      </c>
      <c r="C23" t="s">
        <v>5097</v>
      </c>
      <c r="D23">
        <v>9</v>
      </c>
      <c r="E23" s="10">
        <v>999</v>
      </c>
      <c r="F23" s="10">
        <v>999</v>
      </c>
      <c r="G23" t="s">
        <v>5098</v>
      </c>
      <c r="H23" t="s">
        <v>90</v>
      </c>
      <c r="I23" t="s">
        <v>4467</v>
      </c>
      <c r="J23" t="s">
        <v>7117</v>
      </c>
      <c r="K23" t="s">
        <v>3873</v>
      </c>
      <c r="L23" t="s">
        <v>3468</v>
      </c>
    </row>
    <row r="24" spans="1:13" ht="15" customHeight="1" x14ac:dyDescent="0.25">
      <c r="A24" t="s">
        <v>7118</v>
      </c>
      <c r="B24" t="s">
        <v>6939</v>
      </c>
      <c r="C24" t="s">
        <v>4434</v>
      </c>
      <c r="D24">
        <v>1</v>
      </c>
      <c r="E24" s="10">
        <v>20</v>
      </c>
      <c r="F24" s="10">
        <v>24</v>
      </c>
      <c r="G24" t="s">
        <v>7119</v>
      </c>
      <c r="H24" t="s">
        <v>2362</v>
      </c>
      <c r="I24" t="s">
        <v>4446</v>
      </c>
      <c r="J24" t="s">
        <v>7120</v>
      </c>
      <c r="K24" t="s">
        <v>7118</v>
      </c>
      <c r="L24" t="s">
        <v>3468</v>
      </c>
      <c r="M24" t="s">
        <v>3794</v>
      </c>
    </row>
    <row r="25" spans="1:13" ht="15" customHeight="1" x14ac:dyDescent="0.25">
      <c r="A25" t="s">
        <v>7121</v>
      </c>
      <c r="B25" t="s">
        <v>6939</v>
      </c>
      <c r="C25" t="s">
        <v>4438</v>
      </c>
      <c r="D25">
        <v>3</v>
      </c>
      <c r="E25" s="10">
        <v>48</v>
      </c>
      <c r="F25" s="10">
        <v>54</v>
      </c>
      <c r="G25" t="s">
        <v>3468</v>
      </c>
      <c r="H25" t="s">
        <v>2362</v>
      </c>
      <c r="I25" t="s">
        <v>4467</v>
      </c>
      <c r="J25" t="s">
        <v>7122</v>
      </c>
      <c r="K25" t="s">
        <v>7121</v>
      </c>
      <c r="L25" t="s">
        <v>3468</v>
      </c>
    </row>
    <row r="26" spans="1:13" ht="15" customHeight="1" x14ac:dyDescent="0.25">
      <c r="A26" t="s">
        <v>7123</v>
      </c>
      <c r="B26" t="s">
        <v>6939</v>
      </c>
      <c r="C26" t="s">
        <v>5097</v>
      </c>
      <c r="D26">
        <v>3</v>
      </c>
      <c r="E26" s="10">
        <v>60</v>
      </c>
      <c r="F26" s="10">
        <v>66</v>
      </c>
      <c r="G26" t="s">
        <v>7124</v>
      </c>
      <c r="H26" t="s">
        <v>2362</v>
      </c>
      <c r="I26" t="s">
        <v>4467</v>
      </c>
      <c r="J26" t="s">
        <v>7125</v>
      </c>
      <c r="K26" t="s">
        <v>7123</v>
      </c>
      <c r="L26" t="s">
        <v>3468</v>
      </c>
    </row>
    <row r="27" spans="1:13" ht="15" customHeight="1" x14ac:dyDescent="0.25">
      <c r="A27" t="s">
        <v>5100</v>
      </c>
      <c r="B27" t="s">
        <v>5094</v>
      </c>
      <c r="C27" t="s">
        <v>4434</v>
      </c>
      <c r="D27">
        <v>3</v>
      </c>
      <c r="E27" s="10">
        <v>40</v>
      </c>
      <c r="F27" s="10">
        <v>44</v>
      </c>
      <c r="G27" t="s">
        <v>3468</v>
      </c>
      <c r="H27" t="s">
        <v>90</v>
      </c>
      <c r="I27" t="s">
        <v>4467</v>
      </c>
      <c r="J27" t="s">
        <v>7126</v>
      </c>
      <c r="K27" t="s">
        <v>5102</v>
      </c>
      <c r="L27" t="s">
        <v>3468</v>
      </c>
    </row>
    <row r="28" spans="1:13" ht="15" customHeight="1" x14ac:dyDescent="0.25">
      <c r="A28" t="s">
        <v>5103</v>
      </c>
      <c r="B28" t="s">
        <v>5094</v>
      </c>
      <c r="C28" t="s">
        <v>4434</v>
      </c>
      <c r="D28">
        <v>1</v>
      </c>
      <c r="E28" s="10">
        <v>10</v>
      </c>
      <c r="F28" s="10">
        <v>15</v>
      </c>
      <c r="G28" t="s">
        <v>5104</v>
      </c>
      <c r="H28" t="s">
        <v>90</v>
      </c>
      <c r="I28" t="s">
        <v>4467</v>
      </c>
      <c r="J28" t="s">
        <v>7127</v>
      </c>
      <c r="K28" t="s">
        <v>5106</v>
      </c>
      <c r="L28" t="s">
        <v>3468</v>
      </c>
      <c r="M28" t="s">
        <v>4704</v>
      </c>
    </row>
    <row r="29" spans="1:13" ht="15" customHeight="1" x14ac:dyDescent="0.25">
      <c r="A29" t="s">
        <v>5107</v>
      </c>
      <c r="B29" t="s">
        <v>5094</v>
      </c>
      <c r="C29" t="s">
        <v>4434</v>
      </c>
      <c r="D29">
        <v>1</v>
      </c>
      <c r="E29" s="10">
        <v>11</v>
      </c>
      <c r="F29" s="10">
        <v>17</v>
      </c>
      <c r="G29" t="s">
        <v>5104</v>
      </c>
      <c r="H29" t="s">
        <v>90</v>
      </c>
      <c r="I29" t="s">
        <v>4467</v>
      </c>
      <c r="J29" t="s">
        <v>7128</v>
      </c>
      <c r="K29" t="s">
        <v>5109</v>
      </c>
      <c r="L29" t="s">
        <v>3468</v>
      </c>
      <c r="M29" t="s">
        <v>4704</v>
      </c>
    </row>
    <row r="30" spans="1:13" ht="15" customHeight="1" x14ac:dyDescent="0.25">
      <c r="A30" t="s">
        <v>5110</v>
      </c>
      <c r="B30" t="s">
        <v>5094</v>
      </c>
      <c r="C30" t="s">
        <v>4434</v>
      </c>
      <c r="D30">
        <v>4</v>
      </c>
      <c r="E30" s="10">
        <v>65</v>
      </c>
      <c r="F30" s="10">
        <v>69</v>
      </c>
      <c r="G30" t="s">
        <v>5111</v>
      </c>
      <c r="H30" t="s">
        <v>90</v>
      </c>
      <c r="I30" t="s">
        <v>4467</v>
      </c>
      <c r="J30" t="s">
        <v>7129</v>
      </c>
      <c r="K30" t="s">
        <v>5113</v>
      </c>
      <c r="L30" t="s">
        <v>3468</v>
      </c>
      <c r="M30" t="s">
        <v>3861</v>
      </c>
    </row>
    <row r="31" spans="1:13" ht="15" customHeight="1" x14ac:dyDescent="0.25">
      <c r="A31" t="s">
        <v>5114</v>
      </c>
      <c r="B31" t="s">
        <v>5094</v>
      </c>
      <c r="C31" t="s">
        <v>4434</v>
      </c>
      <c r="D31">
        <v>2</v>
      </c>
      <c r="E31" s="10">
        <v>28</v>
      </c>
      <c r="F31" s="10">
        <v>32</v>
      </c>
      <c r="G31" t="s">
        <v>3468</v>
      </c>
      <c r="H31" t="s">
        <v>90</v>
      </c>
      <c r="I31" t="s">
        <v>4467</v>
      </c>
      <c r="J31" t="s">
        <v>7130</v>
      </c>
      <c r="K31" t="s">
        <v>5116</v>
      </c>
      <c r="L31" t="s">
        <v>3468</v>
      </c>
      <c r="M31" t="s">
        <v>3861</v>
      </c>
    </row>
    <row r="32" spans="1:13" ht="15" customHeight="1" x14ac:dyDescent="0.25">
      <c r="A32" t="s">
        <v>5117</v>
      </c>
      <c r="B32" t="s">
        <v>5094</v>
      </c>
      <c r="C32" t="s">
        <v>4434</v>
      </c>
      <c r="D32">
        <v>1</v>
      </c>
      <c r="E32" s="10">
        <v>8</v>
      </c>
      <c r="F32" s="10">
        <v>12</v>
      </c>
      <c r="G32" t="s">
        <v>3468</v>
      </c>
      <c r="H32" t="s">
        <v>90</v>
      </c>
      <c r="I32" t="s">
        <v>4467</v>
      </c>
      <c r="J32" t="s">
        <v>7131</v>
      </c>
      <c r="K32" t="s">
        <v>5119</v>
      </c>
      <c r="L32" t="s">
        <v>3468</v>
      </c>
      <c r="M32" t="s">
        <v>3861</v>
      </c>
    </row>
    <row r="33" spans="1:13" ht="15" customHeight="1" x14ac:dyDescent="0.25">
      <c r="A33" t="s">
        <v>3858</v>
      </c>
      <c r="B33" t="s">
        <v>5094</v>
      </c>
      <c r="C33" t="s">
        <v>4434</v>
      </c>
      <c r="D33">
        <v>4</v>
      </c>
      <c r="E33" s="10">
        <v>64</v>
      </c>
      <c r="F33" s="10">
        <v>70</v>
      </c>
      <c r="G33" t="s">
        <v>5120</v>
      </c>
      <c r="H33" t="s">
        <v>90</v>
      </c>
      <c r="I33" t="s">
        <v>4467</v>
      </c>
      <c r="J33" t="s">
        <v>7132</v>
      </c>
      <c r="K33" t="s">
        <v>3860</v>
      </c>
      <c r="L33" t="s">
        <v>3468</v>
      </c>
      <c r="M33" t="s">
        <v>3861</v>
      </c>
    </row>
    <row r="34" spans="1:13" ht="15" customHeight="1" x14ac:dyDescent="0.25">
      <c r="A34" t="s">
        <v>5122</v>
      </c>
      <c r="B34" t="s">
        <v>5094</v>
      </c>
      <c r="C34" t="s">
        <v>4434</v>
      </c>
      <c r="D34">
        <v>2</v>
      </c>
      <c r="E34" s="10">
        <v>28</v>
      </c>
      <c r="F34" s="10">
        <v>32</v>
      </c>
      <c r="G34" t="s">
        <v>3468</v>
      </c>
      <c r="H34" t="s">
        <v>90</v>
      </c>
      <c r="I34" t="s">
        <v>4467</v>
      </c>
      <c r="J34" t="s">
        <v>7133</v>
      </c>
      <c r="K34" t="s">
        <v>5124</v>
      </c>
      <c r="L34" t="s">
        <v>3468</v>
      </c>
      <c r="M34" t="s">
        <v>3861</v>
      </c>
    </row>
    <row r="35" spans="1:13" ht="15" customHeight="1" x14ac:dyDescent="0.25">
      <c r="A35" t="s">
        <v>5125</v>
      </c>
      <c r="B35" t="s">
        <v>5094</v>
      </c>
      <c r="C35" t="s">
        <v>4434</v>
      </c>
      <c r="D35">
        <v>1</v>
      </c>
      <c r="E35" s="10">
        <v>10</v>
      </c>
      <c r="F35" s="10">
        <v>14</v>
      </c>
      <c r="G35" t="s">
        <v>3468</v>
      </c>
      <c r="H35" t="s">
        <v>90</v>
      </c>
      <c r="I35" t="s">
        <v>4467</v>
      </c>
      <c r="J35" t="s">
        <v>7134</v>
      </c>
      <c r="K35" t="s">
        <v>5127</v>
      </c>
      <c r="L35" t="s">
        <v>3468</v>
      </c>
      <c r="M35" t="s">
        <v>3861</v>
      </c>
    </row>
    <row r="36" spans="1:13" ht="15" customHeight="1" x14ac:dyDescent="0.25">
      <c r="A36" t="s">
        <v>7135</v>
      </c>
      <c r="B36" t="s">
        <v>6939</v>
      </c>
      <c r="C36" t="s">
        <v>5097</v>
      </c>
      <c r="D36">
        <v>1</v>
      </c>
      <c r="E36" s="10">
        <v>20</v>
      </c>
      <c r="F36" s="10">
        <v>24</v>
      </c>
      <c r="G36" t="s">
        <v>3468</v>
      </c>
      <c r="H36" t="s">
        <v>1650</v>
      </c>
      <c r="I36" t="s">
        <v>4446</v>
      </c>
      <c r="J36" t="s">
        <v>7136</v>
      </c>
      <c r="K36" t="s">
        <v>7135</v>
      </c>
      <c r="L36" t="s">
        <v>3468</v>
      </c>
      <c r="M36" t="s">
        <v>7137</v>
      </c>
    </row>
    <row r="37" spans="1:13" ht="15" customHeight="1" x14ac:dyDescent="0.25">
      <c r="A37" t="s">
        <v>7138</v>
      </c>
      <c r="B37" t="s">
        <v>6939</v>
      </c>
      <c r="C37" t="s">
        <v>4434</v>
      </c>
      <c r="D37">
        <v>0.5</v>
      </c>
      <c r="E37" s="10">
        <v>4</v>
      </c>
      <c r="F37" s="10">
        <v>6</v>
      </c>
      <c r="G37" t="s">
        <v>3468</v>
      </c>
      <c r="H37" t="s">
        <v>1650</v>
      </c>
      <c r="I37" t="s">
        <v>3468</v>
      </c>
      <c r="J37" t="s">
        <v>7139</v>
      </c>
      <c r="K37" t="s">
        <v>7138</v>
      </c>
      <c r="L37" t="s">
        <v>3468</v>
      </c>
      <c r="M37" t="s">
        <v>4704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5128</v>
      </c>
      <c r="C1" t="s">
        <v>3764</v>
      </c>
      <c r="D1" t="s">
        <v>5088</v>
      </c>
      <c r="E1" t="s">
        <v>1</v>
      </c>
      <c r="F1" t="s">
        <v>3770</v>
      </c>
      <c r="G1" t="s">
        <v>5089</v>
      </c>
      <c r="H1" t="s">
        <v>5090</v>
      </c>
      <c r="I1" t="s">
        <v>4036</v>
      </c>
      <c r="J1" t="s">
        <v>7140</v>
      </c>
      <c r="K1" t="s">
        <v>5132</v>
      </c>
      <c r="L1" t="s">
        <v>171</v>
      </c>
      <c r="M1" t="s">
        <v>7141</v>
      </c>
      <c r="N1" t="s">
        <v>7142</v>
      </c>
      <c r="O1" t="s">
        <v>3451</v>
      </c>
      <c r="P1" t="s">
        <v>7143</v>
      </c>
      <c r="Q1" t="s">
        <v>3769</v>
      </c>
    </row>
    <row r="2" spans="1:17" ht="15" customHeight="1" x14ac:dyDescent="0.25">
      <c r="A2" t="s">
        <v>7105</v>
      </c>
      <c r="B2" t="s">
        <v>7144</v>
      </c>
      <c r="C2" t="s">
        <v>4434</v>
      </c>
      <c r="D2">
        <v>2</v>
      </c>
      <c r="E2" t="s">
        <v>2155</v>
      </c>
      <c r="G2">
        <v>20</v>
      </c>
      <c r="H2">
        <v>24</v>
      </c>
      <c r="I2">
        <v>0</v>
      </c>
      <c r="J2" t="s">
        <v>7145</v>
      </c>
      <c r="K2" t="s">
        <v>7146</v>
      </c>
      <c r="M2">
        <v>1</v>
      </c>
      <c r="N2">
        <v>3</v>
      </c>
      <c r="O2" t="s">
        <v>7147</v>
      </c>
      <c r="P2" t="s">
        <v>7148</v>
      </c>
    </row>
    <row r="3" spans="1:17" ht="15" customHeight="1" x14ac:dyDescent="0.25">
      <c r="A3" t="s">
        <v>7149</v>
      </c>
      <c r="B3" t="s">
        <v>7150</v>
      </c>
      <c r="C3" t="s">
        <v>4438</v>
      </c>
      <c r="D3">
        <v>2</v>
      </c>
      <c r="E3" t="s">
        <v>2155</v>
      </c>
      <c r="F3" t="s">
        <v>5019</v>
      </c>
      <c r="G3">
        <v>12</v>
      </c>
      <c r="H3">
        <v>18</v>
      </c>
      <c r="I3">
        <v>4</v>
      </c>
      <c r="J3" t="s">
        <v>7151</v>
      </c>
      <c r="K3" t="s">
        <v>7152</v>
      </c>
      <c r="M3">
        <v>2</v>
      </c>
      <c r="N3">
        <v>3</v>
      </c>
      <c r="O3" t="s">
        <v>7153</v>
      </c>
      <c r="P3" t="s">
        <v>7154</v>
      </c>
    </row>
    <row r="4" spans="1:17" ht="15" customHeight="1" x14ac:dyDescent="0.25">
      <c r="A4" t="s">
        <v>7155</v>
      </c>
      <c r="B4" t="s">
        <v>7156</v>
      </c>
      <c r="C4" t="s">
        <v>4434</v>
      </c>
      <c r="D4">
        <v>1</v>
      </c>
      <c r="E4" t="s">
        <v>1796</v>
      </c>
      <c r="F4" t="s">
        <v>7157</v>
      </c>
      <c r="G4">
        <v>5</v>
      </c>
      <c r="H4">
        <v>5</v>
      </c>
      <c r="I4">
        <v>4</v>
      </c>
      <c r="J4" t="s">
        <v>7151</v>
      </c>
      <c r="K4" t="s">
        <v>7158</v>
      </c>
      <c r="L4" t="s">
        <v>7155</v>
      </c>
      <c r="M4">
        <v>1</v>
      </c>
      <c r="N4">
        <v>4</v>
      </c>
      <c r="O4" t="s">
        <v>7159</v>
      </c>
      <c r="P4" t="s">
        <v>7160</v>
      </c>
    </row>
    <row r="5" spans="1:17" ht="15" customHeight="1" x14ac:dyDescent="0.25">
      <c r="A5" t="s">
        <v>7161</v>
      </c>
      <c r="B5" t="s">
        <v>5019</v>
      </c>
      <c r="C5" t="s">
        <v>4434</v>
      </c>
      <c r="D5">
        <v>1</v>
      </c>
      <c r="E5" t="s">
        <v>2155</v>
      </c>
      <c r="F5" t="s">
        <v>5019</v>
      </c>
      <c r="G5">
        <v>8</v>
      </c>
      <c r="H5">
        <v>11</v>
      </c>
      <c r="I5">
        <v>4</v>
      </c>
      <c r="J5" t="s">
        <v>7162</v>
      </c>
      <c r="K5" t="s">
        <v>7163</v>
      </c>
      <c r="M5">
        <v>1</v>
      </c>
      <c r="N5">
        <v>4</v>
      </c>
      <c r="O5" t="s">
        <v>7164</v>
      </c>
      <c r="P5" t="s">
        <v>7165</v>
      </c>
    </row>
    <row r="6" spans="1:17" ht="15" customHeight="1" x14ac:dyDescent="0.25">
      <c r="A6" t="s">
        <v>7110</v>
      </c>
      <c r="B6" t="s">
        <v>7166</v>
      </c>
      <c r="C6" t="s">
        <v>4438</v>
      </c>
      <c r="D6">
        <v>5</v>
      </c>
      <c r="E6" t="s">
        <v>2155</v>
      </c>
      <c r="G6">
        <v>60</v>
      </c>
      <c r="H6">
        <v>66</v>
      </c>
      <c r="I6">
        <v>-4</v>
      </c>
      <c r="J6" t="s">
        <v>7167</v>
      </c>
      <c r="K6" t="s">
        <v>7168</v>
      </c>
      <c r="M6">
        <v>4</v>
      </c>
      <c r="N6">
        <v>1</v>
      </c>
      <c r="O6" t="s">
        <v>7169</v>
      </c>
      <c r="P6" t="s">
        <v>7170</v>
      </c>
      <c r="Q6" t="s">
        <v>7171</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7172</v>
      </c>
      <c r="C1" t="s">
        <v>7173</v>
      </c>
      <c r="D1" t="s">
        <v>7174</v>
      </c>
      <c r="E1" t="s">
        <v>7175</v>
      </c>
      <c r="F1" t="s">
        <v>7176</v>
      </c>
      <c r="G1" t="s">
        <v>7177</v>
      </c>
      <c r="H1" t="s">
        <v>7178</v>
      </c>
      <c r="I1" t="s">
        <v>1</v>
      </c>
    </row>
    <row r="2" spans="1:9" ht="15" customHeight="1" x14ac:dyDescent="0.25">
      <c r="A2" t="s">
        <v>5939</v>
      </c>
      <c r="B2">
        <v>6</v>
      </c>
      <c r="C2" t="s">
        <v>7179</v>
      </c>
      <c r="D2" t="s">
        <v>7180</v>
      </c>
      <c r="E2" t="s">
        <v>7181</v>
      </c>
      <c r="F2" t="s">
        <v>7181</v>
      </c>
      <c r="G2" t="s">
        <v>7179</v>
      </c>
      <c r="H2" t="s">
        <v>7180</v>
      </c>
      <c r="I2" t="s">
        <v>2362</v>
      </c>
    </row>
    <row r="3" spans="1:9" ht="15" customHeight="1" x14ac:dyDescent="0.25">
      <c r="A3" t="s">
        <v>5962</v>
      </c>
      <c r="B3">
        <v>6</v>
      </c>
      <c r="C3" t="s">
        <v>7182</v>
      </c>
      <c r="D3" t="s">
        <v>7183</v>
      </c>
      <c r="E3" t="s">
        <v>7184</v>
      </c>
      <c r="F3" t="s">
        <v>7184</v>
      </c>
      <c r="G3" t="s">
        <v>7185</v>
      </c>
      <c r="H3" t="s">
        <v>4287</v>
      </c>
      <c r="I3" t="s">
        <v>2362</v>
      </c>
    </row>
    <row r="4" spans="1:9" ht="15" customHeight="1" x14ac:dyDescent="0.25">
      <c r="A4" t="s">
        <v>5989</v>
      </c>
      <c r="B4">
        <v>6</v>
      </c>
      <c r="C4" t="s">
        <v>7186</v>
      </c>
      <c r="D4" t="s">
        <v>7187</v>
      </c>
      <c r="E4" t="s">
        <v>7188</v>
      </c>
      <c r="F4" t="s">
        <v>7188</v>
      </c>
      <c r="G4" t="s">
        <v>7189</v>
      </c>
      <c r="H4" t="s">
        <v>6017</v>
      </c>
      <c r="I4" t="s">
        <v>2362</v>
      </c>
    </row>
    <row r="5" spans="1:9" ht="15" customHeight="1" x14ac:dyDescent="0.25">
      <c r="A5" t="s">
        <v>6030</v>
      </c>
      <c r="B5">
        <v>6</v>
      </c>
      <c r="C5" t="s">
        <v>7190</v>
      </c>
      <c r="D5" t="s">
        <v>7191</v>
      </c>
      <c r="E5" t="s">
        <v>7192</v>
      </c>
      <c r="F5" t="s">
        <v>7192</v>
      </c>
      <c r="G5" t="s">
        <v>7193</v>
      </c>
      <c r="H5" t="s">
        <v>6017</v>
      </c>
      <c r="I5" t="s">
        <v>2362</v>
      </c>
    </row>
    <row r="6" spans="1:9" ht="15" customHeight="1" x14ac:dyDescent="0.25">
      <c r="A6" t="s">
        <v>6076</v>
      </c>
      <c r="B6">
        <v>6</v>
      </c>
      <c r="C6" t="s">
        <v>7194</v>
      </c>
      <c r="D6" t="s">
        <v>7194</v>
      </c>
      <c r="E6" t="s">
        <v>7188</v>
      </c>
      <c r="F6" t="s">
        <v>7188</v>
      </c>
      <c r="G6" t="s">
        <v>7189</v>
      </c>
      <c r="H6" t="s">
        <v>7189</v>
      </c>
      <c r="I6" t="s">
        <v>2362</v>
      </c>
    </row>
    <row r="7" spans="1:9" ht="15" customHeight="1" x14ac:dyDescent="0.25">
      <c r="A7" t="s">
        <v>6099</v>
      </c>
      <c r="B7">
        <v>6</v>
      </c>
      <c r="C7" t="s">
        <v>7195</v>
      </c>
      <c r="D7" t="s">
        <v>7183</v>
      </c>
      <c r="E7" t="s">
        <v>6017</v>
      </c>
      <c r="F7" t="s">
        <v>6017</v>
      </c>
      <c r="G7" t="s">
        <v>7196</v>
      </c>
      <c r="H7" t="s">
        <v>6017</v>
      </c>
      <c r="I7" t="s">
        <v>2362</v>
      </c>
    </row>
    <row r="8" spans="1:9" ht="15" customHeight="1" x14ac:dyDescent="0.25">
      <c r="A8" t="s">
        <v>6104</v>
      </c>
      <c r="B8">
        <v>6</v>
      </c>
      <c r="C8" t="s">
        <v>7197</v>
      </c>
      <c r="D8" t="s">
        <v>7198</v>
      </c>
      <c r="E8" t="s">
        <v>7199</v>
      </c>
      <c r="F8" t="s">
        <v>7199</v>
      </c>
      <c r="G8" t="s">
        <v>7187</v>
      </c>
      <c r="H8" t="s">
        <v>6017</v>
      </c>
      <c r="I8" t="s">
        <v>2362</v>
      </c>
    </row>
    <row r="9" spans="1:9" ht="15" customHeight="1" x14ac:dyDescent="0.25">
      <c r="A9" t="s">
        <v>6123</v>
      </c>
      <c r="B9">
        <v>6</v>
      </c>
      <c r="C9" t="s">
        <v>7192</v>
      </c>
      <c r="D9" t="s">
        <v>7200</v>
      </c>
      <c r="E9" t="s">
        <v>7201</v>
      </c>
      <c r="F9" t="s">
        <v>7201</v>
      </c>
      <c r="G9" t="s">
        <v>7200</v>
      </c>
      <c r="H9" t="s">
        <v>6017</v>
      </c>
      <c r="I9" t="s">
        <v>2362</v>
      </c>
    </row>
    <row r="10" spans="1:9" ht="15" customHeight="1" x14ac:dyDescent="0.25">
      <c r="A10" t="s">
        <v>5758</v>
      </c>
      <c r="B10">
        <v>6</v>
      </c>
      <c r="C10" t="s">
        <v>7202</v>
      </c>
      <c r="D10" t="s">
        <v>7203</v>
      </c>
      <c r="E10" t="s">
        <v>7204</v>
      </c>
      <c r="F10" t="s">
        <v>7205</v>
      </c>
      <c r="G10" t="s">
        <v>7206</v>
      </c>
      <c r="H10" t="s">
        <v>7207</v>
      </c>
      <c r="I10" t="s">
        <v>160</v>
      </c>
    </row>
    <row r="11" spans="1:9" ht="15" customHeight="1" x14ac:dyDescent="0.25">
      <c r="A11" t="s">
        <v>6169</v>
      </c>
      <c r="B11">
        <v>6</v>
      </c>
      <c r="C11" t="s">
        <v>7182</v>
      </c>
      <c r="D11" t="s">
        <v>7208</v>
      </c>
      <c r="E11" t="s">
        <v>7209</v>
      </c>
      <c r="F11" t="s">
        <v>7209</v>
      </c>
      <c r="G11" t="s">
        <v>7210</v>
      </c>
      <c r="H11" t="s">
        <v>6017</v>
      </c>
      <c r="I11" t="s">
        <v>2362</v>
      </c>
    </row>
    <row r="12" spans="1:9" ht="15" customHeight="1" x14ac:dyDescent="0.25">
      <c r="A12" t="s">
        <v>6176</v>
      </c>
      <c r="B12">
        <v>6</v>
      </c>
      <c r="C12" t="s">
        <v>7211</v>
      </c>
      <c r="D12" t="s">
        <v>7211</v>
      </c>
      <c r="E12" t="s">
        <v>7179</v>
      </c>
      <c r="F12" t="s">
        <v>7179</v>
      </c>
      <c r="G12" t="s">
        <v>7180</v>
      </c>
      <c r="H12" t="s">
        <v>6017</v>
      </c>
      <c r="I12" t="s">
        <v>2362</v>
      </c>
    </row>
    <row r="13" spans="1:9" ht="15" customHeight="1" x14ac:dyDescent="0.25">
      <c r="A13" t="s">
        <v>6177</v>
      </c>
      <c r="B13">
        <v>6</v>
      </c>
      <c r="C13" t="s">
        <v>7183</v>
      </c>
      <c r="D13" t="s">
        <v>5723</v>
      </c>
      <c r="E13" t="s">
        <v>6017</v>
      </c>
      <c r="F13" t="s">
        <v>6017</v>
      </c>
      <c r="G13" t="s">
        <v>6017</v>
      </c>
      <c r="H13" t="s">
        <v>6017</v>
      </c>
      <c r="I13" t="s">
        <v>2362</v>
      </c>
    </row>
    <row r="14" spans="1:9" ht="15" customHeight="1" x14ac:dyDescent="0.25">
      <c r="A14" t="s">
        <v>6196</v>
      </c>
      <c r="B14">
        <v>6</v>
      </c>
      <c r="C14" t="s">
        <v>7192</v>
      </c>
      <c r="D14" t="s">
        <v>7192</v>
      </c>
      <c r="E14" t="s">
        <v>7200</v>
      </c>
      <c r="F14" t="s">
        <v>7200</v>
      </c>
      <c r="G14" t="s">
        <v>6017</v>
      </c>
      <c r="H14" t="s">
        <v>6017</v>
      </c>
      <c r="I14" t="s">
        <v>2362</v>
      </c>
    </row>
    <row r="15" spans="1:9" ht="15" customHeight="1" x14ac:dyDescent="0.25">
      <c r="A15" t="s">
        <v>6213</v>
      </c>
      <c r="B15">
        <v>6</v>
      </c>
      <c r="C15" t="s">
        <v>7212</v>
      </c>
      <c r="D15" t="s">
        <v>7213</v>
      </c>
      <c r="E15" t="s">
        <v>7213</v>
      </c>
      <c r="F15" t="s">
        <v>7213</v>
      </c>
      <c r="G15" t="s">
        <v>7200</v>
      </c>
      <c r="H15" t="s">
        <v>6017</v>
      </c>
      <c r="I15" t="s">
        <v>2362</v>
      </c>
    </row>
    <row r="16" spans="1:9" ht="15" customHeight="1" x14ac:dyDescent="0.25">
      <c r="A16" t="s">
        <v>6282</v>
      </c>
      <c r="B16">
        <v>6</v>
      </c>
      <c r="C16" t="s">
        <v>7214</v>
      </c>
      <c r="D16" t="s">
        <v>7215</v>
      </c>
      <c r="E16" t="s">
        <v>7215</v>
      </c>
      <c r="F16" t="s">
        <v>7215</v>
      </c>
      <c r="G16" t="s">
        <v>7216</v>
      </c>
      <c r="H16" t="s">
        <v>6017</v>
      </c>
      <c r="I16" t="s">
        <v>2362</v>
      </c>
    </row>
    <row r="17" spans="1:9" ht="15" customHeight="1" x14ac:dyDescent="0.25">
      <c r="A17" t="s">
        <v>6359</v>
      </c>
      <c r="B17">
        <v>6</v>
      </c>
      <c r="C17" t="s">
        <v>7184</v>
      </c>
      <c r="D17" t="s">
        <v>7184</v>
      </c>
      <c r="E17" t="s">
        <v>7194</v>
      </c>
      <c r="F17" t="s">
        <v>7194</v>
      </c>
      <c r="G17" t="s">
        <v>7187</v>
      </c>
      <c r="H17" t="s">
        <v>7187</v>
      </c>
      <c r="I17" t="s">
        <v>2362</v>
      </c>
    </row>
    <row r="18" spans="1:9" ht="15" customHeight="1" x14ac:dyDescent="0.25">
      <c r="A18" t="s">
        <v>6416</v>
      </c>
      <c r="B18">
        <v>6</v>
      </c>
      <c r="C18" t="s">
        <v>7183</v>
      </c>
      <c r="D18" t="s">
        <v>7183</v>
      </c>
      <c r="E18" t="s">
        <v>7184</v>
      </c>
      <c r="F18" t="s">
        <v>7184</v>
      </c>
      <c r="G18" t="s">
        <v>7186</v>
      </c>
      <c r="H18" t="s">
        <v>7186</v>
      </c>
      <c r="I18" t="s">
        <v>2362</v>
      </c>
    </row>
    <row r="19" spans="1:9" ht="15" customHeight="1" x14ac:dyDescent="0.25">
      <c r="A19" t="s">
        <v>6420</v>
      </c>
      <c r="B19">
        <v>6</v>
      </c>
      <c r="C19" t="s">
        <v>5723</v>
      </c>
      <c r="D19" t="s">
        <v>7186</v>
      </c>
      <c r="E19" t="s">
        <v>7194</v>
      </c>
      <c r="F19" t="s">
        <v>7194</v>
      </c>
      <c r="G19" t="s">
        <v>7187</v>
      </c>
      <c r="H19" t="s">
        <v>7189</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7217</v>
      </c>
      <c r="D1" t="s">
        <v>171</v>
      </c>
      <c r="E1" t="s">
        <v>7218</v>
      </c>
    </row>
    <row r="2" spans="1:5" ht="15" customHeight="1" x14ac:dyDescent="0.25">
      <c r="A2" t="s">
        <v>7219</v>
      </c>
      <c r="B2">
        <v>2022</v>
      </c>
      <c r="C2" t="s">
        <v>2620</v>
      </c>
      <c r="D2" t="s">
        <v>7220</v>
      </c>
    </row>
    <row r="3" spans="1:5" ht="15" customHeight="1" x14ac:dyDescent="0.25">
      <c r="A3" t="s">
        <v>7221</v>
      </c>
      <c r="B3">
        <v>2022</v>
      </c>
      <c r="C3" t="s">
        <v>90</v>
      </c>
      <c r="D3" t="s">
        <v>7222</v>
      </c>
    </row>
    <row r="4" spans="1:5" ht="15" customHeight="1" x14ac:dyDescent="0.25">
      <c r="A4" t="s">
        <v>7223</v>
      </c>
      <c r="B4">
        <v>2024</v>
      </c>
      <c r="C4" t="s">
        <v>353</v>
      </c>
      <c r="D4" t="s">
        <v>7224</v>
      </c>
    </row>
    <row r="5" spans="1:5" ht="15" customHeight="1" x14ac:dyDescent="0.25">
      <c r="A5" t="s">
        <v>7225</v>
      </c>
      <c r="B5">
        <v>2020</v>
      </c>
      <c r="C5" t="s">
        <v>2133</v>
      </c>
      <c r="D5" t="s">
        <v>7226</v>
      </c>
    </row>
    <row r="6" spans="1:5" ht="15" customHeight="1" x14ac:dyDescent="0.25">
      <c r="A6" t="s">
        <v>7227</v>
      </c>
      <c r="B6">
        <v>2021</v>
      </c>
      <c r="C6" t="s">
        <v>2137</v>
      </c>
      <c r="D6" t="s">
        <v>7228</v>
      </c>
    </row>
    <row r="7" spans="1:5" ht="15" customHeight="1" x14ac:dyDescent="0.25">
      <c r="A7" t="s">
        <v>7229</v>
      </c>
      <c r="B7">
        <v>2024</v>
      </c>
      <c r="C7" t="s">
        <v>353</v>
      </c>
      <c r="D7" t="s">
        <v>7230</v>
      </c>
    </row>
    <row r="8" spans="1:5" x14ac:dyDescent="0.25">
      <c r="A8" t="s">
        <v>7231</v>
      </c>
      <c r="B8">
        <v>2024</v>
      </c>
      <c r="C8" t="s">
        <v>353</v>
      </c>
      <c r="E8" s="11" t="s">
        <v>7232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7233</v>
      </c>
      <c r="B2" t="s">
        <v>7234</v>
      </c>
      <c r="C2" t="s">
        <v>4074</v>
      </c>
    </row>
    <row r="3" spans="1:3" ht="15" customHeight="1" x14ac:dyDescent="0.25">
      <c r="A3" t="s">
        <v>7235</v>
      </c>
      <c r="B3" t="s">
        <v>7236</v>
      </c>
      <c r="C3" t="s">
        <v>4074</v>
      </c>
    </row>
    <row r="4" spans="1:3" ht="15" customHeight="1" x14ac:dyDescent="0.25">
      <c r="A4" t="s">
        <v>4458</v>
      </c>
      <c r="B4" t="s">
        <v>7237</v>
      </c>
      <c r="C4" t="s">
        <v>4091</v>
      </c>
    </row>
    <row r="5" spans="1:3" ht="15" customHeight="1" x14ac:dyDescent="0.25">
      <c r="A5" t="s">
        <v>4043</v>
      </c>
      <c r="B5" t="s">
        <v>7238</v>
      </c>
      <c r="C5" t="s">
        <v>4074</v>
      </c>
    </row>
    <row r="6" spans="1:3" ht="15" customHeight="1" x14ac:dyDescent="0.25">
      <c r="A6" t="s">
        <v>7239</v>
      </c>
      <c r="B6" t="s">
        <v>7240</v>
      </c>
      <c r="C6" t="s">
        <v>4091</v>
      </c>
    </row>
    <row r="7" spans="1:3" ht="15" customHeight="1" x14ac:dyDescent="0.25">
      <c r="A7" t="s">
        <v>7241</v>
      </c>
      <c r="B7" t="s">
        <v>7242</v>
      </c>
      <c r="C7" t="s">
        <v>4074</v>
      </c>
    </row>
    <row r="8" spans="1:3" ht="15" customHeight="1" x14ac:dyDescent="0.25">
      <c r="A8" t="s">
        <v>7243</v>
      </c>
      <c r="B8" t="s">
        <v>7244</v>
      </c>
      <c r="C8" t="s">
        <v>4074</v>
      </c>
    </row>
    <row r="9" spans="1:3" ht="15" customHeight="1" x14ac:dyDescent="0.25">
      <c r="A9" t="s">
        <v>7245</v>
      </c>
      <c r="B9" t="s">
        <v>7246</v>
      </c>
      <c r="C9" t="s">
        <v>4074</v>
      </c>
    </row>
    <row r="10" spans="1:3" ht="15" customHeight="1" x14ac:dyDescent="0.25">
      <c r="A10" t="s">
        <v>7247</v>
      </c>
      <c r="B10" t="s">
        <v>7248</v>
      </c>
      <c r="C10" t="s">
        <v>4104</v>
      </c>
    </row>
    <row r="11" spans="1:3" ht="15" customHeight="1" x14ac:dyDescent="0.25">
      <c r="A11" t="s">
        <v>7249</v>
      </c>
      <c r="B11" t="s">
        <v>7250</v>
      </c>
      <c r="C11" t="s">
        <v>4074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7251</v>
      </c>
      <c r="C1" t="s">
        <v>4668</v>
      </c>
      <c r="D1" t="s">
        <v>7252</v>
      </c>
      <c r="E1" t="s">
        <v>3462</v>
      </c>
      <c r="F1" t="s">
        <v>167</v>
      </c>
    </row>
    <row r="2" spans="1:6" ht="15" customHeight="1" x14ac:dyDescent="0.25">
      <c r="A2" t="s">
        <v>7253</v>
      </c>
      <c r="B2" t="s">
        <v>5094</v>
      </c>
      <c r="C2" t="s">
        <v>4434</v>
      </c>
      <c r="D2" t="s">
        <v>7254</v>
      </c>
      <c r="E2" t="s">
        <v>7255</v>
      </c>
      <c r="F2" t="s">
        <v>7256</v>
      </c>
    </row>
    <row r="3" spans="1:6" ht="15" customHeight="1" x14ac:dyDescent="0.25">
      <c r="A3" t="s">
        <v>7257</v>
      </c>
      <c r="B3" t="s">
        <v>5094</v>
      </c>
      <c r="C3" t="s">
        <v>4438</v>
      </c>
      <c r="D3" t="s">
        <v>7254</v>
      </c>
      <c r="E3" t="s">
        <v>7258</v>
      </c>
      <c r="F3" t="s">
        <v>7256</v>
      </c>
    </row>
    <row r="4" spans="1:6" ht="15" customHeight="1" x14ac:dyDescent="0.25">
      <c r="A4" t="s">
        <v>7259</v>
      </c>
      <c r="B4" t="s">
        <v>5094</v>
      </c>
      <c r="C4" t="s">
        <v>5097</v>
      </c>
      <c r="D4" t="s">
        <v>7254</v>
      </c>
      <c r="E4" t="s">
        <v>7260</v>
      </c>
      <c r="F4" t="s">
        <v>7256</v>
      </c>
    </row>
    <row r="5" spans="1:6" ht="15" customHeight="1" x14ac:dyDescent="0.25">
      <c r="A5" t="s">
        <v>7261</v>
      </c>
      <c r="B5" t="s">
        <v>5094</v>
      </c>
      <c r="C5" t="s">
        <v>4434</v>
      </c>
      <c r="D5" t="s">
        <v>7254</v>
      </c>
      <c r="E5" t="s">
        <v>7262</v>
      </c>
      <c r="F5" t="s">
        <v>7256</v>
      </c>
    </row>
    <row r="6" spans="1:6" ht="15" customHeight="1" x14ac:dyDescent="0.25">
      <c r="A6" t="s">
        <v>7263</v>
      </c>
      <c r="B6" t="s">
        <v>5094</v>
      </c>
      <c r="C6" t="s">
        <v>4438</v>
      </c>
      <c r="D6" t="s">
        <v>7254</v>
      </c>
      <c r="E6" t="s">
        <v>7264</v>
      </c>
      <c r="F6" t="s">
        <v>7256</v>
      </c>
    </row>
    <row r="7" spans="1:6" ht="15" customHeight="1" x14ac:dyDescent="0.25">
      <c r="A7" t="s">
        <v>7265</v>
      </c>
      <c r="B7" t="s">
        <v>5094</v>
      </c>
      <c r="C7" t="s">
        <v>5097</v>
      </c>
      <c r="D7" t="s">
        <v>7254</v>
      </c>
      <c r="E7" t="s">
        <v>7266</v>
      </c>
      <c r="F7" t="s">
        <v>7256</v>
      </c>
    </row>
    <row r="8" spans="1:6" ht="15" customHeight="1" x14ac:dyDescent="0.25">
      <c r="A8" t="s">
        <v>7267</v>
      </c>
      <c r="B8" t="s">
        <v>5094</v>
      </c>
      <c r="C8" t="s">
        <v>4434</v>
      </c>
      <c r="D8" t="s">
        <v>7268</v>
      </c>
      <c r="E8" t="s">
        <v>7269</v>
      </c>
      <c r="F8" t="s">
        <v>7256</v>
      </c>
    </row>
    <row r="9" spans="1:6" ht="15" customHeight="1" x14ac:dyDescent="0.25">
      <c r="A9" t="s">
        <v>7270</v>
      </c>
      <c r="B9" t="s">
        <v>5094</v>
      </c>
      <c r="C9" t="s">
        <v>4438</v>
      </c>
      <c r="D9" t="s">
        <v>7254</v>
      </c>
      <c r="E9" t="s">
        <v>7269</v>
      </c>
      <c r="F9" t="s">
        <v>7256</v>
      </c>
    </row>
    <row r="10" spans="1:6" ht="15" customHeight="1" x14ac:dyDescent="0.25">
      <c r="A10" t="s">
        <v>7271</v>
      </c>
      <c r="B10" t="s">
        <v>5094</v>
      </c>
      <c r="C10" t="s">
        <v>5097</v>
      </c>
      <c r="D10" t="s">
        <v>7272</v>
      </c>
      <c r="E10" t="s">
        <v>7269</v>
      </c>
      <c r="F10" t="s">
        <v>7256</v>
      </c>
    </row>
    <row r="11" spans="1:6" ht="15" customHeight="1" x14ac:dyDescent="0.25">
      <c r="A11" t="s">
        <v>7273</v>
      </c>
      <c r="B11" t="s">
        <v>4053</v>
      </c>
      <c r="C11" t="s">
        <v>4434</v>
      </c>
      <c r="D11" t="s">
        <v>7268</v>
      </c>
      <c r="E11" t="s">
        <v>7274</v>
      </c>
      <c r="F11" t="s">
        <v>7256</v>
      </c>
    </row>
    <row r="12" spans="1:6" ht="15" customHeight="1" x14ac:dyDescent="0.25">
      <c r="A12" t="s">
        <v>7275</v>
      </c>
      <c r="B12" t="s">
        <v>4053</v>
      </c>
      <c r="C12" t="s">
        <v>4438</v>
      </c>
      <c r="D12" t="s">
        <v>7268</v>
      </c>
      <c r="E12" t="s">
        <v>7276</v>
      </c>
      <c r="F12" t="s">
        <v>7256</v>
      </c>
    </row>
    <row r="13" spans="1:6" ht="15" customHeight="1" x14ac:dyDescent="0.25">
      <c r="A13" t="s">
        <v>7277</v>
      </c>
      <c r="B13" t="s">
        <v>4053</v>
      </c>
      <c r="C13" t="s">
        <v>5097</v>
      </c>
      <c r="D13" t="s">
        <v>7268</v>
      </c>
      <c r="E13" t="s">
        <v>7278</v>
      </c>
      <c r="F13" t="s">
        <v>7256</v>
      </c>
    </row>
    <row r="14" spans="1:6" ht="15" customHeight="1" x14ac:dyDescent="0.25">
      <c r="A14" t="s">
        <v>7279</v>
      </c>
      <c r="B14" t="s">
        <v>6939</v>
      </c>
      <c r="C14" t="s">
        <v>4434</v>
      </c>
      <c r="D14" t="s">
        <v>7280</v>
      </c>
      <c r="E14" t="s">
        <v>7281</v>
      </c>
      <c r="F14" t="s">
        <v>3866</v>
      </c>
    </row>
    <row r="15" spans="1:6" ht="15" customHeight="1" x14ac:dyDescent="0.25">
      <c r="A15" t="s">
        <v>7282</v>
      </c>
      <c r="B15" t="s">
        <v>6939</v>
      </c>
      <c r="C15" t="s">
        <v>4438</v>
      </c>
      <c r="D15" t="s">
        <v>7283</v>
      </c>
      <c r="E15" t="s">
        <v>7281</v>
      </c>
      <c r="F15" t="s">
        <v>3866</v>
      </c>
    </row>
    <row r="16" spans="1:6" ht="15" customHeight="1" x14ac:dyDescent="0.25">
      <c r="A16" t="s">
        <v>7284</v>
      </c>
      <c r="B16" t="s">
        <v>6939</v>
      </c>
      <c r="C16" t="s">
        <v>5097</v>
      </c>
      <c r="D16" t="s">
        <v>7285</v>
      </c>
      <c r="E16" t="s">
        <v>7281</v>
      </c>
      <c r="F16" t="s">
        <v>3866</v>
      </c>
    </row>
    <row r="17" spans="1:6" ht="15" customHeight="1" x14ac:dyDescent="0.25">
      <c r="A17" t="s">
        <v>7286</v>
      </c>
      <c r="B17" t="s">
        <v>6939</v>
      </c>
      <c r="C17" t="s">
        <v>4434</v>
      </c>
      <c r="D17" t="s">
        <v>7287</v>
      </c>
      <c r="E17" t="s">
        <v>7288</v>
      </c>
      <c r="F17" t="s">
        <v>7289</v>
      </c>
    </row>
    <row r="18" spans="1:6" ht="15" customHeight="1" x14ac:dyDescent="0.25">
      <c r="A18" t="s">
        <v>7290</v>
      </c>
      <c r="B18" t="s">
        <v>6939</v>
      </c>
      <c r="C18" t="s">
        <v>4438</v>
      </c>
      <c r="D18" t="s">
        <v>7287</v>
      </c>
      <c r="E18" t="s">
        <v>7291</v>
      </c>
      <c r="F18" t="s">
        <v>7289</v>
      </c>
    </row>
    <row r="19" spans="1:6" ht="15" customHeight="1" x14ac:dyDescent="0.25">
      <c r="A19" t="s">
        <v>7292</v>
      </c>
      <c r="B19" t="s">
        <v>6939</v>
      </c>
      <c r="C19" t="s">
        <v>5097</v>
      </c>
      <c r="D19" t="s">
        <v>7287</v>
      </c>
      <c r="E19" t="s">
        <v>7293</v>
      </c>
      <c r="F19" t="s">
        <v>7289</v>
      </c>
    </row>
    <row r="20" spans="1:6" ht="15" customHeight="1" x14ac:dyDescent="0.25">
      <c r="A20" t="s">
        <v>7294</v>
      </c>
      <c r="B20" t="s">
        <v>6939</v>
      </c>
      <c r="C20" t="s">
        <v>4434</v>
      </c>
      <c r="D20" t="s">
        <v>7295</v>
      </c>
      <c r="E20" t="s">
        <v>7296</v>
      </c>
      <c r="F20" t="s">
        <v>7289</v>
      </c>
    </row>
    <row r="21" spans="1:6" ht="15" customHeight="1" x14ac:dyDescent="0.25">
      <c r="A21" t="s">
        <v>7297</v>
      </c>
      <c r="B21" t="s">
        <v>6939</v>
      </c>
      <c r="C21" t="s">
        <v>4438</v>
      </c>
      <c r="D21" t="s">
        <v>7298</v>
      </c>
      <c r="E21" t="s">
        <v>7296</v>
      </c>
      <c r="F21" t="s">
        <v>7289</v>
      </c>
    </row>
    <row r="22" spans="1:6" ht="15" customHeight="1" x14ac:dyDescent="0.25">
      <c r="A22" t="s">
        <v>7299</v>
      </c>
      <c r="B22" t="s">
        <v>6939</v>
      </c>
      <c r="C22" t="s">
        <v>5097</v>
      </c>
      <c r="D22" t="s">
        <v>7300</v>
      </c>
      <c r="E22" t="s">
        <v>7296</v>
      </c>
      <c r="F22" t="s">
        <v>7289</v>
      </c>
    </row>
    <row r="23" spans="1:6" ht="15" customHeight="1" x14ac:dyDescent="0.25">
      <c r="A23" t="s">
        <v>7301</v>
      </c>
      <c r="B23" t="s">
        <v>4027</v>
      </c>
      <c r="C23" t="s">
        <v>4434</v>
      </c>
      <c r="D23" t="s">
        <v>7280</v>
      </c>
      <c r="E23" t="s">
        <v>7302</v>
      </c>
      <c r="F23" t="s">
        <v>3866</v>
      </c>
    </row>
    <row r="24" spans="1:6" ht="15" customHeight="1" x14ac:dyDescent="0.25">
      <c r="A24" t="s">
        <v>7303</v>
      </c>
      <c r="B24" t="s">
        <v>4027</v>
      </c>
      <c r="C24" t="s">
        <v>4438</v>
      </c>
      <c r="D24" t="s">
        <v>7280</v>
      </c>
      <c r="E24" t="s">
        <v>7304</v>
      </c>
      <c r="F24" t="s">
        <v>3866</v>
      </c>
    </row>
    <row r="25" spans="1:6" ht="15" customHeight="1" x14ac:dyDescent="0.25">
      <c r="A25" t="s">
        <v>7305</v>
      </c>
      <c r="B25" t="s">
        <v>4027</v>
      </c>
      <c r="C25" t="s">
        <v>5097</v>
      </c>
      <c r="D25" t="s">
        <v>7280</v>
      </c>
      <c r="E25" t="s">
        <v>7306</v>
      </c>
      <c r="F25" t="s">
        <v>3866</v>
      </c>
    </row>
    <row r="26" spans="1:6" ht="15" customHeight="1" x14ac:dyDescent="0.25">
      <c r="A26" t="s">
        <v>7307</v>
      </c>
      <c r="B26" t="s">
        <v>4027</v>
      </c>
      <c r="C26" t="s">
        <v>4434</v>
      </c>
      <c r="D26" t="s">
        <v>7308</v>
      </c>
      <c r="E26" t="s">
        <v>7309</v>
      </c>
      <c r="F26" t="s">
        <v>7289</v>
      </c>
    </row>
    <row r="27" spans="1:6" ht="15" customHeight="1" x14ac:dyDescent="0.25">
      <c r="A27" t="s">
        <v>7310</v>
      </c>
      <c r="B27" t="s">
        <v>4027</v>
      </c>
      <c r="C27" t="s">
        <v>4438</v>
      </c>
      <c r="D27" t="s">
        <v>7311</v>
      </c>
      <c r="E27" t="s">
        <v>7309</v>
      </c>
      <c r="F27" t="s">
        <v>7289</v>
      </c>
    </row>
    <row r="28" spans="1:6" ht="15" customHeight="1" x14ac:dyDescent="0.25">
      <c r="A28" t="s">
        <v>7312</v>
      </c>
      <c r="B28" t="s">
        <v>4027</v>
      </c>
      <c r="C28" t="s">
        <v>5097</v>
      </c>
      <c r="D28" t="s">
        <v>7313</v>
      </c>
      <c r="E28" t="s">
        <v>7309</v>
      </c>
      <c r="F28" t="s">
        <v>7289</v>
      </c>
    </row>
    <row r="29" spans="1:6" ht="15" customHeight="1" x14ac:dyDescent="0.25">
      <c r="A29" t="s">
        <v>7314</v>
      </c>
      <c r="B29" t="s">
        <v>4027</v>
      </c>
      <c r="C29" t="s">
        <v>4434</v>
      </c>
      <c r="D29" t="s">
        <v>7315</v>
      </c>
      <c r="E29" t="s">
        <v>7316</v>
      </c>
      <c r="F29" t="s">
        <v>7289</v>
      </c>
    </row>
    <row r="30" spans="1:6" ht="15" customHeight="1" x14ac:dyDescent="0.25">
      <c r="A30" t="s">
        <v>7317</v>
      </c>
      <c r="B30" t="s">
        <v>4027</v>
      </c>
      <c r="C30" t="s">
        <v>4438</v>
      </c>
      <c r="D30" t="s">
        <v>7318</v>
      </c>
      <c r="E30" t="s">
        <v>7316</v>
      </c>
      <c r="F30" t="s">
        <v>7289</v>
      </c>
    </row>
    <row r="31" spans="1:6" ht="15" customHeight="1" x14ac:dyDescent="0.25">
      <c r="A31" t="s">
        <v>7319</v>
      </c>
      <c r="B31" t="s">
        <v>4027</v>
      </c>
      <c r="C31" t="s">
        <v>5097</v>
      </c>
      <c r="D31" t="s">
        <v>7320</v>
      </c>
      <c r="E31" t="s">
        <v>7316</v>
      </c>
      <c r="F31" t="s">
        <v>7289</v>
      </c>
    </row>
    <row r="32" spans="1:6" ht="15" customHeight="1" x14ac:dyDescent="0.25">
      <c r="A32" t="s">
        <v>7321</v>
      </c>
      <c r="B32" t="s">
        <v>4053</v>
      </c>
      <c r="C32" t="s">
        <v>4434</v>
      </c>
      <c r="D32" t="s">
        <v>7322</v>
      </c>
      <c r="E32" t="s">
        <v>7323</v>
      </c>
      <c r="F32" t="s">
        <v>7289</v>
      </c>
    </row>
    <row r="33" spans="1:6" ht="15" customHeight="1" x14ac:dyDescent="0.25">
      <c r="A33" t="s">
        <v>7324</v>
      </c>
      <c r="B33" t="s">
        <v>4053</v>
      </c>
      <c r="C33" t="s">
        <v>4438</v>
      </c>
      <c r="D33" t="s">
        <v>7322</v>
      </c>
      <c r="E33" t="s">
        <v>7323</v>
      </c>
      <c r="F33" t="s">
        <v>7289</v>
      </c>
    </row>
    <row r="34" spans="1:6" ht="15" customHeight="1" x14ac:dyDescent="0.25">
      <c r="A34" t="s">
        <v>7325</v>
      </c>
      <c r="B34" t="s">
        <v>4053</v>
      </c>
      <c r="C34" t="s">
        <v>5097</v>
      </c>
      <c r="D34" t="s">
        <v>7322</v>
      </c>
      <c r="E34" t="s">
        <v>7323</v>
      </c>
      <c r="F34" t="s">
        <v>7289</v>
      </c>
    </row>
    <row r="35" spans="1:6" ht="15" customHeight="1" x14ac:dyDescent="0.25">
      <c r="A35" t="s">
        <v>7326</v>
      </c>
      <c r="B35" t="s">
        <v>5094</v>
      </c>
      <c r="C35" t="s">
        <v>4434</v>
      </c>
      <c r="D35" t="s">
        <v>7268</v>
      </c>
      <c r="E35" t="s">
        <v>7327</v>
      </c>
      <c r="F35" t="s">
        <v>7256</v>
      </c>
    </row>
    <row r="36" spans="1:6" ht="15" customHeight="1" x14ac:dyDescent="0.25">
      <c r="A36" t="s">
        <v>7328</v>
      </c>
      <c r="B36" t="s">
        <v>5094</v>
      </c>
      <c r="C36" t="s">
        <v>4438</v>
      </c>
      <c r="D36" t="s">
        <v>7254</v>
      </c>
      <c r="E36" t="s">
        <v>7327</v>
      </c>
      <c r="F36" t="s">
        <v>7256</v>
      </c>
    </row>
    <row r="37" spans="1:6" ht="15" customHeight="1" x14ac:dyDescent="0.25">
      <c r="A37" t="s">
        <v>7329</v>
      </c>
      <c r="B37" t="s">
        <v>5094</v>
      </c>
      <c r="C37" t="s">
        <v>5097</v>
      </c>
      <c r="D37" t="s">
        <v>7272</v>
      </c>
      <c r="E37" t="s">
        <v>7327</v>
      </c>
      <c r="F37" t="s">
        <v>7256</v>
      </c>
    </row>
    <row r="38" spans="1:6" ht="15" customHeight="1" x14ac:dyDescent="0.25">
      <c r="A38" t="s">
        <v>7330</v>
      </c>
      <c r="B38" t="s">
        <v>4053</v>
      </c>
      <c r="C38" t="s">
        <v>4434</v>
      </c>
      <c r="D38" t="s">
        <v>7268</v>
      </c>
      <c r="E38" t="s">
        <v>7331</v>
      </c>
      <c r="F38" t="s">
        <v>7256</v>
      </c>
    </row>
    <row r="39" spans="1:6" ht="15" customHeight="1" x14ac:dyDescent="0.25">
      <c r="A39" t="s">
        <v>7332</v>
      </c>
      <c r="B39" t="s">
        <v>4053</v>
      </c>
      <c r="C39" t="s">
        <v>4438</v>
      </c>
      <c r="D39" t="s">
        <v>7254</v>
      </c>
      <c r="E39" t="s">
        <v>7331</v>
      </c>
      <c r="F39" t="s">
        <v>7256</v>
      </c>
    </row>
    <row r="40" spans="1:6" ht="15" customHeight="1" x14ac:dyDescent="0.25">
      <c r="A40" t="s">
        <v>7333</v>
      </c>
      <c r="B40" t="s">
        <v>4053</v>
      </c>
      <c r="C40" t="s">
        <v>5097</v>
      </c>
      <c r="D40" t="s">
        <v>7272</v>
      </c>
      <c r="E40" t="s">
        <v>7331</v>
      </c>
      <c r="F40" t="s">
        <v>7256</v>
      </c>
    </row>
    <row r="41" spans="1:6" ht="15" customHeight="1" x14ac:dyDescent="0.25">
      <c r="A41" t="s">
        <v>7334</v>
      </c>
      <c r="B41" t="s">
        <v>5094</v>
      </c>
      <c r="C41" t="s">
        <v>4434</v>
      </c>
      <c r="D41" t="s">
        <v>7272</v>
      </c>
      <c r="E41" t="s">
        <v>7335</v>
      </c>
      <c r="F41" t="s">
        <v>7256</v>
      </c>
    </row>
    <row r="42" spans="1:6" ht="15" customHeight="1" x14ac:dyDescent="0.25">
      <c r="A42" t="s">
        <v>7336</v>
      </c>
      <c r="B42" t="s">
        <v>5094</v>
      </c>
      <c r="C42" t="s">
        <v>4438</v>
      </c>
      <c r="D42" t="s">
        <v>7272</v>
      </c>
      <c r="E42" t="s">
        <v>7337</v>
      </c>
      <c r="F42" t="s">
        <v>7256</v>
      </c>
    </row>
    <row r="43" spans="1:6" ht="15" customHeight="1" x14ac:dyDescent="0.25">
      <c r="A43" t="s">
        <v>7338</v>
      </c>
      <c r="B43" t="s">
        <v>5094</v>
      </c>
      <c r="C43" t="s">
        <v>5097</v>
      </c>
      <c r="D43" t="s">
        <v>7272</v>
      </c>
      <c r="E43" t="s">
        <v>7339</v>
      </c>
      <c r="F43" t="s">
        <v>7256</v>
      </c>
    </row>
    <row r="44" spans="1:6" ht="15" customHeight="1" x14ac:dyDescent="0.25">
      <c r="A44" t="s">
        <v>7340</v>
      </c>
      <c r="B44" t="s">
        <v>6939</v>
      </c>
      <c r="C44" t="s">
        <v>4434</v>
      </c>
      <c r="D44" t="s">
        <v>7268</v>
      </c>
      <c r="E44" t="s">
        <v>7341</v>
      </c>
      <c r="F44" t="s">
        <v>7256</v>
      </c>
    </row>
    <row r="45" spans="1:6" ht="15" customHeight="1" x14ac:dyDescent="0.25">
      <c r="A45" t="s">
        <v>7342</v>
      </c>
      <c r="B45" t="s">
        <v>6939</v>
      </c>
      <c r="C45" t="s">
        <v>4438</v>
      </c>
      <c r="D45" t="s">
        <v>7254</v>
      </c>
      <c r="E45" t="s">
        <v>7341</v>
      </c>
      <c r="F45" t="s">
        <v>7256</v>
      </c>
    </row>
    <row r="46" spans="1:6" ht="15" customHeight="1" x14ac:dyDescent="0.25">
      <c r="A46" t="s">
        <v>7343</v>
      </c>
      <c r="B46" t="s">
        <v>6939</v>
      </c>
      <c r="C46" t="s">
        <v>5097</v>
      </c>
      <c r="D46" t="s">
        <v>7272</v>
      </c>
      <c r="E46" t="s">
        <v>7341</v>
      </c>
      <c r="F46" t="s">
        <v>7256</v>
      </c>
    </row>
    <row r="47" spans="1:6" ht="15" customHeight="1" x14ac:dyDescent="0.25">
      <c r="A47" t="s">
        <v>7344</v>
      </c>
      <c r="B47" t="s">
        <v>4027</v>
      </c>
      <c r="C47" t="s">
        <v>4434</v>
      </c>
      <c r="D47" t="s">
        <v>7315</v>
      </c>
      <c r="E47" t="s">
        <v>7345</v>
      </c>
      <c r="F47" t="s">
        <v>7289</v>
      </c>
    </row>
    <row r="48" spans="1:6" ht="15" customHeight="1" x14ac:dyDescent="0.25">
      <c r="A48" t="s">
        <v>7346</v>
      </c>
      <c r="B48" t="s">
        <v>4027</v>
      </c>
      <c r="C48" t="s">
        <v>4438</v>
      </c>
      <c r="D48" t="s">
        <v>7318</v>
      </c>
      <c r="E48" t="s">
        <v>7347</v>
      </c>
      <c r="F48" t="s">
        <v>7289</v>
      </c>
    </row>
    <row r="49" spans="1:6" ht="15" customHeight="1" x14ac:dyDescent="0.25">
      <c r="A49" t="s">
        <v>7348</v>
      </c>
      <c r="B49" t="s">
        <v>4027</v>
      </c>
      <c r="C49" t="s">
        <v>5097</v>
      </c>
      <c r="D49" t="s">
        <v>7320</v>
      </c>
      <c r="E49" t="s">
        <v>7349</v>
      </c>
      <c r="F49" t="s">
        <v>7289</v>
      </c>
    </row>
    <row r="50" spans="1:6" ht="15" customHeight="1" x14ac:dyDescent="0.25">
      <c r="A50" t="s">
        <v>7350</v>
      </c>
      <c r="B50" t="s">
        <v>4053</v>
      </c>
      <c r="C50" t="s">
        <v>4434</v>
      </c>
      <c r="D50" t="s">
        <v>7268</v>
      </c>
      <c r="E50" t="s">
        <v>7351</v>
      </c>
      <c r="F50" t="s">
        <v>7256</v>
      </c>
    </row>
    <row r="51" spans="1:6" ht="15" customHeight="1" x14ac:dyDescent="0.25">
      <c r="A51" t="s">
        <v>7352</v>
      </c>
      <c r="B51" t="s">
        <v>4053</v>
      </c>
      <c r="C51" t="s">
        <v>4438</v>
      </c>
      <c r="D51" t="s">
        <v>7254</v>
      </c>
      <c r="E51" t="s">
        <v>7351</v>
      </c>
      <c r="F51" t="s">
        <v>7256</v>
      </c>
    </row>
    <row r="52" spans="1:6" ht="15" customHeight="1" x14ac:dyDescent="0.25">
      <c r="A52" t="s">
        <v>7353</v>
      </c>
      <c r="B52" t="s">
        <v>4053</v>
      </c>
      <c r="C52" t="s">
        <v>5097</v>
      </c>
      <c r="D52" t="s">
        <v>7272</v>
      </c>
      <c r="E52" t="s">
        <v>7351</v>
      </c>
      <c r="F52" t="s">
        <v>7256</v>
      </c>
    </row>
    <row r="53" spans="1:6" ht="15" customHeight="1" x14ac:dyDescent="0.25">
      <c r="A53" t="s">
        <v>7354</v>
      </c>
      <c r="B53" t="s">
        <v>4027</v>
      </c>
      <c r="C53" t="s">
        <v>4434</v>
      </c>
      <c r="D53" t="s">
        <v>7355</v>
      </c>
      <c r="E53" t="s">
        <v>7356</v>
      </c>
      <c r="F53" t="s">
        <v>7289</v>
      </c>
    </row>
    <row r="54" spans="1:6" ht="15" customHeight="1" x14ac:dyDescent="0.25">
      <c r="A54" t="s">
        <v>7357</v>
      </c>
      <c r="B54" t="s">
        <v>4027</v>
      </c>
      <c r="C54" t="s">
        <v>4438</v>
      </c>
      <c r="D54" t="s">
        <v>7358</v>
      </c>
      <c r="E54" t="s">
        <v>7356</v>
      </c>
      <c r="F54" t="s">
        <v>7289</v>
      </c>
    </row>
    <row r="55" spans="1:6" ht="15" customHeight="1" x14ac:dyDescent="0.25">
      <c r="A55" t="s">
        <v>7359</v>
      </c>
      <c r="B55" t="s">
        <v>4027</v>
      </c>
      <c r="C55" t="s">
        <v>5097</v>
      </c>
      <c r="D55" t="s">
        <v>7360</v>
      </c>
      <c r="E55" t="s">
        <v>7356</v>
      </c>
      <c r="F55" t="s">
        <v>7289</v>
      </c>
    </row>
    <row r="56" spans="1:6" ht="15" customHeight="1" x14ac:dyDescent="0.25">
      <c r="A56" t="s">
        <v>7361</v>
      </c>
      <c r="B56" t="s">
        <v>5094</v>
      </c>
      <c r="C56" t="s">
        <v>4434</v>
      </c>
      <c r="D56" t="s">
        <v>7362</v>
      </c>
      <c r="E56" t="s">
        <v>7363</v>
      </c>
      <c r="F56" t="s">
        <v>7289</v>
      </c>
    </row>
    <row r="57" spans="1:6" ht="15" customHeight="1" x14ac:dyDescent="0.25">
      <c r="A57" t="s">
        <v>7364</v>
      </c>
      <c r="B57" t="s">
        <v>5094</v>
      </c>
      <c r="C57" t="s">
        <v>4438</v>
      </c>
      <c r="D57" t="s">
        <v>7365</v>
      </c>
      <c r="E57" t="s">
        <v>7363</v>
      </c>
      <c r="F57" t="s">
        <v>7289</v>
      </c>
    </row>
    <row r="58" spans="1:6" ht="15" customHeight="1" x14ac:dyDescent="0.25">
      <c r="A58" t="s">
        <v>7366</v>
      </c>
      <c r="B58" t="s">
        <v>5094</v>
      </c>
      <c r="C58" t="s">
        <v>5097</v>
      </c>
      <c r="D58" t="s">
        <v>7367</v>
      </c>
      <c r="E58" t="s">
        <v>7363</v>
      </c>
      <c r="F58" t="s">
        <v>7289</v>
      </c>
    </row>
    <row r="59" spans="1:6" ht="15" customHeight="1" x14ac:dyDescent="0.25">
      <c r="A59" t="s">
        <v>7368</v>
      </c>
      <c r="B59" t="s">
        <v>5094</v>
      </c>
      <c r="C59" t="s">
        <v>4434</v>
      </c>
      <c r="D59" t="s">
        <v>7268</v>
      </c>
      <c r="E59" t="s">
        <v>7369</v>
      </c>
      <c r="F59" t="s">
        <v>3866</v>
      </c>
    </row>
    <row r="60" spans="1:6" ht="15" customHeight="1" x14ac:dyDescent="0.25">
      <c r="A60" t="s">
        <v>7370</v>
      </c>
      <c r="B60" t="s">
        <v>5094</v>
      </c>
      <c r="C60" t="s">
        <v>4438</v>
      </c>
      <c r="D60" t="s">
        <v>7254</v>
      </c>
      <c r="E60" t="s">
        <v>7369</v>
      </c>
      <c r="F60" t="s">
        <v>3866</v>
      </c>
    </row>
    <row r="61" spans="1:6" ht="15" customHeight="1" x14ac:dyDescent="0.25">
      <c r="A61" t="s">
        <v>7371</v>
      </c>
      <c r="B61" t="s">
        <v>5094</v>
      </c>
      <c r="C61" t="s">
        <v>5097</v>
      </c>
      <c r="D61" t="s">
        <v>7272</v>
      </c>
      <c r="E61" t="s">
        <v>7369</v>
      </c>
      <c r="F61" t="s">
        <v>3866</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3768</v>
      </c>
      <c r="B1" t="s">
        <v>3764</v>
      </c>
    </row>
    <row r="2" spans="1:2" ht="15" customHeight="1" x14ac:dyDescent="0.25">
      <c r="A2" t="s">
        <v>7372</v>
      </c>
      <c r="B2" t="s">
        <v>5016</v>
      </c>
    </row>
    <row r="3" spans="1:2" ht="15" customHeight="1" x14ac:dyDescent="0.25">
      <c r="A3" t="s">
        <v>7373</v>
      </c>
      <c r="B3" t="s">
        <v>5016</v>
      </c>
    </row>
    <row r="4" spans="1:2" ht="15" customHeight="1" x14ac:dyDescent="0.25">
      <c r="A4" t="s">
        <v>7374</v>
      </c>
      <c r="B4" t="s">
        <v>5016</v>
      </c>
    </row>
    <row r="5" spans="1:2" ht="15" customHeight="1" x14ac:dyDescent="0.25">
      <c r="A5" t="s">
        <v>7375</v>
      </c>
      <c r="B5" t="s">
        <v>5016</v>
      </c>
    </row>
    <row r="6" spans="1:2" ht="15" customHeight="1" x14ac:dyDescent="0.25">
      <c r="A6" t="s">
        <v>4001</v>
      </c>
      <c r="B6" t="s">
        <v>5016</v>
      </c>
    </row>
    <row r="7" spans="1:2" ht="15" customHeight="1" x14ac:dyDescent="0.25">
      <c r="A7" t="s">
        <v>7376</v>
      </c>
      <c r="B7" t="s">
        <v>5016</v>
      </c>
    </row>
    <row r="8" spans="1:2" ht="15" customHeight="1" x14ac:dyDescent="0.25">
      <c r="A8" t="s">
        <v>7377</v>
      </c>
      <c r="B8" t="s">
        <v>5016</v>
      </c>
    </row>
    <row r="9" spans="1:2" ht="15" customHeight="1" x14ac:dyDescent="0.25">
      <c r="A9" t="s">
        <v>7378</v>
      </c>
      <c r="B9" t="s">
        <v>5016</v>
      </c>
    </row>
    <row r="10" spans="1:2" ht="15" customHeight="1" x14ac:dyDescent="0.25">
      <c r="A10" t="s">
        <v>7379</v>
      </c>
      <c r="B10" t="s">
        <v>5016</v>
      </c>
    </row>
    <row r="11" spans="1:2" ht="15" customHeight="1" x14ac:dyDescent="0.25">
      <c r="A11" t="s">
        <v>7380</v>
      </c>
      <c r="B11" t="s">
        <v>5016</v>
      </c>
    </row>
    <row r="12" spans="1:2" ht="15" customHeight="1" x14ac:dyDescent="0.25">
      <c r="A12" t="s">
        <v>7381</v>
      </c>
      <c r="B12" t="s">
        <v>4443</v>
      </c>
    </row>
    <row r="13" spans="1:2" ht="15" customHeight="1" x14ac:dyDescent="0.25">
      <c r="A13" t="s">
        <v>7382</v>
      </c>
      <c r="B13" t="s">
        <v>4443</v>
      </c>
    </row>
    <row r="14" spans="1:2" ht="15" customHeight="1" x14ac:dyDescent="0.25">
      <c r="A14" t="s">
        <v>7383</v>
      </c>
      <c r="B14" t="s">
        <v>4443</v>
      </c>
    </row>
    <row r="15" spans="1:2" ht="15" customHeight="1" x14ac:dyDescent="0.25">
      <c r="A15" t="s">
        <v>7384</v>
      </c>
      <c r="B15" t="s">
        <v>4443</v>
      </c>
    </row>
    <row r="16" spans="1:2" ht="15" customHeight="1" x14ac:dyDescent="0.25">
      <c r="A16" t="s">
        <v>7385</v>
      </c>
      <c r="B16" t="s">
        <v>4443</v>
      </c>
    </row>
    <row r="17" spans="1:2" ht="15" customHeight="1" x14ac:dyDescent="0.25">
      <c r="A17" t="s">
        <v>7386</v>
      </c>
      <c r="B17" t="s">
        <v>4443</v>
      </c>
    </row>
    <row r="18" spans="1:2" ht="15" customHeight="1" x14ac:dyDescent="0.25">
      <c r="A18" t="s">
        <v>7387</v>
      </c>
      <c r="B18" t="s">
        <v>7388</v>
      </c>
    </row>
    <row r="19" spans="1:2" ht="15" customHeight="1" x14ac:dyDescent="0.25">
      <c r="A19" t="s">
        <v>7389</v>
      </c>
      <c r="B19" t="s">
        <v>7388</v>
      </c>
    </row>
    <row r="20" spans="1:2" ht="15" customHeight="1" x14ac:dyDescent="0.25">
      <c r="A20" t="s">
        <v>7390</v>
      </c>
      <c r="B20" t="s">
        <v>7388</v>
      </c>
    </row>
    <row r="21" spans="1:2" ht="15" customHeight="1" x14ac:dyDescent="0.25">
      <c r="A21" t="s">
        <v>7391</v>
      </c>
      <c r="B21" t="s">
        <v>7388</v>
      </c>
    </row>
    <row r="22" spans="1:2" ht="15" customHeight="1" x14ac:dyDescent="0.25">
      <c r="A22" t="s">
        <v>7392</v>
      </c>
      <c r="B22" t="s">
        <v>7388</v>
      </c>
    </row>
    <row r="23" spans="1:2" ht="15" customHeight="1" x14ac:dyDescent="0.25">
      <c r="A23" t="s">
        <v>3998</v>
      </c>
      <c r="B23" t="s">
        <v>7388</v>
      </c>
    </row>
    <row r="24" spans="1:2" ht="15" customHeight="1" x14ac:dyDescent="0.25">
      <c r="A24" t="s">
        <v>7393</v>
      </c>
      <c r="B24" t="s">
        <v>7388</v>
      </c>
    </row>
    <row r="25" spans="1:2" ht="15" customHeight="1" x14ac:dyDescent="0.25">
      <c r="A25" t="s">
        <v>7394</v>
      </c>
      <c r="B25" t="s">
        <v>7388</v>
      </c>
    </row>
    <row r="26" spans="1:2" ht="15" customHeight="1" x14ac:dyDescent="0.25">
      <c r="A26" t="s">
        <v>7395</v>
      </c>
      <c r="B26" t="s">
        <v>7388</v>
      </c>
    </row>
    <row r="27" spans="1:2" ht="15" customHeight="1" x14ac:dyDescent="0.25">
      <c r="A27" t="s">
        <v>7396</v>
      </c>
      <c r="B27" t="s">
        <v>7388</v>
      </c>
    </row>
    <row r="28" spans="1:2" ht="15" customHeight="1" x14ac:dyDescent="0.25">
      <c r="A28" t="s">
        <v>7397</v>
      </c>
      <c r="B28" t="s">
        <v>7388</v>
      </c>
    </row>
    <row r="29" spans="1:2" ht="15" customHeight="1" x14ac:dyDescent="0.25">
      <c r="A29" t="s">
        <v>7398</v>
      </c>
      <c r="B29" t="s">
        <v>7388</v>
      </c>
    </row>
    <row r="30" spans="1:2" ht="15" customHeight="1" x14ac:dyDescent="0.25">
      <c r="A30" t="s">
        <v>7399</v>
      </c>
      <c r="B30" t="s">
        <v>7388</v>
      </c>
    </row>
    <row r="31" spans="1:2" ht="15" customHeight="1" x14ac:dyDescent="0.25">
      <c r="A31" t="s">
        <v>7400</v>
      </c>
      <c r="B31" t="s">
        <v>7388</v>
      </c>
    </row>
    <row r="32" spans="1:2" ht="15" customHeight="1" x14ac:dyDescent="0.25">
      <c r="A32" t="s">
        <v>7401</v>
      </c>
      <c r="B32" t="s">
        <v>7388</v>
      </c>
    </row>
    <row r="33" spans="1:2" ht="15" customHeight="1" x14ac:dyDescent="0.25">
      <c r="A33" t="s">
        <v>7402</v>
      </c>
      <c r="B33" t="s">
        <v>7388</v>
      </c>
    </row>
    <row r="34" spans="1:2" ht="15" customHeight="1" x14ac:dyDescent="0.25">
      <c r="A34" t="s">
        <v>7403</v>
      </c>
      <c r="B34" t="s">
        <v>7388</v>
      </c>
    </row>
    <row r="35" spans="1:2" ht="15" customHeight="1" x14ac:dyDescent="0.25">
      <c r="A35" t="s">
        <v>7404</v>
      </c>
      <c r="B35" t="s">
        <v>7388</v>
      </c>
    </row>
    <row r="36" spans="1:2" ht="15" customHeight="1" x14ac:dyDescent="0.25">
      <c r="A36" t="s">
        <v>7405</v>
      </c>
      <c r="B36" t="s">
        <v>7388</v>
      </c>
    </row>
    <row r="37" spans="1:2" ht="15" customHeight="1" x14ac:dyDescent="0.25">
      <c r="A37" t="s">
        <v>7406</v>
      </c>
      <c r="B37" t="s">
        <v>7388</v>
      </c>
    </row>
    <row r="38" spans="1:2" ht="15" customHeight="1" x14ac:dyDescent="0.25">
      <c r="A38" t="s">
        <v>7407</v>
      </c>
      <c r="B38" t="s">
        <v>7388</v>
      </c>
    </row>
    <row r="39" spans="1:2" ht="15" customHeight="1" x14ac:dyDescent="0.25">
      <c r="A39" t="s">
        <v>7408</v>
      </c>
      <c r="B39" t="s">
        <v>4443</v>
      </c>
    </row>
    <row r="40" spans="1:2" ht="15" customHeight="1" x14ac:dyDescent="0.25">
      <c r="A40" t="s">
        <v>7409</v>
      </c>
      <c r="B40" t="s">
        <v>7388</v>
      </c>
    </row>
    <row r="41" spans="1:2" ht="15" customHeight="1" x14ac:dyDescent="0.25">
      <c r="A41" t="s">
        <v>7410</v>
      </c>
      <c r="B41" t="s">
        <v>7388</v>
      </c>
    </row>
    <row r="42" spans="1:2" ht="15" customHeight="1" x14ac:dyDescent="0.25">
      <c r="A42" t="s">
        <v>7411</v>
      </c>
      <c r="B42" t="s">
        <v>7388</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4378</v>
      </c>
      <c r="E1" s="16" t="s">
        <v>7412</v>
      </c>
      <c r="F1" s="16" t="s">
        <v>7413</v>
      </c>
      <c r="G1" s="16" t="s">
        <v>7414</v>
      </c>
      <c r="H1" s="16" t="s">
        <v>7415</v>
      </c>
      <c r="I1" s="16" t="s">
        <v>7416</v>
      </c>
      <c r="J1" s="16" t="s">
        <v>7417</v>
      </c>
      <c r="K1" s="16" t="s">
        <v>7418</v>
      </c>
      <c r="L1" s="16" t="s">
        <v>7419</v>
      </c>
      <c r="M1" s="16" t="s">
        <v>7420</v>
      </c>
      <c r="N1" s="16" t="s">
        <v>7421</v>
      </c>
      <c r="O1" s="16" t="s">
        <v>7422</v>
      </c>
      <c r="P1" s="16" t="s">
        <v>172</v>
      </c>
      <c r="Q1" s="16" t="s">
        <v>7423</v>
      </c>
      <c r="R1" s="16" t="s">
        <v>4380</v>
      </c>
      <c r="T1" s="16" t="s">
        <v>7424</v>
      </c>
      <c r="U1" s="16" t="s">
        <v>7425</v>
      </c>
      <c r="V1" s="16" t="s">
        <v>7426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2026-08-27T06:57:04Z</dcterms:modified>
  <dc:language>en-US</dc:language>
</cp:coreProperties>
</file>